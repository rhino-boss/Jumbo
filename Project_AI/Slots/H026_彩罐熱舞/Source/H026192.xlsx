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C65B9E97-1BAF-4C03-8BA2-3BA6F721AE31}" xr6:coauthVersionLast="47" xr6:coauthVersionMax="47" xr10:uidLastSave="{00000000-0000-0000-0000-000000000000}"/>
  <bookViews>
    <workbookView xWindow="-108" yWindow="-108" windowWidth="23256" windowHeight="12456" tabRatio="774" xr2:uid="{CC411F34-05C0-4D23-84F4-26E6C3B70E8A}"/>
  </bookViews>
  <sheets>
    <sheet name="Overview" sheetId="4" r:id="rId1"/>
    <sheet name="Description" sheetId="55" r:id="rId2"/>
    <sheet name="Parameter" sheetId="30" r:id="rId3"/>
    <sheet name="Multiplier_Weight" sheetId="76" r:id="rId4"/>
    <sheet name="Multiplier_Weight_Oldhand" sheetId="48" r:id="rId5"/>
    <sheet name="OP Jackpot" sheetId="53" r:id="rId6"/>
    <sheet name="BG_Symbol" sheetId="13" r:id="rId7"/>
    <sheet name="BG_Symbol (2)" sheetId="68" r:id="rId8"/>
    <sheet name="BG_Symbol (3)" sheetId="74" r:id="rId9"/>
    <sheet name="FG_Symbol" sheetId="69" r:id="rId10"/>
    <sheet name="FG_Symbol (2)" sheetId="70" r:id="rId11"/>
    <sheet name="FG_Symbol (3)" sheetId="71" r:id="rId12"/>
    <sheet name="BF_Symbol" sheetId="72" r:id="rId13"/>
    <sheet name="工作表1" sheetId="75" state="hidden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8" i="48" l="1"/>
  <c r="I244" i="48" s="1" a="1"/>
  <c r="I244" i="48" s="1"/>
  <c r="G158" i="48"/>
  <c r="I174" i="48" s="1" a="1"/>
  <c r="I174" i="48" s="1"/>
  <c r="G87" i="48" l="1"/>
  <c r="I92" i="48" s="1" a="1"/>
  <c r="I92" i="48" s="1"/>
  <c r="G15" i="48"/>
  <c r="I20" i="48" s="1" a="1"/>
  <c r="I20" i="48" s="1"/>
  <c r="D4" i="76"/>
  <c r="O48" i="30" a="1"/>
  <c r="O48" i="30" s="1"/>
  <c r="O37" i="30" a="1"/>
  <c r="O37" i="30" s="1"/>
  <c r="O26" i="30" a="1"/>
  <c r="O26" i="30" s="1"/>
  <c r="O15" i="30" a="1"/>
  <c r="O15" i="30" s="1"/>
  <c r="O4" i="30" a="1"/>
  <c r="O4" i="30" s="1"/>
  <c r="A22" i="4" l="1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O88" i="48" a="1"/>
  <c r="O88" i="48" s="1"/>
  <c r="H88" i="48"/>
  <c r="Y203" i="68" a="1"/>
  <c r="Y203" i="68" s="1"/>
  <c r="X203" i="68" a="1"/>
  <c r="X203" i="68" s="1"/>
  <c r="W203" i="68" a="1"/>
  <c r="W203" i="68" s="1"/>
  <c r="Y202" i="68" a="1"/>
  <c r="Y202" i="68" s="1"/>
  <c r="X202" i="68" a="1"/>
  <c r="X202" i="68" s="1"/>
  <c r="W202" i="68"/>
  <c r="W202" i="68" a="1"/>
  <c r="Y201" i="68" a="1"/>
  <c r="Y201" i="68" s="1"/>
  <c r="X201" i="68" a="1"/>
  <c r="X201" i="68" s="1"/>
  <c r="W201" i="68" a="1"/>
  <c r="W201" i="68" s="1"/>
  <c r="Y200" i="68" a="1"/>
  <c r="Y200" i="68" s="1"/>
  <c r="X200" i="68" a="1"/>
  <c r="X200" i="68" s="1"/>
  <c r="W200" i="68" a="1"/>
  <c r="W200" i="68" s="1"/>
  <c r="Y199" i="68" a="1"/>
  <c r="Y199" i="68" s="1"/>
  <c r="X199" i="68" a="1"/>
  <c r="X199" i="68" s="1"/>
  <c r="W199" i="68" a="1"/>
  <c r="W199" i="68" s="1"/>
  <c r="Y198" i="68" a="1"/>
  <c r="Y198" i="68" s="1"/>
  <c r="X198" i="68"/>
  <c r="X198" i="68" a="1"/>
  <c r="W198" i="68" a="1"/>
  <c r="W198" i="68" s="1"/>
  <c r="Y197" i="68" a="1"/>
  <c r="Y197" i="68" s="1"/>
  <c r="X197" i="68" a="1"/>
  <c r="X197" i="68" s="1"/>
  <c r="W197" i="68" a="1"/>
  <c r="W197" i="68" s="1"/>
  <c r="Y196" i="68" a="1"/>
  <c r="Y196" i="68" s="1"/>
  <c r="X196" i="68" a="1"/>
  <c r="X196" i="68" s="1"/>
  <c r="W196" i="68" a="1"/>
  <c r="W196" i="68" s="1"/>
  <c r="Y195" i="68" a="1"/>
  <c r="Y195" i="68" s="1"/>
  <c r="X195" i="68" a="1"/>
  <c r="X195" i="68" s="1"/>
  <c r="W195" i="68" a="1"/>
  <c r="W195" i="68" s="1"/>
  <c r="Y194" i="68"/>
  <c r="Y194" i="68" a="1"/>
  <c r="X194" i="68" a="1"/>
  <c r="X194" i="68" s="1"/>
  <c r="W194" i="68" a="1"/>
  <c r="W194" i="68" s="1"/>
  <c r="Y193" i="68" a="1"/>
  <c r="Y193" i="68" s="1"/>
  <c r="X193" i="68" a="1"/>
  <c r="X193" i="68" s="1"/>
  <c r="W193" i="68" a="1"/>
  <c r="W193" i="68" s="1"/>
  <c r="Y192" i="68" a="1"/>
  <c r="Y192" i="68" s="1"/>
  <c r="X192" i="68" a="1"/>
  <c r="X192" i="68" s="1"/>
  <c r="W192" i="68" a="1"/>
  <c r="W192" i="68" s="1"/>
  <c r="Y191" i="68" a="1"/>
  <c r="Y191" i="68" s="1"/>
  <c r="X191" i="68" a="1"/>
  <c r="X191" i="68" s="1"/>
  <c r="W191" i="68"/>
  <c r="W191" i="68" a="1"/>
  <c r="Y190" i="68" a="1"/>
  <c r="Y190" i="68" s="1"/>
  <c r="X190" i="68" a="1"/>
  <c r="X190" i="68" s="1"/>
  <c r="W190" i="68" a="1"/>
  <c r="W190" i="68" s="1"/>
  <c r="Y189" i="68" a="1"/>
  <c r="Y189" i="68" s="1"/>
  <c r="X189" i="68" a="1"/>
  <c r="X189" i="68" s="1"/>
  <c r="W189" i="68" a="1"/>
  <c r="W189" i="68" s="1"/>
  <c r="Y188" i="68" a="1"/>
  <c r="Y188" i="68" s="1"/>
  <c r="X188" i="68" a="1"/>
  <c r="X188" i="68" s="1"/>
  <c r="W188" i="68" a="1"/>
  <c r="W188" i="68" s="1"/>
  <c r="Y187" i="68" a="1"/>
  <c r="Y187" i="68" s="1"/>
  <c r="X187" i="68"/>
  <c r="X187" i="68" a="1"/>
  <c r="W187" i="68" a="1"/>
  <c r="W187" i="68" s="1"/>
  <c r="Y186" i="68" a="1"/>
  <c r="Y186" i="68" s="1"/>
  <c r="X186" i="68" a="1"/>
  <c r="X186" i="68" s="1"/>
  <c r="W186" i="68" a="1"/>
  <c r="W186" i="68" s="1"/>
  <c r="Y185" i="68" a="1"/>
  <c r="Y185" i="68" s="1"/>
  <c r="X185" i="68" a="1"/>
  <c r="X185" i="68" s="1"/>
  <c r="W185" i="68" a="1"/>
  <c r="W185" i="68" s="1"/>
  <c r="Y184" i="68" a="1"/>
  <c r="Y184" i="68" s="1"/>
  <c r="X184" i="68" a="1"/>
  <c r="X184" i="68" s="1"/>
  <c r="W184" i="68" a="1"/>
  <c r="W184" i="68" s="1"/>
  <c r="Y183" i="68" a="1"/>
  <c r="Y183" i="68" s="1"/>
  <c r="X183" i="68" a="1"/>
  <c r="X183" i="68" s="1"/>
  <c r="W183" i="68" a="1"/>
  <c r="W183" i="68" s="1"/>
  <c r="Y182" i="68" a="1"/>
  <c r="Y182" i="68" s="1"/>
  <c r="X182" i="68" a="1"/>
  <c r="X182" i="68" s="1"/>
  <c r="W182" i="68" a="1"/>
  <c r="W182" i="68" s="1"/>
  <c r="Y181" i="68" a="1"/>
  <c r="Y181" i="68" s="1"/>
  <c r="X181" i="68" a="1"/>
  <c r="X181" i="68" s="1"/>
  <c r="W181" i="68" a="1"/>
  <c r="W181" i="68" s="1"/>
  <c r="Y180" i="68" a="1"/>
  <c r="Y180" i="68" s="1"/>
  <c r="X180" i="68" a="1"/>
  <c r="X180" i="68" s="1"/>
  <c r="W180" i="68" a="1"/>
  <c r="W180" i="68" s="1"/>
  <c r="Y179" i="68"/>
  <c r="Y179" i="68" a="1"/>
  <c r="X179" i="68" a="1"/>
  <c r="X179" i="68" s="1"/>
  <c r="W179" i="68" a="1"/>
  <c r="W179" i="68" s="1"/>
  <c r="Y178" i="68" a="1"/>
  <c r="Y178" i="68" s="1"/>
  <c r="X178" i="68" a="1"/>
  <c r="X178" i="68" s="1"/>
  <c r="W178" i="68" a="1"/>
  <c r="W178" i="68" s="1"/>
  <c r="Y177" i="68" a="1"/>
  <c r="Y177" i="68" s="1"/>
  <c r="X177" i="68" a="1"/>
  <c r="X177" i="68" s="1"/>
  <c r="W177" i="68" a="1"/>
  <c r="W177" i="68" s="1"/>
  <c r="Y176" i="68" a="1"/>
  <c r="Y176" i="68" s="1"/>
  <c r="X176" i="68" a="1"/>
  <c r="X176" i="68" s="1"/>
  <c r="W176" i="68"/>
  <c r="W176" i="68" a="1"/>
  <c r="Y175" i="68" a="1"/>
  <c r="Y175" i="68" s="1"/>
  <c r="X175" i="68" a="1"/>
  <c r="X175" i="68" s="1"/>
  <c r="W175" i="68" a="1"/>
  <c r="W175" i="68" s="1"/>
  <c r="Y174" i="68" a="1"/>
  <c r="Y174" i="68" s="1"/>
  <c r="X174" i="68" a="1"/>
  <c r="X174" i="68" s="1"/>
  <c r="W174" i="68" a="1"/>
  <c r="W174" i="68" s="1"/>
  <c r="Y173" i="68" a="1"/>
  <c r="Y173" i="68" s="1"/>
  <c r="X173" i="68" a="1"/>
  <c r="X173" i="68" s="1"/>
  <c r="W173" i="68" a="1"/>
  <c r="W173" i="68" s="1"/>
  <c r="Y172" i="68" a="1"/>
  <c r="Y172" i="68" s="1"/>
  <c r="X172" i="68"/>
  <c r="X172" i="68" a="1"/>
  <c r="W172" i="68" a="1"/>
  <c r="W172" i="68" s="1"/>
  <c r="Y171" i="68" a="1"/>
  <c r="Y171" i="68" s="1"/>
  <c r="X171" i="68"/>
  <c r="X171" i="68" a="1"/>
  <c r="W171" i="68"/>
  <c r="W171" i="68" a="1"/>
  <c r="Y170" i="68" a="1"/>
  <c r="Y170" i="68" s="1"/>
  <c r="X170" i="68" a="1"/>
  <c r="X170" i="68" s="1"/>
  <c r="W170" i="68" a="1"/>
  <c r="W170" i="68" s="1"/>
  <c r="Y169" i="68" a="1"/>
  <c r="Y169" i="68" s="1"/>
  <c r="X169" i="68" a="1"/>
  <c r="X169" i="68" s="1"/>
  <c r="W169" i="68" a="1"/>
  <c r="W169" i="68" s="1"/>
  <c r="Y168" i="68"/>
  <c r="Y168" i="68" a="1"/>
  <c r="X168" i="68" a="1"/>
  <c r="X168" i="68" s="1"/>
  <c r="W168" i="68" a="1"/>
  <c r="W168" i="68" s="1"/>
  <c r="Y167" i="68" a="1"/>
  <c r="Y167" i="68" s="1"/>
  <c r="X167" i="68" a="1"/>
  <c r="X167" i="68" s="1"/>
  <c r="W167" i="68" a="1"/>
  <c r="W167" i="68" s="1"/>
  <c r="Y166" i="68" a="1"/>
  <c r="Y166" i="68" s="1"/>
  <c r="X166" i="68" a="1"/>
  <c r="X166" i="68" s="1"/>
  <c r="W166" i="68" a="1"/>
  <c r="W166" i="68" s="1"/>
  <c r="Y165" i="68" a="1"/>
  <c r="Y165" i="68" s="1"/>
  <c r="X165" i="68" a="1"/>
  <c r="X165" i="68" s="1"/>
  <c r="W165" i="68"/>
  <c r="W165" i="68" a="1"/>
  <c r="Y164" i="68" a="1"/>
  <c r="Y164" i="68" s="1"/>
  <c r="X164" i="68" a="1"/>
  <c r="X164" i="68" s="1"/>
  <c r="W164" i="68" a="1"/>
  <c r="W164" i="68" s="1"/>
  <c r="Y163" i="68" a="1"/>
  <c r="Y163" i="68" s="1"/>
  <c r="X163" i="68" a="1"/>
  <c r="X163" i="68" s="1"/>
  <c r="W163" i="68" a="1"/>
  <c r="W163" i="68" s="1"/>
  <c r="Y162" i="68" a="1"/>
  <c r="Y162" i="68" s="1"/>
  <c r="X162" i="68" a="1"/>
  <c r="X162" i="68" s="1"/>
  <c r="W162" i="68" a="1"/>
  <c r="W162" i="68" s="1"/>
  <c r="Y161" i="68" a="1"/>
  <c r="Y161" i="68" s="1"/>
  <c r="X161" i="68"/>
  <c r="X161" i="68" a="1"/>
  <c r="W161" i="68" a="1"/>
  <c r="W161" i="68" s="1"/>
  <c r="Y160" i="68" a="1"/>
  <c r="Y160" i="68" s="1"/>
  <c r="X160" i="68" a="1"/>
  <c r="X160" i="68" s="1"/>
  <c r="W160" i="68" a="1"/>
  <c r="W160" i="68" s="1"/>
  <c r="Y159" i="68" a="1"/>
  <c r="Y159" i="68" s="1"/>
  <c r="X159" i="68" a="1"/>
  <c r="X159" i="68" s="1"/>
  <c r="W159" i="68" a="1"/>
  <c r="W159" i="68" s="1"/>
  <c r="Y158" i="68" a="1"/>
  <c r="Y158" i="68" s="1"/>
  <c r="X158" i="68" a="1"/>
  <c r="X158" i="68" s="1"/>
  <c r="W158" i="68" a="1"/>
  <c r="W158" i="68" s="1"/>
  <c r="Y157" i="68"/>
  <c r="Y157" i="68" a="1"/>
  <c r="X157" i="68" a="1"/>
  <c r="X157" i="68" s="1"/>
  <c r="W157" i="68" a="1"/>
  <c r="W157" i="68" s="1"/>
  <c r="Y156" i="68" a="1"/>
  <c r="Y156" i="68" s="1"/>
  <c r="X156" i="68" a="1"/>
  <c r="X156" i="68" s="1"/>
  <c r="W156" i="68"/>
  <c r="W156" i="68" a="1"/>
  <c r="Y155" i="68"/>
  <c r="Y155" i="68" a="1"/>
  <c r="X155" i="68" a="1"/>
  <c r="X155" i="68" s="1"/>
  <c r="W155" i="68" a="1"/>
  <c r="W155" i="68" s="1"/>
  <c r="Y154" i="68" a="1"/>
  <c r="Y154" i="68" s="1"/>
  <c r="X154" i="68" a="1"/>
  <c r="X154" i="68" s="1"/>
  <c r="W154" i="68"/>
  <c r="W154" i="68" a="1"/>
  <c r="Y153" i="68" a="1"/>
  <c r="Y153" i="68" s="1"/>
  <c r="X153" i="68" a="1"/>
  <c r="X153" i="68" s="1"/>
  <c r="W153" i="68" a="1"/>
  <c r="W153" i="68" s="1"/>
  <c r="Y152" i="68" a="1"/>
  <c r="Y152" i="68" s="1"/>
  <c r="X152" i="68" a="1"/>
  <c r="X152" i="68" s="1"/>
  <c r="W152" i="68" a="1"/>
  <c r="W152" i="68" s="1"/>
  <c r="Y151" i="68" a="1"/>
  <c r="Y151" i="68" s="1"/>
  <c r="X151" i="68" a="1"/>
  <c r="X151" i="68" s="1"/>
  <c r="W151" i="68" a="1"/>
  <c r="W151" i="68" s="1"/>
  <c r="Y150" i="68" a="1"/>
  <c r="Y150" i="68" s="1"/>
  <c r="X150" i="68" a="1"/>
  <c r="X150" i="68" s="1"/>
  <c r="W150" i="68" a="1"/>
  <c r="W150" i="68" s="1"/>
  <c r="Y149" i="68" a="1"/>
  <c r="Y149" i="68" s="1"/>
  <c r="X149" i="68" a="1"/>
  <c r="X149" i="68" s="1"/>
  <c r="W149" i="68" a="1"/>
  <c r="W149" i="68" s="1"/>
  <c r="Y148" i="68" a="1"/>
  <c r="Y148" i="68" s="1"/>
  <c r="X148" i="68" a="1"/>
  <c r="X148" i="68" s="1"/>
  <c r="W148" i="68" a="1"/>
  <c r="W148" i="68" s="1"/>
  <c r="Y147" i="68" a="1"/>
  <c r="Y147" i="68" s="1"/>
  <c r="X147" i="68" a="1"/>
  <c r="X147" i="68" s="1"/>
  <c r="W147" i="68" a="1"/>
  <c r="W147" i="68" s="1"/>
  <c r="Y146" i="68" a="1"/>
  <c r="Y146" i="68" s="1"/>
  <c r="X146" i="68"/>
  <c r="X146" i="68" a="1"/>
  <c r="W146" i="68" a="1"/>
  <c r="W146" i="68" s="1"/>
  <c r="Y145" i="68" a="1"/>
  <c r="Y145" i="68" s="1"/>
  <c r="X145" i="68"/>
  <c r="X145" i="68" a="1"/>
  <c r="W145" i="68" a="1"/>
  <c r="W145" i="68" s="1"/>
  <c r="Y144" i="68" a="1"/>
  <c r="Y144" i="68" s="1"/>
  <c r="X144" i="68" a="1"/>
  <c r="X144" i="68" s="1"/>
  <c r="W144" i="68" a="1"/>
  <c r="W144" i="68" s="1"/>
  <c r="Y143" i="68" a="1"/>
  <c r="Y143" i="68" s="1"/>
  <c r="X143" i="68" a="1"/>
  <c r="X143" i="68" s="1"/>
  <c r="W143" i="68" a="1"/>
  <c r="W143" i="68" s="1"/>
  <c r="Y142" i="68"/>
  <c r="Y142" i="68" a="1"/>
  <c r="X142" i="68" a="1"/>
  <c r="X142" i="68" s="1"/>
  <c r="W142" i="68" a="1"/>
  <c r="W142" i="68" s="1"/>
  <c r="Y141" i="68" a="1"/>
  <c r="Y141" i="68" s="1"/>
  <c r="X141" i="68" a="1"/>
  <c r="X141" i="68" s="1"/>
  <c r="W141" i="68" a="1"/>
  <c r="W141" i="68" s="1"/>
  <c r="Y140" i="68" a="1"/>
  <c r="Y140" i="68" s="1"/>
  <c r="X140" i="68" a="1"/>
  <c r="X140" i="68" s="1"/>
  <c r="W140" i="68" a="1"/>
  <c r="W140" i="68" s="1"/>
  <c r="Y139" i="68" a="1"/>
  <c r="Y139" i="68" s="1"/>
  <c r="X139" i="68" a="1"/>
  <c r="X139" i="68" s="1"/>
  <c r="W139" i="68"/>
  <c r="W139" i="68" a="1"/>
  <c r="Y138" i="68" a="1"/>
  <c r="Y138" i="68" s="1"/>
  <c r="X138" i="68" a="1"/>
  <c r="X138" i="68" s="1"/>
  <c r="W138" i="68" a="1"/>
  <c r="W138" i="68" s="1"/>
  <c r="Y137" i="68" a="1"/>
  <c r="Y137" i="68" s="1"/>
  <c r="X137" i="68" a="1"/>
  <c r="X137" i="68" s="1"/>
  <c r="W137" i="68" a="1"/>
  <c r="W137" i="68" s="1"/>
  <c r="Y136" i="68" a="1"/>
  <c r="Y136" i="68" s="1"/>
  <c r="X136" i="68" a="1"/>
  <c r="X136" i="68" s="1"/>
  <c r="W136" i="68" a="1"/>
  <c r="W136" i="68" s="1"/>
  <c r="Y135" i="68" a="1"/>
  <c r="Y135" i="68" s="1"/>
  <c r="X135" i="68"/>
  <c r="X135" i="68" a="1"/>
  <c r="W135" i="68" a="1"/>
  <c r="W135" i="68" s="1"/>
  <c r="Y134" i="68" a="1"/>
  <c r="Y134" i="68" s="1"/>
  <c r="X134" i="68" a="1"/>
  <c r="X134" i="68" s="1"/>
  <c r="W134" i="68" a="1"/>
  <c r="W134" i="68" s="1"/>
  <c r="Y133" i="68" a="1"/>
  <c r="Y133" i="68" s="1"/>
  <c r="X133" i="68" a="1"/>
  <c r="X133" i="68" s="1"/>
  <c r="W133" i="68" a="1"/>
  <c r="W133" i="68" s="1"/>
  <c r="Y132" i="68" a="1"/>
  <c r="Y132" i="68" s="1"/>
  <c r="X132" i="68" a="1"/>
  <c r="X132" i="68" s="1"/>
  <c r="W132" i="68" a="1"/>
  <c r="W132" i="68" s="1"/>
  <c r="Y131" i="68"/>
  <c r="Y131" i="68" a="1"/>
  <c r="X131" i="68" a="1"/>
  <c r="X131" i="68" s="1"/>
  <c r="W131" i="68" a="1"/>
  <c r="W131" i="68" s="1"/>
  <c r="Y130" i="68" a="1"/>
  <c r="Y130" i="68" s="1"/>
  <c r="X130" i="68" a="1"/>
  <c r="X130" i="68" s="1"/>
  <c r="W130" i="68" a="1"/>
  <c r="W130" i="68" s="1"/>
  <c r="Y129" i="68" a="1"/>
  <c r="Y129" i="68" s="1"/>
  <c r="X129" i="68" a="1"/>
  <c r="X129" i="68" s="1"/>
  <c r="W129" i="68" a="1"/>
  <c r="W129" i="68" s="1"/>
  <c r="Y128" i="68" a="1"/>
  <c r="Y128" i="68" s="1"/>
  <c r="X128" i="68" a="1"/>
  <c r="X128" i="68" s="1"/>
  <c r="W128" i="68"/>
  <c r="W128" i="68" a="1"/>
  <c r="Y127" i="68" a="1"/>
  <c r="Y127" i="68" s="1"/>
  <c r="X127" i="68" a="1"/>
  <c r="X127" i="68" s="1"/>
  <c r="W127" i="68" a="1"/>
  <c r="W127" i="68" s="1"/>
  <c r="Y126" i="68" a="1"/>
  <c r="Y126" i="68" s="1"/>
  <c r="X126" i="68" a="1"/>
  <c r="X126" i="68" s="1"/>
  <c r="W126" i="68" a="1"/>
  <c r="W126" i="68" s="1"/>
  <c r="Y125" i="68" a="1"/>
  <c r="Y125" i="68" s="1"/>
  <c r="X125" i="68" a="1"/>
  <c r="X125" i="68" s="1"/>
  <c r="W125" i="68" a="1"/>
  <c r="W125" i="68" s="1"/>
  <c r="Y124" i="68" a="1"/>
  <c r="Y124" i="68" s="1"/>
  <c r="X124" i="68"/>
  <c r="X124" i="68" a="1"/>
  <c r="W124" i="68" a="1"/>
  <c r="W124" i="68" s="1"/>
  <c r="Y123" i="68" a="1"/>
  <c r="Y123" i="68" s="1"/>
  <c r="X123" i="68" a="1"/>
  <c r="X123" i="68" s="1"/>
  <c r="W123" i="68" a="1"/>
  <c r="W123" i="68" s="1"/>
  <c r="Y122" i="68" a="1"/>
  <c r="Y122" i="68" s="1"/>
  <c r="X122" i="68" a="1"/>
  <c r="X122" i="68" s="1"/>
  <c r="W122" i="68" a="1"/>
  <c r="W122" i="68" s="1"/>
  <c r="Y121" i="68" a="1"/>
  <c r="Y121" i="68" s="1"/>
  <c r="X121" i="68" a="1"/>
  <c r="X121" i="68" s="1"/>
  <c r="W121" i="68" a="1"/>
  <c r="W121" i="68" s="1"/>
  <c r="Y120" i="68"/>
  <c r="Y120" i="68" a="1"/>
  <c r="X120" i="68" a="1"/>
  <c r="X120" i="68" s="1"/>
  <c r="W120" i="68" a="1"/>
  <c r="W120" i="68" s="1"/>
  <c r="Y119" i="68" a="1"/>
  <c r="Y119" i="68" s="1"/>
  <c r="X119" i="68" a="1"/>
  <c r="X119" i="68" s="1"/>
  <c r="W119" i="68" a="1"/>
  <c r="W119" i="68" s="1"/>
  <c r="Y118" i="68"/>
  <c r="Y118" i="68" a="1"/>
  <c r="X118" i="68" a="1"/>
  <c r="X118" i="68" s="1"/>
  <c r="W118" i="68" a="1"/>
  <c r="W118" i="68" s="1"/>
  <c r="Y117" i="68" a="1"/>
  <c r="Y117" i="68" s="1"/>
  <c r="X117" i="68" a="1"/>
  <c r="X117" i="68" s="1"/>
  <c r="W117" i="68" a="1"/>
  <c r="W117" i="68" s="1"/>
  <c r="Y116" i="68" a="1"/>
  <c r="Y116" i="68" s="1"/>
  <c r="X116" i="68" a="1"/>
  <c r="X116" i="68" s="1"/>
  <c r="W116" i="68" a="1"/>
  <c r="W116" i="68" s="1"/>
  <c r="Y115" i="68" a="1"/>
  <c r="Y115" i="68" s="1"/>
  <c r="X115" i="68" a="1"/>
  <c r="X115" i="68" s="1"/>
  <c r="W115" i="68" a="1"/>
  <c r="W115" i="68" s="1"/>
  <c r="Y114" i="68" a="1"/>
  <c r="Y114" i="68" s="1"/>
  <c r="X114" i="68" a="1"/>
  <c r="X114" i="68" s="1"/>
  <c r="W114" i="68"/>
  <c r="W114" i="68" a="1"/>
  <c r="Y113" i="68" a="1"/>
  <c r="Y113" i="68" s="1"/>
  <c r="X113" i="68" a="1"/>
  <c r="X113" i="68" s="1"/>
  <c r="W113" i="68" a="1"/>
  <c r="W113" i="68" s="1"/>
  <c r="Y112" i="68" a="1"/>
  <c r="Y112" i="68" s="1"/>
  <c r="X112" i="68" a="1"/>
  <c r="X112" i="68" s="1"/>
  <c r="W112" i="68" a="1"/>
  <c r="W112" i="68" s="1"/>
  <c r="Y111" i="68"/>
  <c r="Y111" i="68" a="1"/>
  <c r="X111" i="68" a="1"/>
  <c r="X111" i="68" s="1"/>
  <c r="W111" i="68" a="1"/>
  <c r="W111" i="68" s="1"/>
  <c r="Y110" i="68" a="1"/>
  <c r="Y110" i="68" s="1"/>
  <c r="X110" i="68" a="1"/>
  <c r="X110" i="68" s="1"/>
  <c r="W110" i="68"/>
  <c r="W110" i="68" a="1"/>
  <c r="Y109" i="68" a="1"/>
  <c r="Y109" i="68" s="1"/>
  <c r="X109" i="68" a="1"/>
  <c r="X109" i="68" s="1"/>
  <c r="W109" i="68" a="1"/>
  <c r="W109" i="68" s="1"/>
  <c r="Y108" i="68" a="1"/>
  <c r="Y108" i="68" s="1"/>
  <c r="X108" i="68" a="1"/>
  <c r="X108" i="68" s="1"/>
  <c r="W108" i="68" a="1"/>
  <c r="W108" i="68" s="1"/>
  <c r="Y107" i="68" a="1"/>
  <c r="Y107" i="68" s="1"/>
  <c r="X107" i="68" a="1"/>
  <c r="X107" i="68" s="1"/>
  <c r="W107" i="68" a="1"/>
  <c r="W107" i="68" s="1"/>
  <c r="Y106" i="68" a="1"/>
  <c r="Y106" i="68" s="1"/>
  <c r="X106" i="68" a="1"/>
  <c r="X106" i="68" s="1"/>
  <c r="W106" i="68" a="1"/>
  <c r="W106" i="68" s="1"/>
  <c r="Y105" i="68"/>
  <c r="Y105" i="68" a="1"/>
  <c r="X105" i="68" a="1"/>
  <c r="X105" i="68" s="1"/>
  <c r="W105" i="68" a="1"/>
  <c r="W105" i="68" s="1"/>
  <c r="Y104" i="68"/>
  <c r="Y104" i="68" a="1"/>
  <c r="X104" i="68" a="1"/>
  <c r="X104" i="68" s="1"/>
  <c r="W104" i="68" a="1"/>
  <c r="W104" i="68" s="1"/>
  <c r="Y103" i="68" a="1"/>
  <c r="Y103" i="68" s="1"/>
  <c r="X103" i="68" a="1"/>
  <c r="X103" i="68" s="1"/>
  <c r="W103" i="68"/>
  <c r="W103" i="68" a="1"/>
  <c r="Y102" i="68" a="1"/>
  <c r="Y102" i="68" s="1"/>
  <c r="X102" i="68" a="1"/>
  <c r="X102" i="68" s="1"/>
  <c r="W102" i="68" a="1"/>
  <c r="W102" i="68" s="1"/>
  <c r="Y101" i="68" a="1"/>
  <c r="Y101" i="68" s="1"/>
  <c r="X101" i="68" a="1"/>
  <c r="X101" i="68" s="1"/>
  <c r="W101" i="68" a="1"/>
  <c r="W101" i="68" s="1"/>
  <c r="Y100" i="68" a="1"/>
  <c r="Y100" i="68" s="1"/>
  <c r="X100" i="68" a="1"/>
  <c r="X100" i="68" s="1"/>
  <c r="W100" i="68" a="1"/>
  <c r="W100" i="68" s="1"/>
  <c r="Y99" i="68" a="1"/>
  <c r="Y99" i="68" s="1"/>
  <c r="X99" i="68" a="1"/>
  <c r="X99" i="68" s="1"/>
  <c r="W99" i="68" a="1"/>
  <c r="W99" i="68" s="1"/>
  <c r="Y98" i="68" a="1"/>
  <c r="Y98" i="68" s="1"/>
  <c r="X98" i="68" a="1"/>
  <c r="X98" i="68" s="1"/>
  <c r="W98" i="68" a="1"/>
  <c r="W98" i="68" s="1"/>
  <c r="Y97" i="68"/>
  <c r="Y97" i="68" a="1"/>
  <c r="X97" i="68" a="1"/>
  <c r="X97" i="68" s="1"/>
  <c r="W97" i="68" a="1"/>
  <c r="W97" i="68" s="1"/>
  <c r="Y96" i="68" a="1"/>
  <c r="Y96" i="68" s="1"/>
  <c r="X96" i="68" a="1"/>
  <c r="X96" i="68" s="1"/>
  <c r="W96" i="68"/>
  <c r="W96" i="68" a="1"/>
  <c r="Y95" i="68" a="1"/>
  <c r="Y95" i="68" s="1"/>
  <c r="X95" i="68" a="1"/>
  <c r="X95" i="68" s="1"/>
  <c r="W95" i="68" a="1"/>
  <c r="W95" i="68" s="1"/>
  <c r="Y94" i="68" a="1"/>
  <c r="Y94" i="68" s="1"/>
  <c r="X94" i="68" a="1"/>
  <c r="X94" i="68" s="1"/>
  <c r="W94" i="68" a="1"/>
  <c r="W94" i="68" s="1"/>
  <c r="Y93" i="68" a="1"/>
  <c r="Y93" i="68" s="1"/>
  <c r="X93" i="68" a="1"/>
  <c r="X93" i="68" s="1"/>
  <c r="W93" i="68" a="1"/>
  <c r="W93" i="68" s="1"/>
  <c r="Y92" i="68" a="1"/>
  <c r="Y92" i="68" s="1"/>
  <c r="X92" i="68" a="1"/>
  <c r="X92" i="68" s="1"/>
  <c r="W92" i="68" a="1"/>
  <c r="W92" i="68" s="1"/>
  <c r="Y91" i="68"/>
  <c r="Y91" i="68" a="1"/>
  <c r="X91" i="68" a="1"/>
  <c r="X91" i="68" s="1"/>
  <c r="W91" i="68" a="1"/>
  <c r="W91" i="68" s="1"/>
  <c r="Y90" i="68"/>
  <c r="Y90" i="68" a="1"/>
  <c r="X90" i="68" a="1"/>
  <c r="X90" i="68" s="1"/>
  <c r="W90" i="68" a="1"/>
  <c r="W90" i="68" s="1"/>
  <c r="Y89" i="68" a="1"/>
  <c r="Y89" i="68" s="1"/>
  <c r="X89" i="68" a="1"/>
  <c r="X89" i="68" s="1"/>
  <c r="W89" i="68"/>
  <c r="W89" i="68" a="1"/>
  <c r="Y88" i="68" a="1"/>
  <c r="Y88" i="68" s="1"/>
  <c r="X88" i="68" a="1"/>
  <c r="X88" i="68" s="1"/>
  <c r="W88" i="68" a="1"/>
  <c r="W88" i="68" s="1"/>
  <c r="Y87" i="68" a="1"/>
  <c r="Y87" i="68" s="1"/>
  <c r="X87" i="68" a="1"/>
  <c r="X87" i="68" s="1"/>
  <c r="W87" i="68" a="1"/>
  <c r="W87" i="68" s="1"/>
  <c r="Y86" i="68" a="1"/>
  <c r="Y86" i="68" s="1"/>
  <c r="X86" i="68" a="1"/>
  <c r="X86" i="68" s="1"/>
  <c r="W86" i="68" a="1"/>
  <c r="W86" i="68" s="1"/>
  <c r="Y85" i="68" a="1"/>
  <c r="Y85" i="68" s="1"/>
  <c r="X85" i="68" a="1"/>
  <c r="X85" i="68" s="1"/>
  <c r="W85" i="68" a="1"/>
  <c r="W85" i="68" s="1"/>
  <c r="Y84" i="68" a="1"/>
  <c r="Y84" i="68" s="1"/>
  <c r="X84" i="68" a="1"/>
  <c r="X84" i="68" s="1"/>
  <c r="W84" i="68" a="1"/>
  <c r="W84" i="68" s="1"/>
  <c r="Y83" i="68" a="1"/>
  <c r="Y83" i="68" s="1"/>
  <c r="X83" i="68" a="1"/>
  <c r="X83" i="68" s="1"/>
  <c r="W83" i="68" a="1"/>
  <c r="W83" i="68" s="1"/>
  <c r="Y82" i="68" a="1"/>
  <c r="Y82" i="68" s="1"/>
  <c r="X82" i="68" a="1"/>
  <c r="X82" i="68" s="1"/>
  <c r="W82" i="68"/>
  <c r="W82" i="68" a="1"/>
  <c r="Y81" i="68" a="1"/>
  <c r="Y81" i="68" s="1"/>
  <c r="X81" i="68" a="1"/>
  <c r="X81" i="68" s="1"/>
  <c r="W81" i="68" a="1"/>
  <c r="W81" i="68" s="1"/>
  <c r="Y80" i="68" a="1"/>
  <c r="Y80" i="68" s="1"/>
  <c r="X80" i="68" a="1"/>
  <c r="X80" i="68" s="1"/>
  <c r="W80" i="68"/>
  <c r="W80" i="68" a="1"/>
  <c r="Y79" i="68" a="1"/>
  <c r="Y79" i="68" s="1"/>
  <c r="X79" i="68" a="1"/>
  <c r="X79" i="68" s="1"/>
  <c r="W79" i="68" a="1"/>
  <c r="W79" i="68" s="1"/>
  <c r="Y78" i="68" a="1"/>
  <c r="Y78" i="68" s="1"/>
  <c r="X78" i="68" a="1"/>
  <c r="X78" i="68" s="1"/>
  <c r="W78" i="68" a="1"/>
  <c r="W78" i="68" s="1"/>
  <c r="Y77" i="68" a="1"/>
  <c r="Y77" i="68" s="1"/>
  <c r="X77" i="68" a="1"/>
  <c r="X77" i="68" s="1"/>
  <c r="W77" i="68" a="1"/>
  <c r="W77" i="68" s="1"/>
  <c r="Y76" i="68" a="1"/>
  <c r="Y76" i="68" s="1"/>
  <c r="X76" i="68" a="1"/>
  <c r="X76" i="68" s="1"/>
  <c r="W76" i="68" a="1"/>
  <c r="W76" i="68" s="1"/>
  <c r="Y75" i="68" a="1"/>
  <c r="Y75" i="68" s="1"/>
  <c r="X75" i="68" a="1"/>
  <c r="X75" i="68" s="1"/>
  <c r="W75" i="68"/>
  <c r="W75" i="68" a="1"/>
  <c r="Y74" i="68" a="1"/>
  <c r="Y74" i="68" s="1"/>
  <c r="X74" i="68" a="1"/>
  <c r="X74" i="68" s="1"/>
  <c r="W74" i="68" a="1"/>
  <c r="W74" i="68" s="1"/>
  <c r="Y73" i="68" a="1"/>
  <c r="Y73" i="68" s="1"/>
  <c r="X73" i="68"/>
  <c r="X73" i="68" a="1"/>
  <c r="W73" i="68"/>
  <c r="W73" i="68" a="1"/>
  <c r="Y72" i="68" a="1"/>
  <c r="Y72" i="68" s="1"/>
  <c r="X72" i="68" a="1"/>
  <c r="X72" i="68" s="1"/>
  <c r="W72" i="68" a="1"/>
  <c r="W72" i="68" s="1"/>
  <c r="Y71" i="68" a="1"/>
  <c r="Y71" i="68" s="1"/>
  <c r="X71" i="68" a="1"/>
  <c r="X71" i="68" s="1"/>
  <c r="W71" i="68" a="1"/>
  <c r="W71" i="68" s="1"/>
  <c r="Y70" i="68" a="1"/>
  <c r="Y70" i="68" s="1"/>
  <c r="X70" i="68" a="1"/>
  <c r="X70" i="68" s="1"/>
  <c r="W70" i="68" a="1"/>
  <c r="W70" i="68" s="1"/>
  <c r="Y69" i="68" a="1"/>
  <c r="Y69" i="68" s="1"/>
  <c r="X69" i="68" a="1"/>
  <c r="X69" i="68" s="1"/>
  <c r="W69" i="68" a="1"/>
  <c r="W69" i="68" s="1"/>
  <c r="Y68" i="68" a="1"/>
  <c r="Y68" i="68" s="1"/>
  <c r="X68" i="68" a="1"/>
  <c r="X68" i="68" s="1"/>
  <c r="W68" i="68"/>
  <c r="W68" i="68" a="1"/>
  <c r="Y67" i="68" a="1"/>
  <c r="Y67" i="68" s="1"/>
  <c r="X67" i="68" a="1"/>
  <c r="X67" i="68" s="1"/>
  <c r="W67" i="68" a="1"/>
  <c r="W67" i="68" s="1"/>
  <c r="Y66" i="68" a="1"/>
  <c r="Y66" i="68" s="1"/>
  <c r="X66" i="68" a="1"/>
  <c r="X66" i="68" s="1"/>
  <c r="W66" i="68"/>
  <c r="W66" i="68" a="1"/>
  <c r="Y65" i="68" a="1"/>
  <c r="Y65" i="68" s="1"/>
  <c r="X65" i="68" a="1"/>
  <c r="X65" i="68" s="1"/>
  <c r="W65" i="68" a="1"/>
  <c r="W65" i="68" s="1"/>
  <c r="Y64" i="68" a="1"/>
  <c r="Y64" i="68" s="1"/>
  <c r="X64" i="68" a="1"/>
  <c r="X64" i="68" s="1"/>
  <c r="W64" i="68" a="1"/>
  <c r="W64" i="68" s="1"/>
  <c r="Y63" i="68" a="1"/>
  <c r="Y63" i="68" s="1"/>
  <c r="X63" i="68" a="1"/>
  <c r="X63" i="68" s="1"/>
  <c r="W63" i="68" a="1"/>
  <c r="W63" i="68" s="1"/>
  <c r="Y62" i="68" a="1"/>
  <c r="Y62" i="68" s="1"/>
  <c r="X62" i="68" a="1"/>
  <c r="X62" i="68" s="1"/>
  <c r="W62" i="68" a="1"/>
  <c r="W62" i="68" s="1"/>
  <c r="Y61" i="68" a="1"/>
  <c r="Y61" i="68" s="1"/>
  <c r="X61" i="68" a="1"/>
  <c r="X61" i="68" s="1"/>
  <c r="W61" i="68"/>
  <c r="W61" i="68" a="1"/>
  <c r="Y60" i="68" a="1"/>
  <c r="Y60" i="68" s="1"/>
  <c r="X60" i="68" a="1"/>
  <c r="X60" i="68" s="1"/>
  <c r="W60" i="68" a="1"/>
  <c r="W60" i="68" s="1"/>
  <c r="Y59" i="68" a="1"/>
  <c r="Y59" i="68" s="1"/>
  <c r="X59" i="68" a="1"/>
  <c r="X59" i="68" s="1"/>
  <c r="W59" i="68"/>
  <c r="W59" i="68" a="1"/>
  <c r="Y58" i="68" a="1"/>
  <c r="Y58" i="68" s="1"/>
  <c r="X58" i="68" a="1"/>
  <c r="X58" i="68" s="1"/>
  <c r="W58" i="68" a="1"/>
  <c r="W58" i="68" s="1"/>
  <c r="Y57" i="68" a="1"/>
  <c r="Y57" i="68" s="1"/>
  <c r="X57" i="68" a="1"/>
  <c r="X57" i="68" s="1"/>
  <c r="W57" i="68" a="1"/>
  <c r="W57" i="68" s="1"/>
  <c r="Y56" i="68" a="1"/>
  <c r="Y56" i="68" s="1"/>
  <c r="X56" i="68" a="1"/>
  <c r="X56" i="68" s="1"/>
  <c r="W56" i="68" a="1"/>
  <c r="W56" i="68" s="1"/>
  <c r="Y55" i="68" a="1"/>
  <c r="Y55" i="68" s="1"/>
  <c r="X55" i="68" a="1"/>
  <c r="X55" i="68" s="1"/>
  <c r="W55" i="68" a="1"/>
  <c r="W55" i="68" s="1"/>
  <c r="Y54" i="68" a="1"/>
  <c r="Y54" i="68" s="1"/>
  <c r="X54" i="68" a="1"/>
  <c r="X54" i="68" s="1"/>
  <c r="W54" i="68"/>
  <c r="W54" i="68" a="1"/>
  <c r="Y53" i="68" a="1"/>
  <c r="Y53" i="68" s="1"/>
  <c r="X53" i="68" a="1"/>
  <c r="X53" i="68" s="1"/>
  <c r="W53" i="68" a="1"/>
  <c r="W53" i="68" s="1"/>
  <c r="Y52" i="68" a="1"/>
  <c r="Y52" i="68" s="1"/>
  <c r="X52" i="68" a="1"/>
  <c r="X52" i="68" s="1"/>
  <c r="W52" i="68"/>
  <c r="W52" i="68" a="1"/>
  <c r="Y51" i="68" a="1"/>
  <c r="Y51" i="68" s="1"/>
  <c r="X51" i="68" a="1"/>
  <c r="X51" i="68" s="1"/>
  <c r="W51" i="68" a="1"/>
  <c r="W51" i="68" s="1"/>
  <c r="Y50" i="68" a="1"/>
  <c r="Y50" i="68" s="1"/>
  <c r="X50" i="68" a="1"/>
  <c r="X50" i="68" s="1"/>
  <c r="W50" i="68" a="1"/>
  <c r="W50" i="68" s="1"/>
  <c r="Y49" i="68" a="1"/>
  <c r="Y49" i="68" s="1"/>
  <c r="X49" i="68" a="1"/>
  <c r="X49" i="68" s="1"/>
  <c r="W49" i="68" a="1"/>
  <c r="W49" i="68" s="1"/>
  <c r="Y48" i="68" a="1"/>
  <c r="Y48" i="68" s="1"/>
  <c r="X48" i="68" a="1"/>
  <c r="X48" i="68" s="1"/>
  <c r="W48" i="68" a="1"/>
  <c r="W48" i="68" s="1"/>
  <c r="Y47" i="68" a="1"/>
  <c r="Y47" i="68" s="1"/>
  <c r="X47" i="68" a="1"/>
  <c r="X47" i="68" s="1"/>
  <c r="W47" i="68" a="1"/>
  <c r="W47" i="68" s="1"/>
  <c r="Y46" i="68" a="1"/>
  <c r="Y46" i="68" s="1"/>
  <c r="X46" i="68" a="1"/>
  <c r="X46" i="68" s="1"/>
  <c r="W46" i="68" a="1"/>
  <c r="W46" i="68" s="1"/>
  <c r="Y45" i="68" a="1"/>
  <c r="Y45" i="68" s="1"/>
  <c r="X45" i="68"/>
  <c r="X45" i="68" a="1"/>
  <c r="W45" i="68"/>
  <c r="W45" i="68" a="1"/>
  <c r="Y44" i="68" a="1"/>
  <c r="Y44" i="68" s="1"/>
  <c r="X44" i="68" a="1"/>
  <c r="X44" i="68" s="1"/>
  <c r="W44" i="68" a="1"/>
  <c r="W44" i="68" s="1"/>
  <c r="Y43" i="68" a="1"/>
  <c r="Y43" i="68" s="1"/>
  <c r="X43" i="68"/>
  <c r="X43" i="68" a="1"/>
  <c r="W43" i="68" a="1"/>
  <c r="W43" i="68" s="1"/>
  <c r="Y42" i="68" a="1"/>
  <c r="Y42" i="68" s="1"/>
  <c r="X42" i="68" a="1"/>
  <c r="X42" i="68" s="1"/>
  <c r="W42" i="68" a="1"/>
  <c r="W42" i="68" s="1"/>
  <c r="Y41" i="68" a="1"/>
  <c r="Y41" i="68" s="1"/>
  <c r="X41" i="68" a="1"/>
  <c r="X41" i="68" s="1"/>
  <c r="W41" i="68" a="1"/>
  <c r="W41" i="68" s="1"/>
  <c r="Y40" i="68" a="1"/>
  <c r="Y40" i="68" s="1"/>
  <c r="X40" i="68" a="1"/>
  <c r="X40" i="68" s="1"/>
  <c r="W40" i="68" a="1"/>
  <c r="W40" i="68" s="1"/>
  <c r="Y39" i="68" a="1"/>
  <c r="Y39" i="68" s="1"/>
  <c r="X39" i="68" a="1"/>
  <c r="X39" i="68" s="1"/>
  <c r="W39" i="68" a="1"/>
  <c r="W39" i="68" s="1"/>
  <c r="Y38" i="68" a="1"/>
  <c r="Y38" i="68" s="1"/>
  <c r="X38" i="68" a="1"/>
  <c r="X38" i="68" s="1"/>
  <c r="W38" i="68"/>
  <c r="W38" i="68" a="1"/>
  <c r="Y37" i="68" a="1"/>
  <c r="Y37" i="68" s="1"/>
  <c r="X37" i="68" a="1"/>
  <c r="X37" i="68" s="1"/>
  <c r="W37" i="68" a="1"/>
  <c r="W37" i="68" s="1"/>
  <c r="Y36" i="68" a="1"/>
  <c r="Y36" i="68" s="1"/>
  <c r="X36" i="68"/>
  <c r="X36" i="68" a="1"/>
  <c r="W36" i="68" a="1"/>
  <c r="W36" i="68" s="1"/>
  <c r="Y35" i="68"/>
  <c r="Y35" i="68" a="1"/>
  <c r="X35" i="68" a="1"/>
  <c r="X35" i="68" s="1"/>
  <c r="W35" i="68" a="1"/>
  <c r="W35" i="68" s="1"/>
  <c r="Y34" i="68" a="1"/>
  <c r="Y34" i="68" s="1"/>
  <c r="X34" i="68" a="1"/>
  <c r="X34" i="68" s="1"/>
  <c r="W34" i="68" a="1"/>
  <c r="W34" i="68" s="1"/>
  <c r="Y33" i="68" a="1"/>
  <c r="Y33" i="68" s="1"/>
  <c r="X33" i="68" a="1"/>
  <c r="X33" i="68" s="1"/>
  <c r="W33" i="68" a="1"/>
  <c r="W33" i="68" s="1"/>
  <c r="Y32" i="68" a="1"/>
  <c r="Y32" i="68" s="1"/>
  <c r="X32" i="68" a="1"/>
  <c r="X32" i="68" s="1"/>
  <c r="W32" i="68" a="1"/>
  <c r="W32" i="68" s="1"/>
  <c r="Y31" i="68"/>
  <c r="Y31" i="68" a="1"/>
  <c r="X31" i="68"/>
  <c r="X31" i="68" a="1"/>
  <c r="W31" i="68"/>
  <c r="W31" i="68" a="1"/>
  <c r="Y30" i="68" a="1"/>
  <c r="Y30" i="68" s="1"/>
  <c r="X30" i="68" a="1"/>
  <c r="X30" i="68" s="1"/>
  <c r="W30" i="68" a="1"/>
  <c r="W30" i="68" s="1"/>
  <c r="Y29" i="68" a="1"/>
  <c r="Y29" i="68" s="1"/>
  <c r="X29" i="68"/>
  <c r="X29" i="68" a="1"/>
  <c r="W29" i="68" a="1"/>
  <c r="W29" i="68" s="1"/>
  <c r="Y28" i="68" a="1"/>
  <c r="Y28" i="68" s="1"/>
  <c r="X28" i="68" a="1"/>
  <c r="X28" i="68" s="1"/>
  <c r="W28" i="68" a="1"/>
  <c r="W28" i="68" s="1"/>
  <c r="Y27" i="68" a="1"/>
  <c r="Y27" i="68" s="1"/>
  <c r="X27" i="68" a="1"/>
  <c r="X27" i="68" s="1"/>
  <c r="W27" i="68" a="1"/>
  <c r="W27" i="68" s="1"/>
  <c r="Y26" i="68" a="1"/>
  <c r="Y26" i="68" s="1"/>
  <c r="X26" i="68" a="1"/>
  <c r="X26" i="68" s="1"/>
  <c r="W26" i="68" a="1"/>
  <c r="W26" i="68" s="1"/>
  <c r="Y25" i="68" a="1"/>
  <c r="Y25" i="68" s="1"/>
  <c r="X25" i="68" a="1"/>
  <c r="X25" i="68" s="1"/>
  <c r="W25" i="68" a="1"/>
  <c r="W25" i="68" s="1"/>
  <c r="Y24" i="68" a="1"/>
  <c r="Y24" i="68" s="1"/>
  <c r="X24" i="68" a="1"/>
  <c r="X24" i="68" s="1"/>
  <c r="W24" i="68"/>
  <c r="W24" i="68" a="1"/>
  <c r="Y23" i="68" a="1"/>
  <c r="Y23" i="68" s="1"/>
  <c r="X23" i="68" a="1"/>
  <c r="X23" i="68" s="1"/>
  <c r="W23" i="68" a="1"/>
  <c r="W23" i="68" s="1"/>
  <c r="Y22" i="68" a="1"/>
  <c r="Y22" i="68" s="1"/>
  <c r="X22" i="68"/>
  <c r="X22" i="68" a="1"/>
  <c r="W22" i="68" a="1"/>
  <c r="W22" i="68" s="1"/>
  <c r="Y21" i="68" a="1"/>
  <c r="Y21" i="68" s="1"/>
  <c r="X21" i="68" a="1"/>
  <c r="X21" i="68" s="1"/>
  <c r="W21" i="68" a="1"/>
  <c r="W21" i="68" s="1"/>
  <c r="Y20" i="68" a="1"/>
  <c r="Y20" i="68" s="1"/>
  <c r="X20" i="68" a="1"/>
  <c r="X20" i="68" s="1"/>
  <c r="W20" i="68" a="1"/>
  <c r="W20" i="68" s="1"/>
  <c r="Y19" i="68" a="1"/>
  <c r="Y19" i="68" s="1"/>
  <c r="X19" i="68" a="1"/>
  <c r="X19" i="68" s="1"/>
  <c r="W19" i="68" a="1"/>
  <c r="W19" i="68" s="1"/>
  <c r="Y18" i="68" a="1"/>
  <c r="Y18" i="68" s="1"/>
  <c r="X18" i="68" a="1"/>
  <c r="X18" i="68" s="1"/>
  <c r="W18" i="68"/>
  <c r="W18" i="68" a="1"/>
  <c r="Y17" i="68"/>
  <c r="Y17" i="68" a="1"/>
  <c r="X17" i="68" a="1"/>
  <c r="X17" i="68" s="1"/>
  <c r="W17" i="68" a="1"/>
  <c r="W17" i="68" s="1"/>
  <c r="Y16" i="68" a="1"/>
  <c r="Y16" i="68" s="1"/>
  <c r="X16" i="68" a="1"/>
  <c r="X16" i="68" s="1"/>
  <c r="W16" i="68" a="1"/>
  <c r="W16" i="68" s="1"/>
  <c r="Y15" i="68" a="1"/>
  <c r="Y15" i="68" s="1"/>
  <c r="X15" i="68"/>
  <c r="X15" i="68" a="1"/>
  <c r="W15" i="68" a="1"/>
  <c r="W15" i="68" s="1"/>
  <c r="Y14" i="68" a="1"/>
  <c r="Y14" i="68" s="1"/>
  <c r="X14" i="68" a="1"/>
  <c r="X14" i="68" s="1"/>
  <c r="W14" i="68" a="1"/>
  <c r="W14" i="68" s="1"/>
  <c r="Y13" i="68" a="1"/>
  <c r="Y13" i="68" s="1"/>
  <c r="X13" i="68"/>
  <c r="X13" i="68" a="1"/>
  <c r="W13" i="68" a="1"/>
  <c r="W13" i="68" s="1"/>
  <c r="Y12" i="68" a="1"/>
  <c r="Y12" i="68" s="1"/>
  <c r="X12" i="68" a="1"/>
  <c r="X12" i="68" s="1"/>
  <c r="W12" i="68" a="1"/>
  <c r="W12" i="68" s="1"/>
  <c r="Y11" i="68" a="1"/>
  <c r="Y11" i="68" s="1"/>
  <c r="X11" i="68" a="1"/>
  <c r="X11" i="68" s="1"/>
  <c r="W11" i="68" a="1"/>
  <c r="W11" i="68" s="1"/>
  <c r="Y10" i="68" a="1"/>
  <c r="Y10" i="68" s="1"/>
  <c r="X10" i="68" a="1"/>
  <c r="X10" i="68" s="1"/>
  <c r="W10" i="68" a="1"/>
  <c r="W10" i="68" s="1"/>
  <c r="Y9" i="68" a="1"/>
  <c r="Y9" i="68" s="1"/>
  <c r="X9" i="68" a="1"/>
  <c r="X9" i="68" s="1"/>
  <c r="W9" i="68" a="1"/>
  <c r="W9" i="68" s="1"/>
  <c r="Y8" i="68" a="1"/>
  <c r="Y8" i="68" s="1"/>
  <c r="X8" i="68"/>
  <c r="X8" i="68" a="1"/>
  <c r="W8" i="68" a="1"/>
  <c r="W8" i="68" s="1"/>
  <c r="Y7" i="68" a="1"/>
  <c r="Y7" i="68" s="1"/>
  <c r="X7" i="68" a="1"/>
  <c r="X7" i="68" s="1"/>
  <c r="W7" i="68" a="1"/>
  <c r="W7" i="68" s="1"/>
  <c r="Y6" i="68" a="1"/>
  <c r="Y6" i="68" s="1"/>
  <c r="X6" i="68"/>
  <c r="X6" i="68" a="1"/>
  <c r="W6" i="68" a="1"/>
  <c r="W6" i="68" s="1"/>
  <c r="Y5" i="68" a="1"/>
  <c r="Y5" i="68" s="1"/>
  <c r="X5" i="68" a="1"/>
  <c r="X5" i="68" s="1"/>
  <c r="W5" i="68" a="1"/>
  <c r="W5" i="68" s="1"/>
  <c r="Y4" i="68" a="1"/>
  <c r="Y4" i="68" s="1"/>
  <c r="X4" i="68" a="1"/>
  <c r="X4" i="68" s="1"/>
  <c r="W4" i="68" a="1"/>
  <c r="W4" i="68"/>
  <c r="B157" i="48"/>
  <c r="P32" i="30"/>
  <c r="P31" i="30"/>
  <c r="P30" i="30"/>
  <c r="P28" i="30"/>
  <c r="AA203" i="74" a="1"/>
  <c r="AA203" i="74" s="1"/>
  <c r="Z203" i="74" a="1"/>
  <c r="Z203" i="74" s="1"/>
  <c r="Y203" i="74" a="1"/>
  <c r="Y203" i="74" s="1"/>
  <c r="X203" i="74" a="1"/>
  <c r="X203" i="74" s="1"/>
  <c r="W203" i="74"/>
  <c r="W203" i="74" a="1"/>
  <c r="AA202" i="74" a="1"/>
  <c r="AA202" i="74" s="1"/>
  <c r="Z202" i="74" a="1"/>
  <c r="Z202" i="74" s="1"/>
  <c r="Y202" i="74" a="1"/>
  <c r="Y202" i="74" s="1"/>
  <c r="X202" i="74" a="1"/>
  <c r="X202" i="74" s="1"/>
  <c r="W202" i="74" a="1"/>
  <c r="W202" i="74" s="1"/>
  <c r="AA201" i="74" a="1"/>
  <c r="AA201" i="74" s="1"/>
  <c r="Z201" i="74" a="1"/>
  <c r="Z201" i="74" s="1"/>
  <c r="Y201" i="74"/>
  <c r="Y201" i="74" a="1"/>
  <c r="X201" i="74" a="1"/>
  <c r="X201" i="74" s="1"/>
  <c r="W201" i="74"/>
  <c r="W201" i="74" a="1"/>
  <c r="AA200" i="74"/>
  <c r="AA200" i="74" a="1"/>
  <c r="Z200" i="74" a="1"/>
  <c r="Z200" i="74" s="1"/>
  <c r="Y200" i="74"/>
  <c r="Y200" i="74" a="1"/>
  <c r="X200" i="74" a="1"/>
  <c r="X200" i="74" s="1"/>
  <c r="W200" i="74" a="1"/>
  <c r="W200" i="74" s="1"/>
  <c r="AA199" i="74" a="1"/>
  <c r="AA199" i="74" s="1"/>
  <c r="Z199" i="74"/>
  <c r="Z199" i="74" a="1"/>
  <c r="Y199" i="74" a="1"/>
  <c r="Y199" i="74" s="1"/>
  <c r="X199" i="74" a="1"/>
  <c r="X199" i="74" s="1"/>
  <c r="W199" i="74"/>
  <c r="W199" i="74" a="1"/>
  <c r="AA198" i="74" a="1"/>
  <c r="AA198" i="74" s="1"/>
  <c r="Z198" i="74" a="1"/>
  <c r="Z198" i="74" s="1"/>
  <c r="Y198" i="74" a="1"/>
  <c r="Y198" i="74" s="1"/>
  <c r="X198" i="74" a="1"/>
  <c r="X198" i="74" s="1"/>
  <c r="W198" i="74" a="1"/>
  <c r="W198" i="74" s="1"/>
  <c r="AA197" i="74" a="1"/>
  <c r="AA197" i="74" s="1"/>
  <c r="Z197" i="74" a="1"/>
  <c r="Z197" i="74" s="1"/>
  <c r="Y197" i="74" a="1"/>
  <c r="Y197" i="74" s="1"/>
  <c r="X197" i="74" a="1"/>
  <c r="X197" i="74" s="1"/>
  <c r="W197" i="74"/>
  <c r="W197" i="74" a="1"/>
  <c r="AA196" i="74"/>
  <c r="AA196" i="74" a="1"/>
  <c r="Z196" i="74"/>
  <c r="Z196" i="74" a="1"/>
  <c r="Y196" i="74" a="1"/>
  <c r="Y196" i="74" s="1"/>
  <c r="X196" i="74" a="1"/>
  <c r="X196" i="74" s="1"/>
  <c r="W196" i="74" a="1"/>
  <c r="W196" i="74" s="1"/>
  <c r="AA195" i="74" a="1"/>
  <c r="AA195" i="74" s="1"/>
  <c r="Z195" i="74" a="1"/>
  <c r="Z195" i="74" s="1"/>
  <c r="Y195" i="74"/>
  <c r="Y195" i="74" a="1"/>
  <c r="X195" i="74" a="1"/>
  <c r="X195" i="74" s="1"/>
  <c r="W195" i="74"/>
  <c r="W195" i="74" a="1"/>
  <c r="AA194" i="74" a="1"/>
  <c r="AA194" i="74" s="1"/>
  <c r="Z194" i="74" a="1"/>
  <c r="Z194" i="74" s="1"/>
  <c r="Y194" i="74" a="1"/>
  <c r="Y194" i="74" s="1"/>
  <c r="X194" i="74" a="1"/>
  <c r="X194" i="74" s="1"/>
  <c r="W194" i="74" a="1"/>
  <c r="W194" i="74" s="1"/>
  <c r="AA193" i="74" a="1"/>
  <c r="AA193" i="74" s="1"/>
  <c r="Z193" i="74" a="1"/>
  <c r="Z193" i="74" s="1"/>
  <c r="Y193" i="74"/>
  <c r="Y193" i="74" a="1"/>
  <c r="X193" i="74" a="1"/>
  <c r="X193" i="74" s="1"/>
  <c r="W193" i="74"/>
  <c r="W193" i="74" a="1"/>
  <c r="AA192" i="74" a="1"/>
  <c r="AA192" i="74" s="1"/>
  <c r="Z192" i="74" a="1"/>
  <c r="Z192" i="74" s="1"/>
  <c r="Y192" i="74"/>
  <c r="Y192" i="74" a="1"/>
  <c r="X192" i="74" a="1"/>
  <c r="X192" i="74" s="1"/>
  <c r="W192" i="74" a="1"/>
  <c r="W192" i="74" s="1"/>
  <c r="AA191" i="74" a="1"/>
  <c r="AA191" i="74" s="1"/>
  <c r="Z191" i="74" a="1"/>
  <c r="Z191" i="74" s="1"/>
  <c r="Y191" i="74" a="1"/>
  <c r="Y191" i="74" s="1"/>
  <c r="X191" i="74"/>
  <c r="X191" i="74" a="1"/>
  <c r="W191" i="74"/>
  <c r="W191" i="74" a="1"/>
  <c r="AA190" i="74" a="1"/>
  <c r="AA190" i="74" s="1"/>
  <c r="Z190" i="74" a="1"/>
  <c r="Z190" i="74" s="1"/>
  <c r="Y190" i="74" a="1"/>
  <c r="Y190" i="74" s="1"/>
  <c r="X190" i="74" a="1"/>
  <c r="X190" i="74" s="1"/>
  <c r="W190" i="74" a="1"/>
  <c r="W190" i="74" s="1"/>
  <c r="AA189" i="74" a="1"/>
  <c r="AA189" i="74" s="1"/>
  <c r="Z189" i="74" a="1"/>
  <c r="Z189" i="74" s="1"/>
  <c r="Y189" i="74" a="1"/>
  <c r="Y189" i="74" s="1"/>
  <c r="X189" i="74" a="1"/>
  <c r="X189" i="74" s="1"/>
  <c r="W189" i="74"/>
  <c r="W189" i="74" a="1"/>
  <c r="AA188" i="74" a="1"/>
  <c r="AA188" i="74" s="1"/>
  <c r="Z188" i="74" a="1"/>
  <c r="Z188" i="74" s="1"/>
  <c r="Y188" i="74" a="1"/>
  <c r="Y188" i="74" s="1"/>
  <c r="X188" i="74"/>
  <c r="X188" i="74" a="1"/>
  <c r="W188" i="74" a="1"/>
  <c r="W188" i="74" s="1"/>
  <c r="AA187" i="74" a="1"/>
  <c r="AA187" i="74" s="1"/>
  <c r="Z187" i="74"/>
  <c r="Z187" i="74" a="1"/>
  <c r="Y187" i="74" a="1"/>
  <c r="Y187" i="74" s="1"/>
  <c r="X187" i="74" a="1"/>
  <c r="X187" i="74" s="1"/>
  <c r="W187" i="74"/>
  <c r="W187" i="74" a="1"/>
  <c r="AA186" i="74" a="1"/>
  <c r="AA186" i="74" s="1"/>
  <c r="Z186" i="74"/>
  <c r="Z186" i="74" a="1"/>
  <c r="Y186" i="74" a="1"/>
  <c r="Y186" i="74" s="1"/>
  <c r="X186" i="74" a="1"/>
  <c r="X186" i="74" s="1"/>
  <c r="W186" i="74" a="1"/>
  <c r="W186" i="74" s="1"/>
  <c r="AA185" i="74" a="1"/>
  <c r="AA185" i="74" s="1"/>
  <c r="Z185" i="74" a="1"/>
  <c r="Z185" i="74" s="1"/>
  <c r="Y185" i="74" a="1"/>
  <c r="Y185" i="74" s="1"/>
  <c r="X185" i="74" a="1"/>
  <c r="X185" i="74" s="1"/>
  <c r="W185" i="74"/>
  <c r="W185" i="74" a="1"/>
  <c r="AA184" i="74" a="1"/>
  <c r="AA184" i="74" s="1"/>
  <c r="Z184" i="74" a="1"/>
  <c r="Z184" i="74" s="1"/>
  <c r="Y184" i="74" a="1"/>
  <c r="Y184" i="74" s="1"/>
  <c r="X184" i="74" a="1"/>
  <c r="X184" i="74" s="1"/>
  <c r="W184" i="74"/>
  <c r="W184" i="74" a="1"/>
  <c r="AA183" i="74" a="1"/>
  <c r="AA183" i="74" s="1"/>
  <c r="Z183" i="74"/>
  <c r="Z183" i="74" a="1"/>
  <c r="Y183" i="74" a="1"/>
  <c r="Y183" i="74" s="1"/>
  <c r="X183" i="74" a="1"/>
  <c r="X183" i="74" s="1"/>
  <c r="W183" i="74"/>
  <c r="W183" i="74" a="1"/>
  <c r="AA182" i="74"/>
  <c r="AA182" i="74" a="1"/>
  <c r="Z182" i="74" a="1"/>
  <c r="Z182" i="74" s="1"/>
  <c r="Y182" i="74" a="1"/>
  <c r="Y182" i="74" s="1"/>
  <c r="X182" i="74" a="1"/>
  <c r="X182" i="74" s="1"/>
  <c r="W182" i="74" a="1"/>
  <c r="W182" i="74" s="1"/>
  <c r="AA181" i="74" a="1"/>
  <c r="AA181" i="74" s="1"/>
  <c r="Z181" i="74" a="1"/>
  <c r="Z181" i="74" s="1"/>
  <c r="Y181" i="74" a="1"/>
  <c r="Y181" i="74" s="1"/>
  <c r="X181" i="74" a="1"/>
  <c r="X181" i="74" s="1"/>
  <c r="W181" i="74"/>
  <c r="W181" i="74" a="1"/>
  <c r="AA180" i="74"/>
  <c r="AA180" i="74" a="1"/>
  <c r="Z180" i="74" a="1"/>
  <c r="Z180" i="74" s="1"/>
  <c r="Y180" i="74" a="1"/>
  <c r="Y180" i="74" s="1"/>
  <c r="X180" i="74" a="1"/>
  <c r="X180" i="74" s="1"/>
  <c r="W180" i="74" a="1"/>
  <c r="W180" i="74" s="1"/>
  <c r="AA179" i="74" a="1"/>
  <c r="AA179" i="74" s="1"/>
  <c r="Z179" i="74" a="1"/>
  <c r="Z179" i="74" s="1"/>
  <c r="Y179" i="74" a="1"/>
  <c r="Y179" i="74" s="1"/>
  <c r="X179" i="74" a="1"/>
  <c r="X179" i="74" s="1"/>
  <c r="W179" i="74"/>
  <c r="W179" i="74" a="1"/>
  <c r="AA178" i="74" a="1"/>
  <c r="AA178" i="74" s="1"/>
  <c r="Z178" i="74"/>
  <c r="Z178" i="74" a="1"/>
  <c r="Y178" i="74" a="1"/>
  <c r="Y178" i="74" s="1"/>
  <c r="X178" i="74" a="1"/>
  <c r="X178" i="74" s="1"/>
  <c r="W178" i="74" a="1"/>
  <c r="W178" i="74" s="1"/>
  <c r="AA177" i="74" a="1"/>
  <c r="AA177" i="74" s="1"/>
  <c r="Z177" i="74"/>
  <c r="Z177" i="74" a="1"/>
  <c r="Y177" i="74" a="1"/>
  <c r="Y177" i="74" s="1"/>
  <c r="X177" i="74" a="1"/>
  <c r="X177" i="74" s="1"/>
  <c r="W177" i="74"/>
  <c r="W177" i="74" a="1"/>
  <c r="AA176" i="74" a="1"/>
  <c r="AA176" i="74" s="1"/>
  <c r="Z176" i="74" a="1"/>
  <c r="Z176" i="74" s="1"/>
  <c r="Y176" i="74" a="1"/>
  <c r="Y176" i="74" s="1"/>
  <c r="X176" i="74" a="1"/>
  <c r="X176" i="74" s="1"/>
  <c r="W176" i="74" a="1"/>
  <c r="W176" i="74" s="1"/>
  <c r="AA175" i="74" a="1"/>
  <c r="AA175" i="74" s="1"/>
  <c r="Z175" i="74" a="1"/>
  <c r="Z175" i="74" s="1"/>
  <c r="Y175" i="74" a="1"/>
  <c r="Y175" i="74" s="1"/>
  <c r="X175" i="74"/>
  <c r="X175" i="74" a="1"/>
  <c r="W175" i="74"/>
  <c r="W175" i="74" a="1"/>
  <c r="AA174" i="74" a="1"/>
  <c r="AA174" i="74" s="1"/>
  <c r="Z174" i="74" a="1"/>
  <c r="Z174" i="74" s="1"/>
  <c r="Y174" i="74"/>
  <c r="Y174" i="74" a="1"/>
  <c r="X174" i="74" a="1"/>
  <c r="X174" i="74" s="1"/>
  <c r="W174" i="74"/>
  <c r="W174" i="74" a="1"/>
  <c r="AA173" i="74" a="1"/>
  <c r="AA173" i="74" s="1"/>
  <c r="Z173" i="74" a="1"/>
  <c r="Z173" i="74" s="1"/>
  <c r="Y173" i="74"/>
  <c r="Y173" i="74" a="1"/>
  <c r="X173" i="74" a="1"/>
  <c r="X173" i="74" s="1"/>
  <c r="W173" i="74"/>
  <c r="W173" i="74" a="1"/>
  <c r="AA172" i="74" a="1"/>
  <c r="AA172" i="74" s="1"/>
  <c r="Z172" i="74" a="1"/>
  <c r="Z172" i="74" s="1"/>
  <c r="Y172" i="74" a="1"/>
  <c r="Y172" i="74" s="1"/>
  <c r="X172" i="74" a="1"/>
  <c r="X172" i="74" s="1"/>
  <c r="W172" i="74" a="1"/>
  <c r="W172" i="74" s="1"/>
  <c r="AA171" i="74" a="1"/>
  <c r="AA171" i="74" s="1"/>
  <c r="Z171" i="74" a="1"/>
  <c r="Z171" i="74" s="1"/>
  <c r="Y171" i="74"/>
  <c r="Y171" i="74" a="1"/>
  <c r="X171" i="74" a="1"/>
  <c r="X171" i="74" s="1"/>
  <c r="W171" i="74"/>
  <c r="W171" i="74" a="1"/>
  <c r="AA170" i="74" a="1"/>
  <c r="AA170" i="74" s="1"/>
  <c r="Z170" i="74" a="1"/>
  <c r="Z170" i="74" s="1"/>
  <c r="Y170" i="74"/>
  <c r="Y170" i="74" a="1"/>
  <c r="X170" i="74"/>
  <c r="X170" i="74" a="1"/>
  <c r="W170" i="74" a="1"/>
  <c r="W170" i="74" s="1"/>
  <c r="AA169" i="74" a="1"/>
  <c r="AA169" i="74" s="1"/>
  <c r="Z169" i="74" a="1"/>
  <c r="Z169" i="74" s="1"/>
  <c r="Y169" i="74" a="1"/>
  <c r="Y169" i="74" s="1"/>
  <c r="X169" i="74"/>
  <c r="X169" i="74" a="1"/>
  <c r="W169" i="74"/>
  <c r="W169" i="74" a="1"/>
  <c r="AA168" i="74" a="1"/>
  <c r="AA168" i="74" s="1"/>
  <c r="Z168" i="74" a="1"/>
  <c r="Z168" i="74" s="1"/>
  <c r="Y168" i="74" a="1"/>
  <c r="Y168" i="74" s="1"/>
  <c r="X168" i="74"/>
  <c r="X168" i="74" a="1"/>
  <c r="W168" i="74" a="1"/>
  <c r="W168" i="74" s="1"/>
  <c r="AA167" i="74" a="1"/>
  <c r="AA167" i="74" s="1"/>
  <c r="Z167" i="74" a="1"/>
  <c r="Z167" i="74" s="1"/>
  <c r="Y167" i="74" a="1"/>
  <c r="Y167" i="74" s="1"/>
  <c r="X167" i="74" a="1"/>
  <c r="X167" i="74" s="1"/>
  <c r="W167" i="74"/>
  <c r="W167" i="74" a="1"/>
  <c r="AA166" i="74" a="1"/>
  <c r="AA166" i="74" s="1"/>
  <c r="Z166" i="74" a="1"/>
  <c r="Z166" i="74" s="1"/>
  <c r="Y166" i="74" a="1"/>
  <c r="Y166" i="74" s="1"/>
  <c r="X166" i="74" a="1"/>
  <c r="X166" i="74" s="1"/>
  <c r="W166" i="74"/>
  <c r="W166" i="74" a="1"/>
  <c r="AA165" i="74" a="1"/>
  <c r="AA165" i="74" s="1"/>
  <c r="Z165" i="74" a="1"/>
  <c r="Z165" i="74" s="1"/>
  <c r="Y165" i="74" a="1"/>
  <c r="Y165" i="74" s="1"/>
  <c r="X165" i="74" a="1"/>
  <c r="X165" i="74" s="1"/>
  <c r="W165" i="74"/>
  <c r="W165" i="74" a="1"/>
  <c r="AA164" i="74" a="1"/>
  <c r="AA164" i="74" s="1"/>
  <c r="Z164" i="74" a="1"/>
  <c r="Z164" i="74" s="1"/>
  <c r="Y164" i="74" a="1"/>
  <c r="Y164" i="74" s="1"/>
  <c r="X164" i="74" a="1"/>
  <c r="X164" i="74" s="1"/>
  <c r="W164" i="74" a="1"/>
  <c r="W164" i="74" s="1"/>
  <c r="AA163" i="74" a="1"/>
  <c r="AA163" i="74" s="1"/>
  <c r="Z163" i="74" a="1"/>
  <c r="Z163" i="74" s="1"/>
  <c r="Y163" i="74" a="1"/>
  <c r="Y163" i="74" s="1"/>
  <c r="X163" i="74" a="1"/>
  <c r="X163" i="74" s="1"/>
  <c r="W163" i="74"/>
  <c r="W163" i="74" a="1"/>
  <c r="AA162" i="74" a="1"/>
  <c r="AA162" i="74" s="1"/>
  <c r="Z162" i="74" a="1"/>
  <c r="Z162" i="74" s="1"/>
  <c r="Y162" i="74"/>
  <c r="Y162" i="74" a="1"/>
  <c r="X162" i="74" a="1"/>
  <c r="X162" i="74" s="1"/>
  <c r="W162" i="74" a="1"/>
  <c r="W162" i="74" s="1"/>
  <c r="AA161" i="74" a="1"/>
  <c r="AA161" i="74" s="1"/>
  <c r="Z161" i="74" a="1"/>
  <c r="Z161" i="74" s="1"/>
  <c r="Y161" i="74"/>
  <c r="Y161" i="74" a="1"/>
  <c r="X161" i="74" a="1"/>
  <c r="X161" i="74" s="1"/>
  <c r="W161" i="74"/>
  <c r="W161" i="74" a="1"/>
  <c r="AA160" i="74"/>
  <c r="AA160" i="74" a="1"/>
  <c r="Z160" i="74" a="1"/>
  <c r="Z160" i="74" s="1"/>
  <c r="Y160" i="74" a="1"/>
  <c r="Y160" i="74" s="1"/>
  <c r="X160" i="74" a="1"/>
  <c r="X160" i="74" s="1"/>
  <c r="W160" i="74" a="1"/>
  <c r="W160" i="74" s="1"/>
  <c r="AA159" i="74" a="1"/>
  <c r="AA159" i="74" s="1"/>
  <c r="Z159" i="74"/>
  <c r="Z159" i="74" a="1"/>
  <c r="Y159" i="74" a="1"/>
  <c r="Y159" i="74" s="1"/>
  <c r="X159" i="74" a="1"/>
  <c r="X159" i="74" s="1"/>
  <c r="W159" i="74"/>
  <c r="W159" i="74" a="1"/>
  <c r="AA158" i="74" a="1"/>
  <c r="AA158" i="74" s="1"/>
  <c r="Z158" i="74" a="1"/>
  <c r="Z158" i="74" s="1"/>
  <c r="Y158" i="74" a="1"/>
  <c r="Y158" i="74" s="1"/>
  <c r="X158" i="74" a="1"/>
  <c r="X158" i="74" s="1"/>
  <c r="W158" i="74" a="1"/>
  <c r="W158" i="74" s="1"/>
  <c r="AA157" i="74" a="1"/>
  <c r="AA157" i="74" s="1"/>
  <c r="Z157" i="74" a="1"/>
  <c r="Z157" i="74" s="1"/>
  <c r="Y157" i="74" a="1"/>
  <c r="Y157" i="74" s="1"/>
  <c r="X157" i="74" a="1"/>
  <c r="X157" i="74" s="1"/>
  <c r="W157" i="74"/>
  <c r="W157" i="74" a="1"/>
  <c r="AA156" i="74" a="1"/>
  <c r="AA156" i="74" s="1"/>
  <c r="Z156" i="74"/>
  <c r="Z156" i="74" a="1"/>
  <c r="Y156" i="74" a="1"/>
  <c r="Y156" i="74" s="1"/>
  <c r="X156" i="74" a="1"/>
  <c r="X156" i="74" s="1"/>
  <c r="W156" i="74"/>
  <c r="W156" i="74" a="1"/>
  <c r="AA155" i="74" a="1"/>
  <c r="AA155" i="74" s="1"/>
  <c r="Z155" i="74" a="1"/>
  <c r="Z155" i="74" s="1"/>
  <c r="Y155" i="74"/>
  <c r="Y155" i="74" a="1"/>
  <c r="X155" i="74" a="1"/>
  <c r="X155" i="74" s="1"/>
  <c r="W155" i="74"/>
  <c r="W155" i="74" a="1"/>
  <c r="AA154" i="74" a="1"/>
  <c r="AA154" i="74" s="1"/>
  <c r="Z154" i="74" a="1"/>
  <c r="Z154" i="74" s="1"/>
  <c r="Y154" i="74" a="1"/>
  <c r="Y154" i="74" s="1"/>
  <c r="X154" i="74" a="1"/>
  <c r="X154" i="74" s="1"/>
  <c r="W154" i="74" a="1"/>
  <c r="W154" i="74" s="1"/>
  <c r="AA153" i="74" a="1"/>
  <c r="AA153" i="74" s="1"/>
  <c r="Z153" i="74" a="1"/>
  <c r="Z153" i="74" s="1"/>
  <c r="Y153" i="74" a="1"/>
  <c r="Y153" i="74" s="1"/>
  <c r="X153" i="74" a="1"/>
  <c r="X153" i="74" s="1"/>
  <c r="W153" i="74"/>
  <c r="W153" i="74" a="1"/>
  <c r="AA152" i="74" a="1"/>
  <c r="AA152" i="74" s="1"/>
  <c r="Z152" i="74" a="1"/>
  <c r="Z152" i="74" s="1"/>
  <c r="Y152" i="74"/>
  <c r="Y152" i="74" a="1"/>
  <c r="X152" i="74" a="1"/>
  <c r="X152" i="74" s="1"/>
  <c r="W152" i="74"/>
  <c r="W152" i="74" a="1"/>
  <c r="AA151" i="74" a="1"/>
  <c r="AA151" i="74" s="1"/>
  <c r="Z151" i="74" a="1"/>
  <c r="Z151" i="74" s="1"/>
  <c r="Y151" i="74" a="1"/>
  <c r="Y151" i="74" s="1"/>
  <c r="X151" i="74"/>
  <c r="X151" i="74" a="1"/>
  <c r="W151" i="74"/>
  <c r="W151" i="74" a="1"/>
  <c r="AA150" i="74"/>
  <c r="AA150" i="74" a="1"/>
  <c r="Z150" i="74" a="1"/>
  <c r="Z150" i="74" s="1"/>
  <c r="Y150" i="74" a="1"/>
  <c r="Y150" i="74" s="1"/>
  <c r="X150" i="74" a="1"/>
  <c r="X150" i="74" s="1"/>
  <c r="W150" i="74" a="1"/>
  <c r="W150" i="74" s="1"/>
  <c r="AA149" i="74" a="1"/>
  <c r="AA149" i="74" s="1"/>
  <c r="Z149" i="74" a="1"/>
  <c r="Z149" i="74" s="1"/>
  <c r="Y149" i="74" a="1"/>
  <c r="Y149" i="74" s="1"/>
  <c r="X149" i="74" a="1"/>
  <c r="X149" i="74" s="1"/>
  <c r="W149" i="74"/>
  <c r="W149" i="74" a="1"/>
  <c r="AA148" i="74" a="1"/>
  <c r="AA148" i="74" s="1"/>
  <c r="Z148" i="74"/>
  <c r="Z148" i="74" a="1"/>
  <c r="Y148" i="74" a="1"/>
  <c r="Y148" i="74" s="1"/>
  <c r="X148" i="74"/>
  <c r="X148" i="74" a="1"/>
  <c r="W148" i="74" a="1"/>
  <c r="W148" i="74" s="1"/>
  <c r="AA147" i="74" a="1"/>
  <c r="AA147" i="74" s="1"/>
  <c r="Z147" i="74"/>
  <c r="Z147" i="74" a="1"/>
  <c r="Y147" i="74" a="1"/>
  <c r="Y147" i="74" s="1"/>
  <c r="X147" i="74" a="1"/>
  <c r="X147" i="74" s="1"/>
  <c r="W147" i="74"/>
  <c r="W147" i="74" a="1"/>
  <c r="AA146" i="74" a="1"/>
  <c r="AA146" i="74" s="1"/>
  <c r="Z146" i="74" a="1"/>
  <c r="Z146" i="74" s="1"/>
  <c r="Y146" i="74"/>
  <c r="Y146" i="74" a="1"/>
  <c r="X146" i="74" a="1"/>
  <c r="X146" i="74" s="1"/>
  <c r="W146" i="74" a="1"/>
  <c r="W146" i="74" s="1"/>
  <c r="AA145" i="74" a="1"/>
  <c r="AA145" i="74" s="1"/>
  <c r="Z145" i="74" a="1"/>
  <c r="Z145" i="74" s="1"/>
  <c r="Y145" i="74" a="1"/>
  <c r="Y145" i="74" s="1"/>
  <c r="X145" i="74"/>
  <c r="X145" i="74" a="1"/>
  <c r="W145" i="74" a="1"/>
  <c r="W145" i="74" s="1"/>
  <c r="AA144" i="74" a="1"/>
  <c r="AA144" i="74" s="1"/>
  <c r="Z144" i="74" a="1"/>
  <c r="Z144" i="74" s="1"/>
  <c r="Y144" i="74" a="1"/>
  <c r="Y144" i="74" s="1"/>
  <c r="X144" i="74" a="1"/>
  <c r="X144" i="74" s="1"/>
  <c r="W144" i="74"/>
  <c r="W144" i="74" a="1"/>
  <c r="AA143" i="74" a="1"/>
  <c r="AA143" i="74" s="1"/>
  <c r="Z143" i="74" a="1"/>
  <c r="Z143" i="74" s="1"/>
  <c r="Y143" i="74" a="1"/>
  <c r="Y143" i="74" s="1"/>
  <c r="X143" i="74" a="1"/>
  <c r="X143" i="74" s="1"/>
  <c r="W143" i="74"/>
  <c r="W143" i="74" a="1"/>
  <c r="AA142" i="74"/>
  <c r="AA142" i="74" a="1"/>
  <c r="Z142" i="74" a="1"/>
  <c r="Z142" i="74" s="1"/>
  <c r="Y142" i="74" a="1"/>
  <c r="Y142" i="74" s="1"/>
  <c r="X142" i="74" a="1"/>
  <c r="X142" i="74" s="1"/>
  <c r="W142" i="74" a="1"/>
  <c r="W142" i="74" s="1"/>
  <c r="AA141" i="74" a="1"/>
  <c r="AA141" i="74" s="1"/>
  <c r="Z141" i="74" a="1"/>
  <c r="Z141" i="74" s="1"/>
  <c r="Y141" i="74" a="1"/>
  <c r="Y141" i="74" s="1"/>
  <c r="X141" i="74" a="1"/>
  <c r="X141" i="74" s="1"/>
  <c r="W141" i="74" a="1"/>
  <c r="W141" i="74" s="1"/>
  <c r="AA140" i="74"/>
  <c r="AA140" i="74" a="1"/>
  <c r="Z140" i="74" a="1"/>
  <c r="Z140" i="74" s="1"/>
  <c r="Y140" i="74" a="1"/>
  <c r="Y140" i="74" s="1"/>
  <c r="X140" i="74" a="1"/>
  <c r="X140" i="74" s="1"/>
  <c r="W140" i="74" a="1"/>
  <c r="W140" i="74" s="1"/>
  <c r="AA139" i="74" a="1"/>
  <c r="AA139" i="74" s="1"/>
  <c r="Z139" i="74" a="1"/>
  <c r="Z139" i="74" s="1"/>
  <c r="Y139" i="74" a="1"/>
  <c r="Y139" i="74" s="1"/>
  <c r="X139" i="74" a="1"/>
  <c r="X139" i="74" s="1"/>
  <c r="W139" i="74" a="1"/>
  <c r="W139" i="74" s="1"/>
  <c r="AA138" i="74" a="1"/>
  <c r="AA138" i="74" s="1"/>
  <c r="Z138" i="74"/>
  <c r="Z138" i="74" a="1"/>
  <c r="Y138" i="74" a="1"/>
  <c r="Y138" i="74" s="1"/>
  <c r="X138" i="74" a="1"/>
  <c r="X138" i="74" s="1"/>
  <c r="W138" i="74" a="1"/>
  <c r="W138" i="74" s="1"/>
  <c r="AA137" i="74" a="1"/>
  <c r="AA137" i="74" s="1"/>
  <c r="Z137" i="74"/>
  <c r="Z137" i="74" a="1"/>
  <c r="Y137" i="74" a="1"/>
  <c r="Y137" i="74" s="1"/>
  <c r="X137" i="74" a="1"/>
  <c r="X137" i="74" s="1"/>
  <c r="W137" i="74"/>
  <c r="W137" i="74" a="1"/>
  <c r="AA136" i="74" a="1"/>
  <c r="AA136" i="74" s="1"/>
  <c r="Z136" i="74" a="1"/>
  <c r="Z136" i="74" s="1"/>
  <c r="Y136" i="74" a="1"/>
  <c r="Y136" i="74" s="1"/>
  <c r="X136" i="74" a="1"/>
  <c r="X136" i="74" s="1"/>
  <c r="W136" i="74"/>
  <c r="W136" i="74" a="1"/>
  <c r="AA135" i="74" a="1"/>
  <c r="AA135" i="74" s="1"/>
  <c r="Z135" i="74" a="1"/>
  <c r="Z135" i="74" s="1"/>
  <c r="Y135" i="74" a="1"/>
  <c r="Y135" i="74" s="1"/>
  <c r="X135" i="74" a="1"/>
  <c r="X135" i="74" s="1"/>
  <c r="W135" i="74" a="1"/>
  <c r="W135" i="74" s="1"/>
  <c r="AA134" i="74" a="1"/>
  <c r="AA134" i="74" s="1"/>
  <c r="Z134" i="74" a="1"/>
  <c r="Z134" i="74" s="1"/>
  <c r="Y134" i="74"/>
  <c r="Y134" i="74" a="1"/>
  <c r="X134" i="74" a="1"/>
  <c r="X134" i="74" s="1"/>
  <c r="W134" i="74" a="1"/>
  <c r="W134" i="74" s="1"/>
  <c r="AA133" i="74" a="1"/>
  <c r="AA133" i="74" s="1"/>
  <c r="Z133" i="74"/>
  <c r="Z133" i="74" a="1"/>
  <c r="Y133" i="74"/>
  <c r="Y133" i="74" a="1"/>
  <c r="X133" i="74" a="1"/>
  <c r="X133" i="74" s="1"/>
  <c r="W133" i="74" a="1"/>
  <c r="W133" i="74" s="1"/>
  <c r="AA132" i="74" a="1"/>
  <c r="AA132" i="74" s="1"/>
  <c r="Z132" i="74" a="1"/>
  <c r="Z132" i="74" s="1"/>
  <c r="Y132" i="74"/>
  <c r="Y132" i="74" a="1"/>
  <c r="X132" i="74" a="1"/>
  <c r="X132" i="74" s="1"/>
  <c r="W132" i="74" a="1"/>
  <c r="W132" i="74" s="1"/>
  <c r="AA131" i="74" a="1"/>
  <c r="AA131" i="74" s="1"/>
  <c r="Z131" i="74" a="1"/>
  <c r="Z131" i="74" s="1"/>
  <c r="Y131" i="74" a="1"/>
  <c r="Y131" i="74" s="1"/>
  <c r="X131" i="74" a="1"/>
  <c r="X131" i="74" s="1"/>
  <c r="W131" i="74" a="1"/>
  <c r="W131" i="74" s="1"/>
  <c r="AA130" i="74" a="1"/>
  <c r="AA130" i="74" s="1"/>
  <c r="Z130" i="74" a="1"/>
  <c r="Z130" i="74" s="1"/>
  <c r="Y130" i="74" a="1"/>
  <c r="Y130" i="74" s="1"/>
  <c r="X130" i="74"/>
  <c r="X130" i="74" a="1"/>
  <c r="W130" i="74" a="1"/>
  <c r="W130" i="74" s="1"/>
  <c r="AA129" i="74" a="1"/>
  <c r="AA129" i="74" s="1"/>
  <c r="Z129" i="74" a="1"/>
  <c r="Z129" i="74" s="1"/>
  <c r="Y129" i="74" a="1"/>
  <c r="Y129" i="74" s="1"/>
  <c r="X129" i="74"/>
  <c r="X129" i="74" a="1"/>
  <c r="W129" i="74" a="1"/>
  <c r="W129" i="74" s="1"/>
  <c r="AA128" i="74" a="1"/>
  <c r="AA128" i="74" s="1"/>
  <c r="Z128" i="74" a="1"/>
  <c r="Z128" i="74" s="1"/>
  <c r="Y128" i="74" a="1"/>
  <c r="Y128" i="74" s="1"/>
  <c r="X128" i="74" a="1"/>
  <c r="X128" i="74" s="1"/>
  <c r="W128" i="74" a="1"/>
  <c r="W128" i="74" s="1"/>
  <c r="AA127" i="74" a="1"/>
  <c r="AA127" i="74" s="1"/>
  <c r="Z127" i="74"/>
  <c r="Z127" i="74" a="1"/>
  <c r="Y127" i="74" a="1"/>
  <c r="Y127" i="74" s="1"/>
  <c r="X127" i="74" a="1"/>
  <c r="X127" i="74" s="1"/>
  <c r="W127" i="74" a="1"/>
  <c r="W127" i="74" s="1"/>
  <c r="AA126" i="74" a="1"/>
  <c r="AA126" i="74" s="1"/>
  <c r="Z126" i="74"/>
  <c r="Z126" i="74" a="1"/>
  <c r="Y126" i="74" a="1"/>
  <c r="Y126" i="74" s="1"/>
  <c r="X126" i="74" a="1"/>
  <c r="X126" i="74" s="1"/>
  <c r="W126" i="74"/>
  <c r="W126" i="74" a="1"/>
  <c r="AA125" i="74" a="1"/>
  <c r="AA125" i="74" s="1"/>
  <c r="Z125" i="74" a="1"/>
  <c r="Z125" i="74" s="1"/>
  <c r="Y125" i="74"/>
  <c r="Y125" i="74" a="1"/>
  <c r="X125" i="74" a="1"/>
  <c r="X125" i="74" s="1"/>
  <c r="W125" i="74"/>
  <c r="W125" i="74" a="1"/>
  <c r="AA124" i="74" a="1"/>
  <c r="AA124" i="74" s="1"/>
  <c r="Z124" i="74" a="1"/>
  <c r="Z124" i="74" s="1"/>
  <c r="Y124" i="74"/>
  <c r="Y124" i="74" a="1"/>
  <c r="X124" i="74" a="1"/>
  <c r="X124" i="74" s="1"/>
  <c r="W124" i="74" a="1"/>
  <c r="W124" i="74" s="1"/>
  <c r="AA123" i="74" a="1"/>
  <c r="AA123" i="74" s="1"/>
  <c r="Z123" i="74" a="1"/>
  <c r="Z123" i="74" s="1"/>
  <c r="Y123" i="74" a="1"/>
  <c r="Y123" i="74" s="1"/>
  <c r="X123" i="74" a="1"/>
  <c r="X123" i="74" s="1"/>
  <c r="W123" i="74" a="1"/>
  <c r="W123" i="74" s="1"/>
  <c r="AA122" i="74" a="1"/>
  <c r="AA122" i="74" s="1"/>
  <c r="Z122" i="74" a="1"/>
  <c r="Z122" i="74" s="1"/>
  <c r="Y122" i="74" a="1"/>
  <c r="Y122" i="74" s="1"/>
  <c r="X122" i="74"/>
  <c r="X122" i="74" a="1"/>
  <c r="W122" i="74" a="1"/>
  <c r="W122" i="74" s="1"/>
  <c r="AA121" i="74" a="1"/>
  <c r="AA121" i="74" s="1"/>
  <c r="Z121" i="74" a="1"/>
  <c r="Z121" i="74" s="1"/>
  <c r="Y121" i="74" a="1"/>
  <c r="Y121" i="74" s="1"/>
  <c r="X121" i="74" a="1"/>
  <c r="X121" i="74" s="1"/>
  <c r="W121" i="74" a="1"/>
  <c r="W121" i="74" s="1"/>
  <c r="AA120" i="74"/>
  <c r="AA120" i="74" a="1"/>
  <c r="Z120" i="74" a="1"/>
  <c r="Z120" i="74" s="1"/>
  <c r="Y120" i="74" a="1"/>
  <c r="Y120" i="74" s="1"/>
  <c r="X120" i="74" a="1"/>
  <c r="X120" i="74" s="1"/>
  <c r="W120" i="74" a="1"/>
  <c r="W120" i="74" s="1"/>
  <c r="AA119" i="74" a="1"/>
  <c r="AA119" i="74" s="1"/>
  <c r="Z119" i="74"/>
  <c r="Z119" i="74" a="1"/>
  <c r="Y119" i="74" a="1"/>
  <c r="Y119" i="74" s="1"/>
  <c r="X119" i="74" a="1"/>
  <c r="X119" i="74" s="1"/>
  <c r="W119" i="74" a="1"/>
  <c r="W119" i="74" s="1"/>
  <c r="AA118" i="74" a="1"/>
  <c r="AA118" i="74" s="1"/>
  <c r="Z118" i="74" a="1"/>
  <c r="Z118" i="74" s="1"/>
  <c r="Y118" i="74"/>
  <c r="Y118" i="74" a="1"/>
  <c r="X118" i="74" a="1"/>
  <c r="X118" i="74" s="1"/>
  <c r="W118" i="74" a="1"/>
  <c r="W118" i="74" s="1"/>
  <c r="AA117" i="74" a="1"/>
  <c r="AA117" i="74" s="1"/>
  <c r="Z117" i="74" a="1"/>
  <c r="Z117" i="74" s="1"/>
  <c r="Y117" i="74" a="1"/>
  <c r="Y117" i="74" s="1"/>
  <c r="X117" i="74" a="1"/>
  <c r="X117" i="74" s="1"/>
  <c r="W117" i="74" a="1"/>
  <c r="W117" i="74" s="1"/>
  <c r="AA116" i="74" a="1"/>
  <c r="AA116" i="74" s="1"/>
  <c r="Z116" i="74"/>
  <c r="Z116" i="74" a="1"/>
  <c r="Y116" i="74" a="1"/>
  <c r="Y116" i="74" s="1"/>
  <c r="X116" i="74" a="1"/>
  <c r="X116" i="74" s="1"/>
  <c r="W116" i="74" a="1"/>
  <c r="W116" i="74" s="1"/>
  <c r="AA115" i="74" a="1"/>
  <c r="AA115" i="74" s="1"/>
  <c r="Z115" i="74" a="1"/>
  <c r="Z115" i="74" s="1"/>
  <c r="Y115" i="74"/>
  <c r="Y115" i="74" a="1"/>
  <c r="X115" i="74" a="1"/>
  <c r="X115" i="74" s="1"/>
  <c r="W115" i="74"/>
  <c r="W115" i="74" a="1"/>
  <c r="AA114" i="74" a="1"/>
  <c r="AA114" i="74" s="1"/>
  <c r="Z114" i="74" a="1"/>
  <c r="Z114" i="74" s="1"/>
  <c r="Y114" i="74" a="1"/>
  <c r="Y114" i="74" s="1"/>
  <c r="X114" i="74" a="1"/>
  <c r="X114" i="74" s="1"/>
  <c r="W114" i="74" a="1"/>
  <c r="W114" i="74" s="1"/>
  <c r="AA113" i="74" a="1"/>
  <c r="AA113" i="74" s="1"/>
  <c r="Z113" i="74" a="1"/>
  <c r="Z113" i="74" s="1"/>
  <c r="Y113" i="74" a="1"/>
  <c r="Y113" i="74" s="1"/>
  <c r="X113" i="74" a="1"/>
  <c r="X113" i="74" s="1"/>
  <c r="W113" i="74" a="1"/>
  <c r="W113" i="74" s="1"/>
  <c r="AA112" i="74" a="1"/>
  <c r="AA112" i="74" s="1"/>
  <c r="Z112" i="74" a="1"/>
  <c r="Z112" i="74" s="1"/>
  <c r="Y112" i="74"/>
  <c r="Y112" i="74" a="1"/>
  <c r="X112" i="74" a="1"/>
  <c r="X112" i="74" s="1"/>
  <c r="W112" i="74" a="1"/>
  <c r="W112" i="74" s="1"/>
  <c r="AA111" i="74" a="1"/>
  <c r="AA111" i="74" s="1"/>
  <c r="Z111" i="74" a="1"/>
  <c r="Z111" i="74" s="1"/>
  <c r="Y111" i="74"/>
  <c r="Y111" i="74" a="1"/>
  <c r="X111" i="74"/>
  <c r="X111" i="74" a="1"/>
  <c r="W111" i="74" a="1"/>
  <c r="W111" i="74" s="1"/>
  <c r="AA110" i="74" a="1"/>
  <c r="AA110" i="74" s="1"/>
  <c r="Z110" i="74" a="1"/>
  <c r="Z110" i="74" s="1"/>
  <c r="Y110" i="74"/>
  <c r="Y110" i="74" a="1"/>
  <c r="X110" i="74" a="1"/>
  <c r="X110" i="74" s="1"/>
  <c r="W110" i="74" a="1"/>
  <c r="W110" i="74" s="1"/>
  <c r="AA109" i="74" a="1"/>
  <c r="AA109" i="74" s="1"/>
  <c r="Z109" i="74" a="1"/>
  <c r="Z109" i="74" s="1"/>
  <c r="Y109" i="74" a="1"/>
  <c r="Y109" i="74" s="1"/>
  <c r="X109" i="74" a="1"/>
  <c r="X109" i="74" s="1"/>
  <c r="W109" i="74" a="1"/>
  <c r="W109" i="74" s="1"/>
  <c r="AA108" i="74" a="1"/>
  <c r="AA108" i="74" s="1"/>
  <c r="Z108" i="74" a="1"/>
  <c r="Z108" i="74" s="1"/>
  <c r="Y108" i="74" a="1"/>
  <c r="Y108" i="74" s="1"/>
  <c r="X108" i="74"/>
  <c r="X108" i="74" a="1"/>
  <c r="W108" i="74" a="1"/>
  <c r="W108" i="74" s="1"/>
  <c r="AA107" i="74" a="1"/>
  <c r="AA107" i="74" s="1"/>
  <c r="Z107" i="74" a="1"/>
  <c r="Z107" i="74" s="1"/>
  <c r="Y107" i="74" a="1"/>
  <c r="Y107" i="74" s="1"/>
  <c r="X107" i="74" a="1"/>
  <c r="X107" i="74" s="1"/>
  <c r="W107" i="74"/>
  <c r="W107" i="74" a="1"/>
  <c r="AA106" i="74" a="1"/>
  <c r="AA106" i="74" s="1"/>
  <c r="Z106" i="74" a="1"/>
  <c r="Z106" i="74" s="1"/>
  <c r="Y106" i="74" a="1"/>
  <c r="Y106" i="74" s="1"/>
  <c r="X106" i="74" a="1"/>
  <c r="X106" i="74" s="1"/>
  <c r="W106" i="74" a="1"/>
  <c r="W106" i="74" s="1"/>
  <c r="AA105" i="74" a="1"/>
  <c r="AA105" i="74" s="1"/>
  <c r="Z105" i="74"/>
  <c r="Z105" i="74" a="1"/>
  <c r="Y105" i="74" a="1"/>
  <c r="Y105" i="74" s="1"/>
  <c r="X105" i="74" a="1"/>
  <c r="X105" i="74" s="1"/>
  <c r="W105" i="74" a="1"/>
  <c r="W105" i="74" s="1"/>
  <c r="AA104" i="74" a="1"/>
  <c r="AA104" i="74" s="1"/>
  <c r="Z104" i="74" a="1"/>
  <c r="Z104" i="74" s="1"/>
  <c r="Y104" i="74"/>
  <c r="Y104" i="74" a="1"/>
  <c r="X104" i="74" a="1"/>
  <c r="X104" i="74" s="1"/>
  <c r="W104" i="74"/>
  <c r="W104" i="74" a="1"/>
  <c r="AA103" i="74" a="1"/>
  <c r="AA103" i="74" s="1"/>
  <c r="Z103" i="74" a="1"/>
  <c r="Z103" i="74" s="1"/>
  <c r="Y103" i="74"/>
  <c r="Y103" i="74" a="1"/>
  <c r="X103" i="74" a="1"/>
  <c r="X103" i="74" s="1"/>
  <c r="W103" i="74" a="1"/>
  <c r="W103" i="74" s="1"/>
  <c r="AA102" i="74"/>
  <c r="AA102" i="74" a="1"/>
  <c r="Z102" i="74" a="1"/>
  <c r="Z102" i="74" s="1"/>
  <c r="Y102" i="74" a="1"/>
  <c r="Y102" i="74" s="1"/>
  <c r="X102" i="74"/>
  <c r="X102" i="74" a="1"/>
  <c r="W102" i="74" a="1"/>
  <c r="W102" i="74" s="1"/>
  <c r="AA101" i="74" a="1"/>
  <c r="AA101" i="74" s="1"/>
  <c r="Z101" i="74" a="1"/>
  <c r="Z101" i="74" s="1"/>
  <c r="Y101" i="74" a="1"/>
  <c r="Y101" i="74" s="1"/>
  <c r="X101" i="74" a="1"/>
  <c r="X101" i="74" s="1"/>
  <c r="W101" i="74" a="1"/>
  <c r="W101" i="74" s="1"/>
  <c r="AA100" i="74" a="1"/>
  <c r="AA100" i="74" s="1"/>
  <c r="Z100" i="74" a="1"/>
  <c r="Z100" i="74" s="1"/>
  <c r="Y100" i="74" a="1"/>
  <c r="Y100" i="74" s="1"/>
  <c r="X100" i="74" a="1"/>
  <c r="X100" i="74" s="1"/>
  <c r="W100" i="74" a="1"/>
  <c r="W100" i="74" s="1"/>
  <c r="AA99" i="74" a="1"/>
  <c r="AA99" i="74" s="1"/>
  <c r="Z99" i="74" a="1"/>
  <c r="Z99" i="74" s="1"/>
  <c r="Y99" i="74" a="1"/>
  <c r="Y99" i="74" s="1"/>
  <c r="X99" i="74" a="1"/>
  <c r="X99" i="74" s="1"/>
  <c r="W99" i="74" a="1"/>
  <c r="W99" i="74" s="1"/>
  <c r="AA98" i="74"/>
  <c r="AA98" i="74" a="1"/>
  <c r="Z98" i="74"/>
  <c r="Z98" i="74" a="1"/>
  <c r="Y98" i="74" a="1"/>
  <c r="Y98" i="74" s="1"/>
  <c r="X98" i="74" a="1"/>
  <c r="X98" i="74" s="1"/>
  <c r="W98" i="74" a="1"/>
  <c r="W98" i="74" s="1"/>
  <c r="AA97" i="74" a="1"/>
  <c r="AA97" i="74" s="1"/>
  <c r="Z97" i="74"/>
  <c r="Z97" i="74" a="1"/>
  <c r="Y97" i="74" a="1"/>
  <c r="Y97" i="74" s="1"/>
  <c r="X97" i="74" a="1"/>
  <c r="X97" i="74" s="1"/>
  <c r="W97" i="74" a="1"/>
  <c r="W97" i="74" s="1"/>
  <c r="AA96" i="74" a="1"/>
  <c r="AA96" i="74" s="1"/>
  <c r="Z96" i="74" a="1"/>
  <c r="Z96" i="74" s="1"/>
  <c r="Y96" i="74" a="1"/>
  <c r="Y96" i="74" s="1"/>
  <c r="X96" i="74" a="1"/>
  <c r="X96" i="74" s="1"/>
  <c r="W96" i="74" a="1"/>
  <c r="W96" i="74" s="1"/>
  <c r="AA95" i="74" a="1"/>
  <c r="AA95" i="74" s="1"/>
  <c r="Z95" i="74" a="1"/>
  <c r="Z95" i="74" s="1"/>
  <c r="Y95" i="74" a="1"/>
  <c r="Y95" i="74" s="1"/>
  <c r="X95" i="74" a="1"/>
  <c r="X95" i="74" s="1"/>
  <c r="W95" i="74" a="1"/>
  <c r="W95" i="74" s="1"/>
  <c r="AA94" i="74" a="1"/>
  <c r="AA94" i="74" s="1"/>
  <c r="Z94" i="74" a="1"/>
  <c r="Z94" i="74" s="1"/>
  <c r="Y94" i="74"/>
  <c r="Y94" i="74" a="1"/>
  <c r="X94" i="74" a="1"/>
  <c r="X94" i="74" s="1"/>
  <c r="W94" i="74" a="1"/>
  <c r="W94" i="74" s="1"/>
  <c r="AA93" i="74" a="1"/>
  <c r="AA93" i="74" s="1"/>
  <c r="Z93" i="74" a="1"/>
  <c r="Z93" i="74" s="1"/>
  <c r="Y93" i="74"/>
  <c r="Y93" i="74" a="1"/>
  <c r="X93" i="74" a="1"/>
  <c r="X93" i="74" s="1"/>
  <c r="W93" i="74" a="1"/>
  <c r="W93" i="74" s="1"/>
  <c r="AA92" i="74"/>
  <c r="AA92" i="74" a="1"/>
  <c r="Z92" i="74" a="1"/>
  <c r="Z92" i="74" s="1"/>
  <c r="Y92" i="74" a="1"/>
  <c r="Y92" i="74" s="1"/>
  <c r="X92" i="74" a="1"/>
  <c r="X92" i="74" s="1"/>
  <c r="W92" i="74" a="1"/>
  <c r="W92" i="74" s="1"/>
  <c r="AA91" i="74" a="1"/>
  <c r="AA91" i="74" s="1"/>
  <c r="Z91" i="74" a="1"/>
  <c r="Z91" i="74" s="1"/>
  <c r="Y91" i="74" a="1"/>
  <c r="Y91" i="74" s="1"/>
  <c r="X91" i="74" a="1"/>
  <c r="X91" i="74" s="1"/>
  <c r="W91" i="74" a="1"/>
  <c r="W91" i="74" s="1"/>
  <c r="AA90" i="74" a="1"/>
  <c r="AA90" i="74" s="1"/>
  <c r="Z90" i="74" a="1"/>
  <c r="Z90" i="74" s="1"/>
  <c r="Y90" i="74" a="1"/>
  <c r="Y90" i="74" s="1"/>
  <c r="X90" i="74"/>
  <c r="X90" i="74" a="1"/>
  <c r="W90" i="74" a="1"/>
  <c r="W90" i="74" s="1"/>
  <c r="AA89" i="74" a="1"/>
  <c r="AA89" i="74" s="1"/>
  <c r="Z89" i="74" a="1"/>
  <c r="Z89" i="74" s="1"/>
  <c r="Y89" i="74" a="1"/>
  <c r="Y89" i="74" s="1"/>
  <c r="X89" i="74"/>
  <c r="X89" i="74" a="1"/>
  <c r="W89" i="74" a="1"/>
  <c r="W89" i="74" s="1"/>
  <c r="AA88" i="74" a="1"/>
  <c r="AA88" i="74" s="1"/>
  <c r="Z88" i="74" a="1"/>
  <c r="Z88" i="74" s="1"/>
  <c r="Y88" i="74" a="1"/>
  <c r="Y88" i="74" s="1"/>
  <c r="X88" i="74" a="1"/>
  <c r="X88" i="74" s="1"/>
  <c r="W88" i="74" a="1"/>
  <c r="W88" i="74" s="1"/>
  <c r="AA87" i="74" a="1"/>
  <c r="AA87" i="74" s="1"/>
  <c r="Z87" i="74" a="1"/>
  <c r="Z87" i="74" s="1"/>
  <c r="Y87" i="74" a="1"/>
  <c r="Y87" i="74" s="1"/>
  <c r="X87" i="74"/>
  <c r="X87" i="74" a="1"/>
  <c r="W87" i="74" a="1"/>
  <c r="W87" i="74" s="1"/>
  <c r="AA86" i="74" a="1"/>
  <c r="AA86" i="74" s="1"/>
  <c r="Z86" i="74" a="1"/>
  <c r="Z86" i="74" s="1"/>
  <c r="Y86" i="74" a="1"/>
  <c r="Y86" i="74" s="1"/>
  <c r="X86" i="74" a="1"/>
  <c r="X86" i="74" s="1"/>
  <c r="W86" i="74"/>
  <c r="W86" i="74" a="1"/>
  <c r="AA85" i="74" a="1"/>
  <c r="AA85" i="74" s="1"/>
  <c r="Z85" i="74" a="1"/>
  <c r="Z85" i="74" s="1"/>
  <c r="Y85" i="74" a="1"/>
  <c r="Y85" i="74" s="1"/>
  <c r="X85" i="74"/>
  <c r="X85" i="74" a="1"/>
  <c r="W85" i="74"/>
  <c r="W85" i="74" a="1"/>
  <c r="AA84" i="74" a="1"/>
  <c r="AA84" i="74" s="1"/>
  <c r="Z84" i="74" a="1"/>
  <c r="Z84" i="74" s="1"/>
  <c r="Y84" i="74" a="1"/>
  <c r="Y84" i="74" s="1"/>
  <c r="X84" i="74" a="1"/>
  <c r="X84" i="74" s="1"/>
  <c r="W84" i="74"/>
  <c r="W84" i="74" a="1"/>
  <c r="AA83" i="74" a="1"/>
  <c r="AA83" i="74" s="1"/>
  <c r="Z83" i="74" a="1"/>
  <c r="Z83" i="74" s="1"/>
  <c r="Y83" i="74" a="1"/>
  <c r="Y83" i="74" s="1"/>
  <c r="X83" i="74" a="1"/>
  <c r="X83" i="74" s="1"/>
  <c r="W83" i="74" a="1"/>
  <c r="W83" i="74" s="1"/>
  <c r="AA82" i="74" a="1"/>
  <c r="AA82" i="74" s="1"/>
  <c r="Z82" i="74" a="1"/>
  <c r="Z82" i="74" s="1"/>
  <c r="Y82" i="74" a="1"/>
  <c r="Y82" i="74" s="1"/>
  <c r="X82" i="74" a="1"/>
  <c r="X82" i="74" s="1"/>
  <c r="W82" i="74" a="1"/>
  <c r="W82" i="74" s="1"/>
  <c r="AA81" i="74" a="1"/>
  <c r="AA81" i="74" s="1"/>
  <c r="Z81" i="74" a="1"/>
  <c r="Z81" i="74" s="1"/>
  <c r="Y81" i="74"/>
  <c r="Y81" i="74" a="1"/>
  <c r="X81" i="74" a="1"/>
  <c r="X81" i="74" s="1"/>
  <c r="W81" i="74" a="1"/>
  <c r="W81" i="74" s="1"/>
  <c r="AA80" i="74"/>
  <c r="AA80" i="74" a="1"/>
  <c r="Z80" i="74" a="1"/>
  <c r="Z80" i="74" s="1"/>
  <c r="Y80" i="74"/>
  <c r="Y80" i="74" a="1"/>
  <c r="X80" i="74" a="1"/>
  <c r="X80" i="74" s="1"/>
  <c r="W80" i="74" a="1"/>
  <c r="W80" i="74" s="1"/>
  <c r="AA79" i="74" a="1"/>
  <c r="AA79" i="74" s="1"/>
  <c r="Z79" i="74"/>
  <c r="Z79" i="74" a="1"/>
  <c r="Y79" i="74" a="1"/>
  <c r="Y79" i="74" s="1"/>
  <c r="X79" i="74"/>
  <c r="X79" i="74" a="1"/>
  <c r="W79" i="74" a="1"/>
  <c r="W79" i="74" s="1"/>
  <c r="AA78" i="74" a="1"/>
  <c r="AA78" i="74" s="1"/>
  <c r="Z78" i="74" a="1"/>
  <c r="Z78" i="74" s="1"/>
  <c r="Y78" i="74" a="1"/>
  <c r="Y78" i="74" s="1"/>
  <c r="X78" i="74"/>
  <c r="X78" i="74" a="1"/>
  <c r="W78" i="74" a="1"/>
  <c r="W78" i="74" s="1"/>
  <c r="AA77" i="74" a="1"/>
  <c r="AA77" i="74" s="1"/>
  <c r="Z77" i="74" a="1"/>
  <c r="Z77" i="74" s="1"/>
  <c r="Y77" i="74" a="1"/>
  <c r="Y77" i="74" s="1"/>
  <c r="X77" i="74" a="1"/>
  <c r="X77" i="74" s="1"/>
  <c r="W77" i="74" a="1"/>
  <c r="W77" i="74" s="1"/>
  <c r="AA76" i="74" a="1"/>
  <c r="AA76" i="74" s="1"/>
  <c r="Z76" i="74"/>
  <c r="Z76" i="74" a="1"/>
  <c r="Y76" i="74" a="1"/>
  <c r="Y76" i="74" s="1"/>
  <c r="X76" i="74" a="1"/>
  <c r="X76" i="74" s="1"/>
  <c r="W76" i="74" a="1"/>
  <c r="W76" i="74" s="1"/>
  <c r="AA75" i="74" a="1"/>
  <c r="AA75" i="74" s="1"/>
  <c r="Z75" i="74" a="1"/>
  <c r="Z75" i="74" s="1"/>
  <c r="Y75" i="74"/>
  <c r="Y75" i="74" a="1"/>
  <c r="X75" i="74" a="1"/>
  <c r="X75" i="74" s="1"/>
  <c r="W75" i="74" a="1"/>
  <c r="W75" i="74" s="1"/>
  <c r="AA74" i="74" a="1"/>
  <c r="AA74" i="74" s="1"/>
  <c r="Z74" i="74" a="1"/>
  <c r="Z74" i="74" s="1"/>
  <c r="Y74" i="74" a="1"/>
  <c r="Y74" i="74" s="1"/>
  <c r="X74" i="74" a="1"/>
  <c r="X74" i="74" s="1"/>
  <c r="W74" i="74" a="1"/>
  <c r="W74" i="74" s="1"/>
  <c r="AA73" i="74" a="1"/>
  <c r="AA73" i="74" s="1"/>
  <c r="Z73" i="74"/>
  <c r="Z73" i="74" a="1"/>
  <c r="Y73" i="74" a="1"/>
  <c r="Y73" i="74" s="1"/>
  <c r="X73" i="74" a="1"/>
  <c r="X73" i="74" s="1"/>
  <c r="W73" i="74" a="1"/>
  <c r="W73" i="74" s="1"/>
  <c r="AA72" i="74" a="1"/>
  <c r="AA72" i="74" s="1"/>
  <c r="Z72" i="74"/>
  <c r="Z72" i="74" a="1"/>
  <c r="Y72" i="74"/>
  <c r="Y72" i="74" a="1"/>
  <c r="X72" i="74" a="1"/>
  <c r="X72" i="74" s="1"/>
  <c r="W72" i="74" a="1"/>
  <c r="W72" i="74" s="1"/>
  <c r="AA71" i="74" a="1"/>
  <c r="AA71" i="74" s="1"/>
  <c r="Z71" i="74" a="1"/>
  <c r="Z71" i="74" s="1"/>
  <c r="Y71" i="74" a="1"/>
  <c r="Y71" i="74" s="1"/>
  <c r="X71" i="74"/>
  <c r="X71" i="74" a="1"/>
  <c r="W71" i="74" a="1"/>
  <c r="W71" i="74" s="1"/>
  <c r="AA70" i="74" a="1"/>
  <c r="AA70" i="74" s="1"/>
  <c r="Z70" i="74" a="1"/>
  <c r="Z70" i="74" s="1"/>
  <c r="Y70" i="74" a="1"/>
  <c r="Y70" i="74" s="1"/>
  <c r="X70" i="74" a="1"/>
  <c r="X70" i="74" s="1"/>
  <c r="W70" i="74" a="1"/>
  <c r="W70" i="74" s="1"/>
  <c r="AA69" i="74" a="1"/>
  <c r="AA69" i="74" s="1"/>
  <c r="Z69" i="74" a="1"/>
  <c r="Z69" i="74" s="1"/>
  <c r="Y69" i="74" a="1"/>
  <c r="Y69" i="74" s="1"/>
  <c r="X69" i="74" a="1"/>
  <c r="X69" i="74" s="1"/>
  <c r="W69" i="74" a="1"/>
  <c r="W69" i="74" s="1"/>
  <c r="AA68" i="74" a="1"/>
  <c r="AA68" i="74" s="1"/>
  <c r="Z68" i="74" a="1"/>
  <c r="Z68" i="74" s="1"/>
  <c r="Y68" i="74" a="1"/>
  <c r="Y68" i="74" s="1"/>
  <c r="X68" i="74"/>
  <c r="X68" i="74" a="1"/>
  <c r="W68" i="74" a="1"/>
  <c r="W68" i="74" s="1"/>
  <c r="AA67" i="74" a="1"/>
  <c r="AA67" i="74" s="1"/>
  <c r="Z67" i="74" a="1"/>
  <c r="Z67" i="74" s="1"/>
  <c r="Y67" i="74" a="1"/>
  <c r="Y67" i="74" s="1"/>
  <c r="X67" i="74" a="1"/>
  <c r="X67" i="74" s="1"/>
  <c r="W67" i="74"/>
  <c r="W67" i="74" a="1"/>
  <c r="AA66" i="74"/>
  <c r="AA66" i="74" a="1"/>
  <c r="Z66" i="74" a="1"/>
  <c r="Z66" i="74" s="1"/>
  <c r="Y66" i="74" a="1"/>
  <c r="Y66" i="74" s="1"/>
  <c r="X66" i="74" a="1"/>
  <c r="X66" i="74" s="1"/>
  <c r="W66" i="74" a="1"/>
  <c r="W66" i="74" s="1"/>
  <c r="AA65" i="74" a="1"/>
  <c r="AA65" i="74" s="1"/>
  <c r="Z65" i="74" a="1"/>
  <c r="Z65" i="74" s="1"/>
  <c r="Y65" i="74" a="1"/>
  <c r="Y65" i="74" s="1"/>
  <c r="X65" i="74" a="1"/>
  <c r="X65" i="74" s="1"/>
  <c r="W65" i="74" a="1"/>
  <c r="W65" i="74" s="1"/>
  <c r="AA64" i="74" a="1"/>
  <c r="AA64" i="74" s="1"/>
  <c r="Z64" i="74" a="1"/>
  <c r="Z64" i="74" s="1"/>
  <c r="Y64" i="74" a="1"/>
  <c r="Y64" i="74" s="1"/>
  <c r="X64" i="74" a="1"/>
  <c r="X64" i="74" s="1"/>
  <c r="W64" i="74"/>
  <c r="W64" i="74" a="1"/>
  <c r="AA63" i="74" a="1"/>
  <c r="AA63" i="74" s="1"/>
  <c r="Z63" i="74" a="1"/>
  <c r="Z63" i="74" s="1"/>
  <c r="Y63" i="74" a="1"/>
  <c r="Y63" i="74" s="1"/>
  <c r="X63" i="74" a="1"/>
  <c r="X63" i="74" s="1"/>
  <c r="W63" i="74" a="1"/>
  <c r="W63" i="74" s="1"/>
  <c r="AA62" i="74"/>
  <c r="AA62" i="74" a="1"/>
  <c r="Z62" i="74" a="1"/>
  <c r="Z62" i="74" s="1"/>
  <c r="Y62" i="74"/>
  <c r="Y62" i="74" a="1"/>
  <c r="X62" i="74" a="1"/>
  <c r="X62" i="74" s="1"/>
  <c r="W62" i="74" a="1"/>
  <c r="W62" i="74" s="1"/>
  <c r="AA61" i="74" a="1"/>
  <c r="AA61" i="74" s="1"/>
  <c r="Z61" i="74" a="1"/>
  <c r="Z61" i="74" s="1"/>
  <c r="Y61" i="74" a="1"/>
  <c r="Y61" i="74" s="1"/>
  <c r="X61" i="74"/>
  <c r="X61" i="74" a="1"/>
  <c r="W61" i="74" a="1"/>
  <c r="W61" i="74" s="1"/>
  <c r="AA60" i="74" a="1"/>
  <c r="AA60" i="74" s="1"/>
  <c r="Z60" i="74" a="1"/>
  <c r="Z60" i="74" s="1"/>
  <c r="Y60" i="74" a="1"/>
  <c r="Y60" i="74" s="1"/>
  <c r="X60" i="74" a="1"/>
  <c r="X60" i="74" s="1"/>
  <c r="W60" i="74" a="1"/>
  <c r="W60" i="74" s="1"/>
  <c r="AA59" i="74" a="1"/>
  <c r="AA59" i="74" s="1"/>
  <c r="Z59" i="74" a="1"/>
  <c r="Z59" i="74" s="1"/>
  <c r="Y59" i="74" a="1"/>
  <c r="Y59" i="74" s="1"/>
  <c r="X59" i="74" a="1"/>
  <c r="X59" i="74" s="1"/>
  <c r="W59" i="74" a="1"/>
  <c r="W59" i="74" s="1"/>
  <c r="AA58" i="74"/>
  <c r="AA58" i="74" a="1"/>
  <c r="Z58" i="74"/>
  <c r="Z58" i="74" a="1"/>
  <c r="Y58" i="74" a="1"/>
  <c r="Y58" i="74" s="1"/>
  <c r="X58" i="74" a="1"/>
  <c r="X58" i="74" s="1"/>
  <c r="W58" i="74" a="1"/>
  <c r="W58" i="74" s="1"/>
  <c r="AA57" i="74" a="1"/>
  <c r="AA57" i="74" s="1"/>
  <c r="Z57" i="74"/>
  <c r="Z57" i="74" a="1"/>
  <c r="Y57" i="74" a="1"/>
  <c r="Y57" i="74" s="1"/>
  <c r="X57" i="74"/>
  <c r="X57" i="74" a="1"/>
  <c r="W57" i="74" a="1"/>
  <c r="W57" i="74" s="1"/>
  <c r="AA56" i="74" a="1"/>
  <c r="AA56" i="74" s="1"/>
  <c r="Z56" i="74"/>
  <c r="Z56" i="74" a="1"/>
  <c r="Y56" i="74" a="1"/>
  <c r="Y56" i="74" s="1"/>
  <c r="X56" i="74" a="1"/>
  <c r="X56" i="74" s="1"/>
  <c r="W56" i="74" a="1"/>
  <c r="W56" i="74" s="1"/>
  <c r="AA55" i="74" a="1"/>
  <c r="AA55" i="74" s="1"/>
  <c r="Z55" i="74" a="1"/>
  <c r="Z55" i="74" s="1"/>
  <c r="Y55" i="74" a="1"/>
  <c r="Y55" i="74" s="1"/>
  <c r="X55" i="74" a="1"/>
  <c r="X55" i="74" s="1"/>
  <c r="W55" i="74" a="1"/>
  <c r="W55" i="74" s="1"/>
  <c r="AA54" i="74" a="1"/>
  <c r="AA54" i="74" s="1"/>
  <c r="Z54" i="74" a="1"/>
  <c r="Z54" i="74" s="1"/>
  <c r="Y54" i="74"/>
  <c r="Y54" i="74" a="1"/>
  <c r="X54" i="74" a="1"/>
  <c r="X54" i="74" s="1"/>
  <c r="W54" i="74" a="1"/>
  <c r="W54" i="74" s="1"/>
  <c r="AA53" i="74" a="1"/>
  <c r="AA53" i="74" s="1"/>
  <c r="Z53" i="74" a="1"/>
  <c r="Z53" i="74" s="1"/>
  <c r="Y53" i="74"/>
  <c r="Y53" i="74" a="1"/>
  <c r="X53" i="74" a="1"/>
  <c r="X53" i="74" s="1"/>
  <c r="W53" i="74" a="1"/>
  <c r="W53" i="74" s="1"/>
  <c r="AA52" i="74" a="1"/>
  <c r="AA52" i="74" s="1"/>
  <c r="Z52" i="74" a="1"/>
  <c r="Z52" i="74" s="1"/>
  <c r="Y52" i="74" a="1"/>
  <c r="Y52" i="74" s="1"/>
  <c r="X52" i="74" a="1"/>
  <c r="X52" i="74" s="1"/>
  <c r="W52" i="74" a="1"/>
  <c r="W52" i="74" s="1"/>
  <c r="AA51" i="74" a="1"/>
  <c r="AA51" i="74" s="1"/>
  <c r="Z51" i="74" a="1"/>
  <c r="Z51" i="74" s="1"/>
  <c r="Y51" i="74" a="1"/>
  <c r="Y51" i="74" s="1"/>
  <c r="X51" i="74" a="1"/>
  <c r="X51" i="74" s="1"/>
  <c r="W51" i="74"/>
  <c r="W51" i="74" a="1"/>
  <c r="AA50" i="74" a="1"/>
  <c r="AA50" i="74" s="1"/>
  <c r="Z50" i="74" a="1"/>
  <c r="Z50" i="74" s="1"/>
  <c r="Y50" i="74"/>
  <c r="Y50" i="74" a="1"/>
  <c r="X50" i="74"/>
  <c r="X50" i="74" a="1"/>
  <c r="W50" i="74" a="1"/>
  <c r="W50" i="74" s="1"/>
  <c r="AA49" i="74" a="1"/>
  <c r="AA49" i="74" s="1"/>
  <c r="Z49" i="74" a="1"/>
  <c r="Z49" i="74" s="1"/>
  <c r="Y49" i="74" a="1"/>
  <c r="Y49" i="74" s="1"/>
  <c r="X49" i="74"/>
  <c r="X49" i="74" a="1"/>
  <c r="W49" i="74"/>
  <c r="W49" i="74" a="1"/>
  <c r="AA48" i="74" a="1"/>
  <c r="AA48" i="74" s="1"/>
  <c r="Z48" i="74" a="1"/>
  <c r="Z48" i="74" s="1"/>
  <c r="Y48" i="74" a="1"/>
  <c r="Y48" i="74" s="1"/>
  <c r="X48" i="74" a="1"/>
  <c r="X48" i="74" s="1"/>
  <c r="W48" i="74" a="1"/>
  <c r="W48" i="74" s="1"/>
  <c r="AA47" i="74" a="1"/>
  <c r="AA47" i="74" s="1"/>
  <c r="Z47" i="74"/>
  <c r="Z47" i="74" a="1"/>
  <c r="Y47" i="74" a="1"/>
  <c r="Y47" i="74" s="1"/>
  <c r="X47" i="74" a="1"/>
  <c r="X47" i="74" s="1"/>
  <c r="W47" i="74" a="1"/>
  <c r="W47" i="74" s="1"/>
  <c r="AA46" i="74" a="1"/>
  <c r="AA46" i="74" s="1"/>
  <c r="Z46" i="74"/>
  <c r="Z46" i="74" a="1"/>
  <c r="Y46" i="74" a="1"/>
  <c r="Y46" i="74" s="1"/>
  <c r="X46" i="74" a="1"/>
  <c r="X46" i="74" s="1"/>
  <c r="W46" i="74"/>
  <c r="W46" i="74" a="1"/>
  <c r="AA45" i="74" a="1"/>
  <c r="AA45" i="74" s="1"/>
  <c r="Z45" i="74" a="1"/>
  <c r="Z45" i="74" s="1"/>
  <c r="Y45" i="74"/>
  <c r="Y45" i="74" a="1"/>
  <c r="X45" i="74" a="1"/>
  <c r="X45" i="74" s="1"/>
  <c r="W45" i="74"/>
  <c r="W45" i="74" a="1"/>
  <c r="AA44" i="74" a="1"/>
  <c r="AA44" i="74" s="1"/>
  <c r="Z44" i="74" a="1"/>
  <c r="Z44" i="74" s="1"/>
  <c r="Y44" i="74" a="1"/>
  <c r="Y44" i="74" s="1"/>
  <c r="X44" i="74" a="1"/>
  <c r="X44" i="74" s="1"/>
  <c r="W44" i="74" a="1"/>
  <c r="W44" i="74" s="1"/>
  <c r="AA43" i="74" a="1"/>
  <c r="AA43" i="74" s="1"/>
  <c r="Z43" i="74"/>
  <c r="Z43" i="74" a="1"/>
  <c r="Y43" i="74" a="1"/>
  <c r="Y43" i="74" s="1"/>
  <c r="X43" i="74" a="1"/>
  <c r="X43" i="74" s="1"/>
  <c r="W43" i="74" a="1"/>
  <c r="W43" i="74" s="1"/>
  <c r="AA42" i="74" a="1"/>
  <c r="AA42" i="74" s="1"/>
  <c r="Z42" i="74" a="1"/>
  <c r="Z42" i="74" s="1"/>
  <c r="Y42" i="74"/>
  <c r="Y42" i="74" a="1"/>
  <c r="X42" i="74" a="1"/>
  <c r="X42" i="74" s="1"/>
  <c r="W42" i="74" a="1"/>
  <c r="W42" i="74" s="1"/>
  <c r="AA41" i="74" a="1"/>
  <c r="AA41" i="74" s="1"/>
  <c r="Z41" i="74" a="1"/>
  <c r="Z41" i="74" s="1"/>
  <c r="Y41" i="74" a="1"/>
  <c r="Y41" i="74" s="1"/>
  <c r="X41" i="74" a="1"/>
  <c r="X41" i="74" s="1"/>
  <c r="W41" i="74"/>
  <c r="W41" i="74" a="1"/>
  <c r="AA40" i="74"/>
  <c r="AA40" i="74" a="1"/>
  <c r="Z40" i="74" a="1"/>
  <c r="Z40" i="74" s="1"/>
  <c r="Y40" i="74" a="1"/>
  <c r="Y40" i="74" s="1"/>
  <c r="X40" i="74" a="1"/>
  <c r="X40" i="74" s="1"/>
  <c r="W40" i="74" a="1"/>
  <c r="W40" i="74" s="1"/>
  <c r="AA39" i="74" a="1"/>
  <c r="AA39" i="74" s="1"/>
  <c r="Z39" i="74"/>
  <c r="Z39" i="74" a="1"/>
  <c r="Y39" i="74" a="1"/>
  <c r="Y39" i="74" s="1"/>
  <c r="X39" i="74" a="1"/>
  <c r="X39" i="74" s="1"/>
  <c r="W39" i="74" a="1"/>
  <c r="W39" i="74" s="1"/>
  <c r="AA38" i="74" a="1"/>
  <c r="AA38" i="74" s="1"/>
  <c r="Z38" i="74" a="1"/>
  <c r="Z38" i="74" s="1"/>
  <c r="Y38" i="74" a="1"/>
  <c r="Y38" i="74" s="1"/>
  <c r="X38" i="74" a="1"/>
  <c r="X38" i="74" s="1"/>
  <c r="W38" i="74" a="1"/>
  <c r="W38" i="74" s="1"/>
  <c r="AA37" i="74" a="1"/>
  <c r="AA37" i="74" s="1"/>
  <c r="Z37" i="74" a="1"/>
  <c r="Z37" i="74" s="1"/>
  <c r="Y37" i="74" a="1"/>
  <c r="Y37" i="74" s="1"/>
  <c r="X37" i="74" a="1"/>
  <c r="X37" i="74" s="1"/>
  <c r="W37" i="74" a="1"/>
  <c r="W37" i="74" s="1"/>
  <c r="AA36" i="74" a="1"/>
  <c r="AA36" i="74" s="1"/>
  <c r="Z36" i="74"/>
  <c r="Z36" i="74" a="1"/>
  <c r="Y36" i="74" a="1"/>
  <c r="Y36" i="74" s="1"/>
  <c r="X36" i="74" a="1"/>
  <c r="X36" i="74" s="1"/>
  <c r="W36" i="74" a="1"/>
  <c r="W36" i="74" s="1"/>
  <c r="AA35" i="74" a="1"/>
  <c r="AA35" i="74" s="1"/>
  <c r="Z35" i="74"/>
  <c r="Z35" i="74" a="1"/>
  <c r="Y35" i="74"/>
  <c r="Y35" i="74" a="1"/>
  <c r="X35" i="74" a="1"/>
  <c r="X35" i="74" s="1"/>
  <c r="W35" i="74" a="1"/>
  <c r="W35" i="74" s="1"/>
  <c r="AA34" i="74" a="1"/>
  <c r="AA34" i="74" s="1"/>
  <c r="Z34" i="74" a="1"/>
  <c r="Z34" i="74" s="1"/>
  <c r="Y34" i="74" a="1"/>
  <c r="Y34" i="74" s="1"/>
  <c r="X34" i="74" a="1"/>
  <c r="X34" i="74" s="1"/>
  <c r="W34" i="74" a="1"/>
  <c r="W34" i="74" s="1"/>
  <c r="AA33" i="74" a="1"/>
  <c r="AA33" i="74" s="1"/>
  <c r="Z33" i="74" a="1"/>
  <c r="Z33" i="74" s="1"/>
  <c r="Y33" i="74"/>
  <c r="Y33" i="74" a="1"/>
  <c r="X33" i="74" a="1"/>
  <c r="X33" i="74" s="1"/>
  <c r="W33" i="74" a="1"/>
  <c r="W33" i="74" s="1"/>
  <c r="AA32" i="74" a="1"/>
  <c r="AA32" i="74" s="1"/>
  <c r="Z32" i="74" a="1"/>
  <c r="Z32" i="74" s="1"/>
  <c r="Y32" i="74" a="1"/>
  <c r="Y32" i="74" s="1"/>
  <c r="X32" i="74" a="1"/>
  <c r="X32" i="74" s="1"/>
  <c r="W32" i="74" a="1"/>
  <c r="W32" i="74" s="1"/>
  <c r="AA31" i="74" a="1"/>
  <c r="AA31" i="74" s="1"/>
  <c r="Z31" i="74" a="1"/>
  <c r="Z31" i="74" s="1"/>
  <c r="Y31" i="74"/>
  <c r="Y31" i="74" a="1"/>
  <c r="X31" i="74" a="1"/>
  <c r="X31" i="74" s="1"/>
  <c r="W31" i="74" a="1"/>
  <c r="W31" i="74" s="1"/>
  <c r="AA30" i="74" a="1"/>
  <c r="AA30" i="74" s="1"/>
  <c r="Z30" i="74"/>
  <c r="Z30" i="74" a="1"/>
  <c r="Y30" i="74" a="1"/>
  <c r="Y30" i="74" s="1"/>
  <c r="X30" i="74"/>
  <c r="X30" i="74" a="1"/>
  <c r="W30" i="74" a="1"/>
  <c r="W30" i="74" s="1"/>
  <c r="AA29" i="74" a="1"/>
  <c r="AA29" i="74" s="1"/>
  <c r="Z29" i="74" a="1"/>
  <c r="Z29" i="74" s="1"/>
  <c r="Y29" i="74"/>
  <c r="Y29" i="74" a="1"/>
  <c r="X29" i="74" a="1"/>
  <c r="X29" i="74" s="1"/>
  <c r="W29" i="74" a="1"/>
  <c r="W29" i="74" s="1"/>
  <c r="AA28" i="74" a="1"/>
  <c r="AA28" i="74" s="1"/>
  <c r="Z28" i="74" a="1"/>
  <c r="Z28" i="74" s="1"/>
  <c r="Y28" i="74" a="1"/>
  <c r="Y28" i="74" s="1"/>
  <c r="X28" i="74" a="1"/>
  <c r="X28" i="74" s="1"/>
  <c r="W28" i="74" a="1"/>
  <c r="W28" i="74" s="1"/>
  <c r="AA27" i="74" a="1"/>
  <c r="AA27" i="74" s="1"/>
  <c r="Z27" i="74" a="1"/>
  <c r="Z27" i="74" s="1"/>
  <c r="Y27" i="74"/>
  <c r="Y27" i="74" a="1"/>
  <c r="X27" i="74"/>
  <c r="X27" i="74" a="1"/>
  <c r="W27" i="74" a="1"/>
  <c r="W27" i="74" s="1"/>
  <c r="AA26" i="74" a="1"/>
  <c r="AA26" i="74" s="1"/>
  <c r="Z26" i="74"/>
  <c r="Z26" i="74" a="1"/>
  <c r="Y26" i="74" a="1"/>
  <c r="Y26" i="74" s="1"/>
  <c r="X26" i="74" a="1"/>
  <c r="X26" i="74" s="1"/>
  <c r="W26" i="74"/>
  <c r="W26" i="74" a="1"/>
  <c r="AA25" i="74" a="1"/>
  <c r="AA25" i="74" s="1"/>
  <c r="Z25" i="74" a="1"/>
  <c r="Z25" i="74" s="1"/>
  <c r="Y25" i="74"/>
  <c r="Y25" i="74" a="1"/>
  <c r="X25" i="74"/>
  <c r="X25" i="74" a="1"/>
  <c r="W25" i="74" a="1"/>
  <c r="W25" i="74" s="1"/>
  <c r="AA24" i="74" a="1"/>
  <c r="AA24" i="74" s="1"/>
  <c r="Z24" i="74" a="1"/>
  <c r="Z24" i="74" s="1"/>
  <c r="Y24" i="74" a="1"/>
  <c r="Y24" i="74" s="1"/>
  <c r="X24" i="74" a="1"/>
  <c r="X24" i="74" s="1"/>
  <c r="W24" i="74"/>
  <c r="W24" i="74" a="1"/>
  <c r="AA23" i="74" a="1"/>
  <c r="AA23" i="74" s="1"/>
  <c r="Z23" i="74" a="1"/>
  <c r="Z23" i="74" s="1"/>
  <c r="Y23" i="74"/>
  <c r="Y23" i="74" a="1"/>
  <c r="X23" i="74" a="1"/>
  <c r="X23" i="74" s="1"/>
  <c r="W23" i="74"/>
  <c r="W23" i="74" a="1"/>
  <c r="AA22" i="74" a="1"/>
  <c r="AA22" i="74" s="1"/>
  <c r="Z22" i="74" a="1"/>
  <c r="Z22" i="74" s="1"/>
  <c r="Y22" i="74" a="1"/>
  <c r="Y22" i="74" s="1"/>
  <c r="X22" i="74" a="1"/>
  <c r="X22" i="74" s="1"/>
  <c r="W22" i="74" a="1"/>
  <c r="W22" i="74" s="1"/>
  <c r="AA21" i="74"/>
  <c r="AA21" i="74" a="1"/>
  <c r="Z21" i="74" a="1"/>
  <c r="Z21" i="74" s="1"/>
  <c r="Y21" i="74"/>
  <c r="Y21" i="74" a="1"/>
  <c r="X21" i="74" a="1"/>
  <c r="X21" i="74" s="1"/>
  <c r="W21" i="74" a="1"/>
  <c r="W21" i="74" s="1"/>
  <c r="AA20" i="74" a="1"/>
  <c r="AA20" i="74" s="1"/>
  <c r="Z20" i="74" a="1"/>
  <c r="Z20" i="74" s="1"/>
  <c r="Y20" i="74" a="1"/>
  <c r="Y20" i="74" s="1"/>
  <c r="X20" i="74" a="1"/>
  <c r="X20" i="74" s="1"/>
  <c r="W20" i="74"/>
  <c r="W20" i="74" a="1"/>
  <c r="AA19" i="74" a="1"/>
  <c r="AA19" i="74" s="1"/>
  <c r="Z19" i="74" a="1"/>
  <c r="Z19" i="74" s="1"/>
  <c r="Y19" i="74"/>
  <c r="Y19" i="74" a="1"/>
  <c r="X19" i="74" a="1"/>
  <c r="X19" i="74" s="1"/>
  <c r="W19" i="74" a="1"/>
  <c r="W19" i="74" s="1"/>
  <c r="AA18" i="74"/>
  <c r="AA18" i="74" a="1"/>
  <c r="Z18" i="74" a="1"/>
  <c r="Z18" i="74" s="1"/>
  <c r="Y18" i="74" a="1"/>
  <c r="Y18" i="74" s="1"/>
  <c r="X18" i="74" a="1"/>
  <c r="X18" i="74" s="1"/>
  <c r="W18" i="74" a="1"/>
  <c r="W18" i="74" s="1"/>
  <c r="AA17" i="74" a="1"/>
  <c r="AA17" i="74" s="1"/>
  <c r="Z17" i="74"/>
  <c r="Z17" i="74" a="1"/>
  <c r="Y17" i="74"/>
  <c r="Y17" i="74" a="1"/>
  <c r="X17" i="74" a="1"/>
  <c r="X17" i="74" s="1"/>
  <c r="W17" i="74" a="1"/>
  <c r="W17" i="74" s="1"/>
  <c r="AA16" i="74" a="1"/>
  <c r="AA16" i="74" s="1"/>
  <c r="Z16" i="74" a="1"/>
  <c r="Z16" i="74" s="1"/>
  <c r="Y16" i="74" a="1"/>
  <c r="Y16" i="74" s="1"/>
  <c r="X16" i="74" a="1"/>
  <c r="X16" i="74" s="1"/>
  <c r="W16" i="74" a="1"/>
  <c r="W16" i="74" s="1"/>
  <c r="AA15" i="74" a="1"/>
  <c r="AA15" i="74" s="1"/>
  <c r="Z15" i="74" a="1"/>
  <c r="Z15" i="74" s="1"/>
  <c r="Y15" i="74"/>
  <c r="Y15" i="74" a="1"/>
  <c r="X15" i="74" a="1"/>
  <c r="X15" i="74" s="1"/>
  <c r="W15" i="74" a="1"/>
  <c r="W15" i="74" s="1"/>
  <c r="AA14" i="74" a="1"/>
  <c r="AA14" i="74" s="1"/>
  <c r="Z14" i="74"/>
  <c r="Z14" i="74" a="1"/>
  <c r="Y14" i="74" a="1"/>
  <c r="Y14" i="74" s="1"/>
  <c r="X14" i="74" a="1"/>
  <c r="X14" i="74" s="1"/>
  <c r="W14" i="74" a="1"/>
  <c r="W14" i="74" s="1"/>
  <c r="AA13" i="74" a="1"/>
  <c r="AA13" i="74" s="1"/>
  <c r="Z13" i="74" a="1"/>
  <c r="Z13" i="74" s="1"/>
  <c r="Y13" i="74"/>
  <c r="Y13" i="74" a="1"/>
  <c r="X13" i="74" a="1"/>
  <c r="X13" i="74" s="1"/>
  <c r="W13" i="74" a="1"/>
  <c r="W13" i="74" s="1"/>
  <c r="AA12" i="74" a="1"/>
  <c r="AA12" i="74" s="1"/>
  <c r="Z12" i="74"/>
  <c r="Z12" i="74" a="1"/>
  <c r="Y12" i="74" a="1"/>
  <c r="Y12" i="74" s="1"/>
  <c r="X12" i="74" a="1"/>
  <c r="X12" i="74" s="1"/>
  <c r="W12" i="74" a="1"/>
  <c r="W12" i="74" s="1"/>
  <c r="AA11" i="74" a="1"/>
  <c r="AA11" i="74" s="1"/>
  <c r="Z11" i="74" a="1"/>
  <c r="Z11" i="74" s="1"/>
  <c r="Y11" i="74"/>
  <c r="Y11" i="74" a="1"/>
  <c r="X11" i="74" a="1"/>
  <c r="X11" i="74" s="1"/>
  <c r="W11" i="74" a="1"/>
  <c r="W11" i="74" s="1"/>
  <c r="AA10" i="74" a="1"/>
  <c r="AA10" i="74" s="1"/>
  <c r="Z10" i="74" a="1"/>
  <c r="Z10" i="74" s="1"/>
  <c r="Y10" i="74" a="1"/>
  <c r="Y10" i="74" s="1"/>
  <c r="X10" i="74" a="1"/>
  <c r="X10" i="74" s="1"/>
  <c r="W10" i="74" a="1"/>
  <c r="W10" i="74" s="1"/>
  <c r="AA9" i="74" a="1"/>
  <c r="AA9" i="74" s="1"/>
  <c r="Z9" i="74" a="1"/>
  <c r="Z9" i="74" s="1"/>
  <c r="Y9" i="74"/>
  <c r="Y9" i="74" a="1"/>
  <c r="X9" i="74"/>
  <c r="X9" i="74" a="1"/>
  <c r="W9" i="74" a="1"/>
  <c r="W9" i="74" s="1"/>
  <c r="AA8" i="74" a="1"/>
  <c r="AA8" i="74" s="1"/>
  <c r="Z8" i="74"/>
  <c r="Z8" i="74" a="1"/>
  <c r="Y8" i="74" a="1"/>
  <c r="Y8" i="74" s="1"/>
  <c r="X8" i="74"/>
  <c r="X8" i="74" a="1"/>
  <c r="W8" i="74" a="1"/>
  <c r="W8" i="74" s="1"/>
  <c r="AA7" i="74" a="1"/>
  <c r="AA7" i="74" s="1"/>
  <c r="Z7" i="74" a="1"/>
  <c r="Z7" i="74" s="1"/>
  <c r="Y7" i="74"/>
  <c r="Y7" i="74" a="1"/>
  <c r="X7" i="74"/>
  <c r="X7" i="74" a="1"/>
  <c r="W7" i="74" a="1"/>
  <c r="W7" i="74" s="1"/>
  <c r="AA6" i="74" a="1"/>
  <c r="AA6" i="74" s="1"/>
  <c r="Z6" i="74" a="1"/>
  <c r="Z6" i="74" s="1"/>
  <c r="Y6" i="74" a="1"/>
  <c r="Y6" i="74" s="1"/>
  <c r="X6" i="74" a="1"/>
  <c r="X6" i="74" s="1"/>
  <c r="W6" i="74" a="1"/>
  <c r="W6" i="74" s="1"/>
  <c r="AA5" i="74" a="1"/>
  <c r="AA5" i="74" s="1"/>
  <c r="Z5" i="74" a="1"/>
  <c r="Z5" i="74" s="1"/>
  <c r="Y5" i="74"/>
  <c r="Y5" i="74" a="1"/>
  <c r="X5" i="74" a="1"/>
  <c r="X5" i="74" s="1"/>
  <c r="W5" i="74"/>
  <c r="W5" i="74" a="1"/>
  <c r="AA4" i="74" a="1"/>
  <c r="AA4" i="74" s="1"/>
  <c r="Z4" i="74" a="1"/>
  <c r="Z4" i="74" s="1"/>
  <c r="Y4" i="74" a="1"/>
  <c r="Y4" i="74" s="1"/>
  <c r="X4" i="74" a="1"/>
  <c r="X4" i="74" s="1"/>
  <c r="W4" i="74" a="1"/>
  <c r="W4" i="74" s="1"/>
  <c r="C152" i="48" l="1"/>
  <c r="J88" i="48" a="1"/>
  <c r="J88" i="48" s="1"/>
  <c r="K88" i="48" s="1" a="1"/>
  <c r="K88" i="48" s="1"/>
  <c r="Y203" i="72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X189" i="72" a="1"/>
  <c r="X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X186" i="72" a="1"/>
  <c r="X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W179" i="72" a="1"/>
  <c r="W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W176" i="72" a="1"/>
  <c r="W176" i="72" s="1"/>
  <c r="Y175" i="72"/>
  <c r="Y175" i="72" a="1"/>
  <c r="X175" i="72" a="1"/>
  <c r="X175" i="72" s="1"/>
  <c r="W175" i="72" a="1"/>
  <c r="W175" i="72" s="1"/>
  <c r="Y174" i="72" a="1"/>
  <c r="Y174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Y171" i="72" a="1"/>
  <c r="Y171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W160" i="72" a="1"/>
  <c r="W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W157" i="72" a="1"/>
  <c r="W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X149" i="72" a="1"/>
  <c r="X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X146" i="72" a="1"/>
  <c r="X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Y126" i="72" a="1"/>
  <c r="Y126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Y123" i="72" a="1"/>
  <c r="Y123" i="72" s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Y111" i="72" a="1"/>
  <c r="Y111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Y108" i="72" a="1"/>
  <c r="Y108" i="72" s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W102" i="72" a="1"/>
  <c r="W102" i="72" s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W99" i="72"/>
  <c r="W99" i="72" a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Y93" i="72" a="1"/>
  <c r="Y93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X91" i="72" a="1"/>
  <c r="X91" i="72" s="1"/>
  <c r="W91" i="72" a="1"/>
  <c r="W91" i="72" s="1"/>
  <c r="Y90" i="72" a="1"/>
  <c r="Y90" i="72" s="1"/>
  <c r="X90" i="72" a="1"/>
  <c r="X90" i="72" s="1"/>
  <c r="W90" i="72" a="1"/>
  <c r="W90" i="72" s="1"/>
  <c r="Y89" i="72" a="1"/>
  <c r="Y89" i="72" s="1"/>
  <c r="X89" i="72" a="1"/>
  <c r="X89" i="72" s="1"/>
  <c r="W89" i="72"/>
  <c r="W89" i="72" a="1"/>
  <c r="Y88" i="72" a="1"/>
  <c r="Y88" i="72" s="1"/>
  <c r="X88" i="72" a="1"/>
  <c r="X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W86" i="72" a="1"/>
  <c r="W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X72" i="72" a="1"/>
  <c r="X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X69" i="72" a="1"/>
  <c r="X69" i="72" s="1"/>
  <c r="W69" i="72"/>
  <c r="W69" i="72" a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W66" i="72" a="1"/>
  <c r="W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Y63" i="72" a="1"/>
  <c r="Y63" i="72" s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Y60" i="72" a="1"/>
  <c r="Y60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W51" i="72" a="1"/>
  <c r="W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X48" i="72" a="1"/>
  <c r="X48" i="72" s="1"/>
  <c r="W48" i="72" a="1"/>
  <c r="W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X45" i="72" a="1"/>
  <c r="X45" i="72" s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X13" i="72" a="1"/>
  <c r="X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X10" i="72" a="1"/>
  <c r="X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Y6" i="72" a="1"/>
  <c r="Y6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C80" i="48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K152" i="48" l="1"/>
  <c r="L88" i="48" s="1" a="1"/>
  <c r="L88" i="48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O21" i="75" a="1"/>
  <c r="AO21" i="75" s="1"/>
  <c r="AO23" i="75" s="1" a="1"/>
  <c r="AO23" i="75" s="1"/>
  <c r="AO26" i="75" a="1"/>
  <c r="AO26" i="75"/>
  <c r="AO28" i="75" a="1"/>
  <c r="AO28" i="75"/>
  <c r="T10" i="30"/>
  <c r="T9" i="30"/>
  <c r="P21" i="30"/>
  <c r="O21" i="30" s="1"/>
  <c r="P20" i="30"/>
  <c r="O20" i="30"/>
  <c r="T6" i="30"/>
  <c r="T8" i="30"/>
  <c r="O8" i="30" s="1"/>
  <c r="AG19" i="75" s="1" a="1"/>
  <c r="AG19" i="75" s="1"/>
  <c r="T5" i="30"/>
  <c r="P19" i="30"/>
  <c r="O19" i="30" s="1"/>
  <c r="AH19" i="75" s="1" a="1"/>
  <c r="AH19" i="75" s="1"/>
  <c r="AE15" i="75"/>
  <c r="AA5" i="75" a="1"/>
  <c r="AA5" i="75" s="1"/>
  <c r="AE5" i="75" s="1" a="1"/>
  <c r="AE5" i="75" s="1"/>
  <c r="P17" i="30"/>
  <c r="Q37" i="75" a="1"/>
  <c r="Q37" i="75" s="1"/>
  <c r="O11" i="30"/>
  <c r="O7" i="30"/>
  <c r="O22" i="30"/>
  <c r="O18" i="30"/>
  <c r="O32" i="30"/>
  <c r="O31" i="30"/>
  <c r="O30" i="30"/>
  <c r="O29" i="30"/>
  <c r="O28" i="30"/>
  <c r="O54" i="30"/>
  <c r="O53" i="30"/>
  <c r="O52" i="30"/>
  <c r="O51" i="30"/>
  <c r="O43" i="30"/>
  <c r="O42" i="30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T15" i="75" a="1"/>
  <c r="T15" i="75" s="1"/>
  <c r="W14" i="75"/>
  <c r="V14" i="75"/>
  <c r="U14" i="75"/>
  <c r="T14" i="75"/>
  <c r="O32" i="75"/>
  <c r="N32" i="75"/>
  <c r="Q14" i="75"/>
  <c r="P14" i="75"/>
  <c r="O14" i="75"/>
  <c r="N14" i="75"/>
  <c r="M88" i="48" l="1" a="1"/>
  <c r="I4" i="76" a="1"/>
  <c r="I4" i="76" s="1"/>
  <c r="Q38" i="75" a="1"/>
  <c r="Q38" i="75" s="1"/>
  <c r="Q42" i="75" a="1"/>
  <c r="Q42" i="75" s="1"/>
  <c r="AC16" i="75" a="1"/>
  <c r="AC16" i="75" s="1"/>
  <c r="F8" i="48" l="1"/>
  <c r="G8" i="48" s="1"/>
  <c r="D22" i="4" s="1"/>
  <c r="C22" i="4" s="1"/>
  <c r="M88" i="48"/>
  <c r="O9" i="30"/>
  <c r="O10" i="30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B7" i="30" a="1"/>
  <c r="AB7" i="30" s="1"/>
  <c r="O6" i="30"/>
  <c r="AC19" i="75" s="1" a="1"/>
  <c r="AC19" i="75" s="1"/>
  <c r="O5" i="30"/>
  <c r="Y19" i="75" s="1" a="1"/>
  <c r="Y19" i="75" s="1"/>
  <c r="AB22" i="30" a="1"/>
  <c r="AB22" i="30" s="1"/>
  <c r="O33" i="30"/>
  <c r="AB33" i="30" s="1" a="1"/>
  <c r="AB33" i="30" s="1"/>
  <c r="AB18" i="30" a="1"/>
  <c r="AB18" i="30" s="1"/>
  <c r="AB29" i="30" a="1"/>
  <c r="AB29" i="30" s="1"/>
  <c r="O27" i="30"/>
  <c r="AB27" i="30" s="1" a="1"/>
  <c r="AB27" i="30" s="1"/>
  <c r="C96" i="75"/>
  <c r="O44" i="30"/>
  <c r="O41" i="30"/>
  <c r="AB11" i="30" a="1"/>
  <c r="AB11" i="30" s="1"/>
  <c r="O55" i="30"/>
  <c r="O50" i="30"/>
  <c r="O49" i="30"/>
  <c r="O38" i="30"/>
  <c r="O40" i="30"/>
  <c r="O39" i="30"/>
  <c r="Z19" i="75" l="1" a="1"/>
  <c r="Z19" i="75" s="1"/>
  <c r="AA19" i="75" s="1" a="1"/>
  <c r="AA19" i="75" s="1"/>
  <c r="U19" i="75" s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AB28" i="30" a="1"/>
  <c r="AB28" i="30" s="1"/>
  <c r="AB8" i="30" a="1"/>
  <c r="AB8" i="30" s="1"/>
  <c r="AB19" i="30" a="1"/>
  <c r="AB19" i="30" s="1"/>
  <c r="C32" i="75"/>
  <c r="U19" i="75" l="1"/>
  <c r="U32" i="75"/>
  <c r="AB30" i="30" a="1"/>
  <c r="AB30" i="30" s="1"/>
  <c r="AB10" i="30" a="1"/>
  <c r="AB10" i="30" s="1"/>
  <c r="AB9" i="30" a="1"/>
  <c r="AB9" i="30" s="1"/>
  <c r="AB21" i="30" a="1"/>
  <c r="AB21" i="30" s="1"/>
  <c r="AB20" i="30" a="1"/>
  <c r="AB20" i="30" s="1"/>
  <c r="I83" i="75"/>
  <c r="J88" i="75" a="1"/>
  <c r="J88" i="75" s="1"/>
  <c r="D83" i="75" s="1" a="1"/>
  <c r="D83" i="75" s="1"/>
  <c r="D96" i="75" s="1"/>
  <c r="I19" i="75"/>
  <c r="K24" i="75" a="1"/>
  <c r="K24" i="75" s="1"/>
  <c r="AB32" i="30" l="1" a="1"/>
  <c r="AB32" i="30" s="1"/>
  <c r="AB31" i="30" a="1"/>
  <c r="AB31" i="30" s="1"/>
  <c r="O17" i="30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AB17" i="30" a="1"/>
  <c r="AB17" i="30" s="1"/>
  <c r="AB6" i="30" a="1"/>
  <c r="AB6" i="30" s="1"/>
  <c r="AB5" i="30" a="1"/>
  <c r="AB5" i="30" s="1"/>
  <c r="V19" i="75" l="1"/>
  <c r="V32" i="75"/>
  <c r="O16" i="30"/>
  <c r="AB16" i="30" s="1" a="1"/>
  <c r="AB16" i="30" s="1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E27" i="74" l="1"/>
  <c r="E26" i="74"/>
  <c r="G27" i="74"/>
  <c r="G26" i="74"/>
  <c r="D27" i="74"/>
  <c r="D26" i="74"/>
  <c r="F27" i="74"/>
  <c r="F26" i="74"/>
  <c r="C24" i="74"/>
  <c r="C27" i="74" l="1"/>
  <c r="C26" i="74"/>
  <c r="J4" i="72" a="1"/>
  <c r="J4" i="72" s="1"/>
  <c r="H4" i="72" a="1"/>
  <c r="H4" i="72" s="1"/>
  <c r="A4" i="72" a="1"/>
  <c r="F21" i="72" s="1"/>
  <c r="E20" i="71"/>
  <c r="H4" i="71" a="1"/>
  <c r="H4" i="71" s="1"/>
  <c r="A4" i="71" a="1"/>
  <c r="F21" i="71" s="1"/>
  <c r="H4" i="70" a="1"/>
  <c r="H4" i="70" s="1"/>
  <c r="A4" i="70" a="1"/>
  <c r="F21" i="70" s="1"/>
  <c r="G21" i="69"/>
  <c r="E21" i="69"/>
  <c r="C21" i="69"/>
  <c r="G20" i="69"/>
  <c r="F20" i="69"/>
  <c r="G17" i="69"/>
  <c r="E17" i="69"/>
  <c r="D17" i="69"/>
  <c r="E11" i="69"/>
  <c r="D11" i="69"/>
  <c r="C11" i="69"/>
  <c r="G10" i="69"/>
  <c r="C10" i="69"/>
  <c r="G7" i="69"/>
  <c r="F7" i="69"/>
  <c r="E7" i="69"/>
  <c r="D7" i="69"/>
  <c r="H4" i="69" a="1"/>
  <c r="H4" i="69" s="1"/>
  <c r="A4" i="69" a="1"/>
  <c r="F21" i="69" s="1"/>
  <c r="H4" i="68" a="1"/>
  <c r="H4" i="68" s="1"/>
  <c r="A4" i="68" a="1"/>
  <c r="J19" i="30"/>
  <c r="J12" i="30"/>
  <c r="D14" i="72" l="1"/>
  <c r="D12" i="69"/>
  <c r="E12" i="69"/>
  <c r="G7" i="72"/>
  <c r="C22" i="69"/>
  <c r="D9" i="72"/>
  <c r="G9" i="72"/>
  <c r="D8" i="72"/>
  <c r="C15" i="72"/>
  <c r="D5" i="69"/>
  <c r="G15" i="69"/>
  <c r="D19" i="72"/>
  <c r="E5" i="69"/>
  <c r="C16" i="69"/>
  <c r="E19" i="72"/>
  <c r="D16" i="69"/>
  <c r="F19" i="71"/>
  <c r="F19" i="72"/>
  <c r="F6" i="69"/>
  <c r="E16" i="69"/>
  <c r="G19" i="71"/>
  <c r="G6" i="69"/>
  <c r="F16" i="69"/>
  <c r="C20" i="71"/>
  <c r="C20" i="72"/>
  <c r="C8" i="72"/>
  <c r="E8" i="72"/>
  <c r="F11" i="69"/>
  <c r="D22" i="69"/>
  <c r="G11" i="69"/>
  <c r="F22" i="69"/>
  <c r="C14" i="72"/>
  <c r="E14" i="72"/>
  <c r="C5" i="69"/>
  <c r="F15" i="69"/>
  <c r="E19" i="71"/>
  <c r="F5" i="69"/>
  <c r="G19" i="72"/>
  <c r="C7" i="69"/>
  <c r="G16" i="69"/>
  <c r="D20" i="71"/>
  <c r="G17" i="70"/>
  <c r="C18" i="70"/>
  <c r="E22" i="70"/>
  <c r="F14" i="72"/>
  <c r="D18" i="70"/>
  <c r="F22" i="70"/>
  <c r="G22" i="70"/>
  <c r="G14" i="72"/>
  <c r="D20" i="72"/>
  <c r="C12" i="69"/>
  <c r="E22" i="69"/>
  <c r="D21" i="72"/>
  <c r="F12" i="69"/>
  <c r="C13" i="69"/>
  <c r="C11" i="72"/>
  <c r="E16" i="72"/>
  <c r="C22" i="72"/>
  <c r="F11" i="68"/>
  <c r="G8" i="71"/>
  <c r="F5" i="72"/>
  <c r="D11" i="72"/>
  <c r="F16" i="72"/>
  <c r="G22" i="72"/>
  <c r="C8" i="71"/>
  <c r="E10" i="72"/>
  <c r="F15" i="72"/>
  <c r="C21" i="72"/>
  <c r="F14" i="68"/>
  <c r="E23" i="69"/>
  <c r="C5" i="72"/>
  <c r="F23" i="69"/>
  <c r="G21" i="72"/>
  <c r="G23" i="69"/>
  <c r="E22" i="68"/>
  <c r="F22" i="68"/>
  <c r="C9" i="71"/>
  <c r="G22" i="68"/>
  <c r="E8" i="69"/>
  <c r="G13" i="69"/>
  <c r="E19" i="69"/>
  <c r="E8" i="70"/>
  <c r="C13" i="71"/>
  <c r="C6" i="72"/>
  <c r="G11" i="72"/>
  <c r="C17" i="72"/>
  <c r="D23" i="72"/>
  <c r="C10" i="72"/>
  <c r="D15" i="72"/>
  <c r="F20" i="72"/>
  <c r="G11" i="68"/>
  <c r="E5" i="72"/>
  <c r="E18" i="69"/>
  <c r="D19" i="69"/>
  <c r="E11" i="72"/>
  <c r="F19" i="69"/>
  <c r="F8" i="70"/>
  <c r="D13" i="71"/>
  <c r="F6" i="72"/>
  <c r="C12" i="72"/>
  <c r="D17" i="72"/>
  <c r="E23" i="72"/>
  <c r="C11" i="68"/>
  <c r="E8" i="71"/>
  <c r="G10" i="72"/>
  <c r="G19" i="68"/>
  <c r="D18" i="69"/>
  <c r="D13" i="69"/>
  <c r="D8" i="69"/>
  <c r="G5" i="72"/>
  <c r="G8" i="70"/>
  <c r="G6" i="72"/>
  <c r="E18" i="72"/>
  <c r="F23" i="72"/>
  <c r="D8" i="71"/>
  <c r="F10" i="72"/>
  <c r="C18" i="69"/>
  <c r="D5" i="72"/>
  <c r="D16" i="72"/>
  <c r="F8" i="71"/>
  <c r="C8" i="69"/>
  <c r="E13" i="69"/>
  <c r="C23" i="72"/>
  <c r="G8" i="69"/>
  <c r="C9" i="69"/>
  <c r="G19" i="69"/>
  <c r="F14" i="71"/>
  <c r="E23" i="68"/>
  <c r="D9" i="69"/>
  <c r="C15" i="69"/>
  <c r="C20" i="69"/>
  <c r="C13" i="70"/>
  <c r="G14" i="71"/>
  <c r="C7" i="72"/>
  <c r="E12" i="72"/>
  <c r="F18" i="72"/>
  <c r="G23" i="72"/>
  <c r="E11" i="68"/>
  <c r="E9" i="69"/>
  <c r="D15" i="69"/>
  <c r="D20" i="69"/>
  <c r="D13" i="70"/>
  <c r="C15" i="71"/>
  <c r="E7" i="72"/>
  <c r="F12" i="72"/>
  <c r="G18" i="72"/>
  <c r="G10" i="68"/>
  <c r="D10" i="72"/>
  <c r="E15" i="72"/>
  <c r="G20" i="72"/>
  <c r="E14" i="68"/>
  <c r="G15" i="72"/>
  <c r="F19" i="68"/>
  <c r="G16" i="72"/>
  <c r="C23" i="68"/>
  <c r="C14" i="69"/>
  <c r="D14" i="69"/>
  <c r="D12" i="72"/>
  <c r="A4" i="69"/>
  <c r="AC30" i="69" s="1" a="1"/>
  <c r="AC30" i="69" s="1"/>
  <c r="G9" i="69"/>
  <c r="E15" i="69"/>
  <c r="E20" i="69"/>
  <c r="E13" i="70"/>
  <c r="D15" i="71"/>
  <c r="F7" i="72"/>
  <c r="G12" i="72"/>
  <c r="C19" i="72"/>
  <c r="J22" i="30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E16" i="70"/>
  <c r="D6" i="71"/>
  <c r="G11" i="71"/>
  <c r="E23" i="71"/>
  <c r="E15" i="68"/>
  <c r="F15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E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Q4" i="72" a="1"/>
  <c r="Q4" i="72" s="1"/>
  <c r="C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E8" i="68"/>
  <c r="E12" i="68"/>
  <c r="E16" i="68"/>
  <c r="E20" i="68"/>
  <c r="E5" i="68"/>
  <c r="F8" i="68"/>
  <c r="F12" i="68"/>
  <c r="F16" i="68"/>
  <c r="F20" i="68"/>
  <c r="F4" i="72" l="1"/>
  <c r="G4" i="69"/>
  <c r="G24" i="69" s="1"/>
  <c r="AJ30" i="69" a="1"/>
  <c r="AJ30" i="69" s="1"/>
  <c r="AC6" i="69" a="1"/>
  <c r="AC6" i="69" s="1"/>
  <c r="AC54" i="69" a="1"/>
  <c r="AC54" i="69" s="1"/>
  <c r="Q4" i="69" a="1"/>
  <c r="Q4" i="69" s="1"/>
  <c r="AJ54" i="69" a="1"/>
  <c r="AJ54" i="69" s="1"/>
  <c r="D4" i="69"/>
  <c r="D24" i="69" s="1"/>
  <c r="C4" i="69"/>
  <c r="C24" i="69" s="1"/>
  <c r="F4" i="69"/>
  <c r="F24" i="69" s="1"/>
  <c r="AJ6" i="69" a="1"/>
  <c r="AJ6" i="69" s="1"/>
  <c r="G4" i="70"/>
  <c r="G24" i="70" s="1"/>
  <c r="D4" i="70"/>
  <c r="D24" i="70" s="1"/>
  <c r="D4" i="72"/>
  <c r="D24" i="72" s="1"/>
  <c r="D26" i="72" s="1"/>
  <c r="AJ30" i="72" a="1"/>
  <c r="AJ30" i="72" s="1"/>
  <c r="AC30" i="72" a="1"/>
  <c r="AC30" i="72" s="1"/>
  <c r="AJ6" i="72" a="1"/>
  <c r="AJ6" i="72" s="1"/>
  <c r="AC6" i="72" a="1"/>
  <c r="AC6" i="72" s="1"/>
  <c r="AJ54" i="72" a="1"/>
  <c r="AJ54" i="72" s="1"/>
  <c r="AC54" i="72" a="1"/>
  <c r="AC54" i="72" s="1"/>
  <c r="L5" i="30"/>
  <c r="G2" i="75"/>
  <c r="C24" i="72"/>
  <c r="C26" i="72" s="1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G4" i="72"/>
  <c r="E24" i="69"/>
  <c r="Q4" i="71" a="1"/>
  <c r="Q4" i="71" s="1"/>
  <c r="F24" i="72"/>
  <c r="F27" i="72" s="1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E4" i="68"/>
  <c r="E24" i="68" s="1"/>
  <c r="F4" i="68"/>
  <c r="F24" i="68" s="1"/>
  <c r="G4" i="68"/>
  <c r="G24" i="68" s="1"/>
  <c r="C4" i="68"/>
  <c r="H250" i="48"/>
  <c r="H29" i="48"/>
  <c r="F27" i="71" l="1"/>
  <c r="F26" i="71"/>
  <c r="E26" i="69"/>
  <c r="E27" i="69"/>
  <c r="E27" i="68"/>
  <c r="E26" i="68"/>
  <c r="D26" i="70"/>
  <c r="D27" i="70"/>
  <c r="E27" i="70"/>
  <c r="E26" i="70"/>
  <c r="F27" i="70"/>
  <c r="F26" i="70"/>
  <c r="G26" i="71"/>
  <c r="G27" i="71"/>
  <c r="E27" i="71"/>
  <c r="E26" i="71"/>
  <c r="G27" i="68"/>
  <c r="G26" i="68"/>
  <c r="G27" i="69"/>
  <c r="G26" i="69"/>
  <c r="C26" i="71"/>
  <c r="C27" i="71"/>
  <c r="F27" i="68"/>
  <c r="F26" i="68"/>
  <c r="G27" i="70"/>
  <c r="G26" i="70"/>
  <c r="F27" i="69"/>
  <c r="F26" i="69"/>
  <c r="C26" i="70"/>
  <c r="C27" i="70"/>
  <c r="C26" i="69"/>
  <c r="C27" i="69"/>
  <c r="D27" i="69"/>
  <c r="D26" i="69"/>
  <c r="F26" i="72"/>
  <c r="C27" i="72"/>
  <c r="G24" i="72"/>
  <c r="G27" i="72" s="1"/>
  <c r="G26" i="72"/>
  <c r="E27" i="72"/>
  <c r="D27" i="72"/>
  <c r="D24" i="71"/>
  <c r="D27" i="71" s="1"/>
  <c r="K8" i="30"/>
  <c r="F2" i="75"/>
  <c r="F4" i="75" s="1" a="1"/>
  <c r="F4" i="75" s="1"/>
  <c r="C24" i="68"/>
  <c r="O229" i="48" a="1"/>
  <c r="O229" i="48" s="1"/>
  <c r="O159" i="48" a="1"/>
  <c r="O159" i="48" s="1"/>
  <c r="O16" i="48" a="1"/>
  <c r="O16" i="48" s="1"/>
  <c r="C26" i="68" l="1"/>
  <c r="C27" i="68"/>
  <c r="D26" i="71"/>
  <c r="C4" i="76" a="1"/>
  <c r="C4" i="76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H4" i="13" a="1"/>
  <c r="H4" i="13" s="1"/>
  <c r="A4" i="13" a="1"/>
  <c r="Q4" i="13" l="1" a="1"/>
  <c r="Q4" i="13" s="1"/>
  <c r="C22" i="13"/>
  <c r="G22" i="13"/>
  <c r="C23" i="13"/>
  <c r="E23" i="13"/>
  <c r="F23" i="13"/>
  <c r="G23" i="13"/>
  <c r="E22" i="13"/>
  <c r="F22" i="13"/>
  <c r="A4" i="13"/>
  <c r="E13" i="13"/>
  <c r="E20" i="13"/>
  <c r="C21" i="13"/>
  <c r="F6" i="13"/>
  <c r="F13" i="13"/>
  <c r="F20" i="13"/>
  <c r="G6" i="13"/>
  <c r="G13" i="13"/>
  <c r="G20" i="13"/>
  <c r="C7" i="13"/>
  <c r="C14" i="13"/>
  <c r="E7" i="13"/>
  <c r="E14" i="13"/>
  <c r="F7" i="13"/>
  <c r="F14" i="13"/>
  <c r="G7" i="13"/>
  <c r="F16" i="13"/>
  <c r="G16" i="13"/>
  <c r="C10" i="13"/>
  <c r="C17" i="13"/>
  <c r="E10" i="13"/>
  <c r="E17" i="13"/>
  <c r="F10" i="13"/>
  <c r="F17" i="13"/>
  <c r="G10" i="13"/>
  <c r="G17" i="13"/>
  <c r="C11" i="13"/>
  <c r="C20" i="13"/>
  <c r="C8" i="13"/>
  <c r="E11" i="13"/>
  <c r="G14" i="13"/>
  <c r="C18" i="13"/>
  <c r="E21" i="13"/>
  <c r="F11" i="13"/>
  <c r="F21" i="13"/>
  <c r="C5" i="13"/>
  <c r="G11" i="13"/>
  <c r="C15" i="13"/>
  <c r="E18" i="13"/>
  <c r="F8" i="13"/>
  <c r="F18" i="13"/>
  <c r="E5" i="13"/>
  <c r="C12" i="13"/>
  <c r="E15" i="13"/>
  <c r="G18" i="13"/>
  <c r="G5" i="13"/>
  <c r="E12" i="13"/>
  <c r="F9" i="13"/>
  <c r="F19" i="13"/>
  <c r="E8" i="13"/>
  <c r="G21" i="13"/>
  <c r="G8" i="13"/>
  <c r="F5" i="13"/>
  <c r="F15" i="13"/>
  <c r="C9" i="13"/>
  <c r="G15" i="13"/>
  <c r="C1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F4" i="13"/>
  <c r="F24" i="13" s="1"/>
  <c r="C4" i="13"/>
  <c r="C24" i="13" s="1"/>
  <c r="G4" i="13"/>
  <c r="G24" i="13" s="1"/>
  <c r="G27" i="13" l="1"/>
  <c r="G26" i="13"/>
  <c r="F27" i="13"/>
  <c r="F26" i="13"/>
  <c r="E27" i="13"/>
  <c r="E26" i="13"/>
  <c r="C27" i="13"/>
  <c r="C26" i="13"/>
  <c r="B41" i="4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s="1" a="1"/>
  <c r="K4" i="76" s="1"/>
  <c r="M229" i="48" l="1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L16" i="48" l="1" a="1"/>
  <c r="L16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  <c r="D15" i="13"/>
  <c r="D4" i="13"/>
  <c r="D16" i="13"/>
  <c r="D8" i="13"/>
  <c r="D12" i="13"/>
  <c r="D10" i="13"/>
  <c r="D6" i="13"/>
  <c r="D23" i="13"/>
  <c r="D18" i="13"/>
  <c r="D13" i="13"/>
  <c r="D11" i="13"/>
  <c r="D14" i="13"/>
  <c r="D7" i="13"/>
  <c r="D5" i="13"/>
  <c r="D19" i="13"/>
  <c r="D9" i="13"/>
  <c r="D22" i="13"/>
  <c r="D17" i="13"/>
  <c r="D20" i="13"/>
  <c r="D21" i="13"/>
  <c r="J4" i="13" a="1"/>
  <c r="J4" i="13" s="1"/>
  <c r="D24" i="13" l="1"/>
  <c r="D27" i="13" s="1"/>
  <c r="D26" i="13" l="1"/>
  <c r="D4" i="68"/>
  <c r="Q4" i="68" a="1"/>
  <c r="Q4" i="68" s="1"/>
  <c r="D9" i="68"/>
  <c r="D11" i="68"/>
  <c r="D18" i="68"/>
  <c r="D21" i="68"/>
  <c r="D17" i="68"/>
  <c r="D10" i="68"/>
  <c r="D23" i="68"/>
  <c r="D6" i="68"/>
  <c r="D19" i="68"/>
  <c r="D12" i="68"/>
  <c r="D7" i="68"/>
  <c r="D5" i="68"/>
  <c r="D13" i="68"/>
  <c r="D14" i="68"/>
  <c r="D20" i="68"/>
  <c r="D16" i="68"/>
  <c r="D8" i="68"/>
  <c r="D22" i="68"/>
  <c r="J4" i="68" a="1"/>
  <c r="J4" i="68" s="1"/>
  <c r="D15" i="68"/>
  <c r="D24" i="68" l="1"/>
  <c r="D27" i="68" s="1"/>
  <c r="D26" i="6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<sst xmlns="http://schemas.openxmlformats.org/spreadsheetml/2006/main" count="8018" uniqueCount="336">
  <si>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</si>
  <si>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</si>
  <si>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</si>
  <si>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</si>
  <si>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</si>
  <si>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</si>
  <si>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</si>
  <si>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</si>
  <si>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</si>
  <si>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</si>
  <si>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</si>
  <si>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</si>
  <si>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</si>
  <si>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</si>
  <si>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</si>
  <si>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</si>
  <si>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</si>
  <si>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</si>
  <si>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</si>
  <si>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</si>
  <si>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</si>
  <si>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</si>
  <si>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</si>
  <si>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</si>
  <si>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</si>
  <si>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</si>
  <si>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</si>
  <si>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</si>
  <si>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</si>
  <si>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</si>
  <si>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</si>
  <si>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</si>
  <si>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</si>
  <si>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</si>
  <si>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</si>
  <si>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</si>
  <si>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</si>
  <si>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</si>
  <si>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</si>
  <si>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</si>
  <si>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</si>
  <si>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</si>
  <si>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</si>
  <si>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</si>
  <si>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</si>
  <si>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</si>
  <si>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</si>
  <si>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</si>
  <si>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</si>
  <si>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</si>
  <si>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</si>
  <si>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</si>
  <si>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</si>
  <si>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</si>
  <si>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</si>
  <si>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</si>
  <si>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</si>
  <si>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</si>
  <si>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</si>
  <si>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</si>
  <si>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</si>
  <si>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</si>
  <si>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</si>
  <si>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</si>
  <si>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</si>
  <si>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</si>
  <si>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</si>
  <si>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</si>
  <si>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</si>
  <si>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</si>
  <si>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</si>
  <si>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</si>
  <si>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</si>
  <si>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</si>
  <si>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</si>
  <si>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</si>
  <si>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</si>
  <si>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</si>
  <si>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</si>
  <si>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</si>
  <si>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</si>
  <si>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</si>
  <si>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</si>
  <si>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</si>
  <si>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</si>
  <si>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</si>
  <si>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</si>
  <si>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</si>
  <si>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</si>
  <si>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</si>
  <si>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</si>
  <si>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</si>
  <si>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</si>
  <si>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</si>
  <si>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</si>
  <si>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</si>
  <si>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</si>
  <si>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</si>
  <si>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</si>
  <si>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</si>
  <si>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</si>
  <si>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</si>
  <si>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</si>
  <si>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</si>
  <si>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</si>
  <si>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</si>
  <si>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</si>
  <si>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</si>
  <si>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</si>
  <si>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</si>
  <si>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</si>
  <si>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</si>
  <si>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</si>
  <si>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</si>
  <si>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</si>
  <si>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</si>
  <si>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</si>
  <si>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</si>
  <si>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</si>
  <si>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</si>
  <si>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</si>
  <si>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</si>
  <si>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</si>
  <si>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</si>
  <si>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</si>
  <si>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</si>
  <si>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</si>
  <si>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</si>
  <si>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</si>
  <si>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</si>
  <si>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</si>
  <si>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</si>
  <si>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</si>
  <si>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</si>
  <si>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</si>
  <si>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</si>
  <si>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</si>
  <si>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</si>
  <si>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</si>
  <si>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</si>
  <si>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</si>
  <si>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</si>
  <si>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</si>
  <si>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</si>
  <si>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</si>
  <si>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</si>
  <si>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</si>
  <si>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</si>
  <si>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</si>
  <si>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</si>
  <si>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</si>
  <si>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</si>
  <si>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</si>
  <si>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</si>
  <si>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</si>
  <si>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</si>
  <si>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</si>
  <si>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</si>
  <si>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</si>
  <si>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</si>
  <si>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</si>
  <si>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</si>
  <si>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</si>
  <si>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</si>
  <si>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</si>
  <si>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</si>
  <si>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</si>
  <si>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</si>
  <si>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</si>
  <si>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</si>
  <si>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</si>
  <si>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</si>
  <si>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</si>
  <si>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</si>
  <si>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</si>
  <si>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</si>
  <si>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</si>
  <si>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</si>
  <si>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</si>
  <si>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</si>
  <si>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</si>
  <si>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</si>
  <si>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</si>
  <si>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</si>
  <si>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</si>
  <si>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</si>
  <si>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</si>
  <si>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</si>
  <si>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</si>
  <si>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</si>
  <si>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</si>
  <si>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</si>
  <si>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</si>
  <si>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</si>
  <si>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</si>
  <si>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</si>
  <si>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</si>
  <si>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</si>
  <si>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</si>
  <si>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</si>
  <si>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</si>
  <si>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</si>
  <si>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</si>
  <si>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</si>
  <si>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</si>
  <si>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</si>
  <si>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</si>
  <si>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</si>
  <si>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</si>
  <si>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</si>
  <si>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</si>
  <si>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</si>
  <si>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</si>
  <si>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</si>
  <si>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</si>
  <si>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</si>
  <si>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</si>
  <si>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</si>
  <si>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</si>
  <si>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</si>
  <si>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</si>
  <si>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</si>
  <si>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</si>
  <si>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</si>
  <si>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</si>
  <si>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</si>
  <si>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</si>
  <si>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</si>
  <si>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</si>
  <si>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</si>
  <si>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</si>
  <si>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</si>
  <si>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</si>
  <si>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</si>
  <si>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</si>
  <si>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</si>
  <si>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</si>
  <si>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</si>
  <si>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</si>
  <si>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</si>
  <si>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</si>
  <si>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</si>
  <si>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</si>
  <si>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</si>
  <si>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</si>
  <si>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</si>
  <si>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t>Golden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</si>
  <si>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</si>
  <si>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</si>
  <si>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</si>
  <si>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</si>
  <si>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</si>
  <si>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</si>
  <si>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</si>
  <si>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</si>
  <si>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</si>
  <si>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</si>
  <si>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</si>
  <si>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</si>
  <si>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</si>
  <si>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</si>
  <si>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</si>
  <si>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</si>
  <si>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</si>
  <si>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</si>
  <si>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</si>
  <si>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</si>
  <si>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</si>
  <si>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</si>
  <si>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</si>
  <si>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</si>
  <si>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</si>
  <si>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</si>
  <si>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</si>
  <si>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</si>
  <si>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</si>
  <si>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</si>
  <si>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</si>
  <si>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</si>
  <si>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</si>
  <si>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</si>
  <si>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</si>
  <si>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</si>
  <si>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</si>
  <si>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</si>
  <si>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</si>
  <si>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</si>
  <si>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</si>
  <si>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</si>
  <si>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</si>
  <si>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</si>
  <si>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</si>
  <si>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</si>
  <si>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</si>
  <si>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</si>
  <si>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</si>
  <si>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</si>
  <si>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</si>
  <si>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</si>
  <si>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</si>
  <si>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</si>
  <si>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</si>
  <si>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</si>
  <si>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</si>
  <si>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</si>
  <si>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</si>
  <si>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</si>
  <si>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</si>
  <si>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</si>
  <si>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</si>
  <si>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</si>
  <si>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</si>
  <si>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</si>
  <si>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</si>
  <si>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</si>
  <si>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</si>
  <si>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</si>
  <si>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</si>
  <si>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</si>
  <si>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Range</t>
  </si>
  <si>
    <t>Oldhand</t>
    <phoneticPr fontId="20" type="noConversion"/>
  </si>
  <si>
    <t>Newbie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</si>
  <si>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</si>
  <si>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</si>
  <si>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</si>
  <si>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</si>
  <si>
    <t>G5</t>
    <phoneticPr fontId="20" type="noConversion"/>
  </si>
  <si>
    <t>G4</t>
    <phoneticPr fontId="20" type="noConversion"/>
  </si>
  <si>
    <t>目標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</si>
  <si>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</si>
  <si>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</si>
  <si>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</si>
  <si>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</si>
  <si>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</si>
  <si>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</si>
  <si>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1.0.0.1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</si>
</sst>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3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3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36" borderId="15" xfId="0" applyFont="1" applyFill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31" fillId="34" borderId="11" xfId="0" applyFont="1" applyFill="1" applyBorder="1" applyAlignment="1">
      <alignment horizontal="center"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2" fontId="25" fillId="33" borderId="11" xfId="0" applyNumberFormat="1" applyFont="1" applyFill="1" applyBorder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8" fillId="45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8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11" sqref="F11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125</v>
      </c>
      <c r="C2" s="5"/>
    </row>
    <row r="3" spans="1:9">
      <c r="A3" s="18" t="s">
        <v>40</v>
      </c>
      <c r="B3" s="38" t="s">
        <v>335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3">B11:B13*A7</f>
        <v>100</v>
      </c>
      <c r="B11" s="37">
        <v>1</v>
      </c>
      <c r="C11" s="103">
        <f>SUM(B18:B19)</f>
        <v>0.94000001503793373</v>
      </c>
      <c r="D11" s="103" t="s">
        <v>53</v>
      </c>
      <c r="G11" s="7"/>
      <c r="H11" s="7"/>
      <c r="I11" s="7"/>
    </row>
    <row r="12" spans="1:9">
      <c r="A12" s="42">
        <v>200</v>
      </c>
      <c r="B12" s="37">
        <v>2</v>
      </c>
      <c r="C12" s="205">
        <f>B22+B23</f>
        <v>0.93999968245885746</v>
      </c>
      <c r="D12" s="205" t="s">
        <v>329</v>
      </c>
      <c r="G12" s="7"/>
      <c r="H12" s="7"/>
      <c r="I12" s="7"/>
    </row>
    <row r="13" spans="1:9">
      <c r="A13" s="42">
        <v>7500</v>
      </c>
      <c r="B13" s="37">
        <v>75</v>
      </c>
      <c r="C13" s="50">
        <f>SUM(B26:B27)</f>
        <v>0.92500042312530473</v>
      </c>
      <c r="D13" s="50" t="s">
        <v>55</v>
      </c>
    </row>
    <row r="14" spans="1:9">
      <c r="A14" s="23"/>
      <c r="B14" s="23"/>
      <c r="C14" s="24"/>
      <c r="D14" s="2"/>
      <c r="F14" s="3"/>
    </row>
    <row r="15" spans="1:9">
      <c r="A15" s="10"/>
      <c r="B15" s="10"/>
      <c r="C15" s="24"/>
      <c r="D15" s="24"/>
      <c r="F15" s="4"/>
    </row>
    <row r="16" spans="1:9">
      <c r="A16" s="27" t="s">
        <v>24</v>
      </c>
      <c r="B16" s="11"/>
      <c r="C16" s="47"/>
      <c r="D16" s="44"/>
      <c r="E16" s="48"/>
      <c r="F16" s="7"/>
      <c r="G16" s="7"/>
      <c r="H16" s="7"/>
      <c r="I16" s="12"/>
    </row>
    <row r="17" spans="1:9">
      <c r="A17" s="33" t="s">
        <v>52</v>
      </c>
      <c r="B17" s="20" t="s">
        <v>0</v>
      </c>
      <c r="C17" s="20" t="s">
        <v>1</v>
      </c>
      <c r="D17" s="20" t="s">
        <v>2</v>
      </c>
      <c r="E17" s="20" t="s">
        <v>12</v>
      </c>
      <c r="F17" s="106"/>
      <c r="G17" s="7"/>
      <c r="H17" s="7"/>
      <c r="I17" s="12"/>
    </row>
    <row r="18" spans="1:9">
      <c r="A18" s="208" t="str">
        <f>D11</f>
        <v>Normal Bet</v>
      </c>
      <c r="B18" s="41">
        <f>Multiplier_Weight_Oldhand!C7</f>
        <v>0.70000018776141326</v>
      </c>
      <c r="C18" s="209">
        <f>1/D18</f>
        <v>4.197564727035836E-3</v>
      </c>
      <c r="D18" s="211">
        <f>Multiplier_Weight_Oldhand!G7</f>
        <v>238.2333722120261</v>
      </c>
      <c r="E18" s="29" t="s">
        <v>49</v>
      </c>
      <c r="F18" s="106"/>
      <c r="G18" s="7"/>
      <c r="H18" s="7"/>
      <c r="I18" s="12"/>
    </row>
    <row r="19" spans="1:9">
      <c r="A19" s="208"/>
      <c r="B19" s="41">
        <f>Multiplier_Weight_Oldhand!D7</f>
        <v>0.23999982727652053</v>
      </c>
      <c r="C19" s="210"/>
      <c r="D19" s="212"/>
      <c r="E19" s="29" t="s">
        <v>57</v>
      </c>
      <c r="F19" s="106"/>
      <c r="G19" s="7"/>
      <c r="H19" s="7"/>
      <c r="I19" s="12"/>
    </row>
    <row r="20" spans="1:9">
      <c r="A20" s="45"/>
      <c r="B20" s="46"/>
      <c r="C20" s="47"/>
      <c r="D20" s="44"/>
      <c r="E20" s="7"/>
      <c r="F20" s="106"/>
      <c r="G20" s="7"/>
      <c r="H20" s="7"/>
      <c r="I20" s="12"/>
    </row>
    <row r="21" spans="1:9">
      <c r="A21" s="33" t="s">
        <v>52</v>
      </c>
      <c r="B21" s="20" t="s">
        <v>0</v>
      </c>
      <c r="C21" s="20" t="s">
        <v>1</v>
      </c>
      <c r="D21" s="20" t="s">
        <v>2</v>
      </c>
      <c r="E21" s="20" t="s">
        <v>12</v>
      </c>
      <c r="F21" s="106"/>
      <c r="G21" s="7"/>
      <c r="H21" s="7"/>
      <c r="I21" s="12"/>
    </row>
    <row r="22" spans="1:9">
      <c r="A22" s="208" t="str">
        <f>D12</f>
        <v>Extra Bet</v>
      </c>
      <c r="B22" s="41">
        <f>Multiplier_Weight_Oldhand!C8</f>
        <v>0.3402550897647309</v>
      </c>
      <c r="C22" s="209">
        <f>1/D22</f>
        <v>2.0978904660817036E-2</v>
      </c>
      <c r="D22" s="211">
        <f>Multiplier_Weight_Oldhand!G8</f>
        <v>47.666930956015619</v>
      </c>
      <c r="E22" s="29" t="s">
        <v>49</v>
      </c>
      <c r="F22" s="106"/>
      <c r="G22" s="7"/>
      <c r="H22" s="7"/>
      <c r="I22" s="12"/>
    </row>
    <row r="23" spans="1:9">
      <c r="A23" s="208"/>
      <c r="B23" s="41">
        <f>Multiplier_Weight_Oldhand!D8</f>
        <v>0.5997445926941265</v>
      </c>
      <c r="C23" s="210"/>
      <c r="D23" s="212"/>
      <c r="E23" s="29" t="s">
        <v>57</v>
      </c>
      <c r="F23" s="106"/>
      <c r="G23" s="7"/>
      <c r="H23" s="7"/>
      <c r="I23" s="12"/>
    </row>
    <row r="24" spans="1:9">
      <c r="A24" s="45"/>
      <c r="B24" s="46"/>
      <c r="C24" s="47"/>
      <c r="D24" s="44"/>
      <c r="E24" s="7"/>
      <c r="F24" s="106"/>
      <c r="G24" s="7"/>
      <c r="H24" s="7"/>
      <c r="I24" s="12"/>
    </row>
    <row r="25" spans="1:9">
      <c r="A25" s="33" t="s">
        <v>52</v>
      </c>
      <c r="B25" s="20" t="s">
        <v>0</v>
      </c>
      <c r="C25" s="20" t="s">
        <v>1</v>
      </c>
      <c r="D25" s="20" t="s">
        <v>2</v>
      </c>
      <c r="E25" s="20" t="s">
        <v>12</v>
      </c>
      <c r="F25" s="106"/>
      <c r="G25" s="7"/>
      <c r="H25" s="7"/>
      <c r="I25" s="12"/>
    </row>
    <row r="26" spans="1:9">
      <c r="A26" s="208" t="str">
        <f>D13</f>
        <v>Buy Feature</v>
      </c>
      <c r="B26" s="41">
        <f>Multiplier_Weight_Oldhand!C9</f>
        <v>0</v>
      </c>
      <c r="C26" s="209">
        <f>1/D26</f>
        <v>1</v>
      </c>
      <c r="D26" s="213">
        <v>1</v>
      </c>
      <c r="E26" s="29" t="s">
        <v>49</v>
      </c>
      <c r="F26" s="106"/>
      <c r="G26" s="7"/>
      <c r="H26" s="7"/>
      <c r="I26" s="12"/>
    </row>
    <row r="27" spans="1:9">
      <c r="A27" s="208"/>
      <c r="B27" s="41">
        <f>Multiplier_Weight_Oldhand!D9</f>
        <v>0.92500042312530473</v>
      </c>
      <c r="C27" s="210"/>
      <c r="D27" s="214"/>
      <c r="E27" s="29" t="s">
        <v>57</v>
      </c>
      <c r="F27" s="106"/>
      <c r="G27" s="7"/>
      <c r="H27" s="7"/>
      <c r="I27" s="12"/>
    </row>
    <row r="28" spans="1:9">
      <c r="A28" s="45"/>
      <c r="B28" s="46"/>
      <c r="C28" s="47"/>
      <c r="D28" s="44"/>
      <c r="E28" s="7"/>
      <c r="F28" s="7"/>
      <c r="G28" s="7"/>
      <c r="H28" s="7"/>
      <c r="I28" s="12"/>
    </row>
    <row r="29" spans="1:9">
      <c r="A29" s="45"/>
      <c r="B29" s="46"/>
      <c r="C29" s="47"/>
      <c r="D29" s="44"/>
      <c r="E29" s="7"/>
      <c r="F29" s="7"/>
      <c r="G29" s="7"/>
      <c r="H29" s="7"/>
      <c r="I29" s="12"/>
    </row>
    <row r="30" spans="1:9">
      <c r="A30" s="20" t="s">
        <v>3</v>
      </c>
      <c r="B30" s="20">
        <v>1</v>
      </c>
      <c r="C30" s="20">
        <v>2</v>
      </c>
      <c r="D30" s="20">
        <v>3</v>
      </c>
      <c r="E30" s="20">
        <v>4</v>
      </c>
      <c r="F30" s="20">
        <v>5</v>
      </c>
      <c r="G30" s="7"/>
      <c r="H30" s="7"/>
    </row>
    <row r="31" spans="1:9">
      <c r="A31" s="21" t="s">
        <v>4</v>
      </c>
      <c r="B31" s="22">
        <v>3</v>
      </c>
      <c r="C31" s="22">
        <v>3</v>
      </c>
      <c r="D31" s="22">
        <v>3</v>
      </c>
      <c r="E31" s="22">
        <v>3</v>
      </c>
      <c r="F31" s="22">
        <v>3</v>
      </c>
      <c r="G31" s="7"/>
      <c r="H31" s="7"/>
    </row>
    <row r="32" spans="1:9">
      <c r="A32" s="31"/>
      <c r="B32" s="31"/>
      <c r="C32" s="31"/>
      <c r="D32" s="31"/>
      <c r="E32" s="31"/>
      <c r="F32" s="31"/>
      <c r="G32" s="31"/>
    </row>
    <row r="33" spans="1:7">
      <c r="A33" s="31"/>
      <c r="B33" s="31"/>
      <c r="C33" s="31"/>
      <c r="D33" s="31"/>
      <c r="E33" s="31"/>
      <c r="F33" s="31"/>
      <c r="G33" s="31"/>
    </row>
    <row r="34" spans="1:7">
      <c r="A34" s="1" t="s">
        <v>47</v>
      </c>
    </row>
    <row r="35" spans="1:7">
      <c r="A35" s="20" t="s">
        <v>41</v>
      </c>
      <c r="B35" s="20" t="s">
        <v>49</v>
      </c>
      <c r="C35" s="20" t="s">
        <v>50</v>
      </c>
    </row>
    <row r="36" spans="1:7">
      <c r="A36" s="22">
        <v>3</v>
      </c>
      <c r="B36" s="39">
        <v>15</v>
      </c>
      <c r="C36" s="39">
        <v>15</v>
      </c>
    </row>
    <row r="37" spans="1:7">
      <c r="A37" s="22">
        <v>4</v>
      </c>
      <c r="B37" s="39">
        <v>17</v>
      </c>
      <c r="C37" s="39">
        <v>17</v>
      </c>
    </row>
    <row r="38" spans="1:7">
      <c r="A38" s="8">
        <v>5</v>
      </c>
      <c r="B38" s="40">
        <v>19</v>
      </c>
      <c r="C38" s="40">
        <v>19</v>
      </c>
    </row>
    <row r="39" spans="1:7">
      <c r="A39" s="153" t="s">
        <v>168</v>
      </c>
      <c r="B39" s="32"/>
    </row>
    <row r="41" spans="1:7">
      <c r="A41" s="1" t="s">
        <v>46</v>
      </c>
      <c r="B41" s="1" t="str">
        <f>"All wins show for "&amp;A7&amp;" credit bet."</f>
        <v>All wins show for 100 credit bet.</v>
      </c>
    </row>
    <row r="42" spans="1:7">
      <c r="A42" s="20" t="s">
        <v>42</v>
      </c>
      <c r="B42" s="20" t="s">
        <v>43</v>
      </c>
      <c r="C42" s="20">
        <v>3</v>
      </c>
      <c r="D42" s="20">
        <v>4</v>
      </c>
      <c r="E42" s="20">
        <v>5</v>
      </c>
      <c r="F42" s="20" t="s">
        <v>48</v>
      </c>
    </row>
    <row r="43" spans="1:7">
      <c r="A43" s="22" t="s">
        <v>25</v>
      </c>
      <c r="B43" s="22" t="s">
        <v>44</v>
      </c>
      <c r="C43" s="34">
        <v>0</v>
      </c>
      <c r="D43" s="34">
        <v>0</v>
      </c>
      <c r="E43" s="34">
        <v>0</v>
      </c>
      <c r="F43" s="35">
        <v>0</v>
      </c>
    </row>
    <row r="44" spans="1:7">
      <c r="A44" s="8" t="s">
        <v>30</v>
      </c>
      <c r="B44" s="8" t="s">
        <v>45</v>
      </c>
      <c r="C44" s="30">
        <v>0</v>
      </c>
      <c r="D44" s="30">
        <v>0</v>
      </c>
      <c r="E44" s="30">
        <v>0</v>
      </c>
      <c r="F44" s="36">
        <v>1</v>
      </c>
    </row>
    <row r="45" spans="1:7">
      <c r="A45" s="143" t="s">
        <v>26</v>
      </c>
      <c r="B45" s="143" t="s">
        <v>26</v>
      </c>
      <c r="C45" s="143">
        <v>250</v>
      </c>
      <c r="D45" s="143">
        <v>1250</v>
      </c>
      <c r="E45" s="143">
        <v>5000</v>
      </c>
      <c r="F45" s="144">
        <v>2</v>
      </c>
    </row>
    <row r="46" spans="1:7">
      <c r="A46" s="143" t="s">
        <v>27</v>
      </c>
      <c r="B46" s="143" t="s">
        <v>27</v>
      </c>
      <c r="C46" s="143">
        <v>100</v>
      </c>
      <c r="D46" s="143">
        <v>500</v>
      </c>
      <c r="E46" s="143">
        <v>2000</v>
      </c>
      <c r="F46" s="145">
        <v>3</v>
      </c>
    </row>
    <row r="47" spans="1:7">
      <c r="A47" s="143" t="s">
        <v>28</v>
      </c>
      <c r="B47" s="143" t="s">
        <v>28</v>
      </c>
      <c r="C47" s="143">
        <v>75</v>
      </c>
      <c r="D47" s="143">
        <v>250</v>
      </c>
      <c r="E47" s="143">
        <v>1000</v>
      </c>
      <c r="F47" s="144">
        <v>4</v>
      </c>
    </row>
    <row r="48" spans="1:7">
      <c r="A48" s="143" t="s">
        <v>29</v>
      </c>
      <c r="B48" s="143" t="s">
        <v>29</v>
      </c>
      <c r="C48" s="143">
        <v>50</v>
      </c>
      <c r="D48" s="143">
        <v>200</v>
      </c>
      <c r="E48" s="143">
        <v>750</v>
      </c>
      <c r="F48" s="145">
        <v>5</v>
      </c>
    </row>
    <row r="49" spans="1:9">
      <c r="A49" s="143" t="s">
        <v>126</v>
      </c>
      <c r="B49" s="143" t="s">
        <v>126</v>
      </c>
      <c r="C49" s="146">
        <v>25</v>
      </c>
      <c r="D49" s="146">
        <v>100</v>
      </c>
      <c r="E49" s="146">
        <v>500</v>
      </c>
      <c r="F49" s="144">
        <v>6</v>
      </c>
    </row>
    <row r="50" spans="1:9">
      <c r="A50" s="143" t="s">
        <v>23</v>
      </c>
      <c r="B50" s="143" t="s">
        <v>23</v>
      </c>
      <c r="C50" s="143">
        <v>10</v>
      </c>
      <c r="D50" s="143">
        <v>50</v>
      </c>
      <c r="E50" s="143">
        <v>250</v>
      </c>
      <c r="F50" s="145">
        <v>7</v>
      </c>
    </row>
    <row r="51" spans="1:9">
      <c r="A51" s="143" t="s">
        <v>31</v>
      </c>
      <c r="B51" s="143" t="s">
        <v>31</v>
      </c>
      <c r="C51" s="143">
        <v>10</v>
      </c>
      <c r="D51" s="143">
        <v>50</v>
      </c>
      <c r="E51" s="143">
        <v>250</v>
      </c>
      <c r="F51" s="144">
        <v>8</v>
      </c>
    </row>
    <row r="52" spans="1:9">
      <c r="A52" s="143" t="s">
        <v>32</v>
      </c>
      <c r="B52" s="143" t="s">
        <v>32</v>
      </c>
      <c r="C52" s="143">
        <v>10</v>
      </c>
      <c r="D52" s="143">
        <v>50</v>
      </c>
      <c r="E52" s="143">
        <v>250</v>
      </c>
      <c r="F52" s="145">
        <v>9</v>
      </c>
    </row>
    <row r="53" spans="1:9">
      <c r="A53" s="143" t="s">
        <v>33</v>
      </c>
      <c r="B53" s="143" t="s">
        <v>33</v>
      </c>
      <c r="C53" s="143">
        <v>10</v>
      </c>
      <c r="D53" s="143">
        <v>50</v>
      </c>
      <c r="E53" s="143">
        <v>250</v>
      </c>
      <c r="F53" s="144">
        <v>10</v>
      </c>
    </row>
    <row r="54" spans="1:9">
      <c r="A54" s="8" t="s">
        <v>88</v>
      </c>
      <c r="B54" s="8" t="s">
        <v>99</v>
      </c>
      <c r="C54" s="30">
        <v>250</v>
      </c>
      <c r="D54" s="30">
        <v>1250</v>
      </c>
      <c r="E54" s="30">
        <v>5000</v>
      </c>
      <c r="F54" s="36">
        <v>11</v>
      </c>
    </row>
    <row r="55" spans="1:9">
      <c r="A55" s="8" t="s">
        <v>89</v>
      </c>
      <c r="B55" s="8" t="s">
        <v>100</v>
      </c>
      <c r="C55" s="30">
        <v>100</v>
      </c>
      <c r="D55" s="30">
        <v>500</v>
      </c>
      <c r="E55" s="30">
        <v>2000</v>
      </c>
      <c r="F55" s="35">
        <v>12</v>
      </c>
    </row>
    <row r="56" spans="1:9">
      <c r="A56" s="8" t="s">
        <v>90</v>
      </c>
      <c r="B56" s="8" t="s">
        <v>101</v>
      </c>
      <c r="C56" s="30">
        <v>75</v>
      </c>
      <c r="D56" s="30">
        <v>250</v>
      </c>
      <c r="E56" s="30">
        <v>1000</v>
      </c>
      <c r="F56" s="36">
        <v>13</v>
      </c>
    </row>
    <row r="57" spans="1:9">
      <c r="A57" s="8" t="s">
        <v>91</v>
      </c>
      <c r="B57" s="8" t="s">
        <v>102</v>
      </c>
      <c r="C57" s="30">
        <v>50</v>
      </c>
      <c r="D57" s="30">
        <v>200</v>
      </c>
      <c r="E57" s="30">
        <v>750</v>
      </c>
      <c r="F57" s="35">
        <v>14</v>
      </c>
    </row>
    <row r="58" spans="1:9">
      <c r="A58" s="8" t="s">
        <v>127</v>
      </c>
      <c r="B58" s="8" t="s">
        <v>128</v>
      </c>
      <c r="C58" s="130">
        <v>25</v>
      </c>
      <c r="D58" s="130">
        <v>100</v>
      </c>
      <c r="E58" s="130">
        <v>500</v>
      </c>
      <c r="F58" s="36">
        <v>15</v>
      </c>
    </row>
    <row r="59" spans="1:9">
      <c r="A59" s="8" t="s">
        <v>93</v>
      </c>
      <c r="B59" s="8" t="s">
        <v>103</v>
      </c>
      <c r="C59" s="30">
        <v>10</v>
      </c>
      <c r="D59" s="30">
        <v>50</v>
      </c>
      <c r="E59" s="30">
        <v>250</v>
      </c>
      <c r="F59" s="35">
        <v>16</v>
      </c>
    </row>
    <row r="60" spans="1:9">
      <c r="A60" s="8" t="s">
        <v>94</v>
      </c>
      <c r="B60" s="8" t="s">
        <v>104</v>
      </c>
      <c r="C60" s="30">
        <v>10</v>
      </c>
      <c r="D60" s="30">
        <v>50</v>
      </c>
      <c r="E60" s="30">
        <v>250</v>
      </c>
      <c r="F60" s="36">
        <v>17</v>
      </c>
    </row>
    <row r="61" spans="1:9">
      <c r="A61" s="8" t="s">
        <v>96</v>
      </c>
      <c r="B61" s="8" t="s">
        <v>105</v>
      </c>
      <c r="C61" s="30">
        <v>10</v>
      </c>
      <c r="D61" s="30">
        <v>50</v>
      </c>
      <c r="E61" s="30">
        <v>250</v>
      </c>
      <c r="F61" s="35">
        <v>18</v>
      </c>
    </row>
    <row r="62" spans="1:9">
      <c r="A62" s="8" t="s">
        <v>98</v>
      </c>
      <c r="B62" s="8" t="s">
        <v>106</v>
      </c>
      <c r="C62" s="30">
        <v>10</v>
      </c>
      <c r="D62" s="30">
        <v>50</v>
      </c>
      <c r="E62" s="30">
        <v>250</v>
      </c>
      <c r="F62" s="36">
        <v>19</v>
      </c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A80" s="24"/>
      <c r="B80" s="24"/>
      <c r="C80" s="24"/>
      <c r="D80" s="24"/>
      <c r="E80" s="24"/>
      <c r="F80" s="24"/>
      <c r="G80" s="24"/>
      <c r="H80" s="24"/>
      <c r="I80" s="24"/>
    </row>
    <row r="81" spans="1:9">
      <c r="A81" s="24"/>
      <c r="B81" s="24"/>
      <c r="C81" s="24"/>
      <c r="D81" s="24"/>
      <c r="E81" s="24"/>
      <c r="F81" s="24"/>
      <c r="G81" s="24"/>
      <c r="H81" s="24"/>
      <c r="I81" s="24"/>
    </row>
    <row r="82" spans="1:9">
      <c r="A82" s="24"/>
      <c r="B82" s="24"/>
      <c r="C82" s="24"/>
      <c r="D82" s="24"/>
      <c r="E82" s="24"/>
      <c r="F82" s="24"/>
      <c r="G82" s="24"/>
      <c r="H82" s="24"/>
      <c r="I82" s="24"/>
    </row>
    <row r="83" spans="1:9">
      <c r="A83" s="24"/>
      <c r="B83" s="24"/>
      <c r="C83" s="24"/>
      <c r="D83" s="24"/>
      <c r="E83" s="24"/>
      <c r="F83" s="24"/>
      <c r="G83" s="24"/>
      <c r="H83" s="24"/>
      <c r="I83" s="24"/>
    </row>
    <row r="84" spans="1:9">
      <c r="A84" s="24"/>
      <c r="B84" s="24"/>
      <c r="C84" s="24"/>
      <c r="D84" s="24"/>
      <c r="E84" s="24"/>
      <c r="F84" s="24"/>
      <c r="G84" s="24"/>
      <c r="H84" s="24"/>
      <c r="I84" s="24"/>
    </row>
    <row r="85" spans="1:9">
      <c r="B85" s="6"/>
      <c r="C85" s="6"/>
      <c r="D85" s="6"/>
    </row>
    <row r="87" spans="1:9">
      <c r="F87" s="24"/>
      <c r="G87" s="24"/>
      <c r="H87" s="24"/>
      <c r="I87" s="24"/>
    </row>
    <row r="92" spans="1:9">
      <c r="F92" s="24"/>
      <c r="G92" s="24"/>
      <c r="H92" s="24"/>
      <c r="I92" s="24"/>
    </row>
    <row r="97" spans="6:7">
      <c r="F97" s="24"/>
      <c r="G97" s="24"/>
    </row>
    <row r="102" spans="6:7">
      <c r="F102" s="24"/>
      <c r="G102" s="24"/>
    </row>
    <row r="107" spans="6:7">
      <c r="F107" s="24"/>
      <c r="G107" s="24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4"/>
  </cols>
  <sheetData>
    <row r="3" spans="2:2">
      <c r="B3" s="24" t="s">
        <v>174</v>
      </c>
    </row>
    <row r="5" spans="2:2">
      <c r="B5" s="24" t="s">
        <v>175</v>
      </c>
    </row>
    <row r="7" spans="2:2">
      <c r="B7" s="24" t="s">
        <v>176</v>
      </c>
    </row>
    <row r="8" spans="2:2">
      <c r="B8" s="24" t="s">
        <v>177</v>
      </c>
    </row>
    <row r="9" spans="2:2">
      <c r="B9" s="24" t="s">
        <v>178</v>
      </c>
    </row>
    <row r="10" spans="2:2">
      <c r="B10" s="24" t="s">
        <v>179</v>
      </c>
    </row>
    <row r="11" spans="2:2">
      <c r="B11" s="24" t="s">
        <v>180</v>
      </c>
    </row>
    <row r="12" spans="2:2">
      <c r="B12" s="24" t="s">
        <v>181</v>
      </c>
    </row>
    <row r="13" spans="2:2">
      <c r="B13" s="24" t="s">
        <v>182</v>
      </c>
    </row>
    <row r="14" spans="2:2">
      <c r="B14" s="24" t="s">
        <v>183</v>
      </c>
    </row>
    <row r="15" spans="2:2">
      <c r="B15" s="24" t="s">
        <v>184</v>
      </c>
    </row>
    <row r="16" spans="2:2">
      <c r="B16" s="24" t="s">
        <v>185</v>
      </c>
    </row>
    <row r="18" spans="2:2">
      <c r="B18" s="24" t="s">
        <v>186</v>
      </c>
    </row>
    <row r="19" spans="2:2">
      <c r="B19" s="24" t="s">
        <v>173</v>
      </c>
    </row>
    <row r="20" spans="2:2">
      <c r="B20" s="24" t="s">
        <v>187</v>
      </c>
    </row>
    <row r="21" spans="2:2">
      <c r="B21" s="24" t="s">
        <v>188</v>
      </c>
    </row>
    <row r="22" spans="2:2">
      <c r="B22" s="24" t="s">
        <v>189</v>
      </c>
    </row>
    <row r="23" spans="2:2">
      <c r="B23" s="24" t="s">
        <v>190</v>
      </c>
    </row>
    <row r="24" spans="2:2">
      <c r="B24" s="24" t="s">
        <v>191</v>
      </c>
    </row>
    <row r="25" spans="2:2">
      <c r="B25" s="24" t="s">
        <v>192</v>
      </c>
    </row>
    <row r="26" spans="2:2">
      <c r="B26" s="24" t="s">
        <v>193</v>
      </c>
    </row>
    <row r="28" spans="2:2">
      <c r="B28" s="24" t="s">
        <v>194</v>
      </c>
    </row>
    <row r="30" spans="2:2">
      <c r="B30" s="24" t="s">
        <v>195</v>
      </c>
    </row>
    <row r="31" spans="2:2">
      <c r="B31" s="24" t="s">
        <v>196</v>
      </c>
    </row>
    <row r="33" spans="2:2">
      <c r="B33" s="24" t="s">
        <v>197</v>
      </c>
    </row>
    <row r="35" spans="2:2">
      <c r="B35" s="24" t="s">
        <v>198</v>
      </c>
    </row>
    <row r="37" spans="2:2">
      <c r="B37" s="24" t="s">
        <v>199</v>
      </c>
    </row>
    <row r="38" spans="2:2">
      <c r="B38" s="24" t="s">
        <v>200</v>
      </c>
    </row>
    <row r="39" spans="2:2">
      <c r="B39" s="24" t="s">
        <v>201</v>
      </c>
    </row>
    <row r="40" spans="2:2">
      <c r="B40" s="24" t="s">
        <v>202</v>
      </c>
    </row>
    <row r="42" spans="2:2">
      <c r="B42" s="24" t="s">
        <v>203</v>
      </c>
    </row>
    <row r="43" spans="2:2">
      <c r="B43" s="24" t="s">
        <v>173</v>
      </c>
    </row>
    <row r="44" spans="2:2">
      <c r="B44" s="24" t="s">
        <v>204</v>
      </c>
    </row>
    <row r="46" spans="2:2">
      <c r="B46" s="24" t="s">
        <v>205</v>
      </c>
    </row>
    <row r="47" spans="2:2">
      <c r="B47" s="24" t="s">
        <v>206</v>
      </c>
    </row>
    <row r="48" spans="2:2">
      <c r="B48" s="24" t="s">
        <v>207</v>
      </c>
    </row>
    <row r="49" spans="2:2">
      <c r="B49" s="24" t="s">
        <v>208</v>
      </c>
    </row>
    <row r="50" spans="2:2">
      <c r="B50" s="24" t="s">
        <v>209</v>
      </c>
    </row>
    <row r="51" spans="2:2">
      <c r="B51" s="24" t="s">
        <v>210</v>
      </c>
    </row>
    <row r="53" spans="2:2">
      <c r="B53" s="24" t="s">
        <v>211</v>
      </c>
    </row>
    <row r="55" spans="2:2">
      <c r="B55" s="24" t="s">
        <v>212</v>
      </c>
    </row>
    <row r="56" spans="2:2">
      <c r="B56" s="24" t="s">
        <v>213</v>
      </c>
    </row>
    <row r="57" spans="2:2">
      <c r="B57" s="24" t="s">
        <v>214</v>
      </c>
    </row>
    <row r="58" spans="2:2">
      <c r="B58" s="24" t="s">
        <v>215</v>
      </c>
    </row>
    <row r="59" spans="2:2">
      <c r="B59" s="24" t="s">
        <v>216</v>
      </c>
    </row>
    <row r="60" spans="2:2">
      <c r="B60" s="24" t="s">
        <v>217</v>
      </c>
    </row>
    <row r="62" spans="2:2">
      <c r="B62" s="24" t="s">
        <v>218</v>
      </c>
    </row>
    <row r="64" spans="2:2">
      <c r="B64" s="24" t="s">
        <v>219</v>
      </c>
    </row>
    <row r="65" spans="2:2">
      <c r="B65" s="24" t="s">
        <v>220</v>
      </c>
    </row>
    <row r="67" spans="2:2">
      <c r="B67" s="24" t="s">
        <v>221</v>
      </c>
    </row>
    <row r="69" spans="2:2">
      <c r="B69" s="24" t="s">
        <v>222</v>
      </c>
    </row>
    <row r="70" spans="2:2">
      <c r="B70" s="24" t="s">
        <v>223</v>
      </c>
    </row>
    <row r="71" spans="2:2">
      <c r="B71" s="24" t="s">
        <v>224</v>
      </c>
    </row>
    <row r="72" spans="2:2">
      <c r="B72" s="24" t="s">
        <v>225</v>
      </c>
    </row>
    <row r="73" spans="2:2">
      <c r="B73" s="24" t="s">
        <v>226</v>
      </c>
    </row>
    <row r="74" spans="2:2">
      <c r="B74" s="24" t="s">
        <v>227</v>
      </c>
    </row>
    <row r="75" spans="2:2">
      <c r="B75" s="24" t="s">
        <v>228</v>
      </c>
    </row>
    <row r="77" spans="2:2">
      <c r="B77" s="24" t="s">
        <v>229</v>
      </c>
    </row>
    <row r="79" spans="2:2">
      <c r="B79" s="24" t="s">
        <v>230</v>
      </c>
    </row>
    <row r="80" spans="2:2">
      <c r="B80" s="24" t="s">
        <v>231</v>
      </c>
    </row>
    <row r="81" spans="2:2">
      <c r="B81" s="24" t="s">
        <v>232</v>
      </c>
    </row>
    <row r="82" spans="2:2">
      <c r="B82" s="24" t="s">
        <v>233</v>
      </c>
    </row>
    <row r="83" spans="2:2">
      <c r="B83" s="24" t="s">
        <v>234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workbookViewId="0">
      <selection activeCell="I15" sqref="I15:K16"/>
    </sheetView>
  </sheetViews>
  <sheetFormatPr defaultColWidth="8.88671875" defaultRowHeight="15.6"/>
  <cols>
    <col min="1" max="4" width="8.88671875" style="112"/>
    <col min="5" max="5" width="9.5546875" style="112" bestFit="1" customWidth="1"/>
    <col min="6" max="8" width="8.88671875" style="112"/>
    <col min="9" max="9" width="57.6640625" style="112" customWidth="1"/>
    <col min="10" max="10" width="16.21875" style="112" bestFit="1" customWidth="1"/>
    <col min="11" max="11" width="10.5546875" style="112" customWidth="1"/>
    <col min="12" max="12" width="11" style="112" bestFit="1" customWidth="1"/>
    <col min="13" max="13" width="8.88671875" style="112"/>
    <col min="14" max="14" width="37.33203125" style="112" bestFit="1" customWidth="1"/>
    <col min="15" max="27" width="8.88671875" style="112" customWidth="1"/>
    <col min="28" max="28" width="11.6640625" style="139" bestFit="1" customWidth="1"/>
    <col min="29" max="29" width="37.33203125" style="112" customWidth="1"/>
    <col min="30" max="38" width="10.6640625" style="112" customWidth="1"/>
    <col min="39" max="16384" width="8.88671875" style="112"/>
  </cols>
  <sheetData>
    <row r="3" spans="2:38">
      <c r="B3" s="112" t="s">
        <v>163</v>
      </c>
      <c r="I3" s="17" t="s">
        <v>154</v>
      </c>
      <c r="J3" s="17"/>
      <c r="K3" s="17"/>
      <c r="N3" s="112" t="s">
        <v>150</v>
      </c>
      <c r="AC3" s="112" t="s">
        <v>149</v>
      </c>
    </row>
    <row r="4" spans="2:38">
      <c r="B4" s="141" t="s">
        <v>158</v>
      </c>
      <c r="C4" s="141" t="s">
        <v>162</v>
      </c>
      <c r="D4" s="141" t="s">
        <v>14</v>
      </c>
      <c r="E4" s="141" t="s">
        <v>15</v>
      </c>
      <c r="F4" s="141" t="s">
        <v>16</v>
      </c>
      <c r="G4" s="141" t="s">
        <v>17</v>
      </c>
      <c r="I4" s="132" t="s">
        <v>143</v>
      </c>
      <c r="J4" s="133" t="s">
        <v>108</v>
      </c>
      <c r="K4" s="133" t="s">
        <v>159</v>
      </c>
      <c r="N4" s="141" t="s">
        <v>147</v>
      </c>
      <c r="O4" s="141" cm="1">
        <f t="array" ref="O4:AA4">TRANSPOSE(I26:I38)</f>
        <v>0</v>
      </c>
      <c r="P4" s="141">
        <v>2</v>
      </c>
      <c r="Q4" s="141">
        <v>3</v>
      </c>
      <c r="R4" s="141">
        <v>5</v>
      </c>
      <c r="S4" s="141">
        <v>8</v>
      </c>
      <c r="T4" s="141">
        <v>10</v>
      </c>
      <c r="U4" s="141">
        <v>15</v>
      </c>
      <c r="V4" s="141">
        <v>20</v>
      </c>
      <c r="W4" s="141">
        <v>25</v>
      </c>
      <c r="X4" s="141">
        <v>50</v>
      </c>
      <c r="Y4" s="141">
        <v>100</v>
      </c>
      <c r="Z4" s="141">
        <v>500</v>
      </c>
      <c r="AA4" s="141">
        <v>1000</v>
      </c>
      <c r="AC4" s="141" t="s">
        <v>147</v>
      </c>
      <c r="AD4" s="141">
        <v>1</v>
      </c>
      <c r="AE4" s="141">
        <v>2</v>
      </c>
      <c r="AF4" s="141">
        <v>3</v>
      </c>
      <c r="AG4" s="141">
        <v>4</v>
      </c>
      <c r="AH4" s="141">
        <v>5</v>
      </c>
      <c r="AI4" s="141">
        <v>6</v>
      </c>
      <c r="AJ4" s="141">
        <v>7</v>
      </c>
      <c r="AK4" s="141">
        <v>8</v>
      </c>
      <c r="AL4" s="141">
        <v>9</v>
      </c>
    </row>
    <row r="5" spans="2:38">
      <c r="B5" s="140" cm="1">
        <f t="array" ref="B5:B24">_xlfn.SEQUENCE(20,,0)</f>
        <v>0</v>
      </c>
      <c r="C5" s="151">
        <v>1</v>
      </c>
      <c r="D5" s="151">
        <v>1</v>
      </c>
      <c r="E5" s="151">
        <v>1</v>
      </c>
      <c r="F5" s="151">
        <v>1</v>
      </c>
      <c r="G5" s="151">
        <v>1</v>
      </c>
      <c r="I5" s="122" t="s">
        <v>129</v>
      </c>
      <c r="J5" s="134">
        <f>10000-J6-J7</f>
        <v>7000</v>
      </c>
      <c r="K5" s="147"/>
      <c r="L5" s="138" cm="1">
        <f t="array" ref="L5:L7">J5:J7/J8</f>
        <v>0.7</v>
      </c>
      <c r="N5" s="140" t="s">
        <v>145</v>
      </c>
      <c r="O5" s="157">
        <f t="shared" ref="O5:O11" si="0">10000-SUM(P5:AA5)</f>
        <v>0</v>
      </c>
      <c r="P5" s="154">
        <v>0</v>
      </c>
      <c r="Q5" s="154">
        <v>0</v>
      </c>
      <c r="R5" s="154">
        <v>0</v>
      </c>
      <c r="S5" s="154">
        <v>0</v>
      </c>
      <c r="T5" s="142">
        <f>10000-SUM(U5:AA5)</f>
        <v>3900</v>
      </c>
      <c r="U5" s="142">
        <v>3000</v>
      </c>
      <c r="V5" s="142">
        <v>2000</v>
      </c>
      <c r="W5" s="142">
        <v>500</v>
      </c>
      <c r="X5" s="142">
        <v>200</v>
      </c>
      <c r="Y5" s="142">
        <v>200</v>
      </c>
      <c r="Z5" s="142">
        <v>100</v>
      </c>
      <c r="AA5" s="142">
        <v>100</v>
      </c>
      <c r="AB5" s="159" cm="1">
        <f t="array" ref="AB5">SUMPRODUCT(O5:AA5/SUM(O5:AA5),$O$4:$AA$4)</f>
        <v>31.65</v>
      </c>
      <c r="AC5" s="140" t="s">
        <v>145</v>
      </c>
      <c r="AD5" s="142">
        <v>300</v>
      </c>
      <c r="AE5" s="142">
        <v>600</v>
      </c>
      <c r="AF5" s="142">
        <v>1080</v>
      </c>
      <c r="AG5" s="142">
        <v>1440</v>
      </c>
      <c r="AH5" s="142">
        <v>2250</v>
      </c>
      <c r="AI5" s="142">
        <v>2700</v>
      </c>
      <c r="AJ5" s="142">
        <v>3150</v>
      </c>
      <c r="AK5" s="142">
        <v>3600</v>
      </c>
      <c r="AL5" s="142">
        <v>4050</v>
      </c>
    </row>
    <row r="6" spans="2:38">
      <c r="B6" s="140">
        <v>1</v>
      </c>
      <c r="C6" s="151">
        <v>0</v>
      </c>
      <c r="D6" s="151">
        <v>0</v>
      </c>
      <c r="E6" s="151">
        <v>0</v>
      </c>
      <c r="F6" s="151">
        <v>0</v>
      </c>
      <c r="G6" s="151">
        <v>0</v>
      </c>
      <c r="I6" s="122" t="s">
        <v>130</v>
      </c>
      <c r="J6" s="135">
        <v>1000</v>
      </c>
      <c r="K6" s="148"/>
      <c r="L6" s="138">
        <v>0.1</v>
      </c>
      <c r="N6" s="140" t="s">
        <v>146</v>
      </c>
      <c r="O6" s="157">
        <f t="shared" si="0"/>
        <v>0</v>
      </c>
      <c r="P6" s="154">
        <v>0</v>
      </c>
      <c r="Q6" s="154">
        <v>0</v>
      </c>
      <c r="R6" s="154">
        <v>0</v>
      </c>
      <c r="S6" s="154">
        <v>0</v>
      </c>
      <c r="T6" s="142">
        <f>10000-SUM(U6:AA6)</f>
        <v>4900</v>
      </c>
      <c r="U6" s="142">
        <v>3000</v>
      </c>
      <c r="V6" s="142">
        <v>1350</v>
      </c>
      <c r="W6" s="142">
        <v>500</v>
      </c>
      <c r="X6" s="142">
        <v>75</v>
      </c>
      <c r="Y6" s="142">
        <v>75</v>
      </c>
      <c r="Z6" s="142">
        <v>50</v>
      </c>
      <c r="AA6" s="142">
        <v>50</v>
      </c>
      <c r="AB6" s="159" cm="1">
        <f t="array" ref="AB6">SUMPRODUCT(O6:AA6/SUM(O6:AA6),$O$4:$AA$4)</f>
        <v>21.975000000000001</v>
      </c>
      <c r="AC6" s="140" t="s">
        <v>146</v>
      </c>
      <c r="AD6" s="154">
        <v>0</v>
      </c>
      <c r="AE6" s="154">
        <v>0</v>
      </c>
      <c r="AF6" s="142">
        <v>1050</v>
      </c>
      <c r="AG6" s="142">
        <v>1400</v>
      </c>
      <c r="AH6" s="142">
        <v>1750</v>
      </c>
      <c r="AI6" s="142">
        <v>2100</v>
      </c>
      <c r="AJ6" s="142">
        <v>3675</v>
      </c>
      <c r="AK6" s="142">
        <v>4200</v>
      </c>
      <c r="AL6" s="142">
        <v>4725</v>
      </c>
    </row>
    <row r="7" spans="2:38">
      <c r="B7" s="140">
        <v>2</v>
      </c>
      <c r="C7" s="151">
        <v>2</v>
      </c>
      <c r="D7" s="151">
        <v>2</v>
      </c>
      <c r="E7" s="151">
        <v>2</v>
      </c>
      <c r="F7" s="151">
        <v>2</v>
      </c>
      <c r="G7" s="151">
        <v>2</v>
      </c>
      <c r="I7" s="122" t="s">
        <v>157</v>
      </c>
      <c r="J7" s="135">
        <v>2000</v>
      </c>
      <c r="K7" s="148"/>
      <c r="L7" s="138">
        <v>0.2</v>
      </c>
      <c r="N7" s="140" t="s">
        <v>157</v>
      </c>
      <c r="O7" s="157">
        <f t="shared" si="0"/>
        <v>10000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  <c r="U7" s="154">
        <v>0</v>
      </c>
      <c r="V7" s="154">
        <v>0</v>
      </c>
      <c r="W7" s="154">
        <v>0</v>
      </c>
      <c r="X7" s="154">
        <v>0</v>
      </c>
      <c r="Y7" s="154">
        <v>0</v>
      </c>
      <c r="Z7" s="154">
        <v>0</v>
      </c>
      <c r="AA7" s="154">
        <v>0</v>
      </c>
      <c r="AB7" s="159" cm="1">
        <f t="array" ref="AB7">SUMPRODUCT(O7:AA7/SUM(O7:AA7),$O$4:$AA$4)</f>
        <v>0</v>
      </c>
      <c r="AC7" s="140" t="s">
        <v>157</v>
      </c>
      <c r="AD7" s="154">
        <v>0</v>
      </c>
      <c r="AE7" s="154">
        <v>0</v>
      </c>
      <c r="AF7" s="154">
        <v>0</v>
      </c>
      <c r="AG7" s="154">
        <v>0</v>
      </c>
      <c r="AH7" s="154">
        <v>0</v>
      </c>
      <c r="AI7" s="154">
        <v>0</v>
      </c>
      <c r="AJ7" s="154">
        <v>0</v>
      </c>
      <c r="AK7" s="154">
        <v>0</v>
      </c>
      <c r="AL7" s="154">
        <v>0</v>
      </c>
    </row>
    <row r="8" spans="2:38">
      <c r="B8" s="140">
        <v>3</v>
      </c>
      <c r="C8" s="151">
        <v>0</v>
      </c>
      <c r="D8" s="151">
        <v>1</v>
      </c>
      <c r="E8" s="151">
        <v>2</v>
      </c>
      <c r="F8" s="151">
        <v>1</v>
      </c>
      <c r="G8" s="151">
        <v>0</v>
      </c>
      <c r="I8" s="17"/>
      <c r="J8" s="51">
        <f>SUM(J5:J7)</f>
        <v>10000</v>
      </c>
      <c r="K8" s="51">
        <f>SUMPRODUCT(K5:K7,_xlfn.ANCHORARRAY(L5))</f>
        <v>0</v>
      </c>
      <c r="L8" s="139"/>
      <c r="N8" s="140" t="s">
        <v>137</v>
      </c>
      <c r="O8" s="157">
        <f t="shared" si="0"/>
        <v>0</v>
      </c>
      <c r="P8" s="154">
        <v>0</v>
      </c>
      <c r="Q8" s="154">
        <v>0</v>
      </c>
      <c r="R8" s="154">
        <v>0</v>
      </c>
      <c r="S8" s="154">
        <v>0</v>
      </c>
      <c r="T8" s="142">
        <f>10000-SUM(U8:AA8)</f>
        <v>4750</v>
      </c>
      <c r="U8" s="142">
        <v>2700</v>
      </c>
      <c r="V8" s="142">
        <v>1400</v>
      </c>
      <c r="W8" s="142">
        <v>250</v>
      </c>
      <c r="X8" s="142">
        <v>300</v>
      </c>
      <c r="Y8" s="142">
        <v>300</v>
      </c>
      <c r="Z8" s="142">
        <v>150</v>
      </c>
      <c r="AA8" s="142">
        <v>150</v>
      </c>
      <c r="AB8" s="159" cm="1">
        <f t="array" ref="AB8">SUMPRODUCT(O8:AA8/SUM(O8:AA8),$O$4:$AA$4)</f>
        <v>39.225000000000001</v>
      </c>
      <c r="AC8" s="140" t="s">
        <v>137</v>
      </c>
      <c r="AD8" s="154">
        <v>0</v>
      </c>
      <c r="AE8" s="154">
        <v>0</v>
      </c>
      <c r="AF8" s="142">
        <v>525</v>
      </c>
      <c r="AG8" s="142">
        <v>700</v>
      </c>
      <c r="AH8" s="142">
        <v>1750</v>
      </c>
      <c r="AI8" s="142">
        <v>2100</v>
      </c>
      <c r="AJ8" s="142">
        <v>3675</v>
      </c>
      <c r="AK8" s="142">
        <v>4200</v>
      </c>
      <c r="AL8" s="142">
        <v>4725</v>
      </c>
    </row>
    <row r="9" spans="2:38">
      <c r="B9" s="140">
        <v>4</v>
      </c>
      <c r="C9" s="151">
        <v>2</v>
      </c>
      <c r="D9" s="151">
        <v>1</v>
      </c>
      <c r="E9" s="151">
        <v>0</v>
      </c>
      <c r="F9" s="151">
        <v>1</v>
      </c>
      <c r="G9" s="151">
        <v>2</v>
      </c>
      <c r="L9" s="139"/>
      <c r="N9" s="140" t="s">
        <v>139</v>
      </c>
      <c r="O9" s="157">
        <f t="shared" si="0"/>
        <v>0</v>
      </c>
      <c r="P9" s="154">
        <v>0</v>
      </c>
      <c r="Q9" s="154">
        <v>0</v>
      </c>
      <c r="R9" s="154">
        <v>0</v>
      </c>
      <c r="S9" s="154">
        <v>0</v>
      </c>
      <c r="T9" s="142">
        <f t="shared" ref="T9:T10" si="1">10000-SUM(U9:AA9)</f>
        <v>4750</v>
      </c>
      <c r="U9" s="142">
        <v>2700</v>
      </c>
      <c r="V9" s="142">
        <v>1400</v>
      </c>
      <c r="W9" s="142">
        <v>250</v>
      </c>
      <c r="X9" s="142">
        <v>300</v>
      </c>
      <c r="Y9" s="142">
        <v>300</v>
      </c>
      <c r="Z9" s="142">
        <v>150</v>
      </c>
      <c r="AA9" s="142">
        <v>150</v>
      </c>
      <c r="AB9" s="159" cm="1">
        <f t="array" ref="AB9">SUMPRODUCT(O9:AA9/SUM(O9:AA9),$O$4:$AA$4)</f>
        <v>39.225000000000001</v>
      </c>
      <c r="AC9" s="140" t="s">
        <v>139</v>
      </c>
      <c r="AD9" s="154">
        <v>0</v>
      </c>
      <c r="AE9" s="154">
        <v>0</v>
      </c>
      <c r="AF9" s="142">
        <v>525</v>
      </c>
      <c r="AG9" s="142">
        <v>700</v>
      </c>
      <c r="AH9" s="142">
        <v>1750</v>
      </c>
      <c r="AI9" s="142">
        <v>2100</v>
      </c>
      <c r="AJ9" s="142">
        <v>3675</v>
      </c>
      <c r="AK9" s="142">
        <v>4200</v>
      </c>
      <c r="AL9" s="142">
        <v>4725</v>
      </c>
    </row>
    <row r="10" spans="2:38">
      <c r="B10" s="140">
        <v>5</v>
      </c>
      <c r="C10" s="151">
        <v>0</v>
      </c>
      <c r="D10" s="151">
        <v>0</v>
      </c>
      <c r="E10" s="151">
        <v>1</v>
      </c>
      <c r="F10" s="151">
        <v>0</v>
      </c>
      <c r="G10" s="151">
        <v>0</v>
      </c>
      <c r="I10" s="17" t="s">
        <v>153</v>
      </c>
      <c r="J10" s="17"/>
      <c r="K10" s="17"/>
      <c r="L10" s="139"/>
      <c r="N10" s="140" t="s">
        <v>141</v>
      </c>
      <c r="O10" s="157">
        <f t="shared" si="0"/>
        <v>0</v>
      </c>
      <c r="P10" s="154">
        <v>0</v>
      </c>
      <c r="Q10" s="154">
        <v>0</v>
      </c>
      <c r="R10" s="154">
        <v>0</v>
      </c>
      <c r="S10" s="154">
        <v>0</v>
      </c>
      <c r="T10" s="142">
        <f t="shared" si="1"/>
        <v>4750</v>
      </c>
      <c r="U10" s="142">
        <v>2700</v>
      </c>
      <c r="V10" s="142">
        <v>1400</v>
      </c>
      <c r="W10" s="142">
        <v>250</v>
      </c>
      <c r="X10" s="142">
        <v>300</v>
      </c>
      <c r="Y10" s="142">
        <v>300</v>
      </c>
      <c r="Z10" s="142">
        <v>150</v>
      </c>
      <c r="AA10" s="142">
        <v>150</v>
      </c>
      <c r="AB10" s="159" cm="1">
        <f t="array" ref="AB10">SUMPRODUCT(O10:AA10/SUM(O10:AA10),$O$4:$AA$4)</f>
        <v>39.225000000000001</v>
      </c>
      <c r="AC10" s="140" t="s">
        <v>141</v>
      </c>
      <c r="AD10" s="154">
        <v>0</v>
      </c>
      <c r="AE10" s="154">
        <v>0</v>
      </c>
      <c r="AF10" s="142">
        <v>525</v>
      </c>
      <c r="AG10" s="142">
        <v>700</v>
      </c>
      <c r="AH10" s="142">
        <v>1750</v>
      </c>
      <c r="AI10" s="142">
        <v>2100</v>
      </c>
      <c r="AJ10" s="142">
        <v>3675</v>
      </c>
      <c r="AK10" s="142">
        <v>4200</v>
      </c>
      <c r="AL10" s="142">
        <v>4725</v>
      </c>
    </row>
    <row r="11" spans="2:38" ht="15.6" customHeight="1">
      <c r="B11" s="140">
        <v>6</v>
      </c>
      <c r="C11" s="151">
        <v>2</v>
      </c>
      <c r="D11" s="151">
        <v>2</v>
      </c>
      <c r="E11" s="151">
        <v>1</v>
      </c>
      <c r="F11" s="151">
        <v>2</v>
      </c>
      <c r="G11" s="151">
        <v>2</v>
      </c>
      <c r="I11" s="132" t="s">
        <v>144</v>
      </c>
      <c r="J11" s="133" t="s">
        <v>108</v>
      </c>
      <c r="K11" s="133" t="s">
        <v>159</v>
      </c>
      <c r="N11" s="140" t="s">
        <v>156</v>
      </c>
      <c r="O11" s="157">
        <f t="shared" si="0"/>
        <v>10000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  <c r="U11" s="154">
        <v>0</v>
      </c>
      <c r="V11" s="154">
        <v>0</v>
      </c>
      <c r="W11" s="154">
        <v>0</v>
      </c>
      <c r="X11" s="154">
        <v>0</v>
      </c>
      <c r="Y11" s="154">
        <v>0</v>
      </c>
      <c r="Z11" s="154">
        <v>0</v>
      </c>
      <c r="AA11" s="154">
        <v>0</v>
      </c>
      <c r="AB11" s="159" cm="1">
        <f t="array" ref="AB11">SUMPRODUCT(O11:AA11/SUM(O11:AA11),$O$4:$AA$4)</f>
        <v>0</v>
      </c>
      <c r="AC11" s="140" t="s">
        <v>156</v>
      </c>
      <c r="AD11" s="154">
        <v>0</v>
      </c>
      <c r="AE11" s="154">
        <v>0</v>
      </c>
      <c r="AF11" s="154">
        <v>0</v>
      </c>
      <c r="AG11" s="154">
        <v>0</v>
      </c>
      <c r="AH11" s="154">
        <v>0</v>
      </c>
      <c r="AI11" s="154">
        <v>0</v>
      </c>
      <c r="AJ11" s="154">
        <v>0</v>
      </c>
      <c r="AK11" s="154">
        <v>0</v>
      </c>
      <c r="AL11" s="154">
        <v>0</v>
      </c>
    </row>
    <row r="12" spans="2:38" ht="15.6" customHeight="1">
      <c r="B12" s="140">
        <v>7</v>
      </c>
      <c r="C12" s="151">
        <v>1</v>
      </c>
      <c r="D12" s="151">
        <v>2</v>
      </c>
      <c r="E12" s="151">
        <v>2</v>
      </c>
      <c r="F12" s="151">
        <v>2</v>
      </c>
      <c r="G12" s="151">
        <v>1</v>
      </c>
      <c r="I12" s="122" t="s">
        <v>138</v>
      </c>
      <c r="J12" s="134">
        <f>10000-SUM(J13:J14)</f>
        <v>10000</v>
      </c>
      <c r="K12" s="147"/>
      <c r="L12" s="138" cm="1">
        <f t="array" ref="L12:L14">J12:J14/SUM(J15)</f>
        <v>1</v>
      </c>
    </row>
    <row r="13" spans="2:38" ht="15.6" customHeight="1">
      <c r="B13" s="140">
        <v>8</v>
      </c>
      <c r="C13" s="151">
        <v>1</v>
      </c>
      <c r="D13" s="151">
        <v>0</v>
      </c>
      <c r="E13" s="151">
        <v>0</v>
      </c>
      <c r="F13" s="151">
        <v>0</v>
      </c>
      <c r="G13" s="151">
        <v>1</v>
      </c>
      <c r="I13" s="122" t="s">
        <v>140</v>
      </c>
      <c r="J13" s="135">
        <v>0</v>
      </c>
      <c r="K13" s="148"/>
      <c r="L13" s="138">
        <v>0</v>
      </c>
    </row>
    <row r="14" spans="2:38" ht="15.6" customHeight="1">
      <c r="B14" s="140">
        <v>9</v>
      </c>
      <c r="C14" s="151">
        <v>0</v>
      </c>
      <c r="D14" s="151">
        <v>1</v>
      </c>
      <c r="E14" s="151">
        <v>1</v>
      </c>
      <c r="F14" s="151">
        <v>1</v>
      </c>
      <c r="G14" s="151">
        <v>0</v>
      </c>
      <c r="I14" s="122" t="s">
        <v>142</v>
      </c>
      <c r="J14" s="135">
        <v>0</v>
      </c>
      <c r="K14" s="148"/>
      <c r="L14" s="138">
        <v>0</v>
      </c>
      <c r="N14" s="112" t="s">
        <v>166</v>
      </c>
      <c r="AD14" s="180"/>
      <c r="AE14" s="180"/>
      <c r="AF14" s="180"/>
      <c r="AG14" s="180"/>
      <c r="AH14" s="180"/>
      <c r="AI14" s="180"/>
      <c r="AJ14" s="180"/>
      <c r="AK14" s="180"/>
      <c r="AL14" s="180"/>
    </row>
    <row r="15" spans="2:38" ht="15.6" customHeight="1">
      <c r="B15" s="140">
        <v>10</v>
      </c>
      <c r="C15" s="151">
        <v>2</v>
      </c>
      <c r="D15" s="151">
        <v>1</v>
      </c>
      <c r="E15" s="151">
        <v>1</v>
      </c>
      <c r="F15" s="151">
        <v>1</v>
      </c>
      <c r="G15" s="151">
        <v>2</v>
      </c>
      <c r="J15" s="51">
        <f>SUM(J12:J14)</f>
        <v>10000</v>
      </c>
      <c r="K15" s="51">
        <f>SUMPRODUCT(K12:K14,_xlfn.ANCHORARRAY(L12))</f>
        <v>0</v>
      </c>
      <c r="L15" s="139"/>
      <c r="N15" s="141" t="s">
        <v>147</v>
      </c>
      <c r="O15" s="141" cm="1">
        <f t="array" ref="O15:AA15">TRANSPOSE(I26:I38)</f>
        <v>0</v>
      </c>
      <c r="P15" s="141">
        <v>2</v>
      </c>
      <c r="Q15" s="141">
        <v>3</v>
      </c>
      <c r="R15" s="141">
        <v>5</v>
      </c>
      <c r="S15" s="141">
        <v>8</v>
      </c>
      <c r="T15" s="141">
        <v>10</v>
      </c>
      <c r="U15" s="141">
        <v>15</v>
      </c>
      <c r="V15" s="141">
        <v>20</v>
      </c>
      <c r="W15" s="141">
        <v>25</v>
      </c>
      <c r="X15" s="141">
        <v>50</v>
      </c>
      <c r="Y15" s="141">
        <v>100</v>
      </c>
      <c r="Z15" s="141">
        <v>500</v>
      </c>
      <c r="AA15" s="141">
        <v>1000</v>
      </c>
    </row>
    <row r="16" spans="2:38" ht="15.6" customHeight="1">
      <c r="B16" s="140">
        <v>11</v>
      </c>
      <c r="C16" s="151">
        <v>1</v>
      </c>
      <c r="D16" s="151">
        <v>1</v>
      </c>
      <c r="E16" s="151">
        <v>0</v>
      </c>
      <c r="F16" s="151">
        <v>1</v>
      </c>
      <c r="G16" s="151">
        <v>1</v>
      </c>
      <c r="L16" s="139"/>
      <c r="N16" s="155" t="s">
        <v>145</v>
      </c>
      <c r="O16" s="157">
        <f t="shared" ref="O16:O22" si="2">10000-SUM(P16:AA16)</f>
        <v>10000</v>
      </c>
      <c r="P16" s="157">
        <v>0</v>
      </c>
      <c r="Q16" s="157">
        <v>0</v>
      </c>
      <c r="R16" s="157">
        <v>0</v>
      </c>
      <c r="S16" s="157">
        <v>0</v>
      </c>
      <c r="T16" s="157">
        <v>0</v>
      </c>
      <c r="U16" s="157">
        <v>0</v>
      </c>
      <c r="V16" s="157">
        <v>0</v>
      </c>
      <c r="W16" s="157">
        <v>0</v>
      </c>
      <c r="X16" s="157">
        <v>0</v>
      </c>
      <c r="Y16" s="157">
        <v>0</v>
      </c>
      <c r="Z16" s="157">
        <v>0</v>
      </c>
      <c r="AA16" s="157">
        <v>0</v>
      </c>
      <c r="AB16" s="159" cm="1">
        <f t="array" ref="AB16">SUMPRODUCT(O16:AA16/SUM(O16:AA16),$O$4:$AA$4)</f>
        <v>0</v>
      </c>
      <c r="AD16" s="158"/>
      <c r="AE16" s="158"/>
    </row>
    <row r="17" spans="2:31" ht="15.6" customHeight="1">
      <c r="B17" s="140">
        <v>12</v>
      </c>
      <c r="C17" s="151">
        <v>1</v>
      </c>
      <c r="D17" s="151">
        <v>1</v>
      </c>
      <c r="E17" s="151">
        <v>2</v>
      </c>
      <c r="F17" s="151">
        <v>1</v>
      </c>
      <c r="G17" s="151">
        <v>1</v>
      </c>
      <c r="I17" s="17" t="s">
        <v>155</v>
      </c>
      <c r="J17" s="17"/>
      <c r="K17" s="17"/>
      <c r="L17" s="139"/>
      <c r="N17" s="140" t="s">
        <v>146</v>
      </c>
      <c r="O17" s="154">
        <f t="shared" si="2"/>
        <v>0</v>
      </c>
      <c r="P17" s="156">
        <f>10000-SUM(Q17:AA17)</f>
        <v>3600</v>
      </c>
      <c r="Q17" s="156">
        <v>3400</v>
      </c>
      <c r="R17" s="156">
        <v>1500</v>
      </c>
      <c r="S17" s="156">
        <v>1500</v>
      </c>
      <c r="T17" s="157">
        <v>0</v>
      </c>
      <c r="U17" s="157">
        <v>0</v>
      </c>
      <c r="V17" s="157">
        <v>0</v>
      </c>
      <c r="W17" s="157">
        <v>0</v>
      </c>
      <c r="X17" s="157">
        <v>0</v>
      </c>
      <c r="Y17" s="157">
        <v>0</v>
      </c>
      <c r="Z17" s="157">
        <v>0</v>
      </c>
      <c r="AA17" s="157">
        <v>0</v>
      </c>
      <c r="AB17" s="159" cm="1">
        <f t="array" ref="AB17">SUMPRODUCT(O17:AA17/SUM(O17:AA17),$O$4:$AA$4)</f>
        <v>3.6900000000000004</v>
      </c>
      <c r="AD17" s="158"/>
      <c r="AE17" s="158"/>
    </row>
    <row r="18" spans="2:31" ht="15.6" customHeight="1">
      <c r="B18" s="140">
        <v>13</v>
      </c>
      <c r="C18" s="151">
        <v>1</v>
      </c>
      <c r="D18" s="151">
        <v>0</v>
      </c>
      <c r="E18" s="151">
        <v>1</v>
      </c>
      <c r="F18" s="151">
        <v>0</v>
      </c>
      <c r="G18" s="151">
        <v>1</v>
      </c>
      <c r="I18" s="132" t="s">
        <v>144</v>
      </c>
      <c r="J18" s="133" t="s">
        <v>108</v>
      </c>
      <c r="K18" s="133" t="s">
        <v>159</v>
      </c>
      <c r="N18" s="140" t="s">
        <v>157</v>
      </c>
      <c r="O18" s="154">
        <f t="shared" si="2"/>
        <v>10000</v>
      </c>
      <c r="P18" s="157">
        <v>0</v>
      </c>
      <c r="Q18" s="157">
        <v>0</v>
      </c>
      <c r="R18" s="157">
        <v>0</v>
      </c>
      <c r="S18" s="157">
        <v>0</v>
      </c>
      <c r="T18" s="157">
        <v>0</v>
      </c>
      <c r="U18" s="157">
        <v>0</v>
      </c>
      <c r="V18" s="157">
        <v>0</v>
      </c>
      <c r="W18" s="157">
        <v>0</v>
      </c>
      <c r="X18" s="157">
        <v>0</v>
      </c>
      <c r="Y18" s="157">
        <v>0</v>
      </c>
      <c r="Z18" s="157">
        <v>0</v>
      </c>
      <c r="AA18" s="157">
        <v>0</v>
      </c>
      <c r="AB18" s="159" cm="1">
        <f t="array" ref="AB18">SUMPRODUCT(O18:AA18/SUM(O18:AA18),$O$4:$AA$4)</f>
        <v>0</v>
      </c>
      <c r="AD18" s="158"/>
      <c r="AE18" s="158"/>
    </row>
    <row r="19" spans="2:31" ht="15.6" customHeight="1">
      <c r="B19" s="140">
        <v>14</v>
      </c>
      <c r="C19" s="151">
        <v>1</v>
      </c>
      <c r="D19" s="151">
        <v>2</v>
      </c>
      <c r="E19" s="151">
        <v>1</v>
      </c>
      <c r="F19" s="151">
        <v>2</v>
      </c>
      <c r="G19" s="151">
        <v>1</v>
      </c>
      <c r="I19" s="122" t="s">
        <v>138</v>
      </c>
      <c r="J19" s="134">
        <f>10000-SUM(J20:J21)</f>
        <v>10000</v>
      </c>
      <c r="K19" s="147"/>
      <c r="L19" s="138" cm="1">
        <f t="array" ref="L19:L21">J19:J21/SUM(J22)</f>
        <v>1</v>
      </c>
      <c r="N19" s="140" t="s">
        <v>137</v>
      </c>
      <c r="O19" s="154">
        <f t="shared" si="2"/>
        <v>0</v>
      </c>
      <c r="P19" s="156">
        <f>10000-SUM(Q19:AA19)</f>
        <v>6300</v>
      </c>
      <c r="Q19" s="142">
        <v>2800</v>
      </c>
      <c r="R19" s="142">
        <v>600</v>
      </c>
      <c r="S19" s="142">
        <v>300</v>
      </c>
      <c r="T19" s="154">
        <v>0</v>
      </c>
      <c r="U19" s="154">
        <v>0</v>
      </c>
      <c r="V19" s="154">
        <v>0</v>
      </c>
      <c r="W19" s="154">
        <v>0</v>
      </c>
      <c r="X19" s="154">
        <v>0</v>
      </c>
      <c r="Y19" s="154">
        <v>0</v>
      </c>
      <c r="Z19" s="154">
        <v>0</v>
      </c>
      <c r="AA19" s="154">
        <v>0</v>
      </c>
      <c r="AB19" s="159" cm="1">
        <f t="array" ref="AB19">SUMPRODUCT(O19:AA19/SUM(O19:AA19),$O$4:$AA$4)</f>
        <v>2.6399999999999997</v>
      </c>
    </row>
    <row r="20" spans="2:31" ht="15.6" customHeight="1">
      <c r="B20" s="140">
        <v>15</v>
      </c>
      <c r="C20" s="151">
        <v>0</v>
      </c>
      <c r="D20" s="151">
        <v>1</v>
      </c>
      <c r="E20" s="151">
        <v>0</v>
      </c>
      <c r="F20" s="151">
        <v>1</v>
      </c>
      <c r="G20" s="151">
        <v>0</v>
      </c>
      <c r="I20" s="122" t="s">
        <v>140</v>
      </c>
      <c r="J20" s="135">
        <v>0</v>
      </c>
      <c r="K20" s="148"/>
      <c r="L20" s="138">
        <v>0</v>
      </c>
      <c r="N20" s="140" t="s">
        <v>139</v>
      </c>
      <c r="O20" s="154">
        <f t="shared" si="2"/>
        <v>0</v>
      </c>
      <c r="P20" s="156">
        <f t="shared" ref="P20:P21" si="3">10000-SUM(Q20:AA20)</f>
        <v>6300</v>
      </c>
      <c r="Q20" s="142">
        <v>2800</v>
      </c>
      <c r="R20" s="142">
        <v>600</v>
      </c>
      <c r="S20" s="142">
        <v>300</v>
      </c>
      <c r="T20" s="154">
        <v>0</v>
      </c>
      <c r="U20" s="154">
        <v>0</v>
      </c>
      <c r="V20" s="154">
        <v>0</v>
      </c>
      <c r="W20" s="154">
        <v>0</v>
      </c>
      <c r="X20" s="154">
        <v>0</v>
      </c>
      <c r="Y20" s="154">
        <v>0</v>
      </c>
      <c r="Z20" s="154">
        <v>0</v>
      </c>
      <c r="AA20" s="154">
        <v>0</v>
      </c>
      <c r="AB20" s="159" cm="1">
        <f t="array" ref="AB20">SUMPRODUCT(O20:AA20/SUM(O20:AA20),$O$4:$AA$4)</f>
        <v>2.6399999999999997</v>
      </c>
    </row>
    <row r="21" spans="2:31" ht="15.6" customHeight="1">
      <c r="B21" s="140">
        <v>16</v>
      </c>
      <c r="C21" s="151">
        <v>2</v>
      </c>
      <c r="D21" s="151">
        <v>1</v>
      </c>
      <c r="E21" s="151">
        <v>2</v>
      </c>
      <c r="F21" s="151">
        <v>1</v>
      </c>
      <c r="G21" s="151">
        <v>2</v>
      </c>
      <c r="I21" s="122" t="s">
        <v>142</v>
      </c>
      <c r="J21" s="135">
        <v>0</v>
      </c>
      <c r="K21" s="148"/>
      <c r="L21" s="138">
        <v>0</v>
      </c>
      <c r="N21" s="140" t="s">
        <v>141</v>
      </c>
      <c r="O21" s="154">
        <f t="shared" si="2"/>
        <v>0</v>
      </c>
      <c r="P21" s="156">
        <f t="shared" si="3"/>
        <v>6300</v>
      </c>
      <c r="Q21" s="142">
        <v>2800</v>
      </c>
      <c r="R21" s="142">
        <v>600</v>
      </c>
      <c r="S21" s="142">
        <v>300</v>
      </c>
      <c r="T21" s="154">
        <v>0</v>
      </c>
      <c r="U21" s="154">
        <v>0</v>
      </c>
      <c r="V21" s="154">
        <v>0</v>
      </c>
      <c r="W21" s="154">
        <v>0</v>
      </c>
      <c r="X21" s="154">
        <v>0</v>
      </c>
      <c r="Y21" s="154">
        <v>0</v>
      </c>
      <c r="Z21" s="154">
        <v>0</v>
      </c>
      <c r="AA21" s="154">
        <v>0</v>
      </c>
      <c r="AB21" s="159" cm="1">
        <f t="array" ref="AB21">SUMPRODUCT(O21:AA21/SUM(O21:AA21),$O$4:$AA$4)</f>
        <v>2.6399999999999997</v>
      </c>
    </row>
    <row r="22" spans="2:31" ht="15.6" customHeight="1">
      <c r="B22" s="140">
        <v>17</v>
      </c>
      <c r="C22" s="151">
        <v>0</v>
      </c>
      <c r="D22" s="151">
        <v>0</v>
      </c>
      <c r="E22" s="151">
        <v>1</v>
      </c>
      <c r="F22" s="151">
        <v>2</v>
      </c>
      <c r="G22" s="151">
        <v>2</v>
      </c>
      <c r="J22" s="51">
        <f>SUM(J19:J21)</f>
        <v>10000</v>
      </c>
      <c r="K22" s="51">
        <f>SUMPRODUCT(K19:K21,_xlfn.ANCHORARRAY(L19))</f>
        <v>0</v>
      </c>
      <c r="N22" s="140" t="s">
        <v>156</v>
      </c>
      <c r="O22" s="154">
        <f t="shared" si="2"/>
        <v>10000</v>
      </c>
      <c r="P22" s="157">
        <v>0</v>
      </c>
      <c r="Q22" s="157">
        <v>0</v>
      </c>
      <c r="R22" s="157">
        <v>0</v>
      </c>
      <c r="S22" s="157">
        <v>0</v>
      </c>
      <c r="T22" s="157">
        <v>0</v>
      </c>
      <c r="U22" s="157">
        <v>0</v>
      </c>
      <c r="V22" s="157">
        <v>0</v>
      </c>
      <c r="W22" s="157">
        <v>0</v>
      </c>
      <c r="X22" s="157">
        <v>0</v>
      </c>
      <c r="Y22" s="157">
        <v>0</v>
      </c>
      <c r="Z22" s="157">
        <v>0</v>
      </c>
      <c r="AA22" s="157">
        <v>0</v>
      </c>
      <c r="AB22" s="159" cm="1">
        <f t="array" ref="AB22">SUMPRODUCT(O22:AA22/SUM(O22:AA22),$O$4:$AA$4)</f>
        <v>0</v>
      </c>
    </row>
    <row r="23" spans="2:31" ht="15.6" customHeight="1">
      <c r="B23" s="140">
        <v>18</v>
      </c>
      <c r="C23" s="151">
        <v>2</v>
      </c>
      <c r="D23" s="151">
        <v>2</v>
      </c>
      <c r="E23" s="151">
        <v>1</v>
      </c>
      <c r="F23" s="151">
        <v>0</v>
      </c>
      <c r="G23" s="151">
        <v>0</v>
      </c>
      <c r="P23" s="180"/>
      <c r="Q23" s="180"/>
      <c r="R23" s="180"/>
      <c r="S23" s="180"/>
    </row>
    <row r="24" spans="2:31" ht="15.6" customHeight="1">
      <c r="B24" s="140">
        <v>19</v>
      </c>
      <c r="C24" s="151">
        <v>0</v>
      </c>
      <c r="D24" s="151">
        <v>2</v>
      </c>
      <c r="E24" s="151">
        <v>0</v>
      </c>
      <c r="F24" s="151">
        <v>2</v>
      </c>
      <c r="G24" s="151">
        <v>0</v>
      </c>
      <c r="I24" s="112" t="s">
        <v>161</v>
      </c>
    </row>
    <row r="25" spans="2:31" ht="15.6" customHeight="1">
      <c r="I25" s="141" t="s">
        <v>160</v>
      </c>
      <c r="N25" s="112" t="s">
        <v>167</v>
      </c>
    </row>
    <row r="26" spans="2:31" ht="15.6" customHeight="1">
      <c r="I26" s="149">
        <v>0</v>
      </c>
      <c r="N26" s="141" t="s">
        <v>147</v>
      </c>
      <c r="O26" s="141" cm="1">
        <f t="array" ref="O26:AA26">TRANSPOSE(I26:I38)</f>
        <v>0</v>
      </c>
      <c r="P26" s="141">
        <v>2</v>
      </c>
      <c r="Q26" s="141">
        <v>3</v>
      </c>
      <c r="R26" s="141">
        <v>5</v>
      </c>
      <c r="S26" s="141">
        <v>8</v>
      </c>
      <c r="T26" s="141">
        <v>10</v>
      </c>
      <c r="U26" s="141">
        <v>15</v>
      </c>
      <c r="V26" s="141">
        <v>20</v>
      </c>
      <c r="W26" s="141">
        <v>25</v>
      </c>
      <c r="X26" s="141">
        <v>50</v>
      </c>
      <c r="Y26" s="141">
        <v>100</v>
      </c>
      <c r="Z26" s="141">
        <v>500</v>
      </c>
      <c r="AA26" s="141">
        <v>1000</v>
      </c>
    </row>
    <row r="27" spans="2:31" ht="15.6" customHeight="1">
      <c r="I27" s="150">
        <v>2</v>
      </c>
      <c r="N27" s="155" t="s">
        <v>145</v>
      </c>
      <c r="O27" s="157">
        <f t="shared" ref="O27:O32" si="4">10000-SUM(P27:AA27)</f>
        <v>10000</v>
      </c>
      <c r="P27" s="157">
        <v>0</v>
      </c>
      <c r="Q27" s="157">
        <v>0</v>
      </c>
      <c r="R27" s="157">
        <v>0</v>
      </c>
      <c r="S27" s="157">
        <v>0</v>
      </c>
      <c r="T27" s="157">
        <v>0</v>
      </c>
      <c r="U27" s="157">
        <v>0</v>
      </c>
      <c r="V27" s="157">
        <v>0</v>
      </c>
      <c r="W27" s="157">
        <v>0</v>
      </c>
      <c r="X27" s="157">
        <v>0</v>
      </c>
      <c r="Y27" s="157">
        <v>0</v>
      </c>
      <c r="Z27" s="157">
        <v>0</v>
      </c>
      <c r="AA27" s="157">
        <v>0</v>
      </c>
      <c r="AB27" s="159" cm="1">
        <f t="array" ref="AB27">SUMPRODUCT(O27:AA27/SUM(O27:AA27),$O$4:$AA$4)</f>
        <v>0</v>
      </c>
    </row>
    <row r="28" spans="2:31">
      <c r="I28" s="150">
        <v>3</v>
      </c>
      <c r="N28" s="140" t="s">
        <v>146</v>
      </c>
      <c r="O28" s="157">
        <f t="shared" si="4"/>
        <v>0</v>
      </c>
      <c r="P28" s="156">
        <f>10000-SUM(Q28:AA28)</f>
        <v>4000</v>
      </c>
      <c r="Q28" s="142">
        <v>4000</v>
      </c>
      <c r="R28" s="142">
        <v>1000</v>
      </c>
      <c r="S28" s="142">
        <v>1000</v>
      </c>
      <c r="T28" s="157">
        <v>0</v>
      </c>
      <c r="U28" s="157">
        <v>0</v>
      </c>
      <c r="V28" s="157">
        <v>0</v>
      </c>
      <c r="W28" s="157">
        <v>0</v>
      </c>
      <c r="X28" s="157">
        <v>0</v>
      </c>
      <c r="Y28" s="157">
        <v>0</v>
      </c>
      <c r="Z28" s="157">
        <v>0</v>
      </c>
      <c r="AA28" s="157">
        <v>0</v>
      </c>
      <c r="AB28" s="159" cm="1">
        <f t="array" ref="AB28">SUMPRODUCT(O28:AA28/SUM(O28:AA28),$O$4:$AA$4)</f>
        <v>3.3</v>
      </c>
    </row>
    <row r="29" spans="2:31">
      <c r="I29" s="150">
        <v>5</v>
      </c>
      <c r="N29" s="140" t="s">
        <v>157</v>
      </c>
      <c r="O29" s="157">
        <f t="shared" si="4"/>
        <v>10000</v>
      </c>
      <c r="P29" s="157">
        <v>0</v>
      </c>
      <c r="Q29" s="157">
        <v>0</v>
      </c>
      <c r="R29" s="157">
        <v>0</v>
      </c>
      <c r="S29" s="157">
        <v>0</v>
      </c>
      <c r="T29" s="157">
        <v>0</v>
      </c>
      <c r="U29" s="157">
        <v>0</v>
      </c>
      <c r="V29" s="157">
        <v>0</v>
      </c>
      <c r="W29" s="157">
        <v>0</v>
      </c>
      <c r="X29" s="157">
        <v>0</v>
      </c>
      <c r="Y29" s="157">
        <v>0</v>
      </c>
      <c r="Z29" s="157">
        <v>0</v>
      </c>
      <c r="AA29" s="157">
        <v>0</v>
      </c>
      <c r="AB29" s="159" cm="1">
        <f t="array" ref="AB29">SUMPRODUCT(O29:AA29/SUM(O29:AA29),$O$4:$AA$4)</f>
        <v>0</v>
      </c>
      <c r="AD29" s="158"/>
      <c r="AE29" s="158"/>
    </row>
    <row r="30" spans="2:31">
      <c r="I30" s="150">
        <v>8</v>
      </c>
      <c r="N30" s="140" t="s">
        <v>137</v>
      </c>
      <c r="O30" s="157">
        <f t="shared" si="4"/>
        <v>0</v>
      </c>
      <c r="P30" s="156">
        <f t="shared" ref="P30:P32" si="5">10000-SUM(Q30:AA30)</f>
        <v>6550</v>
      </c>
      <c r="Q30" s="142">
        <v>3000</v>
      </c>
      <c r="R30" s="142">
        <v>300</v>
      </c>
      <c r="S30" s="142">
        <v>150</v>
      </c>
      <c r="T30" s="154">
        <v>0</v>
      </c>
      <c r="U30" s="154">
        <v>0</v>
      </c>
      <c r="V30" s="154">
        <v>0</v>
      </c>
      <c r="W30" s="154">
        <v>0</v>
      </c>
      <c r="X30" s="154">
        <v>0</v>
      </c>
      <c r="Y30" s="154">
        <v>0</v>
      </c>
      <c r="Z30" s="154">
        <v>0</v>
      </c>
      <c r="AA30" s="154">
        <v>0</v>
      </c>
      <c r="AB30" s="159" cm="1">
        <f t="array" ref="AB30">SUMPRODUCT(O30:AA30/SUM(O30:AA30),$O$4:$AA$4)</f>
        <v>2.48</v>
      </c>
    </row>
    <row r="31" spans="2:31">
      <c r="I31" s="150">
        <v>10</v>
      </c>
      <c r="N31" s="140" t="s">
        <v>139</v>
      </c>
      <c r="O31" s="157">
        <f t="shared" si="4"/>
        <v>0</v>
      </c>
      <c r="P31" s="156">
        <f t="shared" si="5"/>
        <v>6550</v>
      </c>
      <c r="Q31" s="142">
        <v>3000</v>
      </c>
      <c r="R31" s="142">
        <v>300</v>
      </c>
      <c r="S31" s="142">
        <v>150</v>
      </c>
      <c r="T31" s="154">
        <v>0</v>
      </c>
      <c r="U31" s="154">
        <v>0</v>
      </c>
      <c r="V31" s="154">
        <v>0</v>
      </c>
      <c r="W31" s="154">
        <v>0</v>
      </c>
      <c r="X31" s="154">
        <v>0</v>
      </c>
      <c r="Y31" s="154">
        <v>0</v>
      </c>
      <c r="Z31" s="154">
        <v>0</v>
      </c>
      <c r="AA31" s="154">
        <v>0</v>
      </c>
      <c r="AB31" s="159" cm="1">
        <f t="array" ref="AB31">SUMPRODUCT(O31:AA31/SUM(O31:AA31),$O$4:$AA$4)</f>
        <v>2.48</v>
      </c>
      <c r="AD31" s="158"/>
      <c r="AE31" s="158"/>
    </row>
    <row r="32" spans="2:31">
      <c r="I32" s="150">
        <v>15</v>
      </c>
      <c r="N32" s="140" t="s">
        <v>141</v>
      </c>
      <c r="O32" s="157">
        <f t="shared" si="4"/>
        <v>0</v>
      </c>
      <c r="P32" s="156">
        <f t="shared" si="5"/>
        <v>6550</v>
      </c>
      <c r="Q32" s="142">
        <v>3000</v>
      </c>
      <c r="R32" s="142">
        <v>300</v>
      </c>
      <c r="S32" s="142">
        <v>150</v>
      </c>
      <c r="T32" s="154">
        <v>0</v>
      </c>
      <c r="U32" s="154">
        <v>0</v>
      </c>
      <c r="V32" s="154">
        <v>0</v>
      </c>
      <c r="W32" s="154">
        <v>0</v>
      </c>
      <c r="X32" s="154">
        <v>0</v>
      </c>
      <c r="Y32" s="154">
        <v>0</v>
      </c>
      <c r="Z32" s="154">
        <v>0</v>
      </c>
      <c r="AA32" s="154">
        <v>0</v>
      </c>
      <c r="AB32" s="159" cm="1">
        <f t="array" ref="AB32">SUMPRODUCT(O32:AA32/SUM(O32:AA32),$O$4:$AA$4)</f>
        <v>2.48</v>
      </c>
      <c r="AD32" s="158"/>
      <c r="AE32" s="158"/>
    </row>
    <row r="33" spans="9:31">
      <c r="I33" s="150">
        <v>20</v>
      </c>
      <c r="N33" s="140" t="s">
        <v>156</v>
      </c>
      <c r="O33" s="157">
        <f t="shared" ref="O33" si="6">10000-SUM(P33:AA33)</f>
        <v>10000</v>
      </c>
      <c r="P33" s="157">
        <v>0</v>
      </c>
      <c r="Q33" s="157">
        <v>0</v>
      </c>
      <c r="R33" s="157">
        <v>0</v>
      </c>
      <c r="S33" s="157">
        <v>0</v>
      </c>
      <c r="T33" s="157">
        <v>0</v>
      </c>
      <c r="U33" s="157">
        <v>0</v>
      </c>
      <c r="V33" s="157">
        <v>0</v>
      </c>
      <c r="W33" s="157">
        <v>0</v>
      </c>
      <c r="X33" s="157">
        <v>0</v>
      </c>
      <c r="Y33" s="157">
        <v>0</v>
      </c>
      <c r="Z33" s="157">
        <v>0</v>
      </c>
      <c r="AA33" s="157">
        <v>0</v>
      </c>
      <c r="AB33" s="159" cm="1">
        <f t="array" ref="AB33">SUMPRODUCT(O33:AA33/SUM(O33:AA33),$O$4:$AA$4)</f>
        <v>0</v>
      </c>
      <c r="AD33" s="158"/>
      <c r="AE33" s="158"/>
    </row>
    <row r="34" spans="9:31">
      <c r="I34" s="150">
        <v>25</v>
      </c>
    </row>
    <row r="35" spans="9:31">
      <c r="I35" s="150">
        <v>50</v>
      </c>
    </row>
    <row r="36" spans="9:31">
      <c r="I36" s="150">
        <v>100</v>
      </c>
      <c r="N36" s="112" t="s">
        <v>152</v>
      </c>
    </row>
    <row r="37" spans="9:31">
      <c r="I37" s="150">
        <v>500</v>
      </c>
      <c r="N37" s="141" t="s">
        <v>147</v>
      </c>
      <c r="O37" s="141" cm="1">
        <f t="array" ref="O37:AA37">TRANSPOSE(I26:I38)</f>
        <v>0</v>
      </c>
      <c r="P37" s="141">
        <v>2</v>
      </c>
      <c r="Q37" s="141">
        <v>3</v>
      </c>
      <c r="R37" s="141">
        <v>5</v>
      </c>
      <c r="S37" s="141">
        <v>8</v>
      </c>
      <c r="T37" s="141">
        <v>10</v>
      </c>
      <c r="U37" s="141">
        <v>15</v>
      </c>
      <c r="V37" s="141">
        <v>20</v>
      </c>
      <c r="W37" s="141">
        <v>25</v>
      </c>
      <c r="X37" s="141">
        <v>50</v>
      </c>
      <c r="Y37" s="141">
        <v>100</v>
      </c>
      <c r="Z37" s="141">
        <v>500</v>
      </c>
      <c r="AA37" s="141">
        <v>1000</v>
      </c>
    </row>
    <row r="38" spans="9:31">
      <c r="I38" s="150">
        <v>1000</v>
      </c>
      <c r="N38" s="140" t="s">
        <v>145</v>
      </c>
      <c r="O38" s="156">
        <f t="shared" ref="O38" si="7">10000-SUM(P38:AA38)</f>
        <v>8500</v>
      </c>
      <c r="P38" s="156">
        <v>500</v>
      </c>
      <c r="Q38" s="156">
        <v>400</v>
      </c>
      <c r="R38" s="156">
        <v>300</v>
      </c>
      <c r="S38" s="156">
        <v>300</v>
      </c>
      <c r="T38" s="157">
        <v>0</v>
      </c>
      <c r="U38" s="157">
        <v>0</v>
      </c>
      <c r="V38" s="157">
        <v>0</v>
      </c>
      <c r="W38" s="157">
        <v>0</v>
      </c>
      <c r="X38" s="157">
        <v>0</v>
      </c>
      <c r="Y38" s="157">
        <v>0</v>
      </c>
      <c r="Z38" s="157">
        <v>0</v>
      </c>
      <c r="AA38" s="157">
        <v>0</v>
      </c>
      <c r="AB38" s="159" cm="1">
        <f t="array" ref="AB38">SUMPRODUCT(P38:AA38/SUM(P38:AA38),$P$4:$AA$4)</f>
        <v>4.0666666666666664</v>
      </c>
      <c r="AC38" s="159"/>
      <c r="AD38" s="158"/>
      <c r="AE38" s="158"/>
    </row>
    <row r="39" spans="9:31">
      <c r="N39" s="140" t="s">
        <v>146</v>
      </c>
      <c r="O39" s="156">
        <f t="shared" ref="O39:O44" si="8">10000-SUM(P39:AA39)</f>
        <v>9100</v>
      </c>
      <c r="P39" s="156">
        <v>350</v>
      </c>
      <c r="Q39" s="156">
        <v>250</v>
      </c>
      <c r="R39" s="156">
        <v>150</v>
      </c>
      <c r="S39" s="156">
        <v>150</v>
      </c>
      <c r="T39" s="157">
        <v>0</v>
      </c>
      <c r="U39" s="157">
        <v>0</v>
      </c>
      <c r="V39" s="157">
        <v>0</v>
      </c>
      <c r="W39" s="157">
        <v>0</v>
      </c>
      <c r="X39" s="157">
        <v>0</v>
      </c>
      <c r="Y39" s="157">
        <v>0</v>
      </c>
      <c r="Z39" s="157">
        <v>0</v>
      </c>
      <c r="AA39" s="157">
        <v>0</v>
      </c>
      <c r="AB39" s="159" cm="1">
        <f t="array" ref="AB39">SUMPRODUCT(P39:AA39/SUM(P39:AA39),$P$4:$AA$4)</f>
        <v>3.7777777777777777</v>
      </c>
      <c r="AC39" s="159"/>
      <c r="AD39" s="158"/>
      <c r="AE39" s="158"/>
    </row>
    <row r="40" spans="9:31">
      <c r="N40" s="140" t="s">
        <v>157</v>
      </c>
      <c r="O40" s="142">
        <f t="shared" si="8"/>
        <v>9200</v>
      </c>
      <c r="P40" s="156">
        <v>400</v>
      </c>
      <c r="Q40" s="156">
        <v>300</v>
      </c>
      <c r="R40" s="156">
        <v>50</v>
      </c>
      <c r="S40" s="156">
        <v>50</v>
      </c>
      <c r="T40" s="157">
        <v>0</v>
      </c>
      <c r="U40" s="157">
        <v>0</v>
      </c>
      <c r="V40" s="157">
        <v>0</v>
      </c>
      <c r="W40" s="157">
        <v>0</v>
      </c>
      <c r="X40" s="157">
        <v>0</v>
      </c>
      <c r="Y40" s="157">
        <v>0</v>
      </c>
      <c r="Z40" s="157">
        <v>0</v>
      </c>
      <c r="AA40" s="157">
        <v>0</v>
      </c>
      <c r="AB40" s="159" cm="1">
        <f t="array" ref="AB40">SUMPRODUCT(P40:AA40/SUM(P40:AA40),$P$4:$AA$4)</f>
        <v>2.9375</v>
      </c>
      <c r="AC40" s="159"/>
      <c r="AD40" s="158"/>
      <c r="AE40" s="158"/>
    </row>
    <row r="41" spans="9:31">
      <c r="I41" s="17" t="s">
        <v>164</v>
      </c>
      <c r="J41" s="17"/>
      <c r="K41" s="17"/>
      <c r="N41" s="140" t="s">
        <v>137</v>
      </c>
      <c r="O41" s="142">
        <f t="shared" si="8"/>
        <v>6710</v>
      </c>
      <c r="P41" s="156">
        <v>2100</v>
      </c>
      <c r="Q41" s="156">
        <v>860</v>
      </c>
      <c r="R41" s="142">
        <v>220</v>
      </c>
      <c r="S41" s="142">
        <v>110</v>
      </c>
      <c r="T41" s="154">
        <v>0</v>
      </c>
      <c r="U41" s="154">
        <v>0</v>
      </c>
      <c r="V41" s="154">
        <v>0</v>
      </c>
      <c r="W41" s="154">
        <v>0</v>
      </c>
      <c r="X41" s="154">
        <v>0</v>
      </c>
      <c r="Y41" s="154">
        <v>0</v>
      </c>
      <c r="Z41" s="154">
        <v>0</v>
      </c>
      <c r="AA41" s="154">
        <v>0</v>
      </c>
      <c r="AB41" s="159" cm="1">
        <f t="array" ref="AB41">SUMPRODUCT(P41:AA41/SUM(P41:AA41),$P$4:$AA$4)</f>
        <v>2.6626139817629175</v>
      </c>
      <c r="AC41" s="159"/>
      <c r="AD41" s="158"/>
      <c r="AE41" s="158"/>
    </row>
    <row r="42" spans="9:31">
      <c r="I42" s="132"/>
      <c r="J42" s="133" t="s">
        <v>165</v>
      </c>
      <c r="K42" s="133" t="s">
        <v>107</v>
      </c>
      <c r="N42" s="140" t="s">
        <v>139</v>
      </c>
      <c r="O42" s="142">
        <f t="shared" si="8"/>
        <v>6710</v>
      </c>
      <c r="P42" s="156">
        <v>2100</v>
      </c>
      <c r="Q42" s="156">
        <v>860</v>
      </c>
      <c r="R42" s="142">
        <v>220</v>
      </c>
      <c r="S42" s="142">
        <v>110</v>
      </c>
      <c r="T42" s="154">
        <v>0</v>
      </c>
      <c r="U42" s="154">
        <v>0</v>
      </c>
      <c r="V42" s="154">
        <v>0</v>
      </c>
      <c r="W42" s="154">
        <v>0</v>
      </c>
      <c r="X42" s="154">
        <v>0</v>
      </c>
      <c r="Y42" s="154">
        <v>0</v>
      </c>
      <c r="Z42" s="154">
        <v>0</v>
      </c>
      <c r="AA42" s="154">
        <v>0</v>
      </c>
      <c r="AB42" s="159" cm="1">
        <f t="array" ref="AB42">SUMPRODUCT(P42:AA42/SUM(P42:AA42),$P$4:$AA$4)</f>
        <v>2.6626139817629175</v>
      </c>
      <c r="AC42" s="159"/>
      <c r="AD42" s="158"/>
      <c r="AE42" s="158"/>
    </row>
    <row r="43" spans="9:31">
      <c r="I43" s="122" t="s">
        <v>49</v>
      </c>
      <c r="J43" s="134">
        <v>10</v>
      </c>
      <c r="K43" s="134">
        <v>0</v>
      </c>
      <c r="N43" s="140" t="s">
        <v>141</v>
      </c>
      <c r="O43" s="142">
        <f t="shared" si="8"/>
        <v>6710</v>
      </c>
      <c r="P43" s="156">
        <v>2100</v>
      </c>
      <c r="Q43" s="156">
        <v>860</v>
      </c>
      <c r="R43" s="142">
        <v>220</v>
      </c>
      <c r="S43" s="142">
        <v>110</v>
      </c>
      <c r="T43" s="154">
        <v>0</v>
      </c>
      <c r="U43" s="154">
        <v>0</v>
      </c>
      <c r="V43" s="154">
        <v>0</v>
      </c>
      <c r="W43" s="154">
        <v>0</v>
      </c>
      <c r="X43" s="154">
        <v>0</v>
      </c>
      <c r="Y43" s="154">
        <v>0</v>
      </c>
      <c r="Z43" s="154">
        <v>0</v>
      </c>
      <c r="AA43" s="154">
        <v>0</v>
      </c>
      <c r="AB43" s="159" cm="1">
        <f t="array" ref="AB43">SUMPRODUCT(P43:AA43/SUM(P43:AA43),$P$4:$AA$4)</f>
        <v>2.6626139817629175</v>
      </c>
      <c r="AC43" s="159"/>
      <c r="AD43" s="158"/>
      <c r="AE43" s="158"/>
    </row>
    <row r="44" spans="9:31">
      <c r="I44" s="122" t="s">
        <v>50</v>
      </c>
      <c r="J44" s="135">
        <v>10</v>
      </c>
      <c r="K44" s="135">
        <v>0</v>
      </c>
      <c r="N44" s="140" t="s">
        <v>156</v>
      </c>
      <c r="O44" s="154">
        <f t="shared" si="8"/>
        <v>10000</v>
      </c>
      <c r="P44" s="157">
        <v>0</v>
      </c>
      <c r="Q44" s="157">
        <v>0</v>
      </c>
      <c r="R44" s="157">
        <v>0</v>
      </c>
      <c r="S44" s="157">
        <v>0</v>
      </c>
      <c r="T44" s="157">
        <v>0</v>
      </c>
      <c r="U44" s="157">
        <v>0</v>
      </c>
      <c r="V44" s="157">
        <v>0</v>
      </c>
      <c r="W44" s="157">
        <v>0</v>
      </c>
      <c r="X44" s="157">
        <v>0</v>
      </c>
      <c r="Y44" s="157">
        <v>0</v>
      </c>
      <c r="Z44" s="157">
        <v>0</v>
      </c>
      <c r="AA44" s="157">
        <v>0</v>
      </c>
      <c r="AB44" s="159" t="e" cm="1">
        <f t="array" ref="AB44">SUMPRODUCT(P44:AA44/SUM(P44:AA44),$P$4:$AA$4)</f>
        <v>#DIV/0!</v>
      </c>
      <c r="AC44" s="159"/>
      <c r="AD44" s="158"/>
      <c r="AE44" s="158"/>
    </row>
    <row r="46" spans="9:31">
      <c r="P46" s="180"/>
      <c r="Q46" s="180"/>
      <c r="R46" s="180"/>
      <c r="S46" s="180"/>
    </row>
    <row r="47" spans="9:31">
      <c r="N47" s="112" t="s">
        <v>151</v>
      </c>
    </row>
    <row r="48" spans="9:31">
      <c r="N48" s="141" t="s">
        <v>147</v>
      </c>
      <c r="O48" s="141" cm="1">
        <f t="array" ref="O48:AA48">TRANSPOSE(I26:I38)</f>
        <v>0</v>
      </c>
      <c r="P48" s="141">
        <v>2</v>
      </c>
      <c r="Q48" s="141">
        <v>3</v>
      </c>
      <c r="R48" s="141">
        <v>5</v>
      </c>
      <c r="S48" s="141">
        <v>8</v>
      </c>
      <c r="T48" s="141">
        <v>10</v>
      </c>
      <c r="U48" s="141">
        <v>15</v>
      </c>
      <c r="V48" s="141">
        <v>20</v>
      </c>
      <c r="W48" s="141">
        <v>25</v>
      </c>
      <c r="X48" s="141">
        <v>50</v>
      </c>
      <c r="Y48" s="141">
        <v>100</v>
      </c>
      <c r="Z48" s="141">
        <v>500</v>
      </c>
      <c r="AA48" s="141">
        <v>1000</v>
      </c>
    </row>
    <row r="49" spans="14:31">
      <c r="N49" s="140" t="s">
        <v>145</v>
      </c>
      <c r="O49" s="156">
        <f t="shared" ref="O49" si="9">10000-SUM(P49:AA49)</f>
        <v>8500</v>
      </c>
      <c r="P49" s="156">
        <v>600</v>
      </c>
      <c r="Q49" s="156">
        <v>500</v>
      </c>
      <c r="R49" s="156">
        <v>200</v>
      </c>
      <c r="S49" s="156">
        <v>200</v>
      </c>
      <c r="T49" s="157">
        <v>0</v>
      </c>
      <c r="U49" s="157">
        <v>0</v>
      </c>
      <c r="V49" s="157">
        <v>0</v>
      </c>
      <c r="W49" s="157">
        <v>0</v>
      </c>
      <c r="X49" s="157">
        <v>0</v>
      </c>
      <c r="Y49" s="157">
        <v>0</v>
      </c>
      <c r="Z49" s="157">
        <v>0</v>
      </c>
      <c r="AA49" s="157">
        <v>0</v>
      </c>
      <c r="AB49" s="159" cm="1">
        <f t="array" ref="AB49">SUMPRODUCT(P49:AA49/SUM(P49:AA49),$P$4:$AA$4)</f>
        <v>3.5333333333333332</v>
      </c>
      <c r="AC49" s="159"/>
      <c r="AD49" s="158"/>
      <c r="AE49" s="158"/>
    </row>
    <row r="50" spans="14:31">
      <c r="N50" s="140" t="s">
        <v>146</v>
      </c>
      <c r="O50" s="156">
        <f t="shared" ref="O50:O54" si="10">10000-SUM(P50:AA50)</f>
        <v>9100</v>
      </c>
      <c r="P50" s="156">
        <v>450</v>
      </c>
      <c r="Q50" s="156">
        <v>350</v>
      </c>
      <c r="R50" s="156">
        <v>50</v>
      </c>
      <c r="S50" s="156">
        <v>50</v>
      </c>
      <c r="T50" s="157">
        <v>0</v>
      </c>
      <c r="U50" s="157">
        <v>0</v>
      </c>
      <c r="V50" s="157">
        <v>0</v>
      </c>
      <c r="W50" s="157">
        <v>0</v>
      </c>
      <c r="X50" s="157">
        <v>0</v>
      </c>
      <c r="Y50" s="157">
        <v>0</v>
      </c>
      <c r="Z50" s="157">
        <v>0</v>
      </c>
      <c r="AA50" s="157">
        <v>0</v>
      </c>
      <c r="AB50" s="159" cm="1">
        <f t="array" ref="AB50">SUMPRODUCT(P50:AA50/SUM(P50:AA50),$P$4:$AA$4)</f>
        <v>2.8888888888888893</v>
      </c>
      <c r="AC50" s="159"/>
      <c r="AD50" s="158"/>
      <c r="AE50" s="158"/>
    </row>
    <row r="51" spans="14:31">
      <c r="N51" s="140" t="s">
        <v>157</v>
      </c>
      <c r="O51" s="156">
        <f t="shared" si="10"/>
        <v>8900</v>
      </c>
      <c r="P51" s="156">
        <v>550</v>
      </c>
      <c r="Q51" s="156">
        <v>450</v>
      </c>
      <c r="R51" s="156">
        <v>50</v>
      </c>
      <c r="S51" s="156">
        <v>50</v>
      </c>
      <c r="T51" s="157">
        <v>0</v>
      </c>
      <c r="U51" s="157">
        <v>0</v>
      </c>
      <c r="V51" s="157">
        <v>0</v>
      </c>
      <c r="W51" s="157">
        <v>0</v>
      </c>
      <c r="X51" s="157">
        <v>0</v>
      </c>
      <c r="Y51" s="157">
        <v>0</v>
      </c>
      <c r="Z51" s="157">
        <v>0</v>
      </c>
      <c r="AA51" s="157">
        <v>0</v>
      </c>
      <c r="AB51" s="159" cm="1">
        <f t="array" ref="AB51">SUMPRODUCT(P51:AA51/SUM(P51:AA51),$P$4:$AA$4)</f>
        <v>2.8181818181818188</v>
      </c>
      <c r="AC51" s="159"/>
      <c r="AD51" s="158"/>
      <c r="AE51" s="158"/>
    </row>
    <row r="52" spans="14:31">
      <c r="N52" s="140" t="s">
        <v>137</v>
      </c>
      <c r="O52" s="156">
        <f t="shared" si="10"/>
        <v>6710</v>
      </c>
      <c r="P52" s="156">
        <v>2150</v>
      </c>
      <c r="Q52" s="156">
        <v>970</v>
      </c>
      <c r="R52" s="142">
        <v>110</v>
      </c>
      <c r="S52" s="142">
        <v>60</v>
      </c>
      <c r="T52" s="154">
        <v>0</v>
      </c>
      <c r="U52" s="154">
        <v>0</v>
      </c>
      <c r="V52" s="154">
        <v>0</v>
      </c>
      <c r="W52" s="154">
        <v>0</v>
      </c>
      <c r="X52" s="154">
        <v>0</v>
      </c>
      <c r="Y52" s="154">
        <v>0</v>
      </c>
      <c r="Z52" s="154">
        <v>0</v>
      </c>
      <c r="AA52" s="154">
        <v>0</v>
      </c>
      <c r="AB52" s="159" cm="1">
        <f t="array" ref="AB52">SUMPRODUCT(P52:AA52/SUM(P52:AA52),$P$4:$AA$4)</f>
        <v>2.5045592705167175</v>
      </c>
      <c r="AC52" s="159"/>
      <c r="AD52" s="158"/>
      <c r="AE52" s="158"/>
    </row>
    <row r="53" spans="14:31">
      <c r="N53" s="140" t="s">
        <v>139</v>
      </c>
      <c r="O53" s="156">
        <f t="shared" si="10"/>
        <v>6710</v>
      </c>
      <c r="P53" s="156">
        <v>2150</v>
      </c>
      <c r="Q53" s="156">
        <v>970</v>
      </c>
      <c r="R53" s="142">
        <v>110</v>
      </c>
      <c r="S53" s="142">
        <v>60</v>
      </c>
      <c r="T53" s="154">
        <v>0</v>
      </c>
      <c r="U53" s="154">
        <v>0</v>
      </c>
      <c r="V53" s="154">
        <v>0</v>
      </c>
      <c r="W53" s="154">
        <v>0</v>
      </c>
      <c r="X53" s="154">
        <v>0</v>
      </c>
      <c r="Y53" s="154">
        <v>0</v>
      </c>
      <c r="Z53" s="154">
        <v>0</v>
      </c>
      <c r="AA53" s="154">
        <v>0</v>
      </c>
      <c r="AB53" s="159" cm="1">
        <f t="array" ref="AB53">SUMPRODUCT(P53:AA53/SUM(P53:AA53),$P$4:$AA$4)</f>
        <v>2.5045592705167175</v>
      </c>
      <c r="AC53" s="159"/>
      <c r="AD53" s="158"/>
      <c r="AE53" s="158"/>
    </row>
    <row r="54" spans="14:31">
      <c r="N54" s="140" t="s">
        <v>141</v>
      </c>
      <c r="O54" s="156">
        <f t="shared" si="10"/>
        <v>6710</v>
      </c>
      <c r="P54" s="156">
        <v>2150</v>
      </c>
      <c r="Q54" s="156">
        <v>970</v>
      </c>
      <c r="R54" s="142">
        <v>110</v>
      </c>
      <c r="S54" s="142">
        <v>60</v>
      </c>
      <c r="T54" s="154">
        <v>0</v>
      </c>
      <c r="U54" s="154">
        <v>0</v>
      </c>
      <c r="V54" s="154">
        <v>0</v>
      </c>
      <c r="W54" s="154">
        <v>0</v>
      </c>
      <c r="X54" s="154">
        <v>0</v>
      </c>
      <c r="Y54" s="154">
        <v>0</v>
      </c>
      <c r="Z54" s="154">
        <v>0</v>
      </c>
      <c r="AA54" s="154">
        <v>0</v>
      </c>
      <c r="AB54" s="159" cm="1">
        <f t="array" ref="AB54">SUMPRODUCT(P54:AA54/SUM(P54:AA54),$P$4:$AA$4)</f>
        <v>2.5045592705167175</v>
      </c>
      <c r="AC54" s="159"/>
      <c r="AD54" s="158"/>
      <c r="AE54" s="158"/>
    </row>
    <row r="55" spans="14:31">
      <c r="N55" s="140" t="s">
        <v>156</v>
      </c>
      <c r="O55" s="154">
        <f t="shared" ref="O55" si="11">10000-SUM(P55:AA55)</f>
        <v>10000</v>
      </c>
      <c r="P55" s="157">
        <v>0</v>
      </c>
      <c r="Q55" s="157">
        <v>0</v>
      </c>
      <c r="R55" s="157">
        <v>0</v>
      </c>
      <c r="S55" s="157">
        <v>0</v>
      </c>
      <c r="T55" s="157">
        <v>0</v>
      </c>
      <c r="U55" s="157">
        <v>0</v>
      </c>
      <c r="V55" s="157">
        <v>0</v>
      </c>
      <c r="W55" s="157">
        <v>0</v>
      </c>
      <c r="X55" s="157">
        <v>0</v>
      </c>
      <c r="Y55" s="157">
        <v>0</v>
      </c>
      <c r="Z55" s="157">
        <v>0</v>
      </c>
      <c r="AA55" s="157">
        <v>0</v>
      </c>
      <c r="AB55" s="159" t="e" cm="1">
        <f t="array" ref="AB55">SUMPRODUCT(P55:AA55/SUM(P55:AA55),$P$4:$AA$4)</f>
        <v>#DIV/0!</v>
      </c>
      <c r="AC55" s="159"/>
      <c r="AD55" s="158"/>
      <c r="AE55" s="158"/>
    </row>
    <row r="70" spans="28:28">
      <c r="AB70" s="112"/>
    </row>
    <row r="71" spans="28:28">
      <c r="AB71" s="112"/>
    </row>
    <row r="72" spans="28:28">
      <c r="AB72" s="112"/>
    </row>
    <row r="73" spans="28:28">
      <c r="AB73" s="112"/>
    </row>
    <row r="74" spans="28:28">
      <c r="AB74" s="112"/>
    </row>
    <row r="75" spans="28:28">
      <c r="AB75" s="112"/>
    </row>
    <row r="76" spans="28:28">
      <c r="AB76" s="112"/>
    </row>
    <row r="77" spans="28:28">
      <c r="AB77" s="112"/>
    </row>
    <row r="78" spans="28:28">
      <c r="AB78" s="112"/>
    </row>
    <row r="79" spans="28:28">
      <c r="AB79" s="112"/>
    </row>
    <row r="80" spans="28:28">
      <c r="AB80" s="112"/>
    </row>
    <row r="81" spans="28:28">
      <c r="AB81" s="112"/>
    </row>
    <row r="82" spans="28:28">
      <c r="AB82" s="112"/>
    </row>
    <row r="83" spans="28:28">
      <c r="AB83" s="112"/>
    </row>
    <row r="84" spans="28:28">
      <c r="AB84" s="112"/>
    </row>
    <row r="85" spans="28:28">
      <c r="AB85" s="112"/>
    </row>
    <row r="86" spans="28:28">
      <c r="AB86" s="112"/>
    </row>
    <row r="87" spans="28:28">
      <c r="AB87" s="112"/>
    </row>
    <row r="88" spans="28:28">
      <c r="AB88" s="112"/>
    </row>
    <row r="89" spans="28:28">
      <c r="AB89" s="112"/>
    </row>
    <row r="90" spans="28:28">
      <c r="AB90" s="112"/>
    </row>
    <row r="91" spans="28:28">
      <c r="AB91" s="112"/>
    </row>
    <row r="92" spans="28:28">
      <c r="AB92" s="112"/>
    </row>
    <row r="93" spans="28:28">
      <c r="AB93" s="112"/>
    </row>
    <row r="94" spans="28:28">
      <c r="AB94" s="112"/>
    </row>
    <row r="95" spans="28:28">
      <c r="AB95" s="112"/>
    </row>
    <row r="96" spans="28:28">
      <c r="AB96" s="112"/>
    </row>
    <row r="97" spans="28:28">
      <c r="AB97" s="112"/>
    </row>
    <row r="98" spans="28:28">
      <c r="AB98" s="112"/>
    </row>
    <row r="99" spans="28:28">
      <c r="AB99" s="112"/>
    </row>
    <row r="100" spans="28:28">
      <c r="AB100" s="112"/>
    </row>
    <row r="101" spans="28:28">
      <c r="AB101" s="112"/>
    </row>
    <row r="102" spans="28:28">
      <c r="AB102" s="112"/>
    </row>
    <row r="103" spans="28:28">
      <c r="AB103" s="112"/>
    </row>
    <row r="104" spans="28:28">
      <c r="AB104" s="112"/>
    </row>
    <row r="105" spans="28:28">
      <c r="AB105" s="112"/>
    </row>
    <row r="106" spans="28:28">
      <c r="AB106" s="112"/>
    </row>
    <row r="107" spans="28:28">
      <c r="AB107" s="112"/>
    </row>
    <row r="108" spans="28:28">
      <c r="AB108" s="112"/>
    </row>
    <row r="109" spans="28:28">
      <c r="AB109" s="112"/>
    </row>
    <row r="110" spans="28:28">
      <c r="AB110" s="112"/>
    </row>
    <row r="111" spans="28:28">
      <c r="AB111" s="112"/>
    </row>
    <row r="112" spans="28:28">
      <c r="AB112" s="112"/>
    </row>
    <row r="113" spans="28:28">
      <c r="AB113" s="112"/>
    </row>
    <row r="114" spans="28:28">
      <c r="AB114" s="112"/>
    </row>
    <row r="115" spans="28:28">
      <c r="AB115" s="112"/>
    </row>
    <row r="116" spans="28:28">
      <c r="AB116" s="112"/>
    </row>
    <row r="117" spans="28:28">
      <c r="AB117" s="112"/>
    </row>
    <row r="118" spans="28:28">
      <c r="AB118" s="112"/>
    </row>
    <row r="119" spans="28:28">
      <c r="AB119" s="112"/>
    </row>
    <row r="120" spans="28:28">
      <c r="AB120" s="112"/>
    </row>
    <row r="121" spans="28:28">
      <c r="AB121" s="112"/>
    </row>
    <row r="122" spans="28:28">
      <c r="AB122" s="112"/>
    </row>
    <row r="123" spans="28:28">
      <c r="AB123" s="112"/>
    </row>
    <row r="124" spans="28:28">
      <c r="AB124" s="112"/>
    </row>
    <row r="125" spans="28:28">
      <c r="AB125" s="112"/>
    </row>
    <row r="126" spans="28:28">
      <c r="AB126" s="112"/>
    </row>
    <row r="127" spans="28:28">
      <c r="AB127" s="112"/>
    </row>
    <row r="128" spans="28:28">
      <c r="AB128" s="112"/>
    </row>
    <row r="129" spans="28:28">
      <c r="AB129" s="112"/>
    </row>
    <row r="130" spans="28:28" hidden="1">
      <c r="AB130" s="112"/>
    </row>
    <row r="131" spans="28:28">
      <c r="AB131" s="112"/>
    </row>
    <row r="132" spans="28:28">
      <c r="AB132" s="112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workbookViewId="0">
      <selection activeCell="K14" sqref="K14"/>
    </sheetView>
  </sheetViews>
  <sheetFormatPr defaultRowHeight="16.2"/>
  <cols>
    <col min="1" max="1" width="8.88671875" style="24"/>
    <col min="2" max="2" width="27.109375" style="17" bestFit="1" customWidth="1"/>
    <col min="3" max="11" width="19.44140625" style="17" bestFit="1" customWidth="1"/>
  </cols>
  <sheetData>
    <row r="2" spans="2:11">
      <c r="C2" s="17" t="s">
        <v>321</v>
      </c>
      <c r="D2" s="17" t="s">
        <v>321</v>
      </c>
      <c r="E2" s="17" t="s">
        <v>321</v>
      </c>
      <c r="F2" s="17" t="s">
        <v>321</v>
      </c>
      <c r="G2" s="17" t="s">
        <v>320</v>
      </c>
      <c r="H2" s="17" t="s">
        <v>320</v>
      </c>
      <c r="I2" s="17" t="s">
        <v>320</v>
      </c>
      <c r="J2" s="17" t="s">
        <v>320</v>
      </c>
    </row>
    <row r="3" spans="2:11">
      <c r="B3" s="133" t="s">
        <v>319</v>
      </c>
      <c r="C3" s="133" t="s">
        <v>330</v>
      </c>
      <c r="D3" s="133" t="s">
        <v>331</v>
      </c>
      <c r="E3" s="133" t="s">
        <v>332</v>
      </c>
      <c r="F3" s="133" t="s">
        <v>333</v>
      </c>
      <c r="G3" s="133" t="s">
        <v>330</v>
      </c>
      <c r="H3" s="133" t="s">
        <v>331</v>
      </c>
      <c r="I3" s="133" t="s">
        <v>332</v>
      </c>
      <c r="J3" s="133" t="s">
        <v>333</v>
      </c>
      <c r="K3" s="133" t="s">
        <v>334</v>
      </c>
    </row>
    <row r="4" spans="2:11">
      <c r="B4" s="191" t="s">
        <v>318</v>
      </c>
      <c r="C4" s="135" cm="1">
        <f t="array" ref="C4">IFERROR(#REF!, 0)</f>
        <v>0</v>
      </c>
      <c r="D4" s="135">
        <f>IFERROR(#REF!, 0)</f>
        <v>0</v>
      </c>
      <c r="E4" s="135">
        <v>0</v>
      </c>
      <c r="F4" s="135">
        <v>0</v>
      </c>
      <c r="G4" s="206" cm="1">
        <f t="array" ref="G4:G68">_xlfn.ANCHORARRAY(Multiplier_Weight_Oldhand!L16)</f>
        <v>721125672</v>
      </c>
      <c r="H4" s="206" cm="1">
        <f t="array" ref="H4:H67">_xlfn.ANCHORARRAY(Multiplier_Weight_Oldhand!L159)</f>
        <v>0</v>
      </c>
      <c r="I4" s="206" cm="1">
        <f t="array" ref="I4:I68">_xlfn.ANCHORARRAY(Multiplier_Weight_Oldhand!L88)</f>
        <v>709964154</v>
      </c>
      <c r="J4" s="206" cm="1">
        <f t="array" ref="J4:J67">_xlfn.ANCHORARRAY(Multiplier_Weight_Oldhand!L159)</f>
        <v>0</v>
      </c>
      <c r="K4" s="206" cm="1">
        <f t="array" ref="K4:K67">_xlfn.ANCHORARRAY(Multiplier_Weight_Oldhand!L229)</f>
        <v>0</v>
      </c>
    </row>
    <row r="5" spans="2:11">
      <c r="B5" s="191" t="s">
        <v>317</v>
      </c>
      <c r="C5" s="135">
        <v>1000000000</v>
      </c>
      <c r="D5" s="135">
        <v>500000000</v>
      </c>
      <c r="E5" s="135">
        <v>250000000</v>
      </c>
      <c r="F5" s="135">
        <v>200000000</v>
      </c>
      <c r="G5" s="206">
        <v>161372361</v>
      </c>
      <c r="H5" s="206">
        <v>0</v>
      </c>
      <c r="I5" s="206">
        <v>158874655</v>
      </c>
      <c r="J5" s="206">
        <v>0</v>
      </c>
      <c r="K5" s="206">
        <v>0</v>
      </c>
    </row>
    <row r="6" spans="2:11">
      <c r="B6" s="191" t="s">
        <v>316</v>
      </c>
      <c r="C6" s="135">
        <v>0</v>
      </c>
      <c r="D6" s="135">
        <v>500000000</v>
      </c>
      <c r="E6" s="135">
        <v>250000000</v>
      </c>
      <c r="F6" s="135">
        <v>200000000</v>
      </c>
      <c r="G6" s="206">
        <v>45835076</v>
      </c>
      <c r="H6" s="206">
        <v>0</v>
      </c>
      <c r="I6" s="206">
        <v>45125645</v>
      </c>
      <c r="J6" s="206">
        <v>0</v>
      </c>
      <c r="K6" s="206">
        <v>0</v>
      </c>
    </row>
    <row r="7" spans="2:11">
      <c r="B7" s="191" t="s">
        <v>315</v>
      </c>
      <c r="C7" s="135">
        <v>0</v>
      </c>
      <c r="D7" s="135">
        <v>0</v>
      </c>
      <c r="E7" s="135">
        <v>250000000</v>
      </c>
      <c r="F7" s="135">
        <v>200000000</v>
      </c>
      <c r="G7" s="206">
        <v>21686228</v>
      </c>
      <c r="H7" s="206">
        <v>0</v>
      </c>
      <c r="I7" s="206">
        <v>21350570</v>
      </c>
      <c r="J7" s="206">
        <v>0</v>
      </c>
      <c r="K7" s="206">
        <v>0</v>
      </c>
    </row>
    <row r="8" spans="2:11">
      <c r="B8" s="191" t="s">
        <v>314</v>
      </c>
      <c r="C8" s="135">
        <v>0</v>
      </c>
      <c r="D8" s="135">
        <v>0</v>
      </c>
      <c r="E8" s="135">
        <v>250000000</v>
      </c>
      <c r="F8" s="135">
        <v>200000000</v>
      </c>
      <c r="G8" s="206">
        <v>8879408</v>
      </c>
      <c r="H8" s="206">
        <v>0</v>
      </c>
      <c r="I8" s="206">
        <v>8557400</v>
      </c>
      <c r="J8" s="206">
        <v>0</v>
      </c>
      <c r="K8" s="206">
        <v>0</v>
      </c>
    </row>
    <row r="9" spans="2:11">
      <c r="B9" s="191" t="s">
        <v>313</v>
      </c>
      <c r="C9" s="135">
        <v>0</v>
      </c>
      <c r="D9" s="135">
        <v>0</v>
      </c>
      <c r="E9" s="135">
        <v>0</v>
      </c>
      <c r="F9" s="135">
        <v>200000000</v>
      </c>
      <c r="G9" s="206">
        <v>6969536</v>
      </c>
      <c r="H9" s="206">
        <v>0</v>
      </c>
      <c r="I9" s="206">
        <v>6716789</v>
      </c>
      <c r="J9" s="206">
        <v>0</v>
      </c>
      <c r="K9" s="206">
        <v>0</v>
      </c>
    </row>
    <row r="10" spans="2:11">
      <c r="B10" s="191" t="s">
        <v>312</v>
      </c>
      <c r="C10" s="135">
        <v>0</v>
      </c>
      <c r="D10" s="135">
        <v>0</v>
      </c>
      <c r="E10" s="135">
        <v>0</v>
      </c>
      <c r="F10" s="135">
        <v>0</v>
      </c>
      <c r="G10" s="206">
        <v>5697828</v>
      </c>
      <c r="H10" s="206">
        <v>0</v>
      </c>
      <c r="I10" s="206">
        <v>5491199</v>
      </c>
      <c r="J10" s="206">
        <v>0</v>
      </c>
      <c r="K10" s="206">
        <v>0</v>
      </c>
    </row>
    <row r="11" spans="2:11">
      <c r="B11" s="191" t="s">
        <v>311</v>
      </c>
      <c r="C11" s="135">
        <v>0</v>
      </c>
      <c r="D11" s="135">
        <v>0</v>
      </c>
      <c r="E11" s="135">
        <v>0</v>
      </c>
      <c r="F11" s="135">
        <v>0</v>
      </c>
      <c r="G11" s="206">
        <v>3466959</v>
      </c>
      <c r="H11" s="206">
        <v>0</v>
      </c>
      <c r="I11" s="206">
        <v>3341232</v>
      </c>
      <c r="J11" s="206">
        <v>0</v>
      </c>
      <c r="K11" s="206">
        <v>0</v>
      </c>
    </row>
    <row r="12" spans="2:11">
      <c r="B12" s="191" t="s">
        <v>310</v>
      </c>
      <c r="C12" s="135">
        <v>0</v>
      </c>
      <c r="D12" s="135">
        <v>0</v>
      </c>
      <c r="E12" s="135">
        <v>0</v>
      </c>
      <c r="F12" s="135">
        <v>0</v>
      </c>
      <c r="G12" s="206">
        <v>2941732</v>
      </c>
      <c r="H12" s="206">
        <v>0</v>
      </c>
      <c r="I12" s="206">
        <v>2835051</v>
      </c>
      <c r="J12" s="206">
        <v>0</v>
      </c>
      <c r="K12" s="206">
        <v>0</v>
      </c>
    </row>
    <row r="13" spans="2:11">
      <c r="B13" s="191" t="s">
        <v>309</v>
      </c>
      <c r="C13" s="135">
        <v>0</v>
      </c>
      <c r="D13" s="135">
        <v>0</v>
      </c>
      <c r="E13" s="135">
        <v>0</v>
      </c>
      <c r="F13" s="135">
        <v>0</v>
      </c>
      <c r="G13" s="206">
        <v>2658646</v>
      </c>
      <c r="H13" s="206">
        <v>0</v>
      </c>
      <c r="I13" s="206">
        <v>2562232</v>
      </c>
      <c r="J13" s="206">
        <v>0</v>
      </c>
      <c r="K13" s="206">
        <v>0</v>
      </c>
    </row>
    <row r="14" spans="2:11">
      <c r="B14" s="191" t="s">
        <v>308</v>
      </c>
      <c r="C14" s="135">
        <v>0</v>
      </c>
      <c r="D14" s="135">
        <v>0</v>
      </c>
      <c r="E14" s="135">
        <v>0</v>
      </c>
      <c r="F14" s="135">
        <v>0</v>
      </c>
      <c r="G14" s="206">
        <v>2360205</v>
      </c>
      <c r="H14" s="206">
        <v>0</v>
      </c>
      <c r="I14" s="206">
        <v>2274614</v>
      </c>
      <c r="J14" s="206">
        <v>0</v>
      </c>
      <c r="K14" s="206">
        <v>0</v>
      </c>
    </row>
    <row r="15" spans="2:11">
      <c r="B15" s="191" t="s">
        <v>307</v>
      </c>
      <c r="C15" s="135">
        <v>0</v>
      </c>
      <c r="D15" s="135">
        <v>0</v>
      </c>
      <c r="E15" s="135">
        <v>0</v>
      </c>
      <c r="F15" s="135">
        <v>0</v>
      </c>
      <c r="G15" s="206">
        <v>3173460</v>
      </c>
      <c r="H15" s="206">
        <v>131437038</v>
      </c>
      <c r="I15" s="206">
        <v>3058376</v>
      </c>
      <c r="J15" s="206">
        <v>131437038</v>
      </c>
      <c r="K15" s="206">
        <v>117376941</v>
      </c>
    </row>
    <row r="16" spans="2:11">
      <c r="B16" s="192" t="s">
        <v>306</v>
      </c>
      <c r="C16" s="135">
        <v>0</v>
      </c>
      <c r="D16" s="135">
        <v>0</v>
      </c>
      <c r="E16" s="135">
        <v>0</v>
      </c>
      <c r="F16" s="135">
        <v>0</v>
      </c>
      <c r="G16" s="206">
        <v>4121540</v>
      </c>
      <c r="H16" s="206">
        <v>130937358</v>
      </c>
      <c r="I16" s="206">
        <v>3972074</v>
      </c>
      <c r="J16" s="206">
        <v>130937358</v>
      </c>
      <c r="K16" s="206">
        <v>116949721</v>
      </c>
    </row>
    <row r="17" spans="2:11">
      <c r="B17" s="191" t="s">
        <v>305</v>
      </c>
      <c r="C17" s="135">
        <v>0</v>
      </c>
      <c r="D17" s="135">
        <v>0</v>
      </c>
      <c r="E17" s="135">
        <v>0</v>
      </c>
      <c r="F17" s="135">
        <v>0</v>
      </c>
      <c r="G17" s="206">
        <v>1723124</v>
      </c>
      <c r="H17" s="206">
        <v>131756323</v>
      </c>
      <c r="I17" s="206">
        <v>1660636</v>
      </c>
      <c r="J17" s="206">
        <v>131756323</v>
      </c>
      <c r="K17" s="206">
        <v>117650644</v>
      </c>
    </row>
    <row r="18" spans="2:11">
      <c r="B18" s="191" t="s">
        <v>304</v>
      </c>
      <c r="C18" s="135">
        <v>0</v>
      </c>
      <c r="D18" s="135">
        <v>0</v>
      </c>
      <c r="E18" s="135">
        <v>0</v>
      </c>
      <c r="F18" s="135">
        <v>0</v>
      </c>
      <c r="G18" s="206">
        <v>699612</v>
      </c>
      <c r="H18" s="206">
        <v>132287809</v>
      </c>
      <c r="I18" s="206">
        <v>674241</v>
      </c>
      <c r="J18" s="206">
        <v>132287809</v>
      </c>
      <c r="K18" s="206">
        <v>118147083</v>
      </c>
    </row>
    <row r="19" spans="2:11">
      <c r="B19" s="191" t="s">
        <v>303</v>
      </c>
      <c r="C19" s="135">
        <v>0</v>
      </c>
      <c r="D19" s="135">
        <v>0</v>
      </c>
      <c r="E19" s="135">
        <v>0</v>
      </c>
      <c r="F19" s="135">
        <v>0</v>
      </c>
      <c r="G19" s="206">
        <v>591528</v>
      </c>
      <c r="H19" s="206">
        <v>36437097</v>
      </c>
      <c r="I19" s="206">
        <v>570077</v>
      </c>
      <c r="J19" s="206">
        <v>36437097</v>
      </c>
      <c r="K19" s="206">
        <v>32595296</v>
      </c>
    </row>
    <row r="20" spans="2:11">
      <c r="B20" s="192" t="s">
        <v>302</v>
      </c>
      <c r="C20" s="135">
        <v>0</v>
      </c>
      <c r="D20" s="135">
        <v>0</v>
      </c>
      <c r="E20" s="135">
        <v>0</v>
      </c>
      <c r="F20" s="135">
        <v>0</v>
      </c>
      <c r="G20" s="206">
        <v>1009899</v>
      </c>
      <c r="H20" s="206">
        <v>29747275</v>
      </c>
      <c r="I20" s="206">
        <v>973275</v>
      </c>
      <c r="J20" s="206">
        <v>29747275</v>
      </c>
      <c r="K20" s="206">
        <v>26618572</v>
      </c>
    </row>
    <row r="21" spans="2:11">
      <c r="B21" s="191" t="s">
        <v>301</v>
      </c>
      <c r="C21" s="135">
        <v>0</v>
      </c>
      <c r="D21" s="135">
        <v>0</v>
      </c>
      <c r="E21" s="135">
        <v>0</v>
      </c>
      <c r="F21" s="135">
        <v>0</v>
      </c>
      <c r="G21" s="206">
        <v>227355</v>
      </c>
      <c r="H21" s="206">
        <v>29679233</v>
      </c>
      <c r="I21" s="206">
        <v>219110</v>
      </c>
      <c r="J21" s="206">
        <v>29679233</v>
      </c>
      <c r="K21" s="206">
        <v>26555912</v>
      </c>
    </row>
    <row r="22" spans="2:11">
      <c r="B22" s="191" t="s">
        <v>300</v>
      </c>
      <c r="C22" s="135">
        <v>0</v>
      </c>
      <c r="D22" s="135">
        <v>0</v>
      </c>
      <c r="E22" s="135">
        <v>0</v>
      </c>
      <c r="F22" s="135">
        <v>0</v>
      </c>
      <c r="G22" s="206">
        <v>225912</v>
      </c>
      <c r="H22" s="206">
        <v>26923997</v>
      </c>
      <c r="I22" s="206">
        <v>217720</v>
      </c>
      <c r="J22" s="206">
        <v>26923997</v>
      </c>
      <c r="K22" s="206">
        <v>24135733</v>
      </c>
    </row>
    <row r="23" spans="2:11">
      <c r="B23" s="192" t="s">
        <v>299</v>
      </c>
      <c r="C23" s="135">
        <v>0</v>
      </c>
      <c r="D23" s="135">
        <v>0</v>
      </c>
      <c r="E23" s="135">
        <v>0</v>
      </c>
      <c r="F23" s="135">
        <v>0</v>
      </c>
      <c r="G23" s="206">
        <v>655835</v>
      </c>
      <c r="H23" s="206">
        <v>22777040</v>
      </c>
      <c r="I23" s="206">
        <v>632051</v>
      </c>
      <c r="J23" s="206">
        <v>22777040</v>
      </c>
      <c r="K23" s="206">
        <v>20379345</v>
      </c>
    </row>
    <row r="24" spans="2:11">
      <c r="B24" s="191" t="s">
        <v>298</v>
      </c>
      <c r="C24" s="135">
        <v>0</v>
      </c>
      <c r="D24" s="135">
        <v>0</v>
      </c>
      <c r="E24" s="135">
        <v>0</v>
      </c>
      <c r="F24" s="135">
        <v>0</v>
      </c>
      <c r="G24" s="206">
        <v>153726</v>
      </c>
      <c r="H24" s="206">
        <v>67214728</v>
      </c>
      <c r="I24" s="206">
        <v>148151</v>
      </c>
      <c r="J24" s="206">
        <v>67214728</v>
      </c>
      <c r="K24" s="206">
        <v>66833403</v>
      </c>
    </row>
    <row r="25" spans="2:11">
      <c r="B25" s="191" t="s">
        <v>297</v>
      </c>
      <c r="C25" s="135">
        <v>0</v>
      </c>
      <c r="D25" s="135">
        <v>0</v>
      </c>
      <c r="E25" s="135">
        <v>0</v>
      </c>
      <c r="F25" s="135">
        <v>0</v>
      </c>
      <c r="G25" s="206">
        <v>134424</v>
      </c>
      <c r="H25" s="206">
        <v>60723273</v>
      </c>
      <c r="I25" s="206">
        <v>129549</v>
      </c>
      <c r="J25" s="206">
        <v>60723273</v>
      </c>
      <c r="K25" s="206">
        <v>60327697</v>
      </c>
    </row>
    <row r="26" spans="2:11">
      <c r="B26" s="191" t="s">
        <v>296</v>
      </c>
      <c r="C26" s="135">
        <v>0</v>
      </c>
      <c r="D26" s="135">
        <v>0</v>
      </c>
      <c r="E26" s="135">
        <v>0</v>
      </c>
      <c r="F26" s="135">
        <v>0</v>
      </c>
      <c r="G26" s="206">
        <v>0</v>
      </c>
      <c r="H26" s="206">
        <v>30896457</v>
      </c>
      <c r="I26" s="206">
        <v>0</v>
      </c>
      <c r="J26" s="206">
        <v>30896457</v>
      </c>
      <c r="K26" s="206">
        <v>27615355</v>
      </c>
    </row>
    <row r="27" spans="2:11">
      <c r="B27" s="191" t="s">
        <v>295</v>
      </c>
      <c r="C27" s="135">
        <v>0</v>
      </c>
      <c r="D27" s="135">
        <v>0</v>
      </c>
      <c r="E27" s="135">
        <v>0</v>
      </c>
      <c r="F27" s="135">
        <v>0</v>
      </c>
      <c r="G27" s="206">
        <v>0</v>
      </c>
      <c r="H27" s="206">
        <v>27118467</v>
      </c>
      <c r="I27" s="206">
        <v>0</v>
      </c>
      <c r="J27" s="206">
        <v>27118467</v>
      </c>
      <c r="K27" s="206">
        <v>24250173</v>
      </c>
    </row>
    <row r="28" spans="2:11">
      <c r="B28" s="191" t="s">
        <v>294</v>
      </c>
      <c r="C28" s="135">
        <v>0</v>
      </c>
      <c r="D28" s="135">
        <v>0</v>
      </c>
      <c r="E28" s="135">
        <v>0</v>
      </c>
      <c r="F28" s="135">
        <v>0</v>
      </c>
      <c r="G28" s="206">
        <v>117818</v>
      </c>
      <c r="H28" s="206">
        <v>42726988</v>
      </c>
      <c r="I28" s="206">
        <v>113546</v>
      </c>
      <c r="J28" s="206">
        <v>42726988</v>
      </c>
      <c r="K28" s="206">
        <v>54054216</v>
      </c>
    </row>
    <row r="29" spans="2:11">
      <c r="B29" s="191" t="s">
        <v>293</v>
      </c>
      <c r="C29" s="135">
        <v>0</v>
      </c>
      <c r="D29" s="135">
        <v>0</v>
      </c>
      <c r="E29" s="135">
        <v>0</v>
      </c>
      <c r="F29" s="135">
        <v>0</v>
      </c>
      <c r="G29" s="206">
        <v>0</v>
      </c>
      <c r="H29" s="206">
        <v>18725823</v>
      </c>
      <c r="I29" s="206">
        <v>0</v>
      </c>
      <c r="J29" s="206">
        <v>18725823</v>
      </c>
      <c r="K29" s="206">
        <v>25698533</v>
      </c>
    </row>
    <row r="30" spans="2:11">
      <c r="B30" s="191" t="s">
        <v>292</v>
      </c>
      <c r="C30" s="135">
        <v>0</v>
      </c>
      <c r="D30" s="135">
        <v>0</v>
      </c>
      <c r="E30" s="135">
        <v>0</v>
      </c>
      <c r="F30" s="135">
        <v>0</v>
      </c>
      <c r="G30" s="206">
        <v>0</v>
      </c>
      <c r="H30" s="206">
        <v>28820088</v>
      </c>
      <c r="I30" s="206">
        <v>0</v>
      </c>
      <c r="J30" s="206">
        <v>28820088</v>
      </c>
      <c r="K30" s="206">
        <v>40434252</v>
      </c>
    </row>
    <row r="31" spans="2:11">
      <c r="B31" s="191" t="s">
        <v>291</v>
      </c>
      <c r="C31" s="135">
        <v>0</v>
      </c>
      <c r="D31" s="135">
        <v>0</v>
      </c>
      <c r="E31" s="135">
        <v>0</v>
      </c>
      <c r="F31" s="135">
        <v>0</v>
      </c>
      <c r="G31" s="206">
        <v>0</v>
      </c>
      <c r="H31" s="206">
        <v>8598634</v>
      </c>
      <c r="I31" s="206">
        <v>0</v>
      </c>
      <c r="J31" s="206">
        <v>8598634</v>
      </c>
      <c r="K31" s="206">
        <v>19765678</v>
      </c>
    </row>
    <row r="32" spans="2:11">
      <c r="B32" s="191" t="s">
        <v>290</v>
      </c>
      <c r="C32" s="135">
        <v>0</v>
      </c>
      <c r="D32" s="135">
        <v>0</v>
      </c>
      <c r="E32" s="135">
        <v>0</v>
      </c>
      <c r="F32" s="135">
        <v>0</v>
      </c>
      <c r="G32" s="206">
        <v>0</v>
      </c>
      <c r="H32" s="206">
        <v>7429480</v>
      </c>
      <c r="I32" s="206">
        <v>0</v>
      </c>
      <c r="J32" s="206">
        <v>7429480</v>
      </c>
      <c r="K32" s="206">
        <v>17420848</v>
      </c>
    </row>
    <row r="33" spans="2:11">
      <c r="B33" s="191" t="s">
        <v>289</v>
      </c>
      <c r="C33" s="135">
        <v>0</v>
      </c>
      <c r="D33" s="135">
        <v>0</v>
      </c>
      <c r="E33" s="135">
        <v>0</v>
      </c>
      <c r="F33" s="135">
        <v>0</v>
      </c>
      <c r="G33" s="206">
        <v>0</v>
      </c>
      <c r="H33" s="206">
        <v>20158338</v>
      </c>
      <c r="I33" s="206">
        <v>0</v>
      </c>
      <c r="J33" s="206">
        <v>20158338</v>
      </c>
      <c r="K33" s="206">
        <v>34041383</v>
      </c>
    </row>
    <row r="34" spans="2:11">
      <c r="B34" s="191" t="s">
        <v>288</v>
      </c>
      <c r="C34" s="135">
        <v>0</v>
      </c>
      <c r="D34" s="135">
        <v>0</v>
      </c>
      <c r="E34" s="135">
        <v>0</v>
      </c>
      <c r="F34" s="135">
        <v>0</v>
      </c>
      <c r="G34" s="206">
        <v>0</v>
      </c>
      <c r="H34" s="206">
        <v>5871866</v>
      </c>
      <c r="I34" s="206">
        <v>0</v>
      </c>
      <c r="J34" s="206">
        <v>5871866</v>
      </c>
      <c r="K34" s="206">
        <v>13041215</v>
      </c>
    </row>
    <row r="35" spans="2:11">
      <c r="B35" s="191" t="s">
        <v>287</v>
      </c>
      <c r="C35" s="135">
        <v>0</v>
      </c>
      <c r="D35" s="135">
        <v>0</v>
      </c>
      <c r="E35" s="135">
        <v>0</v>
      </c>
      <c r="F35" s="135">
        <v>0</v>
      </c>
      <c r="G35" s="206">
        <v>0</v>
      </c>
      <c r="H35" s="206">
        <v>4807630</v>
      </c>
      <c r="I35" s="206">
        <v>0</v>
      </c>
      <c r="J35" s="206">
        <v>4807630</v>
      </c>
      <c r="K35" s="206">
        <v>11411666</v>
      </c>
    </row>
    <row r="36" spans="2:11">
      <c r="B36" s="191" t="s">
        <v>286</v>
      </c>
      <c r="C36" s="135">
        <v>0</v>
      </c>
      <c r="D36" s="135">
        <v>0</v>
      </c>
      <c r="E36" s="135">
        <v>0</v>
      </c>
      <c r="F36" s="135">
        <v>0</v>
      </c>
      <c r="G36" s="206">
        <v>0</v>
      </c>
      <c r="H36" s="206">
        <v>491303</v>
      </c>
      <c r="I36" s="206">
        <v>0</v>
      </c>
      <c r="J36" s="206">
        <v>491303</v>
      </c>
      <c r="K36" s="206">
        <v>467770</v>
      </c>
    </row>
    <row r="37" spans="2:11">
      <c r="B37" s="191" t="s">
        <v>285</v>
      </c>
      <c r="C37" s="135">
        <v>0</v>
      </c>
      <c r="D37" s="135">
        <v>0</v>
      </c>
      <c r="E37" s="135">
        <v>0</v>
      </c>
      <c r="F37" s="135">
        <v>0</v>
      </c>
      <c r="G37" s="206">
        <v>0</v>
      </c>
      <c r="H37" s="206">
        <v>442768</v>
      </c>
      <c r="I37" s="206">
        <v>0</v>
      </c>
      <c r="J37" s="206">
        <v>442768</v>
      </c>
      <c r="K37" s="206">
        <v>421559</v>
      </c>
    </row>
    <row r="38" spans="2:11">
      <c r="B38" s="191" t="s">
        <v>284</v>
      </c>
      <c r="C38" s="135">
        <v>0</v>
      </c>
      <c r="D38" s="135">
        <v>0</v>
      </c>
      <c r="E38" s="135">
        <v>0</v>
      </c>
      <c r="F38" s="135">
        <v>0</v>
      </c>
      <c r="G38" s="206">
        <v>0</v>
      </c>
      <c r="H38" s="206">
        <v>396877</v>
      </c>
      <c r="I38" s="206">
        <v>0</v>
      </c>
      <c r="J38" s="206">
        <v>396877</v>
      </c>
      <c r="K38" s="206">
        <v>377866</v>
      </c>
    </row>
    <row r="39" spans="2:11">
      <c r="B39" s="191" t="s">
        <v>283</v>
      </c>
      <c r="C39" s="135">
        <v>0</v>
      </c>
      <c r="D39" s="135">
        <v>0</v>
      </c>
      <c r="E39" s="135">
        <v>0</v>
      </c>
      <c r="F39" s="135">
        <v>0</v>
      </c>
      <c r="G39" s="206">
        <v>0</v>
      </c>
      <c r="H39" s="206">
        <v>355879</v>
      </c>
      <c r="I39" s="206">
        <v>0</v>
      </c>
      <c r="J39" s="206">
        <v>355879</v>
      </c>
      <c r="K39" s="206">
        <v>338833</v>
      </c>
    </row>
    <row r="40" spans="2:11">
      <c r="B40" s="191" t="s">
        <v>282</v>
      </c>
      <c r="C40" s="135">
        <v>0</v>
      </c>
      <c r="D40" s="135">
        <v>0</v>
      </c>
      <c r="E40" s="135">
        <v>0</v>
      </c>
      <c r="F40" s="135">
        <v>0</v>
      </c>
      <c r="G40" s="206">
        <v>0</v>
      </c>
      <c r="H40" s="206">
        <v>317652</v>
      </c>
      <c r="I40" s="206">
        <v>0</v>
      </c>
      <c r="J40" s="206">
        <v>317652</v>
      </c>
      <c r="K40" s="206">
        <v>302437</v>
      </c>
    </row>
    <row r="41" spans="2:11">
      <c r="B41" s="191" t="s">
        <v>281</v>
      </c>
      <c r="C41" s="135">
        <v>0</v>
      </c>
      <c r="D41" s="135">
        <v>0</v>
      </c>
      <c r="E41" s="135">
        <v>0</v>
      </c>
      <c r="F41" s="135">
        <v>0</v>
      </c>
      <c r="G41" s="206">
        <v>0</v>
      </c>
      <c r="H41" s="206">
        <v>284470</v>
      </c>
      <c r="I41" s="206">
        <v>0</v>
      </c>
      <c r="J41" s="206">
        <v>284470</v>
      </c>
      <c r="K41" s="206">
        <v>270844</v>
      </c>
    </row>
    <row r="42" spans="2:11">
      <c r="B42" s="191" t="s">
        <v>280</v>
      </c>
      <c r="C42" s="135">
        <v>0</v>
      </c>
      <c r="D42" s="135">
        <v>0</v>
      </c>
      <c r="E42" s="135">
        <v>0</v>
      </c>
      <c r="F42" s="135">
        <v>0</v>
      </c>
      <c r="G42" s="206">
        <v>0</v>
      </c>
      <c r="H42" s="206">
        <v>252924</v>
      </c>
      <c r="I42" s="206">
        <v>0</v>
      </c>
      <c r="J42" s="206">
        <v>252924</v>
      </c>
      <c r="K42" s="206">
        <v>240809</v>
      </c>
    </row>
    <row r="43" spans="2:11">
      <c r="B43" s="191" t="s">
        <v>279</v>
      </c>
      <c r="C43" s="135">
        <v>0</v>
      </c>
      <c r="D43" s="135">
        <v>0</v>
      </c>
      <c r="E43" s="135">
        <v>0</v>
      </c>
      <c r="F43" s="135">
        <v>0</v>
      </c>
      <c r="G43" s="206">
        <v>0</v>
      </c>
      <c r="H43" s="206">
        <v>226400</v>
      </c>
      <c r="I43" s="206">
        <v>0</v>
      </c>
      <c r="J43" s="206">
        <v>226400</v>
      </c>
      <c r="K43" s="206">
        <v>215555</v>
      </c>
    </row>
    <row r="44" spans="2:11">
      <c r="B44" s="191" t="s">
        <v>278</v>
      </c>
      <c r="C44" s="135">
        <v>0</v>
      </c>
      <c r="D44" s="135">
        <v>0</v>
      </c>
      <c r="E44" s="135">
        <v>0</v>
      </c>
      <c r="F44" s="135">
        <v>0</v>
      </c>
      <c r="G44" s="206">
        <v>0</v>
      </c>
      <c r="H44" s="206">
        <v>202477</v>
      </c>
      <c r="I44" s="206">
        <v>0</v>
      </c>
      <c r="J44" s="206">
        <v>202477</v>
      </c>
      <c r="K44" s="206">
        <v>192778</v>
      </c>
    </row>
    <row r="45" spans="2:11">
      <c r="B45" s="191" t="s">
        <v>277</v>
      </c>
      <c r="C45" s="135">
        <v>0</v>
      </c>
      <c r="D45" s="135">
        <v>0</v>
      </c>
      <c r="E45" s="135">
        <v>0</v>
      </c>
      <c r="F45" s="135">
        <v>0</v>
      </c>
      <c r="G45" s="206">
        <v>0</v>
      </c>
      <c r="H45" s="206">
        <v>180871</v>
      </c>
      <c r="I45" s="206">
        <v>0</v>
      </c>
      <c r="J45" s="206">
        <v>180871</v>
      </c>
      <c r="K45" s="206">
        <v>172208</v>
      </c>
    </row>
    <row r="46" spans="2:11">
      <c r="B46" s="191" t="s">
        <v>276</v>
      </c>
      <c r="C46" s="135">
        <v>0</v>
      </c>
      <c r="D46" s="135">
        <v>0</v>
      </c>
      <c r="E46" s="135">
        <v>0</v>
      </c>
      <c r="F46" s="135">
        <v>0</v>
      </c>
      <c r="G46" s="206">
        <v>0</v>
      </c>
      <c r="H46" s="206">
        <v>161492</v>
      </c>
      <c r="I46" s="206">
        <v>0</v>
      </c>
      <c r="J46" s="206">
        <v>161492</v>
      </c>
      <c r="K46" s="206">
        <v>153757</v>
      </c>
    </row>
    <row r="47" spans="2:11">
      <c r="B47" s="191" t="s">
        <v>275</v>
      </c>
      <c r="C47" s="135">
        <v>0</v>
      </c>
      <c r="D47" s="135">
        <v>0</v>
      </c>
      <c r="E47" s="135">
        <v>0</v>
      </c>
      <c r="F47" s="135">
        <v>0</v>
      </c>
      <c r="G47" s="206">
        <v>0</v>
      </c>
      <c r="H47" s="206">
        <v>144909</v>
      </c>
      <c r="I47" s="206">
        <v>0</v>
      </c>
      <c r="J47" s="206">
        <v>144909</v>
      </c>
      <c r="K47" s="206">
        <v>137968</v>
      </c>
    </row>
    <row r="48" spans="2:11">
      <c r="B48" s="191" t="s">
        <v>274</v>
      </c>
      <c r="C48" s="135">
        <v>0</v>
      </c>
      <c r="D48" s="135">
        <v>0</v>
      </c>
      <c r="E48" s="135">
        <v>0</v>
      </c>
      <c r="F48" s="135">
        <v>0</v>
      </c>
      <c r="G48" s="206">
        <v>0</v>
      </c>
      <c r="H48" s="206">
        <v>129899</v>
      </c>
      <c r="I48" s="206">
        <v>0</v>
      </c>
      <c r="J48" s="206">
        <v>129899</v>
      </c>
      <c r="K48" s="206">
        <v>123677</v>
      </c>
    </row>
    <row r="49" spans="2:11">
      <c r="B49" s="191" t="s">
        <v>273</v>
      </c>
      <c r="C49" s="135">
        <v>0</v>
      </c>
      <c r="D49" s="135">
        <v>0</v>
      </c>
      <c r="E49" s="135">
        <v>0</v>
      </c>
      <c r="F49" s="135">
        <v>0</v>
      </c>
      <c r="G49" s="206">
        <v>0</v>
      </c>
      <c r="H49" s="206">
        <v>1190601</v>
      </c>
      <c r="I49" s="206">
        <v>0</v>
      </c>
      <c r="J49" s="206">
        <v>1190601</v>
      </c>
      <c r="K49" s="206">
        <v>1189928</v>
      </c>
    </row>
    <row r="50" spans="2:11">
      <c r="B50" s="191" t="s">
        <v>272</v>
      </c>
      <c r="C50" s="135">
        <v>0</v>
      </c>
      <c r="D50" s="135">
        <v>0</v>
      </c>
      <c r="E50" s="135">
        <v>0</v>
      </c>
      <c r="F50" s="135">
        <v>0</v>
      </c>
      <c r="G50" s="206">
        <v>0</v>
      </c>
      <c r="H50" s="206">
        <v>45415</v>
      </c>
      <c r="I50" s="206">
        <v>0</v>
      </c>
      <c r="J50" s="206">
        <v>45415</v>
      </c>
      <c r="K50" s="206">
        <v>45389</v>
      </c>
    </row>
    <row r="51" spans="2:11">
      <c r="B51" s="191" t="s">
        <v>271</v>
      </c>
      <c r="C51" s="135">
        <v>0</v>
      </c>
      <c r="D51" s="135">
        <v>0</v>
      </c>
      <c r="E51" s="135">
        <v>0</v>
      </c>
      <c r="F51" s="135">
        <v>0</v>
      </c>
      <c r="G51" s="206">
        <v>0</v>
      </c>
      <c r="H51" s="206">
        <v>34558</v>
      </c>
      <c r="I51" s="206">
        <v>0</v>
      </c>
      <c r="J51" s="206">
        <v>34558</v>
      </c>
      <c r="K51" s="206">
        <v>13815</v>
      </c>
    </row>
    <row r="52" spans="2:11">
      <c r="B52" s="191" t="s">
        <v>270</v>
      </c>
      <c r="C52" s="135">
        <v>0</v>
      </c>
      <c r="D52" s="135">
        <v>0</v>
      </c>
      <c r="E52" s="135">
        <v>0</v>
      </c>
      <c r="F52" s="135">
        <v>0</v>
      </c>
      <c r="G52" s="206">
        <v>0</v>
      </c>
      <c r="H52" s="206">
        <v>29510</v>
      </c>
      <c r="I52" s="206">
        <v>0</v>
      </c>
      <c r="J52" s="206">
        <v>29510</v>
      </c>
      <c r="K52" s="206">
        <v>14746</v>
      </c>
    </row>
    <row r="53" spans="2:11">
      <c r="B53" s="191" t="s">
        <v>269</v>
      </c>
      <c r="C53" s="135">
        <v>0</v>
      </c>
      <c r="D53" s="135">
        <v>0</v>
      </c>
      <c r="E53" s="135">
        <v>0</v>
      </c>
      <c r="F53" s="135">
        <v>0</v>
      </c>
      <c r="G53" s="206">
        <v>0</v>
      </c>
      <c r="H53" s="206">
        <v>37034</v>
      </c>
      <c r="I53" s="206">
        <v>0</v>
      </c>
      <c r="J53" s="206">
        <v>37034</v>
      </c>
      <c r="K53" s="206">
        <v>16377</v>
      </c>
    </row>
    <row r="54" spans="2:11">
      <c r="B54" s="191" t="s">
        <v>268</v>
      </c>
      <c r="C54" s="135">
        <v>0</v>
      </c>
      <c r="D54" s="135">
        <v>0</v>
      </c>
      <c r="E54" s="135">
        <v>0</v>
      </c>
      <c r="F54" s="135">
        <v>0</v>
      </c>
      <c r="G54" s="206">
        <v>0</v>
      </c>
      <c r="H54" s="206">
        <v>0</v>
      </c>
      <c r="I54" s="206">
        <v>0</v>
      </c>
      <c r="J54" s="206">
        <v>0</v>
      </c>
      <c r="K54" s="206">
        <v>0</v>
      </c>
    </row>
    <row r="55" spans="2:11">
      <c r="B55" s="191" t="s">
        <v>267</v>
      </c>
      <c r="C55" s="135">
        <v>0</v>
      </c>
      <c r="D55" s="135">
        <v>0</v>
      </c>
      <c r="E55" s="135">
        <v>0</v>
      </c>
      <c r="F55" s="135">
        <v>0</v>
      </c>
      <c r="G55" s="206">
        <v>0</v>
      </c>
      <c r="H55" s="206">
        <v>0</v>
      </c>
      <c r="I55" s="206">
        <v>0</v>
      </c>
      <c r="J55" s="206">
        <v>0</v>
      </c>
      <c r="K55" s="206">
        <v>0</v>
      </c>
    </row>
    <row r="56" spans="2:11">
      <c r="B56" s="191" t="s">
        <v>266</v>
      </c>
      <c r="C56" s="135">
        <v>0</v>
      </c>
      <c r="D56" s="135">
        <v>0</v>
      </c>
      <c r="E56" s="135">
        <v>0</v>
      </c>
      <c r="F56" s="135">
        <v>0</v>
      </c>
      <c r="G56" s="206">
        <v>0</v>
      </c>
      <c r="H56" s="206">
        <v>0</v>
      </c>
      <c r="I56" s="206">
        <v>0</v>
      </c>
      <c r="J56" s="206">
        <v>0</v>
      </c>
      <c r="K56" s="206">
        <v>0</v>
      </c>
    </row>
    <row r="57" spans="2:11">
      <c r="B57" s="191" t="s">
        <v>265</v>
      </c>
      <c r="C57" s="135">
        <v>0</v>
      </c>
      <c r="D57" s="135">
        <v>0</v>
      </c>
      <c r="E57" s="135">
        <v>0</v>
      </c>
      <c r="F57" s="135">
        <v>0</v>
      </c>
      <c r="G57" s="206">
        <v>0</v>
      </c>
      <c r="H57" s="206">
        <v>0</v>
      </c>
      <c r="I57" s="206">
        <v>0</v>
      </c>
      <c r="J57" s="206">
        <v>0</v>
      </c>
      <c r="K57" s="206">
        <v>0</v>
      </c>
    </row>
    <row r="58" spans="2:11">
      <c r="B58" s="191" t="s">
        <v>264</v>
      </c>
      <c r="C58" s="135">
        <v>0</v>
      </c>
      <c r="D58" s="135">
        <v>0</v>
      </c>
      <c r="E58" s="135">
        <v>0</v>
      </c>
      <c r="F58" s="135">
        <v>0</v>
      </c>
      <c r="G58" s="206">
        <v>0</v>
      </c>
      <c r="H58" s="206">
        <v>0</v>
      </c>
      <c r="I58" s="206">
        <v>0</v>
      </c>
      <c r="J58" s="206">
        <v>0</v>
      </c>
      <c r="K58" s="206">
        <v>0</v>
      </c>
    </row>
    <row r="59" spans="2:11">
      <c r="B59" s="191" t="s">
        <v>263</v>
      </c>
      <c r="C59" s="135">
        <v>0</v>
      </c>
      <c r="D59" s="135">
        <v>0</v>
      </c>
      <c r="E59" s="135">
        <v>0</v>
      </c>
      <c r="F59" s="135">
        <v>0</v>
      </c>
      <c r="G59" s="206">
        <v>0</v>
      </c>
      <c r="H59" s="206">
        <v>0</v>
      </c>
      <c r="I59" s="206">
        <v>0</v>
      </c>
      <c r="J59" s="206">
        <v>0</v>
      </c>
      <c r="K59" s="206">
        <v>0</v>
      </c>
    </row>
    <row r="60" spans="2:11">
      <c r="B60" s="191" t="s">
        <v>262</v>
      </c>
      <c r="C60" s="135">
        <v>0</v>
      </c>
      <c r="D60" s="135">
        <v>0</v>
      </c>
      <c r="E60" s="135">
        <v>0</v>
      </c>
      <c r="F60" s="135">
        <v>0</v>
      </c>
      <c r="G60" s="206">
        <v>0</v>
      </c>
      <c r="H60" s="206">
        <v>0</v>
      </c>
      <c r="I60" s="206">
        <v>0</v>
      </c>
      <c r="J60" s="206">
        <v>0</v>
      </c>
      <c r="K60" s="206">
        <v>0</v>
      </c>
    </row>
    <row r="61" spans="2:11">
      <c r="B61" s="191" t="s">
        <v>261</v>
      </c>
      <c r="C61" s="135">
        <v>0</v>
      </c>
      <c r="D61" s="135">
        <v>0</v>
      </c>
      <c r="E61" s="135">
        <v>0</v>
      </c>
      <c r="F61" s="135">
        <v>0</v>
      </c>
      <c r="G61" s="206">
        <v>0</v>
      </c>
      <c r="H61" s="206">
        <v>0</v>
      </c>
      <c r="I61" s="206">
        <v>0</v>
      </c>
      <c r="J61" s="206">
        <v>0</v>
      </c>
      <c r="K61" s="206">
        <v>0</v>
      </c>
    </row>
    <row r="62" spans="2:11">
      <c r="B62" s="191" t="s">
        <v>260</v>
      </c>
      <c r="C62" s="135">
        <v>0</v>
      </c>
      <c r="D62" s="135">
        <v>0</v>
      </c>
      <c r="E62" s="135">
        <v>0</v>
      </c>
      <c r="F62" s="135">
        <v>0</v>
      </c>
      <c r="G62" s="206">
        <v>0</v>
      </c>
      <c r="H62" s="206">
        <v>0</v>
      </c>
      <c r="I62" s="206">
        <v>0</v>
      </c>
      <c r="J62" s="206">
        <v>0</v>
      </c>
      <c r="K62" s="206">
        <v>0</v>
      </c>
    </row>
    <row r="63" spans="2:11">
      <c r="B63" s="191" t="s">
        <v>259</v>
      </c>
      <c r="C63" s="135">
        <v>0</v>
      </c>
      <c r="D63" s="135">
        <v>0</v>
      </c>
      <c r="E63" s="135">
        <v>0</v>
      </c>
      <c r="F63" s="135">
        <v>0</v>
      </c>
      <c r="G63" s="206">
        <v>0</v>
      </c>
      <c r="H63" s="206">
        <v>0</v>
      </c>
      <c r="I63" s="206">
        <v>0</v>
      </c>
      <c r="J63" s="206">
        <v>0</v>
      </c>
      <c r="K63" s="206">
        <v>0</v>
      </c>
    </row>
    <row r="64" spans="2:11">
      <c r="B64" s="191" t="s">
        <v>258</v>
      </c>
      <c r="C64" s="135">
        <v>0</v>
      </c>
      <c r="D64" s="135">
        <v>0</v>
      </c>
      <c r="E64" s="135">
        <v>0</v>
      </c>
      <c r="F64" s="135">
        <v>0</v>
      </c>
      <c r="G64" s="206">
        <v>0</v>
      </c>
      <c r="H64" s="206">
        <v>0</v>
      </c>
      <c r="I64" s="206">
        <v>0</v>
      </c>
      <c r="J64" s="206">
        <v>0</v>
      </c>
      <c r="K64" s="206">
        <v>0</v>
      </c>
    </row>
    <row r="65" spans="2:11">
      <c r="B65" s="191" t="s">
        <v>257</v>
      </c>
      <c r="C65" s="135">
        <v>0</v>
      </c>
      <c r="D65" s="135">
        <v>0</v>
      </c>
      <c r="E65" s="135">
        <v>0</v>
      </c>
      <c r="F65" s="135">
        <v>0</v>
      </c>
      <c r="G65" s="206">
        <v>0</v>
      </c>
      <c r="H65" s="206">
        <v>0</v>
      </c>
      <c r="I65" s="206">
        <v>0</v>
      </c>
      <c r="J65" s="206">
        <v>0</v>
      </c>
      <c r="K65" s="206">
        <v>0</v>
      </c>
    </row>
    <row r="66" spans="2:11">
      <c r="B66" s="191" t="s">
        <v>256</v>
      </c>
      <c r="C66" s="135">
        <v>0</v>
      </c>
      <c r="D66" s="135">
        <v>0</v>
      </c>
      <c r="E66" s="135">
        <v>0</v>
      </c>
      <c r="F66" s="135">
        <v>0</v>
      </c>
      <c r="G66" s="206">
        <v>0</v>
      </c>
      <c r="H66" s="206">
        <v>0</v>
      </c>
      <c r="I66" s="206">
        <v>0</v>
      </c>
      <c r="J66" s="206">
        <v>0</v>
      </c>
      <c r="K66" s="206">
        <v>0</v>
      </c>
    </row>
    <row r="67" spans="2:11">
      <c r="B67" s="191" t="s">
        <v>255</v>
      </c>
      <c r="C67" s="135">
        <v>0</v>
      </c>
      <c r="D67" s="135">
        <v>0</v>
      </c>
      <c r="E67" s="135">
        <v>0</v>
      </c>
      <c r="F67" s="135">
        <v>0</v>
      </c>
      <c r="G67" s="206">
        <v>0</v>
      </c>
      <c r="H67" s="206">
        <v>0</v>
      </c>
      <c r="I67" s="206">
        <v>0</v>
      </c>
      <c r="J67" s="206">
        <v>0</v>
      </c>
      <c r="K67" s="206">
        <v>0</v>
      </c>
    </row>
    <row r="68" spans="2:11">
      <c r="B68" s="191" t="s">
        <v>254</v>
      </c>
      <c r="C68" s="135">
        <v>3000000</v>
      </c>
      <c r="D68" s="148"/>
      <c r="E68" s="135">
        <v>4000000</v>
      </c>
      <c r="F68" s="148"/>
      <c r="G68" s="206">
        <v>4197672</v>
      </c>
      <c r="H68" s="148"/>
      <c r="I68" s="206">
        <v>20988360</v>
      </c>
      <c r="J68" s="148"/>
      <c r="K68" s="148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92"/>
  <sheetViews>
    <sheetView zoomScale="85" zoomScaleNormal="85" workbookViewId="0">
      <selection activeCell="E40" sqref="E40:N40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  <c r="U1" s="52"/>
      <c r="V1" s="52"/>
    </row>
    <row r="2" spans="1:22">
      <c r="A2" s="52" t="s">
        <v>62</v>
      </c>
      <c r="B2" s="68">
        <v>1000000000</v>
      </c>
      <c r="C2" s="1"/>
      <c r="F2" s="105"/>
      <c r="G2" s="105"/>
      <c r="K2" s="52"/>
      <c r="L2" s="52"/>
      <c r="M2" s="52"/>
      <c r="N2" s="52"/>
    </row>
    <row r="3" spans="1:22">
      <c r="A3" s="52" t="s">
        <v>74</v>
      </c>
      <c r="B3" s="68">
        <f>Overview!A7</f>
        <v>100</v>
      </c>
      <c r="C3" s="1"/>
      <c r="F3" s="105"/>
      <c r="G3" s="102"/>
    </row>
    <row r="4" spans="1:22">
      <c r="F4" s="105"/>
      <c r="G4" s="105"/>
      <c r="I4" s="1"/>
      <c r="L4" s="127"/>
      <c r="M4" s="128"/>
      <c r="N4" s="125"/>
      <c r="O4" s="126"/>
      <c r="U4" s="1"/>
      <c r="V4" s="1"/>
    </row>
    <row r="5" spans="1:22">
      <c r="A5" s="52"/>
      <c r="B5" s="52"/>
      <c r="C5" s="1" t="s">
        <v>82</v>
      </c>
      <c r="I5" s="105"/>
      <c r="L5" s="129"/>
      <c r="M5" s="128"/>
      <c r="N5" s="125"/>
      <c r="O5" s="126"/>
      <c r="U5" s="105"/>
      <c r="V5" s="105"/>
    </row>
    <row r="6" spans="1:22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05"/>
      <c r="L6" s="102"/>
      <c r="M6" s="102"/>
      <c r="N6" s="118"/>
      <c r="U6" s="105"/>
      <c r="V6" s="105"/>
    </row>
    <row r="7" spans="1:22">
      <c r="A7" s="58" t="s">
        <v>53</v>
      </c>
      <c r="B7" s="58" cm="1">
        <f t="array" ref="B7:B9">Overview!B11:B13</f>
        <v>1</v>
      </c>
      <c r="C7" s="82">
        <f>SUM(N16:N80)</f>
        <v>0.70000018776141326</v>
      </c>
      <c r="D7" s="82">
        <f>SUM(_xlfn.ANCHORARRAY(N159))*F7</f>
        <v>0.23999982727652053</v>
      </c>
      <c r="E7" s="98">
        <f>SUM(C7:D7)</f>
        <v>0.94000001503793373</v>
      </c>
      <c r="F7" s="74">
        <f>M80</f>
        <v>4.197564727035836E-3</v>
      </c>
      <c r="G7" s="75">
        <f>1/F7</f>
        <v>238.2333722120261</v>
      </c>
      <c r="H7" s="95">
        <f>D7*G7</f>
        <v>57.17596818238929</v>
      </c>
      <c r="I7" s="105"/>
      <c r="L7" s="105"/>
      <c r="M7" s="102"/>
      <c r="N7" s="118"/>
      <c r="U7" s="105"/>
      <c r="V7" s="105"/>
    </row>
    <row r="8" spans="1:22">
      <c r="A8" s="202" t="s">
        <v>329</v>
      </c>
      <c r="B8" s="202">
        <v>2</v>
      </c>
      <c r="C8" s="203">
        <f>SUM(_xlfn.ANCHORARRAY(N88))/B8</f>
        <v>0.3402550897647309</v>
      </c>
      <c r="D8" s="82">
        <f>SUM(_xlfn.ANCHORARRAY(N159))*F8/B8</f>
        <v>0.5997445926941265</v>
      </c>
      <c r="E8" s="98">
        <f>SUM(C8:D8)</f>
        <v>0.93999968245885746</v>
      </c>
      <c r="F8" s="204">
        <f>M152</f>
        <v>2.0978904660817036E-2</v>
      </c>
      <c r="G8" s="75">
        <f>1/F8</f>
        <v>47.666930956015619</v>
      </c>
      <c r="H8" s="95">
        <f>D8*G8</f>
        <v>28.587984091194638</v>
      </c>
      <c r="I8" s="105"/>
      <c r="L8" s="105"/>
      <c r="M8" s="102"/>
      <c r="N8" s="118"/>
      <c r="U8" s="105"/>
      <c r="V8" s="105"/>
    </row>
    <row r="9" spans="1:22">
      <c r="A9" s="58" t="s">
        <v>55</v>
      </c>
      <c r="B9" s="58">
        <v>75</v>
      </c>
      <c r="C9" s="82">
        <f>N81</f>
        <v>0</v>
      </c>
      <c r="D9" s="82">
        <f>SUM(_xlfn.ANCHORARRAY(N229))/B9</f>
        <v>0.92500042312530473</v>
      </c>
      <c r="E9" s="98">
        <f>SUM(C9:D9)</f>
        <v>0.92500042312530473</v>
      </c>
      <c r="F9" s="65">
        <f>E81</f>
        <v>1</v>
      </c>
      <c r="G9" s="75">
        <f>1/F9</f>
        <v>1</v>
      </c>
      <c r="H9" s="95">
        <f>D9*G9*B9</f>
        <v>69.375031734397851</v>
      </c>
      <c r="I9" s="105"/>
      <c r="L9" s="109"/>
      <c r="M9" s="102"/>
      <c r="N9" s="118"/>
      <c r="U9" s="105"/>
      <c r="V9" s="105"/>
    </row>
    <row r="10" spans="1:22">
      <c r="A10" s="52"/>
      <c r="B10" s="52"/>
      <c r="C10" s="1"/>
      <c r="D10" s="104"/>
      <c r="E10" s="52"/>
      <c r="F10" s="1"/>
      <c r="H10" s="13"/>
      <c r="I10" s="52"/>
      <c r="J10" s="52"/>
      <c r="K10" s="52"/>
      <c r="L10" s="120"/>
      <c r="M10" s="105"/>
      <c r="N10" s="105"/>
      <c r="U10" s="52"/>
      <c r="V10" s="52"/>
    </row>
    <row r="11" spans="1:22">
      <c r="A11" s="52"/>
      <c r="B11" s="52"/>
      <c r="C11" s="1"/>
      <c r="D11" s="1"/>
      <c r="E11" s="104"/>
      <c r="F11" s="1"/>
      <c r="H11" s="13"/>
      <c r="I11" s="52"/>
      <c r="J11" s="52"/>
      <c r="K11" s="52"/>
      <c r="L11" s="120"/>
      <c r="M11" s="105"/>
      <c r="N11" s="105"/>
      <c r="U11" s="52"/>
      <c r="V11" s="52"/>
    </row>
    <row r="12" spans="1:22" s="57" customFormat="1">
      <c r="A12" s="215" t="s">
        <v>49</v>
      </c>
      <c r="B12" s="215"/>
      <c r="C12" s="215"/>
      <c r="D12" s="215"/>
      <c r="E12" s="53"/>
      <c r="F12" s="53"/>
      <c r="G12" s="88"/>
      <c r="H12" s="55"/>
      <c r="I12" s="56"/>
      <c r="J12" s="54"/>
      <c r="K12" s="54"/>
      <c r="L12" s="54"/>
      <c r="M12" s="54"/>
      <c r="N12" s="54"/>
      <c r="O12" s="88"/>
      <c r="U12" s="56"/>
      <c r="V12" s="56"/>
    </row>
    <row r="13" spans="1:22">
      <c r="A13" s="52"/>
      <c r="B13" s="52"/>
      <c r="C13" s="1"/>
      <c r="D13" s="1"/>
      <c r="E13" s="1"/>
      <c r="F13" s="1"/>
      <c r="G13" s="51">
        <v>9.9999999999999995E-7</v>
      </c>
      <c r="H13" s="13"/>
      <c r="I13" s="52"/>
      <c r="J13" s="52"/>
      <c r="K13" s="52"/>
      <c r="L13" s="52"/>
      <c r="M13" s="52"/>
      <c r="N13" s="52"/>
      <c r="U13" s="52"/>
      <c r="V13" s="52"/>
    </row>
    <row r="14" spans="1:22">
      <c r="A14" s="70" t="s">
        <v>75</v>
      </c>
      <c r="B14" s="193">
        <v>1000000000</v>
      </c>
      <c r="C14" s="1"/>
      <c r="D14" s="1"/>
      <c r="E14" s="1"/>
      <c r="F14" s="1"/>
      <c r="G14" s="51">
        <v>46444</v>
      </c>
      <c r="H14" s="70" t="s">
        <v>76</v>
      </c>
      <c r="I14" s="52"/>
      <c r="J14" s="52"/>
      <c r="K14" s="52"/>
      <c r="L14" s="52"/>
      <c r="M14" s="52"/>
      <c r="N14" s="52"/>
      <c r="P14" s="24" t="s">
        <v>81</v>
      </c>
      <c r="U14" s="52"/>
      <c r="V14" s="52"/>
    </row>
    <row r="15" spans="1:22" ht="16.2">
      <c r="A15" s="20" t="s">
        <v>58</v>
      </c>
      <c r="B15" s="20" t="s">
        <v>59</v>
      </c>
      <c r="C15" s="20" t="s">
        <v>71</v>
      </c>
      <c r="D15" s="20" t="s">
        <v>72</v>
      </c>
      <c r="E15" s="20" t="s">
        <v>73</v>
      </c>
      <c r="F15" s="20" t="s">
        <v>85</v>
      </c>
      <c r="G15" s="90">
        <f>1+G14*G13</f>
        <v>1.0464439999999999</v>
      </c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1">
        <v>0.9</v>
      </c>
      <c r="P15" s="86" t="s">
        <v>84</v>
      </c>
      <c r="Q15" s="194" t="s">
        <v>328</v>
      </c>
      <c r="R15" s="86" t="s">
        <v>253</v>
      </c>
      <c r="S15" s="86" t="s">
        <v>80</v>
      </c>
      <c r="U15" s="20" t="s">
        <v>322</v>
      </c>
      <c r="V15" s="20" t="s">
        <v>323</v>
      </c>
    </row>
    <row r="16" spans="1:22">
      <c r="A16" s="64">
        <v>-1</v>
      </c>
      <c r="B16" s="64">
        <v>0</v>
      </c>
      <c r="C16" s="71">
        <v>737438219</v>
      </c>
      <c r="D16" s="71">
        <v>0</v>
      </c>
      <c r="E16" s="69" cm="1">
        <f t="array" ref="E16:E79">_xlfn.LET(_xlpm.x, C16:C79, _xlpm.x/SUM(_xlpm.x))</f>
        <v>0.755776032328074</v>
      </c>
      <c r="F16" s="92" cm="1">
        <f t="array" ref="F16:F81">_xlfn.LET(_xlpm.x, D16:D81/C16:C81/B3, IF(ISERR(_xlpm.x), 0, _xlpm.x))</f>
        <v>0</v>
      </c>
      <c r="G16" s="90"/>
      <c r="H16" s="61" t="str">
        <f>"("&amp;$A16&amp;", "&amp;$B16&amp;"]"</f>
        <v>(-1, 0]</v>
      </c>
      <c r="I16" s="62">
        <v>0.96</v>
      </c>
      <c r="J16" s="59" cm="1">
        <f t="array" ref="J16:J80">E16:E80*I16:I80</f>
        <v>0.72554499103495096</v>
      </c>
      <c r="K16" s="59" cm="1">
        <f t="array" ref="K16:K79">J16:J79/SUM(_xlfn.ANCHORARRAY(J16))</f>
        <v>0.72112567220323964</v>
      </c>
      <c r="L16" s="117" cm="1">
        <f t="array" ref="L16:L80">INT(K16:K80*$B$2)</f>
        <v>721125672</v>
      </c>
      <c r="M16" s="59" cm="1">
        <f t="array" ref="M16:M80">_xlfn.LET(_xlpm.x, L16:L80, _xlpm.x/SUM(_xlpm.x))</f>
        <v>0.72110724338328813</v>
      </c>
      <c r="N16" s="59" cm="1">
        <f t="array" ref="N16:N80">M16:M80*F16:F80</f>
        <v>0</v>
      </c>
      <c r="O16" s="119" cm="1">
        <f t="array" ref="O16:O79">I16:I79*O15</f>
        <v>0.86399999999999999</v>
      </c>
      <c r="P16" s="59" cm="1">
        <f t="array" ref="P16:P79">M16:M79</f>
        <v>0.72110724338328813</v>
      </c>
      <c r="Q16" s="59">
        <v>0.72294875282443027</v>
      </c>
      <c r="R16" s="59">
        <v>0.72554635178004934</v>
      </c>
      <c r="S16" s="83" cm="1">
        <f t="array" ref="S16:S79">_xlfn.LET(_xlpm.x, Q16:Q79/M16:M79, IF(ISERR(_xlpm.x), 0, ROUND(_xlpm.x,2)))</f>
        <v>1</v>
      </c>
      <c r="U16" s="62"/>
      <c r="V16" s="62"/>
    </row>
    <row r="17" spans="1:22">
      <c r="A17" s="58">
        <v>0</v>
      </c>
      <c r="B17" s="58">
        <v>1</v>
      </c>
      <c r="C17" s="72">
        <v>125731625</v>
      </c>
      <c r="D17" s="72">
        <v>5717439345</v>
      </c>
      <c r="E17" s="59">
        <v>0.12885818260073292</v>
      </c>
      <c r="F17" s="93">
        <v>0.45473359188668722</v>
      </c>
      <c r="G17" s="90"/>
      <c r="H17" s="61" t="str">
        <f t="shared" ref="H17:H79" si="0">"("&amp;$A17&amp;", "&amp;$B17&amp;"]"</f>
        <v>(0, 1]</v>
      </c>
      <c r="I17" s="62">
        <v>1.26</v>
      </c>
      <c r="J17" s="59">
        <v>0.16236131007692348</v>
      </c>
      <c r="K17" s="59">
        <v>0.16137236190137236</v>
      </c>
      <c r="L17" s="117">
        <v>161372361</v>
      </c>
      <c r="M17" s="59">
        <v>0.16136823707333336</v>
      </c>
      <c r="N17" s="59">
        <v>7.3379558060779365E-2</v>
      </c>
      <c r="O17" s="119">
        <v>1.1340000000000001</v>
      </c>
      <c r="P17" s="59">
        <v>0.16136823707333336</v>
      </c>
      <c r="Q17" s="59">
        <v>0.16136085442046003</v>
      </c>
      <c r="R17" s="59">
        <v>0.15905886499823757</v>
      </c>
      <c r="S17" s="83">
        <v>1</v>
      </c>
      <c r="U17" s="62"/>
      <c r="V17" s="62"/>
    </row>
    <row r="18" spans="1:22">
      <c r="A18" s="58">
        <v>1</v>
      </c>
      <c r="B18" s="58">
        <v>2</v>
      </c>
      <c r="C18" s="72">
        <v>34348880</v>
      </c>
      <c r="D18" s="72">
        <v>5160882740</v>
      </c>
      <c r="E18" s="59">
        <v>3.5203030670848824E-2</v>
      </c>
      <c r="F18" s="93">
        <v>1.502489379566379</v>
      </c>
      <c r="G18" s="90"/>
      <c r="H18" s="61" t="str">
        <f t="shared" si="0"/>
        <v>(1, 2]</v>
      </c>
      <c r="I18" s="62">
        <v>1.31</v>
      </c>
      <c r="J18" s="59">
        <v>4.6115970178811964E-2</v>
      </c>
      <c r="K18" s="59">
        <v>4.5835076260485622E-2</v>
      </c>
      <c r="L18" s="117">
        <v>45835076</v>
      </c>
      <c r="M18" s="59">
        <v>4.5833904668732287E-2</v>
      </c>
      <c r="N18" s="59">
        <v>6.8864954988828136E-2</v>
      </c>
      <c r="O18" s="119">
        <v>1.179</v>
      </c>
      <c r="P18" s="59">
        <v>4.5833904668732287E-2</v>
      </c>
      <c r="Q18" s="59">
        <v>4.5756934610305687E-2</v>
      </c>
      <c r="R18" s="59">
        <v>4.9788508988367994E-2</v>
      </c>
      <c r="S18" s="83">
        <v>1</v>
      </c>
      <c r="U18" s="62"/>
      <c r="V18" s="62"/>
    </row>
    <row r="19" spans="1:22">
      <c r="A19" s="58">
        <v>2</v>
      </c>
      <c r="B19" s="58">
        <v>3</v>
      </c>
      <c r="C19" s="72">
        <v>16007308</v>
      </c>
      <c r="D19" s="72">
        <v>4033785225</v>
      </c>
      <c r="E19" s="59">
        <v>1.640536036347397E-2</v>
      </c>
      <c r="F19" s="93">
        <v>2.5199647717155189</v>
      </c>
      <c r="G19" s="90"/>
      <c r="H19" s="61" t="str">
        <f t="shared" si="0"/>
        <v>(2, 3]</v>
      </c>
      <c r="I19" s="62">
        <v>1.33</v>
      </c>
      <c r="J19" s="59">
        <v>2.1819129283420381E-2</v>
      </c>
      <c r="K19" s="59">
        <v>2.1686228236448481E-2</v>
      </c>
      <c r="L19" s="117">
        <v>21686228</v>
      </c>
      <c r="M19" s="59">
        <v>2.1685673800920343E-2</v>
      </c>
      <c r="N19" s="59">
        <v>5.4647134029233442E-2</v>
      </c>
      <c r="O19" s="119">
        <v>1.1970000000000001</v>
      </c>
      <c r="P19" s="59">
        <v>2.1685673800920343E-2</v>
      </c>
      <c r="Q19" s="59">
        <v>2.1758000231243222E-2</v>
      </c>
      <c r="R19" s="59">
        <v>2.1457525555163906E-2</v>
      </c>
      <c r="S19" s="83">
        <v>1</v>
      </c>
      <c r="U19" s="62"/>
      <c r="V19" s="62"/>
    </row>
    <row r="20" spans="1:22">
      <c r="A20" s="58">
        <v>3</v>
      </c>
      <c r="B20" s="58">
        <v>4</v>
      </c>
      <c r="C20" s="72">
        <v>7933497</v>
      </c>
      <c r="D20" s="72">
        <v>2830150955</v>
      </c>
      <c r="E20" s="59">
        <v>8.1307785935986025E-3</v>
      </c>
      <c r="F20" s="93">
        <v>3.5673435749707854</v>
      </c>
      <c r="G20" s="90">
        <v>1.05</v>
      </c>
      <c r="H20" s="61" t="str">
        <f t="shared" si="0"/>
        <v>(3, 4]</v>
      </c>
      <c r="I20" s="207" cm="1">
        <f t="array" ref="I20:I79">G20:G79*G15</f>
        <v>1.0987662</v>
      </c>
      <c r="J20" s="59">
        <v>8.9338246983296805E-3</v>
      </c>
      <c r="K20" s="59">
        <v>8.8794084729868286E-3</v>
      </c>
      <c r="L20" s="117">
        <v>8879408</v>
      </c>
      <c r="M20" s="59">
        <v>8.8791810836482271E-3</v>
      </c>
      <c r="N20" s="59">
        <v>3.1675089589754638E-2</v>
      </c>
      <c r="O20" s="119">
        <v>0.98888958000000005</v>
      </c>
      <c r="P20" s="59">
        <v>8.8791810836482271E-3</v>
      </c>
      <c r="Q20" s="59">
        <v>8.5068854662453865E-3</v>
      </c>
      <c r="R20" s="59">
        <v>9.4289742685935846E-3</v>
      </c>
      <c r="S20" s="83">
        <v>0.96</v>
      </c>
      <c r="U20" s="62"/>
      <c r="V20" s="62"/>
    </row>
    <row r="21" spans="1:22">
      <c r="A21" s="58">
        <v>4</v>
      </c>
      <c r="B21" s="58">
        <v>5</v>
      </c>
      <c r="C21" s="72">
        <v>5588406</v>
      </c>
      <c r="D21" s="72">
        <v>2571054930</v>
      </c>
      <c r="E21" s="59">
        <v>5.7273724156116767E-3</v>
      </c>
      <c r="F21" s="93">
        <v>4.6006945987818355</v>
      </c>
      <c r="G21" s="90">
        <v>1.17</v>
      </c>
      <c r="H21" s="61" t="str">
        <f t="shared" si="0"/>
        <v>(4, 5]</v>
      </c>
      <c r="I21" s="62">
        <v>1.2243394799999998</v>
      </c>
      <c r="J21" s="59">
        <v>7.0122481650963433E-3</v>
      </c>
      <c r="K21" s="59">
        <v>6.9695363267519858E-3</v>
      </c>
      <c r="L21" s="117">
        <v>6969536</v>
      </c>
      <c r="M21" s="59">
        <v>6.9693578910897357E-3</v>
      </c>
      <c r="N21" s="59">
        <v>3.2063887206514111E-2</v>
      </c>
      <c r="O21" s="119">
        <v>1.101905532</v>
      </c>
      <c r="P21" s="59">
        <v>6.9693578910897357E-3</v>
      </c>
      <c r="Q21" s="59">
        <v>6.6698354145381805E-3</v>
      </c>
      <c r="R21" s="59">
        <v>6.2566090941134998E-3</v>
      </c>
      <c r="S21" s="83">
        <v>0.96</v>
      </c>
      <c r="U21" s="62"/>
      <c r="V21" s="62"/>
    </row>
    <row r="22" spans="1:22">
      <c r="A22" s="58">
        <v>5</v>
      </c>
      <c r="B22" s="58">
        <v>6</v>
      </c>
      <c r="C22" s="72">
        <v>4143712</v>
      </c>
      <c r="D22" s="72">
        <v>2315979350</v>
      </c>
      <c r="E22" s="59">
        <v>4.2467533330683366E-3</v>
      </c>
      <c r="F22" s="93">
        <v>5.5891416922797728</v>
      </c>
      <c r="G22" s="90">
        <v>1.29</v>
      </c>
      <c r="H22" s="61" t="str">
        <f t="shared" si="0"/>
        <v>(5, 6]</v>
      </c>
      <c r="I22" s="62">
        <v>1.34991276</v>
      </c>
      <c r="J22" s="59">
        <v>5.7327465128814781E-3</v>
      </c>
      <c r="K22" s="59">
        <v>5.6978281619386017E-3</v>
      </c>
      <c r="L22" s="117">
        <v>5697828</v>
      </c>
      <c r="M22" s="59">
        <v>5.6976823900288407E-3</v>
      </c>
      <c r="N22" s="59">
        <v>3.1845154195478453E-2</v>
      </c>
      <c r="O22" s="119">
        <v>1.214921484</v>
      </c>
      <c r="P22" s="59">
        <v>5.6976823900288407E-3</v>
      </c>
      <c r="Q22" s="59">
        <v>5.4541948981352501E-3</v>
      </c>
      <c r="R22" s="59">
        <v>5.37539654564681E-3</v>
      </c>
      <c r="S22" s="83">
        <v>0.96</v>
      </c>
      <c r="U22" s="62"/>
      <c r="V22" s="62"/>
    </row>
    <row r="23" spans="1:22">
      <c r="A23" s="58">
        <v>6</v>
      </c>
      <c r="B23" s="58">
        <v>7</v>
      </c>
      <c r="C23" s="72">
        <v>2756365</v>
      </c>
      <c r="D23" s="72">
        <v>1809630790</v>
      </c>
      <c r="E23" s="59">
        <v>2.8249072934853838E-3</v>
      </c>
      <c r="F23" s="93">
        <v>6.5652799611081996</v>
      </c>
      <c r="G23" s="90">
        <v>1.18</v>
      </c>
      <c r="H23" s="61" t="str">
        <f t="shared" si="0"/>
        <v>(6, 7]</v>
      </c>
      <c r="I23" s="62">
        <v>1.2348039199999998</v>
      </c>
      <c r="J23" s="59">
        <v>3.4882065996323418E-3</v>
      </c>
      <c r="K23" s="59">
        <v>3.4669598164484825E-3</v>
      </c>
      <c r="L23" s="117">
        <v>3466959</v>
      </c>
      <c r="M23" s="59">
        <v>3.4668704006600407E-3</v>
      </c>
      <c r="N23" s="59">
        <v>2.276097476921252E-2</v>
      </c>
      <c r="O23" s="119">
        <v>1.1113235279999998</v>
      </c>
      <c r="P23" s="59">
        <v>3.4668704006600407E-3</v>
      </c>
      <c r="Q23" s="59">
        <v>3.3318405313007824E-3</v>
      </c>
      <c r="R23" s="59">
        <v>2.5114557631300671E-3</v>
      </c>
      <c r="S23" s="83">
        <v>0.96</v>
      </c>
      <c r="U23" s="62"/>
      <c r="V23" s="62"/>
    </row>
    <row r="24" spans="1:22">
      <c r="A24" s="58">
        <v>7</v>
      </c>
      <c r="B24" s="58">
        <v>8</v>
      </c>
      <c r="C24" s="72">
        <v>2845125</v>
      </c>
      <c r="D24" s="72">
        <v>2167669220</v>
      </c>
      <c r="E24" s="59">
        <v>2.9158744808389318E-3</v>
      </c>
      <c r="F24" s="93">
        <v>7.6188892227933742</v>
      </c>
      <c r="G24" s="90">
        <v>0.97</v>
      </c>
      <c r="H24" s="61" t="str">
        <f t="shared" si="0"/>
        <v>(7, 8]</v>
      </c>
      <c r="I24" s="62">
        <v>1.0150506799999999</v>
      </c>
      <c r="J24" s="59">
        <v>2.9597603745702044E-3</v>
      </c>
      <c r="K24" s="59">
        <v>2.94173237503563E-3</v>
      </c>
      <c r="L24" s="117">
        <v>2941732</v>
      </c>
      <c r="M24" s="59">
        <v>2.9416568230182308E-3</v>
      </c>
      <c r="N24" s="59">
        <v>2.2412157466050193E-2</v>
      </c>
      <c r="O24" s="119">
        <v>0.91354561199999995</v>
      </c>
      <c r="P24" s="59">
        <v>2.9416568230182308E-3</v>
      </c>
      <c r="Q24" s="59">
        <v>2.8156200112303422E-3</v>
      </c>
      <c r="R24" s="59">
        <v>3.0842439196334154E-3</v>
      </c>
      <c r="S24" s="83">
        <v>0.96</v>
      </c>
      <c r="U24" s="62"/>
      <c r="V24" s="62"/>
    </row>
    <row r="25" spans="1:22">
      <c r="A25" s="58">
        <v>8</v>
      </c>
      <c r="B25" s="58">
        <v>9</v>
      </c>
      <c r="C25" s="72">
        <v>2095963</v>
      </c>
      <c r="D25" s="72">
        <v>1802007560</v>
      </c>
      <c r="E25" s="59">
        <v>2.1480831332481385E-3</v>
      </c>
      <c r="F25" s="93">
        <v>8.5975160821064112</v>
      </c>
      <c r="G25" s="90">
        <v>1.19</v>
      </c>
      <c r="H25" s="61" t="str">
        <f t="shared" si="0"/>
        <v>(8, 9]</v>
      </c>
      <c r="I25" s="62">
        <v>1.2452683599999999</v>
      </c>
      <c r="J25" s="59">
        <v>2.6749399604835706E-3</v>
      </c>
      <c r="K25" s="59">
        <v>2.6586468116270132E-3</v>
      </c>
      <c r="L25" s="117">
        <v>2658646</v>
      </c>
      <c r="M25" s="59">
        <v>2.6585780573791656E-3</v>
      </c>
      <c r="N25" s="59">
        <v>2.2857167603852598E-2</v>
      </c>
      <c r="O25" s="119">
        <v>1.1207415239999998</v>
      </c>
      <c r="P25" s="59">
        <v>2.6585780573791656E-3</v>
      </c>
      <c r="Q25" s="59">
        <v>2.5445965127515817E-3</v>
      </c>
      <c r="R25" s="59">
        <v>2.687698272823405E-3</v>
      </c>
      <c r="S25" s="83">
        <v>0.96</v>
      </c>
      <c r="U25" s="62"/>
      <c r="V25" s="62"/>
    </row>
    <row r="26" spans="1:22">
      <c r="A26" s="58">
        <v>9</v>
      </c>
      <c r="B26" s="58">
        <v>10</v>
      </c>
      <c r="C26" s="72">
        <v>1942294</v>
      </c>
      <c r="D26" s="72">
        <v>1873294895</v>
      </c>
      <c r="E26" s="59">
        <v>1.9905928593248355E-3</v>
      </c>
      <c r="F26" s="93">
        <v>9.6447545788639619</v>
      </c>
      <c r="G26" s="90">
        <v>1.1399999999999999</v>
      </c>
      <c r="H26" s="61" t="str">
        <f t="shared" si="0"/>
        <v>(9, 10]</v>
      </c>
      <c r="I26" s="62">
        <v>1.1929461599999998</v>
      </c>
      <c r="J26" s="59">
        <v>2.3746701076549823E-3</v>
      </c>
      <c r="K26" s="59">
        <v>2.3602059125250679E-3</v>
      </c>
      <c r="L26" s="117">
        <v>2360205</v>
      </c>
      <c r="M26" s="59">
        <v>2.3601446841424521E-3</v>
      </c>
      <c r="N26" s="59">
        <v>2.2763016249164353E-2</v>
      </c>
      <c r="O26" s="119">
        <v>1.0736515439999998</v>
      </c>
      <c r="P26" s="59">
        <v>2.3601446841424521E-3</v>
      </c>
      <c r="Q26" s="59">
        <v>2.2718729170527617E-3</v>
      </c>
      <c r="R26" s="59">
        <v>2.2470919985900597E-3</v>
      </c>
      <c r="S26" s="83">
        <v>0.96</v>
      </c>
      <c r="U26" s="62"/>
      <c r="V26" s="62"/>
    </row>
    <row r="27" spans="1:22">
      <c r="A27" s="58">
        <v>10</v>
      </c>
      <c r="B27" s="58">
        <v>15</v>
      </c>
      <c r="C27" s="72">
        <v>6766285</v>
      </c>
      <c r="D27" s="72">
        <v>8425815715</v>
      </c>
      <c r="E27" s="59">
        <v>6.9345416322949792E-3</v>
      </c>
      <c r="F27" s="93">
        <v>12.452646784757071</v>
      </c>
      <c r="G27" s="100">
        <v>0.44</v>
      </c>
      <c r="H27" s="61" t="str">
        <f t="shared" si="0"/>
        <v>(10, 15]</v>
      </c>
      <c r="I27" s="62">
        <v>0.46043535999999996</v>
      </c>
      <c r="J27" s="59">
        <v>3.1929081729007262E-3</v>
      </c>
      <c r="K27" s="59">
        <v>3.1734600623207093E-3</v>
      </c>
      <c r="L27" s="117">
        <v>3173460</v>
      </c>
      <c r="M27" s="59">
        <v>3.1733789011288028E-3</v>
      </c>
      <c r="N27" s="59">
        <v>3.9516966569957512E-2</v>
      </c>
      <c r="O27" s="119">
        <v>0.41439182399999996</v>
      </c>
      <c r="P27" s="59">
        <v>3.1733789011288028E-3</v>
      </c>
      <c r="Q27" s="59">
        <v>3.0238589193723043E-3</v>
      </c>
      <c r="R27" s="59">
        <v>4.9788508988367992E-3</v>
      </c>
      <c r="S27" s="83">
        <v>0.95</v>
      </c>
      <c r="U27" s="62"/>
      <c r="V27" s="62"/>
    </row>
    <row r="28" spans="1:22">
      <c r="A28" s="58">
        <v>15</v>
      </c>
      <c r="B28" s="58">
        <v>20</v>
      </c>
      <c r="C28" s="72">
        <v>4603098</v>
      </c>
      <c r="D28" s="72">
        <v>8049460830</v>
      </c>
      <c r="E28" s="59">
        <v>4.7175628455694302E-3</v>
      </c>
      <c r="F28" s="93">
        <v>17.487050742782358</v>
      </c>
      <c r="G28" s="100">
        <v>0.84</v>
      </c>
      <c r="H28" s="113" t="str">
        <f t="shared" si="0"/>
        <v>(15, 20]</v>
      </c>
      <c r="I28" s="62">
        <v>0.87901295999999995</v>
      </c>
      <c r="J28" s="59">
        <v>4.1467988808700073E-3</v>
      </c>
      <c r="K28" s="59">
        <v>4.1215405900513948E-3</v>
      </c>
      <c r="L28" s="117">
        <v>4121540</v>
      </c>
      <c r="M28" s="59">
        <v>4.1214346726155069E-3</v>
      </c>
      <c r="N28" s="59">
        <v>7.2071737253089962E-2</v>
      </c>
      <c r="O28" s="119">
        <v>0.79111166399999999</v>
      </c>
      <c r="P28" s="59">
        <v>4.1214346726155069E-3</v>
      </c>
      <c r="Q28" s="59">
        <v>3.9646257171216332E-3</v>
      </c>
      <c r="R28" s="59">
        <v>2.3352132534367291E-3</v>
      </c>
      <c r="S28" s="83">
        <v>0.96</v>
      </c>
      <c r="U28" s="62"/>
      <c r="V28" s="62"/>
    </row>
    <row r="29" spans="1:22">
      <c r="A29" s="58">
        <v>20</v>
      </c>
      <c r="B29" s="58">
        <v>25</v>
      </c>
      <c r="C29" s="72">
        <v>3233081</v>
      </c>
      <c r="D29" s="72">
        <v>7285252120</v>
      </c>
      <c r="E29" s="59">
        <v>3.3134777496191606E-3</v>
      </c>
      <c r="F29" s="93">
        <v>22.533466127201887</v>
      </c>
      <c r="G29" s="100">
        <v>0.5</v>
      </c>
      <c r="H29" s="61" t="str">
        <f t="shared" si="0"/>
        <v>(20, 25]</v>
      </c>
      <c r="I29" s="62">
        <v>0.52322199999999996</v>
      </c>
      <c r="J29" s="59">
        <v>1.7336844551112363E-3</v>
      </c>
      <c r="K29" s="59">
        <v>1.7231245250512283E-3</v>
      </c>
      <c r="L29" s="117">
        <v>1723124</v>
      </c>
      <c r="M29" s="59">
        <v>1.7230799649684153E-3</v>
      </c>
      <c r="N29" s="59">
        <v>3.8826964025076002E-2</v>
      </c>
      <c r="O29" s="119">
        <v>0.47089979999999998</v>
      </c>
      <c r="P29" s="59">
        <v>1.7230799649684153E-3</v>
      </c>
      <c r="Q29" s="59">
        <v>1.6558466895929445E-3</v>
      </c>
      <c r="R29" s="59">
        <v>1.8064857243567148E-3</v>
      </c>
      <c r="S29" s="83">
        <v>0.96</v>
      </c>
      <c r="U29" s="62"/>
      <c r="V29" s="62"/>
    </row>
    <row r="30" spans="1:22">
      <c r="A30" s="58">
        <v>25</v>
      </c>
      <c r="B30" s="58">
        <v>30</v>
      </c>
      <c r="C30" s="72">
        <v>2625353</v>
      </c>
      <c r="D30" s="72">
        <v>7230063895</v>
      </c>
      <c r="E30" s="59">
        <v>2.6906374292496576E-3</v>
      </c>
      <c r="F30" s="93">
        <v>27.539397159162977</v>
      </c>
      <c r="G30" s="100">
        <v>0.25</v>
      </c>
      <c r="H30" s="61" t="str">
        <f t="shared" si="0"/>
        <v>(25, 30]</v>
      </c>
      <c r="I30" s="62">
        <v>0.26161099999999998</v>
      </c>
      <c r="J30" s="59">
        <v>7.0390034850343209E-4</v>
      </c>
      <c r="K30" s="59">
        <v>6.9961286791404506E-4</v>
      </c>
      <c r="L30" s="117">
        <v>699612</v>
      </c>
      <c r="M30" s="59">
        <v>6.995941211726393E-4</v>
      </c>
      <c r="N30" s="59">
        <v>1.9266400353188901E-2</v>
      </c>
      <c r="O30" s="119">
        <v>0.23544989999999999</v>
      </c>
      <c r="P30" s="59">
        <v>6.995941211726393E-4</v>
      </c>
      <c r="Q30" s="59">
        <v>6.70909365952092E-4</v>
      </c>
      <c r="R30" s="59">
        <v>8.8121254846669017E-4</v>
      </c>
      <c r="S30" s="83">
        <v>0.96</v>
      </c>
      <c r="U30" s="62"/>
      <c r="V30" s="62"/>
    </row>
    <row r="31" spans="1:22">
      <c r="A31" s="58">
        <v>30</v>
      </c>
      <c r="B31" s="58">
        <v>35</v>
      </c>
      <c r="C31" s="72">
        <v>1981927</v>
      </c>
      <c r="D31" s="72">
        <v>6446724235</v>
      </c>
      <c r="E31" s="59">
        <v>2.031211409757273E-3</v>
      </c>
      <c r="F31" s="93">
        <v>32.527556438758843</v>
      </c>
      <c r="G31" s="100">
        <v>0.28000000000000003</v>
      </c>
      <c r="H31" s="61" t="str">
        <f t="shared" si="0"/>
        <v>(30, 35]</v>
      </c>
      <c r="I31" s="62">
        <v>0.29300431999999998</v>
      </c>
      <c r="J31" s="59">
        <v>5.9515371789217112E-4</v>
      </c>
      <c r="K31" s="59">
        <v>5.9152861667068513E-4</v>
      </c>
      <c r="L31" s="117">
        <v>591528</v>
      </c>
      <c r="M31" s="59">
        <v>5.9151288329675452E-4</v>
      </c>
      <c r="N31" s="59">
        <v>1.9240468695688157E-2</v>
      </c>
      <c r="O31" s="119">
        <v>0.263703888</v>
      </c>
      <c r="P31" s="59">
        <v>5.9151288329675452E-4</v>
      </c>
      <c r="Q31" s="59">
        <v>5.6786647344428387E-4</v>
      </c>
      <c r="R31" s="59">
        <v>4.8466690165667957E-4</v>
      </c>
      <c r="S31" s="83">
        <v>0.96</v>
      </c>
      <c r="U31" s="62"/>
      <c r="V31" s="62"/>
    </row>
    <row r="32" spans="1:22">
      <c r="A32" s="58">
        <v>35</v>
      </c>
      <c r="B32" s="58">
        <v>40</v>
      </c>
      <c r="C32" s="72">
        <v>1722603</v>
      </c>
      <c r="D32" s="72">
        <v>6466046565</v>
      </c>
      <c r="E32" s="59">
        <v>1.7654388219556563E-3</v>
      </c>
      <c r="F32" s="93">
        <v>37.536487310192776</v>
      </c>
      <c r="G32" s="100">
        <v>0.55000000000000004</v>
      </c>
      <c r="H32" s="113" t="str">
        <f t="shared" si="0"/>
        <v>(35, 40]</v>
      </c>
      <c r="I32" s="62">
        <v>0.57554420000000006</v>
      </c>
      <c r="J32" s="59">
        <v>1.0160880744314107E-3</v>
      </c>
      <c r="K32" s="59">
        <v>1.0098990479513207E-3</v>
      </c>
      <c r="L32" s="117">
        <v>1009899</v>
      </c>
      <c r="M32" s="59">
        <v>1.0098731916807135E-3</v>
      </c>
      <c r="N32" s="59">
        <v>3.7907092244426982E-2</v>
      </c>
      <c r="O32" s="119">
        <v>0.51798978000000007</v>
      </c>
      <c r="P32" s="59">
        <v>1.0098731916807135E-3</v>
      </c>
      <c r="Q32" s="59">
        <v>9.7218159420446463E-4</v>
      </c>
      <c r="R32" s="59">
        <v>7.0497003877335212E-4</v>
      </c>
      <c r="S32" s="83">
        <v>0.96</v>
      </c>
      <c r="U32" s="62"/>
      <c r="V32" s="62"/>
    </row>
    <row r="33" spans="1:22">
      <c r="A33" s="58">
        <v>40</v>
      </c>
      <c r="B33" s="58">
        <v>45</v>
      </c>
      <c r="C33" s="72">
        <v>1421952</v>
      </c>
      <c r="D33" s="72">
        <v>6059283120</v>
      </c>
      <c r="E33" s="59">
        <v>1.4573115591680088E-3</v>
      </c>
      <c r="F33" s="93">
        <v>42.612430799351877</v>
      </c>
      <c r="G33" s="100">
        <v>0.15</v>
      </c>
      <c r="H33" s="61" t="str">
        <f t="shared" si="0"/>
        <v>(40, 45]</v>
      </c>
      <c r="I33" s="62">
        <v>0.15696659999999998</v>
      </c>
      <c r="J33" s="59">
        <v>2.2874924058330113E-4</v>
      </c>
      <c r="K33" s="59">
        <v>2.2735592130036124E-4</v>
      </c>
      <c r="L33" s="117">
        <v>227355</v>
      </c>
      <c r="M33" s="59">
        <v>2.2734918986410383E-4</v>
      </c>
      <c r="N33" s="59">
        <v>9.6879016203728352E-3</v>
      </c>
      <c r="O33" s="119">
        <v>0.14126993999999998</v>
      </c>
      <c r="P33" s="59">
        <v>2.2734918986410383E-4</v>
      </c>
      <c r="Q33" s="59">
        <v>2.2260372959427685E-4</v>
      </c>
      <c r="R33" s="59">
        <v>3.5248501938667606E-4</v>
      </c>
      <c r="S33" s="83">
        <v>0.98</v>
      </c>
      <c r="U33" s="62"/>
      <c r="V33" s="62"/>
    </row>
    <row r="34" spans="1:22">
      <c r="A34" s="58">
        <v>45</v>
      </c>
      <c r="B34" s="58">
        <v>50</v>
      </c>
      <c r="C34" s="72">
        <v>1177439</v>
      </c>
      <c r="D34" s="72">
        <v>5606385145</v>
      </c>
      <c r="E34" s="59">
        <v>1.2067182752408105E-3</v>
      </c>
      <c r="F34" s="93">
        <v>47.61507937990843</v>
      </c>
      <c r="G34" s="100">
        <v>0.18</v>
      </c>
      <c r="H34" s="61" t="str">
        <f t="shared" si="0"/>
        <v>(45, 50]</v>
      </c>
      <c r="I34" s="62">
        <v>0.18835991999999999</v>
      </c>
      <c r="J34" s="59">
        <v>2.2729735778689704E-4</v>
      </c>
      <c r="K34" s="59">
        <v>2.2591288197067923E-4</v>
      </c>
      <c r="L34" s="117">
        <v>225912</v>
      </c>
      <c r="M34" s="59">
        <v>2.2590622674046942E-4</v>
      </c>
      <c r="N34" s="59">
        <v>1.0756542918663044E-2</v>
      </c>
      <c r="O34" s="119">
        <v>0.16952392799999999</v>
      </c>
      <c r="P34" s="59">
        <v>2.2590622674046942E-4</v>
      </c>
      <c r="Q34" s="59">
        <v>2.1215213191966382E-4</v>
      </c>
      <c r="R34" s="59">
        <v>1.3218188227000352E-4</v>
      </c>
      <c r="S34" s="83">
        <v>0.94</v>
      </c>
      <c r="U34" s="62"/>
      <c r="V34" s="62"/>
    </row>
    <row r="35" spans="1:22">
      <c r="A35" s="58">
        <v>50</v>
      </c>
      <c r="B35" s="58">
        <v>60</v>
      </c>
      <c r="C35" s="72">
        <v>1984737</v>
      </c>
      <c r="D35" s="72">
        <v>10886997775</v>
      </c>
      <c r="E35" s="59">
        <v>2.0340912857877312E-3</v>
      </c>
      <c r="F35" s="93">
        <v>54.853604155109721</v>
      </c>
      <c r="G35" s="100">
        <v>0.31</v>
      </c>
      <c r="H35" s="113" t="str">
        <f t="shared" si="0"/>
        <v>(50, 60]</v>
      </c>
      <c r="I35" s="62">
        <v>0.32439763999999999</v>
      </c>
      <c r="J35" s="59">
        <v>6.5985441265410552E-4</v>
      </c>
      <c r="K35" s="59">
        <v>6.558352173346389E-4</v>
      </c>
      <c r="L35" s="117">
        <v>655835</v>
      </c>
      <c r="M35" s="59">
        <v>6.5581823990906089E-4</v>
      </c>
      <c r="N35" s="59">
        <v>3.5973994129672407E-2</v>
      </c>
      <c r="O35" s="119">
        <v>0.29195787600000001</v>
      </c>
      <c r="P35" s="59">
        <v>6.5581823990906089E-4</v>
      </c>
      <c r="Q35" s="59">
        <v>6.2280361502472517E-4</v>
      </c>
      <c r="R35" s="59">
        <v>3.0842439196334157E-4</v>
      </c>
      <c r="S35" s="83">
        <v>0.95</v>
      </c>
      <c r="U35" s="62"/>
      <c r="V35" s="62"/>
    </row>
    <row r="36" spans="1:22">
      <c r="A36" s="58">
        <v>60</v>
      </c>
      <c r="B36" s="58">
        <v>70</v>
      </c>
      <c r="C36" s="72">
        <v>1442179</v>
      </c>
      <c r="D36" s="72">
        <v>9367819020</v>
      </c>
      <c r="E36" s="59">
        <v>1.4780415422527341E-3</v>
      </c>
      <c r="F36" s="93">
        <v>64.956007680045275</v>
      </c>
      <c r="G36" s="90">
        <v>0.1</v>
      </c>
      <c r="H36" s="61" t="str">
        <f t="shared" si="0"/>
        <v>(60, 70]</v>
      </c>
      <c r="I36" s="62">
        <v>0.1046444</v>
      </c>
      <c r="J36" s="59">
        <v>1.54668770364112E-4</v>
      </c>
      <c r="K36" s="59">
        <v>1.537266777054986E-4</v>
      </c>
      <c r="L36" s="117">
        <v>153726</v>
      </c>
      <c r="M36" s="59">
        <v>1.5372207147874129E-4</v>
      </c>
      <c r="N36" s="59">
        <v>9.9851720555655873E-3</v>
      </c>
      <c r="O36" s="119">
        <v>9.4179960000000007E-2</v>
      </c>
      <c r="P36" s="59">
        <v>1.5372207147874129E-4</v>
      </c>
      <c r="Q36" s="59">
        <v>1.5079862341928023E-4</v>
      </c>
      <c r="R36" s="59">
        <v>1.7624250969333803E-4</v>
      </c>
      <c r="S36" s="83">
        <v>0.98</v>
      </c>
      <c r="U36" s="62"/>
      <c r="V36" s="62"/>
    </row>
    <row r="37" spans="1:22">
      <c r="A37" s="58">
        <v>70</v>
      </c>
      <c r="B37" s="58">
        <v>80</v>
      </c>
      <c r="C37" s="72">
        <v>1146452</v>
      </c>
      <c r="D37" s="72">
        <v>8593831030</v>
      </c>
      <c r="E37" s="59">
        <v>1.1749607241533342E-3</v>
      </c>
      <c r="F37" s="93">
        <v>74.960234096150558</v>
      </c>
      <c r="G37" s="90">
        <v>0.11</v>
      </c>
      <c r="H37" s="61" t="str">
        <f t="shared" si="0"/>
        <v>(70, 80]</v>
      </c>
      <c r="I37" s="62">
        <v>0.11510883999999999</v>
      </c>
      <c r="J37" s="59">
        <v>1.3524836600285026E-4</v>
      </c>
      <c r="K37" s="59">
        <v>1.3442456367739836E-4</v>
      </c>
      <c r="L37" s="117">
        <v>134424</v>
      </c>
      <c r="M37" s="59">
        <v>1.3442056474804729E-4</v>
      </c>
      <c r="N37" s="59">
        <v>1.0076197000850388E-2</v>
      </c>
      <c r="O37" s="119">
        <v>0.10359795599999999</v>
      </c>
      <c r="P37" s="59">
        <v>1.3442056474804729E-4</v>
      </c>
      <c r="Q37" s="59">
        <v>1.2982942429562834E-4</v>
      </c>
      <c r="R37" s="59">
        <v>1.3218188227000352E-4</v>
      </c>
      <c r="S37" s="83">
        <v>0.97</v>
      </c>
      <c r="U37" s="62"/>
      <c r="V37" s="62"/>
    </row>
    <row r="38" spans="1:22">
      <c r="A38" s="58">
        <v>80</v>
      </c>
      <c r="B38" s="58">
        <v>90</v>
      </c>
      <c r="C38" s="72">
        <v>909722</v>
      </c>
      <c r="D38" s="72">
        <v>7732700475</v>
      </c>
      <c r="E38" s="59">
        <v>9.3234397942366497E-4</v>
      </c>
      <c r="F38" s="93">
        <v>85.000697740628453</v>
      </c>
      <c r="G38" s="90">
        <v>0</v>
      </c>
      <c r="H38" s="61" t="str">
        <f t="shared" si="0"/>
        <v>(80, 90]</v>
      </c>
      <c r="I38" s="62">
        <v>0</v>
      </c>
      <c r="J38" s="59">
        <v>0</v>
      </c>
      <c r="K38" s="59">
        <v>0</v>
      </c>
      <c r="L38" s="117">
        <v>0</v>
      </c>
      <c r="M38" s="59">
        <v>0</v>
      </c>
      <c r="N38" s="59">
        <v>0</v>
      </c>
      <c r="O38" s="119">
        <v>0</v>
      </c>
      <c r="P38" s="59">
        <v>0</v>
      </c>
      <c r="Q38" s="59">
        <v>1.1201240542940448E-4</v>
      </c>
      <c r="R38" s="59">
        <v>0</v>
      </c>
      <c r="S38" s="83">
        <v>0</v>
      </c>
      <c r="U38" s="62"/>
      <c r="V38" s="62"/>
    </row>
    <row r="39" spans="1:22">
      <c r="A39" s="58">
        <v>90</v>
      </c>
      <c r="B39" s="58">
        <v>100</v>
      </c>
      <c r="C39" s="72">
        <v>736322</v>
      </c>
      <c r="D39" s="72">
        <v>6998814690</v>
      </c>
      <c r="E39" s="59">
        <v>7.5463205640535443E-4</v>
      </c>
      <c r="F39" s="93">
        <v>95.051006081578436</v>
      </c>
      <c r="G39" s="90">
        <v>0</v>
      </c>
      <c r="H39" s="61" t="str">
        <f t="shared" si="0"/>
        <v>(90, 100]</v>
      </c>
      <c r="I39" s="62">
        <v>0</v>
      </c>
      <c r="J39" s="59">
        <v>0</v>
      </c>
      <c r="K39" s="59">
        <v>0</v>
      </c>
      <c r="L39" s="117">
        <v>0</v>
      </c>
      <c r="M39" s="59">
        <v>0</v>
      </c>
      <c r="N39" s="59">
        <v>0</v>
      </c>
      <c r="O39" s="119">
        <v>0</v>
      </c>
      <c r="P39" s="59">
        <v>0</v>
      </c>
      <c r="Q39" s="59">
        <v>1.0128479197082886E-4</v>
      </c>
      <c r="R39" s="59">
        <v>8.8121254846669015E-5</v>
      </c>
      <c r="S39" s="83">
        <v>0</v>
      </c>
      <c r="U39" s="62"/>
      <c r="V39" s="62"/>
    </row>
    <row r="40" spans="1:22">
      <c r="A40" s="58">
        <v>100</v>
      </c>
      <c r="B40" s="58">
        <v>120</v>
      </c>
      <c r="C40" s="72">
        <v>1138345</v>
      </c>
      <c r="D40" s="72">
        <v>12467471685</v>
      </c>
      <c r="E40" s="59">
        <v>1.1666521280754251E-3</v>
      </c>
      <c r="F40" s="93">
        <v>109.52278689676679</v>
      </c>
      <c r="G40" s="90">
        <v>9.7098000000000004E-2</v>
      </c>
      <c r="H40" s="61" t="str">
        <f t="shared" si="0"/>
        <v>(100, 120]</v>
      </c>
      <c r="I40" s="62">
        <v>0.10160761951199999</v>
      </c>
      <c r="J40" s="59">
        <v>1.1854074553235288E-4</v>
      </c>
      <c r="K40" s="59">
        <v>1.1781870988255954E-4</v>
      </c>
      <c r="L40" s="117">
        <v>117818</v>
      </c>
      <c r="M40" s="59">
        <v>1.1781498912013804E-4</v>
      </c>
      <c r="N40" s="59">
        <v>1.2903425946649777E-2</v>
      </c>
      <c r="O40" s="119">
        <v>9.1446857560799996E-2</v>
      </c>
      <c r="P40" s="59">
        <v>1.1781498912013804E-4</v>
      </c>
      <c r="Q40" s="59">
        <v>0</v>
      </c>
      <c r="R40" s="59">
        <v>0</v>
      </c>
      <c r="S40" s="83">
        <v>0</v>
      </c>
      <c r="U40" s="62"/>
      <c r="V40" s="62"/>
    </row>
    <row r="41" spans="1:22">
      <c r="A41" s="58">
        <v>120</v>
      </c>
      <c r="B41" s="58">
        <v>140</v>
      </c>
      <c r="C41" s="72">
        <v>790354</v>
      </c>
      <c r="D41" s="72">
        <v>10247295065</v>
      </c>
      <c r="E41" s="59">
        <v>8.1000766554333221E-4</v>
      </c>
      <c r="F41" s="93">
        <v>129.65449741508235</v>
      </c>
      <c r="G41" s="90">
        <v>0</v>
      </c>
      <c r="H41" s="61" t="str">
        <f t="shared" si="0"/>
        <v>(120, 140]</v>
      </c>
      <c r="I41" s="62">
        <v>0</v>
      </c>
      <c r="J41" s="59">
        <v>0</v>
      </c>
      <c r="K41" s="59">
        <v>0</v>
      </c>
      <c r="L41" s="117">
        <v>0</v>
      </c>
      <c r="M41" s="59">
        <v>0</v>
      </c>
      <c r="N41" s="59">
        <v>0</v>
      </c>
      <c r="O41" s="119">
        <v>0</v>
      </c>
      <c r="P41" s="59">
        <v>0</v>
      </c>
      <c r="Q41" s="59">
        <v>0</v>
      </c>
      <c r="R41" s="59">
        <v>4.4060627423334507E-5</v>
      </c>
      <c r="S41" s="83">
        <v>0</v>
      </c>
      <c r="U41" s="62"/>
      <c r="V41" s="62"/>
    </row>
    <row r="42" spans="1:22">
      <c r="A42" s="58">
        <v>140</v>
      </c>
      <c r="B42" s="58">
        <v>160</v>
      </c>
      <c r="C42" s="72">
        <v>590218</v>
      </c>
      <c r="D42" s="72">
        <v>8838374825</v>
      </c>
      <c r="E42" s="59">
        <v>6.0489490069216389E-4</v>
      </c>
      <c r="F42" s="93">
        <v>149.74763265437517</v>
      </c>
      <c r="G42" s="90">
        <v>0</v>
      </c>
      <c r="H42" s="61" t="str">
        <f t="shared" si="0"/>
        <v>(140, 160]</v>
      </c>
      <c r="I42" s="62">
        <v>0</v>
      </c>
      <c r="J42" s="59">
        <v>0</v>
      </c>
      <c r="K42" s="59">
        <v>0</v>
      </c>
      <c r="L42" s="117">
        <v>0</v>
      </c>
      <c r="M42" s="59">
        <v>0</v>
      </c>
      <c r="N42" s="59">
        <v>0</v>
      </c>
      <c r="O42" s="119">
        <v>0</v>
      </c>
      <c r="P42" s="59">
        <v>0</v>
      </c>
      <c r="Q42" s="59">
        <v>0</v>
      </c>
      <c r="R42" s="59">
        <v>8.8121254846669015E-5</v>
      </c>
      <c r="S42" s="83">
        <v>0</v>
      </c>
      <c r="U42" s="62"/>
      <c r="V42" s="62"/>
    </row>
    <row r="43" spans="1:22">
      <c r="A43" s="58">
        <v>160</v>
      </c>
      <c r="B43" s="58">
        <v>180</v>
      </c>
      <c r="C43" s="72">
        <v>441256</v>
      </c>
      <c r="D43" s="72">
        <v>7492437635</v>
      </c>
      <c r="E43" s="59">
        <v>4.5222867533660689E-4</v>
      </c>
      <c r="F43" s="93">
        <v>169.79797747792665</v>
      </c>
      <c r="G43" s="90">
        <v>0</v>
      </c>
      <c r="H43" s="61" t="str">
        <f t="shared" si="0"/>
        <v>(160, 180]</v>
      </c>
      <c r="I43" s="62">
        <v>0</v>
      </c>
      <c r="J43" s="59">
        <v>0</v>
      </c>
      <c r="K43" s="59">
        <v>0</v>
      </c>
      <c r="L43" s="117">
        <v>0</v>
      </c>
      <c r="M43" s="59">
        <v>0</v>
      </c>
      <c r="N43" s="59">
        <v>0</v>
      </c>
      <c r="O43" s="119">
        <v>0</v>
      </c>
      <c r="P43" s="59">
        <v>0</v>
      </c>
      <c r="Q43" s="59">
        <v>0</v>
      </c>
      <c r="R43" s="59">
        <v>0</v>
      </c>
      <c r="S43" s="83">
        <v>0</v>
      </c>
      <c r="U43" s="62"/>
      <c r="V43" s="62"/>
    </row>
    <row r="44" spans="1:22">
      <c r="A44" s="58">
        <v>180</v>
      </c>
      <c r="B44" s="58">
        <v>200</v>
      </c>
      <c r="C44" s="72">
        <v>336666</v>
      </c>
      <c r="D44" s="72">
        <v>6392187510</v>
      </c>
      <c r="E44" s="59">
        <v>3.45037844722506E-4</v>
      </c>
      <c r="F44" s="93">
        <v>189.86733171748855</v>
      </c>
      <c r="G44" s="90">
        <v>0</v>
      </c>
      <c r="H44" s="61" t="str">
        <f t="shared" si="0"/>
        <v>(180, 200]</v>
      </c>
      <c r="I44" s="62">
        <v>0</v>
      </c>
      <c r="J44" s="59">
        <v>0</v>
      </c>
      <c r="K44" s="59">
        <v>0</v>
      </c>
      <c r="L44" s="117">
        <v>0</v>
      </c>
      <c r="M44" s="59">
        <v>0</v>
      </c>
      <c r="N44" s="59">
        <v>0</v>
      </c>
      <c r="O44" s="119">
        <v>0</v>
      </c>
      <c r="P44" s="59">
        <v>0</v>
      </c>
      <c r="Q44" s="59">
        <v>0</v>
      </c>
      <c r="R44" s="59">
        <v>0</v>
      </c>
      <c r="S44" s="83">
        <v>0</v>
      </c>
      <c r="U44" s="62"/>
      <c r="V44" s="62"/>
    </row>
    <row r="45" spans="1:22">
      <c r="A45" s="58">
        <v>200</v>
      </c>
      <c r="B45" s="58">
        <v>250</v>
      </c>
      <c r="C45" s="72">
        <v>577096</v>
      </c>
      <c r="D45" s="72">
        <v>12867933005</v>
      </c>
      <c r="E45" s="59">
        <v>5.9144659703676435E-4</v>
      </c>
      <c r="F45" s="93">
        <v>222.97733834578648</v>
      </c>
      <c r="G45" s="90">
        <v>0</v>
      </c>
      <c r="H45" s="61" t="str">
        <f t="shared" si="0"/>
        <v>(200, 250]</v>
      </c>
      <c r="I45" s="62">
        <v>0</v>
      </c>
      <c r="J45" s="59">
        <v>0</v>
      </c>
      <c r="K45" s="59">
        <v>0</v>
      </c>
      <c r="L45" s="117">
        <v>0</v>
      </c>
      <c r="M45" s="59">
        <v>0</v>
      </c>
      <c r="N45" s="59">
        <v>0</v>
      </c>
      <c r="O45" s="119">
        <v>0</v>
      </c>
      <c r="P45" s="59">
        <v>0</v>
      </c>
      <c r="Q45" s="59">
        <v>0</v>
      </c>
      <c r="R45" s="59">
        <v>4.4060627423334507E-5</v>
      </c>
      <c r="S45" s="83">
        <v>0</v>
      </c>
      <c r="U45" s="62"/>
      <c r="V45" s="62"/>
    </row>
    <row r="46" spans="1:22">
      <c r="A46" s="58">
        <v>250</v>
      </c>
      <c r="B46" s="58">
        <v>300</v>
      </c>
      <c r="C46" s="72">
        <v>346021</v>
      </c>
      <c r="D46" s="72">
        <v>9454582645</v>
      </c>
      <c r="E46" s="59">
        <v>3.5462547471002787E-4</v>
      </c>
      <c r="F46" s="93">
        <v>273.23724990679756</v>
      </c>
      <c r="G46" s="90">
        <v>0</v>
      </c>
      <c r="H46" s="61" t="str">
        <f t="shared" si="0"/>
        <v>(250, 300]</v>
      </c>
      <c r="I46" s="62">
        <v>0</v>
      </c>
      <c r="J46" s="59">
        <v>0</v>
      </c>
      <c r="K46" s="59">
        <v>0</v>
      </c>
      <c r="L46" s="117">
        <v>0</v>
      </c>
      <c r="M46" s="59">
        <v>0</v>
      </c>
      <c r="N46" s="59">
        <v>0</v>
      </c>
      <c r="O46" s="119">
        <v>0</v>
      </c>
      <c r="P46" s="59">
        <v>0</v>
      </c>
      <c r="Q46" s="59">
        <v>0</v>
      </c>
      <c r="R46" s="59">
        <v>0</v>
      </c>
      <c r="S46" s="83">
        <v>0</v>
      </c>
      <c r="U46" s="62"/>
      <c r="V46" s="62"/>
    </row>
    <row r="47" spans="1:22">
      <c r="A47" s="58">
        <v>300</v>
      </c>
      <c r="B47" s="58">
        <v>350</v>
      </c>
      <c r="C47" s="72">
        <v>220469</v>
      </c>
      <c r="D47" s="72">
        <v>7132095005</v>
      </c>
      <c r="E47" s="59">
        <v>2.2595138382885759E-4</v>
      </c>
      <c r="F47" s="93">
        <v>323.49650086860288</v>
      </c>
      <c r="G47" s="90">
        <v>0</v>
      </c>
      <c r="H47" s="61" t="str">
        <f t="shared" si="0"/>
        <v>(300, 350]</v>
      </c>
      <c r="I47" s="62">
        <v>0</v>
      </c>
      <c r="J47" s="59">
        <v>0</v>
      </c>
      <c r="K47" s="59">
        <v>0</v>
      </c>
      <c r="L47" s="117">
        <v>0</v>
      </c>
      <c r="M47" s="59">
        <v>0</v>
      </c>
      <c r="N47" s="59">
        <v>0</v>
      </c>
      <c r="O47" s="119">
        <v>0</v>
      </c>
      <c r="P47" s="59">
        <v>0</v>
      </c>
      <c r="Q47" s="59">
        <v>0</v>
      </c>
      <c r="R47" s="59">
        <v>0</v>
      </c>
      <c r="S47" s="83">
        <v>0</v>
      </c>
      <c r="U47" s="62"/>
      <c r="V47" s="62"/>
    </row>
    <row r="48" spans="1:22">
      <c r="A48" s="58">
        <v>350</v>
      </c>
      <c r="B48" s="58">
        <v>400</v>
      </c>
      <c r="C48" s="72">
        <v>148224</v>
      </c>
      <c r="D48" s="72">
        <v>5540811640</v>
      </c>
      <c r="E48" s="59">
        <v>1.5190987357246863E-4</v>
      </c>
      <c r="F48" s="93">
        <v>373.81339324265974</v>
      </c>
      <c r="G48" s="90">
        <v>0</v>
      </c>
      <c r="H48" s="61" t="str">
        <f t="shared" si="0"/>
        <v>(350, 400]</v>
      </c>
      <c r="I48" s="62">
        <v>0</v>
      </c>
      <c r="J48" s="59">
        <v>0</v>
      </c>
      <c r="K48" s="59">
        <v>0</v>
      </c>
      <c r="L48" s="117">
        <v>0</v>
      </c>
      <c r="M48" s="59">
        <v>0</v>
      </c>
      <c r="N48" s="59">
        <v>0</v>
      </c>
      <c r="O48" s="119">
        <v>0</v>
      </c>
      <c r="P48" s="59">
        <v>0</v>
      </c>
      <c r="Q48" s="59">
        <v>0</v>
      </c>
      <c r="R48" s="59">
        <v>0</v>
      </c>
      <c r="S48" s="83">
        <v>0</v>
      </c>
      <c r="U48" s="62"/>
      <c r="V48" s="62"/>
    </row>
    <row r="49" spans="1:22">
      <c r="A49" s="58">
        <v>400</v>
      </c>
      <c r="B49" s="58">
        <v>450</v>
      </c>
      <c r="C49" s="72">
        <v>106546</v>
      </c>
      <c r="D49" s="72">
        <v>4515201870</v>
      </c>
      <c r="E49" s="59">
        <v>1.0919547029935937E-4</v>
      </c>
      <c r="F49" s="93">
        <v>423.77957595780231</v>
      </c>
      <c r="G49" s="90">
        <v>0</v>
      </c>
      <c r="H49" s="61" t="str">
        <f t="shared" si="0"/>
        <v>(400, 450]</v>
      </c>
      <c r="I49" s="62">
        <v>0</v>
      </c>
      <c r="J49" s="59">
        <v>0</v>
      </c>
      <c r="K49" s="59">
        <v>0</v>
      </c>
      <c r="L49" s="117">
        <v>0</v>
      </c>
      <c r="M49" s="59">
        <v>0</v>
      </c>
      <c r="N49" s="59">
        <v>0</v>
      </c>
      <c r="O49" s="119">
        <v>0</v>
      </c>
      <c r="P49" s="59">
        <v>0</v>
      </c>
      <c r="Q49" s="59">
        <v>0</v>
      </c>
      <c r="R49" s="59">
        <v>0</v>
      </c>
      <c r="S49" s="83">
        <v>0</v>
      </c>
      <c r="U49" s="62"/>
      <c r="V49" s="62"/>
    </row>
    <row r="50" spans="1:22">
      <c r="A50" s="58">
        <v>450</v>
      </c>
      <c r="B50" s="58">
        <v>500</v>
      </c>
      <c r="C50" s="72">
        <v>77127</v>
      </c>
      <c r="D50" s="72">
        <v>3665868760</v>
      </c>
      <c r="E50" s="59">
        <v>7.9044910534217059E-5</v>
      </c>
      <c r="F50" s="93">
        <v>475.30291078351291</v>
      </c>
      <c r="G50" s="90">
        <v>0</v>
      </c>
      <c r="H50" s="61" t="str">
        <f t="shared" si="0"/>
        <v>(450, 500]</v>
      </c>
      <c r="I50" s="62">
        <v>0</v>
      </c>
      <c r="J50" s="59">
        <v>0</v>
      </c>
      <c r="K50" s="59">
        <v>0</v>
      </c>
      <c r="L50" s="117">
        <v>0</v>
      </c>
      <c r="M50" s="59">
        <v>0</v>
      </c>
      <c r="N50" s="59">
        <v>0</v>
      </c>
      <c r="O50" s="119">
        <v>0</v>
      </c>
      <c r="P50" s="59">
        <v>0</v>
      </c>
      <c r="Q50" s="59">
        <v>0</v>
      </c>
      <c r="R50" s="59">
        <v>0</v>
      </c>
      <c r="S50" s="83">
        <v>0</v>
      </c>
      <c r="U50" s="62"/>
      <c r="V50" s="62"/>
    </row>
    <row r="51" spans="1:22">
      <c r="A51" s="58">
        <v>500</v>
      </c>
      <c r="B51" s="58">
        <v>550</v>
      </c>
      <c r="C51" s="72">
        <v>58203</v>
      </c>
      <c r="D51" s="72">
        <v>3051449395</v>
      </c>
      <c r="E51" s="59">
        <v>5.9650329039415966E-5</v>
      </c>
      <c r="F51" s="93">
        <v>524.2769951720702</v>
      </c>
      <c r="G51" s="90">
        <v>0</v>
      </c>
      <c r="H51" s="61" t="str">
        <f t="shared" si="0"/>
        <v>(500, 550]</v>
      </c>
      <c r="I51" s="62">
        <v>0</v>
      </c>
      <c r="J51" s="59">
        <v>0</v>
      </c>
      <c r="K51" s="59">
        <v>0</v>
      </c>
      <c r="L51" s="117">
        <v>0</v>
      </c>
      <c r="M51" s="59">
        <v>0</v>
      </c>
      <c r="N51" s="59">
        <v>0</v>
      </c>
      <c r="O51" s="119">
        <v>0</v>
      </c>
      <c r="P51" s="59">
        <v>0</v>
      </c>
      <c r="Q51" s="59">
        <v>0</v>
      </c>
      <c r="R51" s="59">
        <v>0</v>
      </c>
      <c r="S51" s="83">
        <v>0</v>
      </c>
      <c r="U51" s="62"/>
      <c r="V51" s="62"/>
    </row>
    <row r="52" spans="1:22">
      <c r="A52" s="58">
        <v>550</v>
      </c>
      <c r="B52" s="58">
        <v>600</v>
      </c>
      <c r="C52" s="72">
        <v>43808</v>
      </c>
      <c r="D52" s="72">
        <v>2519417680</v>
      </c>
      <c r="E52" s="59">
        <v>4.4897369801534881E-5</v>
      </c>
      <c r="F52" s="93">
        <v>575.10447406866331</v>
      </c>
      <c r="G52" s="90">
        <v>0</v>
      </c>
      <c r="H52" s="61" t="str">
        <f t="shared" si="0"/>
        <v>(550, 600]</v>
      </c>
      <c r="I52" s="62">
        <v>0</v>
      </c>
      <c r="J52" s="59">
        <v>0</v>
      </c>
      <c r="K52" s="59">
        <v>0</v>
      </c>
      <c r="L52" s="117">
        <v>0</v>
      </c>
      <c r="M52" s="59">
        <v>0</v>
      </c>
      <c r="N52" s="59">
        <v>0</v>
      </c>
      <c r="O52" s="119">
        <v>0</v>
      </c>
      <c r="P52" s="59">
        <v>0</v>
      </c>
      <c r="Q52" s="59">
        <v>0</v>
      </c>
      <c r="R52" s="59">
        <v>0</v>
      </c>
      <c r="S52" s="83">
        <v>0</v>
      </c>
      <c r="U52" s="62"/>
      <c r="V52" s="62"/>
    </row>
    <row r="53" spans="1:22">
      <c r="A53" s="58">
        <v>600</v>
      </c>
      <c r="B53" s="58">
        <v>650</v>
      </c>
      <c r="C53" s="72">
        <v>34028</v>
      </c>
      <c r="D53" s="72">
        <v>2124946830</v>
      </c>
      <c r="E53" s="59">
        <v>3.4874171375242622E-5</v>
      </c>
      <c r="F53" s="93">
        <v>624.47009227694844</v>
      </c>
      <c r="G53" s="90">
        <v>0</v>
      </c>
      <c r="H53" s="61" t="str">
        <f t="shared" si="0"/>
        <v>(600, 650]</v>
      </c>
      <c r="I53" s="62">
        <v>0</v>
      </c>
      <c r="J53" s="59">
        <v>0</v>
      </c>
      <c r="K53" s="59">
        <v>0</v>
      </c>
      <c r="L53" s="117">
        <v>0</v>
      </c>
      <c r="M53" s="59">
        <v>0</v>
      </c>
      <c r="N53" s="59">
        <v>0</v>
      </c>
      <c r="O53" s="119">
        <v>0</v>
      </c>
      <c r="P53" s="59">
        <v>0</v>
      </c>
      <c r="Q53" s="59">
        <v>0</v>
      </c>
      <c r="R53" s="59">
        <v>0</v>
      </c>
      <c r="S53" s="83">
        <v>0</v>
      </c>
      <c r="U53" s="62"/>
      <c r="V53" s="62"/>
    </row>
    <row r="54" spans="1:22">
      <c r="A54" s="58">
        <v>650</v>
      </c>
      <c r="B54" s="58">
        <v>700</v>
      </c>
      <c r="C54" s="72">
        <v>27166</v>
      </c>
      <c r="D54" s="72">
        <v>1834817980</v>
      </c>
      <c r="E54" s="59">
        <v>2.7841534606201986E-5</v>
      </c>
      <c r="F54" s="93">
        <v>675.40969594345881</v>
      </c>
      <c r="G54" s="90">
        <v>0</v>
      </c>
      <c r="H54" s="61" t="str">
        <f t="shared" si="0"/>
        <v>(650, 700]</v>
      </c>
      <c r="I54" s="62">
        <v>0</v>
      </c>
      <c r="J54" s="59">
        <v>0</v>
      </c>
      <c r="K54" s="59">
        <v>0</v>
      </c>
      <c r="L54" s="117">
        <v>0</v>
      </c>
      <c r="M54" s="59">
        <v>0</v>
      </c>
      <c r="N54" s="59">
        <v>0</v>
      </c>
      <c r="O54" s="119">
        <v>0</v>
      </c>
      <c r="P54" s="59">
        <v>0</v>
      </c>
      <c r="Q54" s="59">
        <v>0</v>
      </c>
      <c r="R54" s="59">
        <v>0</v>
      </c>
      <c r="S54" s="83">
        <v>0</v>
      </c>
      <c r="U54" s="62"/>
      <c r="V54" s="62"/>
    </row>
    <row r="55" spans="1:22">
      <c r="A55" s="58">
        <v>700</v>
      </c>
      <c r="B55" s="58">
        <v>750</v>
      </c>
      <c r="C55" s="72">
        <v>23007</v>
      </c>
      <c r="D55" s="72">
        <v>1670693630</v>
      </c>
      <c r="E55" s="59">
        <v>2.3579113107740892E-5</v>
      </c>
      <c r="F55" s="93">
        <v>726.16752727430776</v>
      </c>
      <c r="G55" s="90">
        <v>0</v>
      </c>
      <c r="H55" s="61" t="str">
        <f t="shared" si="0"/>
        <v>(700, 750]</v>
      </c>
      <c r="I55" s="62">
        <v>0</v>
      </c>
      <c r="J55" s="59">
        <v>0</v>
      </c>
      <c r="K55" s="59">
        <v>0</v>
      </c>
      <c r="L55" s="117">
        <v>0</v>
      </c>
      <c r="M55" s="59">
        <v>0</v>
      </c>
      <c r="N55" s="59">
        <v>0</v>
      </c>
      <c r="O55" s="119">
        <v>0</v>
      </c>
      <c r="P55" s="59">
        <v>0</v>
      </c>
      <c r="Q55" s="59">
        <v>0</v>
      </c>
      <c r="R55" s="59">
        <v>0</v>
      </c>
      <c r="S55" s="83">
        <v>0</v>
      </c>
      <c r="U55" s="62"/>
      <c r="V55" s="62"/>
    </row>
    <row r="56" spans="1:22">
      <c r="A56" s="58">
        <v>750</v>
      </c>
      <c r="B56" s="58">
        <v>800</v>
      </c>
      <c r="C56" s="72">
        <v>18502</v>
      </c>
      <c r="D56" s="72">
        <v>1435582715</v>
      </c>
      <c r="E56" s="59">
        <v>1.8962087656774982E-5</v>
      </c>
      <c r="F56" s="93">
        <v>775.90677494324927</v>
      </c>
      <c r="G56" s="90">
        <v>0</v>
      </c>
      <c r="H56" s="61" t="str">
        <f t="shared" si="0"/>
        <v>(750, 800]</v>
      </c>
      <c r="I56" s="62">
        <v>0</v>
      </c>
      <c r="J56" s="59">
        <v>0</v>
      </c>
      <c r="K56" s="59">
        <v>0</v>
      </c>
      <c r="L56" s="117">
        <v>0</v>
      </c>
      <c r="M56" s="59">
        <v>0</v>
      </c>
      <c r="N56" s="59">
        <v>0</v>
      </c>
      <c r="O56" s="119">
        <v>0</v>
      </c>
      <c r="P56" s="59">
        <v>0</v>
      </c>
      <c r="Q56" s="59">
        <v>0</v>
      </c>
      <c r="R56" s="59">
        <v>0</v>
      </c>
      <c r="S56" s="83">
        <v>0</v>
      </c>
      <c r="U56" s="62"/>
      <c r="V56" s="62"/>
    </row>
    <row r="57" spans="1:22">
      <c r="A57" s="58">
        <v>800</v>
      </c>
      <c r="B57" s="58">
        <v>850</v>
      </c>
      <c r="C57" s="72">
        <v>15811</v>
      </c>
      <c r="D57" s="72">
        <v>1305120775</v>
      </c>
      <c r="E57" s="59">
        <v>1.620417078917248E-5</v>
      </c>
      <c r="F57" s="93">
        <v>825.45112579849479</v>
      </c>
      <c r="G57" s="90">
        <v>0</v>
      </c>
      <c r="H57" s="61" t="str">
        <f t="shared" si="0"/>
        <v>(800, 850]</v>
      </c>
      <c r="I57" s="62">
        <v>0</v>
      </c>
      <c r="J57" s="59">
        <v>0</v>
      </c>
      <c r="K57" s="59">
        <v>0</v>
      </c>
      <c r="L57" s="117">
        <v>0</v>
      </c>
      <c r="M57" s="59">
        <v>0</v>
      </c>
      <c r="N57" s="59">
        <v>0</v>
      </c>
      <c r="O57" s="119">
        <v>0</v>
      </c>
      <c r="P57" s="59">
        <v>0</v>
      </c>
      <c r="Q57" s="59">
        <v>0</v>
      </c>
      <c r="R57" s="59">
        <v>0</v>
      </c>
      <c r="S57" s="83">
        <v>0</v>
      </c>
      <c r="U57" s="62"/>
      <c r="V57" s="62"/>
    </row>
    <row r="58" spans="1:22">
      <c r="A58" s="58">
        <v>850</v>
      </c>
      <c r="B58" s="58">
        <v>900</v>
      </c>
      <c r="C58" s="72">
        <v>12580</v>
      </c>
      <c r="D58" s="72">
        <v>1101266735</v>
      </c>
      <c r="E58" s="59">
        <v>1.2892825787602922E-5</v>
      </c>
      <c r="F58" s="93">
        <v>875.41075914149451</v>
      </c>
      <c r="G58" s="90">
        <v>0</v>
      </c>
      <c r="H58" s="61" t="str">
        <f t="shared" si="0"/>
        <v>(850, 900]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119">
        <v>0</v>
      </c>
      <c r="P58" s="59">
        <v>0</v>
      </c>
      <c r="Q58" s="59">
        <v>0</v>
      </c>
      <c r="R58" s="59">
        <v>0</v>
      </c>
      <c r="S58" s="83">
        <v>0</v>
      </c>
      <c r="U58" s="62"/>
      <c r="V58" s="62"/>
    </row>
    <row r="59" spans="1:22">
      <c r="A59" s="58">
        <v>900</v>
      </c>
      <c r="B59" s="58">
        <v>950</v>
      </c>
      <c r="C59" s="72">
        <v>10820</v>
      </c>
      <c r="D59" s="72">
        <v>1001122890</v>
      </c>
      <c r="E59" s="59">
        <v>1.1089060017636218E-5</v>
      </c>
      <c r="F59" s="93">
        <v>925.25220887245848</v>
      </c>
      <c r="G59" s="90">
        <v>0</v>
      </c>
      <c r="H59" s="61" t="str">
        <f t="shared" si="0"/>
        <v>(900, 950]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119">
        <v>0</v>
      </c>
      <c r="P59" s="59">
        <v>0</v>
      </c>
      <c r="Q59" s="59">
        <v>0</v>
      </c>
      <c r="R59" s="59">
        <v>0</v>
      </c>
      <c r="S59" s="83">
        <v>0</v>
      </c>
      <c r="U59" s="62"/>
      <c r="V59" s="62"/>
    </row>
    <row r="60" spans="1:22">
      <c r="A60" s="58">
        <v>950</v>
      </c>
      <c r="B60" s="58">
        <v>1000</v>
      </c>
      <c r="C60" s="72">
        <v>10909</v>
      </c>
      <c r="D60" s="72">
        <v>1069113825</v>
      </c>
      <c r="E60" s="59">
        <v>1.1180273173049307E-5</v>
      </c>
      <c r="F60" s="93">
        <v>980.02917315977641</v>
      </c>
      <c r="G60" s="90">
        <v>0</v>
      </c>
      <c r="H60" s="61" t="str">
        <f t="shared" si="0"/>
        <v>(950, 1000]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119">
        <v>0</v>
      </c>
      <c r="P60" s="59">
        <v>0</v>
      </c>
      <c r="Q60" s="59">
        <v>0</v>
      </c>
      <c r="R60" s="59">
        <v>0</v>
      </c>
      <c r="S60" s="83">
        <v>0</v>
      </c>
      <c r="U60" s="62"/>
      <c r="V60" s="62"/>
    </row>
    <row r="61" spans="1:22">
      <c r="A61" s="58">
        <v>1000</v>
      </c>
      <c r="B61" s="58">
        <v>2000</v>
      </c>
      <c r="C61" s="72">
        <v>79135</v>
      </c>
      <c r="D61" s="72">
        <v>10809864395</v>
      </c>
      <c r="E61" s="59">
        <v>8.1102843299042708E-5</v>
      </c>
      <c r="F61" s="93">
        <v>1366.0029563404307</v>
      </c>
      <c r="G61" s="90">
        <v>0</v>
      </c>
      <c r="H61" s="61" t="str">
        <f t="shared" si="0"/>
        <v>(1000, 2000]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119">
        <v>0</v>
      </c>
      <c r="P61" s="59">
        <v>0</v>
      </c>
      <c r="Q61" s="59">
        <v>0</v>
      </c>
      <c r="R61" s="59">
        <v>0</v>
      </c>
      <c r="S61" s="83">
        <v>0</v>
      </c>
      <c r="U61" s="62"/>
      <c r="V61" s="62"/>
    </row>
    <row r="62" spans="1:22">
      <c r="A62" s="58">
        <v>2000</v>
      </c>
      <c r="B62" s="58">
        <v>3000</v>
      </c>
      <c r="C62" s="72">
        <v>21472</v>
      </c>
      <c r="D62" s="72">
        <v>5229378930</v>
      </c>
      <c r="E62" s="59">
        <v>2.2005942393593795E-5</v>
      </c>
      <c r="F62" s="93">
        <v>2435.4410068926973</v>
      </c>
      <c r="G62" s="90">
        <v>0</v>
      </c>
      <c r="H62" s="61" t="str">
        <f t="shared" si="0"/>
        <v>(2000, 3000]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119">
        <v>0</v>
      </c>
      <c r="P62" s="59">
        <v>0</v>
      </c>
      <c r="Q62" s="59">
        <v>0</v>
      </c>
      <c r="R62" s="59">
        <v>0</v>
      </c>
      <c r="S62" s="83">
        <v>0</v>
      </c>
      <c r="U62" s="62"/>
      <c r="V62" s="62"/>
    </row>
    <row r="63" spans="1:22">
      <c r="A63" s="58">
        <v>3000</v>
      </c>
      <c r="B63" s="58">
        <v>4000</v>
      </c>
      <c r="C63" s="72">
        <v>9781</v>
      </c>
      <c r="D63" s="72">
        <v>3377392165</v>
      </c>
      <c r="E63" s="59">
        <v>1.002422329320701E-5</v>
      </c>
      <c r="F63" s="93">
        <v>3453.0131530518352</v>
      </c>
      <c r="G63" s="90">
        <v>0</v>
      </c>
      <c r="H63" s="61" t="str">
        <f t="shared" si="0"/>
        <v>(3000, 4000]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119">
        <v>0</v>
      </c>
      <c r="P63" s="59">
        <v>0</v>
      </c>
      <c r="Q63" s="59">
        <v>0</v>
      </c>
      <c r="R63" s="59">
        <v>0</v>
      </c>
      <c r="S63" s="83">
        <v>0</v>
      </c>
      <c r="U63" s="62"/>
      <c r="V63" s="62"/>
    </row>
    <row r="64" spans="1:22">
      <c r="A64" s="58">
        <v>4000</v>
      </c>
      <c r="B64" s="58">
        <v>5000</v>
      </c>
      <c r="C64" s="72">
        <v>5096</v>
      </c>
      <c r="D64" s="72">
        <v>2274041220</v>
      </c>
      <c r="E64" s="59">
        <v>5.2227217975854126E-6</v>
      </c>
      <c r="F64" s="93">
        <v>4462.4042778649919</v>
      </c>
      <c r="G64" s="90">
        <v>0</v>
      </c>
      <c r="H64" s="61" t="str">
        <f t="shared" si="0"/>
        <v>(4000, 5000]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19">
        <v>0</v>
      </c>
      <c r="P64" s="59">
        <v>0</v>
      </c>
      <c r="Q64" s="59">
        <v>0</v>
      </c>
      <c r="R64" s="59">
        <v>0</v>
      </c>
      <c r="S64" s="83">
        <v>0</v>
      </c>
      <c r="U64" s="62"/>
      <c r="V64" s="62"/>
    </row>
    <row r="65" spans="1:22">
      <c r="A65" s="58">
        <v>5000</v>
      </c>
      <c r="B65" s="58">
        <v>6000</v>
      </c>
      <c r="C65" s="72">
        <v>3161</v>
      </c>
      <c r="D65" s="72">
        <v>1733258225</v>
      </c>
      <c r="E65" s="59">
        <v>3.2396043175367912E-6</v>
      </c>
      <c r="F65" s="93">
        <v>5483.2591743119274</v>
      </c>
      <c r="G65" s="90">
        <v>0</v>
      </c>
      <c r="H65" s="61" t="str">
        <f t="shared" si="0"/>
        <v>(5000, 6000]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19">
        <v>0</v>
      </c>
      <c r="P65" s="59">
        <v>0</v>
      </c>
      <c r="Q65" s="59">
        <v>0</v>
      </c>
      <c r="R65" s="59">
        <v>0</v>
      </c>
      <c r="S65" s="83">
        <v>0</v>
      </c>
      <c r="U65" s="62"/>
      <c r="V65" s="62"/>
    </row>
    <row r="66" spans="1:22">
      <c r="A66" s="58">
        <v>6000</v>
      </c>
      <c r="B66" s="58">
        <v>7000</v>
      </c>
      <c r="C66" s="72">
        <v>2033</v>
      </c>
      <c r="D66" s="72">
        <v>1318822235</v>
      </c>
      <c r="E66" s="59">
        <v>2.0835544376944946E-6</v>
      </c>
      <c r="F66" s="93">
        <v>6487.074446630595</v>
      </c>
      <c r="G66" s="90">
        <v>0</v>
      </c>
      <c r="H66" s="61" t="str">
        <f t="shared" si="0"/>
        <v>(6000, 7000]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19">
        <v>0</v>
      </c>
      <c r="P66" s="59">
        <v>0</v>
      </c>
      <c r="Q66" s="59">
        <v>0</v>
      </c>
      <c r="R66" s="59">
        <v>0</v>
      </c>
      <c r="S66" s="83">
        <v>0</v>
      </c>
      <c r="U66" s="62"/>
      <c r="V66" s="62"/>
    </row>
    <row r="67" spans="1:22">
      <c r="A67" s="58">
        <v>7000</v>
      </c>
      <c r="B67" s="58">
        <v>8000</v>
      </c>
      <c r="C67" s="72">
        <v>1426</v>
      </c>
      <c r="D67" s="72">
        <v>1067742405</v>
      </c>
      <c r="E67" s="59">
        <v>1.4614602204389321E-6</v>
      </c>
      <c r="F67" s="93">
        <v>7487.6746493688643</v>
      </c>
      <c r="G67" s="119">
        <v>0</v>
      </c>
      <c r="H67" s="61" t="str">
        <f t="shared" si="0"/>
        <v>(7000, 8000]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19">
        <v>0</v>
      </c>
      <c r="P67" s="59">
        <v>0</v>
      </c>
      <c r="Q67" s="59">
        <v>0</v>
      </c>
      <c r="R67" s="59">
        <v>0</v>
      </c>
      <c r="S67" s="83">
        <v>0</v>
      </c>
      <c r="U67" s="62"/>
      <c r="V67" s="62"/>
    </row>
    <row r="68" spans="1:22">
      <c r="A68" s="58">
        <v>8000</v>
      </c>
      <c r="B68" s="58">
        <v>9000</v>
      </c>
      <c r="C68" s="72">
        <v>1001</v>
      </c>
      <c r="D68" s="72">
        <v>847376135</v>
      </c>
      <c r="E68" s="59">
        <v>1.0258917816685632E-6</v>
      </c>
      <c r="F68" s="93">
        <v>8465.2960539460546</v>
      </c>
      <c r="G68" s="90">
        <v>0</v>
      </c>
      <c r="H68" s="61" t="str">
        <f t="shared" si="0"/>
        <v>(8000, 9000]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19">
        <v>0</v>
      </c>
      <c r="P68" s="59">
        <v>0</v>
      </c>
      <c r="Q68" s="59">
        <v>0</v>
      </c>
      <c r="R68" s="59">
        <v>0</v>
      </c>
      <c r="S68" s="83">
        <v>0</v>
      </c>
      <c r="U68" s="62"/>
      <c r="V68" s="62"/>
    </row>
    <row r="69" spans="1:22">
      <c r="A69" s="58">
        <v>9000</v>
      </c>
      <c r="B69" s="58">
        <v>10000</v>
      </c>
      <c r="C69" s="72">
        <v>724</v>
      </c>
      <c r="D69" s="72">
        <v>687507375</v>
      </c>
      <c r="E69" s="59">
        <v>7.4200364628175793E-7</v>
      </c>
      <c r="F69" s="93">
        <v>9495.9582182320446</v>
      </c>
      <c r="G69" s="90">
        <v>0</v>
      </c>
      <c r="H69" s="61" t="str">
        <f t="shared" si="0"/>
        <v>(9000, 10000]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19">
        <v>0</v>
      </c>
      <c r="P69" s="59">
        <v>0</v>
      </c>
      <c r="Q69" s="59">
        <v>0</v>
      </c>
      <c r="R69" s="59">
        <v>0</v>
      </c>
      <c r="S69" s="83">
        <v>0</v>
      </c>
      <c r="U69" s="62"/>
      <c r="V69" s="62"/>
    </row>
    <row r="70" spans="1:22">
      <c r="A70" s="58">
        <v>10000</v>
      </c>
      <c r="B70" s="58">
        <v>20000</v>
      </c>
      <c r="C70" s="72">
        <v>2301</v>
      </c>
      <c r="D70" s="72">
        <v>3058525025</v>
      </c>
      <c r="E70" s="59">
        <v>2.3582187708485155E-6</v>
      </c>
      <c r="F70" s="93">
        <v>13292.155693176879</v>
      </c>
      <c r="G70" s="90">
        <v>0</v>
      </c>
      <c r="H70" s="61" t="str">
        <f t="shared" si="0"/>
        <v>(10000, 20000]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19">
        <v>0</v>
      </c>
      <c r="P70" s="59">
        <v>0</v>
      </c>
      <c r="Q70" s="59">
        <v>0</v>
      </c>
      <c r="R70" s="59">
        <v>0</v>
      </c>
      <c r="S70" s="83">
        <v>0</v>
      </c>
      <c r="U70" s="62"/>
      <c r="V70" s="62"/>
    </row>
    <row r="71" spans="1:22">
      <c r="A71" s="58">
        <v>20000</v>
      </c>
      <c r="B71" s="58">
        <v>30000</v>
      </c>
      <c r="C71" s="72">
        <v>420</v>
      </c>
      <c r="D71" s="72">
        <v>1015252785</v>
      </c>
      <c r="E71" s="59">
        <v>4.3044410419659994E-7</v>
      </c>
      <c r="F71" s="93">
        <v>24172.685357142858</v>
      </c>
      <c r="G71" s="90">
        <v>0</v>
      </c>
      <c r="H71" s="61" t="str">
        <f t="shared" si="0"/>
        <v>(20000, 30000]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19">
        <v>0</v>
      </c>
      <c r="P71" s="59">
        <v>0</v>
      </c>
      <c r="Q71" s="59">
        <v>0</v>
      </c>
      <c r="R71" s="59">
        <v>0</v>
      </c>
      <c r="S71" s="83">
        <v>0</v>
      </c>
      <c r="U71" s="62"/>
      <c r="V71" s="62"/>
    </row>
    <row r="72" spans="1:22">
      <c r="A72" s="58">
        <v>30000</v>
      </c>
      <c r="B72" s="58">
        <v>40000</v>
      </c>
      <c r="C72" s="72">
        <v>71</v>
      </c>
      <c r="D72" s="72">
        <v>235683480</v>
      </c>
      <c r="E72" s="59">
        <v>7.2765550947520463E-8</v>
      </c>
      <c r="F72" s="93">
        <v>33194.85633802817</v>
      </c>
      <c r="G72" s="90">
        <v>0</v>
      </c>
      <c r="H72" s="61" t="str">
        <f t="shared" si="0"/>
        <v>(30000, 40000]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19">
        <v>0</v>
      </c>
      <c r="P72" s="59">
        <v>0</v>
      </c>
      <c r="Q72" s="59">
        <v>0</v>
      </c>
      <c r="R72" s="59">
        <v>0</v>
      </c>
      <c r="S72" s="83">
        <v>0</v>
      </c>
      <c r="U72" s="62"/>
      <c r="V72" s="62"/>
    </row>
    <row r="73" spans="1:22">
      <c r="A73" s="58">
        <v>40000</v>
      </c>
      <c r="B73" s="58">
        <v>50000</v>
      </c>
      <c r="C73" s="72">
        <v>29</v>
      </c>
      <c r="D73" s="72">
        <v>127110335</v>
      </c>
      <c r="E73" s="59">
        <v>2.9721140527860471E-8</v>
      </c>
      <c r="F73" s="93">
        <v>43831.15</v>
      </c>
      <c r="G73" s="90">
        <v>0</v>
      </c>
      <c r="H73" s="61" t="str">
        <f t="shared" si="0"/>
        <v>(40000, 50000]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19">
        <v>0</v>
      </c>
      <c r="P73" s="59">
        <v>0</v>
      </c>
      <c r="Q73" s="59">
        <v>0</v>
      </c>
      <c r="R73" s="59">
        <v>0</v>
      </c>
      <c r="S73" s="83">
        <v>0</v>
      </c>
      <c r="U73" s="62"/>
      <c r="V73" s="62"/>
    </row>
    <row r="74" spans="1:22">
      <c r="A74" s="58">
        <v>50000</v>
      </c>
      <c r="B74" s="58">
        <v>60000</v>
      </c>
      <c r="C74" s="72">
        <v>78</v>
      </c>
      <c r="D74" s="72">
        <v>425154405</v>
      </c>
      <c r="E74" s="59">
        <v>7.9939619350797128E-8</v>
      </c>
      <c r="F74" s="93">
        <v>54506.974999999999</v>
      </c>
      <c r="G74" s="90">
        <v>0</v>
      </c>
      <c r="H74" s="61" t="str">
        <f t="shared" si="0"/>
        <v>(50000, 60000]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19">
        <v>0</v>
      </c>
      <c r="P74" s="59">
        <v>0</v>
      </c>
      <c r="Q74" s="59">
        <v>0</v>
      </c>
      <c r="R74" s="59">
        <v>0</v>
      </c>
      <c r="S74" s="83">
        <v>0</v>
      </c>
      <c r="U74" s="62"/>
      <c r="V74" s="62"/>
    </row>
    <row r="75" spans="1:22">
      <c r="A75" s="58">
        <v>60000</v>
      </c>
      <c r="B75" s="58">
        <v>70000</v>
      </c>
      <c r="C75" s="72">
        <v>10</v>
      </c>
      <c r="D75" s="72">
        <v>63926075</v>
      </c>
      <c r="E75" s="59">
        <v>1.0248669147538093E-8</v>
      </c>
      <c r="F75" s="93">
        <v>63926.074999999997</v>
      </c>
      <c r="G75" s="90">
        <v>0</v>
      </c>
      <c r="H75" s="61" t="str">
        <f t="shared" si="0"/>
        <v>(60000, 70000]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19">
        <v>0</v>
      </c>
      <c r="P75" s="59">
        <v>0</v>
      </c>
      <c r="Q75" s="59">
        <v>0</v>
      </c>
      <c r="R75" s="59">
        <v>0</v>
      </c>
      <c r="S75" s="83">
        <v>0</v>
      </c>
      <c r="U75" s="62"/>
      <c r="V75" s="62"/>
    </row>
    <row r="76" spans="1:22">
      <c r="A76" s="58">
        <v>70000</v>
      </c>
      <c r="B76" s="58">
        <v>80000</v>
      </c>
      <c r="C76" s="72">
        <v>2</v>
      </c>
      <c r="D76" s="72">
        <v>14233050</v>
      </c>
      <c r="E76" s="59">
        <v>2.0497338295076187E-9</v>
      </c>
      <c r="F76" s="93">
        <v>71165.25</v>
      </c>
      <c r="G76" s="90">
        <v>0</v>
      </c>
      <c r="H76" s="61" t="str">
        <f t="shared" si="0"/>
        <v>(70000, 80000]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19">
        <v>0</v>
      </c>
      <c r="P76" s="59">
        <v>0</v>
      </c>
      <c r="Q76" s="59">
        <v>0</v>
      </c>
      <c r="R76" s="59">
        <v>0</v>
      </c>
      <c r="S76" s="83">
        <v>0</v>
      </c>
      <c r="U76" s="62"/>
      <c r="V76" s="62"/>
    </row>
    <row r="77" spans="1:22">
      <c r="A77" s="58">
        <v>80000</v>
      </c>
      <c r="B77" s="58">
        <v>90000</v>
      </c>
      <c r="C77" s="72">
        <v>0</v>
      </c>
      <c r="D77" s="72">
        <v>0</v>
      </c>
      <c r="E77" s="59">
        <v>0</v>
      </c>
      <c r="F77" s="93">
        <v>0</v>
      </c>
      <c r="G77" s="90">
        <v>0</v>
      </c>
      <c r="H77" s="61" t="str">
        <f t="shared" si="0"/>
        <v>(80000, 90000]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19">
        <v>0</v>
      </c>
      <c r="P77" s="59">
        <v>0</v>
      </c>
      <c r="Q77" s="59">
        <v>0</v>
      </c>
      <c r="R77" s="59">
        <v>0</v>
      </c>
      <c r="S77" s="83">
        <v>0</v>
      </c>
      <c r="U77" s="62"/>
      <c r="V77" s="62"/>
    </row>
    <row r="78" spans="1:22">
      <c r="A78" s="58">
        <v>90000</v>
      </c>
      <c r="B78" s="58">
        <v>100000</v>
      </c>
      <c r="C78" s="72">
        <v>0</v>
      </c>
      <c r="D78" s="72">
        <v>0</v>
      </c>
      <c r="E78" s="59">
        <v>0</v>
      </c>
      <c r="F78" s="93">
        <v>0</v>
      </c>
      <c r="G78" s="90">
        <v>0</v>
      </c>
      <c r="H78" s="61" t="str">
        <f t="shared" si="0"/>
        <v>(90000, 100000]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19">
        <v>0</v>
      </c>
      <c r="P78" s="59">
        <v>0</v>
      </c>
      <c r="Q78" s="59">
        <v>0</v>
      </c>
      <c r="R78" s="59">
        <v>0</v>
      </c>
      <c r="S78" s="83">
        <v>0</v>
      </c>
      <c r="U78" s="62"/>
      <c r="V78" s="62"/>
    </row>
    <row r="79" spans="1:22">
      <c r="A79" s="58">
        <v>100000</v>
      </c>
      <c r="B79" s="58">
        <v>9999999</v>
      </c>
      <c r="C79" s="72">
        <v>5</v>
      </c>
      <c r="D79" s="72">
        <v>53420530</v>
      </c>
      <c r="E79" s="59">
        <v>5.1243345737690465E-9</v>
      </c>
      <c r="F79" s="93">
        <v>106841.06</v>
      </c>
      <c r="G79" s="90">
        <v>0</v>
      </c>
      <c r="H79" s="61" t="str">
        <f t="shared" si="0"/>
        <v>(100000, 9999999]</v>
      </c>
      <c r="I79" s="62">
        <v>0</v>
      </c>
      <c r="J79" s="59">
        <v>0</v>
      </c>
      <c r="K79" s="59">
        <v>0</v>
      </c>
      <c r="L79" s="84">
        <v>0</v>
      </c>
      <c r="M79" s="59">
        <v>0</v>
      </c>
      <c r="N79" s="59">
        <v>0</v>
      </c>
      <c r="O79" s="119">
        <v>0</v>
      </c>
      <c r="P79" s="59">
        <v>0</v>
      </c>
      <c r="Q79" s="59">
        <v>0</v>
      </c>
      <c r="R79" s="59">
        <v>0</v>
      </c>
      <c r="S79" s="83">
        <v>0</v>
      </c>
      <c r="U79" s="62"/>
      <c r="V79" s="62"/>
    </row>
    <row r="80" spans="1:22">
      <c r="A80" s="216" t="s">
        <v>78</v>
      </c>
      <c r="B80" s="217"/>
      <c r="C80" s="73">
        <f>E80*B14</f>
        <v>24264000</v>
      </c>
      <c r="D80" s="72">
        <v>299563025</v>
      </c>
      <c r="E80" s="67">
        <v>2.4264000000000001E-2</v>
      </c>
      <c r="F80" s="93">
        <v>0.12345986852950874</v>
      </c>
      <c r="G80" s="100"/>
      <c r="H80" s="61" t="s">
        <v>78</v>
      </c>
      <c r="I80" s="62">
        <v>0.17299999999999999</v>
      </c>
      <c r="J80" s="59">
        <v>4.1976719999999995E-3</v>
      </c>
      <c r="K80" s="59">
        <f>J80</f>
        <v>4.1976719999999995E-3</v>
      </c>
      <c r="L80" s="84">
        <v>4197672</v>
      </c>
      <c r="M80" s="63">
        <v>4.197564727035836E-3</v>
      </c>
      <c r="N80" s="59">
        <v>5.1823078934394758E-4</v>
      </c>
      <c r="P80" s="51"/>
      <c r="Q80" s="51"/>
      <c r="R80" s="51"/>
      <c r="S80" s="51"/>
      <c r="T80" s="51"/>
      <c r="U80" s="62"/>
      <c r="V80" s="62"/>
    </row>
    <row r="81" spans="1:22">
      <c r="A81" s="216" t="s">
        <v>79</v>
      </c>
      <c r="B81" s="217"/>
      <c r="C81" s="73">
        <v>10000000</v>
      </c>
      <c r="D81" s="72">
        <v>0</v>
      </c>
      <c r="E81" s="59">
        <v>1</v>
      </c>
      <c r="F81" s="93">
        <v>0</v>
      </c>
      <c r="G81" s="90"/>
      <c r="H81" s="61" t="s">
        <v>79</v>
      </c>
      <c r="I81" s="81"/>
      <c r="J81" s="59"/>
      <c r="K81" s="59"/>
      <c r="L81" s="85"/>
      <c r="M81" s="63">
        <f>E81</f>
        <v>1</v>
      </c>
      <c r="N81" s="59">
        <f>F81/B9</f>
        <v>0</v>
      </c>
      <c r="P81" s="51"/>
      <c r="Q81" s="51"/>
      <c r="R81" s="51"/>
      <c r="S81" s="51"/>
      <c r="T81" s="51"/>
      <c r="U81" s="52"/>
      <c r="V81" s="52"/>
    </row>
    <row r="82" spans="1:22">
      <c r="A82" s="66"/>
      <c r="B82" s="52"/>
      <c r="C82" s="1"/>
      <c r="D82" s="1"/>
      <c r="E82" s="1"/>
      <c r="F82" s="1"/>
      <c r="H82" s="13"/>
      <c r="I82" s="52"/>
      <c r="J82" s="52"/>
      <c r="K82" s="52"/>
      <c r="L82" s="68"/>
      <c r="M82" s="52"/>
      <c r="N82" s="52"/>
      <c r="U82" s="52"/>
      <c r="V82" s="52"/>
    </row>
    <row r="83" spans="1:22">
      <c r="A83" s="52"/>
      <c r="D83" s="114"/>
      <c r="E83" s="1"/>
      <c r="F83" s="1"/>
      <c r="H83" s="13"/>
      <c r="I83" s="52"/>
      <c r="J83" s="52"/>
      <c r="K83" s="52"/>
      <c r="L83" s="52"/>
      <c r="M83" s="52"/>
      <c r="N83" s="52"/>
      <c r="U83" s="52"/>
      <c r="V83" s="52"/>
    </row>
    <row r="84" spans="1:22" s="200" customFormat="1">
      <c r="A84" s="219" t="s">
        <v>329</v>
      </c>
      <c r="B84" s="219"/>
      <c r="C84" s="219"/>
      <c r="D84" s="219"/>
      <c r="E84" s="195"/>
      <c r="F84" s="195"/>
      <c r="G84" s="196"/>
      <c r="H84" s="197"/>
      <c r="I84" s="198"/>
      <c r="J84" s="199"/>
      <c r="K84" s="199"/>
      <c r="L84" s="199"/>
      <c r="M84" s="199"/>
      <c r="N84" s="199"/>
      <c r="O84" s="196"/>
      <c r="U84" s="198"/>
      <c r="V84" s="198"/>
    </row>
    <row r="85" spans="1:22">
      <c r="A85" s="52"/>
      <c r="B85" s="52"/>
      <c r="C85" s="1"/>
      <c r="D85" s="1"/>
      <c r="E85" s="1"/>
      <c r="F85" s="1"/>
      <c r="G85" s="51">
        <v>1.0000000000000001E-5</v>
      </c>
      <c r="H85" s="13"/>
      <c r="I85" s="52"/>
      <c r="J85" s="52"/>
      <c r="K85" s="52"/>
      <c r="L85" s="52"/>
      <c r="M85" s="52"/>
      <c r="N85" s="52"/>
      <c r="U85" s="52"/>
      <c r="V85" s="52"/>
    </row>
    <row r="86" spans="1:22">
      <c r="A86" s="70" t="s">
        <v>75</v>
      </c>
      <c r="B86" s="193">
        <v>1000000000</v>
      </c>
      <c r="C86" s="1"/>
      <c r="D86" s="1"/>
      <c r="E86" s="1"/>
      <c r="F86" s="1"/>
      <c r="G86" s="51">
        <v>2435</v>
      </c>
      <c r="H86" s="70" t="s">
        <v>76</v>
      </c>
      <c r="I86" s="52"/>
      <c r="J86" s="52"/>
      <c r="K86" s="52"/>
      <c r="L86" s="52"/>
      <c r="M86" s="52"/>
      <c r="N86" s="52"/>
      <c r="P86" s="24" t="s">
        <v>81</v>
      </c>
      <c r="U86" s="52"/>
      <c r="V86" s="52"/>
    </row>
    <row r="87" spans="1:22" ht="16.2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90">
        <f>1+G86*G85</f>
        <v>1.0243500000000001</v>
      </c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1">
        <v>0.9</v>
      </c>
      <c r="P87" s="86" t="s">
        <v>84</v>
      </c>
      <c r="Q87" s="194" t="s">
        <v>328</v>
      </c>
      <c r="R87" s="86" t="s">
        <v>253</v>
      </c>
      <c r="S87" s="86" t="s">
        <v>80</v>
      </c>
      <c r="U87" s="20" t="s">
        <v>322</v>
      </c>
      <c r="V87" s="20" t="s">
        <v>323</v>
      </c>
    </row>
    <row r="88" spans="1:22">
      <c r="A88" s="64">
        <v>-1</v>
      </c>
      <c r="B88" s="64">
        <v>0</v>
      </c>
      <c r="C88" s="96" cm="1">
        <f t="array" ref="C88:D151">C16:D79</f>
        <v>737438219</v>
      </c>
      <c r="D88" s="96">
        <v>0</v>
      </c>
      <c r="E88" s="69" cm="1">
        <f t="array" ref="E88:E151">_xlfn.LET(_xlpm.x, C88:C151, _xlpm.x/SUM(_xlpm.x))</f>
        <v>0.755776032328074</v>
      </c>
      <c r="F88" s="92" cm="1">
        <f t="array" ref="F88:F152">_xlfn.LET(_xlpm.x, D88:D152/C88:C152/B3, IF(ISERR(_xlpm.x), 0, _xlpm.x))</f>
        <v>0</v>
      </c>
      <c r="G88" s="90"/>
      <c r="H88" s="61" t="str">
        <f>"("&amp;$A88&amp;", "&amp;$B88&amp;"]"</f>
        <v>(-1, 0]</v>
      </c>
      <c r="I88" s="62">
        <v>0.96</v>
      </c>
      <c r="J88" s="59" cm="1">
        <f t="array" ref="J88:J152">E88:E152*I88:I152</f>
        <v>0.72554499103495096</v>
      </c>
      <c r="K88" s="59" cm="1">
        <f t="array" ref="K88:K151">J88:J151/SUM(_xlfn.ANCHORARRAY(J88))</f>
        <v>0.70996415493933984</v>
      </c>
      <c r="L88" s="117" cm="1">
        <f t="array" ref="L88:L152">INT(K88:K152*$B$2)</f>
        <v>709964154</v>
      </c>
      <c r="M88" s="59" cm="1">
        <f t="array" ref="M88:M152">_xlfn.LET(_xlpm.x, L88:L152, _xlpm.x/SUM(_xlpm.x))</f>
        <v>0.70964431234091774</v>
      </c>
      <c r="N88" s="59" cm="1">
        <f t="array" ref="N88:N152">M88:M152*F88:F152</f>
        <v>0</v>
      </c>
      <c r="O88" s="119" cm="1">
        <f t="array" ref="O88:O151">I88:I151*O87</f>
        <v>0.86399999999999999</v>
      </c>
      <c r="P88" s="59" cm="1">
        <f t="array" ref="P88:P151">M88:M151</f>
        <v>0.70964431234091774</v>
      </c>
      <c r="Q88" s="59">
        <v>0.72294875282443027</v>
      </c>
      <c r="R88" s="59"/>
      <c r="S88" s="83" cm="1">
        <f t="array" ref="S88:S151">_xlfn.LET(_xlpm.x, Q88:Q151/M88:M151, IF(ISERR(_xlpm.x), 0, ROUND(_xlpm.x,2)))</f>
        <v>1.02</v>
      </c>
      <c r="U88" s="62"/>
      <c r="V88" s="62"/>
    </row>
    <row r="89" spans="1:22">
      <c r="A89" s="58">
        <v>0</v>
      </c>
      <c r="B89" s="58">
        <v>1</v>
      </c>
      <c r="C89" s="96">
        <v>125731625</v>
      </c>
      <c r="D89" s="96">
        <v>5717439345</v>
      </c>
      <c r="E89" s="59">
        <v>0.12885818260073292</v>
      </c>
      <c r="F89" s="93">
        <v>0.45473359188668722</v>
      </c>
      <c r="G89" s="90"/>
      <c r="H89" s="61" t="str">
        <f t="shared" ref="H89:H151" si="1">"("&amp;$A89&amp;", "&amp;$B89&amp;"]"</f>
        <v>(0, 1]</v>
      </c>
      <c r="I89" s="62">
        <v>1.26</v>
      </c>
      <c r="J89" s="59">
        <v>0.16236131007692348</v>
      </c>
      <c r="K89" s="59">
        <v>0.15887465522872624</v>
      </c>
      <c r="L89" s="117">
        <v>158874655</v>
      </c>
      <c r="M89" s="59">
        <v>0.15880308133961865</v>
      </c>
      <c r="N89" s="59">
        <v>7.2213095580238543E-2</v>
      </c>
      <c r="O89" s="119">
        <v>1.1340000000000001</v>
      </c>
      <c r="P89" s="59">
        <v>0.15880308133961865</v>
      </c>
      <c r="Q89" s="59">
        <v>0.16136085442046003</v>
      </c>
      <c r="R89" s="59"/>
      <c r="S89" s="83">
        <v>1.02</v>
      </c>
      <c r="U89" s="62"/>
      <c r="V89" s="62"/>
    </row>
    <row r="90" spans="1:22">
      <c r="A90" s="58">
        <v>1</v>
      </c>
      <c r="B90" s="58">
        <v>2</v>
      </c>
      <c r="C90" s="96">
        <v>34348880</v>
      </c>
      <c r="D90" s="96">
        <v>5160882740</v>
      </c>
      <c r="E90" s="59">
        <v>3.5203030670848824E-2</v>
      </c>
      <c r="F90" s="93">
        <v>1.502489379566379</v>
      </c>
      <c r="G90" s="90"/>
      <c r="H90" s="61" t="str">
        <f t="shared" si="1"/>
        <v>(1, 2]</v>
      </c>
      <c r="I90" s="62">
        <v>1.31</v>
      </c>
      <c r="J90" s="59">
        <v>4.6115970178811964E-2</v>
      </c>
      <c r="K90" s="59">
        <v>4.5125645138153606E-2</v>
      </c>
      <c r="L90" s="117">
        <v>45125645</v>
      </c>
      <c r="M90" s="59">
        <v>4.5105315718468479E-2</v>
      </c>
      <c r="N90" s="59">
        <v>6.7770257828987351E-2</v>
      </c>
      <c r="O90" s="119">
        <v>1.179</v>
      </c>
      <c r="P90" s="59">
        <v>4.5105315718468479E-2</v>
      </c>
      <c r="Q90" s="59">
        <v>4.5756934610305687E-2</v>
      </c>
      <c r="R90" s="59"/>
      <c r="S90" s="83">
        <v>1.01</v>
      </c>
      <c r="U90" s="62"/>
      <c r="V90" s="62"/>
    </row>
    <row r="91" spans="1:22">
      <c r="A91" s="58">
        <v>2</v>
      </c>
      <c r="B91" s="58">
        <v>3</v>
      </c>
      <c r="C91" s="96">
        <v>16007308</v>
      </c>
      <c r="D91" s="96">
        <v>4033785225</v>
      </c>
      <c r="E91" s="59">
        <v>1.640536036347397E-2</v>
      </c>
      <c r="F91" s="93">
        <v>2.5199647717155189</v>
      </c>
      <c r="G91" s="90"/>
      <c r="H91" s="61" t="str">
        <f t="shared" si="1"/>
        <v>(2, 3]</v>
      </c>
      <c r="I91" s="62">
        <v>1.33</v>
      </c>
      <c r="J91" s="59">
        <v>2.1819129283420381E-2</v>
      </c>
      <c r="K91" s="59">
        <v>2.1350570777311773E-2</v>
      </c>
      <c r="L91" s="117">
        <v>21350570</v>
      </c>
      <c r="M91" s="59">
        <v>2.13409514837796E-2</v>
      </c>
      <c r="N91" s="59">
        <v>5.3778445934014624E-2</v>
      </c>
      <c r="O91" s="119">
        <v>1.1970000000000001</v>
      </c>
      <c r="P91" s="59">
        <v>2.13409514837796E-2</v>
      </c>
      <c r="Q91" s="59">
        <v>2.1758000231243222E-2</v>
      </c>
      <c r="R91" s="59"/>
      <c r="S91" s="83">
        <v>1.02</v>
      </c>
      <c r="U91" s="62"/>
      <c r="V91" s="62"/>
    </row>
    <row r="92" spans="1:22">
      <c r="A92" s="58">
        <v>3</v>
      </c>
      <c r="B92" s="58">
        <v>4</v>
      </c>
      <c r="C92" s="96">
        <v>7933497</v>
      </c>
      <c r="D92" s="96">
        <v>2830150955</v>
      </c>
      <c r="E92" s="59">
        <v>8.1307785935986025E-3</v>
      </c>
      <c r="F92" s="93">
        <v>3.5673435749707854</v>
      </c>
      <c r="G92" s="90">
        <v>1.05</v>
      </c>
      <c r="H92" s="61" t="str">
        <f t="shared" si="1"/>
        <v>(3, 4]</v>
      </c>
      <c r="I92" s="207" cm="1">
        <f t="array" ref="I92:I151">G92:G151*G87</f>
        <v>1.0755675000000002</v>
      </c>
      <c r="J92" s="59">
        <v>8.7452012049703664E-3</v>
      </c>
      <c r="K92" s="59">
        <v>8.5574009330624604E-3</v>
      </c>
      <c r="L92" s="117">
        <v>8557400</v>
      </c>
      <c r="M92" s="59">
        <v>8.553544857457929E-3</v>
      </c>
      <c r="N92" s="59">
        <v>3.0513433290476944E-2</v>
      </c>
      <c r="O92" s="119">
        <v>0.96801075000000025</v>
      </c>
      <c r="P92" s="59">
        <v>8.553544857457929E-3</v>
      </c>
      <c r="Q92" s="59">
        <v>8.5068854662453865E-3</v>
      </c>
      <c r="R92" s="59"/>
      <c r="S92" s="83">
        <v>0.99</v>
      </c>
      <c r="U92" s="62"/>
      <c r="V92" s="62"/>
    </row>
    <row r="93" spans="1:22">
      <c r="A93" s="58">
        <v>4</v>
      </c>
      <c r="B93" s="58">
        <v>5</v>
      </c>
      <c r="C93" s="96">
        <v>5588406</v>
      </c>
      <c r="D93" s="96">
        <v>2571054930</v>
      </c>
      <c r="E93" s="59">
        <v>5.7273724156116767E-3</v>
      </c>
      <c r="F93" s="93">
        <v>4.6006945987818355</v>
      </c>
      <c r="G93" s="90">
        <v>1.17</v>
      </c>
      <c r="H93" s="61" t="str">
        <f t="shared" si="1"/>
        <v>(4, 5]</v>
      </c>
      <c r="I93" s="62">
        <v>1.1984895</v>
      </c>
      <c r="J93" s="59">
        <v>6.8641957027002305E-3</v>
      </c>
      <c r="K93" s="59">
        <v>6.7167893950370603E-3</v>
      </c>
      <c r="L93" s="117">
        <v>6716789</v>
      </c>
      <c r="M93" s="59">
        <v>6.7137630599925198E-3</v>
      </c>
      <c r="N93" s="59">
        <v>3.0887973447608595E-2</v>
      </c>
      <c r="O93" s="119">
        <v>1.07864055</v>
      </c>
      <c r="P93" s="59">
        <v>6.7137630599925198E-3</v>
      </c>
      <c r="Q93" s="59">
        <v>6.6698354145381805E-3</v>
      </c>
      <c r="R93" s="59"/>
      <c r="S93" s="83">
        <v>0.99</v>
      </c>
      <c r="U93" s="62"/>
      <c r="V93" s="62"/>
    </row>
    <row r="94" spans="1:22">
      <c r="A94" s="58">
        <v>5</v>
      </c>
      <c r="B94" s="58">
        <v>6</v>
      </c>
      <c r="C94" s="96">
        <v>4143712</v>
      </c>
      <c r="D94" s="96">
        <v>2315979350</v>
      </c>
      <c r="E94" s="59">
        <v>4.2467533330683366E-3</v>
      </c>
      <c r="F94" s="93">
        <v>5.5891416922797728</v>
      </c>
      <c r="G94" s="90">
        <v>1.29</v>
      </c>
      <c r="H94" s="61" t="str">
        <f t="shared" si="1"/>
        <v>(5, 6]</v>
      </c>
      <c r="I94" s="62">
        <v>1.3214115000000002</v>
      </c>
      <c r="J94" s="59">
        <v>5.611708691979831E-3</v>
      </c>
      <c r="K94" s="59">
        <v>5.4911991241013008E-3</v>
      </c>
      <c r="L94" s="117">
        <v>5491199</v>
      </c>
      <c r="M94" s="59">
        <v>5.4887251931343781E-3</v>
      </c>
      <c r="N94" s="59">
        <v>3.06772628144137E-2</v>
      </c>
      <c r="O94" s="119">
        <v>1.1892703500000001</v>
      </c>
      <c r="P94" s="59">
        <v>5.4887251931343781E-3</v>
      </c>
      <c r="Q94" s="59">
        <v>5.4541948981352501E-3</v>
      </c>
      <c r="R94" s="59"/>
      <c r="S94" s="83">
        <v>0.99</v>
      </c>
      <c r="U94" s="62"/>
      <c r="V94" s="62"/>
    </row>
    <row r="95" spans="1:22">
      <c r="A95" s="58">
        <v>6</v>
      </c>
      <c r="B95" s="58">
        <v>7</v>
      </c>
      <c r="C95" s="96">
        <v>2756365</v>
      </c>
      <c r="D95" s="96">
        <v>1809630790</v>
      </c>
      <c r="E95" s="59">
        <v>2.8249072934853838E-3</v>
      </c>
      <c r="F95" s="93">
        <v>6.5652799611081996</v>
      </c>
      <c r="G95" s="90">
        <v>1.18</v>
      </c>
      <c r="H95" s="61" t="str">
        <f t="shared" si="1"/>
        <v>(6, 7]</v>
      </c>
      <c r="I95" s="62">
        <v>1.2087330000000001</v>
      </c>
      <c r="J95" s="59">
        <v>3.4145586675764683E-3</v>
      </c>
      <c r="K95" s="59">
        <v>3.3412321618521744E-3</v>
      </c>
      <c r="L95" s="117">
        <v>3341232</v>
      </c>
      <c r="M95" s="59">
        <v>3.3397267617703828E-3</v>
      </c>
      <c r="N95" s="59">
        <v>2.1926241184627871E-2</v>
      </c>
      <c r="O95" s="119">
        <v>1.0878597000000001</v>
      </c>
      <c r="P95" s="59">
        <v>3.3397267617703828E-3</v>
      </c>
      <c r="Q95" s="59">
        <v>3.3318405313007824E-3</v>
      </c>
      <c r="R95" s="59"/>
      <c r="S95" s="83">
        <v>1</v>
      </c>
      <c r="U95" s="62"/>
      <c r="V95" s="62"/>
    </row>
    <row r="96" spans="1:22">
      <c r="A96" s="58">
        <v>7</v>
      </c>
      <c r="B96" s="58">
        <v>8</v>
      </c>
      <c r="C96" s="96">
        <v>2845125</v>
      </c>
      <c r="D96" s="96">
        <v>2167669220</v>
      </c>
      <c r="E96" s="59">
        <v>2.9158744808389318E-3</v>
      </c>
      <c r="F96" s="93">
        <v>7.6188892227933742</v>
      </c>
      <c r="G96" s="90">
        <v>0.97</v>
      </c>
      <c r="H96" s="61" t="str">
        <f t="shared" si="1"/>
        <v>(7, 8]</v>
      </c>
      <c r="I96" s="62">
        <v>0.9936195000000001</v>
      </c>
      <c r="J96" s="59">
        <v>2.8972697437139395E-3</v>
      </c>
      <c r="K96" s="59">
        <v>2.8350518446734023E-3</v>
      </c>
      <c r="L96" s="117">
        <v>2835051</v>
      </c>
      <c r="M96" s="59">
        <v>2.8337737983126837E-3</v>
      </c>
      <c r="N96" s="59">
        <v>2.159020865179875E-2</v>
      </c>
      <c r="O96" s="119">
        <v>0.89425755000000007</v>
      </c>
      <c r="P96" s="59">
        <v>2.8337737983126837E-3</v>
      </c>
      <c r="Q96" s="59">
        <v>2.8156200112303422E-3</v>
      </c>
      <c r="R96" s="59"/>
      <c r="S96" s="83">
        <v>0.99</v>
      </c>
      <c r="U96" s="62"/>
      <c r="V96" s="62"/>
    </row>
    <row r="97" spans="1:22">
      <c r="A97" s="58">
        <v>8</v>
      </c>
      <c r="B97" s="58">
        <v>9</v>
      </c>
      <c r="C97" s="96">
        <v>2095963</v>
      </c>
      <c r="D97" s="96">
        <v>1802007560</v>
      </c>
      <c r="E97" s="59">
        <v>2.1480831332481385E-3</v>
      </c>
      <c r="F97" s="93">
        <v>8.5975160821064112</v>
      </c>
      <c r="G97" s="90">
        <v>1.19</v>
      </c>
      <c r="H97" s="61" t="str">
        <f t="shared" si="1"/>
        <v>(8, 9]</v>
      </c>
      <c r="I97" s="62">
        <v>1.2189765000000001</v>
      </c>
      <c r="J97" s="59">
        <v>2.6184628594758497E-3</v>
      </c>
      <c r="K97" s="59">
        <v>2.5622322450548993E-3</v>
      </c>
      <c r="L97" s="117">
        <v>2562232</v>
      </c>
      <c r="M97" s="59">
        <v>2.5610777043511049E-3</v>
      </c>
      <c r="N97" s="59">
        <v>2.2018906750682795E-2</v>
      </c>
      <c r="O97" s="119">
        <v>1.0970788500000002</v>
      </c>
      <c r="P97" s="59">
        <v>2.5610777043511049E-3</v>
      </c>
      <c r="Q97" s="59">
        <v>2.5445965127515817E-3</v>
      </c>
      <c r="R97" s="59"/>
      <c r="S97" s="83">
        <v>0.99</v>
      </c>
      <c r="U97" s="62"/>
      <c r="V97" s="62"/>
    </row>
    <row r="98" spans="1:22">
      <c r="A98" s="58">
        <v>9</v>
      </c>
      <c r="B98" s="58">
        <v>10</v>
      </c>
      <c r="C98" s="96">
        <v>1942294</v>
      </c>
      <c r="D98" s="96">
        <v>1873294895</v>
      </c>
      <c r="E98" s="59">
        <v>1.9905928593248355E-3</v>
      </c>
      <c r="F98" s="93">
        <v>9.6447545788639619</v>
      </c>
      <c r="G98" s="90">
        <v>1.1399999999999999</v>
      </c>
      <c r="H98" s="61" t="str">
        <f t="shared" si="1"/>
        <v>(9, 10]</v>
      </c>
      <c r="I98" s="62">
        <v>1.167759</v>
      </c>
      <c r="J98" s="59">
        <v>2.3245327268123107E-3</v>
      </c>
      <c r="K98" s="59">
        <v>2.2746141637144065E-3</v>
      </c>
      <c r="L98" s="117">
        <v>2274614</v>
      </c>
      <c r="M98" s="59">
        <v>2.2735892773975519E-3</v>
      </c>
      <c r="N98" s="59">
        <v>2.1928210593636047E-2</v>
      </c>
      <c r="O98" s="119">
        <v>1.0509831000000001</v>
      </c>
      <c r="P98" s="59">
        <v>2.2735892773975519E-3</v>
      </c>
      <c r="Q98" s="59">
        <v>2.2718729170527617E-3</v>
      </c>
      <c r="R98" s="59"/>
      <c r="S98" s="83">
        <v>1</v>
      </c>
      <c r="U98" s="62"/>
      <c r="V98" s="62"/>
    </row>
    <row r="99" spans="1:22">
      <c r="A99" s="58">
        <v>10</v>
      </c>
      <c r="B99" s="58">
        <v>15</v>
      </c>
      <c r="C99" s="96">
        <v>6766285</v>
      </c>
      <c r="D99" s="96">
        <v>8425815715</v>
      </c>
      <c r="E99" s="59">
        <v>6.9345416322949792E-3</v>
      </c>
      <c r="F99" s="93">
        <v>12.452646784757071</v>
      </c>
      <c r="G99" s="100">
        <v>0.44</v>
      </c>
      <c r="H99" s="61" t="str">
        <f t="shared" si="1"/>
        <v>(10, 15]</v>
      </c>
      <c r="I99" s="62">
        <v>0.45071400000000006</v>
      </c>
      <c r="J99" s="59">
        <v>3.1254949972581996E-3</v>
      </c>
      <c r="K99" s="59">
        <v>3.0583760372051949E-3</v>
      </c>
      <c r="L99" s="117">
        <v>3058376</v>
      </c>
      <c r="M99" s="59">
        <v>3.0569981895169972E-3</v>
      </c>
      <c r="N99" s="59">
        <v>3.8067718675697026E-2</v>
      </c>
      <c r="O99" s="119">
        <v>0.40564260000000008</v>
      </c>
      <c r="P99" s="59">
        <v>3.0569981895169972E-3</v>
      </c>
      <c r="Q99" s="59">
        <v>3.0238589193723043E-3</v>
      </c>
      <c r="R99" s="59"/>
      <c r="S99" s="83">
        <v>0.99</v>
      </c>
      <c r="U99" s="62"/>
      <c r="V99" s="62"/>
    </row>
    <row r="100" spans="1:22">
      <c r="A100" s="58">
        <v>15</v>
      </c>
      <c r="B100" s="58">
        <v>20</v>
      </c>
      <c r="C100" s="96">
        <v>4603098</v>
      </c>
      <c r="D100" s="96">
        <v>8049460830</v>
      </c>
      <c r="E100" s="59">
        <v>4.7175628455694302E-3</v>
      </c>
      <c r="F100" s="93">
        <v>17.487050742782358</v>
      </c>
      <c r="G100" s="100">
        <v>0.84</v>
      </c>
      <c r="H100" s="113" t="str">
        <f t="shared" si="1"/>
        <v>(15, 20]</v>
      </c>
      <c r="I100" s="62">
        <v>0.86045400000000005</v>
      </c>
      <c r="J100" s="59">
        <v>4.0592458207215987E-3</v>
      </c>
      <c r="K100" s="59">
        <v>3.9720748739354595E-3</v>
      </c>
      <c r="L100" s="117">
        <v>3972074</v>
      </c>
      <c r="M100" s="59">
        <v>3.9702845649545833E-3</v>
      </c>
      <c r="N100" s="59">
        <v>6.9428567650646381E-2</v>
      </c>
      <c r="O100" s="119">
        <v>0.77440860000000011</v>
      </c>
      <c r="P100" s="59">
        <v>3.9702845649545833E-3</v>
      </c>
      <c r="Q100" s="59">
        <v>3.9646257171216332E-3</v>
      </c>
      <c r="R100" s="59"/>
      <c r="S100" s="83">
        <v>1</v>
      </c>
      <c r="U100" s="62"/>
      <c r="V100" s="62"/>
    </row>
    <row r="101" spans="1:22">
      <c r="A101" s="58">
        <v>20</v>
      </c>
      <c r="B101" s="58">
        <v>25</v>
      </c>
      <c r="C101" s="96">
        <v>3233081</v>
      </c>
      <c r="D101" s="96">
        <v>7285252120</v>
      </c>
      <c r="E101" s="59">
        <v>3.3134777496191606E-3</v>
      </c>
      <c r="F101" s="93">
        <v>22.533466127201887</v>
      </c>
      <c r="G101" s="100">
        <v>0.5</v>
      </c>
      <c r="H101" s="61" t="str">
        <f t="shared" si="1"/>
        <v>(20, 25]</v>
      </c>
      <c r="I101" s="62">
        <v>0.51217500000000005</v>
      </c>
      <c r="J101" s="59">
        <v>1.6970804664111936E-3</v>
      </c>
      <c r="K101" s="59">
        <v>1.6606362308159647E-3</v>
      </c>
      <c r="L101" s="117">
        <v>1660636</v>
      </c>
      <c r="M101" s="59">
        <v>1.6598878769146595E-3</v>
      </c>
      <c r="N101" s="59">
        <v>3.7403027249409533E-2</v>
      </c>
      <c r="O101" s="119">
        <v>0.46095750000000008</v>
      </c>
      <c r="P101" s="59">
        <v>1.6598878769146595E-3</v>
      </c>
      <c r="Q101" s="59">
        <v>1.6558466895929445E-3</v>
      </c>
      <c r="R101" s="59"/>
      <c r="S101" s="83">
        <v>1</v>
      </c>
      <c r="U101" s="62"/>
      <c r="V101" s="62"/>
    </row>
    <row r="102" spans="1:22">
      <c r="A102" s="58">
        <v>25</v>
      </c>
      <c r="B102" s="58">
        <v>30</v>
      </c>
      <c r="C102" s="96">
        <v>2625353</v>
      </c>
      <c r="D102" s="96">
        <v>7230063895</v>
      </c>
      <c r="E102" s="59">
        <v>2.6906374292496576E-3</v>
      </c>
      <c r="F102" s="93">
        <v>27.539397159162977</v>
      </c>
      <c r="G102" s="100">
        <v>0.25</v>
      </c>
      <c r="H102" s="61" t="str">
        <f t="shared" si="1"/>
        <v>(25, 30]</v>
      </c>
      <c r="I102" s="62">
        <v>0.25608750000000002</v>
      </c>
      <c r="J102" s="59">
        <v>6.8903861266297179E-4</v>
      </c>
      <c r="K102" s="59">
        <v>6.7424173883694628E-4</v>
      </c>
      <c r="L102" s="117">
        <v>674241</v>
      </c>
      <c r="M102" s="59">
        <v>6.7393725176306959E-4</v>
      </c>
      <c r="N102" s="59">
        <v>1.8559825636657982E-2</v>
      </c>
      <c r="O102" s="119">
        <v>0.23047875000000004</v>
      </c>
      <c r="P102" s="59">
        <v>6.7393725176306959E-4</v>
      </c>
      <c r="Q102" s="59">
        <v>6.70909365952092E-4</v>
      </c>
      <c r="R102" s="59"/>
      <c r="S102" s="83">
        <v>1</v>
      </c>
      <c r="U102" s="62"/>
      <c r="V102" s="62"/>
    </row>
    <row r="103" spans="1:22">
      <c r="A103" s="58">
        <v>30</v>
      </c>
      <c r="B103" s="58">
        <v>35</v>
      </c>
      <c r="C103" s="96">
        <v>1981927</v>
      </c>
      <c r="D103" s="96">
        <v>6446724235</v>
      </c>
      <c r="E103" s="59">
        <v>2.031211409757273E-3</v>
      </c>
      <c r="F103" s="93">
        <v>32.527556438758843</v>
      </c>
      <c r="G103" s="100">
        <v>0.28000000000000003</v>
      </c>
      <c r="H103" s="61" t="str">
        <f t="shared" si="1"/>
        <v>(30, 35]</v>
      </c>
      <c r="I103" s="62">
        <v>0.28681800000000007</v>
      </c>
      <c r="J103" s="59">
        <v>5.8258799412376169E-4</v>
      </c>
      <c r="K103" s="59">
        <v>5.7007711173896985E-4</v>
      </c>
      <c r="L103" s="117">
        <v>570077</v>
      </c>
      <c r="M103" s="59">
        <v>5.6982017805700844E-4</v>
      </c>
      <c r="N103" s="59">
        <v>1.8534858001692956E-2</v>
      </c>
      <c r="O103" s="119">
        <v>0.25813620000000009</v>
      </c>
      <c r="P103" s="59">
        <v>5.6982017805700844E-4</v>
      </c>
      <c r="Q103" s="59">
        <v>5.6786647344428387E-4</v>
      </c>
      <c r="R103" s="59"/>
      <c r="S103" s="83">
        <v>1</v>
      </c>
      <c r="U103" s="62"/>
      <c r="V103" s="62"/>
    </row>
    <row r="104" spans="1:22">
      <c r="A104" s="58">
        <v>35</v>
      </c>
      <c r="B104" s="58">
        <v>40</v>
      </c>
      <c r="C104" s="96">
        <v>1722603</v>
      </c>
      <c r="D104" s="96">
        <v>6466046565</v>
      </c>
      <c r="E104" s="59">
        <v>1.7654388219556563E-3</v>
      </c>
      <c r="F104" s="93">
        <v>37.536487310192776</v>
      </c>
      <c r="G104" s="100">
        <v>0.55000000000000004</v>
      </c>
      <c r="H104" s="113" t="str">
        <f t="shared" si="1"/>
        <v>(35, 40]</v>
      </c>
      <c r="I104" s="62">
        <v>0.56339250000000007</v>
      </c>
      <c r="J104" s="59">
        <v>9.9463499149865216E-4</v>
      </c>
      <c r="K104" s="59">
        <v>9.7327553761365738E-4</v>
      </c>
      <c r="L104" s="117">
        <v>973275</v>
      </c>
      <c r="M104" s="59">
        <v>9.7283653576347561E-4</v>
      </c>
      <c r="N104" s="59">
        <v>3.6516866279577599E-2</v>
      </c>
      <c r="O104" s="119">
        <v>0.50705325000000012</v>
      </c>
      <c r="P104" s="59">
        <v>9.7283653576347561E-4</v>
      </c>
      <c r="Q104" s="59">
        <v>9.7218159420446463E-4</v>
      </c>
      <c r="R104" s="59"/>
      <c r="S104" s="83">
        <v>1</v>
      </c>
      <c r="U104" s="62"/>
      <c r="V104" s="62"/>
    </row>
    <row r="105" spans="1:22">
      <c r="A105" s="58">
        <v>40</v>
      </c>
      <c r="B105" s="58">
        <v>45</v>
      </c>
      <c r="C105" s="96">
        <v>1421952</v>
      </c>
      <c r="D105" s="96">
        <v>6059283120</v>
      </c>
      <c r="E105" s="59">
        <v>1.4573115591680088E-3</v>
      </c>
      <c r="F105" s="93">
        <v>42.612430799351877</v>
      </c>
      <c r="G105" s="100">
        <v>0.15</v>
      </c>
      <c r="H105" s="61" t="str">
        <f t="shared" si="1"/>
        <v>(40, 45]</v>
      </c>
      <c r="I105" s="62">
        <v>0.1536525</v>
      </c>
      <c r="J105" s="59">
        <v>2.2391956434506246E-4</v>
      </c>
      <c r="K105" s="59">
        <v>2.1911096656853534E-4</v>
      </c>
      <c r="L105" s="117">
        <v>219110</v>
      </c>
      <c r="M105" s="59">
        <v>2.190112900784826E-4</v>
      </c>
      <c r="N105" s="59">
        <v>9.3326034427461211E-3</v>
      </c>
      <c r="O105" s="119">
        <v>0.13828725</v>
      </c>
      <c r="P105" s="59">
        <v>2.190112900784826E-4</v>
      </c>
      <c r="Q105" s="59">
        <v>2.2260372959427685E-4</v>
      </c>
      <c r="R105" s="59"/>
      <c r="S105" s="83">
        <v>1.02</v>
      </c>
      <c r="U105" s="62"/>
      <c r="V105" s="62"/>
    </row>
    <row r="106" spans="1:22">
      <c r="A106" s="58">
        <v>45</v>
      </c>
      <c r="B106" s="58">
        <v>50</v>
      </c>
      <c r="C106" s="96">
        <v>1177439</v>
      </c>
      <c r="D106" s="96">
        <v>5606385145</v>
      </c>
      <c r="E106" s="59">
        <v>1.2067182752408105E-3</v>
      </c>
      <c r="F106" s="93">
        <v>47.61507937990843</v>
      </c>
      <c r="G106" s="100">
        <v>0.18</v>
      </c>
      <c r="H106" s="61" t="str">
        <f t="shared" si="1"/>
        <v>(45, 50]</v>
      </c>
      <c r="I106" s="62">
        <v>0.18438300000000002</v>
      </c>
      <c r="J106" s="59">
        <v>2.2249833574372637E-4</v>
      </c>
      <c r="K106" s="59">
        <v>2.1772025837622341E-4</v>
      </c>
      <c r="L106" s="117">
        <v>217720</v>
      </c>
      <c r="M106" s="59">
        <v>2.1762191627897965E-4</v>
      </c>
      <c r="N106" s="59">
        <v>1.0362084818431403E-2</v>
      </c>
      <c r="O106" s="119">
        <v>0.16594470000000003</v>
      </c>
      <c r="P106" s="59">
        <v>2.1762191627897965E-4</v>
      </c>
      <c r="Q106" s="59">
        <v>2.1215213191966382E-4</v>
      </c>
      <c r="R106" s="59"/>
      <c r="S106" s="83">
        <v>0.97</v>
      </c>
      <c r="U106" s="62"/>
      <c r="V106" s="62"/>
    </row>
    <row r="107" spans="1:22">
      <c r="A107" s="58">
        <v>50</v>
      </c>
      <c r="B107" s="58">
        <v>60</v>
      </c>
      <c r="C107" s="96">
        <v>1984737</v>
      </c>
      <c r="D107" s="96">
        <v>10886997775</v>
      </c>
      <c r="E107" s="59">
        <v>2.0340912857877312E-3</v>
      </c>
      <c r="F107" s="93">
        <v>54.853604155109721</v>
      </c>
      <c r="G107" s="100">
        <v>0.31</v>
      </c>
      <c r="H107" s="113" t="str">
        <f t="shared" si="1"/>
        <v>(50, 60]</v>
      </c>
      <c r="I107" s="62">
        <v>0.31754850000000001</v>
      </c>
      <c r="J107" s="59">
        <v>6.4592263666496538E-4</v>
      </c>
      <c r="K107" s="59">
        <v>6.3205166400761713E-4</v>
      </c>
      <c r="L107" s="117">
        <v>632051</v>
      </c>
      <c r="M107" s="59">
        <v>6.31766258524919E-4</v>
      </c>
      <c r="N107" s="59">
        <v>3.4654656263680618E-2</v>
      </c>
      <c r="O107" s="119">
        <v>0.28579365000000001</v>
      </c>
      <c r="P107" s="59">
        <v>6.31766258524919E-4</v>
      </c>
      <c r="Q107" s="59">
        <v>6.2280361502472517E-4</v>
      </c>
      <c r="R107" s="59"/>
      <c r="S107" s="83">
        <v>0.99</v>
      </c>
      <c r="U107" s="62"/>
      <c r="V107" s="62"/>
    </row>
    <row r="108" spans="1:22">
      <c r="A108" s="58">
        <v>60</v>
      </c>
      <c r="B108" s="58">
        <v>70</v>
      </c>
      <c r="C108" s="96">
        <v>1442179</v>
      </c>
      <c r="D108" s="96">
        <v>9367819020</v>
      </c>
      <c r="E108" s="59">
        <v>1.4780415422527341E-3</v>
      </c>
      <c r="F108" s="93">
        <v>64.956007680045275</v>
      </c>
      <c r="G108" s="90">
        <v>0.1</v>
      </c>
      <c r="H108" s="61" t="str">
        <f t="shared" si="1"/>
        <v>(60, 70]</v>
      </c>
      <c r="I108" s="62">
        <v>0.10243500000000001</v>
      </c>
      <c r="J108" s="59">
        <v>1.5140318538065884E-4</v>
      </c>
      <c r="K108" s="59">
        <v>1.4815185259645135E-4</v>
      </c>
      <c r="L108" s="117">
        <v>148151</v>
      </c>
      <c r="M108" s="59">
        <v>1.4808425738860515E-4</v>
      </c>
      <c r="N108" s="59">
        <v>9.6189621602280374E-3</v>
      </c>
      <c r="O108" s="119">
        <v>9.219150000000001E-2</v>
      </c>
      <c r="P108" s="59">
        <v>1.4808425738860515E-4</v>
      </c>
      <c r="Q108" s="59">
        <v>1.5079862341928023E-4</v>
      </c>
      <c r="R108" s="59"/>
      <c r="S108" s="83">
        <v>1.02</v>
      </c>
      <c r="U108" s="62"/>
      <c r="V108" s="62"/>
    </row>
    <row r="109" spans="1:22">
      <c r="A109" s="58">
        <v>70</v>
      </c>
      <c r="B109" s="58">
        <v>80</v>
      </c>
      <c r="C109" s="96">
        <v>1146452</v>
      </c>
      <c r="D109" s="96">
        <v>8593831030</v>
      </c>
      <c r="E109" s="59">
        <v>1.1749607241533342E-3</v>
      </c>
      <c r="F109" s="93">
        <v>74.960234096150558</v>
      </c>
      <c r="G109" s="90">
        <v>0.11</v>
      </c>
      <c r="H109" s="61" t="str">
        <f t="shared" si="1"/>
        <v>(70, 80]</v>
      </c>
      <c r="I109" s="62">
        <v>0.11267850000000001</v>
      </c>
      <c r="J109" s="59">
        <v>1.3239281195651147E-4</v>
      </c>
      <c r="K109" s="59">
        <v>1.2954972058544569E-4</v>
      </c>
      <c r="L109" s="117">
        <v>129549</v>
      </c>
      <c r="M109" s="59">
        <v>1.2949063766317076E-4</v>
      </c>
      <c r="N109" s="59">
        <v>9.7066485124910895E-3</v>
      </c>
      <c r="O109" s="119">
        <v>0.10141065000000002</v>
      </c>
      <c r="P109" s="59">
        <v>1.2949063766317076E-4</v>
      </c>
      <c r="Q109" s="59">
        <v>1.2982942429562834E-4</v>
      </c>
      <c r="R109" s="59"/>
      <c r="S109" s="83">
        <v>1</v>
      </c>
      <c r="U109" s="62"/>
      <c r="V109" s="62"/>
    </row>
    <row r="110" spans="1:22">
      <c r="A110" s="58">
        <v>80</v>
      </c>
      <c r="B110" s="58">
        <v>90</v>
      </c>
      <c r="C110" s="96">
        <v>909722</v>
      </c>
      <c r="D110" s="96">
        <v>7732700475</v>
      </c>
      <c r="E110" s="59">
        <v>9.3234397942366497E-4</v>
      </c>
      <c r="F110" s="93">
        <v>85.000697740628453</v>
      </c>
      <c r="G110" s="90">
        <v>0</v>
      </c>
      <c r="H110" s="61" t="str">
        <f t="shared" si="1"/>
        <v>(80, 90]</v>
      </c>
      <c r="I110" s="62">
        <v>0</v>
      </c>
      <c r="J110" s="59">
        <v>0</v>
      </c>
      <c r="K110" s="59">
        <v>0</v>
      </c>
      <c r="L110" s="117">
        <v>0</v>
      </c>
      <c r="M110" s="59">
        <v>0</v>
      </c>
      <c r="N110" s="59">
        <v>0</v>
      </c>
      <c r="O110" s="119">
        <v>0</v>
      </c>
      <c r="P110" s="59">
        <v>0</v>
      </c>
      <c r="Q110" s="59">
        <v>1.1201240542940448E-4</v>
      </c>
      <c r="R110" s="59"/>
      <c r="S110" s="83">
        <v>0</v>
      </c>
      <c r="U110" s="62"/>
      <c r="V110" s="62"/>
    </row>
    <row r="111" spans="1:22">
      <c r="A111" s="58">
        <v>90</v>
      </c>
      <c r="B111" s="58">
        <v>100</v>
      </c>
      <c r="C111" s="96">
        <v>736322</v>
      </c>
      <c r="D111" s="96">
        <v>6998814690</v>
      </c>
      <c r="E111" s="59">
        <v>7.5463205640535443E-4</v>
      </c>
      <c r="F111" s="93">
        <v>95.051006081578436</v>
      </c>
      <c r="G111" s="90">
        <v>0</v>
      </c>
      <c r="H111" s="61" t="str">
        <f t="shared" si="1"/>
        <v>(90, 100]</v>
      </c>
      <c r="I111" s="62">
        <v>0</v>
      </c>
      <c r="J111" s="59">
        <v>0</v>
      </c>
      <c r="K111" s="59">
        <v>0</v>
      </c>
      <c r="L111" s="117">
        <v>0</v>
      </c>
      <c r="M111" s="59">
        <v>0</v>
      </c>
      <c r="N111" s="59">
        <v>0</v>
      </c>
      <c r="O111" s="119">
        <v>0</v>
      </c>
      <c r="P111" s="59">
        <v>0</v>
      </c>
      <c r="Q111" s="59">
        <v>1.0128479197082886E-4</v>
      </c>
      <c r="R111" s="59"/>
      <c r="S111" s="83">
        <v>0</v>
      </c>
      <c r="U111" s="62"/>
      <c r="V111" s="62"/>
    </row>
    <row r="112" spans="1:22">
      <c r="A112" s="58">
        <v>100</v>
      </c>
      <c r="B112" s="58">
        <v>120</v>
      </c>
      <c r="C112" s="96">
        <v>1138345</v>
      </c>
      <c r="D112" s="96">
        <v>12467471685</v>
      </c>
      <c r="E112" s="59">
        <v>1.1666521280754251E-3</v>
      </c>
      <c r="F112" s="93">
        <v>109.52278689676679</v>
      </c>
      <c r="G112" s="90">
        <v>9.7098000000000004E-2</v>
      </c>
      <c r="H112" s="61" t="str">
        <f t="shared" si="1"/>
        <v>(100, 120]</v>
      </c>
      <c r="I112" s="62">
        <v>9.9462336300000009E-2</v>
      </c>
      <c r="J112" s="59">
        <v>1.1603794630774861E-4</v>
      </c>
      <c r="K112" s="59">
        <v>1.1354607020822048E-4</v>
      </c>
      <c r="L112" s="117">
        <v>113546</v>
      </c>
      <c r="M112" s="59">
        <v>1.1349484707795804E-4</v>
      </c>
      <c r="N112" s="59">
        <v>1.2430271950400333E-2</v>
      </c>
      <c r="O112" s="119">
        <v>8.9516102670000014E-2</v>
      </c>
      <c r="P112" s="59">
        <v>1.1349484707795804E-4</v>
      </c>
      <c r="Q112" s="59">
        <v>0</v>
      </c>
      <c r="R112" s="59"/>
      <c r="S112" s="83">
        <v>0</v>
      </c>
      <c r="U112" s="62"/>
      <c r="V112" s="62"/>
    </row>
    <row r="113" spans="1:22">
      <c r="A113" s="58">
        <v>120</v>
      </c>
      <c r="B113" s="58">
        <v>140</v>
      </c>
      <c r="C113" s="96">
        <v>790354</v>
      </c>
      <c r="D113" s="96">
        <v>10247295065</v>
      </c>
      <c r="E113" s="59">
        <v>8.1000766554333221E-4</v>
      </c>
      <c r="F113" s="93">
        <v>129.65449741508235</v>
      </c>
      <c r="G113" s="90">
        <v>0</v>
      </c>
      <c r="H113" s="61" t="str">
        <f t="shared" si="1"/>
        <v>(120, 140]</v>
      </c>
      <c r="I113" s="62">
        <v>0</v>
      </c>
      <c r="J113" s="59">
        <v>0</v>
      </c>
      <c r="K113" s="59">
        <v>0</v>
      </c>
      <c r="L113" s="117">
        <v>0</v>
      </c>
      <c r="M113" s="59">
        <v>0</v>
      </c>
      <c r="N113" s="59">
        <v>0</v>
      </c>
      <c r="O113" s="119">
        <v>0</v>
      </c>
      <c r="P113" s="59">
        <v>0</v>
      </c>
      <c r="Q113" s="59">
        <v>0</v>
      </c>
      <c r="R113" s="59"/>
      <c r="S113" s="83">
        <v>0</v>
      </c>
      <c r="U113" s="62"/>
      <c r="V113" s="62"/>
    </row>
    <row r="114" spans="1:22">
      <c r="A114" s="58">
        <v>140</v>
      </c>
      <c r="B114" s="58">
        <v>160</v>
      </c>
      <c r="C114" s="96">
        <v>590218</v>
      </c>
      <c r="D114" s="96">
        <v>8838374825</v>
      </c>
      <c r="E114" s="59">
        <v>6.0489490069216389E-4</v>
      </c>
      <c r="F114" s="93">
        <v>149.74763265437517</v>
      </c>
      <c r="G114" s="90">
        <v>0</v>
      </c>
      <c r="H114" s="61" t="str">
        <f t="shared" si="1"/>
        <v>(140, 160]</v>
      </c>
      <c r="I114" s="62">
        <v>0</v>
      </c>
      <c r="J114" s="59">
        <v>0</v>
      </c>
      <c r="K114" s="59">
        <v>0</v>
      </c>
      <c r="L114" s="117">
        <v>0</v>
      </c>
      <c r="M114" s="59">
        <v>0</v>
      </c>
      <c r="N114" s="59">
        <v>0</v>
      </c>
      <c r="O114" s="119">
        <v>0</v>
      </c>
      <c r="P114" s="59">
        <v>0</v>
      </c>
      <c r="Q114" s="59">
        <v>0</v>
      </c>
      <c r="R114" s="59"/>
      <c r="S114" s="83">
        <v>0</v>
      </c>
      <c r="U114" s="62"/>
      <c r="V114" s="62"/>
    </row>
    <row r="115" spans="1:22">
      <c r="A115" s="58">
        <v>160</v>
      </c>
      <c r="B115" s="58">
        <v>180</v>
      </c>
      <c r="C115" s="96">
        <v>441256</v>
      </c>
      <c r="D115" s="96">
        <v>7492437635</v>
      </c>
      <c r="E115" s="59">
        <v>4.5222867533660689E-4</v>
      </c>
      <c r="F115" s="93">
        <v>169.79797747792665</v>
      </c>
      <c r="G115" s="90">
        <v>0</v>
      </c>
      <c r="H115" s="61" t="str">
        <f t="shared" si="1"/>
        <v>(160, 180]</v>
      </c>
      <c r="I115" s="62">
        <v>0</v>
      </c>
      <c r="J115" s="59">
        <v>0</v>
      </c>
      <c r="K115" s="59">
        <v>0</v>
      </c>
      <c r="L115" s="117">
        <v>0</v>
      </c>
      <c r="M115" s="59">
        <v>0</v>
      </c>
      <c r="N115" s="59">
        <v>0</v>
      </c>
      <c r="O115" s="119">
        <v>0</v>
      </c>
      <c r="P115" s="59">
        <v>0</v>
      </c>
      <c r="Q115" s="59">
        <v>0</v>
      </c>
      <c r="R115" s="59"/>
      <c r="S115" s="83">
        <v>0</v>
      </c>
      <c r="U115" s="62"/>
      <c r="V115" s="62"/>
    </row>
    <row r="116" spans="1:22">
      <c r="A116" s="58">
        <v>180</v>
      </c>
      <c r="B116" s="58">
        <v>200</v>
      </c>
      <c r="C116" s="96">
        <v>336666</v>
      </c>
      <c r="D116" s="96">
        <v>6392187510</v>
      </c>
      <c r="E116" s="59">
        <v>3.45037844722506E-4</v>
      </c>
      <c r="F116" s="93">
        <v>189.86733171748855</v>
      </c>
      <c r="G116" s="90">
        <v>0</v>
      </c>
      <c r="H116" s="61" t="str">
        <f t="shared" si="1"/>
        <v>(180, 200]</v>
      </c>
      <c r="I116" s="62">
        <v>0</v>
      </c>
      <c r="J116" s="59">
        <v>0</v>
      </c>
      <c r="K116" s="59">
        <v>0</v>
      </c>
      <c r="L116" s="117">
        <v>0</v>
      </c>
      <c r="M116" s="59">
        <v>0</v>
      </c>
      <c r="N116" s="59">
        <v>0</v>
      </c>
      <c r="O116" s="119">
        <v>0</v>
      </c>
      <c r="P116" s="59">
        <v>0</v>
      </c>
      <c r="Q116" s="59">
        <v>0</v>
      </c>
      <c r="R116" s="59"/>
      <c r="S116" s="83">
        <v>0</v>
      </c>
      <c r="U116" s="62"/>
      <c r="V116" s="62"/>
    </row>
    <row r="117" spans="1:22">
      <c r="A117" s="58">
        <v>200</v>
      </c>
      <c r="B117" s="58">
        <v>250</v>
      </c>
      <c r="C117" s="96">
        <v>577096</v>
      </c>
      <c r="D117" s="96">
        <v>12867933005</v>
      </c>
      <c r="E117" s="59">
        <v>5.9144659703676435E-4</v>
      </c>
      <c r="F117" s="93">
        <v>222.97733834578648</v>
      </c>
      <c r="G117" s="90">
        <v>0</v>
      </c>
      <c r="H117" s="61" t="str">
        <f t="shared" si="1"/>
        <v>(200, 250]</v>
      </c>
      <c r="I117" s="62">
        <v>0</v>
      </c>
      <c r="J117" s="59">
        <v>0</v>
      </c>
      <c r="K117" s="59">
        <v>0</v>
      </c>
      <c r="L117" s="117">
        <v>0</v>
      </c>
      <c r="M117" s="59">
        <v>0</v>
      </c>
      <c r="N117" s="59">
        <v>0</v>
      </c>
      <c r="O117" s="119">
        <v>0</v>
      </c>
      <c r="P117" s="59">
        <v>0</v>
      </c>
      <c r="Q117" s="59">
        <v>0</v>
      </c>
      <c r="R117" s="59"/>
      <c r="S117" s="83">
        <v>0</v>
      </c>
      <c r="U117" s="62"/>
      <c r="V117" s="62"/>
    </row>
    <row r="118" spans="1:22">
      <c r="A118" s="58">
        <v>250</v>
      </c>
      <c r="B118" s="58">
        <v>300</v>
      </c>
      <c r="C118" s="96">
        <v>346021</v>
      </c>
      <c r="D118" s="96">
        <v>9454582645</v>
      </c>
      <c r="E118" s="59">
        <v>3.5462547471002787E-4</v>
      </c>
      <c r="F118" s="93">
        <v>273.23724990679756</v>
      </c>
      <c r="G118" s="90">
        <v>0</v>
      </c>
      <c r="H118" s="61" t="str">
        <f t="shared" si="1"/>
        <v>(250, 300]</v>
      </c>
      <c r="I118" s="62">
        <v>0</v>
      </c>
      <c r="J118" s="59">
        <v>0</v>
      </c>
      <c r="K118" s="59">
        <v>0</v>
      </c>
      <c r="L118" s="117">
        <v>0</v>
      </c>
      <c r="M118" s="59">
        <v>0</v>
      </c>
      <c r="N118" s="59">
        <v>0</v>
      </c>
      <c r="O118" s="119">
        <v>0</v>
      </c>
      <c r="P118" s="59">
        <v>0</v>
      </c>
      <c r="Q118" s="59">
        <v>0</v>
      </c>
      <c r="R118" s="59"/>
      <c r="S118" s="83">
        <v>0</v>
      </c>
      <c r="U118" s="62"/>
      <c r="V118" s="62"/>
    </row>
    <row r="119" spans="1:22">
      <c r="A119" s="58">
        <v>300</v>
      </c>
      <c r="B119" s="58">
        <v>350</v>
      </c>
      <c r="C119" s="96">
        <v>220469</v>
      </c>
      <c r="D119" s="96">
        <v>7132095005</v>
      </c>
      <c r="E119" s="59">
        <v>2.2595138382885759E-4</v>
      </c>
      <c r="F119" s="93">
        <v>323.49650086860288</v>
      </c>
      <c r="G119" s="90">
        <v>0</v>
      </c>
      <c r="H119" s="61" t="str">
        <f t="shared" si="1"/>
        <v>(300, 350]</v>
      </c>
      <c r="I119" s="62">
        <v>0</v>
      </c>
      <c r="J119" s="59">
        <v>0</v>
      </c>
      <c r="K119" s="59">
        <v>0</v>
      </c>
      <c r="L119" s="117">
        <v>0</v>
      </c>
      <c r="M119" s="59">
        <v>0</v>
      </c>
      <c r="N119" s="59">
        <v>0</v>
      </c>
      <c r="O119" s="119">
        <v>0</v>
      </c>
      <c r="P119" s="59">
        <v>0</v>
      </c>
      <c r="Q119" s="59">
        <v>0</v>
      </c>
      <c r="R119" s="59"/>
      <c r="S119" s="83">
        <v>0</v>
      </c>
      <c r="U119" s="62"/>
      <c r="V119" s="62"/>
    </row>
    <row r="120" spans="1:22">
      <c r="A120" s="58">
        <v>350</v>
      </c>
      <c r="B120" s="58">
        <v>400</v>
      </c>
      <c r="C120" s="96">
        <v>148224</v>
      </c>
      <c r="D120" s="96">
        <v>5540811640</v>
      </c>
      <c r="E120" s="59">
        <v>1.5190987357246863E-4</v>
      </c>
      <c r="F120" s="93">
        <v>373.81339324265974</v>
      </c>
      <c r="G120" s="90">
        <v>0</v>
      </c>
      <c r="H120" s="61" t="str">
        <f t="shared" si="1"/>
        <v>(350, 400]</v>
      </c>
      <c r="I120" s="62">
        <v>0</v>
      </c>
      <c r="J120" s="59">
        <v>0</v>
      </c>
      <c r="K120" s="59">
        <v>0</v>
      </c>
      <c r="L120" s="117">
        <v>0</v>
      </c>
      <c r="M120" s="59">
        <v>0</v>
      </c>
      <c r="N120" s="59">
        <v>0</v>
      </c>
      <c r="O120" s="119">
        <v>0</v>
      </c>
      <c r="P120" s="59">
        <v>0</v>
      </c>
      <c r="Q120" s="59">
        <v>0</v>
      </c>
      <c r="R120" s="59"/>
      <c r="S120" s="83">
        <v>0</v>
      </c>
      <c r="U120" s="62"/>
      <c r="V120" s="62"/>
    </row>
    <row r="121" spans="1:22">
      <c r="A121" s="58">
        <v>400</v>
      </c>
      <c r="B121" s="58">
        <v>450</v>
      </c>
      <c r="C121" s="96">
        <v>106546</v>
      </c>
      <c r="D121" s="96">
        <v>4515201870</v>
      </c>
      <c r="E121" s="59">
        <v>1.0919547029935937E-4</v>
      </c>
      <c r="F121" s="93">
        <v>423.77957595780231</v>
      </c>
      <c r="G121" s="90">
        <v>0</v>
      </c>
      <c r="H121" s="61" t="str">
        <f t="shared" si="1"/>
        <v>(400, 450]</v>
      </c>
      <c r="I121" s="62">
        <v>0</v>
      </c>
      <c r="J121" s="59">
        <v>0</v>
      </c>
      <c r="K121" s="59">
        <v>0</v>
      </c>
      <c r="L121" s="117">
        <v>0</v>
      </c>
      <c r="M121" s="59">
        <v>0</v>
      </c>
      <c r="N121" s="59">
        <v>0</v>
      </c>
      <c r="O121" s="119">
        <v>0</v>
      </c>
      <c r="P121" s="59">
        <v>0</v>
      </c>
      <c r="Q121" s="59">
        <v>0</v>
      </c>
      <c r="R121" s="59"/>
      <c r="S121" s="83">
        <v>0</v>
      </c>
      <c r="U121" s="62"/>
      <c r="V121" s="62"/>
    </row>
    <row r="122" spans="1:22">
      <c r="A122" s="58">
        <v>450</v>
      </c>
      <c r="B122" s="58">
        <v>500</v>
      </c>
      <c r="C122" s="96">
        <v>77127</v>
      </c>
      <c r="D122" s="96">
        <v>3665868760</v>
      </c>
      <c r="E122" s="59">
        <v>7.9044910534217059E-5</v>
      </c>
      <c r="F122" s="93">
        <v>475.30291078351291</v>
      </c>
      <c r="G122" s="90">
        <v>0</v>
      </c>
      <c r="H122" s="61" t="str">
        <f t="shared" si="1"/>
        <v>(450, 500]</v>
      </c>
      <c r="I122" s="62">
        <v>0</v>
      </c>
      <c r="J122" s="59">
        <v>0</v>
      </c>
      <c r="K122" s="59">
        <v>0</v>
      </c>
      <c r="L122" s="117">
        <v>0</v>
      </c>
      <c r="M122" s="59">
        <v>0</v>
      </c>
      <c r="N122" s="59">
        <v>0</v>
      </c>
      <c r="O122" s="119">
        <v>0</v>
      </c>
      <c r="P122" s="59">
        <v>0</v>
      </c>
      <c r="Q122" s="59">
        <v>0</v>
      </c>
      <c r="R122" s="59"/>
      <c r="S122" s="83">
        <v>0</v>
      </c>
      <c r="U122" s="62"/>
      <c r="V122" s="62"/>
    </row>
    <row r="123" spans="1:22">
      <c r="A123" s="58">
        <v>500</v>
      </c>
      <c r="B123" s="58">
        <v>550</v>
      </c>
      <c r="C123" s="96">
        <v>58203</v>
      </c>
      <c r="D123" s="96">
        <v>3051449395</v>
      </c>
      <c r="E123" s="59">
        <v>5.9650329039415966E-5</v>
      </c>
      <c r="F123" s="93">
        <v>524.2769951720702</v>
      </c>
      <c r="G123" s="90">
        <v>0</v>
      </c>
      <c r="H123" s="61" t="str">
        <f t="shared" si="1"/>
        <v>(500, 550]</v>
      </c>
      <c r="I123" s="62">
        <v>0</v>
      </c>
      <c r="J123" s="59">
        <v>0</v>
      </c>
      <c r="K123" s="59">
        <v>0</v>
      </c>
      <c r="L123" s="117">
        <v>0</v>
      </c>
      <c r="M123" s="59">
        <v>0</v>
      </c>
      <c r="N123" s="59">
        <v>0</v>
      </c>
      <c r="O123" s="119">
        <v>0</v>
      </c>
      <c r="P123" s="59">
        <v>0</v>
      </c>
      <c r="Q123" s="59">
        <v>0</v>
      </c>
      <c r="R123" s="59"/>
      <c r="S123" s="83">
        <v>0</v>
      </c>
      <c r="U123" s="62"/>
      <c r="V123" s="62"/>
    </row>
    <row r="124" spans="1:22">
      <c r="A124" s="58">
        <v>550</v>
      </c>
      <c r="B124" s="58">
        <v>600</v>
      </c>
      <c r="C124" s="96">
        <v>43808</v>
      </c>
      <c r="D124" s="96">
        <v>2519417680</v>
      </c>
      <c r="E124" s="59">
        <v>4.4897369801534881E-5</v>
      </c>
      <c r="F124" s="93">
        <v>575.10447406866331</v>
      </c>
      <c r="G124" s="90">
        <v>0</v>
      </c>
      <c r="H124" s="61" t="str">
        <f t="shared" si="1"/>
        <v>(550, 600]</v>
      </c>
      <c r="I124" s="62">
        <v>0</v>
      </c>
      <c r="J124" s="59">
        <v>0</v>
      </c>
      <c r="K124" s="59">
        <v>0</v>
      </c>
      <c r="L124" s="117">
        <v>0</v>
      </c>
      <c r="M124" s="59">
        <v>0</v>
      </c>
      <c r="N124" s="59">
        <v>0</v>
      </c>
      <c r="O124" s="119">
        <v>0</v>
      </c>
      <c r="P124" s="59">
        <v>0</v>
      </c>
      <c r="Q124" s="59">
        <v>0</v>
      </c>
      <c r="R124" s="59"/>
      <c r="S124" s="83">
        <v>0</v>
      </c>
      <c r="U124" s="62"/>
      <c r="V124" s="62"/>
    </row>
    <row r="125" spans="1:22">
      <c r="A125" s="58">
        <v>600</v>
      </c>
      <c r="B125" s="58">
        <v>650</v>
      </c>
      <c r="C125" s="96">
        <v>34028</v>
      </c>
      <c r="D125" s="96">
        <v>2124946830</v>
      </c>
      <c r="E125" s="59">
        <v>3.4874171375242622E-5</v>
      </c>
      <c r="F125" s="93">
        <v>624.47009227694844</v>
      </c>
      <c r="G125" s="90">
        <v>0</v>
      </c>
      <c r="H125" s="61" t="str">
        <f t="shared" si="1"/>
        <v>(600, 650]</v>
      </c>
      <c r="I125" s="62">
        <v>0</v>
      </c>
      <c r="J125" s="59">
        <v>0</v>
      </c>
      <c r="K125" s="59">
        <v>0</v>
      </c>
      <c r="L125" s="117">
        <v>0</v>
      </c>
      <c r="M125" s="59">
        <v>0</v>
      </c>
      <c r="N125" s="59">
        <v>0</v>
      </c>
      <c r="O125" s="119">
        <v>0</v>
      </c>
      <c r="P125" s="59">
        <v>0</v>
      </c>
      <c r="Q125" s="59">
        <v>0</v>
      </c>
      <c r="R125" s="59"/>
      <c r="S125" s="83">
        <v>0</v>
      </c>
      <c r="U125" s="62"/>
      <c r="V125" s="62"/>
    </row>
    <row r="126" spans="1:22">
      <c r="A126" s="58">
        <v>650</v>
      </c>
      <c r="B126" s="58">
        <v>700</v>
      </c>
      <c r="C126" s="96">
        <v>27166</v>
      </c>
      <c r="D126" s="96">
        <v>1834817980</v>
      </c>
      <c r="E126" s="59">
        <v>2.7841534606201986E-5</v>
      </c>
      <c r="F126" s="93">
        <v>675.40969594345881</v>
      </c>
      <c r="G126" s="90">
        <v>0</v>
      </c>
      <c r="H126" s="61" t="str">
        <f t="shared" si="1"/>
        <v>(650, 700]</v>
      </c>
      <c r="I126" s="62">
        <v>0</v>
      </c>
      <c r="J126" s="59">
        <v>0</v>
      </c>
      <c r="K126" s="59">
        <v>0</v>
      </c>
      <c r="L126" s="117">
        <v>0</v>
      </c>
      <c r="M126" s="59">
        <v>0</v>
      </c>
      <c r="N126" s="59">
        <v>0</v>
      </c>
      <c r="O126" s="119">
        <v>0</v>
      </c>
      <c r="P126" s="59">
        <v>0</v>
      </c>
      <c r="Q126" s="59">
        <v>0</v>
      </c>
      <c r="R126" s="59"/>
      <c r="S126" s="83">
        <v>0</v>
      </c>
      <c r="U126" s="62"/>
      <c r="V126" s="62"/>
    </row>
    <row r="127" spans="1:22">
      <c r="A127" s="58">
        <v>700</v>
      </c>
      <c r="B127" s="58">
        <v>750</v>
      </c>
      <c r="C127" s="96">
        <v>23007</v>
      </c>
      <c r="D127" s="96">
        <v>1670693630</v>
      </c>
      <c r="E127" s="59">
        <v>2.3579113107740892E-5</v>
      </c>
      <c r="F127" s="93">
        <v>726.16752727430776</v>
      </c>
      <c r="G127" s="90">
        <v>0</v>
      </c>
      <c r="H127" s="61" t="str">
        <f t="shared" si="1"/>
        <v>(700, 750]</v>
      </c>
      <c r="I127" s="62">
        <v>0</v>
      </c>
      <c r="J127" s="59">
        <v>0</v>
      </c>
      <c r="K127" s="59">
        <v>0</v>
      </c>
      <c r="L127" s="117">
        <v>0</v>
      </c>
      <c r="M127" s="59">
        <v>0</v>
      </c>
      <c r="N127" s="59">
        <v>0</v>
      </c>
      <c r="O127" s="119">
        <v>0</v>
      </c>
      <c r="P127" s="59">
        <v>0</v>
      </c>
      <c r="Q127" s="59">
        <v>0</v>
      </c>
      <c r="R127" s="59"/>
      <c r="S127" s="83">
        <v>0</v>
      </c>
      <c r="U127" s="62"/>
      <c r="V127" s="62"/>
    </row>
    <row r="128" spans="1:22">
      <c r="A128" s="58">
        <v>750</v>
      </c>
      <c r="B128" s="58">
        <v>800</v>
      </c>
      <c r="C128" s="96">
        <v>18502</v>
      </c>
      <c r="D128" s="96">
        <v>1435582715</v>
      </c>
      <c r="E128" s="59">
        <v>1.8962087656774982E-5</v>
      </c>
      <c r="F128" s="93">
        <v>775.90677494324927</v>
      </c>
      <c r="G128" s="90">
        <v>0</v>
      </c>
      <c r="H128" s="61" t="str">
        <f t="shared" si="1"/>
        <v>(750, 800]</v>
      </c>
      <c r="I128" s="62">
        <v>0</v>
      </c>
      <c r="J128" s="59">
        <v>0</v>
      </c>
      <c r="K128" s="59">
        <v>0</v>
      </c>
      <c r="L128" s="117">
        <v>0</v>
      </c>
      <c r="M128" s="59">
        <v>0</v>
      </c>
      <c r="N128" s="59">
        <v>0</v>
      </c>
      <c r="O128" s="119">
        <v>0</v>
      </c>
      <c r="P128" s="59">
        <v>0</v>
      </c>
      <c r="Q128" s="59">
        <v>0</v>
      </c>
      <c r="R128" s="59"/>
      <c r="S128" s="83">
        <v>0</v>
      </c>
      <c r="U128" s="62"/>
      <c r="V128" s="62"/>
    </row>
    <row r="129" spans="1:22">
      <c r="A129" s="58">
        <v>800</v>
      </c>
      <c r="B129" s="58">
        <v>850</v>
      </c>
      <c r="C129" s="96">
        <v>15811</v>
      </c>
      <c r="D129" s="96">
        <v>1305120775</v>
      </c>
      <c r="E129" s="59">
        <v>1.620417078917248E-5</v>
      </c>
      <c r="F129" s="93">
        <v>825.45112579849479</v>
      </c>
      <c r="G129" s="90">
        <v>0</v>
      </c>
      <c r="H129" s="61" t="str">
        <f t="shared" si="1"/>
        <v>(800, 850]</v>
      </c>
      <c r="I129" s="62">
        <v>0</v>
      </c>
      <c r="J129" s="59">
        <v>0</v>
      </c>
      <c r="K129" s="59">
        <v>0</v>
      </c>
      <c r="L129" s="117">
        <v>0</v>
      </c>
      <c r="M129" s="59">
        <v>0</v>
      </c>
      <c r="N129" s="59">
        <v>0</v>
      </c>
      <c r="O129" s="119">
        <v>0</v>
      </c>
      <c r="P129" s="59">
        <v>0</v>
      </c>
      <c r="Q129" s="59">
        <v>0</v>
      </c>
      <c r="R129" s="59"/>
      <c r="S129" s="83">
        <v>0</v>
      </c>
      <c r="U129" s="62"/>
      <c r="V129" s="62"/>
    </row>
    <row r="130" spans="1:22">
      <c r="A130" s="58">
        <v>850</v>
      </c>
      <c r="B130" s="58">
        <v>900</v>
      </c>
      <c r="C130" s="96">
        <v>12580</v>
      </c>
      <c r="D130" s="96">
        <v>1101266735</v>
      </c>
      <c r="E130" s="59">
        <v>1.2892825787602922E-5</v>
      </c>
      <c r="F130" s="93">
        <v>875.41075914149451</v>
      </c>
      <c r="G130" s="90">
        <v>0</v>
      </c>
      <c r="H130" s="61" t="str">
        <f t="shared" si="1"/>
        <v>(850, 900]</v>
      </c>
      <c r="I130" s="62">
        <v>0</v>
      </c>
      <c r="J130" s="59">
        <v>0</v>
      </c>
      <c r="K130" s="59">
        <v>0</v>
      </c>
      <c r="L130" s="84">
        <v>0</v>
      </c>
      <c r="M130" s="59">
        <v>0</v>
      </c>
      <c r="N130" s="59">
        <v>0</v>
      </c>
      <c r="O130" s="119">
        <v>0</v>
      </c>
      <c r="P130" s="59">
        <v>0</v>
      </c>
      <c r="Q130" s="59">
        <v>0</v>
      </c>
      <c r="R130" s="59"/>
      <c r="S130" s="83">
        <v>0</v>
      </c>
      <c r="U130" s="62"/>
      <c r="V130" s="62"/>
    </row>
    <row r="131" spans="1:22">
      <c r="A131" s="58">
        <v>900</v>
      </c>
      <c r="B131" s="58">
        <v>950</v>
      </c>
      <c r="C131" s="96">
        <v>10820</v>
      </c>
      <c r="D131" s="96">
        <v>1001122890</v>
      </c>
      <c r="E131" s="59">
        <v>1.1089060017636218E-5</v>
      </c>
      <c r="F131" s="93">
        <v>925.25220887245848</v>
      </c>
      <c r="G131" s="90">
        <v>0</v>
      </c>
      <c r="H131" s="61" t="str">
        <f t="shared" si="1"/>
        <v>(900, 950]</v>
      </c>
      <c r="I131" s="62">
        <v>0</v>
      </c>
      <c r="J131" s="59">
        <v>0</v>
      </c>
      <c r="K131" s="59">
        <v>0</v>
      </c>
      <c r="L131" s="84">
        <v>0</v>
      </c>
      <c r="M131" s="59">
        <v>0</v>
      </c>
      <c r="N131" s="59">
        <v>0</v>
      </c>
      <c r="O131" s="119">
        <v>0</v>
      </c>
      <c r="P131" s="59">
        <v>0</v>
      </c>
      <c r="Q131" s="59">
        <v>0</v>
      </c>
      <c r="R131" s="59"/>
      <c r="S131" s="83">
        <v>0</v>
      </c>
      <c r="U131" s="62"/>
      <c r="V131" s="62"/>
    </row>
    <row r="132" spans="1:22">
      <c r="A132" s="58">
        <v>950</v>
      </c>
      <c r="B132" s="58">
        <v>1000</v>
      </c>
      <c r="C132" s="96">
        <v>10909</v>
      </c>
      <c r="D132" s="96">
        <v>1069113825</v>
      </c>
      <c r="E132" s="59">
        <v>1.1180273173049307E-5</v>
      </c>
      <c r="F132" s="93">
        <v>980.02917315977641</v>
      </c>
      <c r="G132" s="90">
        <v>0</v>
      </c>
      <c r="H132" s="61" t="str">
        <f t="shared" si="1"/>
        <v>(950, 1000]</v>
      </c>
      <c r="I132" s="62">
        <v>0</v>
      </c>
      <c r="J132" s="59">
        <v>0</v>
      </c>
      <c r="K132" s="59">
        <v>0</v>
      </c>
      <c r="L132" s="84">
        <v>0</v>
      </c>
      <c r="M132" s="59">
        <v>0</v>
      </c>
      <c r="N132" s="59">
        <v>0</v>
      </c>
      <c r="O132" s="119">
        <v>0</v>
      </c>
      <c r="P132" s="59">
        <v>0</v>
      </c>
      <c r="Q132" s="59">
        <v>0</v>
      </c>
      <c r="R132" s="59"/>
      <c r="S132" s="83">
        <v>0</v>
      </c>
      <c r="U132" s="62"/>
      <c r="V132" s="62"/>
    </row>
    <row r="133" spans="1:22">
      <c r="A133" s="58">
        <v>1000</v>
      </c>
      <c r="B133" s="58">
        <v>2000</v>
      </c>
      <c r="C133" s="96">
        <v>79135</v>
      </c>
      <c r="D133" s="96">
        <v>10809864395</v>
      </c>
      <c r="E133" s="59">
        <v>8.1102843299042708E-5</v>
      </c>
      <c r="F133" s="93">
        <v>1366.0029563404307</v>
      </c>
      <c r="G133" s="90">
        <v>0</v>
      </c>
      <c r="H133" s="61" t="str">
        <f t="shared" si="1"/>
        <v>(1000, 2000]</v>
      </c>
      <c r="I133" s="62">
        <v>0</v>
      </c>
      <c r="J133" s="59">
        <v>0</v>
      </c>
      <c r="K133" s="59">
        <v>0</v>
      </c>
      <c r="L133" s="84">
        <v>0</v>
      </c>
      <c r="M133" s="59">
        <v>0</v>
      </c>
      <c r="N133" s="59">
        <v>0</v>
      </c>
      <c r="O133" s="119">
        <v>0</v>
      </c>
      <c r="P133" s="59">
        <v>0</v>
      </c>
      <c r="Q133" s="59">
        <v>0</v>
      </c>
      <c r="R133" s="59"/>
      <c r="S133" s="83">
        <v>0</v>
      </c>
      <c r="U133" s="62"/>
      <c r="V133" s="62"/>
    </row>
    <row r="134" spans="1:22">
      <c r="A134" s="58">
        <v>2000</v>
      </c>
      <c r="B134" s="58">
        <v>3000</v>
      </c>
      <c r="C134" s="96">
        <v>21472</v>
      </c>
      <c r="D134" s="96">
        <v>5229378930</v>
      </c>
      <c r="E134" s="59">
        <v>2.2005942393593795E-5</v>
      </c>
      <c r="F134" s="93">
        <v>2435.4410068926973</v>
      </c>
      <c r="G134" s="90">
        <v>0</v>
      </c>
      <c r="H134" s="61" t="str">
        <f t="shared" si="1"/>
        <v>(2000, 3000]</v>
      </c>
      <c r="I134" s="62">
        <v>0</v>
      </c>
      <c r="J134" s="59">
        <v>0</v>
      </c>
      <c r="K134" s="59">
        <v>0</v>
      </c>
      <c r="L134" s="84">
        <v>0</v>
      </c>
      <c r="M134" s="59">
        <v>0</v>
      </c>
      <c r="N134" s="59">
        <v>0</v>
      </c>
      <c r="O134" s="119">
        <v>0</v>
      </c>
      <c r="P134" s="59">
        <v>0</v>
      </c>
      <c r="Q134" s="59">
        <v>0</v>
      </c>
      <c r="R134" s="59"/>
      <c r="S134" s="83">
        <v>0</v>
      </c>
      <c r="U134" s="62"/>
      <c r="V134" s="62"/>
    </row>
    <row r="135" spans="1:22">
      <c r="A135" s="58">
        <v>3000</v>
      </c>
      <c r="B135" s="58">
        <v>4000</v>
      </c>
      <c r="C135" s="96">
        <v>9781</v>
      </c>
      <c r="D135" s="96">
        <v>3377392165</v>
      </c>
      <c r="E135" s="59">
        <v>1.002422329320701E-5</v>
      </c>
      <c r="F135" s="93">
        <v>3453.0131530518352</v>
      </c>
      <c r="G135" s="90">
        <v>0</v>
      </c>
      <c r="H135" s="61" t="str">
        <f t="shared" si="1"/>
        <v>(3000, 4000]</v>
      </c>
      <c r="I135" s="62">
        <v>0</v>
      </c>
      <c r="J135" s="59">
        <v>0</v>
      </c>
      <c r="K135" s="59">
        <v>0</v>
      </c>
      <c r="L135" s="84">
        <v>0</v>
      </c>
      <c r="M135" s="59">
        <v>0</v>
      </c>
      <c r="N135" s="59">
        <v>0</v>
      </c>
      <c r="O135" s="119">
        <v>0</v>
      </c>
      <c r="P135" s="59">
        <v>0</v>
      </c>
      <c r="Q135" s="59">
        <v>0</v>
      </c>
      <c r="R135" s="59"/>
      <c r="S135" s="83">
        <v>0</v>
      </c>
      <c r="U135" s="62"/>
      <c r="V135" s="62"/>
    </row>
    <row r="136" spans="1:22">
      <c r="A136" s="58">
        <v>4000</v>
      </c>
      <c r="B136" s="58">
        <v>5000</v>
      </c>
      <c r="C136" s="96">
        <v>5096</v>
      </c>
      <c r="D136" s="96">
        <v>2274041220</v>
      </c>
      <c r="E136" s="59">
        <v>5.2227217975854126E-6</v>
      </c>
      <c r="F136" s="93">
        <v>4462.4042778649919</v>
      </c>
      <c r="G136" s="90">
        <v>0</v>
      </c>
      <c r="H136" s="61" t="str">
        <f t="shared" si="1"/>
        <v>(4000, 5000]</v>
      </c>
      <c r="I136" s="62">
        <v>0</v>
      </c>
      <c r="J136" s="59">
        <v>0</v>
      </c>
      <c r="K136" s="59">
        <v>0</v>
      </c>
      <c r="L136" s="84">
        <v>0</v>
      </c>
      <c r="M136" s="59">
        <v>0</v>
      </c>
      <c r="N136" s="59">
        <v>0</v>
      </c>
      <c r="O136" s="119">
        <v>0</v>
      </c>
      <c r="P136" s="59">
        <v>0</v>
      </c>
      <c r="Q136" s="59">
        <v>0</v>
      </c>
      <c r="R136" s="59"/>
      <c r="S136" s="83">
        <v>0</v>
      </c>
      <c r="U136" s="62"/>
      <c r="V136" s="62"/>
    </row>
    <row r="137" spans="1:22">
      <c r="A137" s="58">
        <v>5000</v>
      </c>
      <c r="B137" s="58">
        <v>6000</v>
      </c>
      <c r="C137" s="96">
        <v>3161</v>
      </c>
      <c r="D137" s="96">
        <v>1733258225</v>
      </c>
      <c r="E137" s="59">
        <v>3.2396043175367912E-6</v>
      </c>
      <c r="F137" s="93">
        <v>5483.2591743119274</v>
      </c>
      <c r="G137" s="90">
        <v>0</v>
      </c>
      <c r="H137" s="61" t="str">
        <f t="shared" si="1"/>
        <v>(5000, 6000]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119">
        <v>0</v>
      </c>
      <c r="P137" s="59">
        <v>0</v>
      </c>
      <c r="Q137" s="59">
        <v>0</v>
      </c>
      <c r="R137" s="59"/>
      <c r="S137" s="83">
        <v>0</v>
      </c>
      <c r="U137" s="62"/>
      <c r="V137" s="62"/>
    </row>
    <row r="138" spans="1:22">
      <c r="A138" s="58">
        <v>6000</v>
      </c>
      <c r="B138" s="58">
        <v>7000</v>
      </c>
      <c r="C138" s="96">
        <v>2033</v>
      </c>
      <c r="D138" s="96">
        <v>1318822235</v>
      </c>
      <c r="E138" s="59">
        <v>2.0835544376944946E-6</v>
      </c>
      <c r="F138" s="93">
        <v>6487.074446630595</v>
      </c>
      <c r="G138" s="90">
        <v>0</v>
      </c>
      <c r="H138" s="61" t="str">
        <f t="shared" si="1"/>
        <v>(6000, 7000]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119">
        <v>0</v>
      </c>
      <c r="P138" s="59">
        <v>0</v>
      </c>
      <c r="Q138" s="59">
        <v>0</v>
      </c>
      <c r="R138" s="59"/>
      <c r="S138" s="83">
        <v>0</v>
      </c>
      <c r="U138" s="62"/>
      <c r="V138" s="62"/>
    </row>
    <row r="139" spans="1:22">
      <c r="A139" s="58">
        <v>7000</v>
      </c>
      <c r="B139" s="58">
        <v>8000</v>
      </c>
      <c r="C139" s="96">
        <v>1426</v>
      </c>
      <c r="D139" s="96">
        <v>1067742405</v>
      </c>
      <c r="E139" s="59">
        <v>1.4614602204389321E-6</v>
      </c>
      <c r="F139" s="93">
        <v>7487.6746493688643</v>
      </c>
      <c r="G139" s="119">
        <v>0</v>
      </c>
      <c r="H139" s="61" t="str">
        <f t="shared" si="1"/>
        <v>(7000, 8000]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119">
        <v>0</v>
      </c>
      <c r="P139" s="59">
        <v>0</v>
      </c>
      <c r="Q139" s="59">
        <v>0</v>
      </c>
      <c r="R139" s="59"/>
      <c r="S139" s="83">
        <v>0</v>
      </c>
      <c r="U139" s="62"/>
      <c r="V139" s="62"/>
    </row>
    <row r="140" spans="1:22">
      <c r="A140" s="58">
        <v>8000</v>
      </c>
      <c r="B140" s="58">
        <v>9000</v>
      </c>
      <c r="C140" s="96">
        <v>1001</v>
      </c>
      <c r="D140" s="96">
        <v>847376135</v>
      </c>
      <c r="E140" s="59">
        <v>1.0258917816685632E-6</v>
      </c>
      <c r="F140" s="93">
        <v>8465.2960539460546</v>
      </c>
      <c r="G140" s="90">
        <v>0</v>
      </c>
      <c r="H140" s="61" t="str">
        <f t="shared" si="1"/>
        <v>(8000, 9000]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119">
        <v>0</v>
      </c>
      <c r="P140" s="59">
        <v>0</v>
      </c>
      <c r="Q140" s="59">
        <v>0</v>
      </c>
      <c r="R140" s="59"/>
      <c r="S140" s="83">
        <v>0</v>
      </c>
      <c r="U140" s="62"/>
      <c r="V140" s="62"/>
    </row>
    <row r="141" spans="1:22">
      <c r="A141" s="58">
        <v>9000</v>
      </c>
      <c r="B141" s="58">
        <v>10000</v>
      </c>
      <c r="C141" s="96">
        <v>724</v>
      </c>
      <c r="D141" s="96">
        <v>687507375</v>
      </c>
      <c r="E141" s="59">
        <v>7.4200364628175793E-7</v>
      </c>
      <c r="F141" s="93">
        <v>9495.9582182320446</v>
      </c>
      <c r="G141" s="90">
        <v>0</v>
      </c>
      <c r="H141" s="61" t="str">
        <f t="shared" si="1"/>
        <v>(9000, 10000]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119">
        <v>0</v>
      </c>
      <c r="P141" s="59">
        <v>0</v>
      </c>
      <c r="Q141" s="59">
        <v>0</v>
      </c>
      <c r="R141" s="59"/>
      <c r="S141" s="83">
        <v>0</v>
      </c>
      <c r="U141" s="62"/>
      <c r="V141" s="62"/>
    </row>
    <row r="142" spans="1:22">
      <c r="A142" s="58">
        <v>10000</v>
      </c>
      <c r="B142" s="58">
        <v>20000</v>
      </c>
      <c r="C142" s="96">
        <v>2301</v>
      </c>
      <c r="D142" s="96">
        <v>3058525025</v>
      </c>
      <c r="E142" s="59">
        <v>2.3582187708485155E-6</v>
      </c>
      <c r="F142" s="93">
        <v>13292.155693176879</v>
      </c>
      <c r="G142" s="90">
        <v>0</v>
      </c>
      <c r="H142" s="61" t="str">
        <f t="shared" si="1"/>
        <v>(10000, 20000]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19">
        <v>0</v>
      </c>
      <c r="P142" s="59">
        <v>0</v>
      </c>
      <c r="Q142" s="59">
        <v>0</v>
      </c>
      <c r="R142" s="59"/>
      <c r="S142" s="83">
        <v>0</v>
      </c>
      <c r="U142" s="62"/>
      <c r="V142" s="62"/>
    </row>
    <row r="143" spans="1:22">
      <c r="A143" s="58">
        <v>20000</v>
      </c>
      <c r="B143" s="58">
        <v>30000</v>
      </c>
      <c r="C143" s="96">
        <v>420</v>
      </c>
      <c r="D143" s="96">
        <v>1015252785</v>
      </c>
      <c r="E143" s="59">
        <v>4.3044410419659994E-7</v>
      </c>
      <c r="F143" s="93">
        <v>24172.685357142858</v>
      </c>
      <c r="G143" s="90">
        <v>0</v>
      </c>
      <c r="H143" s="61" t="str">
        <f t="shared" si="1"/>
        <v>(20000, 30000]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19">
        <v>0</v>
      </c>
      <c r="P143" s="59">
        <v>0</v>
      </c>
      <c r="Q143" s="59">
        <v>0</v>
      </c>
      <c r="R143" s="59"/>
      <c r="S143" s="83">
        <v>0</v>
      </c>
      <c r="U143" s="62"/>
      <c r="V143" s="62"/>
    </row>
    <row r="144" spans="1:22">
      <c r="A144" s="58">
        <v>30000</v>
      </c>
      <c r="B144" s="58">
        <v>40000</v>
      </c>
      <c r="C144" s="96">
        <v>71</v>
      </c>
      <c r="D144" s="96">
        <v>235683480</v>
      </c>
      <c r="E144" s="59">
        <v>7.2765550947520463E-8</v>
      </c>
      <c r="F144" s="93">
        <v>33194.85633802817</v>
      </c>
      <c r="G144" s="90">
        <v>0</v>
      </c>
      <c r="H144" s="61" t="str">
        <f t="shared" si="1"/>
        <v>(30000, 40000]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19">
        <v>0</v>
      </c>
      <c r="P144" s="59">
        <v>0</v>
      </c>
      <c r="Q144" s="59">
        <v>0</v>
      </c>
      <c r="R144" s="59"/>
      <c r="S144" s="83">
        <v>0</v>
      </c>
      <c r="U144" s="62"/>
      <c r="V144" s="62"/>
    </row>
    <row r="145" spans="1:22">
      <c r="A145" s="58">
        <v>40000</v>
      </c>
      <c r="B145" s="58">
        <v>50000</v>
      </c>
      <c r="C145" s="96">
        <v>29</v>
      </c>
      <c r="D145" s="96">
        <v>127110335</v>
      </c>
      <c r="E145" s="59">
        <v>2.9721140527860471E-8</v>
      </c>
      <c r="F145" s="93">
        <v>43831.15</v>
      </c>
      <c r="G145" s="90">
        <v>0</v>
      </c>
      <c r="H145" s="61" t="str">
        <f t="shared" si="1"/>
        <v>(40000, 50000]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19">
        <v>0</v>
      </c>
      <c r="P145" s="59">
        <v>0</v>
      </c>
      <c r="Q145" s="59">
        <v>0</v>
      </c>
      <c r="R145" s="59"/>
      <c r="S145" s="83">
        <v>0</v>
      </c>
      <c r="U145" s="62"/>
      <c r="V145" s="62"/>
    </row>
    <row r="146" spans="1:22">
      <c r="A146" s="58">
        <v>50000</v>
      </c>
      <c r="B146" s="58">
        <v>60000</v>
      </c>
      <c r="C146" s="96">
        <v>78</v>
      </c>
      <c r="D146" s="96">
        <v>425154405</v>
      </c>
      <c r="E146" s="59">
        <v>7.9939619350797128E-8</v>
      </c>
      <c r="F146" s="93">
        <v>54506.974999999999</v>
      </c>
      <c r="G146" s="90">
        <v>0</v>
      </c>
      <c r="H146" s="61" t="str">
        <f t="shared" si="1"/>
        <v>(50000, 60000]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19">
        <v>0</v>
      </c>
      <c r="P146" s="59">
        <v>0</v>
      </c>
      <c r="Q146" s="59">
        <v>0</v>
      </c>
      <c r="R146" s="59"/>
      <c r="S146" s="83">
        <v>0</v>
      </c>
      <c r="U146" s="62"/>
      <c r="V146" s="62"/>
    </row>
    <row r="147" spans="1:22">
      <c r="A147" s="58">
        <v>60000</v>
      </c>
      <c r="B147" s="58">
        <v>70000</v>
      </c>
      <c r="C147" s="96">
        <v>10</v>
      </c>
      <c r="D147" s="96">
        <v>63926075</v>
      </c>
      <c r="E147" s="59">
        <v>1.0248669147538093E-8</v>
      </c>
      <c r="F147" s="93">
        <v>63926.074999999997</v>
      </c>
      <c r="G147" s="90">
        <v>0</v>
      </c>
      <c r="H147" s="61" t="str">
        <f t="shared" si="1"/>
        <v>(60000, 70000]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19">
        <v>0</v>
      </c>
      <c r="P147" s="59">
        <v>0</v>
      </c>
      <c r="Q147" s="59">
        <v>0</v>
      </c>
      <c r="R147" s="59"/>
      <c r="S147" s="83">
        <v>0</v>
      </c>
      <c r="U147" s="62"/>
      <c r="V147" s="62"/>
    </row>
    <row r="148" spans="1:22">
      <c r="A148" s="58">
        <v>70000</v>
      </c>
      <c r="B148" s="58">
        <v>80000</v>
      </c>
      <c r="C148" s="96">
        <v>2</v>
      </c>
      <c r="D148" s="96">
        <v>14233050</v>
      </c>
      <c r="E148" s="59">
        <v>2.0497338295076187E-9</v>
      </c>
      <c r="F148" s="93">
        <v>71165.25</v>
      </c>
      <c r="G148" s="90">
        <v>0</v>
      </c>
      <c r="H148" s="61" t="str">
        <f t="shared" si="1"/>
        <v>(70000, 80000]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19">
        <v>0</v>
      </c>
      <c r="P148" s="59">
        <v>0</v>
      </c>
      <c r="Q148" s="59">
        <v>0</v>
      </c>
      <c r="R148" s="59"/>
      <c r="S148" s="83">
        <v>0</v>
      </c>
      <c r="U148" s="62"/>
      <c r="V148" s="62"/>
    </row>
    <row r="149" spans="1:22">
      <c r="A149" s="58">
        <v>80000</v>
      </c>
      <c r="B149" s="58">
        <v>90000</v>
      </c>
      <c r="C149" s="96">
        <v>0</v>
      </c>
      <c r="D149" s="96">
        <v>0</v>
      </c>
      <c r="E149" s="59">
        <v>0</v>
      </c>
      <c r="F149" s="93">
        <v>0</v>
      </c>
      <c r="G149" s="90">
        <v>0</v>
      </c>
      <c r="H149" s="61" t="str">
        <f t="shared" si="1"/>
        <v>(80000, 90000]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19">
        <v>0</v>
      </c>
      <c r="P149" s="59">
        <v>0</v>
      </c>
      <c r="Q149" s="59">
        <v>0</v>
      </c>
      <c r="R149" s="59"/>
      <c r="S149" s="83">
        <v>0</v>
      </c>
      <c r="U149" s="62"/>
      <c r="V149" s="62"/>
    </row>
    <row r="150" spans="1:22">
      <c r="A150" s="58">
        <v>90000</v>
      </c>
      <c r="B150" s="58">
        <v>100000</v>
      </c>
      <c r="C150" s="96">
        <v>0</v>
      </c>
      <c r="D150" s="96">
        <v>0</v>
      </c>
      <c r="E150" s="59">
        <v>0</v>
      </c>
      <c r="F150" s="93">
        <v>0</v>
      </c>
      <c r="G150" s="90">
        <v>0</v>
      </c>
      <c r="H150" s="61" t="str">
        <f t="shared" si="1"/>
        <v>(90000, 100000]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19">
        <v>0</v>
      </c>
      <c r="P150" s="59">
        <v>0</v>
      </c>
      <c r="Q150" s="59">
        <v>0</v>
      </c>
      <c r="R150" s="59"/>
      <c r="S150" s="83">
        <v>0</v>
      </c>
      <c r="U150" s="62"/>
      <c r="V150" s="62"/>
    </row>
    <row r="151" spans="1:22">
      <c r="A151" s="58">
        <v>100000</v>
      </c>
      <c r="B151" s="58">
        <v>9999999</v>
      </c>
      <c r="C151" s="96">
        <v>5</v>
      </c>
      <c r="D151" s="96">
        <v>53420530</v>
      </c>
      <c r="E151" s="59">
        <v>5.1243345737690465E-9</v>
      </c>
      <c r="F151" s="93">
        <v>106841.06</v>
      </c>
      <c r="G151" s="90">
        <v>0</v>
      </c>
      <c r="H151" s="61" t="str">
        <f t="shared" si="1"/>
        <v>(100000, 9999999]</v>
      </c>
      <c r="I151" s="62">
        <v>0</v>
      </c>
      <c r="J151" s="59">
        <v>0</v>
      </c>
      <c r="K151" s="59">
        <v>0</v>
      </c>
      <c r="L151" s="84">
        <v>0</v>
      </c>
      <c r="M151" s="59">
        <v>0</v>
      </c>
      <c r="N151" s="59">
        <v>0</v>
      </c>
      <c r="O151" s="119">
        <v>0</v>
      </c>
      <c r="P151" s="59">
        <v>0</v>
      </c>
      <c r="Q151" s="59">
        <v>0</v>
      </c>
      <c r="R151" s="59"/>
      <c r="S151" s="83">
        <v>0</v>
      </c>
      <c r="U151" s="62"/>
      <c r="V151" s="62"/>
    </row>
    <row r="152" spans="1:22">
      <c r="A152" s="216" t="s">
        <v>78</v>
      </c>
      <c r="B152" s="217"/>
      <c r="C152" s="73">
        <f>E152*B86</f>
        <v>24264000</v>
      </c>
      <c r="D152" s="96" cm="1">
        <f t="array" ref="D152:E152">D80:E80</f>
        <v>299563025</v>
      </c>
      <c r="E152" s="201">
        <v>2.4264000000000001E-2</v>
      </c>
      <c r="F152" s="93">
        <v>0.12345986852950874</v>
      </c>
      <c r="G152" s="100"/>
      <c r="H152" s="61" t="s">
        <v>78</v>
      </c>
      <c r="I152" s="62">
        <v>0.86499999999999999</v>
      </c>
      <c r="J152" s="59">
        <v>2.0988360000000001E-2</v>
      </c>
      <c r="K152" s="59">
        <f>J152</f>
        <v>2.0988360000000001E-2</v>
      </c>
      <c r="L152" s="84">
        <v>20988360</v>
      </c>
      <c r="M152" s="63">
        <v>2.0978904660817036E-2</v>
      </c>
      <c r="N152" s="59">
        <v>2.5900528113175694E-3</v>
      </c>
      <c r="P152" s="51"/>
      <c r="Q152" s="51"/>
      <c r="R152" s="51"/>
      <c r="S152" s="51"/>
      <c r="T152" s="51"/>
      <c r="U152" s="62"/>
      <c r="V152" s="62"/>
    </row>
    <row r="153" spans="1:22">
      <c r="A153" s="66"/>
      <c r="B153" s="52"/>
      <c r="C153" s="1"/>
      <c r="D153" s="1"/>
      <c r="E153" s="1"/>
      <c r="F153" s="1"/>
      <c r="H153" s="13"/>
      <c r="I153" s="52"/>
      <c r="J153" s="52"/>
      <c r="L153" s="68"/>
      <c r="M153" s="52"/>
      <c r="U153" s="52"/>
      <c r="V153" s="52"/>
    </row>
    <row r="154" spans="1:22">
      <c r="A154" s="52"/>
      <c r="D154" s="114"/>
      <c r="E154" s="1"/>
      <c r="F154" s="1"/>
      <c r="H154" s="13"/>
      <c r="I154" s="52"/>
      <c r="J154" s="52"/>
      <c r="K154" s="52"/>
      <c r="L154" s="52"/>
      <c r="M154" s="52"/>
      <c r="N154" s="52"/>
      <c r="U154" s="52"/>
      <c r="V154" s="52"/>
    </row>
    <row r="155" spans="1:22" s="80" customFormat="1">
      <c r="A155" s="215" t="s">
        <v>50</v>
      </c>
      <c r="B155" s="215"/>
      <c r="C155" s="215"/>
      <c r="D155" s="215"/>
      <c r="E155" s="76"/>
      <c r="F155" s="76"/>
      <c r="G155" s="89"/>
      <c r="H155" s="78"/>
      <c r="I155" s="79"/>
      <c r="J155" s="77"/>
      <c r="K155" s="77"/>
      <c r="L155" s="77"/>
      <c r="M155" s="77"/>
      <c r="N155" s="77"/>
      <c r="O155" s="89"/>
      <c r="U155" s="79"/>
      <c r="V155" s="79"/>
    </row>
    <row r="156" spans="1:22">
      <c r="A156" s="52"/>
      <c r="B156" s="52"/>
      <c r="C156" s="1"/>
      <c r="D156" s="1"/>
      <c r="E156" s="1"/>
      <c r="F156" s="1"/>
      <c r="G156" s="51">
        <v>1.0000000000000001E-5</v>
      </c>
      <c r="H156" s="13"/>
      <c r="I156" s="52"/>
      <c r="J156" s="52"/>
      <c r="K156" s="52"/>
      <c r="L156" s="52"/>
      <c r="M156" s="52"/>
      <c r="N156" s="52"/>
      <c r="U156" s="52"/>
      <c r="V156" s="52"/>
    </row>
    <row r="157" spans="1:22">
      <c r="A157" s="70" t="s">
        <v>75</v>
      </c>
      <c r="B157" s="68">
        <f>B14</f>
        <v>1000000000</v>
      </c>
      <c r="C157" s="1"/>
      <c r="D157" s="1"/>
      <c r="E157" s="1"/>
      <c r="F157" s="1"/>
      <c r="G157" s="51">
        <v>534</v>
      </c>
      <c r="H157" s="70" t="s">
        <v>76</v>
      </c>
      <c r="I157" s="52"/>
      <c r="J157" s="52"/>
      <c r="K157" s="52"/>
      <c r="M157" s="52"/>
      <c r="N157" s="52"/>
      <c r="P157" s="24" t="s">
        <v>81</v>
      </c>
      <c r="U157" s="52"/>
      <c r="V157" s="52"/>
    </row>
    <row r="158" spans="1:22" ht="16.2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G158" s="90">
        <f>1-G157*G156</f>
        <v>0.99465999999999999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1">
        <v>0.9</v>
      </c>
      <c r="P158" s="86" t="s">
        <v>84</v>
      </c>
      <c r="Q158" s="194" t="s">
        <v>328</v>
      </c>
      <c r="R158" s="86" t="s">
        <v>253</v>
      </c>
      <c r="S158" s="86" t="s">
        <v>80</v>
      </c>
      <c r="U158" s="20" t="s">
        <v>322</v>
      </c>
      <c r="V158" s="20" t="s">
        <v>323</v>
      </c>
    </row>
    <row r="159" spans="1:22">
      <c r="A159" s="64">
        <v>-1</v>
      </c>
      <c r="B159" s="64">
        <v>0</v>
      </c>
      <c r="C159" s="71">
        <v>0</v>
      </c>
      <c r="D159" s="71">
        <v>0</v>
      </c>
      <c r="E159" s="59" cm="1">
        <f t="array" ref="E159:E222">_xlfn.LET(_xlpm.x, C159:C222, _xlpm.x/SUM(_xlpm.x))</f>
        <v>0</v>
      </c>
      <c r="F159" s="92" cm="1">
        <f t="array" ref="F159:F222">_xlfn.LET(_xlpm.x, D159:D222/C159:C222/B3, IF(ISERR(_xlpm.x), 0, _xlpm.x))</f>
        <v>0</v>
      </c>
      <c r="G159" s="90"/>
      <c r="H159" s="61" t="str">
        <f>"("&amp;$A159&amp;", "&amp;$B159&amp;"]"</f>
        <v>(-1, 0]</v>
      </c>
      <c r="I159" s="62">
        <v>0</v>
      </c>
      <c r="J159" s="59" cm="1">
        <f t="array" ref="J159:J222">_xlfn.ANCHORARRAY(E159)*I159:I222</f>
        <v>0</v>
      </c>
      <c r="K159" s="59" cm="1">
        <f t="array" ref="K159:K222">J159:J222/SUM(_xlfn.ANCHORARRAY(J159))</f>
        <v>0</v>
      </c>
      <c r="L159" s="117" cm="1">
        <f t="array" ref="L159:L222">INT(_xlfn.ANCHORARRAY(K159)*$B$2)</f>
        <v>0</v>
      </c>
      <c r="M159" s="59" cm="1">
        <f t="array" ref="M159:M222">_xlfn.LET(_xlpm.x, L159:L222, _xlpm.x/SUM(_xlpm.x))</f>
        <v>0</v>
      </c>
      <c r="N159" s="60" cm="1">
        <f t="array" ref="N159:N222">M159:M222*_xlfn.ANCHORARRAY(F159)</f>
        <v>0</v>
      </c>
      <c r="O159" s="119" cm="1">
        <f t="array" ref="O159:O222">I159:I222*O158</f>
        <v>0</v>
      </c>
      <c r="P159" s="59" cm="1">
        <f t="array" ref="P159:P222">_xlfn.ANCHORARRAY(M159)</f>
        <v>0</v>
      </c>
      <c r="Q159" s="59">
        <v>0</v>
      </c>
      <c r="R159" s="59">
        <v>0</v>
      </c>
      <c r="S159" s="83" cm="1">
        <f t="array" ref="S159:S222">_xlfn.LET(_xlpm.x, Q159:Q222/M159:M222, IF(ISERR(_xlpm.x), 0, ROUND(_xlpm.x,2)))</f>
        <v>0</v>
      </c>
      <c r="U159" s="62"/>
      <c r="V159" s="62"/>
    </row>
    <row r="160" spans="1:22">
      <c r="A160" s="58">
        <v>0</v>
      </c>
      <c r="B160" s="58">
        <v>1</v>
      </c>
      <c r="C160" s="72">
        <v>15500</v>
      </c>
      <c r="D160" s="72">
        <v>923150</v>
      </c>
      <c r="E160" s="59">
        <v>6.3897218314987484E-4</v>
      </c>
      <c r="F160" s="93">
        <v>0.59558064516129028</v>
      </c>
      <c r="G160" s="90"/>
      <c r="H160" s="61" t="str">
        <f t="shared" ref="H160:H222" si="2">"("&amp;$A160&amp;", "&amp;$B160&amp;"]"</f>
        <v>(0, 1]</v>
      </c>
      <c r="I160" s="62">
        <v>0</v>
      </c>
      <c r="J160" s="59">
        <v>0</v>
      </c>
      <c r="K160" s="59">
        <v>0</v>
      </c>
      <c r="L160" s="117">
        <v>0</v>
      </c>
      <c r="M160" s="59">
        <v>0</v>
      </c>
      <c r="N160" s="59">
        <v>0</v>
      </c>
      <c r="O160" s="119">
        <v>0</v>
      </c>
      <c r="P160" s="59">
        <v>0</v>
      </c>
      <c r="Q160" s="59">
        <v>0</v>
      </c>
      <c r="R160" s="59">
        <v>0</v>
      </c>
      <c r="S160" s="83">
        <v>0</v>
      </c>
      <c r="U160" s="62"/>
      <c r="V160" s="62"/>
    </row>
    <row r="161" spans="1:22">
      <c r="A161" s="58">
        <v>1</v>
      </c>
      <c r="B161" s="58">
        <v>2</v>
      </c>
      <c r="C161" s="72">
        <v>15117</v>
      </c>
      <c r="D161" s="72">
        <v>2386085</v>
      </c>
      <c r="E161" s="59">
        <v>6.2318338662430053E-4</v>
      </c>
      <c r="F161" s="93">
        <v>1.5784117219024938</v>
      </c>
      <c r="G161" s="90"/>
      <c r="H161" s="61" t="str">
        <f t="shared" si="2"/>
        <v>(1, 2]</v>
      </c>
      <c r="I161" s="62">
        <v>0</v>
      </c>
      <c r="J161" s="59">
        <v>0</v>
      </c>
      <c r="K161" s="59">
        <v>0</v>
      </c>
      <c r="L161" s="117">
        <v>0</v>
      </c>
      <c r="M161" s="59">
        <v>0</v>
      </c>
      <c r="N161" s="59">
        <v>0</v>
      </c>
      <c r="O161" s="119">
        <v>0</v>
      </c>
      <c r="P161" s="59">
        <v>0</v>
      </c>
      <c r="Q161" s="59">
        <v>0</v>
      </c>
      <c r="R161" s="59">
        <v>0</v>
      </c>
      <c r="S161" s="83">
        <v>0</v>
      </c>
      <c r="U161" s="62"/>
      <c r="V161" s="62"/>
    </row>
    <row r="162" spans="1:22">
      <c r="A162" s="58">
        <v>2</v>
      </c>
      <c r="B162" s="58">
        <v>3</v>
      </c>
      <c r="C162" s="72">
        <v>15463</v>
      </c>
      <c r="D162" s="72">
        <v>3994350</v>
      </c>
      <c r="E162" s="59">
        <v>6.3744689471267836E-4</v>
      </c>
      <c r="F162" s="93">
        <v>2.5831662678652263</v>
      </c>
      <c r="G162" s="90"/>
      <c r="H162" s="61" t="str">
        <f t="shared" si="2"/>
        <v>(2, 3]</v>
      </c>
      <c r="I162" s="62">
        <v>0</v>
      </c>
      <c r="J162" s="59">
        <v>0</v>
      </c>
      <c r="K162" s="59">
        <v>0</v>
      </c>
      <c r="L162" s="117">
        <v>0</v>
      </c>
      <c r="M162" s="59">
        <v>0</v>
      </c>
      <c r="N162" s="59">
        <v>0</v>
      </c>
      <c r="O162" s="119">
        <v>0</v>
      </c>
      <c r="P162" s="59">
        <v>0</v>
      </c>
      <c r="Q162" s="59">
        <v>0</v>
      </c>
      <c r="R162" s="59">
        <v>0</v>
      </c>
      <c r="S162" s="83">
        <v>0</v>
      </c>
      <c r="U162" s="62"/>
      <c r="V162" s="62"/>
    </row>
    <row r="163" spans="1:22">
      <c r="A163" s="58">
        <v>3</v>
      </c>
      <c r="B163" s="58">
        <v>4</v>
      </c>
      <c r="C163" s="72">
        <v>15216</v>
      </c>
      <c r="D163" s="72">
        <v>5446285</v>
      </c>
      <c r="E163" s="59">
        <v>6.2726456379409647E-4</v>
      </c>
      <c r="F163" s="93">
        <v>3.5793145373291271</v>
      </c>
      <c r="G163" s="90"/>
      <c r="H163" s="61" t="str">
        <f t="shared" si="2"/>
        <v>(3, 4]</v>
      </c>
      <c r="I163" s="62">
        <v>0</v>
      </c>
      <c r="J163" s="59">
        <v>0</v>
      </c>
      <c r="K163" s="59">
        <v>0</v>
      </c>
      <c r="L163" s="117">
        <v>0</v>
      </c>
      <c r="M163" s="59">
        <v>0</v>
      </c>
      <c r="N163" s="59">
        <v>0</v>
      </c>
      <c r="O163" s="119">
        <v>0</v>
      </c>
      <c r="P163" s="59">
        <v>0</v>
      </c>
      <c r="Q163" s="59">
        <v>0</v>
      </c>
      <c r="R163" s="59">
        <v>3.614457831325301E-2</v>
      </c>
      <c r="S163" s="83">
        <v>0</v>
      </c>
      <c r="U163" s="62"/>
      <c r="V163" s="62"/>
    </row>
    <row r="164" spans="1:22">
      <c r="A164" s="58">
        <v>4</v>
      </c>
      <c r="B164" s="58">
        <v>5</v>
      </c>
      <c r="C164" s="72">
        <v>16059</v>
      </c>
      <c r="D164" s="72">
        <v>7337995</v>
      </c>
      <c r="E164" s="59">
        <v>6.620164057550864E-4</v>
      </c>
      <c r="F164" s="93">
        <v>4.5693972227411424</v>
      </c>
      <c r="G164" s="90"/>
      <c r="H164" s="61" t="str">
        <f t="shared" si="2"/>
        <v>(4, 5]</v>
      </c>
      <c r="I164" s="62">
        <v>0</v>
      </c>
      <c r="J164" s="59">
        <v>0</v>
      </c>
      <c r="K164" s="59">
        <v>0</v>
      </c>
      <c r="L164" s="117">
        <v>0</v>
      </c>
      <c r="M164" s="59">
        <v>0</v>
      </c>
      <c r="N164" s="59">
        <v>0</v>
      </c>
      <c r="O164" s="119">
        <v>0</v>
      </c>
      <c r="P164" s="59">
        <v>0</v>
      </c>
      <c r="Q164" s="59">
        <v>0</v>
      </c>
      <c r="R164" s="59">
        <v>0</v>
      </c>
      <c r="S164" s="83">
        <v>0</v>
      </c>
      <c r="U164" s="62"/>
      <c r="V164" s="62"/>
    </row>
    <row r="165" spans="1:22">
      <c r="A165" s="58">
        <v>5</v>
      </c>
      <c r="B165" s="58">
        <v>6</v>
      </c>
      <c r="C165" s="72">
        <v>16491</v>
      </c>
      <c r="D165" s="72">
        <v>9189595</v>
      </c>
      <c r="E165" s="59">
        <v>6.7982517885965062E-4</v>
      </c>
      <c r="F165" s="93">
        <v>5.5724910557273661</v>
      </c>
      <c r="G165" s="90"/>
      <c r="H165" s="61" t="str">
        <f t="shared" si="2"/>
        <v>(5, 6]</v>
      </c>
      <c r="I165" s="62">
        <v>0</v>
      </c>
      <c r="J165" s="59">
        <v>0</v>
      </c>
      <c r="K165" s="59">
        <v>0</v>
      </c>
      <c r="L165" s="117">
        <v>0</v>
      </c>
      <c r="M165" s="59">
        <v>0</v>
      </c>
      <c r="N165" s="59">
        <v>0</v>
      </c>
      <c r="O165" s="119">
        <v>0</v>
      </c>
      <c r="P165" s="59">
        <v>0</v>
      </c>
      <c r="Q165" s="59">
        <v>0</v>
      </c>
      <c r="R165" s="59">
        <v>0</v>
      </c>
      <c r="S165" s="83">
        <v>0</v>
      </c>
      <c r="U165" s="62"/>
      <c r="V165" s="62"/>
    </row>
    <row r="166" spans="1:22">
      <c r="A166" s="58">
        <v>6</v>
      </c>
      <c r="B166" s="58">
        <v>7</v>
      </c>
      <c r="C166" s="72">
        <v>16709</v>
      </c>
      <c r="D166" s="72">
        <v>10959565</v>
      </c>
      <c r="E166" s="59">
        <v>6.8881201343556507E-4</v>
      </c>
      <c r="F166" s="93">
        <v>6.5590789394936859</v>
      </c>
      <c r="G166" s="90"/>
      <c r="H166" s="61" t="str">
        <f t="shared" si="2"/>
        <v>(6, 7]</v>
      </c>
      <c r="I166" s="62">
        <v>0</v>
      </c>
      <c r="J166" s="59">
        <v>0</v>
      </c>
      <c r="K166" s="59">
        <v>0</v>
      </c>
      <c r="L166" s="117">
        <v>0</v>
      </c>
      <c r="M166" s="59">
        <v>0</v>
      </c>
      <c r="N166" s="59">
        <v>0</v>
      </c>
      <c r="O166" s="119">
        <v>0</v>
      </c>
      <c r="P166" s="59">
        <v>0</v>
      </c>
      <c r="Q166" s="59">
        <v>0</v>
      </c>
      <c r="R166" s="59">
        <v>1.2048192771084338E-2</v>
      </c>
      <c r="S166" s="83">
        <v>0</v>
      </c>
      <c r="U166" s="62"/>
      <c r="V166" s="62"/>
    </row>
    <row r="167" spans="1:22">
      <c r="A167" s="58">
        <v>7</v>
      </c>
      <c r="B167" s="58">
        <v>8</v>
      </c>
      <c r="C167" s="72">
        <v>16626</v>
      </c>
      <c r="D167" s="72">
        <v>12574185</v>
      </c>
      <c r="E167" s="59">
        <v>6.8539042045482701E-4</v>
      </c>
      <c r="F167" s="93">
        <v>7.5629646337062431</v>
      </c>
      <c r="G167" s="90"/>
      <c r="H167" s="61" t="str">
        <f t="shared" si="2"/>
        <v>(7, 8]</v>
      </c>
      <c r="I167" s="62">
        <v>0</v>
      </c>
      <c r="J167" s="59">
        <v>0</v>
      </c>
      <c r="K167" s="59">
        <v>0</v>
      </c>
      <c r="L167" s="117">
        <v>0</v>
      </c>
      <c r="M167" s="59">
        <v>0</v>
      </c>
      <c r="N167" s="59">
        <v>0</v>
      </c>
      <c r="O167" s="119">
        <v>0</v>
      </c>
      <c r="P167" s="59">
        <v>0</v>
      </c>
      <c r="Q167" s="59">
        <v>0</v>
      </c>
      <c r="R167" s="59">
        <v>3.614457831325301E-2</v>
      </c>
      <c r="S167" s="83">
        <v>0</v>
      </c>
      <c r="U167" s="62"/>
      <c r="V167" s="62"/>
    </row>
    <row r="168" spans="1:22">
      <c r="A168" s="58">
        <v>8</v>
      </c>
      <c r="B168" s="58">
        <v>9</v>
      </c>
      <c r="C168" s="72">
        <v>17082</v>
      </c>
      <c r="D168" s="72">
        <v>14623305</v>
      </c>
      <c r="E168" s="59">
        <v>7.0418856984297816E-4</v>
      </c>
      <c r="F168" s="93">
        <v>8.5606515630488236</v>
      </c>
      <c r="G168" s="90"/>
      <c r="H168" s="61" t="str">
        <f t="shared" si="2"/>
        <v>(8, 9]</v>
      </c>
      <c r="I168" s="62">
        <v>0</v>
      </c>
      <c r="J168" s="59">
        <v>0</v>
      </c>
      <c r="K168" s="59">
        <v>0</v>
      </c>
      <c r="L168" s="117">
        <v>0</v>
      </c>
      <c r="M168" s="59">
        <v>0</v>
      </c>
      <c r="N168" s="59">
        <v>0</v>
      </c>
      <c r="O168" s="119">
        <v>0</v>
      </c>
      <c r="P168" s="59">
        <v>0</v>
      </c>
      <c r="Q168" s="59">
        <v>0</v>
      </c>
      <c r="R168" s="59">
        <v>2.4096385542168676E-2</v>
      </c>
      <c r="S168" s="83">
        <v>0</v>
      </c>
      <c r="U168" s="62"/>
      <c r="V168" s="62"/>
    </row>
    <row r="169" spans="1:22">
      <c r="A169" s="58">
        <v>9</v>
      </c>
      <c r="B169" s="58">
        <v>10</v>
      </c>
      <c r="C169" s="72">
        <v>17400</v>
      </c>
      <c r="D169" s="72">
        <v>16634405</v>
      </c>
      <c r="E169" s="59">
        <v>7.1729780560050459E-4</v>
      </c>
      <c r="F169" s="93">
        <v>9.5600028735632172</v>
      </c>
      <c r="G169" s="90"/>
      <c r="H169" s="61" t="str">
        <f t="shared" si="2"/>
        <v>(9, 10]</v>
      </c>
      <c r="I169" s="62">
        <v>0</v>
      </c>
      <c r="J169" s="59">
        <v>0</v>
      </c>
      <c r="K169" s="59">
        <v>0</v>
      </c>
      <c r="L169" s="117">
        <v>0</v>
      </c>
      <c r="M169" s="59">
        <v>0</v>
      </c>
      <c r="N169" s="59">
        <v>0</v>
      </c>
      <c r="O169" s="119">
        <v>0</v>
      </c>
      <c r="P169" s="59">
        <v>0</v>
      </c>
      <c r="Q169" s="59">
        <v>0</v>
      </c>
      <c r="R169" s="59">
        <v>1.2048192771084338E-2</v>
      </c>
      <c r="S169" s="83">
        <v>0</v>
      </c>
      <c r="U169" s="62"/>
      <c r="V169" s="62"/>
    </row>
    <row r="170" spans="1:22">
      <c r="A170" s="58">
        <v>10</v>
      </c>
      <c r="B170" s="58">
        <v>15</v>
      </c>
      <c r="C170" s="72">
        <v>91316</v>
      </c>
      <c r="D170" s="72">
        <v>114870240</v>
      </c>
      <c r="E170" s="59">
        <v>3.7644118630009013E-3</v>
      </c>
      <c r="F170" s="93">
        <v>12.579420911997897</v>
      </c>
      <c r="G170" s="100"/>
      <c r="H170" s="61" t="str">
        <f t="shared" si="2"/>
        <v>(10, 15]</v>
      </c>
      <c r="I170" s="62">
        <v>34.81</v>
      </c>
      <c r="J170" s="59">
        <v>0.13103917695106138</v>
      </c>
      <c r="K170" s="59">
        <v>0.1314370384873931</v>
      </c>
      <c r="L170" s="117">
        <v>131437038</v>
      </c>
      <c r="M170" s="59">
        <v>0.13143704049730376</v>
      </c>
      <c r="N170" s="59">
        <v>1.6534018558428973</v>
      </c>
      <c r="O170" s="119">
        <v>31.329000000000004</v>
      </c>
      <c r="P170" s="59">
        <v>0.13143704049730376</v>
      </c>
      <c r="Q170" s="59">
        <v>0.13126626188785775</v>
      </c>
      <c r="R170" s="59">
        <v>7.2289156626506021E-2</v>
      </c>
      <c r="S170" s="83">
        <v>1</v>
      </c>
      <c r="T170" s="101"/>
      <c r="U170" s="62"/>
      <c r="V170" s="62"/>
    </row>
    <row r="171" spans="1:22">
      <c r="A171" s="58">
        <v>15</v>
      </c>
      <c r="B171" s="58">
        <v>20</v>
      </c>
      <c r="C171" s="72">
        <v>96987</v>
      </c>
      <c r="D171" s="72">
        <v>170344235</v>
      </c>
      <c r="E171" s="59">
        <v>3.9981932340101226E-3</v>
      </c>
      <c r="F171" s="93">
        <v>17.563615226782971</v>
      </c>
      <c r="G171" s="100"/>
      <c r="H171" s="113" t="str">
        <f t="shared" si="2"/>
        <v>(15, 20]</v>
      </c>
      <c r="I171" s="62">
        <v>32.65</v>
      </c>
      <c r="J171" s="59">
        <v>0.13054100909043051</v>
      </c>
      <c r="K171" s="59">
        <v>0.1309373580880315</v>
      </c>
      <c r="L171" s="117">
        <v>130937358</v>
      </c>
      <c r="M171" s="59">
        <v>0.13093736048780985</v>
      </c>
      <c r="N171" s="59">
        <v>2.2997334184184681</v>
      </c>
      <c r="O171" s="119">
        <v>29.384999999999998</v>
      </c>
      <c r="P171" s="59">
        <v>0.13093736048780985</v>
      </c>
      <c r="Q171" s="59">
        <v>0.13125249088755481</v>
      </c>
      <c r="R171" s="59">
        <v>7.2289156626506021E-2</v>
      </c>
      <c r="S171" s="83">
        <v>1</v>
      </c>
      <c r="T171" s="101"/>
      <c r="U171" s="62"/>
      <c r="V171" s="62"/>
    </row>
    <row r="172" spans="1:22">
      <c r="A172" s="58">
        <v>20</v>
      </c>
      <c r="B172" s="58">
        <v>25</v>
      </c>
      <c r="C172" s="72">
        <v>102326</v>
      </c>
      <c r="D172" s="72">
        <v>230862000</v>
      </c>
      <c r="E172" s="59">
        <v>4.2182882330963926E-3</v>
      </c>
      <c r="F172" s="93">
        <v>22.561421339639974</v>
      </c>
      <c r="G172" s="100"/>
      <c r="H172" s="61" t="str">
        <f t="shared" si="2"/>
        <v>(20, 25]</v>
      </c>
      <c r="I172" s="62">
        <v>31.14</v>
      </c>
      <c r="J172" s="59">
        <v>0.13135749557862167</v>
      </c>
      <c r="K172" s="59">
        <v>0.13175632359491116</v>
      </c>
      <c r="L172" s="117">
        <v>131756323</v>
      </c>
      <c r="M172" s="59">
        <v>0.13175632550337019</v>
      </c>
      <c r="N172" s="59">
        <v>2.9726099738442868</v>
      </c>
      <c r="O172" s="119">
        <v>28.026</v>
      </c>
      <c r="P172" s="59">
        <v>0.13175632550337019</v>
      </c>
      <c r="Q172" s="59">
        <v>0.1312781858881201</v>
      </c>
      <c r="R172" s="59">
        <v>7.2289156626506021E-2</v>
      </c>
      <c r="S172" s="83">
        <v>1</v>
      </c>
      <c r="T172" s="101"/>
      <c r="U172" s="62"/>
      <c r="V172" s="62"/>
    </row>
    <row r="173" spans="1:22">
      <c r="A173" s="58">
        <v>25</v>
      </c>
      <c r="B173" s="58">
        <v>30</v>
      </c>
      <c r="C173" s="72">
        <v>107539</v>
      </c>
      <c r="D173" s="72">
        <v>296454050</v>
      </c>
      <c r="E173" s="59">
        <v>4.433189006693831E-3</v>
      </c>
      <c r="F173" s="93">
        <v>27.567119835594532</v>
      </c>
      <c r="G173" s="100"/>
      <c r="H173" s="61" t="str">
        <f t="shared" si="2"/>
        <v>(25, 30]</v>
      </c>
      <c r="I173" s="62">
        <v>29.75</v>
      </c>
      <c r="J173" s="59">
        <v>0.13188737294914146</v>
      </c>
      <c r="K173" s="59">
        <v>0.13228780978066931</v>
      </c>
      <c r="L173" s="117">
        <v>132287809</v>
      </c>
      <c r="M173" s="59">
        <v>0.13228781151346841</v>
      </c>
      <c r="N173" s="59">
        <v>3.6467939527803259</v>
      </c>
      <c r="O173" s="119">
        <v>26.775000000000002</v>
      </c>
      <c r="P173" s="59">
        <v>0.13228781151346841</v>
      </c>
      <c r="Q173" s="59">
        <v>0.13224971290949369</v>
      </c>
      <c r="R173" s="59">
        <v>8.4337349397590355E-2</v>
      </c>
      <c r="S173" s="83">
        <v>1</v>
      </c>
      <c r="T173" s="101"/>
      <c r="U173" s="62"/>
      <c r="V173" s="62"/>
    </row>
    <row r="174" spans="1:22">
      <c r="A174" s="58">
        <v>30</v>
      </c>
      <c r="B174" s="58">
        <v>35</v>
      </c>
      <c r="C174" s="72">
        <v>112002</v>
      </c>
      <c r="D174" s="72">
        <v>364690430</v>
      </c>
      <c r="E174" s="59">
        <v>4.617171771429179E-3</v>
      </c>
      <c r="F174" s="93">
        <v>32.561064088141286</v>
      </c>
      <c r="G174" s="100">
        <v>7.91</v>
      </c>
      <c r="H174" s="61" t="str">
        <f t="shared" si="2"/>
        <v>(30, 35]</v>
      </c>
      <c r="I174" s="62" cm="1">
        <f t="array" ref="I174:I222">G174:G222*G158</f>
        <v>7.8677606000000004</v>
      </c>
      <c r="J174" s="59">
        <v>3.6326802146682699E-2</v>
      </c>
      <c r="K174" s="59">
        <v>3.6437097690720614E-2</v>
      </c>
      <c r="L174" s="117">
        <v>36437097</v>
      </c>
      <c r="M174" s="59">
        <v>3.6437097692304854E-2</v>
      </c>
      <c r="N174" s="59">
        <v>1.1864306731450034</v>
      </c>
      <c r="O174" s="119">
        <v>7.0809845400000002</v>
      </c>
      <c r="P174" s="59">
        <v>3.6437097692304854E-2</v>
      </c>
      <c r="Q174" s="59">
        <v>3.6550552804112159E-2</v>
      </c>
      <c r="R174" s="59">
        <v>3.614457831325301E-2</v>
      </c>
      <c r="S174" s="83">
        <v>1</v>
      </c>
      <c r="T174" s="101"/>
      <c r="U174" s="62"/>
      <c r="V174" s="62"/>
    </row>
    <row r="175" spans="1:22">
      <c r="A175" s="58">
        <v>35</v>
      </c>
      <c r="B175" s="58">
        <v>40</v>
      </c>
      <c r="C175" s="72">
        <v>116470</v>
      </c>
      <c r="D175" s="72">
        <v>437367450</v>
      </c>
      <c r="E175" s="59">
        <v>4.8013606562236077E-3</v>
      </c>
      <c r="F175" s="93">
        <v>37.551940413840477</v>
      </c>
      <c r="G175" s="100">
        <v>6.21</v>
      </c>
      <c r="H175" s="113" t="str">
        <f t="shared" si="2"/>
        <v>(35, 40]</v>
      </c>
      <c r="I175" s="62">
        <v>6.1768386</v>
      </c>
      <c r="J175" s="59">
        <v>2.965722983388331E-2</v>
      </c>
      <c r="K175" s="59">
        <v>2.9747275202753862E-2</v>
      </c>
      <c r="L175" s="117">
        <v>29747275</v>
      </c>
      <c r="M175" s="59">
        <v>2.9747275565198236E-2</v>
      </c>
      <c r="N175" s="59">
        <v>1.117067919498417</v>
      </c>
      <c r="O175" s="119">
        <v>5.5591547400000003</v>
      </c>
      <c r="P175" s="59">
        <v>2.9747275565198236E-2</v>
      </c>
      <c r="Q175" s="59">
        <v>2.9855874656829241E-2</v>
      </c>
      <c r="R175" s="59">
        <v>2.4096385542168676E-2</v>
      </c>
      <c r="S175" s="83">
        <v>1</v>
      </c>
      <c r="T175" s="101"/>
      <c r="U175" s="62"/>
      <c r="V175" s="62"/>
    </row>
    <row r="176" spans="1:22">
      <c r="A176" s="58">
        <v>40</v>
      </c>
      <c r="B176" s="58">
        <v>45</v>
      </c>
      <c r="C176" s="72">
        <v>121896</v>
      </c>
      <c r="D176" s="72">
        <v>518704865</v>
      </c>
      <c r="E176" s="59">
        <v>5.0250421443378797E-3</v>
      </c>
      <c r="F176" s="93">
        <v>42.553066958718908</v>
      </c>
      <c r="G176" s="100">
        <v>5.92</v>
      </c>
      <c r="H176" s="61" t="str">
        <f t="shared" si="2"/>
        <v>(40, 45]</v>
      </c>
      <c r="I176" s="62">
        <v>5.8883871999999995</v>
      </c>
      <c r="J176" s="59">
        <v>2.958939384217972E-2</v>
      </c>
      <c r="K176" s="59">
        <v>2.9679233247211778E-2</v>
      </c>
      <c r="L176" s="117">
        <v>29679233</v>
      </c>
      <c r="M176" s="59">
        <v>2.9679233563905439E-2</v>
      </c>
      <c r="N176" s="59">
        <v>1.2629424131283258</v>
      </c>
      <c r="O176" s="119">
        <v>5.2995484799999995</v>
      </c>
      <c r="P176" s="59">
        <v>2.9679233563905439E-2</v>
      </c>
      <c r="Q176" s="59">
        <v>2.9391089646603974E-2</v>
      </c>
      <c r="R176" s="59">
        <v>3.614457831325301E-2</v>
      </c>
      <c r="S176" s="83">
        <v>0.99</v>
      </c>
      <c r="T176" s="101"/>
      <c r="U176" s="62"/>
      <c r="V176" s="62"/>
    </row>
    <row r="177" spans="1:22">
      <c r="A177" s="58">
        <v>45</v>
      </c>
      <c r="B177" s="58">
        <v>50</v>
      </c>
      <c r="C177" s="72">
        <v>124930</v>
      </c>
      <c r="D177" s="72">
        <v>594016865</v>
      </c>
      <c r="E177" s="59">
        <v>5.1501157961879908E-3</v>
      </c>
      <c r="F177" s="93">
        <v>47.547976066597293</v>
      </c>
      <c r="G177" s="100">
        <v>5.24</v>
      </c>
      <c r="H177" s="61" t="str">
        <f t="shared" si="2"/>
        <v>(45, 50]</v>
      </c>
      <c r="I177" s="62">
        <v>5.2120183999999998</v>
      </c>
      <c r="J177" s="59">
        <v>2.6842498291862457E-2</v>
      </c>
      <c r="K177" s="59">
        <v>2.6923997564506471E-2</v>
      </c>
      <c r="L177" s="117">
        <v>26923997</v>
      </c>
      <c r="M177" s="59">
        <v>2.6923997511555952E-2</v>
      </c>
      <c r="N177" s="59">
        <v>1.2801815892965875</v>
      </c>
      <c r="O177" s="119">
        <v>4.69081656</v>
      </c>
      <c r="P177" s="59">
        <v>2.6923997511555952E-2</v>
      </c>
      <c r="Q177" s="59">
        <v>2.7000172594003797E-2</v>
      </c>
      <c r="R177" s="59">
        <v>2.4096385542168676E-2</v>
      </c>
      <c r="S177" s="83">
        <v>1</v>
      </c>
      <c r="T177" s="101"/>
      <c r="U177" s="62"/>
      <c r="V177" s="62"/>
    </row>
    <row r="178" spans="1:22">
      <c r="A178" s="58">
        <v>50</v>
      </c>
      <c r="B178" s="58">
        <v>60</v>
      </c>
      <c r="C178" s="72">
        <v>263716</v>
      </c>
      <c r="D178" s="72">
        <v>1452783265</v>
      </c>
      <c r="E178" s="59">
        <v>1.0871431500100153E-2</v>
      </c>
      <c r="F178" s="93">
        <v>55.088931464150825</v>
      </c>
      <c r="G178" s="100">
        <v>2.1</v>
      </c>
      <c r="H178" s="113" t="str">
        <f t="shared" si="2"/>
        <v>(50, 60]</v>
      </c>
      <c r="I178" s="62">
        <v>2.0887860000000003</v>
      </c>
      <c r="J178" s="59">
        <v>2.2708093917368201E-2</v>
      </c>
      <c r="K178" s="59">
        <v>2.2777040299231568E-2</v>
      </c>
      <c r="L178" s="117">
        <v>22777040</v>
      </c>
      <c r="M178" s="59">
        <v>2.2777040432763768E-2</v>
      </c>
      <c r="N178" s="59">
        <v>1.2547628193567155</v>
      </c>
      <c r="O178" s="119">
        <v>1.8799074000000002</v>
      </c>
      <c r="P178" s="59">
        <v>2.2777040432763768E-2</v>
      </c>
      <c r="Q178" s="59">
        <v>2.2800440501609689E-2</v>
      </c>
      <c r="R178" s="59">
        <v>2.4096385542168676E-2</v>
      </c>
      <c r="S178" s="83">
        <v>1</v>
      </c>
      <c r="T178" s="101"/>
      <c r="U178" s="62"/>
      <c r="V178" s="62"/>
    </row>
    <row r="179" spans="1:22">
      <c r="A179" s="58">
        <v>60</v>
      </c>
      <c r="B179" s="58">
        <v>70</v>
      </c>
      <c r="C179" s="72">
        <v>278410</v>
      </c>
      <c r="D179" s="72">
        <v>1811769945</v>
      </c>
      <c r="E179" s="59">
        <v>1.1477177129726235E-2</v>
      </c>
      <c r="F179" s="93">
        <v>65.07560594087856</v>
      </c>
      <c r="G179" s="90">
        <v>5.87</v>
      </c>
      <c r="H179" s="61" t="str">
        <f t="shared" si="2"/>
        <v>(60, 70]</v>
      </c>
      <c r="I179" s="62">
        <v>5.8386541999999997</v>
      </c>
      <c r="J179" s="59">
        <v>6.7011268452620024E-2</v>
      </c>
      <c r="K179" s="59">
        <v>6.7214728263940829E-2</v>
      </c>
      <c r="L179" s="117">
        <v>67214728</v>
      </c>
      <c r="M179" s="59">
        <v>6.721472927707986E-2</v>
      </c>
      <c r="N179" s="59">
        <v>4.3740392358580822</v>
      </c>
      <c r="O179" s="119">
        <v>5.2547887800000002</v>
      </c>
      <c r="P179" s="59">
        <v>6.721472927707986E-2</v>
      </c>
      <c r="Q179" s="59">
        <v>6.7250440479509691E-2</v>
      </c>
      <c r="R179" s="59">
        <v>6.0240963855421686E-2</v>
      </c>
      <c r="S179" s="83">
        <v>1</v>
      </c>
      <c r="T179" s="101"/>
      <c r="U179" s="62"/>
      <c r="V179" s="62"/>
    </row>
    <row r="180" spans="1:22">
      <c r="A180" s="58">
        <v>70</v>
      </c>
      <c r="B180" s="58">
        <v>80</v>
      </c>
      <c r="C180" s="72">
        <v>292943</v>
      </c>
      <c r="D180" s="72">
        <v>2198993770</v>
      </c>
      <c r="E180" s="59">
        <v>1.2076285693449922E-2</v>
      </c>
      <c r="F180" s="93">
        <v>75.065585113827595</v>
      </c>
      <c r="G180" s="90">
        <v>5.04</v>
      </c>
      <c r="H180" s="61" t="str">
        <f t="shared" si="2"/>
        <v>(70, 80]</v>
      </c>
      <c r="I180" s="62">
        <v>5.0130863999999997</v>
      </c>
      <c r="J180" s="59">
        <v>6.0539463572348365E-2</v>
      </c>
      <c r="K180" s="59">
        <v>6.0723273670564931E-2</v>
      </c>
      <c r="L180" s="117">
        <v>60723273</v>
      </c>
      <c r="M180" s="59">
        <v>6.0723274153742207E-2</v>
      </c>
      <c r="N180" s="59">
        <v>4.5582281043780233</v>
      </c>
      <c r="O180" s="119">
        <v>4.5117777600000002</v>
      </c>
      <c r="P180" s="59">
        <v>6.0723274153742207E-2</v>
      </c>
      <c r="Q180" s="59">
        <v>6.064221133412865E-2</v>
      </c>
      <c r="R180" s="59">
        <v>4.8192771084337352E-2</v>
      </c>
      <c r="S180" s="83">
        <v>1</v>
      </c>
      <c r="T180" s="101"/>
      <c r="U180" s="62"/>
      <c r="V180" s="62"/>
    </row>
    <row r="181" spans="1:22">
      <c r="A181" s="58">
        <v>80</v>
      </c>
      <c r="B181" s="58">
        <v>90</v>
      </c>
      <c r="C181" s="72">
        <v>305374</v>
      </c>
      <c r="D181" s="72">
        <v>2597627590</v>
      </c>
      <c r="E181" s="59">
        <v>1.2588741384336121E-2</v>
      </c>
      <c r="F181" s="93">
        <v>85.063809951076379</v>
      </c>
      <c r="G181" s="90">
        <v>2.46</v>
      </c>
      <c r="H181" s="61" t="str">
        <f t="shared" si="2"/>
        <v>(80, 90]</v>
      </c>
      <c r="I181" s="62">
        <v>2.4468635999999999</v>
      </c>
      <c r="J181" s="59">
        <v>3.0802933063145663E-2</v>
      </c>
      <c r="K181" s="59">
        <v>3.0896457019546908E-2</v>
      </c>
      <c r="L181" s="117">
        <v>30896457</v>
      </c>
      <c r="M181" s="59">
        <v>3.0896457587032695E-2</v>
      </c>
      <c r="N181" s="59">
        <v>2.6281703963448413</v>
      </c>
      <c r="O181" s="119">
        <v>2.2021772400000001</v>
      </c>
      <c r="P181" s="59">
        <v>3.0896457587032695E-2</v>
      </c>
      <c r="Q181" s="59">
        <v>3.0830899678279792E-2</v>
      </c>
      <c r="R181" s="59">
        <v>2.4096385542168676E-2</v>
      </c>
      <c r="S181" s="83">
        <v>1</v>
      </c>
      <c r="T181" s="101"/>
      <c r="U181" s="62"/>
      <c r="V181" s="62"/>
    </row>
    <row r="182" spans="1:22">
      <c r="A182" s="58">
        <v>90</v>
      </c>
      <c r="B182" s="58">
        <v>100</v>
      </c>
      <c r="C182" s="72">
        <v>315484</v>
      </c>
      <c r="D182" s="72">
        <v>2999180475</v>
      </c>
      <c r="E182" s="59">
        <v>1.3005516143797103E-2</v>
      </c>
      <c r="F182" s="93">
        <v>95.066008894270396</v>
      </c>
      <c r="G182" s="90">
        <v>2.09</v>
      </c>
      <c r="H182" s="61" t="str">
        <f t="shared" si="2"/>
        <v>(90, 100]</v>
      </c>
      <c r="I182" s="115">
        <v>2.0788393999999997</v>
      </c>
      <c r="J182" s="116">
        <v>2.7036379377061479E-2</v>
      </c>
      <c r="K182" s="116">
        <v>2.7118467312029371E-2</v>
      </c>
      <c r="L182" s="117">
        <v>27118467</v>
      </c>
      <c r="M182" s="116">
        <v>2.7118467515250884E-2</v>
      </c>
      <c r="N182" s="116">
        <v>2.5780444740038235</v>
      </c>
      <c r="O182" s="119">
        <v>1.8709554599999998</v>
      </c>
      <c r="P182" s="59">
        <v>2.7118467515250884E-2</v>
      </c>
      <c r="Q182" s="59">
        <v>2.7035605594783324E-2</v>
      </c>
      <c r="R182" s="59">
        <v>1.2048192771084338E-2</v>
      </c>
      <c r="S182" s="83">
        <v>1</v>
      </c>
      <c r="T182" s="101"/>
      <c r="U182" s="62"/>
      <c r="V182" s="62"/>
    </row>
    <row r="183" spans="1:22">
      <c r="A183" s="58">
        <v>100</v>
      </c>
      <c r="B183" s="58">
        <v>120</v>
      </c>
      <c r="C183" s="72">
        <v>657512</v>
      </c>
      <c r="D183" s="72">
        <v>7239778765</v>
      </c>
      <c r="E183" s="59">
        <v>2.7105282457241323E-2</v>
      </c>
      <c r="F183" s="93">
        <v>110.10869406185742</v>
      </c>
      <c r="G183" s="90">
        <v>1.58</v>
      </c>
      <c r="H183" s="61" t="str">
        <f t="shared" si="2"/>
        <v>(100, 120]</v>
      </c>
      <c r="I183" s="115">
        <v>1.5715628000000001</v>
      </c>
      <c r="J183" s="116">
        <v>4.259765359329306E-2</v>
      </c>
      <c r="K183" s="116">
        <v>4.2726988715026032E-2</v>
      </c>
      <c r="L183" s="117">
        <v>42726988</v>
      </c>
      <c r="M183" s="116">
        <v>4.2726988811812784E-2</v>
      </c>
      <c r="N183" s="116">
        <v>4.7046129392642984</v>
      </c>
      <c r="O183" s="119">
        <v>1.4144065200000002</v>
      </c>
      <c r="P183" s="59">
        <v>4.2726988811812784E-2</v>
      </c>
      <c r="Q183" s="59">
        <v>4.2740282940286221E-2</v>
      </c>
      <c r="R183" s="59">
        <v>6.0240963855421686E-2</v>
      </c>
      <c r="S183" s="83">
        <v>1</v>
      </c>
      <c r="T183" s="101"/>
      <c r="U183" s="62"/>
      <c r="V183" s="62"/>
    </row>
    <row r="184" spans="1:22">
      <c r="A184" s="58">
        <v>120</v>
      </c>
      <c r="B184" s="58">
        <v>140</v>
      </c>
      <c r="C184" s="72">
        <v>679555</v>
      </c>
      <c r="D184" s="72">
        <v>8838584145</v>
      </c>
      <c r="E184" s="59">
        <v>2.8013983349704074E-2</v>
      </c>
      <c r="F184" s="93">
        <v>130.06429420723856</v>
      </c>
      <c r="G184" s="90">
        <v>0.67</v>
      </c>
      <c r="H184" s="61" t="str">
        <f t="shared" si="2"/>
        <v>(120, 140]</v>
      </c>
      <c r="I184" s="115">
        <v>0.66642220000000008</v>
      </c>
      <c r="J184" s="116">
        <v>1.8669140414673161E-2</v>
      </c>
      <c r="K184" s="116">
        <v>1.872582371397493E-2</v>
      </c>
      <c r="L184" s="117">
        <v>18725823</v>
      </c>
      <c r="M184" s="116">
        <v>1.8725823355790643E-2</v>
      </c>
      <c r="N184" s="116">
        <v>2.4355609982203332</v>
      </c>
      <c r="O184" s="119">
        <v>0.5997799800000001</v>
      </c>
      <c r="P184" s="59">
        <v>1.8725823355790643E-2</v>
      </c>
      <c r="Q184" s="59">
        <v>1.8780093413162054E-2</v>
      </c>
      <c r="R184" s="59">
        <v>7.2289156626506021E-2</v>
      </c>
      <c r="S184" s="83">
        <v>1</v>
      </c>
      <c r="T184" s="101"/>
      <c r="U184" s="62"/>
      <c r="V184" s="62"/>
    </row>
    <row r="185" spans="1:22">
      <c r="A185" s="58">
        <v>140</v>
      </c>
      <c r="B185" s="58">
        <v>160</v>
      </c>
      <c r="C185" s="72">
        <v>693797</v>
      </c>
      <c r="D185" s="72">
        <v>10410692205</v>
      </c>
      <c r="E185" s="59">
        <v>2.8601095725989269E-2</v>
      </c>
      <c r="F185" s="93">
        <v>150.05386597232331</v>
      </c>
      <c r="G185" s="90">
        <v>1.01</v>
      </c>
      <c r="H185" s="61" t="str">
        <f t="shared" si="2"/>
        <v>(140, 160]</v>
      </c>
      <c r="I185" s="115">
        <v>1.0046066</v>
      </c>
      <c r="J185" s="116">
        <v>2.873284953356061E-2</v>
      </c>
      <c r="K185" s="116">
        <v>2.8820088296231408E-2</v>
      </c>
      <c r="L185" s="117">
        <v>28820088</v>
      </c>
      <c r="M185" s="116">
        <v>2.8820088547581682E-2</v>
      </c>
      <c r="N185" s="116">
        <v>4.324565704229312</v>
      </c>
      <c r="O185" s="119">
        <v>0.90414594000000004</v>
      </c>
      <c r="P185" s="59">
        <v>2.8820088547581682E-2</v>
      </c>
      <c r="Q185" s="59">
        <v>2.8816647633966248E-2</v>
      </c>
      <c r="R185" s="59">
        <v>2.4096385542168676E-2</v>
      </c>
      <c r="S185" s="83">
        <v>1</v>
      </c>
      <c r="T185" s="101"/>
      <c r="U185" s="62"/>
      <c r="V185" s="62"/>
    </row>
    <row r="186" spans="1:22">
      <c r="A186" s="58">
        <v>160</v>
      </c>
      <c r="B186" s="58">
        <v>180</v>
      </c>
      <c r="C186" s="72">
        <v>696894</v>
      </c>
      <c r="D186" s="72">
        <v>11849706220</v>
      </c>
      <c r="E186" s="59">
        <v>2.8728766490583795E-2</v>
      </c>
      <c r="F186" s="93">
        <v>170.03599141332828</v>
      </c>
      <c r="G186" s="90">
        <v>0.3</v>
      </c>
      <c r="H186" s="61" t="str">
        <f t="shared" si="2"/>
        <v>(160, 180]</v>
      </c>
      <c r="I186" s="115">
        <v>0.298398</v>
      </c>
      <c r="J186" s="116">
        <v>8.5726064632572225E-3</v>
      </c>
      <c r="K186" s="116">
        <v>8.5986346363364271E-3</v>
      </c>
      <c r="L186" s="117">
        <v>8598634</v>
      </c>
      <c r="M186" s="116">
        <v>8.5986341633740495E-3</v>
      </c>
      <c r="N186" s="116">
        <v>1.4620772847698211</v>
      </c>
      <c r="O186" s="119">
        <v>0.26855820000000002</v>
      </c>
      <c r="P186" s="59">
        <v>8.5986341633740495E-3</v>
      </c>
      <c r="Q186" s="59">
        <v>8.5080991871781825E-3</v>
      </c>
      <c r="R186" s="59">
        <v>3.614457831325301E-2</v>
      </c>
      <c r="S186" s="83">
        <v>0.99</v>
      </c>
      <c r="T186" s="101"/>
      <c r="U186" s="62"/>
      <c r="V186" s="62"/>
    </row>
    <row r="187" spans="1:22">
      <c r="A187" s="58">
        <v>180</v>
      </c>
      <c r="B187" s="58">
        <v>200</v>
      </c>
      <c r="C187" s="72">
        <v>694774</v>
      </c>
      <c r="D187" s="72">
        <v>13201072020</v>
      </c>
      <c r="E187" s="59">
        <v>2.864137158553362E-2</v>
      </c>
      <c r="F187" s="93">
        <v>190.00526818792875</v>
      </c>
      <c r="G187" s="90">
        <v>0.26</v>
      </c>
      <c r="H187" s="61" t="str">
        <f t="shared" si="2"/>
        <v>(180, 200]</v>
      </c>
      <c r="I187" s="115">
        <v>0.2586116</v>
      </c>
      <c r="J187" s="116">
        <v>7.4069909319293865E-3</v>
      </c>
      <c r="K187" s="116">
        <v>7.4294800596875158E-3</v>
      </c>
      <c r="L187" s="117">
        <v>7429480</v>
      </c>
      <c r="M187" s="116">
        <v>7.4294801411601231E-3</v>
      </c>
      <c r="N187" s="116">
        <v>1.41164036671802</v>
      </c>
      <c r="O187" s="119">
        <v>0.23275044</v>
      </c>
      <c r="P187" s="59">
        <v>7.4294801411601231E-3</v>
      </c>
      <c r="Q187" s="59">
        <v>7.4870671647154774E-3</v>
      </c>
      <c r="R187" s="59">
        <v>0</v>
      </c>
      <c r="S187" s="83">
        <v>1.01</v>
      </c>
      <c r="T187" s="101"/>
      <c r="U187" s="62"/>
      <c r="V187" s="62"/>
    </row>
    <row r="188" spans="1:22">
      <c r="A188" s="58">
        <v>200</v>
      </c>
      <c r="B188" s="58">
        <v>250</v>
      </c>
      <c r="C188" s="72">
        <v>1690111</v>
      </c>
      <c r="D188" s="72">
        <v>38000662260</v>
      </c>
      <c r="E188" s="59">
        <v>6.9673155834556008E-2</v>
      </c>
      <c r="F188" s="93">
        <v>224.84122202624559</v>
      </c>
      <c r="G188" s="90">
        <v>0.28999999999999998</v>
      </c>
      <c r="H188" s="61" t="str">
        <f t="shared" si="2"/>
        <v>(200, 250]</v>
      </c>
      <c r="I188" s="115">
        <v>0.28845139999999997</v>
      </c>
      <c r="J188" s="116">
        <v>2.0097319342895846E-2</v>
      </c>
      <c r="K188" s="116">
        <v>2.0158338883280322E-2</v>
      </c>
      <c r="L188" s="117">
        <v>20158338</v>
      </c>
      <c r="M188" s="116">
        <v>2.0158338383008428E-2</v>
      </c>
      <c r="N188" s="116">
        <v>4.5324254360541865</v>
      </c>
      <c r="O188" s="119">
        <v>0.25960625999999998</v>
      </c>
      <c r="P188" s="59">
        <v>2.0158338383008428E-2</v>
      </c>
      <c r="Q188" s="59">
        <v>2.0060522441331493E-2</v>
      </c>
      <c r="R188" s="59">
        <v>6.0240963855421686E-2</v>
      </c>
      <c r="S188" s="83">
        <v>1</v>
      </c>
      <c r="T188" s="101"/>
      <c r="U188" s="62"/>
      <c r="V188" s="62"/>
    </row>
    <row r="189" spans="1:22">
      <c r="A189" s="58">
        <v>250</v>
      </c>
      <c r="B189" s="58">
        <v>300</v>
      </c>
      <c r="C189" s="72">
        <v>1586325</v>
      </c>
      <c r="D189" s="72">
        <v>43582265865</v>
      </c>
      <c r="E189" s="59">
        <v>6.5394680544208078E-2</v>
      </c>
      <c r="F189" s="93">
        <v>274.73730707767953</v>
      </c>
      <c r="G189" s="90">
        <v>0.09</v>
      </c>
      <c r="H189" s="61" t="str">
        <f t="shared" si="2"/>
        <v>(250, 300]</v>
      </c>
      <c r="I189" s="115">
        <v>8.9519399999999999E-2</v>
      </c>
      <c r="J189" s="116">
        <v>5.8540925655091803E-3</v>
      </c>
      <c r="K189" s="116">
        <v>5.8718667786577519E-3</v>
      </c>
      <c r="L189" s="117">
        <v>5871866</v>
      </c>
      <c r="M189" s="116">
        <v>5.8718661115654564E-3</v>
      </c>
      <c r="N189" s="116">
        <v>1.6132206830121789</v>
      </c>
      <c r="O189" s="119">
        <v>8.0567460000000007E-2</v>
      </c>
      <c r="P189" s="59">
        <v>5.8718661115654564E-3</v>
      </c>
      <c r="Q189" s="59">
        <v>5.6530021243660468E-3</v>
      </c>
      <c r="R189" s="59">
        <v>2.4096385542168676E-2</v>
      </c>
      <c r="S189" s="83">
        <v>0.96</v>
      </c>
      <c r="T189" s="101"/>
      <c r="U189" s="62"/>
      <c r="V189" s="62"/>
    </row>
    <row r="190" spans="1:22">
      <c r="A190" s="58">
        <v>300</v>
      </c>
      <c r="B190" s="58">
        <v>350</v>
      </c>
      <c r="C190" s="72">
        <v>1461166</v>
      </c>
      <c r="D190" s="72">
        <v>47439728200</v>
      </c>
      <c r="E190" s="59">
        <v>6.0235124449314191E-2</v>
      </c>
      <c r="F190" s="93">
        <v>324.67035367644746</v>
      </c>
      <c r="G190" s="90">
        <v>0.08</v>
      </c>
      <c r="H190" s="61" t="str">
        <f t="shared" si="2"/>
        <v>(300, 350]</v>
      </c>
      <c r="I190" s="115">
        <v>7.9572799999999999E-2</v>
      </c>
      <c r="J190" s="116">
        <v>4.7930775107803882E-3</v>
      </c>
      <c r="K190" s="116">
        <v>4.8076302668840706E-3</v>
      </c>
      <c r="L190" s="117">
        <v>4807630</v>
      </c>
      <c r="M190" s="116">
        <v>4.8076300913449718E-3</v>
      </c>
      <c r="N190" s="116">
        <v>1.5608949621025034</v>
      </c>
      <c r="O190" s="119">
        <v>7.1615520000000002E-2</v>
      </c>
      <c r="P190" s="59">
        <v>4.8076300913449718E-3</v>
      </c>
      <c r="Q190" s="59">
        <v>4.8534741067764306E-3</v>
      </c>
      <c r="R190" s="59">
        <v>1.2048192771084338E-2</v>
      </c>
      <c r="S190" s="83">
        <v>1.01</v>
      </c>
      <c r="T190" s="101"/>
      <c r="U190" s="62"/>
      <c r="V190" s="62"/>
    </row>
    <row r="191" spans="1:22">
      <c r="A191" s="58">
        <v>350</v>
      </c>
      <c r="B191" s="58">
        <v>400</v>
      </c>
      <c r="C191" s="72">
        <v>1327291</v>
      </c>
      <c r="D191" s="72">
        <v>49720969540</v>
      </c>
      <c r="E191" s="59">
        <v>5.4716259867430998E-2</v>
      </c>
      <c r="F191" s="93">
        <v>374.60488724778514</v>
      </c>
      <c r="G191" s="90">
        <v>9.0000000000000011E-3</v>
      </c>
      <c r="H191" s="61" t="str">
        <f t="shared" si="2"/>
        <v>(350, 400]</v>
      </c>
      <c r="I191" s="115">
        <v>8.9519400000000002E-3</v>
      </c>
      <c r="J191" s="116">
        <v>4.8981667535765024E-4</v>
      </c>
      <c r="K191" s="116">
        <v>4.9130385819497429E-4</v>
      </c>
      <c r="L191" s="117">
        <v>491303</v>
      </c>
      <c r="M191" s="116">
        <v>4.9130300933475715E-4</v>
      </c>
      <c r="N191" s="116">
        <v>0.18404450841634423</v>
      </c>
      <c r="O191" s="119">
        <v>8.056746E-3</v>
      </c>
      <c r="P191" s="59">
        <v>4.9130300933475715E-4</v>
      </c>
      <c r="Q191" s="59">
        <v>6.8415601505143232E-4</v>
      </c>
      <c r="R191" s="59">
        <v>0</v>
      </c>
      <c r="S191" s="83">
        <v>1.39</v>
      </c>
      <c r="T191" s="101"/>
      <c r="U191" s="62"/>
      <c r="V191" s="62"/>
    </row>
    <row r="192" spans="1:22">
      <c r="A192" s="58">
        <v>400</v>
      </c>
      <c r="B192" s="58">
        <v>450</v>
      </c>
      <c r="C192" s="72">
        <v>1196169</v>
      </c>
      <c r="D192" s="72">
        <v>50790344430</v>
      </c>
      <c r="E192" s="59">
        <v>4.9310884990077589E-2</v>
      </c>
      <c r="F192" s="93">
        <v>424.60843267130315</v>
      </c>
      <c r="G192" s="90">
        <v>9.0000000000000011E-3</v>
      </c>
      <c r="H192" s="61" t="str">
        <f t="shared" si="2"/>
        <v>(400, 450]</v>
      </c>
      <c r="I192" s="115">
        <v>8.9519400000000002E-3</v>
      </c>
      <c r="J192" s="116">
        <v>4.4142808377807519E-4</v>
      </c>
      <c r="K192" s="116">
        <v>4.4276834903063779E-4</v>
      </c>
      <c r="L192" s="117">
        <v>442768</v>
      </c>
      <c r="M192" s="116">
        <v>4.4276800841259214E-4</v>
      </c>
      <c r="N192" s="116">
        <v>0.1880030300890651</v>
      </c>
      <c r="O192" s="119">
        <v>8.056746E-3</v>
      </c>
      <c r="P192" s="59">
        <v>4.4276800841259214E-4</v>
      </c>
      <c r="Q192" s="59">
        <v>6.1849301360684635E-4</v>
      </c>
      <c r="R192" s="59">
        <v>0</v>
      </c>
      <c r="S192" s="83">
        <v>1.4</v>
      </c>
      <c r="T192" s="101"/>
      <c r="U192" s="62"/>
      <c r="V192" s="62"/>
    </row>
    <row r="193" spans="1:22">
      <c r="A193" s="58">
        <v>450</v>
      </c>
      <c r="B193" s="58">
        <v>500</v>
      </c>
      <c r="C193" s="72">
        <v>1072191</v>
      </c>
      <c r="D193" s="72">
        <v>50882431450</v>
      </c>
      <c r="E193" s="59">
        <v>4.4200014453138543E-2</v>
      </c>
      <c r="F193" s="93">
        <v>474.56499308425458</v>
      </c>
      <c r="G193" s="90">
        <v>9.0000000000000011E-3</v>
      </c>
      <c r="H193" s="61" t="str">
        <f t="shared" si="2"/>
        <v>(450, 500]</v>
      </c>
      <c r="I193" s="115">
        <v>8.9519400000000002E-3</v>
      </c>
      <c r="J193" s="116">
        <v>3.9567587738362908E-4</v>
      </c>
      <c r="K193" s="116">
        <v>3.9687722965192092E-4</v>
      </c>
      <c r="L193" s="117">
        <v>396877</v>
      </c>
      <c r="M193" s="116">
        <v>3.9687700754066315E-4</v>
      </c>
      <c r="N193" s="116">
        <v>0.18834393433883445</v>
      </c>
      <c r="O193" s="119">
        <v>8.056746E-3</v>
      </c>
      <c r="P193" s="59">
        <v>3.9687700754066315E-4</v>
      </c>
      <c r="Q193" s="59">
        <v>5.5034501210759026E-4</v>
      </c>
      <c r="R193" s="59">
        <v>0</v>
      </c>
      <c r="S193" s="83">
        <v>1.39</v>
      </c>
      <c r="T193" s="101"/>
      <c r="U193" s="62"/>
      <c r="V193" s="62"/>
    </row>
    <row r="194" spans="1:22">
      <c r="A194" s="58">
        <v>500</v>
      </c>
      <c r="B194" s="58">
        <v>550</v>
      </c>
      <c r="C194" s="72">
        <v>961434</v>
      </c>
      <c r="D194" s="72">
        <v>50433708950</v>
      </c>
      <c r="E194" s="59">
        <v>3.9634166576420431E-2</v>
      </c>
      <c r="F194" s="93">
        <v>524.56756209994649</v>
      </c>
      <c r="G194" s="90">
        <v>9.0000000000000011E-3</v>
      </c>
      <c r="H194" s="61" t="str">
        <f t="shared" si="2"/>
        <v>(500, 550]</v>
      </c>
      <c r="I194" s="115">
        <v>8.9519400000000002E-3</v>
      </c>
      <c r="J194" s="116">
        <v>3.548026811421211E-4</v>
      </c>
      <c r="K194" s="116">
        <v>3.5587993409118789E-4</v>
      </c>
      <c r="L194" s="117">
        <v>355879</v>
      </c>
      <c r="M194" s="116">
        <v>3.5587900676170114E-4</v>
      </c>
      <c r="N194" s="116">
        <v>0.18668258297953594</v>
      </c>
      <c r="O194" s="119">
        <v>8.056746E-3</v>
      </c>
      <c r="P194" s="59">
        <v>3.5587900676170114E-4</v>
      </c>
      <c r="Q194" s="59">
        <v>4.9546201090016424E-4</v>
      </c>
      <c r="R194" s="59">
        <v>0</v>
      </c>
      <c r="S194" s="83">
        <v>1.39</v>
      </c>
      <c r="T194" s="101"/>
      <c r="U194" s="62"/>
      <c r="V194" s="62"/>
    </row>
    <row r="195" spans="1:22">
      <c r="A195" s="58">
        <v>550</v>
      </c>
      <c r="B195" s="58">
        <v>600</v>
      </c>
      <c r="C195" s="72">
        <v>858161</v>
      </c>
      <c r="D195" s="72">
        <v>49305917765</v>
      </c>
      <c r="E195" s="59">
        <v>3.5376839204134175E-2</v>
      </c>
      <c r="F195" s="93">
        <v>574.55323377548029</v>
      </c>
      <c r="G195" s="90">
        <v>9.0000000000000011E-3</v>
      </c>
      <c r="H195" s="61" t="str">
        <f t="shared" si="2"/>
        <v>(550, 600]</v>
      </c>
      <c r="I195" s="62">
        <v>8.9519400000000002E-3</v>
      </c>
      <c r="J195" s="59">
        <v>3.1669134194505687E-4</v>
      </c>
      <c r="K195" s="59">
        <v>3.176528811334194E-4</v>
      </c>
      <c r="L195" s="117">
        <v>317652</v>
      </c>
      <c r="M195" s="59">
        <v>3.1765200603538809E-4</v>
      </c>
      <c r="N195" s="59">
        <v>0.1825079872829006</v>
      </c>
      <c r="O195" s="119">
        <v>8.056746E-3</v>
      </c>
      <c r="P195" s="59">
        <v>3.1765200603538809E-4</v>
      </c>
      <c r="Q195" s="59">
        <v>4.4155900971429822E-4</v>
      </c>
      <c r="R195" s="59">
        <v>0</v>
      </c>
      <c r="S195" s="83">
        <v>1.39</v>
      </c>
      <c r="T195" s="101"/>
      <c r="U195" s="62"/>
      <c r="V195" s="62"/>
    </row>
    <row r="196" spans="1:22">
      <c r="A196" s="58">
        <v>600</v>
      </c>
      <c r="B196" s="58">
        <v>650</v>
      </c>
      <c r="C196" s="72">
        <v>768517</v>
      </c>
      <c r="D196" s="72">
        <v>47996705110</v>
      </c>
      <c r="E196" s="59">
        <v>3.1681353888889825E-2</v>
      </c>
      <c r="F196" s="93">
        <v>624.53667400981374</v>
      </c>
      <c r="G196" s="90">
        <v>9.0000000000000011E-3</v>
      </c>
      <c r="H196" s="61" t="str">
        <f t="shared" si="2"/>
        <v>(600, 650]</v>
      </c>
      <c r="I196" s="62">
        <v>8.9519400000000002E-3</v>
      </c>
      <c r="J196" s="59">
        <v>2.8360957913210841E-4</v>
      </c>
      <c r="K196" s="59">
        <v>2.8447067537444847E-4</v>
      </c>
      <c r="L196" s="117">
        <v>284470</v>
      </c>
      <c r="M196" s="59">
        <v>2.8447000540493008E-4</v>
      </c>
      <c r="N196" s="59">
        <v>0.17766195103114876</v>
      </c>
      <c r="O196" s="119">
        <v>8.056746E-3</v>
      </c>
      <c r="P196" s="59">
        <v>2.8447000540493008E-4</v>
      </c>
      <c r="Q196" s="59">
        <v>3.923070086307542E-4</v>
      </c>
      <c r="R196" s="59">
        <v>0</v>
      </c>
      <c r="S196" s="83">
        <v>1.38</v>
      </c>
      <c r="T196" s="101"/>
      <c r="U196" s="62"/>
      <c r="V196" s="62"/>
    </row>
    <row r="197" spans="1:22">
      <c r="A197" s="58">
        <v>650</v>
      </c>
      <c r="B197" s="58">
        <v>700</v>
      </c>
      <c r="C197" s="72">
        <v>683292</v>
      </c>
      <c r="D197" s="72">
        <v>46093319110</v>
      </c>
      <c r="E197" s="59">
        <v>2.8168037481860919E-2</v>
      </c>
      <c r="F197" s="93">
        <v>674.57718091240645</v>
      </c>
      <c r="G197" s="90">
        <v>9.0000000000000011E-3</v>
      </c>
      <c r="H197" s="61" t="str">
        <f t="shared" si="2"/>
        <v>(650, 700]</v>
      </c>
      <c r="I197" s="62">
        <v>8.9519400000000002E-3</v>
      </c>
      <c r="J197" s="59">
        <v>2.5215858145537007E-4</v>
      </c>
      <c r="K197" s="59">
        <v>2.5292418608561379E-4</v>
      </c>
      <c r="L197" s="117">
        <v>252924</v>
      </c>
      <c r="M197" s="59">
        <v>2.5292400480555609E-4</v>
      </c>
      <c r="N197" s="59">
        <v>0.17061676214680796</v>
      </c>
      <c r="O197" s="119">
        <v>8.056746E-3</v>
      </c>
      <c r="P197" s="59">
        <v>2.5292400480555609E-4</v>
      </c>
      <c r="Q197" s="59">
        <v>3.4953800768983617E-4</v>
      </c>
      <c r="R197" s="59">
        <v>0</v>
      </c>
      <c r="S197" s="83">
        <v>1.38</v>
      </c>
      <c r="T197" s="101"/>
      <c r="U197" s="62"/>
      <c r="V197" s="62"/>
    </row>
    <row r="198" spans="1:22">
      <c r="A198" s="58">
        <v>700</v>
      </c>
      <c r="B198" s="58">
        <v>750</v>
      </c>
      <c r="C198" s="72">
        <v>611636</v>
      </c>
      <c r="D198" s="72">
        <v>44317015225</v>
      </c>
      <c r="E198" s="59">
        <v>2.5214089691164957E-2</v>
      </c>
      <c r="F198" s="93">
        <v>724.56518623822001</v>
      </c>
      <c r="G198" s="90">
        <v>9.0000000000000011E-3</v>
      </c>
      <c r="H198" s="61" t="str">
        <f t="shared" si="2"/>
        <v>(700, 750]</v>
      </c>
      <c r="I198" s="62">
        <v>8.9519400000000002E-3</v>
      </c>
      <c r="J198" s="59">
        <v>2.2571501806992723E-4</v>
      </c>
      <c r="K198" s="59">
        <v>2.2640033467486882E-4</v>
      </c>
      <c r="L198" s="117">
        <v>226400</v>
      </c>
      <c r="M198" s="59">
        <v>2.2640000430160009E-4</v>
      </c>
      <c r="N198" s="59">
        <v>0.16404156128112268</v>
      </c>
      <c r="O198" s="119">
        <v>8.056746E-3</v>
      </c>
      <c r="P198" s="59">
        <v>2.2640000430160009E-4</v>
      </c>
      <c r="Q198" s="59">
        <v>3.0851800678739614E-4</v>
      </c>
      <c r="R198" s="59">
        <v>0</v>
      </c>
      <c r="S198" s="83">
        <v>1.36</v>
      </c>
      <c r="T198" s="101"/>
      <c r="U198" s="62"/>
      <c r="V198" s="62"/>
    </row>
    <row r="199" spans="1:22">
      <c r="A199" s="58">
        <v>750</v>
      </c>
      <c r="B199" s="58">
        <v>800</v>
      </c>
      <c r="C199" s="72">
        <v>547007</v>
      </c>
      <c r="D199" s="72">
        <v>42369377450</v>
      </c>
      <c r="E199" s="59">
        <v>2.2549823031500875E-2</v>
      </c>
      <c r="F199" s="93">
        <v>774.56737208116169</v>
      </c>
      <c r="G199" s="90">
        <v>9.0000000000000011E-3</v>
      </c>
      <c r="H199" s="61" t="str">
        <f t="shared" si="2"/>
        <v>(750, 800]</v>
      </c>
      <c r="I199" s="62">
        <v>8.9519400000000002E-3</v>
      </c>
      <c r="J199" s="59">
        <v>2.0186466278861395E-4</v>
      </c>
      <c r="K199" s="59">
        <v>2.0247756487436314E-4</v>
      </c>
      <c r="L199" s="117">
        <v>202477</v>
      </c>
      <c r="M199" s="59">
        <v>2.0247700384706308E-4</v>
      </c>
      <c r="N199" s="59">
        <v>0.15683208077668692</v>
      </c>
      <c r="O199" s="119">
        <v>8.056746E-3</v>
      </c>
      <c r="P199" s="59">
        <v>2.0247700384706308E-4</v>
      </c>
      <c r="Q199" s="59">
        <v>2.7821700612077412E-4</v>
      </c>
      <c r="R199" s="59">
        <v>0</v>
      </c>
      <c r="S199" s="83">
        <v>1.37</v>
      </c>
      <c r="T199" s="101"/>
      <c r="U199" s="62"/>
      <c r="V199" s="62"/>
    </row>
    <row r="200" spans="1:22">
      <c r="A200" s="58">
        <v>800</v>
      </c>
      <c r="B200" s="58">
        <v>850</v>
      </c>
      <c r="C200" s="72">
        <v>488638</v>
      </c>
      <c r="D200" s="72">
        <v>40292288310</v>
      </c>
      <c r="E200" s="59">
        <v>2.0143618685805713E-2</v>
      </c>
      <c r="F200" s="93">
        <v>824.58360401769824</v>
      </c>
      <c r="G200" s="90">
        <v>9.0000000000000011E-3</v>
      </c>
      <c r="H200" s="61" t="str">
        <f t="shared" si="2"/>
        <v>(800, 850]</v>
      </c>
      <c r="I200" s="62">
        <v>8.9519400000000002E-3</v>
      </c>
      <c r="J200" s="59">
        <v>1.8032446585821159E-4</v>
      </c>
      <c r="K200" s="59">
        <v>1.8087196753438083E-4</v>
      </c>
      <c r="L200" s="117">
        <v>180871</v>
      </c>
      <c r="M200" s="59">
        <v>1.8087100343654907E-4</v>
      </c>
      <c r="N200" s="59">
        <v>0.14914326387600713</v>
      </c>
      <c r="O200" s="119">
        <v>8.056746E-3</v>
      </c>
      <c r="P200" s="59">
        <v>1.8087100343654907E-4</v>
      </c>
      <c r="Q200" s="59">
        <v>2.487020054714441E-4</v>
      </c>
      <c r="R200" s="59">
        <v>0</v>
      </c>
      <c r="S200" s="83">
        <v>1.38</v>
      </c>
      <c r="T200" s="101"/>
      <c r="U200" s="62"/>
      <c r="V200" s="62"/>
    </row>
    <row r="201" spans="1:22">
      <c r="A201" s="58">
        <v>850</v>
      </c>
      <c r="B201" s="58">
        <v>900</v>
      </c>
      <c r="C201" s="72">
        <v>436284</v>
      </c>
      <c r="D201" s="72">
        <v>38155409865</v>
      </c>
      <c r="E201" s="59">
        <v>1.7985376771184516E-2</v>
      </c>
      <c r="F201" s="93">
        <v>874.5544155870947</v>
      </c>
      <c r="G201" s="90">
        <v>9.0000000000000011E-3</v>
      </c>
      <c r="H201" s="61" t="str">
        <f t="shared" si="2"/>
        <v>(850, 900]</v>
      </c>
      <c r="I201" s="62">
        <v>8.9519400000000002E-3</v>
      </c>
      <c r="J201" s="59">
        <v>1.6100401373303751E-4</v>
      </c>
      <c r="K201" s="59">
        <v>1.6149285459536469E-4</v>
      </c>
      <c r="L201" s="84">
        <v>161492</v>
      </c>
      <c r="M201" s="59">
        <v>1.6149200306834807E-4</v>
      </c>
      <c r="N201" s="59">
        <v>0.14123354436542845</v>
      </c>
      <c r="O201" s="119">
        <v>8.056746E-3</v>
      </c>
      <c r="P201" s="59">
        <v>1.6149200306834807E-4</v>
      </c>
      <c r="Q201" s="59">
        <v>2.218730048812061E-4</v>
      </c>
      <c r="R201" s="59">
        <v>0</v>
      </c>
      <c r="S201" s="83">
        <v>1.37</v>
      </c>
      <c r="T201" s="101"/>
      <c r="U201" s="62"/>
      <c r="V201" s="62"/>
    </row>
    <row r="202" spans="1:22">
      <c r="A202" s="58">
        <v>900</v>
      </c>
      <c r="B202" s="58">
        <v>950</v>
      </c>
      <c r="C202" s="72">
        <v>391482</v>
      </c>
      <c r="D202" s="72">
        <v>36195920885</v>
      </c>
      <c r="E202" s="59">
        <v>1.6138458593798664E-2</v>
      </c>
      <c r="F202" s="93">
        <v>924.58710451566105</v>
      </c>
      <c r="G202" s="90">
        <v>9.0000000000000011E-3</v>
      </c>
      <c r="H202" s="61" t="str">
        <f t="shared" si="2"/>
        <v>(900, 950]</v>
      </c>
      <c r="I202" s="62">
        <v>8.9519400000000002E-3</v>
      </c>
      <c r="J202" s="59">
        <v>1.4447051302417002E-4</v>
      </c>
      <c r="K202" s="59">
        <v>1.4490915482278185E-4</v>
      </c>
      <c r="L202" s="84">
        <v>144909</v>
      </c>
      <c r="M202" s="59">
        <v>1.4490900275327106E-4</v>
      </c>
      <c r="N202" s="59">
        <v>0.13398099527389884</v>
      </c>
      <c r="O202" s="119">
        <v>8.056746E-3</v>
      </c>
      <c r="P202" s="59">
        <v>1.4490900275327106E-4</v>
      </c>
      <c r="Q202" s="59">
        <v>1.9943400438754809E-4</v>
      </c>
      <c r="R202" s="59">
        <v>0</v>
      </c>
      <c r="S202" s="83">
        <v>1.38</v>
      </c>
      <c r="T202" s="101"/>
      <c r="U202" s="62"/>
      <c r="V202" s="62"/>
    </row>
    <row r="203" spans="1:22">
      <c r="A203" s="58">
        <v>950</v>
      </c>
      <c r="B203" s="58">
        <v>1000</v>
      </c>
      <c r="C203" s="72">
        <v>350932</v>
      </c>
      <c r="D203" s="72">
        <v>34201799470</v>
      </c>
      <c r="E203" s="59">
        <v>1.4466824914654959E-2</v>
      </c>
      <c r="F203" s="93">
        <v>974.59905252299586</v>
      </c>
      <c r="G203" s="90">
        <v>9.0000000000000011E-3</v>
      </c>
      <c r="H203" s="61" t="str">
        <f t="shared" si="2"/>
        <v>(950, 1000]</v>
      </c>
      <c r="I203" s="62">
        <v>8.9519400000000002E-3</v>
      </c>
      <c r="J203" s="59">
        <v>1.2950614862649633E-4</v>
      </c>
      <c r="K203" s="59">
        <v>1.2989935557769831E-4</v>
      </c>
      <c r="L203" s="84">
        <v>129899</v>
      </c>
      <c r="M203" s="59">
        <v>1.2989900246808105E-4</v>
      </c>
      <c r="N203" s="59">
        <v>0.12659944472907408</v>
      </c>
      <c r="O203" s="119">
        <v>8.056746E-3</v>
      </c>
      <c r="P203" s="59">
        <v>1.2989900246808105E-4</v>
      </c>
      <c r="Q203" s="59">
        <v>1.7992900395843807E-4</v>
      </c>
      <c r="R203" s="59">
        <v>0</v>
      </c>
      <c r="S203" s="83">
        <v>1.39</v>
      </c>
      <c r="T203" s="101"/>
      <c r="U203" s="62"/>
      <c r="V203" s="62"/>
    </row>
    <row r="204" spans="1:22">
      <c r="A204" s="58">
        <v>1000</v>
      </c>
      <c r="B204" s="58">
        <v>2000</v>
      </c>
      <c r="C204" s="72">
        <v>2894843</v>
      </c>
      <c r="D204" s="72">
        <v>391163503240</v>
      </c>
      <c r="E204" s="59">
        <v>0.11933704203781503</v>
      </c>
      <c r="F204" s="93">
        <v>1351.2425483523632</v>
      </c>
      <c r="G204" s="90">
        <v>0.01</v>
      </c>
      <c r="H204" s="61" t="str">
        <f t="shared" si="2"/>
        <v>(1000, 2000]</v>
      </c>
      <c r="I204" s="62">
        <v>9.9465999999999999E-3</v>
      </c>
      <c r="J204" s="59">
        <v>1.186997822333331E-3</v>
      </c>
      <c r="K204" s="59">
        <v>1.1906017886295502E-3</v>
      </c>
      <c r="L204" s="84">
        <v>1190601</v>
      </c>
      <c r="M204" s="59">
        <v>1.1906010226214194E-3</v>
      </c>
      <c r="N204" s="59">
        <v>1.6087907598778963</v>
      </c>
      <c r="O204" s="119">
        <v>8.9519400000000002E-3</v>
      </c>
      <c r="P204" s="59">
        <v>1.1906010226214194E-3</v>
      </c>
      <c r="Q204" s="59">
        <v>1.4766200324856408E-4</v>
      </c>
      <c r="R204" s="59">
        <v>0</v>
      </c>
      <c r="S204" s="83">
        <v>0.12</v>
      </c>
      <c r="T204" s="101"/>
      <c r="U204" s="62"/>
      <c r="V204" s="62"/>
    </row>
    <row r="205" spans="1:22">
      <c r="A205" s="58">
        <v>2000</v>
      </c>
      <c r="B205" s="58">
        <v>3000</v>
      </c>
      <c r="C205" s="72">
        <v>552118</v>
      </c>
      <c r="D205" s="72">
        <v>131952422045</v>
      </c>
      <c r="E205" s="59">
        <v>2.276051895589307E-2</v>
      </c>
      <c r="F205" s="93">
        <v>2389.9315371895141</v>
      </c>
      <c r="G205" s="90">
        <v>2E-3</v>
      </c>
      <c r="H205" s="61" t="str">
        <f t="shared" si="2"/>
        <v>(2000, 3000]</v>
      </c>
      <c r="I205" s="62">
        <v>1.9893200000000002E-3</v>
      </c>
      <c r="J205" s="59">
        <v>4.5277955569337206E-5</v>
      </c>
      <c r="K205" s="59">
        <v>4.5415428631851202E-5</v>
      </c>
      <c r="L205" s="84">
        <v>45415</v>
      </c>
      <c r="M205" s="59">
        <v>4.5415000862885018E-5</v>
      </c>
      <c r="N205" s="59">
        <v>0.1085387428236979</v>
      </c>
      <c r="O205" s="119">
        <v>1.7903880000000002E-3</v>
      </c>
      <c r="P205" s="59">
        <v>4.5415000862885018E-5</v>
      </c>
      <c r="Q205" s="59">
        <v>4.7172001037784021E-4</v>
      </c>
      <c r="R205" s="59">
        <v>0</v>
      </c>
      <c r="S205" s="83">
        <v>10.39</v>
      </c>
      <c r="T205" s="101"/>
      <c r="U205" s="62"/>
      <c r="V205" s="62"/>
    </row>
    <row r="206" spans="1:22">
      <c r="A206" s="58">
        <v>3000</v>
      </c>
      <c r="B206" s="58">
        <v>4000</v>
      </c>
      <c r="C206" s="72">
        <v>168053</v>
      </c>
      <c r="D206" s="72">
        <v>57444670640</v>
      </c>
      <c r="E206" s="59">
        <v>6.9278188577345749E-3</v>
      </c>
      <c r="F206" s="93">
        <v>3418.2472577103654</v>
      </c>
      <c r="G206" s="90">
        <v>5.0000000000000001E-3</v>
      </c>
      <c r="H206" s="61" t="str">
        <f t="shared" si="2"/>
        <v>(3000, 4000]</v>
      </c>
      <c r="I206" s="62">
        <v>4.9732999999999999E-3</v>
      </c>
      <c r="J206" s="59">
        <v>3.4454121525171361E-5</v>
      </c>
      <c r="K206" s="59">
        <v>3.4558731230771724E-5</v>
      </c>
      <c r="L206" s="84">
        <v>34558</v>
      </c>
      <c r="M206" s="59">
        <v>3.4558000656602014E-5</v>
      </c>
      <c r="N206" s="59">
        <v>0.11812779097638285</v>
      </c>
      <c r="O206" s="119">
        <v>4.4759700000000001E-3</v>
      </c>
      <c r="P206" s="59">
        <v>3.4558000656602014E-5</v>
      </c>
      <c r="Q206" s="59">
        <v>6.3183001390026028E-5</v>
      </c>
      <c r="R206" s="59">
        <v>0</v>
      </c>
      <c r="S206" s="83">
        <v>1.83</v>
      </c>
      <c r="U206" s="62"/>
      <c r="V206" s="62"/>
    </row>
    <row r="207" spans="1:22">
      <c r="A207" s="58">
        <v>4000</v>
      </c>
      <c r="B207" s="58">
        <v>5000</v>
      </c>
      <c r="C207" s="72">
        <v>71751</v>
      </c>
      <c r="D207" s="72">
        <v>31875151810</v>
      </c>
      <c r="E207" s="59">
        <v>2.9578640718184944E-3</v>
      </c>
      <c r="F207" s="93">
        <v>4442.4679530598878</v>
      </c>
      <c r="G207" s="90">
        <v>0.01</v>
      </c>
      <c r="H207" s="61" t="str">
        <f t="shared" si="2"/>
        <v>(4000, 5000]</v>
      </c>
      <c r="I207" s="62">
        <v>9.9465999999999999E-3</v>
      </c>
      <c r="J207" s="59">
        <v>2.9420690776749837E-5</v>
      </c>
      <c r="K207" s="59">
        <v>2.9510017965036052E-5</v>
      </c>
      <c r="L207" s="84">
        <v>29510</v>
      </c>
      <c r="M207" s="59">
        <v>2.9510000560690011E-5</v>
      </c>
      <c r="N207" s="59">
        <v>0.1310972317856447</v>
      </c>
      <c r="O207" s="119">
        <v>8.9519400000000002E-3</v>
      </c>
      <c r="P207" s="59">
        <v>2.9510000560690011E-5</v>
      </c>
      <c r="Q207" s="59">
        <v>3.2266000709852017E-5</v>
      </c>
      <c r="R207" s="59">
        <v>0</v>
      </c>
      <c r="S207" s="83">
        <v>1.0900000000000001</v>
      </c>
      <c r="U207" s="62"/>
      <c r="V207" s="62"/>
    </row>
    <row r="208" spans="1:22">
      <c r="A208" s="58">
        <v>5000</v>
      </c>
      <c r="B208" s="58">
        <v>6000</v>
      </c>
      <c r="C208" s="72">
        <v>39843</v>
      </c>
      <c r="D208" s="72">
        <v>21766237810</v>
      </c>
      <c r="E208" s="59">
        <v>1.6424883027897073E-3</v>
      </c>
      <c r="F208" s="93">
        <v>5463.0017343071559</v>
      </c>
      <c r="G208" s="90">
        <v>2.2599999999999999E-2</v>
      </c>
      <c r="H208" s="61" t="str">
        <f t="shared" si="2"/>
        <v>(5000, 6000]</v>
      </c>
      <c r="I208" s="62">
        <v>2.2479315999999999E-2</v>
      </c>
      <c r="J208" s="59">
        <v>3.692201358471351E-5</v>
      </c>
      <c r="K208" s="59">
        <v>3.7034116311478655E-5</v>
      </c>
      <c r="L208" s="84">
        <v>37034</v>
      </c>
      <c r="M208" s="59">
        <v>3.7034000703646015E-5</v>
      </c>
      <c r="N208" s="59">
        <v>0.20231681007235061</v>
      </c>
      <c r="O208" s="119">
        <v>2.02313844E-2</v>
      </c>
      <c r="P208" s="59">
        <v>3.7034000703646015E-5</v>
      </c>
      <c r="Q208" s="59">
        <v>1.3508000297176007E-5</v>
      </c>
      <c r="R208" s="59">
        <v>0</v>
      </c>
      <c r="S208" s="83">
        <v>0.36</v>
      </c>
      <c r="U208" s="62"/>
      <c r="V208" s="62"/>
    </row>
    <row r="209" spans="1:22">
      <c r="A209" s="58">
        <v>6000</v>
      </c>
      <c r="B209" s="58">
        <v>7000</v>
      </c>
      <c r="C209" s="72">
        <v>26341</v>
      </c>
      <c r="D209" s="72">
        <v>17045448055</v>
      </c>
      <c r="E209" s="59">
        <v>1.0858816952484421E-3</v>
      </c>
      <c r="F209" s="93">
        <v>6471.0709749060406</v>
      </c>
      <c r="G209" s="90">
        <v>0</v>
      </c>
      <c r="H209" s="61" t="str">
        <f t="shared" si="2"/>
        <v>(6000, 7000]</v>
      </c>
      <c r="I209" s="62">
        <v>0</v>
      </c>
      <c r="J209" s="59">
        <v>0</v>
      </c>
      <c r="K209" s="59">
        <v>0</v>
      </c>
      <c r="L209" s="84">
        <v>0</v>
      </c>
      <c r="M209" s="59">
        <v>0</v>
      </c>
      <c r="N209" s="59">
        <v>0</v>
      </c>
      <c r="O209" s="119">
        <v>0</v>
      </c>
      <c r="P209" s="59">
        <v>0</v>
      </c>
      <c r="Q209" s="59">
        <v>0</v>
      </c>
      <c r="R209" s="59">
        <v>0</v>
      </c>
      <c r="S209" s="83">
        <v>0</v>
      </c>
      <c r="U209" s="62"/>
      <c r="V209" s="62"/>
    </row>
    <row r="210" spans="1:22">
      <c r="A210" s="58">
        <v>7000</v>
      </c>
      <c r="B210" s="58">
        <v>8000</v>
      </c>
      <c r="C210" s="72">
        <v>19656</v>
      </c>
      <c r="D210" s="72">
        <v>14702560325</v>
      </c>
      <c r="E210" s="59">
        <v>8.102991762576735E-4</v>
      </c>
      <c r="F210" s="93">
        <v>7479.9350452787949</v>
      </c>
      <c r="G210" s="119">
        <v>0</v>
      </c>
      <c r="H210" s="61" t="str">
        <f t="shared" si="2"/>
        <v>(7000, 8000]</v>
      </c>
      <c r="I210" s="62">
        <v>0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19">
        <v>0</v>
      </c>
      <c r="P210" s="59">
        <v>0</v>
      </c>
      <c r="Q210" s="59">
        <v>0</v>
      </c>
      <c r="R210" s="59">
        <v>0</v>
      </c>
      <c r="S210" s="83">
        <v>0</v>
      </c>
      <c r="U210" s="62"/>
      <c r="V210" s="62"/>
    </row>
    <row r="211" spans="1:22">
      <c r="A211" s="58">
        <v>8000</v>
      </c>
      <c r="B211" s="58">
        <v>9000</v>
      </c>
      <c r="C211" s="72">
        <v>16045</v>
      </c>
      <c r="D211" s="72">
        <v>13617490865</v>
      </c>
      <c r="E211" s="59">
        <v>6.614392695896607E-4</v>
      </c>
      <c r="F211" s="93">
        <v>8487.0619289498281</v>
      </c>
      <c r="G211" s="90">
        <v>0</v>
      </c>
      <c r="H211" s="61" t="str">
        <f t="shared" si="2"/>
        <v>(8000, 9000]</v>
      </c>
      <c r="I211" s="62">
        <v>0</v>
      </c>
      <c r="J211" s="59">
        <v>0</v>
      </c>
      <c r="K211" s="59">
        <v>0</v>
      </c>
      <c r="L211" s="84">
        <v>0</v>
      </c>
      <c r="M211" s="59">
        <v>0</v>
      </c>
      <c r="N211" s="59">
        <v>0</v>
      </c>
      <c r="O211" s="119">
        <v>0</v>
      </c>
      <c r="P211" s="59">
        <v>0</v>
      </c>
      <c r="Q211" s="59">
        <v>0</v>
      </c>
      <c r="R211" s="59">
        <v>0</v>
      </c>
      <c r="S211" s="83">
        <v>0</v>
      </c>
      <c r="U211" s="62"/>
      <c r="V211" s="62"/>
    </row>
    <row r="212" spans="1:22">
      <c r="A212" s="58">
        <v>9000</v>
      </c>
      <c r="B212" s="58">
        <v>10000</v>
      </c>
      <c r="C212" s="72">
        <v>13579</v>
      </c>
      <c r="D212" s="72">
        <v>12886232960</v>
      </c>
      <c r="E212" s="59">
        <v>5.597808564511065E-4</v>
      </c>
      <c r="F212" s="93">
        <v>9489.824699904264</v>
      </c>
      <c r="G212" s="90">
        <v>0</v>
      </c>
      <c r="H212" s="61" t="str">
        <f t="shared" si="2"/>
        <v>(9000, 10000]</v>
      </c>
      <c r="I212" s="62">
        <v>0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19">
        <v>0</v>
      </c>
      <c r="P212" s="59">
        <v>0</v>
      </c>
      <c r="Q212" s="59">
        <v>0</v>
      </c>
      <c r="R212" s="59">
        <v>0</v>
      </c>
      <c r="S212" s="83">
        <v>0</v>
      </c>
      <c r="U212" s="62"/>
      <c r="V212" s="62"/>
    </row>
    <row r="213" spans="1:22">
      <c r="A213" s="58">
        <v>10000</v>
      </c>
      <c r="B213" s="58">
        <v>20000</v>
      </c>
      <c r="C213" s="72">
        <v>72533</v>
      </c>
      <c r="D213" s="72">
        <v>101823204855</v>
      </c>
      <c r="E213" s="59">
        <v>2.9901012490587014E-3</v>
      </c>
      <c r="F213" s="93">
        <v>14038.190183089078</v>
      </c>
      <c r="G213" s="90">
        <v>0</v>
      </c>
      <c r="H213" s="61" t="str">
        <f t="shared" si="2"/>
        <v>(10000, 20000]</v>
      </c>
      <c r="I213" s="62">
        <v>0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19">
        <v>0</v>
      </c>
      <c r="P213" s="59">
        <v>0</v>
      </c>
      <c r="Q213" s="59">
        <v>0</v>
      </c>
      <c r="R213" s="59">
        <v>0</v>
      </c>
      <c r="S213" s="83">
        <v>0</v>
      </c>
      <c r="U213" s="62"/>
      <c r="V213" s="62"/>
    </row>
    <row r="214" spans="1:22">
      <c r="A214" s="58">
        <v>20000</v>
      </c>
      <c r="B214" s="58">
        <v>30000</v>
      </c>
      <c r="C214" s="72">
        <v>24491</v>
      </c>
      <c r="D214" s="72">
        <v>59093503295</v>
      </c>
      <c r="E214" s="59">
        <v>1.0096172733886184E-3</v>
      </c>
      <c r="F214" s="93">
        <v>24128.660852966397</v>
      </c>
      <c r="G214" s="90">
        <v>0</v>
      </c>
      <c r="H214" s="61" t="str">
        <f t="shared" si="2"/>
        <v>(20000, 30000]</v>
      </c>
      <c r="I214" s="62">
        <v>0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19">
        <v>0</v>
      </c>
      <c r="P214" s="59">
        <v>0</v>
      </c>
      <c r="Q214" s="59">
        <v>0</v>
      </c>
      <c r="R214" s="59">
        <v>0</v>
      </c>
      <c r="S214" s="83">
        <v>0</v>
      </c>
      <c r="U214" s="62"/>
      <c r="V214" s="62"/>
    </row>
    <row r="215" spans="1:22">
      <c r="A215" s="58">
        <v>30000</v>
      </c>
      <c r="B215" s="58">
        <v>40000</v>
      </c>
      <c r="C215" s="72">
        <v>8853</v>
      </c>
      <c r="D215" s="72">
        <v>30228470745</v>
      </c>
      <c r="E215" s="59">
        <v>3.649561766081188E-4</v>
      </c>
      <c r="F215" s="93">
        <v>34144.889579803457</v>
      </c>
      <c r="G215" s="90">
        <v>0</v>
      </c>
      <c r="H215" s="61" t="str">
        <f t="shared" si="2"/>
        <v>(30000, 40000]</v>
      </c>
      <c r="I215" s="62">
        <v>0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19">
        <v>0</v>
      </c>
      <c r="P215" s="59">
        <v>0</v>
      </c>
      <c r="Q215" s="59">
        <v>0</v>
      </c>
      <c r="R215" s="59">
        <v>0</v>
      </c>
      <c r="S215" s="83">
        <v>0</v>
      </c>
      <c r="U215" s="62"/>
      <c r="V215" s="62"/>
    </row>
    <row r="216" spans="1:22">
      <c r="A216" s="58">
        <v>40000</v>
      </c>
      <c r="B216" s="58">
        <v>50000</v>
      </c>
      <c r="C216" s="72">
        <v>3240</v>
      </c>
      <c r="D216" s="72">
        <v>14309736880</v>
      </c>
      <c r="E216" s="59">
        <v>1.3356579828423189E-4</v>
      </c>
      <c r="F216" s="93">
        <v>44165.854567901231</v>
      </c>
      <c r="G216" s="90">
        <v>0</v>
      </c>
      <c r="H216" s="61" t="str">
        <f t="shared" si="2"/>
        <v>(40000, 50000]</v>
      </c>
      <c r="I216" s="62">
        <v>0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19">
        <v>0</v>
      </c>
      <c r="P216" s="59">
        <v>0</v>
      </c>
      <c r="Q216" s="59">
        <v>0</v>
      </c>
      <c r="R216" s="59">
        <v>0</v>
      </c>
      <c r="S216" s="83">
        <v>0</v>
      </c>
      <c r="U216" s="62"/>
      <c r="V216" s="62"/>
    </row>
    <row r="217" spans="1:22">
      <c r="A217" s="58">
        <v>50000</v>
      </c>
      <c r="B217" s="58">
        <v>60000</v>
      </c>
      <c r="C217" s="72">
        <v>1245</v>
      </c>
      <c r="D217" s="72">
        <v>6754047245</v>
      </c>
      <c r="E217" s="59">
        <v>5.1323894711070588E-5</v>
      </c>
      <c r="F217" s="93">
        <v>54249.37546184739</v>
      </c>
      <c r="G217" s="90">
        <v>0</v>
      </c>
      <c r="H217" s="61" t="str">
        <f t="shared" si="2"/>
        <v>(50000, 60000]</v>
      </c>
      <c r="I217" s="62">
        <v>0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19">
        <v>0</v>
      </c>
      <c r="P217" s="59">
        <v>0</v>
      </c>
      <c r="Q217" s="59">
        <v>0</v>
      </c>
      <c r="R217" s="59">
        <v>0</v>
      </c>
      <c r="S217" s="83">
        <v>0</v>
      </c>
      <c r="U217" s="62"/>
      <c r="V217" s="62"/>
    </row>
    <row r="218" spans="1:22">
      <c r="A218" s="58">
        <v>60000</v>
      </c>
      <c r="B218" s="58">
        <v>70000</v>
      </c>
      <c r="C218" s="72">
        <v>515</v>
      </c>
      <c r="D218" s="72">
        <v>3302398520</v>
      </c>
      <c r="E218" s="59">
        <v>2.1230366085302292E-5</v>
      </c>
      <c r="F218" s="93">
        <v>64124.243106796115</v>
      </c>
      <c r="G218" s="90">
        <v>0</v>
      </c>
      <c r="H218" s="61" t="str">
        <f t="shared" si="2"/>
        <v>(60000, 70000]</v>
      </c>
      <c r="I218" s="62">
        <v>0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19">
        <v>0</v>
      </c>
      <c r="P218" s="59">
        <v>0</v>
      </c>
      <c r="Q218" s="59">
        <v>0</v>
      </c>
      <c r="R218" s="59">
        <v>0</v>
      </c>
      <c r="S218" s="83">
        <v>0</v>
      </c>
      <c r="U218" s="62"/>
      <c r="V218" s="62"/>
    </row>
    <row r="219" spans="1:22">
      <c r="A219" s="58">
        <v>70000</v>
      </c>
      <c r="B219" s="58">
        <v>80000</v>
      </c>
      <c r="C219" s="72">
        <v>191</v>
      </c>
      <c r="D219" s="72">
        <v>1423119445</v>
      </c>
      <c r="E219" s="59">
        <v>7.8737862568791016E-6</v>
      </c>
      <c r="F219" s="93">
        <v>74508.871465968579</v>
      </c>
      <c r="G219" s="90">
        <v>0</v>
      </c>
      <c r="H219" s="61" t="str">
        <f t="shared" si="2"/>
        <v>(70000, 80000]</v>
      </c>
      <c r="I219" s="62">
        <v>0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19">
        <v>0</v>
      </c>
      <c r="P219" s="59">
        <v>0</v>
      </c>
      <c r="Q219" s="59">
        <v>0</v>
      </c>
      <c r="R219" s="59">
        <v>0</v>
      </c>
      <c r="S219" s="83">
        <v>0</v>
      </c>
      <c r="U219" s="62"/>
      <c r="V219" s="62"/>
    </row>
    <row r="220" spans="1:22">
      <c r="A220" s="58">
        <v>80000</v>
      </c>
      <c r="B220" s="58">
        <v>90000</v>
      </c>
      <c r="C220" s="72">
        <v>96</v>
      </c>
      <c r="D220" s="72">
        <v>804482635</v>
      </c>
      <c r="E220" s="59">
        <v>3.9575051343476113E-6</v>
      </c>
      <c r="F220" s="93">
        <v>83800.274479166663</v>
      </c>
      <c r="G220" s="90">
        <v>0</v>
      </c>
      <c r="H220" s="61" t="str">
        <f t="shared" si="2"/>
        <v>(80000, 90000]</v>
      </c>
      <c r="I220" s="62">
        <v>0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19">
        <v>0</v>
      </c>
      <c r="P220" s="59">
        <v>0</v>
      </c>
      <c r="Q220" s="59">
        <v>0</v>
      </c>
      <c r="R220" s="59">
        <v>0</v>
      </c>
      <c r="S220" s="83">
        <v>0</v>
      </c>
      <c r="U220" s="62"/>
      <c r="V220" s="62"/>
    </row>
    <row r="221" spans="1:22">
      <c r="A221" s="58">
        <v>90000</v>
      </c>
      <c r="B221" s="58">
        <v>100000</v>
      </c>
      <c r="C221" s="72">
        <v>36</v>
      </c>
      <c r="D221" s="72">
        <v>338439040</v>
      </c>
      <c r="E221" s="59">
        <v>1.4840644253803543E-6</v>
      </c>
      <c r="F221" s="93">
        <v>94010.844444444447</v>
      </c>
      <c r="G221" s="90">
        <v>0</v>
      </c>
      <c r="H221" s="61" t="str">
        <f t="shared" si="2"/>
        <v>(90000, 100000]</v>
      </c>
      <c r="I221" s="62">
        <v>0</v>
      </c>
      <c r="J221" s="59">
        <v>0</v>
      </c>
      <c r="K221" s="59">
        <v>0</v>
      </c>
      <c r="L221" s="84">
        <v>0</v>
      </c>
      <c r="M221" s="59">
        <v>0</v>
      </c>
      <c r="N221" s="59">
        <v>0</v>
      </c>
      <c r="O221" s="119">
        <v>0</v>
      </c>
      <c r="P221" s="59">
        <v>0</v>
      </c>
      <c r="Q221" s="59">
        <v>0</v>
      </c>
      <c r="R221" s="59">
        <v>0</v>
      </c>
      <c r="S221" s="83">
        <v>0</v>
      </c>
      <c r="U221" s="62"/>
      <c r="V221" s="62"/>
    </row>
    <row r="222" spans="1:22">
      <c r="A222" s="58">
        <v>100000</v>
      </c>
      <c r="B222" s="58">
        <v>9999999</v>
      </c>
      <c r="C222" s="72">
        <v>54</v>
      </c>
      <c r="D222" s="72">
        <v>640076315</v>
      </c>
      <c r="E222" s="59">
        <v>2.2260966380705316E-6</v>
      </c>
      <c r="F222" s="93">
        <v>118532.65092592593</v>
      </c>
      <c r="G222" s="90">
        <v>0</v>
      </c>
      <c r="H222" s="61" t="str">
        <f t="shared" si="2"/>
        <v>(100000, 9999999]</v>
      </c>
      <c r="I222" s="62">
        <v>0</v>
      </c>
      <c r="J222" s="59">
        <v>0</v>
      </c>
      <c r="K222" s="59">
        <v>0</v>
      </c>
      <c r="L222" s="84">
        <v>0</v>
      </c>
      <c r="M222" s="59">
        <v>0</v>
      </c>
      <c r="N222" s="59">
        <v>0</v>
      </c>
      <c r="O222" s="119">
        <v>0</v>
      </c>
      <c r="P222" s="59">
        <v>0</v>
      </c>
      <c r="Q222" s="59">
        <v>0</v>
      </c>
      <c r="R222" s="59">
        <v>0</v>
      </c>
      <c r="S222" s="83">
        <v>0</v>
      </c>
      <c r="U222" s="62"/>
      <c r="V222" s="62"/>
    </row>
    <row r="225" spans="1:22" s="189" customFormat="1">
      <c r="A225" s="218" t="s">
        <v>55</v>
      </c>
      <c r="B225" s="218"/>
      <c r="C225" s="218"/>
      <c r="D225" s="218"/>
      <c r="E225" s="184"/>
      <c r="F225" s="184"/>
      <c r="G225" s="185"/>
      <c r="H225" s="186"/>
      <c r="I225" s="187"/>
      <c r="J225" s="188"/>
      <c r="K225" s="188"/>
      <c r="L225" s="188"/>
      <c r="M225" s="188"/>
      <c r="N225" s="188"/>
      <c r="O225" s="185"/>
      <c r="U225" s="187"/>
      <c r="V225" s="187"/>
    </row>
    <row r="226" spans="1:22">
      <c r="A226" s="52"/>
      <c r="B226" s="52"/>
      <c r="C226" s="1"/>
      <c r="D226" s="1"/>
      <c r="E226" s="1"/>
      <c r="F226" s="1"/>
      <c r="G226" s="51">
        <v>9.9999999999999995E-7</v>
      </c>
      <c r="H226" s="13"/>
      <c r="I226" s="52"/>
      <c r="J226" s="52"/>
      <c r="K226" s="52"/>
      <c r="L226" s="52"/>
      <c r="M226" s="52"/>
      <c r="N226" s="52"/>
      <c r="U226" s="52"/>
      <c r="V226" s="52"/>
    </row>
    <row r="227" spans="1:22">
      <c r="A227" s="70" t="s">
        <v>75</v>
      </c>
      <c r="B227" s="68">
        <v>10000000</v>
      </c>
      <c r="C227" s="1"/>
      <c r="D227" s="1"/>
      <c r="E227" s="1"/>
      <c r="F227" s="1"/>
      <c r="G227" s="51">
        <v>2906</v>
      </c>
      <c r="H227" s="70" t="s">
        <v>76</v>
      </c>
      <c r="I227" s="52"/>
      <c r="J227" s="52"/>
      <c r="K227" s="52"/>
      <c r="M227" s="52"/>
      <c r="N227" s="52"/>
      <c r="P227" s="24" t="s">
        <v>81</v>
      </c>
      <c r="U227" s="52"/>
      <c r="V227" s="52"/>
    </row>
    <row r="228" spans="1:22" ht="16.2">
      <c r="A228" s="20" t="s">
        <v>58</v>
      </c>
      <c r="B228" s="20" t="s">
        <v>59</v>
      </c>
      <c r="C228" s="20" t="s">
        <v>71</v>
      </c>
      <c r="D228" s="20" t="s">
        <v>72</v>
      </c>
      <c r="E228" s="20" t="s">
        <v>73</v>
      </c>
      <c r="F228" s="20" t="s">
        <v>85</v>
      </c>
      <c r="G228" s="90">
        <f>1-G227*G226</f>
        <v>0.99709400000000004</v>
      </c>
      <c r="H228" s="20" t="s">
        <v>61</v>
      </c>
      <c r="I228" s="20" t="s">
        <v>63</v>
      </c>
      <c r="J228" s="20" t="s">
        <v>64</v>
      </c>
      <c r="K228" s="20" t="s">
        <v>65</v>
      </c>
      <c r="L228" s="20" t="s">
        <v>66</v>
      </c>
      <c r="M228" s="20" t="s">
        <v>67</v>
      </c>
      <c r="N228" s="20" t="s">
        <v>60</v>
      </c>
      <c r="O228" s="51">
        <v>0.95</v>
      </c>
      <c r="P228" s="86" t="s">
        <v>84</v>
      </c>
      <c r="Q228" s="194" t="s">
        <v>328</v>
      </c>
      <c r="R228" s="86" t="s">
        <v>253</v>
      </c>
      <c r="S228" s="86" t="s">
        <v>80</v>
      </c>
      <c r="U228" s="20" t="s">
        <v>322</v>
      </c>
      <c r="V228" s="20" t="s">
        <v>323</v>
      </c>
    </row>
    <row r="229" spans="1:22">
      <c r="A229" s="64">
        <v>-1</v>
      </c>
      <c r="B229" s="64">
        <v>0</v>
      </c>
      <c r="C229" s="96" cm="1">
        <f t="array" ref="C229:D292">C159:D222</f>
        <v>0</v>
      </c>
      <c r="D229" s="96">
        <v>0</v>
      </c>
      <c r="E229" s="59" cm="1">
        <f t="array" ref="E229:E292">_xlfn.LET(_xlpm.x, C229:C292, _xlpm.x/SUM(_xlpm.x))</f>
        <v>0</v>
      </c>
      <c r="F229" s="92" cm="1">
        <f t="array" ref="F229:F292">_xlfn.LET(_xlpm.x, D229:D292/C229:C292/B3, IF(ISERR(_xlpm.x), 0, _xlpm.x))</f>
        <v>0</v>
      </c>
      <c r="G229" s="90"/>
      <c r="H229" s="61" t="str">
        <f>"("&amp;$A229&amp;", "&amp;$B229&amp;"]"</f>
        <v>(-1, 0]</v>
      </c>
      <c r="I229" s="62">
        <v>0</v>
      </c>
      <c r="J229" s="59" cm="1">
        <f t="array" ref="J229:J292">_xlfn.ANCHORARRAY(E229)*I229:I292</f>
        <v>0</v>
      </c>
      <c r="K229" s="59" cm="1">
        <f t="array" ref="K229:K292">J229:J292/SUM(_xlfn.ANCHORARRAY(J229))</f>
        <v>0</v>
      </c>
      <c r="L229" s="117" cm="1">
        <f t="array" ref="L229:L292">INT(_xlfn.ANCHORARRAY(K229)*$B$2)</f>
        <v>0</v>
      </c>
      <c r="M229" s="59" cm="1">
        <f t="array" ref="M229:M292">_xlfn.LET(_xlpm.x, L229:L292, _xlpm.x/SUM(_xlpm.x))</f>
        <v>0</v>
      </c>
      <c r="N229" s="60" cm="1">
        <f t="array" ref="N229:N292">M229:M292*_xlfn.ANCHORARRAY(F229)</f>
        <v>0</v>
      </c>
      <c r="O229" s="119" cm="1">
        <f t="array" ref="O229:O292">I229:I292*O228</f>
        <v>0</v>
      </c>
      <c r="P229" s="59" cm="1">
        <f t="array" ref="P229:P292">_xlfn.ANCHORARRAY(M229)</f>
        <v>0</v>
      </c>
      <c r="Q229" s="59">
        <v>0</v>
      </c>
      <c r="R229" s="59">
        <v>0</v>
      </c>
      <c r="S229" s="83" cm="1">
        <f t="array" ref="S229:S292">_xlfn.LET(_xlpm.x, Q229:Q292/M229:M292, IF(ISERR(_xlpm.x), 0, ROUND(_xlpm.x,2)))</f>
        <v>0</v>
      </c>
      <c r="U229" s="62"/>
      <c r="V229" s="62"/>
    </row>
    <row r="230" spans="1:22">
      <c r="A230" s="58">
        <v>0</v>
      </c>
      <c r="B230" s="58">
        <v>1</v>
      </c>
      <c r="C230" s="94">
        <v>15500</v>
      </c>
      <c r="D230" s="94">
        <v>923150</v>
      </c>
      <c r="E230" s="59">
        <v>6.3897218314987484E-4</v>
      </c>
      <c r="F230" s="93">
        <v>0.59558064516129028</v>
      </c>
      <c r="G230" s="90"/>
      <c r="H230" s="61" t="str">
        <f t="shared" ref="H230:H292" si="3">"("&amp;$A230&amp;", "&amp;$B230&amp;"]"</f>
        <v>(0, 1]</v>
      </c>
      <c r="I230" s="62">
        <v>0</v>
      </c>
      <c r="J230" s="59">
        <v>0</v>
      </c>
      <c r="K230" s="59">
        <v>0</v>
      </c>
      <c r="L230" s="117">
        <v>0</v>
      </c>
      <c r="M230" s="59">
        <v>0</v>
      </c>
      <c r="N230" s="59">
        <v>0</v>
      </c>
      <c r="O230" s="119">
        <v>0</v>
      </c>
      <c r="P230" s="59">
        <v>0</v>
      </c>
      <c r="Q230" s="59">
        <v>0</v>
      </c>
      <c r="R230" s="59">
        <v>0</v>
      </c>
      <c r="S230" s="83">
        <v>0</v>
      </c>
      <c r="U230" s="62"/>
      <c r="V230" s="62"/>
    </row>
    <row r="231" spans="1:22">
      <c r="A231" s="58">
        <v>1</v>
      </c>
      <c r="B231" s="58">
        <v>2</v>
      </c>
      <c r="C231" s="94">
        <v>15117</v>
      </c>
      <c r="D231" s="94">
        <v>2386085</v>
      </c>
      <c r="E231" s="59">
        <v>6.2318338662430053E-4</v>
      </c>
      <c r="F231" s="93">
        <v>1.5784117219024938</v>
      </c>
      <c r="G231" s="90"/>
      <c r="H231" s="61" t="str">
        <f t="shared" si="3"/>
        <v>(1, 2]</v>
      </c>
      <c r="I231" s="62">
        <v>0</v>
      </c>
      <c r="J231" s="59">
        <v>0</v>
      </c>
      <c r="K231" s="59">
        <v>0</v>
      </c>
      <c r="L231" s="117">
        <v>0</v>
      </c>
      <c r="M231" s="59">
        <v>0</v>
      </c>
      <c r="N231" s="59">
        <v>0</v>
      </c>
      <c r="O231" s="119">
        <v>0</v>
      </c>
      <c r="P231" s="59">
        <v>0</v>
      </c>
      <c r="Q231" s="59">
        <v>0</v>
      </c>
      <c r="R231" s="59">
        <v>0</v>
      </c>
      <c r="S231" s="83">
        <v>0</v>
      </c>
      <c r="U231" s="62"/>
      <c r="V231" s="62"/>
    </row>
    <row r="232" spans="1:22" ht="16.2" customHeight="1">
      <c r="A232" s="58">
        <v>2</v>
      </c>
      <c r="B232" s="58">
        <v>3</v>
      </c>
      <c r="C232" s="94">
        <v>15463</v>
      </c>
      <c r="D232" s="94">
        <v>3994350</v>
      </c>
      <c r="E232" s="59">
        <v>6.3744689471267836E-4</v>
      </c>
      <c r="F232" s="93">
        <v>2.5831662678652263</v>
      </c>
      <c r="G232" s="90"/>
      <c r="H232" s="61" t="str">
        <f t="shared" si="3"/>
        <v>(2, 3]</v>
      </c>
      <c r="I232" s="62">
        <v>0</v>
      </c>
      <c r="J232" s="59">
        <v>0</v>
      </c>
      <c r="K232" s="59">
        <v>0</v>
      </c>
      <c r="L232" s="117">
        <v>0</v>
      </c>
      <c r="M232" s="59">
        <v>0</v>
      </c>
      <c r="N232" s="59">
        <v>0</v>
      </c>
      <c r="O232" s="119">
        <v>0</v>
      </c>
      <c r="P232" s="59">
        <v>0</v>
      </c>
      <c r="Q232" s="59">
        <v>0</v>
      </c>
      <c r="R232" s="59">
        <v>0</v>
      </c>
      <c r="S232" s="83">
        <v>0</v>
      </c>
      <c r="U232" s="62"/>
      <c r="V232" s="62"/>
    </row>
    <row r="233" spans="1:22">
      <c r="A233" s="58">
        <v>3</v>
      </c>
      <c r="B233" s="58">
        <v>4</v>
      </c>
      <c r="C233" s="94">
        <v>15216</v>
      </c>
      <c r="D233" s="94">
        <v>5446285</v>
      </c>
      <c r="E233" s="59">
        <v>6.2726456379409647E-4</v>
      </c>
      <c r="F233" s="93">
        <v>3.5793145373291271</v>
      </c>
      <c r="G233" s="90"/>
      <c r="H233" s="61" t="str">
        <f t="shared" si="3"/>
        <v>(3, 4]</v>
      </c>
      <c r="I233" s="62">
        <v>0</v>
      </c>
      <c r="J233" s="59">
        <v>0</v>
      </c>
      <c r="K233" s="59">
        <v>0</v>
      </c>
      <c r="L233" s="117">
        <v>0</v>
      </c>
      <c r="M233" s="59">
        <v>0</v>
      </c>
      <c r="N233" s="59">
        <v>0</v>
      </c>
      <c r="O233" s="119">
        <v>0</v>
      </c>
      <c r="P233" s="59">
        <v>0</v>
      </c>
      <c r="Q233" s="59">
        <v>0</v>
      </c>
      <c r="R233" s="59">
        <v>3.614457831325301E-2</v>
      </c>
      <c r="S233" s="83">
        <v>0</v>
      </c>
      <c r="U233" s="62"/>
      <c r="V233" s="62"/>
    </row>
    <row r="234" spans="1:22">
      <c r="A234" s="58">
        <v>4</v>
      </c>
      <c r="B234" s="58">
        <v>5</v>
      </c>
      <c r="C234" s="94">
        <v>16059</v>
      </c>
      <c r="D234" s="94">
        <v>7337995</v>
      </c>
      <c r="E234" s="59">
        <v>6.620164057550864E-4</v>
      </c>
      <c r="F234" s="93">
        <v>4.5693972227411424</v>
      </c>
      <c r="G234" s="90"/>
      <c r="H234" s="61" t="str">
        <f t="shared" si="3"/>
        <v>(4, 5]</v>
      </c>
      <c r="I234" s="62">
        <v>0</v>
      </c>
      <c r="J234" s="59">
        <v>0</v>
      </c>
      <c r="K234" s="59">
        <v>0</v>
      </c>
      <c r="L234" s="117">
        <v>0</v>
      </c>
      <c r="M234" s="59">
        <v>0</v>
      </c>
      <c r="N234" s="59">
        <v>0</v>
      </c>
      <c r="O234" s="119">
        <v>0</v>
      </c>
      <c r="P234" s="59">
        <v>0</v>
      </c>
      <c r="Q234" s="59">
        <v>0</v>
      </c>
      <c r="R234" s="59">
        <v>0</v>
      </c>
      <c r="S234" s="83">
        <v>0</v>
      </c>
      <c r="U234" s="62"/>
      <c r="V234" s="62"/>
    </row>
    <row r="235" spans="1:22">
      <c r="A235" s="58">
        <v>5</v>
      </c>
      <c r="B235" s="58">
        <v>6</v>
      </c>
      <c r="C235" s="94">
        <v>16491</v>
      </c>
      <c r="D235" s="94">
        <v>9189595</v>
      </c>
      <c r="E235" s="59">
        <v>6.7982517885965062E-4</v>
      </c>
      <c r="F235" s="93">
        <v>5.5724910557273661</v>
      </c>
      <c r="G235" s="90"/>
      <c r="H235" s="61" t="str">
        <f t="shared" si="3"/>
        <v>(5, 6]</v>
      </c>
      <c r="I235" s="62">
        <v>0</v>
      </c>
      <c r="J235" s="59">
        <v>0</v>
      </c>
      <c r="K235" s="59">
        <v>0</v>
      </c>
      <c r="L235" s="117">
        <v>0</v>
      </c>
      <c r="M235" s="59">
        <v>0</v>
      </c>
      <c r="N235" s="59">
        <v>0</v>
      </c>
      <c r="O235" s="119">
        <v>0</v>
      </c>
      <c r="P235" s="59">
        <v>0</v>
      </c>
      <c r="Q235" s="59">
        <v>0</v>
      </c>
      <c r="R235" s="59">
        <v>0</v>
      </c>
      <c r="S235" s="83">
        <v>0</v>
      </c>
      <c r="U235" s="62"/>
      <c r="V235" s="62"/>
    </row>
    <row r="236" spans="1:22">
      <c r="A236" s="58">
        <v>6</v>
      </c>
      <c r="B236" s="58">
        <v>7</v>
      </c>
      <c r="C236" s="94">
        <v>16709</v>
      </c>
      <c r="D236" s="94">
        <v>10959565</v>
      </c>
      <c r="E236" s="59">
        <v>6.8881201343556507E-4</v>
      </c>
      <c r="F236" s="93">
        <v>6.5590789394936859</v>
      </c>
      <c r="G236" s="90"/>
      <c r="H236" s="61" t="str">
        <f t="shared" si="3"/>
        <v>(6, 7]</v>
      </c>
      <c r="I236" s="62">
        <v>0</v>
      </c>
      <c r="J236" s="59">
        <v>0</v>
      </c>
      <c r="K236" s="59">
        <v>0</v>
      </c>
      <c r="L236" s="117">
        <v>0</v>
      </c>
      <c r="M236" s="59">
        <v>0</v>
      </c>
      <c r="N236" s="59">
        <v>0</v>
      </c>
      <c r="O236" s="119">
        <v>0</v>
      </c>
      <c r="P236" s="59">
        <v>0</v>
      </c>
      <c r="Q236" s="59">
        <v>0</v>
      </c>
      <c r="R236" s="59">
        <v>1.2048192771084338E-2</v>
      </c>
      <c r="S236" s="83">
        <v>0</v>
      </c>
      <c r="U236" s="62"/>
      <c r="V236" s="62"/>
    </row>
    <row r="237" spans="1:22">
      <c r="A237" s="58">
        <v>7</v>
      </c>
      <c r="B237" s="58">
        <v>8</v>
      </c>
      <c r="C237" s="94">
        <v>16626</v>
      </c>
      <c r="D237" s="94">
        <v>12574185</v>
      </c>
      <c r="E237" s="59">
        <v>6.8539042045482701E-4</v>
      </c>
      <c r="F237" s="93">
        <v>7.5629646337062431</v>
      </c>
      <c r="G237" s="90"/>
      <c r="H237" s="61" t="str">
        <f t="shared" si="3"/>
        <v>(7, 8]</v>
      </c>
      <c r="I237" s="62">
        <v>0</v>
      </c>
      <c r="J237" s="59">
        <v>0</v>
      </c>
      <c r="K237" s="59">
        <v>0</v>
      </c>
      <c r="L237" s="117">
        <v>0</v>
      </c>
      <c r="M237" s="59">
        <v>0</v>
      </c>
      <c r="N237" s="59">
        <v>0</v>
      </c>
      <c r="O237" s="119">
        <v>0</v>
      </c>
      <c r="P237" s="59">
        <v>0</v>
      </c>
      <c r="Q237" s="59">
        <v>0</v>
      </c>
      <c r="R237" s="59">
        <v>3.614457831325301E-2</v>
      </c>
      <c r="S237" s="83">
        <v>0</v>
      </c>
      <c r="U237" s="62"/>
      <c r="V237" s="62"/>
    </row>
    <row r="238" spans="1:22">
      <c r="A238" s="58">
        <v>8</v>
      </c>
      <c r="B238" s="58">
        <v>9</v>
      </c>
      <c r="C238" s="94">
        <v>17082</v>
      </c>
      <c r="D238" s="94">
        <v>14623305</v>
      </c>
      <c r="E238" s="59">
        <v>7.0418856984297816E-4</v>
      </c>
      <c r="F238" s="93">
        <v>8.5606515630488236</v>
      </c>
      <c r="G238" s="90"/>
      <c r="H238" s="61" t="str">
        <f t="shared" si="3"/>
        <v>(8, 9]</v>
      </c>
      <c r="I238" s="62">
        <v>0</v>
      </c>
      <c r="J238" s="59">
        <v>0</v>
      </c>
      <c r="K238" s="59">
        <v>0</v>
      </c>
      <c r="L238" s="117">
        <v>0</v>
      </c>
      <c r="M238" s="59">
        <v>0</v>
      </c>
      <c r="N238" s="59">
        <v>0</v>
      </c>
      <c r="O238" s="119">
        <v>0</v>
      </c>
      <c r="P238" s="59">
        <v>0</v>
      </c>
      <c r="Q238" s="59">
        <v>0</v>
      </c>
      <c r="R238" s="59">
        <v>2.4096385542168676E-2</v>
      </c>
      <c r="S238" s="83">
        <v>0</v>
      </c>
      <c r="U238" s="62"/>
      <c r="V238" s="62"/>
    </row>
    <row r="239" spans="1:22">
      <c r="A239" s="58">
        <v>9</v>
      </c>
      <c r="B239" s="58">
        <v>10</v>
      </c>
      <c r="C239" s="94">
        <v>17400</v>
      </c>
      <c r="D239" s="94">
        <v>16634405</v>
      </c>
      <c r="E239" s="59">
        <v>7.1729780560050459E-4</v>
      </c>
      <c r="F239" s="93">
        <v>9.5600028735632172</v>
      </c>
      <c r="G239" s="90"/>
      <c r="H239" s="61" t="str">
        <f t="shared" si="3"/>
        <v>(9, 10]</v>
      </c>
      <c r="I239" s="62">
        <v>0</v>
      </c>
      <c r="J239" s="59">
        <v>0</v>
      </c>
      <c r="K239" s="59">
        <v>0</v>
      </c>
      <c r="L239" s="117">
        <v>0</v>
      </c>
      <c r="M239" s="59">
        <v>0</v>
      </c>
      <c r="N239" s="59">
        <v>0</v>
      </c>
      <c r="O239" s="119">
        <v>0</v>
      </c>
      <c r="P239" s="59">
        <v>0</v>
      </c>
      <c r="Q239" s="59">
        <v>0</v>
      </c>
      <c r="R239" s="59">
        <v>1.2048192771084338E-2</v>
      </c>
      <c r="S239" s="83">
        <v>0</v>
      </c>
      <c r="U239" s="62"/>
      <c r="V239" s="62"/>
    </row>
    <row r="240" spans="1:22">
      <c r="A240" s="58">
        <v>10</v>
      </c>
      <c r="B240" s="58">
        <v>15</v>
      </c>
      <c r="C240" s="94">
        <v>91316</v>
      </c>
      <c r="D240" s="94">
        <v>114870240</v>
      </c>
      <c r="E240" s="59">
        <v>3.7644118630009013E-3</v>
      </c>
      <c r="F240" s="93">
        <v>12.579420911997897</v>
      </c>
      <c r="G240" s="100"/>
      <c r="H240" s="61" t="str">
        <f t="shared" si="3"/>
        <v>(10, 15]</v>
      </c>
      <c r="I240" s="62">
        <v>31.18</v>
      </c>
      <c r="J240" s="59">
        <v>0.1173743618883681</v>
      </c>
      <c r="K240" s="59">
        <v>0.11737694111637884</v>
      </c>
      <c r="L240" s="117">
        <v>117376941</v>
      </c>
      <c r="M240" s="59">
        <v>0.11737694311278497</v>
      </c>
      <c r="N240" s="59">
        <v>1.4765339727793547</v>
      </c>
      <c r="O240" s="119">
        <v>29.620999999999999</v>
      </c>
      <c r="P240" s="59">
        <v>0.11737694311278497</v>
      </c>
      <c r="Q240" s="59">
        <v>0.11756192923367666</v>
      </c>
      <c r="R240" s="59">
        <v>7.2289156626506021E-2</v>
      </c>
      <c r="S240" s="83">
        <v>1</v>
      </c>
      <c r="T240" s="102"/>
      <c r="U240" s="62"/>
      <c r="V240" s="62"/>
    </row>
    <row r="241" spans="1:22">
      <c r="A241" s="58">
        <v>15</v>
      </c>
      <c r="B241" s="58">
        <v>20</v>
      </c>
      <c r="C241" s="94">
        <v>96987</v>
      </c>
      <c r="D241" s="94">
        <v>170344235</v>
      </c>
      <c r="E241" s="59">
        <v>3.9981932340101226E-3</v>
      </c>
      <c r="F241" s="93">
        <v>17.563615226782971</v>
      </c>
      <c r="G241" s="100"/>
      <c r="H241" s="113" t="str">
        <f t="shared" si="3"/>
        <v>(15, 20]</v>
      </c>
      <c r="I241" s="62">
        <v>29.25</v>
      </c>
      <c r="J241" s="59">
        <v>0.11694715209479609</v>
      </c>
      <c r="K241" s="59">
        <v>0.11694972193513946</v>
      </c>
      <c r="L241" s="117">
        <v>116949721</v>
      </c>
      <c r="M241" s="59">
        <v>0.11694972310509502</v>
      </c>
      <c r="N241" s="59">
        <v>2.054059937496699</v>
      </c>
      <c r="O241" s="119">
        <v>27.787499999999998</v>
      </c>
      <c r="P241" s="59">
        <v>0.11694972310509502</v>
      </c>
      <c r="Q241" s="59">
        <v>0.11754959523344231</v>
      </c>
      <c r="R241" s="59">
        <v>7.2289156626506021E-2</v>
      </c>
      <c r="S241" s="83">
        <v>1.01</v>
      </c>
      <c r="T241" s="102"/>
      <c r="U241" s="62"/>
      <c r="V241" s="62"/>
    </row>
    <row r="242" spans="1:22">
      <c r="A242" s="58">
        <v>20</v>
      </c>
      <c r="B242" s="58">
        <v>25</v>
      </c>
      <c r="C242" s="94">
        <v>102326</v>
      </c>
      <c r="D242" s="94">
        <v>230862000</v>
      </c>
      <c r="E242" s="59">
        <v>4.2182882330963926E-3</v>
      </c>
      <c r="F242" s="93">
        <v>22.561421339639974</v>
      </c>
      <c r="G242" s="100"/>
      <c r="H242" s="61" t="str">
        <f t="shared" si="3"/>
        <v>(20, 25]</v>
      </c>
      <c r="I242" s="62">
        <v>27.89</v>
      </c>
      <c r="J242" s="59">
        <v>0.11764805882105839</v>
      </c>
      <c r="K242" s="59">
        <v>0.11765064406338761</v>
      </c>
      <c r="L242" s="117">
        <v>117650644</v>
      </c>
      <c r="M242" s="59">
        <v>0.11765064611771163</v>
      </c>
      <c r="N242" s="59">
        <v>2.6543657979425701</v>
      </c>
      <c r="O242" s="119">
        <v>26.4955</v>
      </c>
      <c r="P242" s="59">
        <v>0.11765064611771163</v>
      </c>
      <c r="Q242" s="59">
        <v>0.11757260823387955</v>
      </c>
      <c r="R242" s="59">
        <v>7.2289156626506021E-2</v>
      </c>
      <c r="S242" s="83">
        <v>1</v>
      </c>
      <c r="T242" s="102"/>
      <c r="U242" s="62"/>
      <c r="V242" s="62"/>
    </row>
    <row r="243" spans="1:22">
      <c r="A243" s="58">
        <v>25</v>
      </c>
      <c r="B243" s="58">
        <v>30</v>
      </c>
      <c r="C243" s="94">
        <v>107539</v>
      </c>
      <c r="D243" s="94">
        <v>296454050</v>
      </c>
      <c r="E243" s="59">
        <v>4.433189006693831E-3</v>
      </c>
      <c r="F243" s="93">
        <v>27.567119835594532</v>
      </c>
      <c r="G243" s="100"/>
      <c r="H243" s="61" t="str">
        <f t="shared" si="3"/>
        <v>(25, 30]</v>
      </c>
      <c r="I243" s="62">
        <v>26.65</v>
      </c>
      <c r="J243" s="59">
        <v>0.11814448702839059</v>
      </c>
      <c r="K243" s="59">
        <v>0.11814708317941841</v>
      </c>
      <c r="L243" s="117">
        <v>118147083</v>
      </c>
      <c r="M243" s="59">
        <v>0.11814708512664754</v>
      </c>
      <c r="N243" s="59">
        <v>3.2569748539124812</v>
      </c>
      <c r="O243" s="119">
        <v>25.317499999999999</v>
      </c>
      <c r="P243" s="59">
        <v>0.11814708512664754</v>
      </c>
      <c r="Q243" s="59">
        <v>0.11844270625041142</v>
      </c>
      <c r="R243" s="59">
        <v>8.4337349397590355E-2</v>
      </c>
      <c r="S243" s="83">
        <v>1</v>
      </c>
      <c r="T243" s="102"/>
      <c r="U243" s="62"/>
      <c r="V243" s="62"/>
    </row>
    <row r="244" spans="1:22">
      <c r="A244" s="58">
        <v>30</v>
      </c>
      <c r="B244" s="58">
        <v>35</v>
      </c>
      <c r="C244" s="94">
        <v>112002</v>
      </c>
      <c r="D244" s="94">
        <v>364690430</v>
      </c>
      <c r="E244" s="59">
        <v>4.617171771429179E-3</v>
      </c>
      <c r="F244" s="93">
        <v>32.561064088141286</v>
      </c>
      <c r="G244" s="100">
        <v>7.08</v>
      </c>
      <c r="H244" s="61" t="str">
        <f t="shared" si="3"/>
        <v>(30, 35]</v>
      </c>
      <c r="I244" s="62" cm="1">
        <f t="array" ref="I244:I292">G244:G292*G228</f>
        <v>7.0594255200000005</v>
      </c>
      <c r="J244" s="59">
        <v>3.2594580233450757E-2</v>
      </c>
      <c r="K244" s="59">
        <v>3.2595296478915133E-2</v>
      </c>
      <c r="L244" s="117">
        <v>32595296</v>
      </c>
      <c r="M244" s="59">
        <v>3.2595296586715339E-2</v>
      </c>
      <c r="N244" s="59">
        <v>1.0613375411320112</v>
      </c>
      <c r="O244" s="119">
        <v>6.7064542439999997</v>
      </c>
      <c r="P244" s="59">
        <v>3.2595296586715339E-2</v>
      </c>
      <c r="Q244" s="59">
        <v>3.2734637621958114E-2</v>
      </c>
      <c r="R244" s="59">
        <v>3.614457831325301E-2</v>
      </c>
      <c r="S244" s="83">
        <v>1</v>
      </c>
      <c r="T244" s="102"/>
      <c r="U244" s="62"/>
      <c r="V244" s="62"/>
    </row>
    <row r="245" spans="1:22">
      <c r="A245" s="58">
        <v>35</v>
      </c>
      <c r="B245" s="58">
        <v>40</v>
      </c>
      <c r="C245" s="94">
        <v>116470</v>
      </c>
      <c r="D245" s="94">
        <v>437367450</v>
      </c>
      <c r="E245" s="59">
        <v>4.8013606562236077E-3</v>
      </c>
      <c r="F245" s="93">
        <v>37.551940413840477</v>
      </c>
      <c r="G245" s="100">
        <v>5.56</v>
      </c>
      <c r="H245" s="113" t="str">
        <f t="shared" si="3"/>
        <v>(35, 40]</v>
      </c>
      <c r="I245" s="62">
        <v>5.5438426399999994</v>
      </c>
      <c r="J245" s="59">
        <v>2.6617987935990815E-2</v>
      </c>
      <c r="K245" s="59">
        <v>2.6618572849586675E-2</v>
      </c>
      <c r="L245" s="117">
        <v>26618572</v>
      </c>
      <c r="M245" s="59">
        <v>2.6618572479134305E-2</v>
      </c>
      <c r="N245" s="59">
        <v>0.99957904763794536</v>
      </c>
      <c r="O245" s="119">
        <v>5.2666505079999988</v>
      </c>
      <c r="P245" s="59">
        <v>2.6618572479134305E-2</v>
      </c>
      <c r="Q245" s="59">
        <v>2.6738890508038921E-2</v>
      </c>
      <c r="R245" s="59">
        <v>2.4096385542168676E-2</v>
      </c>
      <c r="S245" s="83">
        <v>1</v>
      </c>
      <c r="T245" s="102"/>
      <c r="U245" s="62"/>
      <c r="V245" s="62"/>
    </row>
    <row r="246" spans="1:22">
      <c r="A246" s="58">
        <v>40</v>
      </c>
      <c r="B246" s="58">
        <v>45</v>
      </c>
      <c r="C246" s="94">
        <v>121896</v>
      </c>
      <c r="D246" s="94">
        <v>518704865</v>
      </c>
      <c r="E246" s="59">
        <v>5.0250421443378797E-3</v>
      </c>
      <c r="F246" s="93">
        <v>42.553066958718908</v>
      </c>
      <c r="G246" s="100">
        <v>5.3</v>
      </c>
      <c r="H246" s="61" t="str">
        <f t="shared" si="3"/>
        <v>(40, 45]</v>
      </c>
      <c r="I246" s="62">
        <v>5.2845981999999996</v>
      </c>
      <c r="J246" s="59">
        <v>2.6555328670892098E-2</v>
      </c>
      <c r="K246" s="59">
        <v>2.6555912207589894E-2</v>
      </c>
      <c r="L246" s="117">
        <v>26555912</v>
      </c>
      <c r="M246" s="59">
        <v>2.6555912478006424E-2</v>
      </c>
      <c r="N246" s="59">
        <v>1.1300355218264864</v>
      </c>
      <c r="O246" s="119">
        <v>5.0203682899999995</v>
      </c>
      <c r="P246" s="59">
        <v>2.6555912478006424E-2</v>
      </c>
      <c r="Q246" s="59">
        <v>2.6322629500129962E-2</v>
      </c>
      <c r="R246" s="59">
        <v>3.614457831325301E-2</v>
      </c>
      <c r="S246" s="83">
        <v>0.99</v>
      </c>
      <c r="T246" s="102"/>
      <c r="U246" s="62"/>
      <c r="V246" s="62"/>
    </row>
    <row r="247" spans="1:22">
      <c r="A247" s="58">
        <v>45</v>
      </c>
      <c r="B247" s="58">
        <v>50</v>
      </c>
      <c r="C247" s="94">
        <v>124930</v>
      </c>
      <c r="D247" s="94">
        <v>594016865</v>
      </c>
      <c r="E247" s="59">
        <v>5.1501157961879908E-3</v>
      </c>
      <c r="F247" s="93">
        <v>47.547976066597293</v>
      </c>
      <c r="G247" s="100">
        <v>4.7</v>
      </c>
      <c r="H247" s="61" t="str">
        <f t="shared" si="3"/>
        <v>(45, 50]</v>
      </c>
      <c r="I247" s="62">
        <v>4.6863418000000001</v>
      </c>
      <c r="J247" s="59">
        <v>2.4135202930516061E-2</v>
      </c>
      <c r="K247" s="59">
        <v>2.4135733286468092E-2</v>
      </c>
      <c r="L247" s="117">
        <v>24135733</v>
      </c>
      <c r="M247" s="59">
        <v>2.4135733434443203E-2</v>
      </c>
      <c r="N247" s="59">
        <v>1.1476052756906776</v>
      </c>
      <c r="O247" s="119">
        <v>4.4520247099999999</v>
      </c>
      <c r="P247" s="59">
        <v>2.4135733434443203E-2</v>
      </c>
      <c r="Q247" s="59">
        <v>2.4181326459445204E-2</v>
      </c>
      <c r="R247" s="59">
        <v>2.4096385542168676E-2</v>
      </c>
      <c r="S247" s="83">
        <v>1</v>
      </c>
      <c r="T247" s="102"/>
      <c r="U247" s="62"/>
      <c r="V247" s="62"/>
    </row>
    <row r="248" spans="1:22">
      <c r="A248" s="58">
        <v>50</v>
      </c>
      <c r="B248" s="58">
        <v>60</v>
      </c>
      <c r="C248" s="94">
        <v>263716</v>
      </c>
      <c r="D248" s="94">
        <v>1452783265</v>
      </c>
      <c r="E248" s="59">
        <v>1.0871431500100153E-2</v>
      </c>
      <c r="F248" s="93">
        <v>55.088931464150825</v>
      </c>
      <c r="G248" s="100">
        <v>1.88</v>
      </c>
      <c r="H248" s="113" t="str">
        <f t="shared" si="3"/>
        <v>(50, 60]</v>
      </c>
      <c r="I248" s="62">
        <v>1.87453672</v>
      </c>
      <c r="J248" s="59">
        <v>2.037889754590242E-2</v>
      </c>
      <c r="K248" s="59">
        <v>2.0379345359398764E-2</v>
      </c>
      <c r="L248" s="117">
        <v>20379345</v>
      </c>
      <c r="M248" s="59">
        <v>2.0379345366828217E-2</v>
      </c>
      <c r="N248" s="59">
        <v>1.1226763601974594</v>
      </c>
      <c r="O248" s="119">
        <v>1.780809884</v>
      </c>
      <c r="P248" s="59">
        <v>2.0379345366828217E-2</v>
      </c>
      <c r="Q248" s="59">
        <v>2.0420051387980975E-2</v>
      </c>
      <c r="R248" s="59">
        <v>2.4096385542168676E-2</v>
      </c>
      <c r="S248" s="83">
        <v>1</v>
      </c>
      <c r="T248" s="102"/>
      <c r="U248" s="62"/>
      <c r="V248" s="62"/>
    </row>
    <row r="249" spans="1:22">
      <c r="A249" s="58">
        <v>60</v>
      </c>
      <c r="B249" s="58">
        <v>70</v>
      </c>
      <c r="C249" s="94">
        <v>278410</v>
      </c>
      <c r="D249" s="94">
        <v>1811769945</v>
      </c>
      <c r="E249" s="59">
        <v>1.1477177129726235E-2</v>
      </c>
      <c r="F249" s="93">
        <v>65.07560594087856</v>
      </c>
      <c r="G249" s="90">
        <v>5.84</v>
      </c>
      <c r="H249" s="61" t="str">
        <f t="shared" si="3"/>
        <v>(60, 70]</v>
      </c>
      <c r="I249" s="62">
        <v>5.8230289600000003</v>
      </c>
      <c r="J249" s="59">
        <v>6.6831934805445539E-2</v>
      </c>
      <c r="K249" s="59">
        <v>6.6833403395310381E-2</v>
      </c>
      <c r="L249" s="117">
        <v>66833403</v>
      </c>
      <c r="M249" s="59">
        <v>6.6833404203001281E-2</v>
      </c>
      <c r="N249" s="59">
        <v>4.3492242756019683</v>
      </c>
      <c r="O249" s="119">
        <v>5.5318775120000003</v>
      </c>
      <c r="P249" s="59">
        <v>6.6833404203001281E-2</v>
      </c>
      <c r="Q249" s="59">
        <v>6.6921583271510085E-2</v>
      </c>
      <c r="R249" s="59">
        <v>6.0240963855421686E-2</v>
      </c>
      <c r="S249" s="83">
        <v>1</v>
      </c>
      <c r="T249" s="102"/>
      <c r="U249" s="62"/>
      <c r="V249" s="62"/>
    </row>
    <row r="250" spans="1:22">
      <c r="A250" s="58">
        <v>70</v>
      </c>
      <c r="B250" s="58">
        <v>80</v>
      </c>
      <c r="C250" s="94">
        <v>292943</v>
      </c>
      <c r="D250" s="94">
        <v>2198993770</v>
      </c>
      <c r="E250" s="59">
        <v>1.2076285693449922E-2</v>
      </c>
      <c r="F250" s="93">
        <v>75.065585113827595</v>
      </c>
      <c r="G250" s="90">
        <v>5.01</v>
      </c>
      <c r="H250" s="61" t="str">
        <f t="shared" si="3"/>
        <v>(70, 80]</v>
      </c>
      <c r="I250" s="62">
        <v>4.9954409399999999</v>
      </c>
      <c r="J250" s="59">
        <v>6.0326371956196029E-2</v>
      </c>
      <c r="K250" s="59">
        <v>6.0327697590396141E-2</v>
      </c>
      <c r="L250" s="117">
        <v>60327697</v>
      </c>
      <c r="M250" s="59">
        <v>6.0327698085898565E-2</v>
      </c>
      <c r="N250" s="59">
        <v>4.5285339553883128</v>
      </c>
      <c r="O250" s="119">
        <v>4.7456688929999995</v>
      </c>
      <c r="P250" s="59">
        <v>6.0327698085898565E-2</v>
      </c>
      <c r="Q250" s="59">
        <v>6.0345669146567714E-2</v>
      </c>
      <c r="R250" s="59">
        <v>4.8192771084337352E-2</v>
      </c>
      <c r="S250" s="83">
        <v>1</v>
      </c>
      <c r="T250" s="102"/>
      <c r="U250" s="62"/>
      <c r="V250" s="62"/>
    </row>
    <row r="251" spans="1:22">
      <c r="A251" s="58">
        <v>80</v>
      </c>
      <c r="B251" s="58">
        <v>90</v>
      </c>
      <c r="C251" s="94">
        <v>305374</v>
      </c>
      <c r="D251" s="94">
        <v>2597627590</v>
      </c>
      <c r="E251" s="59">
        <v>1.2588741384336121E-2</v>
      </c>
      <c r="F251" s="93">
        <v>85.063809951076379</v>
      </c>
      <c r="G251" s="90">
        <v>2.2000000000000002</v>
      </c>
      <c r="H251" s="61" t="str">
        <f t="shared" si="3"/>
        <v>(80, 90]</v>
      </c>
      <c r="I251" s="62">
        <v>2.1936068000000004</v>
      </c>
      <c r="J251" s="59">
        <v>2.7614748704121134E-2</v>
      </c>
      <c r="K251" s="59">
        <v>2.7615355520909921E-2</v>
      </c>
      <c r="L251" s="117">
        <v>27615355</v>
      </c>
      <c r="M251" s="59">
        <v>2.7615355497076399E-2</v>
      </c>
      <c r="N251" s="59">
        <v>2.3490673517347194</v>
      </c>
      <c r="O251" s="119">
        <v>2.0839264600000003</v>
      </c>
      <c r="P251" s="59">
        <v>2.7615355497076399E-2</v>
      </c>
      <c r="Q251" s="59">
        <v>2.7612121524630308E-2</v>
      </c>
      <c r="R251" s="59">
        <v>2.4096385542168676E-2</v>
      </c>
      <c r="S251" s="83">
        <v>1</v>
      </c>
      <c r="T251" s="102"/>
      <c r="U251" s="62"/>
      <c r="V251" s="62"/>
    </row>
    <row r="252" spans="1:22">
      <c r="A252" s="58">
        <v>90</v>
      </c>
      <c r="B252" s="58">
        <v>100</v>
      </c>
      <c r="C252" s="94">
        <v>315484</v>
      </c>
      <c r="D252" s="94">
        <v>2999180475</v>
      </c>
      <c r="E252" s="59">
        <v>1.3005516143797103E-2</v>
      </c>
      <c r="F252" s="93">
        <v>95.066008894270396</v>
      </c>
      <c r="G252" s="90">
        <v>1.87</v>
      </c>
      <c r="H252" s="61" t="str">
        <f t="shared" si="3"/>
        <v>(90, 100]</v>
      </c>
      <c r="I252" s="62">
        <v>1.8645657800000002</v>
      </c>
      <c r="J252" s="59">
        <v>2.4249640352961638E-2</v>
      </c>
      <c r="K252" s="59">
        <v>2.4250173223604274E-2</v>
      </c>
      <c r="L252" s="117">
        <v>24250173</v>
      </c>
      <c r="M252" s="59">
        <v>2.4250173436503122E-2</v>
      </c>
      <c r="N252" s="59">
        <v>2.3053672036022053</v>
      </c>
      <c r="O252" s="119">
        <v>1.7713374910000002</v>
      </c>
      <c r="P252" s="59">
        <v>2.4250173436503122E-2</v>
      </c>
      <c r="Q252" s="59">
        <v>2.421306046004815E-2</v>
      </c>
      <c r="R252" s="59">
        <v>1.2048192771084338E-2</v>
      </c>
      <c r="S252" s="83">
        <v>1</v>
      </c>
      <c r="T252" s="102"/>
      <c r="U252" s="62"/>
      <c r="V252" s="62"/>
    </row>
    <row r="253" spans="1:22">
      <c r="A253" s="58">
        <v>100</v>
      </c>
      <c r="B253" s="58">
        <v>120</v>
      </c>
      <c r="C253" s="94">
        <v>657512</v>
      </c>
      <c r="D253" s="94">
        <v>7239778765</v>
      </c>
      <c r="E253" s="59">
        <v>2.7105282457241323E-2</v>
      </c>
      <c r="F253" s="93">
        <v>110.10869406185742</v>
      </c>
      <c r="G253" s="90">
        <v>2</v>
      </c>
      <c r="H253" s="190" t="str">
        <f t="shared" si="3"/>
        <v>(100, 120]</v>
      </c>
      <c r="I253" s="62">
        <v>1.9941880000000001</v>
      </c>
      <c r="J253" s="59">
        <v>5.4053029012841161E-2</v>
      </c>
      <c r="K253" s="59">
        <v>5.4054216794263373E-2</v>
      </c>
      <c r="L253" s="117">
        <v>54054216</v>
      </c>
      <c r="M253" s="59">
        <v>5.4054216972975903E-2</v>
      </c>
      <c r="N253" s="59">
        <v>5.9518392394306643</v>
      </c>
      <c r="O253" s="119">
        <v>1.8944786</v>
      </c>
      <c r="P253" s="59">
        <v>5.4054216972975903E-2</v>
      </c>
      <c r="Q253" s="59">
        <v>5.4230773030384691E-2</v>
      </c>
      <c r="R253" s="59">
        <v>6.0240963855421686E-2</v>
      </c>
      <c r="S253" s="83">
        <v>1</v>
      </c>
      <c r="T253" s="102"/>
      <c r="U253" s="62"/>
      <c r="V253" s="62"/>
    </row>
    <row r="254" spans="1:22">
      <c r="A254" s="58">
        <v>120</v>
      </c>
      <c r="B254" s="58">
        <v>140</v>
      </c>
      <c r="C254" s="94">
        <v>679555</v>
      </c>
      <c r="D254" s="94">
        <v>8838584145</v>
      </c>
      <c r="E254" s="59">
        <v>2.8013983349704074E-2</v>
      </c>
      <c r="F254" s="93">
        <v>130.06429420723856</v>
      </c>
      <c r="G254" s="90">
        <v>0.92</v>
      </c>
      <c r="H254" s="191" t="str">
        <f t="shared" si="3"/>
        <v>(120, 140]</v>
      </c>
      <c r="I254" s="62">
        <v>0.91732648000000006</v>
      </c>
      <c r="J254" s="59">
        <v>2.5697968736962649E-2</v>
      </c>
      <c r="K254" s="59">
        <v>2.5698533433713446E-2</v>
      </c>
      <c r="L254" s="117">
        <v>25698533</v>
      </c>
      <c r="M254" s="59">
        <v>2.5698533462573604E-2</v>
      </c>
      <c r="N254" s="59">
        <v>3.3424616169707382</v>
      </c>
      <c r="O254" s="119">
        <v>0.87146015600000004</v>
      </c>
      <c r="P254" s="59">
        <v>2.5698533462573604E-2</v>
      </c>
      <c r="Q254" s="59">
        <v>2.5644264487241025E-2</v>
      </c>
      <c r="R254" s="59">
        <v>7.2289156626506021E-2</v>
      </c>
      <c r="S254" s="83">
        <v>1</v>
      </c>
      <c r="T254" s="102"/>
      <c r="U254" s="62"/>
      <c r="V254" s="62"/>
    </row>
    <row r="255" spans="1:22">
      <c r="A255" s="58">
        <v>140</v>
      </c>
      <c r="B255" s="58">
        <v>160</v>
      </c>
      <c r="C255" s="94">
        <v>693797</v>
      </c>
      <c r="D255" s="94">
        <v>10410692205</v>
      </c>
      <c r="E255" s="59">
        <v>2.8601095725989269E-2</v>
      </c>
      <c r="F255" s="93">
        <v>150.05386597232331</v>
      </c>
      <c r="G255" s="90">
        <v>1.4178200000000001</v>
      </c>
      <c r="H255" s="190" t="str">
        <f t="shared" si="3"/>
        <v>(140, 160]</v>
      </c>
      <c r="I255" s="62">
        <v>1.4136998150800002</v>
      </c>
      <c r="J255" s="59">
        <v>4.0433363738916414E-2</v>
      </c>
      <c r="K255" s="59">
        <v>4.0434252236733532E-2</v>
      </c>
      <c r="L255" s="117">
        <v>40434252</v>
      </c>
      <c r="M255" s="59">
        <v>4.0434252727816547E-2</v>
      </c>
      <c r="N255" s="59">
        <v>6.0673159395108325</v>
      </c>
      <c r="O255" s="119">
        <v>1.3430148243260001</v>
      </c>
      <c r="P255" s="59">
        <v>4.0434252727816547E-2</v>
      </c>
      <c r="Q255" s="59">
        <v>3.9335711747378523E-2</v>
      </c>
      <c r="R255" s="59">
        <v>2.4096385542168676E-2</v>
      </c>
      <c r="S255" s="83">
        <v>0.97</v>
      </c>
      <c r="T255" s="102"/>
      <c r="U255" s="62"/>
      <c r="V255" s="62"/>
    </row>
    <row r="256" spans="1:22">
      <c r="A256" s="58">
        <v>160</v>
      </c>
      <c r="B256" s="58">
        <v>180</v>
      </c>
      <c r="C256" s="94">
        <v>696894</v>
      </c>
      <c r="D256" s="94">
        <v>11849706220</v>
      </c>
      <c r="E256" s="59">
        <v>2.8728766490583795E-2</v>
      </c>
      <c r="F256" s="93">
        <v>170.03599141332828</v>
      </c>
      <c r="G256" s="90">
        <v>0.69</v>
      </c>
      <c r="H256" s="191" t="str">
        <f t="shared" si="3"/>
        <v>(160, 180]</v>
      </c>
      <c r="I256" s="62">
        <v>0.68799485999999999</v>
      </c>
      <c r="J256" s="59">
        <v>1.9765243679661888E-2</v>
      </c>
      <c r="K256" s="59">
        <v>1.9765678008499269E-2</v>
      </c>
      <c r="L256" s="117">
        <v>19765678</v>
      </c>
      <c r="M256" s="59">
        <v>1.9765678355782211E-2</v>
      </c>
      <c r="N256" s="59">
        <v>3.3608767151823926</v>
      </c>
      <c r="O256" s="119">
        <v>0.65359511699999995</v>
      </c>
      <c r="P256" s="59">
        <v>1.9765678355782211E-2</v>
      </c>
      <c r="Q256" s="59">
        <v>1.9668153373694913E-2</v>
      </c>
      <c r="R256" s="59">
        <v>3.614457831325301E-2</v>
      </c>
      <c r="S256" s="83">
        <v>1</v>
      </c>
      <c r="T256" s="102"/>
      <c r="U256" s="62"/>
      <c r="V256" s="62"/>
    </row>
    <row r="257" spans="1:22">
      <c r="A257" s="58">
        <v>180</v>
      </c>
      <c r="B257" s="58">
        <v>200</v>
      </c>
      <c r="C257" s="94">
        <v>694774</v>
      </c>
      <c r="D257" s="94">
        <v>13201072020</v>
      </c>
      <c r="E257" s="59">
        <v>2.864137158553362E-2</v>
      </c>
      <c r="F257" s="93">
        <v>190.00526818792875</v>
      </c>
      <c r="G257" s="90">
        <v>0.61</v>
      </c>
      <c r="H257" s="191" t="str">
        <f t="shared" si="3"/>
        <v>(180, 200]</v>
      </c>
      <c r="I257" s="62">
        <v>0.60822734000000001</v>
      </c>
      <c r="J257" s="59">
        <v>1.7420465253420697E-2</v>
      </c>
      <c r="K257" s="59">
        <v>1.7420848057222299E-2</v>
      </c>
      <c r="L257" s="117">
        <v>17420848</v>
      </c>
      <c r="M257" s="59">
        <v>1.7420848313575269E-2</v>
      </c>
      <c r="N257" s="59">
        <v>3.3100529558820955</v>
      </c>
      <c r="O257" s="119">
        <v>0.57781597299999998</v>
      </c>
      <c r="P257" s="59">
        <v>1.7420848313575269E-2</v>
      </c>
      <c r="Q257" s="59">
        <v>1.7307835328848872E-2</v>
      </c>
      <c r="R257" s="59">
        <v>0</v>
      </c>
      <c r="S257" s="83">
        <v>0.99</v>
      </c>
      <c r="T257" s="102"/>
      <c r="U257" s="62"/>
      <c r="V257" s="62"/>
    </row>
    <row r="258" spans="1:22">
      <c r="A258" s="58">
        <v>200</v>
      </c>
      <c r="B258" s="58">
        <v>250</v>
      </c>
      <c r="C258" s="94">
        <v>1690111</v>
      </c>
      <c r="D258" s="94">
        <v>38000662260</v>
      </c>
      <c r="E258" s="59">
        <v>6.9673155834556008E-2</v>
      </c>
      <c r="F258" s="93">
        <v>224.84122202624559</v>
      </c>
      <c r="G258" s="90">
        <v>0.49</v>
      </c>
      <c r="H258" s="191" t="str">
        <f t="shared" si="3"/>
        <v>(200, 250]</v>
      </c>
      <c r="I258" s="62">
        <v>0.48857606000000003</v>
      </c>
      <c r="J258" s="59">
        <v>3.4040635965413388E-2</v>
      </c>
      <c r="K258" s="59">
        <v>3.4041383987045815E-2</v>
      </c>
      <c r="L258" s="117">
        <v>34041383</v>
      </c>
      <c r="M258" s="59">
        <v>3.4041383612744905E-2</v>
      </c>
      <c r="N258" s="59">
        <v>7.6539062909537749</v>
      </c>
      <c r="O258" s="119">
        <v>0.46414725700000004</v>
      </c>
      <c r="P258" s="59">
        <v>3.4041383612744905E-2</v>
      </c>
      <c r="Q258" s="59">
        <v>3.3806543642324327E-2</v>
      </c>
      <c r="R258" s="59">
        <v>6.0240963855421686E-2</v>
      </c>
      <c r="S258" s="83">
        <v>0.99</v>
      </c>
      <c r="T258" s="102"/>
      <c r="U258" s="62"/>
      <c r="V258" s="62"/>
    </row>
    <row r="259" spans="1:22">
      <c r="A259" s="58">
        <v>250</v>
      </c>
      <c r="B259" s="58">
        <v>300</v>
      </c>
      <c r="C259" s="94">
        <v>1586325</v>
      </c>
      <c r="D259" s="94">
        <v>43582265865</v>
      </c>
      <c r="E259" s="59">
        <v>6.5394680544208078E-2</v>
      </c>
      <c r="F259" s="93">
        <v>274.73730707767953</v>
      </c>
      <c r="G259" s="90">
        <v>0.2</v>
      </c>
      <c r="H259" s="191" t="str">
        <f t="shared" si="3"/>
        <v>(250, 300]</v>
      </c>
      <c r="I259" s="62">
        <v>0.19941880000000001</v>
      </c>
      <c r="J259" s="59">
        <v>1.3040928720509323E-2</v>
      </c>
      <c r="K259" s="59">
        <v>1.3041215286741511E-2</v>
      </c>
      <c r="L259" s="117">
        <v>13041215</v>
      </c>
      <c r="M259" s="59">
        <v>1.3041215234741874E-2</v>
      </c>
      <c r="N259" s="59">
        <v>3.5829083546133909</v>
      </c>
      <c r="O259" s="119">
        <v>0.18944786</v>
      </c>
      <c r="P259" s="59">
        <v>1.3041215234741874E-2</v>
      </c>
      <c r="Q259" s="59">
        <v>1.3068031248292594E-2</v>
      </c>
      <c r="R259" s="59">
        <v>2.4096385542168676E-2</v>
      </c>
      <c r="S259" s="83">
        <v>1</v>
      </c>
      <c r="T259" s="102"/>
      <c r="U259" s="62"/>
      <c r="V259" s="62"/>
    </row>
    <row r="260" spans="1:22">
      <c r="A260" s="58">
        <v>300</v>
      </c>
      <c r="B260" s="58">
        <v>350</v>
      </c>
      <c r="C260" s="94">
        <v>1461166</v>
      </c>
      <c r="D260" s="94">
        <v>47439728200</v>
      </c>
      <c r="E260" s="59">
        <v>6.0235124449314191E-2</v>
      </c>
      <c r="F260" s="93">
        <v>324.67035367644746</v>
      </c>
      <c r="G260" s="90">
        <v>0.19</v>
      </c>
      <c r="H260" s="191" t="str">
        <f t="shared" si="3"/>
        <v>(300, 350]</v>
      </c>
      <c r="I260" s="62">
        <v>0.18944786</v>
      </c>
      <c r="J260" s="59">
        <v>1.1411415423756252E-2</v>
      </c>
      <c r="K260" s="59">
        <v>1.1411666182455421E-2</v>
      </c>
      <c r="L260" s="117">
        <v>11411666</v>
      </c>
      <c r="M260" s="59">
        <v>1.1411666205409992E-2</v>
      </c>
      <c r="N260" s="59">
        <v>3.7050297029480252</v>
      </c>
      <c r="O260" s="119">
        <v>0.179975467</v>
      </c>
      <c r="P260" s="59">
        <v>1.1411666205409992E-2</v>
      </c>
      <c r="Q260" s="59">
        <v>1.1219765213175539E-2</v>
      </c>
      <c r="R260" s="59">
        <v>1.2048192771084338E-2</v>
      </c>
      <c r="S260" s="83">
        <v>0.98</v>
      </c>
      <c r="T260" s="102"/>
      <c r="U260" s="62"/>
      <c r="V260" s="62"/>
    </row>
    <row r="261" spans="1:22">
      <c r="A261" s="58">
        <v>350</v>
      </c>
      <c r="B261" s="58">
        <v>400</v>
      </c>
      <c r="C261" s="94">
        <v>1327291</v>
      </c>
      <c r="D261" s="94">
        <v>49720969540</v>
      </c>
      <c r="E261" s="59">
        <v>5.4716259867430998E-2</v>
      </c>
      <c r="F261" s="93">
        <v>374.60488724778514</v>
      </c>
      <c r="G261" s="90">
        <v>8.5737499999999998E-3</v>
      </c>
      <c r="H261" s="191" t="str">
        <f t="shared" si="3"/>
        <v>(350, 400]</v>
      </c>
      <c r="I261" s="62">
        <v>8.5488346825000009E-3</v>
      </c>
      <c r="J261" s="59">
        <v>4.6776026005137703E-4</v>
      </c>
      <c r="K261" s="59">
        <v>4.6777053878981376E-4</v>
      </c>
      <c r="L261" s="117">
        <v>467770</v>
      </c>
      <c r="M261" s="59">
        <v>4.6777000841986013E-4</v>
      </c>
      <c r="N261" s="59">
        <v>0.17522893126201722</v>
      </c>
      <c r="O261" s="119">
        <v>8.1213929483749999E-3</v>
      </c>
      <c r="P261" s="59">
        <v>4.6777000841986013E-4</v>
      </c>
      <c r="Q261" s="59">
        <v>6.1272901164185123E-4</v>
      </c>
      <c r="R261" s="59">
        <v>0</v>
      </c>
      <c r="S261" s="83">
        <v>1.31</v>
      </c>
      <c r="T261" s="102"/>
      <c r="U261" s="62"/>
      <c r="V261" s="62"/>
    </row>
    <row r="262" spans="1:22">
      <c r="A262" s="58">
        <v>400</v>
      </c>
      <c r="B262" s="58">
        <v>450</v>
      </c>
      <c r="C262" s="94">
        <v>1196169</v>
      </c>
      <c r="D262" s="94">
        <v>50790344430</v>
      </c>
      <c r="E262" s="59">
        <v>4.9310884990077589E-2</v>
      </c>
      <c r="F262" s="93">
        <v>424.60843267130315</v>
      </c>
      <c r="G262" s="90">
        <v>8.5737499999999998E-3</v>
      </c>
      <c r="H262" s="191" t="str">
        <f t="shared" si="3"/>
        <v>(400, 450]</v>
      </c>
      <c r="I262" s="62">
        <v>8.5488346825000009E-3</v>
      </c>
      <c r="J262" s="59">
        <v>4.21550603827944E-4</v>
      </c>
      <c r="K262" s="59">
        <v>4.2155986713815794E-4</v>
      </c>
      <c r="L262" s="117">
        <v>421559</v>
      </c>
      <c r="M262" s="59">
        <v>4.2155900758806213E-4</v>
      </c>
      <c r="N262" s="59">
        <v>0.17899750949043705</v>
      </c>
      <c r="O262" s="119">
        <v>8.1213929483749999E-3</v>
      </c>
      <c r="P262" s="59">
        <v>4.2155900758806213E-4</v>
      </c>
      <c r="Q262" s="59">
        <v>5.539220105245182E-4</v>
      </c>
      <c r="R262" s="59">
        <v>0</v>
      </c>
      <c r="S262" s="83">
        <v>1.31</v>
      </c>
      <c r="T262" s="102"/>
      <c r="U262" s="62"/>
      <c r="V262" s="62"/>
    </row>
    <row r="263" spans="1:22">
      <c r="A263" s="58">
        <v>450</v>
      </c>
      <c r="B263" s="58">
        <v>500</v>
      </c>
      <c r="C263" s="94">
        <v>1072191</v>
      </c>
      <c r="D263" s="94">
        <v>50882431450</v>
      </c>
      <c r="E263" s="59">
        <v>4.4200014453138543E-2</v>
      </c>
      <c r="F263" s="93">
        <v>474.56499308425458</v>
      </c>
      <c r="G263" s="90">
        <v>8.5737499999999998E-3</v>
      </c>
      <c r="H263" s="191" t="str">
        <f t="shared" si="3"/>
        <v>(450, 500]</v>
      </c>
      <c r="I263" s="62">
        <v>8.5488346825000009E-3</v>
      </c>
      <c r="J263" s="59">
        <v>3.7785861652399208E-4</v>
      </c>
      <c r="K263" s="59">
        <v>3.7786691973017915E-4</v>
      </c>
      <c r="L263" s="117">
        <v>377866</v>
      </c>
      <c r="M263" s="59">
        <v>3.7786600680158813E-4</v>
      </c>
      <c r="N263" s="59">
        <v>0.17932197890457058</v>
      </c>
      <c r="O263" s="119">
        <v>8.1213929483749999E-3</v>
      </c>
      <c r="P263" s="59">
        <v>3.7786600680158813E-4</v>
      </c>
      <c r="Q263" s="59">
        <v>4.9288800936487219E-4</v>
      </c>
      <c r="R263" s="59">
        <v>0</v>
      </c>
      <c r="S263" s="83">
        <v>1.3</v>
      </c>
      <c r="T263" s="102"/>
      <c r="U263" s="62"/>
      <c r="V263" s="62"/>
    </row>
    <row r="264" spans="1:22">
      <c r="A264" s="58">
        <v>500</v>
      </c>
      <c r="B264" s="58">
        <v>550</v>
      </c>
      <c r="C264" s="94">
        <v>961434</v>
      </c>
      <c r="D264" s="94">
        <v>50433708950</v>
      </c>
      <c r="E264" s="59">
        <v>3.9634166576420431E-2</v>
      </c>
      <c r="F264" s="93">
        <v>524.56756209994649</v>
      </c>
      <c r="G264" s="90">
        <v>8.5737499999999998E-3</v>
      </c>
      <c r="H264" s="191" t="str">
        <f t="shared" si="3"/>
        <v>(500, 550]</v>
      </c>
      <c r="I264" s="62">
        <v>8.5488346825000009E-3</v>
      </c>
      <c r="J264" s="59">
        <v>3.3882593784048529E-4</v>
      </c>
      <c r="K264" s="59">
        <v>3.3883338332803113E-4</v>
      </c>
      <c r="L264" s="117">
        <v>338833</v>
      </c>
      <c r="M264" s="59">
        <v>3.3883300609899411E-4</v>
      </c>
      <c r="N264" s="59">
        <v>0.17774080396834563</v>
      </c>
      <c r="O264" s="119">
        <v>8.1213929483749999E-3</v>
      </c>
      <c r="P264" s="59">
        <v>3.3883300609899411E-4</v>
      </c>
      <c r="Q264" s="59">
        <v>4.4373500843096513E-4</v>
      </c>
      <c r="R264" s="59">
        <v>0</v>
      </c>
      <c r="S264" s="83">
        <v>1.31</v>
      </c>
      <c r="T264" s="102"/>
      <c r="U264" s="62"/>
      <c r="V264" s="62"/>
    </row>
    <row r="265" spans="1:22">
      <c r="A265" s="58">
        <v>550</v>
      </c>
      <c r="B265" s="58">
        <v>600</v>
      </c>
      <c r="C265" s="94">
        <v>858161</v>
      </c>
      <c r="D265" s="94">
        <v>49305917765</v>
      </c>
      <c r="E265" s="59">
        <v>3.5376839204134175E-2</v>
      </c>
      <c r="F265" s="93">
        <v>574.55323377548029</v>
      </c>
      <c r="G265" s="90">
        <v>8.5737499999999998E-3</v>
      </c>
      <c r="H265" s="191" t="str">
        <f t="shared" si="3"/>
        <v>(550, 600]</v>
      </c>
      <c r="I265" s="62">
        <v>8.5488346825000009E-3</v>
      </c>
      <c r="J265" s="59">
        <v>3.0243074994552795E-4</v>
      </c>
      <c r="K265" s="59">
        <v>3.0243739567163897E-4</v>
      </c>
      <c r="L265" s="117">
        <v>302437</v>
      </c>
      <c r="M265" s="59">
        <v>3.0243700544386608E-4</v>
      </c>
      <c r="N265" s="59">
        <v>0.17376615949114579</v>
      </c>
      <c r="O265" s="119">
        <v>8.1213929483749999E-3</v>
      </c>
      <c r="P265" s="59">
        <v>3.0243700544386608E-4</v>
      </c>
      <c r="Q265" s="59">
        <v>3.9546000751374016E-4</v>
      </c>
      <c r="R265" s="59">
        <v>0</v>
      </c>
      <c r="S265" s="83">
        <v>1.31</v>
      </c>
      <c r="T265" s="102"/>
      <c r="U265" s="62"/>
      <c r="V265" s="62"/>
    </row>
    <row r="266" spans="1:22">
      <c r="A266" s="58">
        <v>600</v>
      </c>
      <c r="B266" s="58">
        <v>650</v>
      </c>
      <c r="C266" s="94">
        <v>768517</v>
      </c>
      <c r="D266" s="94">
        <v>47996705110</v>
      </c>
      <c r="E266" s="59">
        <v>3.1681353888889825E-2</v>
      </c>
      <c r="F266" s="93">
        <v>624.53667400981374</v>
      </c>
      <c r="G266" s="90">
        <v>8.5737499999999998E-3</v>
      </c>
      <c r="H266" s="191" t="str">
        <f t="shared" si="3"/>
        <v>(600, 650]</v>
      </c>
      <c r="I266" s="62">
        <v>8.5488346825000009E-3</v>
      </c>
      <c r="J266" s="59">
        <v>2.708386569138976E-4</v>
      </c>
      <c r="K266" s="59">
        <v>2.7084460842357195E-4</v>
      </c>
      <c r="L266" s="117">
        <v>270844</v>
      </c>
      <c r="M266" s="59">
        <v>2.7084400487519211E-4</v>
      </c>
      <c r="N266" s="59">
        <v>0.16915201398025026</v>
      </c>
      <c r="O266" s="119">
        <v>8.1213929483749999E-3</v>
      </c>
      <c r="P266" s="59">
        <v>2.7084400487519211E-4</v>
      </c>
      <c r="Q266" s="59">
        <v>3.5135000667565011E-4</v>
      </c>
      <c r="R266" s="59">
        <v>0</v>
      </c>
      <c r="S266" s="83">
        <v>1.3</v>
      </c>
      <c r="T266" s="102"/>
      <c r="U266" s="62"/>
      <c r="V266" s="62"/>
    </row>
    <row r="267" spans="1:22">
      <c r="A267" s="58">
        <v>650</v>
      </c>
      <c r="B267" s="58">
        <v>700</v>
      </c>
      <c r="C267" s="94">
        <v>683292</v>
      </c>
      <c r="D267" s="94">
        <v>46093319110</v>
      </c>
      <c r="E267" s="59">
        <v>2.8168037481860919E-2</v>
      </c>
      <c r="F267" s="93">
        <v>674.57718091240645</v>
      </c>
      <c r="G267" s="90">
        <v>8.5737499999999998E-3</v>
      </c>
      <c r="H267" s="191" t="str">
        <f t="shared" si="3"/>
        <v>(650, 700]</v>
      </c>
      <c r="I267" s="62">
        <v>8.5488346825000009E-3</v>
      </c>
      <c r="J267" s="59">
        <v>2.4080389576289262E-4</v>
      </c>
      <c r="K267" s="59">
        <v>2.4080918727752197E-4</v>
      </c>
      <c r="L267" s="117">
        <v>240809</v>
      </c>
      <c r="M267" s="59">
        <v>2.4080900433456207E-4</v>
      </c>
      <c r="N267" s="59">
        <v>0.16244425928233233</v>
      </c>
      <c r="O267" s="119">
        <v>8.1213929483749999E-3</v>
      </c>
      <c r="P267" s="59">
        <v>2.4080900433456207E-4</v>
      </c>
      <c r="Q267" s="59">
        <v>3.1304600594787412E-4</v>
      </c>
      <c r="R267" s="59">
        <v>0</v>
      </c>
      <c r="S267" s="83">
        <v>1.3</v>
      </c>
      <c r="T267" s="102"/>
      <c r="U267" s="62"/>
      <c r="V267" s="62"/>
    </row>
    <row r="268" spans="1:22">
      <c r="A268" s="58">
        <v>700</v>
      </c>
      <c r="B268" s="58">
        <v>750</v>
      </c>
      <c r="C268" s="94">
        <v>611636</v>
      </c>
      <c r="D268" s="94">
        <v>44317015225</v>
      </c>
      <c r="E268" s="59">
        <v>2.5214089691164957E-2</v>
      </c>
      <c r="F268" s="93">
        <v>724.56518623822001</v>
      </c>
      <c r="G268" s="90">
        <v>8.5737499999999998E-3</v>
      </c>
      <c r="H268" s="191" t="str">
        <f t="shared" si="3"/>
        <v>(700, 750]</v>
      </c>
      <c r="I268" s="62">
        <v>8.5488346825000009E-3</v>
      </c>
      <c r="J268" s="59">
        <v>2.1555108443949673E-4</v>
      </c>
      <c r="K268" s="59">
        <v>2.1555582103943035E-4</v>
      </c>
      <c r="L268" s="117">
        <v>215555</v>
      </c>
      <c r="M268" s="59">
        <v>2.1555500387999006E-4</v>
      </c>
      <c r="N268" s="59">
        <v>0.15618365153088523</v>
      </c>
      <c r="O268" s="119">
        <v>8.1213929483749999E-3</v>
      </c>
      <c r="P268" s="59">
        <v>2.1555500387999006E-4</v>
      </c>
      <c r="Q268" s="59">
        <v>2.7630900524987109E-4</v>
      </c>
      <c r="R268" s="59">
        <v>0</v>
      </c>
      <c r="S268" s="83">
        <v>1.28</v>
      </c>
      <c r="T268" s="102"/>
      <c r="U268" s="62"/>
      <c r="V268" s="62"/>
    </row>
    <row r="269" spans="1:22">
      <c r="A269" s="58">
        <v>750</v>
      </c>
      <c r="B269" s="58">
        <v>800</v>
      </c>
      <c r="C269" s="94">
        <v>547007</v>
      </c>
      <c r="D269" s="94">
        <v>42369377450</v>
      </c>
      <c r="E269" s="59">
        <v>2.2549823031500875E-2</v>
      </c>
      <c r="F269" s="93">
        <v>774.56737208116169</v>
      </c>
      <c r="G269" s="90">
        <v>8.5737499999999998E-3</v>
      </c>
      <c r="H269" s="191" t="str">
        <f t="shared" si="3"/>
        <v>(750, 800]</v>
      </c>
      <c r="I269" s="62">
        <v>8.5488346825000009E-3</v>
      </c>
      <c r="J269" s="59">
        <v>1.9277470921593199E-4</v>
      </c>
      <c r="K269" s="59">
        <v>1.9277894531930049E-4</v>
      </c>
      <c r="L269" s="117">
        <v>192778</v>
      </c>
      <c r="M269" s="59">
        <v>1.9277800347000407E-4</v>
      </c>
      <c r="N269" s="59">
        <v>0.14931955154281412</v>
      </c>
      <c r="O269" s="119">
        <v>8.1213929483749999E-3</v>
      </c>
      <c r="P269" s="59">
        <v>1.9277800347000407E-4</v>
      </c>
      <c r="Q269" s="59">
        <v>2.4917100473424909E-4</v>
      </c>
      <c r="R269" s="59">
        <v>0</v>
      </c>
      <c r="S269" s="83">
        <v>1.29</v>
      </c>
      <c r="T269" s="102"/>
      <c r="U269" s="62"/>
      <c r="V269" s="62"/>
    </row>
    <row r="270" spans="1:22">
      <c r="A270" s="58">
        <v>800</v>
      </c>
      <c r="B270" s="58">
        <v>850</v>
      </c>
      <c r="C270" s="94">
        <v>488638</v>
      </c>
      <c r="D270" s="94">
        <v>40292288310</v>
      </c>
      <c r="E270" s="59">
        <v>2.0143618685805713E-2</v>
      </c>
      <c r="F270" s="93">
        <v>824.58360401769824</v>
      </c>
      <c r="G270" s="90">
        <v>8.5737499999999998E-3</v>
      </c>
      <c r="H270" s="61" t="str">
        <f t="shared" si="3"/>
        <v>(800, 850]</v>
      </c>
      <c r="I270" s="62">
        <v>8.5488346825000009E-3</v>
      </c>
      <c r="J270" s="59">
        <v>1.7220446605227096E-4</v>
      </c>
      <c r="K270" s="59">
        <v>1.7220825013744312E-4</v>
      </c>
      <c r="L270" s="117">
        <v>172208</v>
      </c>
      <c r="M270" s="59">
        <v>1.7220800309974407E-4</v>
      </c>
      <c r="N270" s="59">
        <v>0.14199989583667791</v>
      </c>
      <c r="O270" s="119">
        <v>8.1213929483749999E-3</v>
      </c>
      <c r="P270" s="59">
        <v>1.7220800309974407E-4</v>
      </c>
      <c r="Q270" s="59">
        <v>2.2273800423202209E-4</v>
      </c>
      <c r="R270" s="59">
        <v>0</v>
      </c>
      <c r="S270" s="83">
        <v>1.29</v>
      </c>
      <c r="T270" s="102"/>
      <c r="U270" s="62"/>
      <c r="V270" s="62"/>
    </row>
    <row r="271" spans="1:22">
      <c r="A271" s="58">
        <v>850</v>
      </c>
      <c r="B271" s="58">
        <v>900</v>
      </c>
      <c r="C271" s="94">
        <v>436284</v>
      </c>
      <c r="D271" s="94">
        <v>38155409865</v>
      </c>
      <c r="E271" s="59">
        <v>1.7985376771184516E-2</v>
      </c>
      <c r="F271" s="93">
        <v>874.5544155870947</v>
      </c>
      <c r="G271" s="90">
        <v>8.5737499999999998E-3</v>
      </c>
      <c r="H271" s="61" t="str">
        <f t="shared" si="3"/>
        <v>(850, 900]</v>
      </c>
      <c r="I271" s="62">
        <v>8.5488346825000009E-3</v>
      </c>
      <c r="J271" s="59">
        <v>1.5375401271933208E-4</v>
      </c>
      <c r="K271" s="59">
        <v>1.5375739136736039E-4</v>
      </c>
      <c r="L271" s="84">
        <v>153757</v>
      </c>
      <c r="M271" s="59">
        <v>1.5375700276762605E-4</v>
      </c>
      <c r="N271" s="59">
        <v>0.13446886569786451</v>
      </c>
      <c r="O271" s="119">
        <v>8.1213929483749999E-3</v>
      </c>
      <c r="P271" s="59">
        <v>1.5375700276762605E-4</v>
      </c>
      <c r="Q271" s="59">
        <v>1.9870900377547108E-4</v>
      </c>
      <c r="R271" s="59">
        <v>0</v>
      </c>
      <c r="S271" s="83">
        <v>1.29</v>
      </c>
      <c r="T271" s="102"/>
      <c r="U271" s="62"/>
      <c r="V271" s="62"/>
    </row>
    <row r="272" spans="1:22">
      <c r="A272" s="58">
        <v>900</v>
      </c>
      <c r="B272" s="58">
        <v>950</v>
      </c>
      <c r="C272" s="94">
        <v>391482</v>
      </c>
      <c r="D272" s="94">
        <v>36195920885</v>
      </c>
      <c r="E272" s="59">
        <v>1.6138458593798664E-2</v>
      </c>
      <c r="F272" s="93">
        <v>924.58710451566105</v>
      </c>
      <c r="G272" s="90">
        <v>8.5737499999999998E-3</v>
      </c>
      <c r="H272" s="61" t="str">
        <f t="shared" si="3"/>
        <v>(900, 950]</v>
      </c>
      <c r="I272" s="62">
        <v>8.5488346825000009E-3</v>
      </c>
      <c r="J272" s="59">
        <v>1.3796501454875623E-4</v>
      </c>
      <c r="K272" s="59">
        <v>1.3796804624344918E-4</v>
      </c>
      <c r="L272" s="84">
        <v>137968</v>
      </c>
      <c r="M272" s="59">
        <v>1.3796800248342403E-4</v>
      </c>
      <c r="N272" s="59">
        <v>0.12756343593195857</v>
      </c>
      <c r="O272" s="119">
        <v>8.1213929483749999E-3</v>
      </c>
      <c r="P272" s="59">
        <v>1.3796800248342403E-4</v>
      </c>
      <c r="Q272" s="59">
        <v>1.7861200339362807E-4</v>
      </c>
      <c r="R272" s="59">
        <v>0</v>
      </c>
      <c r="S272" s="83">
        <v>1.29</v>
      </c>
      <c r="T272" s="102"/>
      <c r="U272" s="62"/>
      <c r="V272" s="62"/>
    </row>
    <row r="273" spans="1:22">
      <c r="A273" s="58">
        <v>950</v>
      </c>
      <c r="B273" s="58">
        <v>1000</v>
      </c>
      <c r="C273" s="94">
        <v>350932</v>
      </c>
      <c r="D273" s="94">
        <v>34201799470</v>
      </c>
      <c r="E273" s="59">
        <v>1.4466824914654959E-2</v>
      </c>
      <c r="F273" s="93">
        <v>974.59905252299586</v>
      </c>
      <c r="G273" s="90">
        <v>8.5737499999999998E-3</v>
      </c>
      <c r="H273" s="61" t="str">
        <f t="shared" si="3"/>
        <v>(950, 1000]</v>
      </c>
      <c r="I273" s="62">
        <v>8.5488346825000009E-3</v>
      </c>
      <c r="J273" s="59">
        <v>1.2367449457605743E-4</v>
      </c>
      <c r="K273" s="59">
        <v>1.2367721224553391E-4</v>
      </c>
      <c r="L273" s="84">
        <v>123677</v>
      </c>
      <c r="M273" s="59">
        <v>1.2367700222618605E-4</v>
      </c>
      <c r="N273" s="59">
        <v>0.12053548918852537</v>
      </c>
      <c r="O273" s="119">
        <v>8.1213929483749999E-3</v>
      </c>
      <c r="P273" s="59">
        <v>1.2367700222618605E-4</v>
      </c>
      <c r="Q273" s="59">
        <v>1.6114400306173606E-4</v>
      </c>
      <c r="R273" s="59">
        <v>0</v>
      </c>
      <c r="S273" s="83">
        <v>1.3</v>
      </c>
      <c r="T273" s="102"/>
      <c r="U273" s="62"/>
      <c r="V273" s="62"/>
    </row>
    <row r="274" spans="1:22">
      <c r="A274" s="58">
        <v>1000</v>
      </c>
      <c r="B274" s="58">
        <v>2000</v>
      </c>
      <c r="C274" s="94">
        <v>2894843</v>
      </c>
      <c r="D274" s="94">
        <v>391163503240</v>
      </c>
      <c r="E274" s="59">
        <v>0.11933704203781503</v>
      </c>
      <c r="F274" s="93">
        <v>1351.2425483523632</v>
      </c>
      <c r="G274" s="90">
        <v>0.01</v>
      </c>
      <c r="H274" s="61" t="str">
        <f t="shared" si="3"/>
        <v>(1000, 2000]</v>
      </c>
      <c r="I274" s="62">
        <v>9.9709400000000011E-3</v>
      </c>
      <c r="J274" s="59">
        <v>1.1899024859365315E-3</v>
      </c>
      <c r="K274" s="59">
        <v>1.189928633297611E-3</v>
      </c>
      <c r="L274" s="84">
        <v>1189928</v>
      </c>
      <c r="M274" s="59">
        <v>1.1899280214187043E-3</v>
      </c>
      <c r="N274" s="59">
        <v>1.6078813720176954</v>
      </c>
      <c r="O274" s="119">
        <v>9.4723930000000008E-3</v>
      </c>
      <c r="P274" s="59">
        <v>1.1899280214187043E-3</v>
      </c>
      <c r="Q274" s="59">
        <v>1.3224600251267405E-4</v>
      </c>
      <c r="R274" s="59">
        <v>0</v>
      </c>
      <c r="S274" s="83">
        <v>0.11</v>
      </c>
      <c r="T274" s="102"/>
      <c r="U274" s="62"/>
      <c r="V274" s="62"/>
    </row>
    <row r="275" spans="1:22">
      <c r="A275" s="58">
        <v>2000</v>
      </c>
      <c r="B275" s="58">
        <v>3000</v>
      </c>
      <c r="C275" s="94">
        <v>552118</v>
      </c>
      <c r="D275" s="94">
        <v>131952422045</v>
      </c>
      <c r="E275" s="59">
        <v>2.276051895589307E-2</v>
      </c>
      <c r="F275" s="93">
        <v>2389.9315371895141</v>
      </c>
      <c r="G275" s="90">
        <v>2E-3</v>
      </c>
      <c r="H275" s="61" t="str">
        <f t="shared" si="3"/>
        <v>(2000, 3000]</v>
      </c>
      <c r="I275" s="62">
        <v>1.994188E-3</v>
      </c>
      <c r="J275" s="59">
        <v>4.538875377561449E-5</v>
      </c>
      <c r="K275" s="59">
        <v>4.5389751165020717E-5</v>
      </c>
      <c r="L275" s="84">
        <v>45389</v>
      </c>
      <c r="M275" s="59">
        <v>4.5389000817002013E-5</v>
      </c>
      <c r="N275" s="59">
        <v>0.10847660449407373</v>
      </c>
      <c r="O275" s="119">
        <v>1.8944786E-3</v>
      </c>
      <c r="P275" s="59">
        <v>4.5389000817002013E-5</v>
      </c>
      <c r="Q275" s="59">
        <v>4.2247200802696816E-4</v>
      </c>
      <c r="R275" s="59">
        <v>0</v>
      </c>
      <c r="S275" s="83">
        <v>9.31</v>
      </c>
      <c r="U275" s="62"/>
      <c r="V275" s="62"/>
    </row>
    <row r="276" spans="1:22">
      <c r="A276" s="58">
        <v>3000</v>
      </c>
      <c r="B276" s="58">
        <v>4000</v>
      </c>
      <c r="C276" s="94">
        <v>168053</v>
      </c>
      <c r="D276" s="94">
        <v>57444670640</v>
      </c>
      <c r="E276" s="59">
        <v>6.9278188577345749E-3</v>
      </c>
      <c r="F276" s="93">
        <v>3418.2472577103654</v>
      </c>
      <c r="G276" s="90">
        <v>2E-3</v>
      </c>
      <c r="H276" s="61" t="str">
        <f t="shared" si="3"/>
        <v>(3000, 4000]</v>
      </c>
      <c r="I276" s="62">
        <v>1.994188E-3</v>
      </c>
      <c r="J276" s="59">
        <v>1.3815373232267997E-5</v>
      </c>
      <c r="K276" s="59">
        <v>1.3815676816432767E-5</v>
      </c>
      <c r="L276" s="84">
        <v>13815</v>
      </c>
      <c r="M276" s="59">
        <v>1.3815000248670004E-5</v>
      </c>
      <c r="N276" s="59">
        <v>4.7223086715284253E-2</v>
      </c>
      <c r="O276" s="119">
        <v>1.8944786E-3</v>
      </c>
      <c r="P276" s="59">
        <v>1.3815000248670004E-5</v>
      </c>
      <c r="Q276" s="59">
        <v>5.658700107515302E-5</v>
      </c>
      <c r="R276" s="59">
        <v>0</v>
      </c>
      <c r="S276" s="83">
        <v>4.0999999999999996</v>
      </c>
      <c r="U276" s="62"/>
      <c r="V276" s="62"/>
    </row>
    <row r="277" spans="1:22">
      <c r="A277" s="58">
        <v>4000</v>
      </c>
      <c r="B277" s="58">
        <v>5000</v>
      </c>
      <c r="C277" s="94">
        <v>71751</v>
      </c>
      <c r="D277" s="94">
        <v>31875151810</v>
      </c>
      <c r="E277" s="59">
        <v>2.9578640718184944E-3</v>
      </c>
      <c r="F277" s="93">
        <v>4442.4679530598878</v>
      </c>
      <c r="G277" s="90">
        <v>5.0000000000000001E-3</v>
      </c>
      <c r="H277" s="61" t="str">
        <f t="shared" si="3"/>
        <v>(4000, 5000]</v>
      </c>
      <c r="I277" s="62">
        <v>4.9854700000000005E-3</v>
      </c>
      <c r="J277" s="59">
        <v>1.4746342594128951E-5</v>
      </c>
      <c r="K277" s="59">
        <v>1.4746666635761747E-5</v>
      </c>
      <c r="L277" s="84">
        <v>14746</v>
      </c>
      <c r="M277" s="59">
        <v>1.4746000265428005E-5</v>
      </c>
      <c r="N277" s="59">
        <v>6.5508633614976511E-2</v>
      </c>
      <c r="O277" s="119">
        <v>4.7361965000000004E-3</v>
      </c>
      <c r="P277" s="59">
        <v>1.4746000265428005E-5</v>
      </c>
      <c r="Q277" s="59">
        <v>2.889700054904301E-5</v>
      </c>
      <c r="R277" s="59">
        <v>0</v>
      </c>
      <c r="S277" s="83">
        <v>1.96</v>
      </c>
      <c r="U277" s="62"/>
      <c r="V277" s="62"/>
    </row>
    <row r="278" spans="1:22">
      <c r="A278" s="58">
        <v>5000</v>
      </c>
      <c r="B278" s="58">
        <v>6000</v>
      </c>
      <c r="C278" s="94">
        <v>39843</v>
      </c>
      <c r="D278" s="94">
        <v>21766237810</v>
      </c>
      <c r="E278" s="59">
        <v>1.6424883027897073E-3</v>
      </c>
      <c r="F278" s="93">
        <v>5463.0017343071559</v>
      </c>
      <c r="G278" s="90">
        <v>0.01</v>
      </c>
      <c r="H278" s="61" t="str">
        <f t="shared" si="3"/>
        <v>(5000, 6000]</v>
      </c>
      <c r="I278" s="62">
        <v>9.9709400000000011E-3</v>
      </c>
      <c r="J278" s="59">
        <v>1.6377152317818005E-5</v>
      </c>
      <c r="K278" s="59">
        <v>1.6377512195471989E-5</v>
      </c>
      <c r="L278" s="84">
        <v>16377</v>
      </c>
      <c r="M278" s="59">
        <v>1.6377000294786005E-5</v>
      </c>
      <c r="N278" s="59">
        <v>8.9467581013164751E-2</v>
      </c>
      <c r="O278" s="119">
        <v>9.4723930000000008E-3</v>
      </c>
      <c r="P278" s="59">
        <v>1.6377000294786005E-5</v>
      </c>
      <c r="Q278" s="59">
        <v>1.2098000229862004E-5</v>
      </c>
      <c r="R278" s="59">
        <v>0</v>
      </c>
      <c r="S278" s="83">
        <v>0.74</v>
      </c>
      <c r="U278" s="62"/>
      <c r="V278" s="62"/>
    </row>
    <row r="279" spans="1:22">
      <c r="A279" s="58">
        <v>6000</v>
      </c>
      <c r="B279" s="58">
        <v>7000</v>
      </c>
      <c r="C279" s="94">
        <v>26341</v>
      </c>
      <c r="D279" s="94">
        <v>17045448055</v>
      </c>
      <c r="E279" s="59">
        <v>1.0858816952484421E-3</v>
      </c>
      <c r="F279" s="93">
        <v>6471.0709749060406</v>
      </c>
      <c r="G279" s="90">
        <v>0</v>
      </c>
      <c r="H279" s="61" t="str">
        <f t="shared" si="3"/>
        <v>(6000, 7000]</v>
      </c>
      <c r="I279" s="62">
        <v>0</v>
      </c>
      <c r="J279" s="59">
        <v>0</v>
      </c>
      <c r="K279" s="59">
        <v>0</v>
      </c>
      <c r="L279" s="84">
        <v>0</v>
      </c>
      <c r="M279" s="59">
        <v>0</v>
      </c>
      <c r="N279" s="59">
        <v>0</v>
      </c>
      <c r="O279" s="119">
        <v>0</v>
      </c>
      <c r="P279" s="59">
        <v>0</v>
      </c>
      <c r="Q279" s="59">
        <v>0</v>
      </c>
      <c r="R279" s="59">
        <v>0</v>
      </c>
      <c r="S279" s="83">
        <v>0</v>
      </c>
      <c r="U279" s="62"/>
      <c r="V279" s="62"/>
    </row>
    <row r="280" spans="1:22">
      <c r="A280" s="58">
        <v>7000</v>
      </c>
      <c r="B280" s="58">
        <v>8000</v>
      </c>
      <c r="C280" s="94">
        <v>19656</v>
      </c>
      <c r="D280" s="94">
        <v>14702560325</v>
      </c>
      <c r="E280" s="59">
        <v>8.102991762576735E-4</v>
      </c>
      <c r="F280" s="93">
        <v>7479.9350452787949</v>
      </c>
      <c r="G280" s="119">
        <v>0</v>
      </c>
      <c r="H280" s="61" t="str">
        <f t="shared" si="3"/>
        <v>(7000, 8000]</v>
      </c>
      <c r="I280" s="62">
        <v>0</v>
      </c>
      <c r="J280" s="59">
        <v>0</v>
      </c>
      <c r="K280" s="59">
        <v>0</v>
      </c>
      <c r="L280" s="84">
        <v>0</v>
      </c>
      <c r="M280" s="59">
        <v>0</v>
      </c>
      <c r="N280" s="59">
        <v>0</v>
      </c>
      <c r="O280" s="119">
        <v>0</v>
      </c>
      <c r="P280" s="59">
        <v>0</v>
      </c>
      <c r="Q280" s="59">
        <v>0</v>
      </c>
      <c r="R280" s="59">
        <v>0</v>
      </c>
      <c r="S280" s="83">
        <v>0</v>
      </c>
      <c r="U280" s="62"/>
      <c r="V280" s="62"/>
    </row>
    <row r="281" spans="1:22">
      <c r="A281" s="58">
        <v>8000</v>
      </c>
      <c r="B281" s="58">
        <v>9000</v>
      </c>
      <c r="C281" s="94">
        <v>16045</v>
      </c>
      <c r="D281" s="94">
        <v>13617490865</v>
      </c>
      <c r="E281" s="59">
        <v>6.614392695896607E-4</v>
      </c>
      <c r="F281" s="93">
        <v>8487.0619289498281</v>
      </c>
      <c r="G281" s="90">
        <v>0</v>
      </c>
      <c r="H281" s="61" t="str">
        <f t="shared" si="3"/>
        <v>(8000, 9000]</v>
      </c>
      <c r="I281" s="62">
        <v>0</v>
      </c>
      <c r="J281" s="59">
        <v>0</v>
      </c>
      <c r="K281" s="59">
        <v>0</v>
      </c>
      <c r="L281" s="84">
        <v>0</v>
      </c>
      <c r="M281" s="59">
        <v>0</v>
      </c>
      <c r="N281" s="59">
        <v>0</v>
      </c>
      <c r="O281" s="119">
        <v>0</v>
      </c>
      <c r="P281" s="59">
        <v>0</v>
      </c>
      <c r="Q281" s="59">
        <v>0</v>
      </c>
      <c r="R281" s="59">
        <v>0</v>
      </c>
      <c r="S281" s="83">
        <v>0</v>
      </c>
      <c r="U281" s="62"/>
      <c r="V281" s="62"/>
    </row>
    <row r="282" spans="1:22">
      <c r="A282" s="58">
        <v>9000</v>
      </c>
      <c r="B282" s="58">
        <v>10000</v>
      </c>
      <c r="C282" s="94">
        <v>13579</v>
      </c>
      <c r="D282" s="94">
        <v>12886232960</v>
      </c>
      <c r="E282" s="59">
        <v>5.597808564511065E-4</v>
      </c>
      <c r="F282" s="93">
        <v>9489.824699904264</v>
      </c>
      <c r="G282" s="90">
        <v>0</v>
      </c>
      <c r="H282" s="61" t="str">
        <f t="shared" si="3"/>
        <v>(9000, 10000]</v>
      </c>
      <c r="I282" s="62">
        <v>0</v>
      </c>
      <c r="J282" s="59">
        <v>0</v>
      </c>
      <c r="K282" s="59">
        <v>0</v>
      </c>
      <c r="L282" s="84">
        <v>0</v>
      </c>
      <c r="M282" s="59">
        <v>0</v>
      </c>
      <c r="N282" s="59">
        <v>0</v>
      </c>
      <c r="O282" s="119">
        <v>0</v>
      </c>
      <c r="P282" s="59">
        <v>0</v>
      </c>
      <c r="Q282" s="59">
        <v>0</v>
      </c>
      <c r="R282" s="59">
        <v>0</v>
      </c>
      <c r="S282" s="83">
        <v>0</v>
      </c>
      <c r="U282" s="62"/>
      <c r="V282" s="62"/>
    </row>
    <row r="283" spans="1:22">
      <c r="A283" s="58">
        <v>10000</v>
      </c>
      <c r="B283" s="58">
        <v>20000</v>
      </c>
      <c r="C283" s="94">
        <v>72533</v>
      </c>
      <c r="D283" s="94">
        <v>101823204855</v>
      </c>
      <c r="E283" s="59">
        <v>2.9901012490587014E-3</v>
      </c>
      <c r="F283" s="93">
        <v>14038.190183089078</v>
      </c>
      <c r="G283" s="90">
        <v>0</v>
      </c>
      <c r="H283" s="61" t="str">
        <f t="shared" si="3"/>
        <v>(10000, 20000]</v>
      </c>
      <c r="I283" s="62">
        <v>0</v>
      </c>
      <c r="J283" s="59">
        <v>0</v>
      </c>
      <c r="K283" s="59">
        <v>0</v>
      </c>
      <c r="L283" s="84">
        <v>0</v>
      </c>
      <c r="M283" s="59">
        <v>0</v>
      </c>
      <c r="N283" s="59">
        <v>0</v>
      </c>
      <c r="O283" s="119">
        <v>0</v>
      </c>
      <c r="P283" s="59">
        <v>0</v>
      </c>
      <c r="Q283" s="59">
        <v>0</v>
      </c>
      <c r="R283" s="59">
        <v>0</v>
      </c>
      <c r="S283" s="83">
        <v>0</v>
      </c>
      <c r="U283" s="62"/>
      <c r="V283" s="62"/>
    </row>
    <row r="284" spans="1:22">
      <c r="A284" s="58">
        <v>20000</v>
      </c>
      <c r="B284" s="58">
        <v>30000</v>
      </c>
      <c r="C284" s="94">
        <v>24491</v>
      </c>
      <c r="D284" s="94">
        <v>59093503295</v>
      </c>
      <c r="E284" s="59">
        <v>1.0096172733886184E-3</v>
      </c>
      <c r="F284" s="93">
        <v>24128.660852966397</v>
      </c>
      <c r="G284" s="90">
        <v>0</v>
      </c>
      <c r="H284" s="61" t="str">
        <f t="shared" si="3"/>
        <v>(20000, 30000]</v>
      </c>
      <c r="I284" s="62">
        <v>0</v>
      </c>
      <c r="J284" s="59">
        <v>0</v>
      </c>
      <c r="K284" s="59">
        <v>0</v>
      </c>
      <c r="L284" s="84">
        <v>0</v>
      </c>
      <c r="M284" s="59">
        <v>0</v>
      </c>
      <c r="N284" s="59">
        <v>0</v>
      </c>
      <c r="O284" s="119">
        <v>0</v>
      </c>
      <c r="P284" s="59">
        <v>0</v>
      </c>
      <c r="Q284" s="59">
        <v>0</v>
      </c>
      <c r="R284" s="59">
        <v>0</v>
      </c>
      <c r="S284" s="83">
        <v>0</v>
      </c>
      <c r="U284" s="62"/>
      <c r="V284" s="62"/>
    </row>
    <row r="285" spans="1:22">
      <c r="A285" s="58">
        <v>30000</v>
      </c>
      <c r="B285" s="58">
        <v>40000</v>
      </c>
      <c r="C285" s="94">
        <v>8853</v>
      </c>
      <c r="D285" s="94">
        <v>30228470745</v>
      </c>
      <c r="E285" s="59">
        <v>3.649561766081188E-4</v>
      </c>
      <c r="F285" s="93">
        <v>34144.889579803457</v>
      </c>
      <c r="G285" s="90">
        <v>0</v>
      </c>
      <c r="H285" s="61" t="str">
        <f t="shared" si="3"/>
        <v>(30000, 40000]</v>
      </c>
      <c r="I285" s="62">
        <v>0</v>
      </c>
      <c r="J285" s="59">
        <v>0</v>
      </c>
      <c r="K285" s="59">
        <v>0</v>
      </c>
      <c r="L285" s="84">
        <v>0</v>
      </c>
      <c r="M285" s="59">
        <v>0</v>
      </c>
      <c r="N285" s="59">
        <v>0</v>
      </c>
      <c r="O285" s="119">
        <v>0</v>
      </c>
      <c r="P285" s="59">
        <v>0</v>
      </c>
      <c r="Q285" s="59">
        <v>0</v>
      </c>
      <c r="R285" s="59">
        <v>0</v>
      </c>
      <c r="S285" s="83">
        <v>0</v>
      </c>
      <c r="U285" s="62"/>
      <c r="V285" s="62"/>
    </row>
    <row r="286" spans="1:22">
      <c r="A286" s="58">
        <v>40000</v>
      </c>
      <c r="B286" s="58">
        <v>50000</v>
      </c>
      <c r="C286" s="94">
        <v>3240</v>
      </c>
      <c r="D286" s="94">
        <v>14309736880</v>
      </c>
      <c r="E286" s="59">
        <v>1.3356579828423189E-4</v>
      </c>
      <c r="F286" s="93">
        <v>44165.854567901231</v>
      </c>
      <c r="G286" s="90">
        <v>0</v>
      </c>
      <c r="H286" s="61" t="str">
        <f t="shared" si="3"/>
        <v>(40000, 50000]</v>
      </c>
      <c r="I286" s="62">
        <v>0</v>
      </c>
      <c r="J286" s="59">
        <v>0</v>
      </c>
      <c r="K286" s="59">
        <v>0</v>
      </c>
      <c r="L286" s="84">
        <v>0</v>
      </c>
      <c r="M286" s="59">
        <v>0</v>
      </c>
      <c r="N286" s="59">
        <v>0</v>
      </c>
      <c r="O286" s="119">
        <v>0</v>
      </c>
      <c r="P286" s="59">
        <v>0</v>
      </c>
      <c r="Q286" s="59">
        <v>0</v>
      </c>
      <c r="R286" s="59">
        <v>0</v>
      </c>
      <c r="S286" s="83">
        <v>0</v>
      </c>
      <c r="U286" s="62"/>
      <c r="V286" s="62"/>
    </row>
    <row r="287" spans="1:22">
      <c r="A287" s="58">
        <v>50000</v>
      </c>
      <c r="B287" s="58">
        <v>60000</v>
      </c>
      <c r="C287" s="94">
        <v>1245</v>
      </c>
      <c r="D287" s="94">
        <v>6754047245</v>
      </c>
      <c r="E287" s="59">
        <v>5.1323894711070588E-5</v>
      </c>
      <c r="F287" s="93">
        <v>54249.37546184739</v>
      </c>
      <c r="G287" s="90">
        <v>0</v>
      </c>
      <c r="H287" s="61" t="str">
        <f t="shared" si="3"/>
        <v>(50000, 60000]</v>
      </c>
      <c r="I287" s="62">
        <v>0</v>
      </c>
      <c r="J287" s="59">
        <v>0</v>
      </c>
      <c r="K287" s="59">
        <v>0</v>
      </c>
      <c r="L287" s="84">
        <v>0</v>
      </c>
      <c r="M287" s="59">
        <v>0</v>
      </c>
      <c r="N287" s="59">
        <v>0</v>
      </c>
      <c r="O287" s="119">
        <v>0</v>
      </c>
      <c r="P287" s="59">
        <v>0</v>
      </c>
      <c r="Q287" s="59">
        <v>0</v>
      </c>
      <c r="R287" s="59">
        <v>0</v>
      </c>
      <c r="S287" s="83">
        <v>0</v>
      </c>
      <c r="U287" s="62"/>
      <c r="V287" s="62"/>
    </row>
    <row r="288" spans="1:22">
      <c r="A288" s="58">
        <v>60000</v>
      </c>
      <c r="B288" s="58">
        <v>70000</v>
      </c>
      <c r="C288" s="94">
        <v>515</v>
      </c>
      <c r="D288" s="94">
        <v>3302398520</v>
      </c>
      <c r="E288" s="59">
        <v>2.1230366085302292E-5</v>
      </c>
      <c r="F288" s="93">
        <v>64124.243106796115</v>
      </c>
      <c r="G288" s="90">
        <v>0</v>
      </c>
      <c r="H288" s="61" t="str">
        <f t="shared" si="3"/>
        <v>(60000, 70000]</v>
      </c>
      <c r="I288" s="62">
        <v>0</v>
      </c>
      <c r="J288" s="59">
        <v>0</v>
      </c>
      <c r="K288" s="59">
        <v>0</v>
      </c>
      <c r="L288" s="84">
        <v>0</v>
      </c>
      <c r="M288" s="59">
        <v>0</v>
      </c>
      <c r="N288" s="59">
        <v>0</v>
      </c>
      <c r="O288" s="119">
        <v>0</v>
      </c>
      <c r="P288" s="59">
        <v>0</v>
      </c>
      <c r="Q288" s="59">
        <v>0</v>
      </c>
      <c r="R288" s="59">
        <v>0</v>
      </c>
      <c r="S288" s="83">
        <v>0</v>
      </c>
      <c r="U288" s="62"/>
      <c r="V288" s="62"/>
    </row>
    <row r="289" spans="1:22">
      <c r="A289" s="58">
        <v>70000</v>
      </c>
      <c r="B289" s="58">
        <v>80000</v>
      </c>
      <c r="C289" s="94">
        <v>191</v>
      </c>
      <c r="D289" s="94">
        <v>1423119445</v>
      </c>
      <c r="E289" s="59">
        <v>7.8737862568791016E-6</v>
      </c>
      <c r="F289" s="93">
        <v>74508.871465968579</v>
      </c>
      <c r="G289" s="90">
        <v>0</v>
      </c>
      <c r="H289" s="61" t="str">
        <f t="shared" si="3"/>
        <v>(70000, 80000]</v>
      </c>
      <c r="I289" s="62">
        <v>0</v>
      </c>
      <c r="J289" s="59">
        <v>0</v>
      </c>
      <c r="K289" s="59">
        <v>0</v>
      </c>
      <c r="L289" s="84">
        <v>0</v>
      </c>
      <c r="M289" s="59">
        <v>0</v>
      </c>
      <c r="N289" s="59">
        <v>0</v>
      </c>
      <c r="O289" s="119">
        <v>0</v>
      </c>
      <c r="P289" s="59">
        <v>0</v>
      </c>
      <c r="Q289" s="59">
        <v>0</v>
      </c>
      <c r="R289" s="59">
        <v>0</v>
      </c>
      <c r="S289" s="83">
        <v>0</v>
      </c>
      <c r="U289" s="62"/>
      <c r="V289" s="62"/>
    </row>
    <row r="290" spans="1:22">
      <c r="A290" s="58">
        <v>80000</v>
      </c>
      <c r="B290" s="58">
        <v>90000</v>
      </c>
      <c r="C290" s="94">
        <v>96</v>
      </c>
      <c r="D290" s="94">
        <v>804482635</v>
      </c>
      <c r="E290" s="59">
        <v>3.9575051343476113E-6</v>
      </c>
      <c r="F290" s="93">
        <v>83800.274479166663</v>
      </c>
      <c r="G290" s="90">
        <v>0</v>
      </c>
      <c r="H290" s="61" t="str">
        <f t="shared" si="3"/>
        <v>(80000, 90000]</v>
      </c>
      <c r="I290" s="62">
        <v>0</v>
      </c>
      <c r="J290" s="59">
        <v>0</v>
      </c>
      <c r="K290" s="59">
        <v>0</v>
      </c>
      <c r="L290" s="84">
        <v>0</v>
      </c>
      <c r="M290" s="59">
        <v>0</v>
      </c>
      <c r="N290" s="59">
        <v>0</v>
      </c>
      <c r="O290" s="119">
        <v>0</v>
      </c>
      <c r="P290" s="59">
        <v>0</v>
      </c>
      <c r="Q290" s="59">
        <v>0</v>
      </c>
      <c r="R290" s="59">
        <v>0</v>
      </c>
      <c r="S290" s="83">
        <v>0</v>
      </c>
      <c r="U290" s="62"/>
      <c r="V290" s="62"/>
    </row>
    <row r="291" spans="1:22">
      <c r="A291" s="58">
        <v>90000</v>
      </c>
      <c r="B291" s="58">
        <v>100000</v>
      </c>
      <c r="C291" s="94">
        <v>36</v>
      </c>
      <c r="D291" s="94">
        <v>338439040</v>
      </c>
      <c r="E291" s="59">
        <v>1.4840644253803543E-6</v>
      </c>
      <c r="F291" s="93">
        <v>94010.844444444447</v>
      </c>
      <c r="G291" s="90">
        <v>0</v>
      </c>
      <c r="H291" s="61" t="str">
        <f t="shared" si="3"/>
        <v>(90000, 100000]</v>
      </c>
      <c r="I291" s="62">
        <v>0</v>
      </c>
      <c r="J291" s="59">
        <v>0</v>
      </c>
      <c r="K291" s="59">
        <v>0</v>
      </c>
      <c r="L291" s="84">
        <v>0</v>
      </c>
      <c r="M291" s="59">
        <v>0</v>
      </c>
      <c r="N291" s="59">
        <v>0</v>
      </c>
      <c r="O291" s="119">
        <v>0</v>
      </c>
      <c r="P291" s="59">
        <v>0</v>
      </c>
      <c r="Q291" s="59">
        <v>0</v>
      </c>
      <c r="R291" s="59">
        <v>0</v>
      </c>
      <c r="S291" s="83">
        <v>0</v>
      </c>
      <c r="U291" s="62"/>
      <c r="V291" s="62"/>
    </row>
    <row r="292" spans="1:22">
      <c r="A292" s="58">
        <v>100000</v>
      </c>
      <c r="B292" s="58">
        <v>9999999</v>
      </c>
      <c r="C292" s="94">
        <v>54</v>
      </c>
      <c r="D292" s="94">
        <v>640076315</v>
      </c>
      <c r="E292" s="59">
        <v>2.2260966380705316E-6</v>
      </c>
      <c r="F292" s="93">
        <v>118532.65092592593</v>
      </c>
      <c r="G292" s="90">
        <v>0</v>
      </c>
      <c r="H292" s="61" t="str">
        <f t="shared" si="3"/>
        <v>(100000, 9999999]</v>
      </c>
      <c r="I292" s="62">
        <v>0</v>
      </c>
      <c r="J292" s="59">
        <v>0</v>
      </c>
      <c r="K292" s="59">
        <v>0</v>
      </c>
      <c r="L292" s="84">
        <v>0</v>
      </c>
      <c r="M292" s="59">
        <v>0</v>
      </c>
      <c r="N292" s="59">
        <v>0</v>
      </c>
      <c r="O292" s="119">
        <v>0</v>
      </c>
      <c r="P292" s="59">
        <v>0</v>
      </c>
      <c r="Q292" s="59">
        <v>0</v>
      </c>
      <c r="R292" s="59">
        <v>0</v>
      </c>
      <c r="S292" s="83">
        <v>0</v>
      </c>
      <c r="U292" s="62"/>
      <c r="V292" s="62"/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161:Q222"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6:E79">
    <cfRule type="cellIs" dxfId="157" priority="94" operator="lessThan">
      <formula>0.001</formula>
    </cfRule>
  </conditionalFormatting>
  <conditionalFormatting sqref="E159:E222">
    <cfRule type="cellIs" dxfId="156" priority="92" operator="lessThan">
      <formula>0.001</formula>
    </cfRule>
  </conditionalFormatting>
  <conditionalFormatting sqref="Q20:Q79"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229:M292"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6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5" priority="66" operator="lessThan">
      <formula>0.001</formula>
    </cfRule>
  </conditionalFormatting>
  <conditionalFormatting sqref="N16:N80">
    <cfRule type="dataBar" priority="1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231:Q292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4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{DD8DF749-16A4-480B-A285-21C81C99EB89}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DD8DF749-16A4-480B-A285-21C81C99E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114</v>
      </c>
    </row>
    <row r="4" spans="2:5">
      <c r="B4" s="97" t="s">
        <v>87</v>
      </c>
      <c r="C4" s="107"/>
      <c r="D4" s="107"/>
      <c r="E4" s="24" t="e">
        <f>SUM(D4:D5)/C4</f>
        <v>#DIV/0!</v>
      </c>
    </row>
    <row r="5" spans="2:5">
      <c r="B5" s="97" t="s">
        <v>86</v>
      </c>
      <c r="C5" s="49"/>
      <c r="D5" s="107"/>
    </row>
    <row r="7" spans="2:5">
      <c r="B7" s="17" t="s">
        <v>116</v>
      </c>
    </row>
    <row r="8" spans="2:5">
      <c r="B8" s="97" t="s">
        <v>87</v>
      </c>
      <c r="C8" s="123"/>
      <c r="D8" s="123"/>
      <c r="E8" s="24" t="e">
        <f>SUM(D8:D9)/C8</f>
        <v>#DIV/0!</v>
      </c>
    </row>
    <row r="9" spans="2:5">
      <c r="B9" s="97" t="s">
        <v>86</v>
      </c>
      <c r="C9" s="124"/>
      <c r="D9" s="123"/>
    </row>
    <row r="11" spans="2:5">
      <c r="B11" s="17" t="s">
        <v>120</v>
      </c>
    </row>
    <row r="12" spans="2:5">
      <c r="B12" s="97" t="s">
        <v>87</v>
      </c>
      <c r="C12" s="107">
        <v>100000000</v>
      </c>
      <c r="D12" s="107">
        <v>34373244</v>
      </c>
      <c r="E12" s="24">
        <f>SUM(D12:D13)/C12</f>
        <v>0.35639257000000002</v>
      </c>
    </row>
    <row r="13" spans="2:5">
      <c r="B13" s="97" t="s">
        <v>86</v>
      </c>
      <c r="C13" s="49"/>
      <c r="D13" s="107">
        <v>1266013</v>
      </c>
    </row>
    <row r="15" spans="2:5">
      <c r="B15" s="17" t="s">
        <v>118</v>
      </c>
    </row>
    <row r="16" spans="2:5">
      <c r="B16" s="97" t="s">
        <v>87</v>
      </c>
      <c r="C16" s="107"/>
      <c r="D16" s="107"/>
      <c r="E16" s="24" t="e">
        <f>SUM(D16:D17)/C16</f>
        <v>#DIV/0!</v>
      </c>
    </row>
    <row r="17" spans="2:5">
      <c r="B17" s="97" t="s">
        <v>86</v>
      </c>
      <c r="C17" s="49"/>
      <c r="D17" s="107"/>
    </row>
    <row r="19" spans="2:5">
      <c r="B19" s="17" t="s">
        <v>122</v>
      </c>
    </row>
    <row r="20" spans="2:5">
      <c r="B20" s="97" t="s">
        <v>87</v>
      </c>
      <c r="C20" s="107">
        <v>1000000000</v>
      </c>
      <c r="D20" s="107">
        <v>1000000000</v>
      </c>
      <c r="E20" s="24">
        <f>SUM(D20:D21)/C20</f>
        <v>5.4156458589999996</v>
      </c>
    </row>
    <row r="21" spans="2:5">
      <c r="B21" s="97" t="s">
        <v>86</v>
      </c>
      <c r="C21" s="49"/>
      <c r="D21" s="107">
        <v>4415645859</v>
      </c>
    </row>
    <row r="23" spans="2:5">
      <c r="B23" s="17" t="s">
        <v>124</v>
      </c>
    </row>
    <row r="24" spans="2:5">
      <c r="B24" s="97" t="s">
        <v>87</v>
      </c>
      <c r="C24" s="107"/>
      <c r="D24" s="107"/>
      <c r="E24" s="24" t="e">
        <f>SUM(D24:D25)/C24</f>
        <v>#DIV/0!</v>
      </c>
    </row>
    <row r="25" spans="2:5">
      <c r="B25" s="97" t="s">
        <v>86</v>
      </c>
      <c r="C25" s="49"/>
      <c r="D25" s="107"/>
    </row>
    <row r="28" spans="2:5">
      <c r="B28" s="97" t="s">
        <v>62</v>
      </c>
      <c r="C28" s="121">
        <v>10000000000</v>
      </c>
    </row>
    <row r="30" spans="2:5">
      <c r="B30" s="122" t="s">
        <v>113</v>
      </c>
      <c r="C30" s="108" t="e">
        <f>ROUND(E4*$C$28, 0)</f>
        <v>#DIV/0!</v>
      </c>
    </row>
    <row r="31" spans="2:5">
      <c r="B31" s="122" t="s">
        <v>115</v>
      </c>
      <c r="C31" s="108" t="e">
        <f>ROUND(E8*$C$28, 0)</f>
        <v>#DIV/0!</v>
      </c>
    </row>
    <row r="32" spans="2:5">
      <c r="B32" s="122" t="s">
        <v>119</v>
      </c>
      <c r="C32" s="108">
        <f>ROUND(E12*$C$28, 0)</f>
        <v>3563925700</v>
      </c>
    </row>
    <row r="33" spans="2:3">
      <c r="B33" s="122" t="s">
        <v>117</v>
      </c>
      <c r="C33" s="108" t="e">
        <f>ROUND(E16*$C$28, 0)</f>
        <v>#DIV/0!</v>
      </c>
    </row>
    <row r="34" spans="2:3">
      <c r="B34" s="122" t="s">
        <v>121</v>
      </c>
      <c r="C34" s="108">
        <f>ROUND(E20*$C$28, 0)</f>
        <v>54156458590</v>
      </c>
    </row>
    <row r="35" spans="2:3">
      <c r="B35" s="122" t="s">
        <v>123</v>
      </c>
      <c r="C35" s="108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C23" si="0">COUNTIF(K:K, $A4)</f>
        <v>0</v>
      </c>
      <c r="D4" s="99">
        <f t="shared" ref="D4:D23" si="1">COUNTIF(L:L, $A4)</f>
        <v>0</v>
      </c>
      <c r="E4" s="99">
        <f t="shared" ref="E4:E23" si="2">COUNTIF(M:M, $A4)</f>
        <v>0</v>
      </c>
      <c r="F4" s="99">
        <f t="shared" ref="F4:F23" si="3">COUNTIF(N:N, $A4)</f>
        <v>0</v>
      </c>
      <c r="G4" s="99">
        <f t="shared" ref="G4:G23" si="4">COUNTIF(O:O, $A4)</f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19</v>
      </c>
      <c r="L4" s="26" t="s">
        <v>127</v>
      </c>
      <c r="M4" s="26" t="s">
        <v>126</v>
      </c>
      <c r="N4" s="26" t="s">
        <v>36</v>
      </c>
      <c r="O4" s="26" t="s">
        <v>37</v>
      </c>
      <c r="Q4" s="25" cm="1">
        <f t="array" ref="Q4:U304">_xlfn.LET(_xlpm.x, K4:O304, IF(_xlpm.x="", "", _xlfn.XLOOKUP(_xlpm.x, $A$4:$A$23,_xlfn.ANCHORARRAY( H4))))</f>
        <v>5</v>
      </c>
      <c r="R4" s="25">
        <v>15</v>
      </c>
      <c r="S4" s="25">
        <v>6</v>
      </c>
      <c r="T4" s="25">
        <v>10</v>
      </c>
      <c r="U4" s="25">
        <v>7</v>
      </c>
      <c r="W4" s="25">
        <v>2</v>
      </c>
      <c r="X4" s="25">
        <v>1</v>
      </c>
      <c r="Y4" s="25">
        <v>1</v>
      </c>
      <c r="Z4" s="25">
        <v>2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0</v>
      </c>
      <c r="D5" s="99">
        <f t="shared" si="1"/>
        <v>6</v>
      </c>
      <c r="E5" s="99">
        <f t="shared" si="2"/>
        <v>0</v>
      </c>
      <c r="F5" s="99">
        <f t="shared" si="3"/>
        <v>9</v>
      </c>
      <c r="G5" s="99">
        <f t="shared" si="4"/>
        <v>0</v>
      </c>
      <c r="H5" s="8">
        <v>1</v>
      </c>
      <c r="I5" s="87"/>
      <c r="J5" s="9">
        <v>1</v>
      </c>
      <c r="K5" s="16" t="s">
        <v>126</v>
      </c>
      <c r="L5" s="16" t="s">
        <v>112</v>
      </c>
      <c r="M5" s="16" t="s">
        <v>19</v>
      </c>
      <c r="N5" s="16" t="s">
        <v>36</v>
      </c>
      <c r="O5" s="16" t="s">
        <v>18</v>
      </c>
      <c r="Q5" s="9">
        <v>6</v>
      </c>
      <c r="R5" s="9">
        <v>17</v>
      </c>
      <c r="S5" s="9">
        <v>5</v>
      </c>
      <c r="T5" s="9">
        <v>10</v>
      </c>
      <c r="U5" s="9">
        <v>4</v>
      </c>
      <c r="W5" s="25">
        <v>1</v>
      </c>
      <c r="X5" s="25">
        <v>1</v>
      </c>
      <c r="Y5" s="25">
        <v>1</v>
      </c>
      <c r="Z5" s="25">
        <v>2</v>
      </c>
      <c r="AA5" s="25">
        <v>2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4</v>
      </c>
      <c r="D6" s="131">
        <f t="shared" si="1"/>
        <v>22</v>
      </c>
      <c r="E6" s="131">
        <f t="shared" si="2"/>
        <v>5</v>
      </c>
      <c r="F6" s="131">
        <f t="shared" si="3"/>
        <v>21</v>
      </c>
      <c r="G6" s="131">
        <f t="shared" si="4"/>
        <v>23</v>
      </c>
      <c r="H6" s="110">
        <v>2</v>
      </c>
      <c r="I6" s="87"/>
      <c r="J6" s="25">
        <v>2</v>
      </c>
      <c r="K6" s="16" t="s">
        <v>36</v>
      </c>
      <c r="L6" s="16" t="s">
        <v>20</v>
      </c>
      <c r="M6" s="16" t="s">
        <v>35</v>
      </c>
      <c r="N6" s="16" t="s">
        <v>97</v>
      </c>
      <c r="O6" s="16" t="s">
        <v>21</v>
      </c>
      <c r="Q6" s="9">
        <v>10</v>
      </c>
      <c r="R6" s="9">
        <v>1</v>
      </c>
      <c r="S6" s="9">
        <v>8</v>
      </c>
      <c r="T6" s="9">
        <v>19</v>
      </c>
      <c r="U6" s="9">
        <v>2</v>
      </c>
      <c r="W6" s="25">
        <v>1</v>
      </c>
      <c r="X6" s="25">
        <v>2</v>
      </c>
      <c r="Y6" s="25">
        <v>1</v>
      </c>
      <c r="Z6" s="25">
        <v>2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4</v>
      </c>
      <c r="D7" s="131">
        <f t="shared" si="1"/>
        <v>10</v>
      </c>
      <c r="E7" s="131">
        <f t="shared" si="2"/>
        <v>5</v>
      </c>
      <c r="F7" s="131">
        <f t="shared" si="3"/>
        <v>21</v>
      </c>
      <c r="G7" s="131">
        <f t="shared" si="4"/>
        <v>23</v>
      </c>
      <c r="H7" s="110">
        <v>3</v>
      </c>
      <c r="I7" s="87"/>
      <c r="J7" s="9">
        <v>3</v>
      </c>
      <c r="K7" s="16" t="s">
        <v>37</v>
      </c>
      <c r="L7" s="26" t="s">
        <v>36</v>
      </c>
      <c r="M7" s="16" t="s">
        <v>19</v>
      </c>
      <c r="N7" s="16" t="s">
        <v>21</v>
      </c>
      <c r="O7" s="16" t="s">
        <v>19</v>
      </c>
      <c r="Q7" s="9">
        <v>7</v>
      </c>
      <c r="R7" s="9">
        <v>10</v>
      </c>
      <c r="S7" s="9">
        <v>5</v>
      </c>
      <c r="T7" s="9">
        <v>2</v>
      </c>
      <c r="U7" s="9">
        <v>5</v>
      </c>
      <c r="W7" s="25">
        <v>1</v>
      </c>
      <c r="X7" s="25">
        <v>1</v>
      </c>
      <c r="Y7" s="25">
        <v>2</v>
      </c>
      <c r="Z7" s="25">
        <v>2</v>
      </c>
      <c r="AA7" s="25">
        <v>1</v>
      </c>
      <c r="AC7" s="136" t="str">
        <v>C1</v>
      </c>
      <c r="AD7" s="136">
        <v>0</v>
      </c>
      <c r="AE7" s="136">
        <v>6</v>
      </c>
      <c r="AF7" s="136">
        <v>0</v>
      </c>
      <c r="AG7" s="136">
        <v>9</v>
      </c>
      <c r="AH7" s="136">
        <v>0</v>
      </c>
      <c r="AI7" s="5"/>
      <c r="AJ7" s="136" t="str">
        <v>C1</v>
      </c>
      <c r="AK7" s="136">
        <v>0</v>
      </c>
      <c r="AL7" s="136">
        <v>6</v>
      </c>
      <c r="AM7" s="136">
        <v>0</v>
      </c>
      <c r="AN7" s="136">
        <v>9</v>
      </c>
      <c r="AO7" s="136">
        <v>0</v>
      </c>
    </row>
    <row r="8" spans="1:41" ht="15.9" customHeight="1">
      <c r="A8" s="131" t="str">
        <v>M3</v>
      </c>
      <c r="B8" s="110" t="str">
        <v>M3</v>
      </c>
      <c r="C8" s="131">
        <f t="shared" si="0"/>
        <v>4</v>
      </c>
      <c r="D8" s="131">
        <f t="shared" si="1"/>
        <v>9</v>
      </c>
      <c r="E8" s="131">
        <f t="shared" si="2"/>
        <v>5</v>
      </c>
      <c r="F8" s="131">
        <f t="shared" si="3"/>
        <v>21</v>
      </c>
      <c r="G8" s="131">
        <f t="shared" si="4"/>
        <v>22</v>
      </c>
      <c r="H8" s="110">
        <v>4</v>
      </c>
      <c r="I8" s="87"/>
      <c r="J8" s="25">
        <v>4</v>
      </c>
      <c r="K8" s="16" t="s">
        <v>126</v>
      </c>
      <c r="L8" s="16" t="s">
        <v>88</v>
      </c>
      <c r="M8" s="16" t="s">
        <v>18</v>
      </c>
      <c r="N8" s="16" t="s">
        <v>89</v>
      </c>
      <c r="O8" s="16" t="s">
        <v>37</v>
      </c>
      <c r="Q8" s="9">
        <v>6</v>
      </c>
      <c r="R8" s="9">
        <v>11</v>
      </c>
      <c r="S8" s="9">
        <v>4</v>
      </c>
      <c r="T8" s="9">
        <v>12</v>
      </c>
      <c r="U8" s="9">
        <v>7</v>
      </c>
      <c r="W8" s="25">
        <v>1</v>
      </c>
      <c r="X8" s="25">
        <v>1</v>
      </c>
      <c r="Y8" s="25">
        <v>1</v>
      </c>
      <c r="Z8" s="25">
        <v>2</v>
      </c>
      <c r="AA8" s="25">
        <v>1</v>
      </c>
      <c r="AC8" s="152" t="str">
        <v>M1</v>
      </c>
      <c r="AD8" s="131">
        <v>4</v>
      </c>
      <c r="AE8" s="131">
        <v>11</v>
      </c>
      <c r="AF8" s="131">
        <v>5</v>
      </c>
      <c r="AG8" s="131">
        <v>21</v>
      </c>
      <c r="AH8" s="131">
        <v>23</v>
      </c>
      <c r="AI8" s="5"/>
      <c r="AJ8" s="152" t="str">
        <v>M1</v>
      </c>
      <c r="AK8" s="131">
        <v>4</v>
      </c>
      <c r="AL8" s="131">
        <v>11</v>
      </c>
      <c r="AM8" s="131">
        <v>5</v>
      </c>
      <c r="AN8" s="131">
        <v>21</v>
      </c>
      <c r="AO8" s="131">
        <v>23</v>
      </c>
    </row>
    <row r="9" spans="1:41" ht="15.9" customHeight="1">
      <c r="A9" s="131" t="str">
        <v>M4</v>
      </c>
      <c r="B9" s="110" t="str">
        <v>M4</v>
      </c>
      <c r="C9" s="131">
        <f t="shared" si="0"/>
        <v>43</v>
      </c>
      <c r="D9" s="131">
        <f t="shared" si="1"/>
        <v>13</v>
      </c>
      <c r="E9" s="131">
        <f t="shared" si="2"/>
        <v>41</v>
      </c>
      <c r="F9" s="131">
        <f t="shared" si="3"/>
        <v>14</v>
      </c>
      <c r="G9" s="131">
        <f t="shared" si="4"/>
        <v>22</v>
      </c>
      <c r="H9" s="110">
        <v>5</v>
      </c>
      <c r="I9" s="87"/>
      <c r="J9" s="9">
        <v>5</v>
      </c>
      <c r="K9" s="16" t="s">
        <v>35</v>
      </c>
      <c r="L9" s="16" t="s">
        <v>35</v>
      </c>
      <c r="M9" s="16" t="s">
        <v>19</v>
      </c>
      <c r="N9" s="16" t="s">
        <v>21</v>
      </c>
      <c r="O9" s="16" t="s">
        <v>35</v>
      </c>
      <c r="Q9" s="9">
        <v>8</v>
      </c>
      <c r="R9" s="9">
        <v>8</v>
      </c>
      <c r="S9" s="9">
        <v>5</v>
      </c>
      <c r="T9" s="9">
        <v>2</v>
      </c>
      <c r="U9" s="9">
        <v>8</v>
      </c>
      <c r="W9" s="25">
        <v>1</v>
      </c>
      <c r="X9" s="25">
        <v>1</v>
      </c>
      <c r="Y9" s="25">
        <v>1</v>
      </c>
      <c r="Z9" s="25">
        <v>2</v>
      </c>
      <c r="AA9" s="25">
        <v>1</v>
      </c>
      <c r="AC9" s="152" t="str">
        <v>M2</v>
      </c>
      <c r="AD9" s="131">
        <v>4</v>
      </c>
      <c r="AE9" s="131">
        <v>11</v>
      </c>
      <c r="AF9" s="131">
        <v>5</v>
      </c>
      <c r="AG9" s="131">
        <v>21</v>
      </c>
      <c r="AH9" s="131">
        <v>23</v>
      </c>
      <c r="AI9" s="5"/>
      <c r="AJ9" s="152" t="str">
        <v>M2</v>
      </c>
      <c r="AK9" s="131">
        <v>4</v>
      </c>
      <c r="AL9" s="131">
        <v>11</v>
      </c>
      <c r="AM9" s="131">
        <v>5</v>
      </c>
      <c r="AN9" s="131">
        <v>21</v>
      </c>
      <c r="AO9" s="131">
        <v>23</v>
      </c>
    </row>
    <row r="10" spans="1:41" ht="15.9" customHeight="1">
      <c r="A10" s="131" t="str">
        <v>M5</v>
      </c>
      <c r="B10" s="110" t="str">
        <v>M5</v>
      </c>
      <c r="C10" s="131">
        <f t="shared" si="0"/>
        <v>43</v>
      </c>
      <c r="D10" s="131">
        <f t="shared" si="1"/>
        <v>14</v>
      </c>
      <c r="E10" s="131">
        <f t="shared" si="2"/>
        <v>41</v>
      </c>
      <c r="F10" s="131">
        <f t="shared" si="3"/>
        <v>14</v>
      </c>
      <c r="G10" s="131">
        <f t="shared" si="4"/>
        <v>22</v>
      </c>
      <c r="H10" s="110">
        <v>6</v>
      </c>
      <c r="I10" s="87"/>
      <c r="J10" s="25">
        <v>6</v>
      </c>
      <c r="K10" s="16" t="s">
        <v>126</v>
      </c>
      <c r="L10" s="16" t="s">
        <v>88</v>
      </c>
      <c r="M10" s="16" t="s">
        <v>37</v>
      </c>
      <c r="N10" s="16" t="s">
        <v>19</v>
      </c>
      <c r="O10" s="16" t="s">
        <v>37</v>
      </c>
      <c r="Q10" s="9">
        <v>6</v>
      </c>
      <c r="R10" s="9">
        <v>11</v>
      </c>
      <c r="S10" s="9">
        <v>7</v>
      </c>
      <c r="T10" s="9">
        <v>5</v>
      </c>
      <c r="U10" s="9">
        <v>7</v>
      </c>
      <c r="W10" s="25">
        <v>1</v>
      </c>
      <c r="X10" s="25">
        <v>2</v>
      </c>
      <c r="Y10" s="25">
        <v>1</v>
      </c>
      <c r="Z10" s="25">
        <v>2</v>
      </c>
      <c r="AA10" s="25">
        <v>1</v>
      </c>
      <c r="AC10" s="152" t="str">
        <v>M3</v>
      </c>
      <c r="AD10" s="131">
        <v>4</v>
      </c>
      <c r="AE10" s="131">
        <v>11</v>
      </c>
      <c r="AF10" s="131">
        <v>5</v>
      </c>
      <c r="AG10" s="131">
        <v>21</v>
      </c>
      <c r="AH10" s="131">
        <v>22</v>
      </c>
      <c r="AI10" s="5"/>
      <c r="AJ10" s="152" t="str">
        <v>M3</v>
      </c>
      <c r="AK10" s="131">
        <v>4</v>
      </c>
      <c r="AL10" s="131">
        <v>11</v>
      </c>
      <c r="AM10" s="131">
        <v>5</v>
      </c>
      <c r="AN10" s="131">
        <v>21</v>
      </c>
      <c r="AO10" s="131">
        <v>22</v>
      </c>
    </row>
    <row r="11" spans="1:41" ht="15.9" customHeight="1">
      <c r="A11" s="131" t="str">
        <v>A</v>
      </c>
      <c r="B11" s="110" t="str">
        <v>A</v>
      </c>
      <c r="C11" s="131">
        <f t="shared" si="0"/>
        <v>47</v>
      </c>
      <c r="D11" s="131">
        <f t="shared" si="1"/>
        <v>14</v>
      </c>
      <c r="E11" s="131">
        <f t="shared" si="2"/>
        <v>41</v>
      </c>
      <c r="F11" s="131">
        <f t="shared" si="3"/>
        <v>14</v>
      </c>
      <c r="G11" s="131">
        <f t="shared" si="4"/>
        <v>22</v>
      </c>
      <c r="H11" s="110">
        <v>7</v>
      </c>
      <c r="I11" s="87"/>
      <c r="J11" s="9">
        <v>7</v>
      </c>
      <c r="K11" s="16" t="s">
        <v>35</v>
      </c>
      <c r="L11" s="16" t="s">
        <v>88</v>
      </c>
      <c r="M11" s="16" t="s">
        <v>19</v>
      </c>
      <c r="N11" s="16" t="s">
        <v>20</v>
      </c>
      <c r="O11" s="16" t="s">
        <v>37</v>
      </c>
      <c r="Q11" s="9">
        <v>8</v>
      </c>
      <c r="R11" s="9">
        <v>11</v>
      </c>
      <c r="S11" s="9">
        <v>5</v>
      </c>
      <c r="T11" s="9">
        <v>1</v>
      </c>
      <c r="U11" s="9">
        <v>7</v>
      </c>
      <c r="W11" s="25">
        <v>1</v>
      </c>
      <c r="X11" s="25">
        <v>2</v>
      </c>
      <c r="Y11" s="25">
        <v>2</v>
      </c>
      <c r="Z11" s="25">
        <v>2</v>
      </c>
      <c r="AA11" s="25">
        <v>1</v>
      </c>
      <c r="AC11" s="152" t="str">
        <v>M4</v>
      </c>
      <c r="AD11" s="131">
        <v>43</v>
      </c>
      <c r="AE11" s="131">
        <v>20</v>
      </c>
      <c r="AF11" s="131">
        <v>41</v>
      </c>
      <c r="AG11" s="131">
        <v>14</v>
      </c>
      <c r="AH11" s="131">
        <v>22</v>
      </c>
      <c r="AI11" s="5"/>
      <c r="AJ11" s="152" t="str">
        <v>M4</v>
      </c>
      <c r="AK11" s="131">
        <v>43</v>
      </c>
      <c r="AL11" s="131">
        <v>20</v>
      </c>
      <c r="AM11" s="131">
        <v>41</v>
      </c>
      <c r="AN11" s="131">
        <v>14</v>
      </c>
      <c r="AO11" s="131">
        <v>22</v>
      </c>
    </row>
    <row r="12" spans="1:41" ht="15.9" customHeight="1">
      <c r="A12" s="131" t="str">
        <v>K</v>
      </c>
      <c r="B12" s="110" t="str">
        <v>K</v>
      </c>
      <c r="C12" s="131">
        <f t="shared" si="0"/>
        <v>47</v>
      </c>
      <c r="D12" s="131">
        <f t="shared" si="1"/>
        <v>18</v>
      </c>
      <c r="E12" s="131">
        <f t="shared" si="2"/>
        <v>41</v>
      </c>
      <c r="F12" s="131">
        <f t="shared" si="3"/>
        <v>14</v>
      </c>
      <c r="G12" s="131">
        <f t="shared" si="4"/>
        <v>22</v>
      </c>
      <c r="H12" s="110">
        <v>8</v>
      </c>
      <c r="I12" s="87"/>
      <c r="J12" s="25">
        <v>8</v>
      </c>
      <c r="K12" s="16" t="s">
        <v>126</v>
      </c>
      <c r="L12" s="16" t="s">
        <v>36</v>
      </c>
      <c r="M12" s="16" t="s">
        <v>126</v>
      </c>
      <c r="N12" s="16" t="s">
        <v>34</v>
      </c>
      <c r="O12" s="16" t="s">
        <v>18</v>
      </c>
      <c r="Q12" s="9">
        <v>6</v>
      </c>
      <c r="R12" s="9">
        <v>10</v>
      </c>
      <c r="S12" s="9">
        <v>6</v>
      </c>
      <c r="T12" s="9">
        <v>9</v>
      </c>
      <c r="U12" s="9">
        <v>4</v>
      </c>
      <c r="W12" s="25">
        <v>1</v>
      </c>
      <c r="X12" s="25">
        <v>2</v>
      </c>
      <c r="Y12" s="25">
        <v>2</v>
      </c>
      <c r="Z12" s="25">
        <v>2</v>
      </c>
      <c r="AA12" s="25">
        <v>2</v>
      </c>
      <c r="AC12" s="152" t="str">
        <v>M5</v>
      </c>
      <c r="AD12" s="131">
        <v>43</v>
      </c>
      <c r="AE12" s="131">
        <v>21</v>
      </c>
      <c r="AF12" s="131">
        <v>41</v>
      </c>
      <c r="AG12" s="131">
        <v>14</v>
      </c>
      <c r="AH12" s="131">
        <v>22</v>
      </c>
      <c r="AI12" s="5"/>
      <c r="AJ12" s="152" t="str">
        <v>M5</v>
      </c>
      <c r="AK12" s="131">
        <v>43</v>
      </c>
      <c r="AL12" s="131">
        <v>21</v>
      </c>
      <c r="AM12" s="131">
        <v>41</v>
      </c>
      <c r="AN12" s="131">
        <v>14</v>
      </c>
      <c r="AO12" s="131">
        <v>22</v>
      </c>
    </row>
    <row r="13" spans="1:41" ht="15.9" customHeight="1">
      <c r="A13" s="131" t="str">
        <v>Q</v>
      </c>
      <c r="B13" s="110" t="str">
        <v>Q</v>
      </c>
      <c r="C13" s="131">
        <f t="shared" si="0"/>
        <v>4</v>
      </c>
      <c r="D13" s="131">
        <f t="shared" si="1"/>
        <v>5</v>
      </c>
      <c r="E13" s="131">
        <f t="shared" si="2"/>
        <v>5</v>
      </c>
      <c r="F13" s="131">
        <f t="shared" si="3"/>
        <v>20</v>
      </c>
      <c r="G13" s="131">
        <f t="shared" si="4"/>
        <v>22</v>
      </c>
      <c r="H13" s="110">
        <v>9</v>
      </c>
      <c r="I13" s="87"/>
      <c r="J13" s="9">
        <v>9</v>
      </c>
      <c r="K13" s="16" t="s">
        <v>35</v>
      </c>
      <c r="L13" s="16" t="s">
        <v>18</v>
      </c>
      <c r="M13" s="16" t="s">
        <v>34</v>
      </c>
      <c r="N13" s="16" t="s">
        <v>34</v>
      </c>
      <c r="O13" s="16" t="s">
        <v>126</v>
      </c>
      <c r="Q13" s="9">
        <v>8</v>
      </c>
      <c r="R13" s="9">
        <v>4</v>
      </c>
      <c r="S13" s="9">
        <v>9</v>
      </c>
      <c r="T13" s="9">
        <v>9</v>
      </c>
      <c r="U13" s="9">
        <v>6</v>
      </c>
      <c r="W13" s="25">
        <v>1</v>
      </c>
      <c r="X13" s="25">
        <v>2</v>
      </c>
      <c r="Y13" s="25">
        <v>1</v>
      </c>
      <c r="Z13" s="25">
        <v>2</v>
      </c>
      <c r="AA13" s="25">
        <v>1</v>
      </c>
      <c r="AC13" s="152" t="str">
        <v>A</v>
      </c>
      <c r="AD13" s="131">
        <v>47</v>
      </c>
      <c r="AE13" s="131">
        <v>21</v>
      </c>
      <c r="AF13" s="131">
        <v>41</v>
      </c>
      <c r="AG13" s="131">
        <v>14</v>
      </c>
      <c r="AH13" s="131">
        <v>22</v>
      </c>
      <c r="AI13" s="5"/>
      <c r="AJ13" s="152" t="str">
        <v>A</v>
      </c>
      <c r="AK13" s="131">
        <v>47</v>
      </c>
      <c r="AL13" s="131">
        <v>21</v>
      </c>
      <c r="AM13" s="131">
        <v>41</v>
      </c>
      <c r="AN13" s="131">
        <v>14</v>
      </c>
      <c r="AO13" s="131">
        <v>22</v>
      </c>
    </row>
    <row r="14" spans="1:41" ht="15.9" customHeight="1">
      <c r="A14" s="131" t="str">
        <v>J</v>
      </c>
      <c r="B14" s="110" t="str">
        <v>J</v>
      </c>
      <c r="C14" s="131">
        <f t="shared" si="0"/>
        <v>4</v>
      </c>
      <c r="D14" s="131">
        <f t="shared" si="1"/>
        <v>9</v>
      </c>
      <c r="E14" s="131">
        <f t="shared" si="2"/>
        <v>4</v>
      </c>
      <c r="F14" s="131">
        <f t="shared" si="3"/>
        <v>20</v>
      </c>
      <c r="G14" s="131">
        <f t="shared" si="4"/>
        <v>22</v>
      </c>
      <c r="H14" s="110">
        <v>10</v>
      </c>
      <c r="I14" s="87"/>
      <c r="J14" s="25">
        <v>10</v>
      </c>
      <c r="K14" s="16" t="s">
        <v>126</v>
      </c>
      <c r="L14" s="16" t="s">
        <v>21</v>
      </c>
      <c r="M14" s="16" t="s">
        <v>126</v>
      </c>
      <c r="N14" s="16" t="s">
        <v>36</v>
      </c>
      <c r="O14" s="16" t="s">
        <v>34</v>
      </c>
      <c r="Q14" s="9">
        <v>6</v>
      </c>
      <c r="R14" s="9">
        <v>2</v>
      </c>
      <c r="S14" s="9">
        <v>6</v>
      </c>
      <c r="T14" s="9">
        <v>10</v>
      </c>
      <c r="U14" s="9">
        <v>9</v>
      </c>
      <c r="W14" s="25">
        <v>2</v>
      </c>
      <c r="X14" s="25">
        <v>2</v>
      </c>
      <c r="Y14" s="25">
        <v>1</v>
      </c>
      <c r="Z14" s="25">
        <v>1</v>
      </c>
      <c r="AA14" s="25">
        <v>1</v>
      </c>
      <c r="AC14" s="152" t="str">
        <v>K</v>
      </c>
      <c r="AD14" s="131">
        <v>47</v>
      </c>
      <c r="AE14" s="131">
        <v>21</v>
      </c>
      <c r="AF14" s="131">
        <v>41</v>
      </c>
      <c r="AG14" s="131">
        <v>14</v>
      </c>
      <c r="AH14" s="131">
        <v>22</v>
      </c>
      <c r="AI14" s="5"/>
      <c r="AJ14" s="152" t="str">
        <v>K</v>
      </c>
      <c r="AK14" s="131">
        <v>47</v>
      </c>
      <c r="AL14" s="131">
        <v>21</v>
      </c>
      <c r="AM14" s="131">
        <v>41</v>
      </c>
      <c r="AN14" s="131">
        <v>14</v>
      </c>
      <c r="AO14" s="131">
        <v>22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1"/>
        <v>16</v>
      </c>
      <c r="E15" s="99">
        <f t="shared" si="2"/>
        <v>0</v>
      </c>
      <c r="F15" s="99">
        <f t="shared" si="3"/>
        <v>4</v>
      </c>
      <c r="G15" s="99">
        <f t="shared" si="4"/>
        <v>0</v>
      </c>
      <c r="H15" s="8">
        <v>11</v>
      </c>
      <c r="I15" s="87"/>
      <c r="J15" s="9">
        <v>11</v>
      </c>
      <c r="K15" s="16" t="s">
        <v>126</v>
      </c>
      <c r="L15" s="16" t="s">
        <v>95</v>
      </c>
      <c r="M15" s="16" t="s">
        <v>35</v>
      </c>
      <c r="N15" s="16" t="s">
        <v>22</v>
      </c>
      <c r="O15" s="16" t="s">
        <v>35</v>
      </c>
      <c r="Q15" s="9">
        <v>6</v>
      </c>
      <c r="R15" s="9">
        <v>18</v>
      </c>
      <c r="S15" s="9">
        <v>8</v>
      </c>
      <c r="T15" s="9">
        <v>3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2" t="str">
        <v>Q</v>
      </c>
      <c r="AD15" s="131">
        <v>4</v>
      </c>
      <c r="AE15" s="131">
        <v>11</v>
      </c>
      <c r="AF15" s="131">
        <v>5</v>
      </c>
      <c r="AG15" s="131">
        <v>20</v>
      </c>
      <c r="AH15" s="131">
        <v>22</v>
      </c>
      <c r="AI15" s="5"/>
      <c r="AJ15" s="152" t="str">
        <v>Q</v>
      </c>
      <c r="AK15" s="131">
        <v>4</v>
      </c>
      <c r="AL15" s="131">
        <v>11</v>
      </c>
      <c r="AM15" s="131">
        <v>5</v>
      </c>
      <c r="AN15" s="131">
        <v>20</v>
      </c>
      <c r="AO15" s="131">
        <v>22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1"/>
        <v>5</v>
      </c>
      <c r="E16" s="99">
        <f t="shared" si="2"/>
        <v>0</v>
      </c>
      <c r="F16" s="99">
        <f t="shared" si="3"/>
        <v>4</v>
      </c>
      <c r="G16" s="99">
        <f t="shared" si="4"/>
        <v>0</v>
      </c>
      <c r="H16" s="8">
        <v>12</v>
      </c>
      <c r="I16" s="87"/>
      <c r="J16" s="25">
        <v>12</v>
      </c>
      <c r="K16" s="16" t="s">
        <v>126</v>
      </c>
      <c r="L16" s="16" t="s">
        <v>19</v>
      </c>
      <c r="M16" s="16" t="s">
        <v>126</v>
      </c>
      <c r="N16" s="16" t="s">
        <v>37</v>
      </c>
      <c r="O16" s="16" t="s">
        <v>35</v>
      </c>
      <c r="Q16" s="9">
        <v>6</v>
      </c>
      <c r="R16" s="9">
        <v>5</v>
      </c>
      <c r="S16" s="9">
        <v>6</v>
      </c>
      <c r="T16" s="9">
        <v>7</v>
      </c>
      <c r="U16" s="9">
        <v>8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2" t="str">
        <v>J</v>
      </c>
      <c r="AD16" s="131">
        <v>4</v>
      </c>
      <c r="AE16" s="131">
        <v>11</v>
      </c>
      <c r="AF16" s="131">
        <v>4</v>
      </c>
      <c r="AG16" s="131">
        <v>20</v>
      </c>
      <c r="AH16" s="131">
        <v>22</v>
      </c>
      <c r="AI16" s="5"/>
      <c r="AJ16" s="152" t="str">
        <v>J</v>
      </c>
      <c r="AK16" s="131">
        <v>4</v>
      </c>
      <c r="AL16" s="131">
        <v>11</v>
      </c>
      <c r="AM16" s="131">
        <v>4</v>
      </c>
      <c r="AN16" s="131">
        <v>20</v>
      </c>
      <c r="AO16" s="131">
        <v>22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1"/>
        <v>7</v>
      </c>
      <c r="E17" s="99">
        <f t="shared" si="2"/>
        <v>0</v>
      </c>
      <c r="F17" s="99">
        <f t="shared" si="3"/>
        <v>4</v>
      </c>
      <c r="G17" s="99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92</v>
      </c>
      <c r="M17" s="16" t="s">
        <v>35</v>
      </c>
      <c r="N17" s="16" t="s">
        <v>19</v>
      </c>
      <c r="O17" s="16" t="s">
        <v>18</v>
      </c>
      <c r="Q17" s="9">
        <v>8</v>
      </c>
      <c r="R17" s="9">
        <v>16</v>
      </c>
      <c r="S17" s="9">
        <v>8</v>
      </c>
      <c r="T17" s="9">
        <v>5</v>
      </c>
      <c r="U17" s="9">
        <v>4</v>
      </c>
      <c r="W17" s="25">
        <v>1</v>
      </c>
      <c r="X17" s="25">
        <v>1</v>
      </c>
      <c r="Y17" s="25">
        <v>1</v>
      </c>
      <c r="Z17" s="25">
        <v>2</v>
      </c>
      <c r="AA17" s="25">
        <v>1</v>
      </c>
      <c r="AC17" s="136" t="str">
        <v>G1</v>
      </c>
      <c r="AD17" s="99">
        <v>0</v>
      </c>
      <c r="AE17" s="99">
        <v>5</v>
      </c>
      <c r="AF17" s="99">
        <v>1</v>
      </c>
      <c r="AG17" s="99">
        <v>5</v>
      </c>
      <c r="AH17" s="99">
        <v>0</v>
      </c>
      <c r="AI17" s="5"/>
      <c r="AJ17" s="136" t="str">
        <v>G1</v>
      </c>
      <c r="AK17" s="99">
        <v>0</v>
      </c>
      <c r="AL17" s="99">
        <v>5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1"/>
        <v>10</v>
      </c>
      <c r="E18" s="99">
        <f t="shared" si="2"/>
        <v>3</v>
      </c>
      <c r="F18" s="99">
        <f t="shared" si="3"/>
        <v>3</v>
      </c>
      <c r="G18" s="99">
        <f t="shared" si="4"/>
        <v>0</v>
      </c>
      <c r="H18" s="8">
        <v>14</v>
      </c>
      <c r="I18" s="87"/>
      <c r="J18" s="25">
        <v>14</v>
      </c>
      <c r="K18" s="16" t="s">
        <v>37</v>
      </c>
      <c r="L18" s="16" t="s">
        <v>18</v>
      </c>
      <c r="M18" s="16" t="s">
        <v>18</v>
      </c>
      <c r="N18" s="16" t="s">
        <v>20</v>
      </c>
      <c r="O18" s="16" t="s">
        <v>36</v>
      </c>
      <c r="Q18" s="9">
        <v>7</v>
      </c>
      <c r="R18" s="9">
        <v>4</v>
      </c>
      <c r="S18" s="9">
        <v>4</v>
      </c>
      <c r="T18" s="9">
        <v>1</v>
      </c>
      <c r="U18" s="9">
        <v>10</v>
      </c>
      <c r="W18" s="25">
        <v>1</v>
      </c>
      <c r="X18" s="25">
        <v>2</v>
      </c>
      <c r="Y18" s="25">
        <v>1</v>
      </c>
      <c r="Z18" s="25">
        <v>2</v>
      </c>
      <c r="AA18" s="25">
        <v>1</v>
      </c>
      <c r="AC18" s="136" t="str">
        <v>G2</v>
      </c>
      <c r="AD18" s="99">
        <v>0</v>
      </c>
      <c r="AE18" s="99">
        <v>6</v>
      </c>
      <c r="AF18" s="99">
        <v>1</v>
      </c>
      <c r="AG18" s="99">
        <v>5</v>
      </c>
      <c r="AH18" s="99">
        <v>0</v>
      </c>
      <c r="AI18" s="5"/>
      <c r="AJ18" s="136" t="str">
        <v>G2</v>
      </c>
      <c r="AK18" s="99">
        <v>0</v>
      </c>
      <c r="AL18" s="99">
        <v>6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1"/>
        <v>11</v>
      </c>
      <c r="E19" s="99">
        <f t="shared" si="2"/>
        <v>3</v>
      </c>
      <c r="F19" s="99">
        <f t="shared" si="3"/>
        <v>3</v>
      </c>
      <c r="G19" s="99">
        <f t="shared" si="4"/>
        <v>0</v>
      </c>
      <c r="H19" s="8">
        <v>15</v>
      </c>
      <c r="I19" s="87"/>
      <c r="J19" s="9">
        <v>15</v>
      </c>
      <c r="K19" s="16" t="s">
        <v>21</v>
      </c>
      <c r="L19" s="16" t="s">
        <v>88</v>
      </c>
      <c r="M19" s="16" t="s">
        <v>35</v>
      </c>
      <c r="N19" s="16" t="s">
        <v>36</v>
      </c>
      <c r="O19" s="16" t="s">
        <v>37</v>
      </c>
      <c r="Q19" s="9">
        <v>2</v>
      </c>
      <c r="R19" s="9">
        <v>11</v>
      </c>
      <c r="S19" s="9">
        <v>8</v>
      </c>
      <c r="T19" s="9">
        <v>10</v>
      </c>
      <c r="U19" s="9">
        <v>7</v>
      </c>
      <c r="W19" s="25">
        <v>2</v>
      </c>
      <c r="X19" s="25">
        <v>2</v>
      </c>
      <c r="Y19" s="25">
        <v>1</v>
      </c>
      <c r="Z19" s="25">
        <v>2</v>
      </c>
      <c r="AA19" s="25">
        <v>1</v>
      </c>
      <c r="AC19" s="136" t="str">
        <v>G3</v>
      </c>
      <c r="AD19" s="99">
        <v>0</v>
      </c>
      <c r="AE19" s="99">
        <v>6</v>
      </c>
      <c r="AF19" s="99">
        <v>1</v>
      </c>
      <c r="AG19" s="99">
        <v>5</v>
      </c>
      <c r="AH19" s="99">
        <v>0</v>
      </c>
      <c r="AI19" s="5"/>
      <c r="AJ19" s="136" t="str">
        <v>G3</v>
      </c>
      <c r="AK19" s="99">
        <v>0</v>
      </c>
      <c r="AL19" s="99">
        <v>6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1"/>
        <v>11</v>
      </c>
      <c r="E20" s="99">
        <f t="shared" si="2"/>
        <v>3</v>
      </c>
      <c r="F20" s="99">
        <f t="shared" si="3"/>
        <v>3</v>
      </c>
      <c r="G20" s="99">
        <f t="shared" si="4"/>
        <v>0</v>
      </c>
      <c r="H20" s="8">
        <v>16</v>
      </c>
      <c r="I20" s="87"/>
      <c r="J20" s="25">
        <v>16</v>
      </c>
      <c r="K20" s="16" t="s">
        <v>18</v>
      </c>
      <c r="L20" s="16" t="s">
        <v>88</v>
      </c>
      <c r="M20" s="16" t="s">
        <v>19</v>
      </c>
      <c r="N20" s="16" t="s">
        <v>21</v>
      </c>
      <c r="O20" s="16" t="s">
        <v>21</v>
      </c>
      <c r="Q20" s="9">
        <v>4</v>
      </c>
      <c r="R20" s="9">
        <v>11</v>
      </c>
      <c r="S20" s="9">
        <v>5</v>
      </c>
      <c r="T20" s="9">
        <v>2</v>
      </c>
      <c r="U20" s="9">
        <v>2</v>
      </c>
      <c r="W20" s="25">
        <v>2</v>
      </c>
      <c r="X20" s="25">
        <v>2</v>
      </c>
      <c r="Y20" s="25">
        <v>1</v>
      </c>
      <c r="Z20" s="25">
        <v>2</v>
      </c>
      <c r="AA20" s="25">
        <v>2</v>
      </c>
      <c r="AC20" s="136" t="str">
        <v>G4</v>
      </c>
      <c r="AD20" s="99">
        <v>0</v>
      </c>
      <c r="AE20" s="99">
        <v>9</v>
      </c>
      <c r="AF20" s="99">
        <v>4</v>
      </c>
      <c r="AG20" s="99">
        <v>4</v>
      </c>
      <c r="AH20" s="99">
        <v>0</v>
      </c>
      <c r="AI20" s="5"/>
      <c r="AJ20" s="136" t="str">
        <v>G4</v>
      </c>
      <c r="AK20" s="99">
        <v>0</v>
      </c>
      <c r="AL20" s="99">
        <v>9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1"/>
        <v>8</v>
      </c>
      <c r="E21" s="99">
        <f t="shared" si="2"/>
        <v>3</v>
      </c>
      <c r="F21" s="99">
        <f t="shared" si="3"/>
        <v>3</v>
      </c>
      <c r="G21" s="99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126</v>
      </c>
      <c r="M21" s="16" t="s">
        <v>37</v>
      </c>
      <c r="N21" s="16" t="s">
        <v>18</v>
      </c>
      <c r="O21" s="16" t="s">
        <v>18</v>
      </c>
      <c r="Q21" s="9">
        <v>5</v>
      </c>
      <c r="R21" s="9">
        <v>6</v>
      </c>
      <c r="S21" s="9">
        <v>7</v>
      </c>
      <c r="T21" s="9">
        <v>4</v>
      </c>
      <c r="U21" s="9">
        <v>4</v>
      </c>
      <c r="W21" s="25">
        <v>1</v>
      </c>
      <c r="X21" s="25">
        <v>1</v>
      </c>
      <c r="Y21" s="25">
        <v>1</v>
      </c>
      <c r="Z21" s="25">
        <v>2</v>
      </c>
      <c r="AA21" s="25">
        <v>2</v>
      </c>
      <c r="AC21" s="136" t="str">
        <v>G5</v>
      </c>
      <c r="AD21" s="99">
        <v>0</v>
      </c>
      <c r="AE21" s="99">
        <v>9</v>
      </c>
      <c r="AF21" s="99">
        <v>4</v>
      </c>
      <c r="AG21" s="99">
        <v>4</v>
      </c>
      <c r="AH21" s="99">
        <v>0</v>
      </c>
      <c r="AI21" s="5"/>
      <c r="AJ21" s="136" t="str">
        <v>G5</v>
      </c>
      <c r="AK21" s="99">
        <v>0</v>
      </c>
      <c r="AL21" s="99">
        <v>9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1"/>
        <v>6</v>
      </c>
      <c r="E22" s="99">
        <f t="shared" si="2"/>
        <v>0</v>
      </c>
      <c r="F22" s="99">
        <f t="shared" si="3"/>
        <v>4</v>
      </c>
      <c r="G22" s="99">
        <f t="shared" si="4"/>
        <v>0</v>
      </c>
      <c r="H22" s="8">
        <v>18</v>
      </c>
      <c r="I22" s="87"/>
      <c r="J22" s="25">
        <v>18</v>
      </c>
      <c r="K22" s="16" t="s">
        <v>19</v>
      </c>
      <c r="L22" s="16" t="s">
        <v>18</v>
      </c>
      <c r="M22" s="16" t="s">
        <v>19</v>
      </c>
      <c r="N22" s="16" t="s">
        <v>36</v>
      </c>
      <c r="O22" s="16" t="s">
        <v>18</v>
      </c>
      <c r="Q22" s="9">
        <v>5</v>
      </c>
      <c r="R22" s="9">
        <v>4</v>
      </c>
      <c r="S22" s="9">
        <v>5</v>
      </c>
      <c r="T22" s="9">
        <v>10</v>
      </c>
      <c r="U22" s="9">
        <v>4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6" t="str">
        <v>GA</v>
      </c>
      <c r="AD22" s="99">
        <v>0</v>
      </c>
      <c r="AE22" s="99">
        <v>9</v>
      </c>
      <c r="AF22" s="99">
        <v>4</v>
      </c>
      <c r="AG22" s="99">
        <v>4</v>
      </c>
      <c r="AH22" s="99">
        <v>0</v>
      </c>
      <c r="AI22" s="5"/>
      <c r="AJ22" s="136" t="str">
        <v>GA</v>
      </c>
      <c r="AK22" s="99">
        <v>0</v>
      </c>
      <c r="AL22" s="99">
        <v>9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1"/>
        <v>6</v>
      </c>
      <c r="E23" s="99">
        <f t="shared" si="2"/>
        <v>0</v>
      </c>
      <c r="F23" s="99">
        <f t="shared" si="3"/>
        <v>4</v>
      </c>
      <c r="G23" s="99">
        <f t="shared" si="4"/>
        <v>0</v>
      </c>
      <c r="H23" s="8">
        <v>19</v>
      </c>
      <c r="I23" s="87"/>
      <c r="J23" s="9">
        <v>19</v>
      </c>
      <c r="K23" s="16" t="s">
        <v>35</v>
      </c>
      <c r="L23" s="16" t="s">
        <v>92</v>
      </c>
      <c r="M23" s="16" t="s">
        <v>37</v>
      </c>
      <c r="N23" s="16" t="s">
        <v>34</v>
      </c>
      <c r="O23" s="16" t="s">
        <v>22</v>
      </c>
      <c r="Q23" s="9">
        <v>8</v>
      </c>
      <c r="R23" s="9">
        <v>16</v>
      </c>
      <c r="S23" s="9">
        <v>7</v>
      </c>
      <c r="T23" s="9">
        <v>9</v>
      </c>
      <c r="U23" s="9">
        <v>3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6" t="str">
        <v>GK</v>
      </c>
      <c r="AD23" s="99">
        <v>0</v>
      </c>
      <c r="AE23" s="99">
        <v>9</v>
      </c>
      <c r="AF23" s="99">
        <v>4</v>
      </c>
      <c r="AG23" s="99">
        <v>4</v>
      </c>
      <c r="AH23" s="99">
        <v>0</v>
      </c>
      <c r="AI23" s="5"/>
      <c r="AJ23" s="136" t="str">
        <v>GK</v>
      </c>
      <c r="AK23" s="99">
        <v>0</v>
      </c>
      <c r="AL23" s="99">
        <v>9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19</v>
      </c>
      <c r="N24" s="16" t="s">
        <v>112</v>
      </c>
      <c r="O24" s="16" t="s">
        <v>37</v>
      </c>
      <c r="Q24" s="9">
        <v>7</v>
      </c>
      <c r="R24" s="9">
        <v>7</v>
      </c>
      <c r="S24" s="9">
        <v>5</v>
      </c>
      <c r="T24" s="9">
        <v>17</v>
      </c>
      <c r="U24" s="9">
        <v>7</v>
      </c>
      <c r="W24" s="25">
        <v>1</v>
      </c>
      <c r="X24" s="25">
        <v>1</v>
      </c>
      <c r="Y24" s="25">
        <v>2</v>
      </c>
      <c r="Z24" s="25">
        <v>1</v>
      </c>
      <c r="AA24" s="25">
        <v>1</v>
      </c>
      <c r="AC24" s="136" t="str">
        <v>GQ</v>
      </c>
      <c r="AD24" s="99">
        <v>0</v>
      </c>
      <c r="AE24" s="99">
        <v>6</v>
      </c>
      <c r="AF24" s="99">
        <v>1</v>
      </c>
      <c r="AG24" s="99">
        <v>5</v>
      </c>
      <c r="AH24" s="99">
        <v>0</v>
      </c>
      <c r="AI24" s="5"/>
      <c r="AJ24" s="136" t="str">
        <v>GQ</v>
      </c>
      <c r="AK24" s="99">
        <v>0</v>
      </c>
      <c r="AL24" s="99">
        <v>6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35</v>
      </c>
      <c r="M25" s="16" t="s">
        <v>19</v>
      </c>
      <c r="N25" s="16" t="s">
        <v>21</v>
      </c>
      <c r="O25" s="16" t="s">
        <v>22</v>
      </c>
      <c r="Q25" s="9">
        <v>5</v>
      </c>
      <c r="R25" s="9">
        <v>8</v>
      </c>
      <c r="S25" s="9">
        <v>5</v>
      </c>
      <c r="T25" s="9">
        <v>2</v>
      </c>
      <c r="U25" s="9">
        <v>3</v>
      </c>
      <c r="W25" s="25">
        <v>1</v>
      </c>
      <c r="X25" s="25">
        <v>1</v>
      </c>
      <c r="Y25" s="25">
        <v>2</v>
      </c>
      <c r="Z25" s="25">
        <v>1</v>
      </c>
      <c r="AA25" s="25">
        <v>2</v>
      </c>
      <c r="AC25" s="136" t="str">
        <v>GJ</v>
      </c>
      <c r="AD25" s="99">
        <v>0</v>
      </c>
      <c r="AE25" s="99">
        <v>6</v>
      </c>
      <c r="AF25" s="99">
        <v>1</v>
      </c>
      <c r="AG25" s="99">
        <v>5</v>
      </c>
      <c r="AH25" s="99">
        <v>0</v>
      </c>
      <c r="AI25" s="5"/>
      <c r="AJ25" s="136" t="str">
        <v>GJ</v>
      </c>
      <c r="AK25" s="99">
        <v>0</v>
      </c>
      <c r="AL25" s="99">
        <v>6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5">SUM(D4:D14)/D24</f>
        <v>0.6</v>
      </c>
      <c r="E26" s="179">
        <f t="shared" si="5"/>
        <v>0.94</v>
      </c>
      <c r="F26" s="179">
        <f t="shared" si="5"/>
        <v>0.84</v>
      </c>
      <c r="G26" s="5">
        <f t="shared" si="5"/>
        <v>1</v>
      </c>
      <c r="I26" s="87"/>
      <c r="J26" s="25">
        <v>22</v>
      </c>
      <c r="K26" s="16" t="s">
        <v>34</v>
      </c>
      <c r="L26" s="16" t="s">
        <v>91</v>
      </c>
      <c r="M26" s="16" t="s">
        <v>19</v>
      </c>
      <c r="N26" s="16" t="s">
        <v>21</v>
      </c>
      <c r="O26" s="16" t="s">
        <v>21</v>
      </c>
      <c r="Q26" s="9">
        <v>9</v>
      </c>
      <c r="R26" s="9">
        <v>14</v>
      </c>
      <c r="S26" s="9">
        <v>5</v>
      </c>
      <c r="T26" s="9">
        <v>2</v>
      </c>
      <c r="U26" s="9">
        <v>2</v>
      </c>
      <c r="W26" s="25">
        <v>1</v>
      </c>
      <c r="X26" s="25">
        <v>2</v>
      </c>
      <c r="Y26" s="25">
        <v>1</v>
      </c>
      <c r="Z26" s="25">
        <v>1</v>
      </c>
      <c r="AA26" s="25">
        <v>2</v>
      </c>
      <c r="AD26" s="111">
        <f>SUM(AD6:AD25)</f>
        <v>200</v>
      </c>
      <c r="AE26" s="111">
        <f>SUM(AE6:AE25)</f>
        <v>209</v>
      </c>
      <c r="AF26" s="111">
        <f>SUM(AF6:AF25)</f>
        <v>209</v>
      </c>
      <c r="AG26" s="111">
        <f>SUM(AG6:AG25)</f>
        <v>209</v>
      </c>
      <c r="AH26" s="111">
        <f>SUM(AH6:AH25)</f>
        <v>200</v>
      </c>
      <c r="AI26" s="5"/>
      <c r="AK26" s="111">
        <f>SUM(AK6:AK25)</f>
        <v>200</v>
      </c>
      <c r="AL26" s="111">
        <f>SUM(AL6:AL25)</f>
        <v>209</v>
      </c>
      <c r="AM26" s="111">
        <f>SUM(AM6:AM25)</f>
        <v>209</v>
      </c>
      <c r="AN26" s="111">
        <f>SUM(AN6:AN25)</f>
        <v>209</v>
      </c>
      <c r="AO26" s="111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6">SUM(D15:D23)/D24</f>
        <v>0.4</v>
      </c>
      <c r="E27" s="179">
        <f t="shared" si="6"/>
        <v>0.06</v>
      </c>
      <c r="F27" s="179">
        <f t="shared" si="6"/>
        <v>0.16</v>
      </c>
      <c r="G27" s="5">
        <f t="shared" si="6"/>
        <v>0</v>
      </c>
      <c r="I27" s="87"/>
      <c r="J27" s="9">
        <v>23</v>
      </c>
      <c r="K27" s="16" t="s">
        <v>37</v>
      </c>
      <c r="L27" s="16" t="s">
        <v>126</v>
      </c>
      <c r="M27" s="16" t="s">
        <v>126</v>
      </c>
      <c r="N27" s="16" t="s">
        <v>37</v>
      </c>
      <c r="O27" s="16" t="s">
        <v>21</v>
      </c>
      <c r="Q27" s="9">
        <v>7</v>
      </c>
      <c r="R27" s="9">
        <v>6</v>
      </c>
      <c r="S27" s="9">
        <v>6</v>
      </c>
      <c r="T27" s="9">
        <v>7</v>
      </c>
      <c r="U27" s="9">
        <v>2</v>
      </c>
      <c r="W27" s="25">
        <v>1</v>
      </c>
      <c r="X27" s="25">
        <v>2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35</v>
      </c>
      <c r="L28" s="16" t="s">
        <v>19</v>
      </c>
      <c r="M28" s="16" t="s">
        <v>37</v>
      </c>
      <c r="N28" s="16" t="s">
        <v>19</v>
      </c>
      <c r="O28" s="16" t="s">
        <v>36</v>
      </c>
      <c r="Q28" s="9">
        <v>8</v>
      </c>
      <c r="R28" s="9">
        <v>5</v>
      </c>
      <c r="S28" s="9">
        <v>7</v>
      </c>
      <c r="T28" s="9">
        <v>5</v>
      </c>
      <c r="U28" s="9">
        <v>10</v>
      </c>
      <c r="W28" s="25">
        <v>1</v>
      </c>
      <c r="X28" s="25">
        <v>2</v>
      </c>
      <c r="Y28" s="25">
        <v>1</v>
      </c>
      <c r="Z28" s="25">
        <v>2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19</v>
      </c>
      <c r="L29" s="16" t="s">
        <v>95</v>
      </c>
      <c r="M29" s="16" t="s">
        <v>35</v>
      </c>
      <c r="N29" s="16" t="s">
        <v>34</v>
      </c>
      <c r="O29" s="16" t="s">
        <v>35</v>
      </c>
      <c r="Q29" s="9">
        <v>5</v>
      </c>
      <c r="R29" s="9">
        <v>18</v>
      </c>
      <c r="S29" s="9">
        <v>8</v>
      </c>
      <c r="T29" s="9">
        <v>9</v>
      </c>
      <c r="U29" s="9">
        <v>8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91</v>
      </c>
      <c r="M30" s="16" t="s">
        <v>37</v>
      </c>
      <c r="N30" s="16" t="s">
        <v>22</v>
      </c>
      <c r="O30" s="16" t="s">
        <v>22</v>
      </c>
      <c r="Q30" s="9">
        <v>7</v>
      </c>
      <c r="R30" s="9">
        <v>14</v>
      </c>
      <c r="S30" s="9">
        <v>7</v>
      </c>
      <c r="T30" s="9">
        <v>3</v>
      </c>
      <c r="U30" s="9">
        <v>3</v>
      </c>
      <c r="W30" s="25">
        <v>1</v>
      </c>
      <c r="X30" s="25">
        <v>1</v>
      </c>
      <c r="Y30" s="25">
        <v>1</v>
      </c>
      <c r="Z30" s="25">
        <v>1</v>
      </c>
      <c r="AA30" s="25">
        <v>2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35</v>
      </c>
      <c r="L31" s="16" t="s">
        <v>35</v>
      </c>
      <c r="M31" s="16" t="s">
        <v>37</v>
      </c>
      <c r="N31" s="16" t="s">
        <v>37</v>
      </c>
      <c r="O31" s="16" t="s">
        <v>18</v>
      </c>
      <c r="Q31" s="9">
        <v>8</v>
      </c>
      <c r="R31" s="9">
        <v>8</v>
      </c>
      <c r="S31" s="9">
        <v>7</v>
      </c>
      <c r="T31" s="9">
        <v>7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2</v>
      </c>
      <c r="AC31" s="136" t="str">
        <v>C1</v>
      </c>
      <c r="AD31" s="136">
        <v>0</v>
      </c>
      <c r="AE31" s="136">
        <v>6</v>
      </c>
      <c r="AF31" s="136">
        <v>0</v>
      </c>
      <c r="AG31" s="136">
        <v>9</v>
      </c>
      <c r="AH31" s="136">
        <v>0</v>
      </c>
      <c r="AI31" s="5"/>
      <c r="AJ31" s="136" t="str">
        <v>C1</v>
      </c>
      <c r="AK31" s="136">
        <v>0</v>
      </c>
      <c r="AL31" s="136">
        <v>6</v>
      </c>
      <c r="AM31" s="136">
        <v>0</v>
      </c>
      <c r="AN31" s="136">
        <v>9</v>
      </c>
      <c r="AO31" s="136">
        <v>0</v>
      </c>
    </row>
    <row r="32" spans="1:41" ht="16.5" customHeight="1">
      <c r="J32" s="25">
        <v>28</v>
      </c>
      <c r="K32" s="16" t="s">
        <v>19</v>
      </c>
      <c r="L32" s="16" t="s">
        <v>22</v>
      </c>
      <c r="M32" s="16" t="s">
        <v>126</v>
      </c>
      <c r="N32" s="16" t="s">
        <v>22</v>
      </c>
      <c r="O32" s="16" t="s">
        <v>126</v>
      </c>
      <c r="Q32" s="9">
        <v>5</v>
      </c>
      <c r="R32" s="9">
        <v>3</v>
      </c>
      <c r="S32" s="9">
        <v>6</v>
      </c>
      <c r="T32" s="9">
        <v>3</v>
      </c>
      <c r="U32" s="9">
        <v>6</v>
      </c>
      <c r="W32" s="25">
        <v>2</v>
      </c>
      <c r="X32" s="25">
        <v>2</v>
      </c>
      <c r="Y32" s="25">
        <v>1</v>
      </c>
      <c r="Z32" s="25">
        <v>2</v>
      </c>
      <c r="AA32" s="25">
        <v>2</v>
      </c>
      <c r="AC32" s="152" t="str">
        <v>M1</v>
      </c>
      <c r="AD32" s="131">
        <v>4</v>
      </c>
      <c r="AE32" s="131">
        <v>11</v>
      </c>
      <c r="AF32" s="131">
        <v>5</v>
      </c>
      <c r="AG32" s="131">
        <v>21</v>
      </c>
      <c r="AH32" s="131">
        <v>23</v>
      </c>
      <c r="AI32" s="5"/>
      <c r="AJ32" s="152" t="str">
        <v>M1</v>
      </c>
      <c r="AK32" s="131">
        <v>4</v>
      </c>
      <c r="AL32" s="131">
        <v>11</v>
      </c>
      <c r="AM32" s="131">
        <v>5</v>
      </c>
      <c r="AN32" s="131">
        <v>21</v>
      </c>
      <c r="AO32" s="131">
        <v>23</v>
      </c>
    </row>
    <row r="33" spans="10:41" ht="16.5" customHeight="1">
      <c r="J33" s="9">
        <v>29</v>
      </c>
      <c r="K33" s="16" t="s">
        <v>34</v>
      </c>
      <c r="L33" s="16" t="s">
        <v>21</v>
      </c>
      <c r="M33" s="16" t="s">
        <v>112</v>
      </c>
      <c r="N33" s="16" t="s">
        <v>22</v>
      </c>
      <c r="O33" s="16" t="s">
        <v>34</v>
      </c>
      <c r="Q33" s="9">
        <v>9</v>
      </c>
      <c r="R33" s="9">
        <v>2</v>
      </c>
      <c r="S33" s="9">
        <v>17</v>
      </c>
      <c r="T33" s="9">
        <v>3</v>
      </c>
      <c r="U33" s="9">
        <v>9</v>
      </c>
      <c r="W33" s="25">
        <v>2</v>
      </c>
      <c r="X33" s="25">
        <v>2</v>
      </c>
      <c r="Y33" s="25">
        <v>1</v>
      </c>
      <c r="Z33" s="25">
        <v>2</v>
      </c>
      <c r="AA33" s="25">
        <v>2</v>
      </c>
      <c r="AC33" s="152" t="str">
        <v>M2</v>
      </c>
      <c r="AD33" s="131">
        <v>4</v>
      </c>
      <c r="AE33" s="131">
        <v>11</v>
      </c>
      <c r="AF33" s="131">
        <v>5</v>
      </c>
      <c r="AG33" s="131">
        <v>21</v>
      </c>
      <c r="AH33" s="131">
        <v>23</v>
      </c>
      <c r="AI33" s="5"/>
      <c r="AJ33" s="152" t="str">
        <v>M2</v>
      </c>
      <c r="AK33" s="131">
        <v>4</v>
      </c>
      <c r="AL33" s="131">
        <v>11</v>
      </c>
      <c r="AM33" s="131">
        <v>5</v>
      </c>
      <c r="AN33" s="131">
        <v>21</v>
      </c>
      <c r="AO33" s="131">
        <v>23</v>
      </c>
    </row>
    <row r="34" spans="10:41" ht="16.5" customHeight="1">
      <c r="J34" s="25">
        <v>30</v>
      </c>
      <c r="K34" s="16" t="s">
        <v>19</v>
      </c>
      <c r="L34" s="16" t="s">
        <v>127</v>
      </c>
      <c r="M34" s="16" t="s">
        <v>19</v>
      </c>
      <c r="N34" s="16" t="s">
        <v>18</v>
      </c>
      <c r="O34" s="16" t="s">
        <v>21</v>
      </c>
      <c r="Q34" s="9">
        <v>5</v>
      </c>
      <c r="R34" s="9">
        <v>15</v>
      </c>
      <c r="S34" s="9">
        <v>5</v>
      </c>
      <c r="T34" s="9">
        <v>4</v>
      </c>
      <c r="U34" s="9">
        <v>2</v>
      </c>
      <c r="W34" s="25">
        <v>2</v>
      </c>
      <c r="X34" s="25">
        <v>2</v>
      </c>
      <c r="Y34" s="25">
        <v>1</v>
      </c>
      <c r="Z34" s="25">
        <v>2</v>
      </c>
      <c r="AA34" s="25">
        <v>2</v>
      </c>
      <c r="AC34" s="152" t="str">
        <v>M3</v>
      </c>
      <c r="AD34" s="131">
        <v>4</v>
      </c>
      <c r="AE34" s="131">
        <v>11</v>
      </c>
      <c r="AF34" s="131">
        <v>5</v>
      </c>
      <c r="AG34" s="131">
        <v>21</v>
      </c>
      <c r="AH34" s="131">
        <v>22</v>
      </c>
      <c r="AI34" s="5"/>
      <c r="AJ34" s="152" t="str">
        <v>M3</v>
      </c>
      <c r="AK34" s="131">
        <v>4</v>
      </c>
      <c r="AL34" s="131">
        <v>11</v>
      </c>
      <c r="AM34" s="131">
        <v>5</v>
      </c>
      <c r="AN34" s="131">
        <v>21</v>
      </c>
      <c r="AO34" s="131">
        <v>22</v>
      </c>
    </row>
    <row r="35" spans="10:41" ht="16.5" customHeight="1">
      <c r="J35" s="9">
        <v>31</v>
      </c>
      <c r="K35" s="16" t="s">
        <v>19</v>
      </c>
      <c r="L35" s="16" t="s">
        <v>90</v>
      </c>
      <c r="M35" s="16" t="s">
        <v>36</v>
      </c>
      <c r="N35" s="16" t="s">
        <v>36</v>
      </c>
      <c r="O35" s="16" t="s">
        <v>21</v>
      </c>
      <c r="Q35" s="9">
        <v>5</v>
      </c>
      <c r="R35" s="9">
        <v>13</v>
      </c>
      <c r="S35" s="9">
        <v>10</v>
      </c>
      <c r="T35" s="9">
        <v>10</v>
      </c>
      <c r="U35" s="9">
        <v>2</v>
      </c>
      <c r="W35" s="25">
        <v>2</v>
      </c>
      <c r="X35" s="25">
        <v>2</v>
      </c>
      <c r="Y35" s="25">
        <v>1</v>
      </c>
      <c r="Z35" s="25">
        <v>1</v>
      </c>
      <c r="AA35" s="25">
        <v>2</v>
      </c>
      <c r="AC35" s="152" t="str">
        <v>M4</v>
      </c>
      <c r="AD35" s="131">
        <v>43</v>
      </c>
      <c r="AE35" s="131">
        <v>20</v>
      </c>
      <c r="AF35" s="131">
        <v>41</v>
      </c>
      <c r="AG35" s="131">
        <v>14</v>
      </c>
      <c r="AH35" s="131">
        <v>22</v>
      </c>
      <c r="AI35" s="5"/>
      <c r="AJ35" s="152" t="str">
        <v>M4</v>
      </c>
      <c r="AK35" s="131">
        <v>43</v>
      </c>
      <c r="AL35" s="131">
        <v>20</v>
      </c>
      <c r="AM35" s="131">
        <v>41</v>
      </c>
      <c r="AN35" s="131">
        <v>14</v>
      </c>
      <c r="AO35" s="131">
        <v>22</v>
      </c>
    </row>
    <row r="36" spans="10:41" ht="16.5" customHeight="1">
      <c r="J36" s="25">
        <v>32</v>
      </c>
      <c r="K36" s="16" t="s">
        <v>19</v>
      </c>
      <c r="L36" s="16" t="s">
        <v>18</v>
      </c>
      <c r="M36" s="16" t="s">
        <v>35</v>
      </c>
      <c r="N36" s="16" t="s">
        <v>36</v>
      </c>
      <c r="O36" s="16" t="s">
        <v>18</v>
      </c>
      <c r="Q36" s="9">
        <v>5</v>
      </c>
      <c r="R36" s="9">
        <v>4</v>
      </c>
      <c r="S36" s="9">
        <v>8</v>
      </c>
      <c r="T36" s="9">
        <v>10</v>
      </c>
      <c r="U36" s="9">
        <v>4</v>
      </c>
      <c r="W36" s="25">
        <v>1</v>
      </c>
      <c r="X36" s="25">
        <v>2</v>
      </c>
      <c r="Y36" s="25">
        <v>1</v>
      </c>
      <c r="Z36" s="25">
        <v>1</v>
      </c>
      <c r="AA36" s="25">
        <v>2</v>
      </c>
      <c r="AC36" s="152" t="str">
        <v>M5</v>
      </c>
      <c r="AD36" s="131">
        <v>43</v>
      </c>
      <c r="AE36" s="131">
        <v>21</v>
      </c>
      <c r="AF36" s="131">
        <v>41</v>
      </c>
      <c r="AG36" s="131">
        <v>14</v>
      </c>
      <c r="AH36" s="131">
        <v>22</v>
      </c>
      <c r="AI36" s="5"/>
      <c r="AJ36" s="152" t="str">
        <v>M5</v>
      </c>
      <c r="AK36" s="131">
        <v>43</v>
      </c>
      <c r="AL36" s="131">
        <v>21</v>
      </c>
      <c r="AM36" s="131">
        <v>41</v>
      </c>
      <c r="AN36" s="131">
        <v>14</v>
      </c>
      <c r="AO36" s="131">
        <v>22</v>
      </c>
    </row>
    <row r="37" spans="10:41" ht="16.5" customHeight="1">
      <c r="J37" s="9">
        <v>33</v>
      </c>
      <c r="K37" s="16" t="s">
        <v>126</v>
      </c>
      <c r="L37" s="16" t="s">
        <v>21</v>
      </c>
      <c r="M37" s="16" t="s">
        <v>127</v>
      </c>
      <c r="N37" s="16" t="s">
        <v>37</v>
      </c>
      <c r="O37" s="16" t="s">
        <v>18</v>
      </c>
      <c r="Q37" s="9">
        <v>6</v>
      </c>
      <c r="R37" s="9">
        <v>2</v>
      </c>
      <c r="S37" s="9">
        <v>15</v>
      </c>
      <c r="T37" s="9">
        <v>7</v>
      </c>
      <c r="U37" s="9">
        <v>4</v>
      </c>
      <c r="W37" s="25">
        <v>1</v>
      </c>
      <c r="X37" s="25">
        <v>2</v>
      </c>
      <c r="Y37" s="25">
        <v>2</v>
      </c>
      <c r="Z37" s="25">
        <v>1</v>
      </c>
      <c r="AA37" s="25">
        <v>2</v>
      </c>
      <c r="AC37" s="152" t="str">
        <v>A</v>
      </c>
      <c r="AD37" s="131">
        <v>47</v>
      </c>
      <c r="AE37" s="131">
        <v>21</v>
      </c>
      <c r="AF37" s="131">
        <v>41</v>
      </c>
      <c r="AG37" s="131">
        <v>14</v>
      </c>
      <c r="AH37" s="131">
        <v>22</v>
      </c>
      <c r="AI37" s="5"/>
      <c r="AJ37" s="152" t="str">
        <v>A</v>
      </c>
      <c r="AK37" s="131">
        <v>47</v>
      </c>
      <c r="AL37" s="131">
        <v>21</v>
      </c>
      <c r="AM37" s="131">
        <v>41</v>
      </c>
      <c r="AN37" s="131">
        <v>14</v>
      </c>
      <c r="AO37" s="131">
        <v>22</v>
      </c>
    </row>
    <row r="38" spans="10:41" ht="16.5" customHeight="1">
      <c r="J38" s="25">
        <v>34</v>
      </c>
      <c r="K38" s="16" t="s">
        <v>35</v>
      </c>
      <c r="L38" s="16" t="s">
        <v>34</v>
      </c>
      <c r="M38" s="16" t="s">
        <v>19</v>
      </c>
      <c r="N38" s="16" t="s">
        <v>37</v>
      </c>
      <c r="O38" s="16" t="s">
        <v>22</v>
      </c>
      <c r="Q38" s="9">
        <v>8</v>
      </c>
      <c r="R38" s="9">
        <v>9</v>
      </c>
      <c r="S38" s="9">
        <v>5</v>
      </c>
      <c r="T38" s="9">
        <v>7</v>
      </c>
      <c r="U38" s="9">
        <v>3</v>
      </c>
      <c r="W38" s="25">
        <v>1</v>
      </c>
      <c r="X38" s="25">
        <v>2</v>
      </c>
      <c r="Y38" s="25">
        <v>2</v>
      </c>
      <c r="Z38" s="25">
        <v>1</v>
      </c>
      <c r="AA38" s="25">
        <v>1</v>
      </c>
      <c r="AC38" s="152" t="str">
        <v>K</v>
      </c>
      <c r="AD38" s="131">
        <v>47</v>
      </c>
      <c r="AE38" s="131">
        <v>21</v>
      </c>
      <c r="AF38" s="131">
        <v>41</v>
      </c>
      <c r="AG38" s="131">
        <v>14</v>
      </c>
      <c r="AH38" s="131">
        <v>22</v>
      </c>
      <c r="AI38" s="5"/>
      <c r="AJ38" s="152" t="str">
        <v>K</v>
      </c>
      <c r="AK38" s="131">
        <v>47</v>
      </c>
      <c r="AL38" s="131">
        <v>21</v>
      </c>
      <c r="AM38" s="131">
        <v>41</v>
      </c>
      <c r="AN38" s="131">
        <v>14</v>
      </c>
      <c r="AO38" s="131">
        <v>22</v>
      </c>
    </row>
    <row r="39" spans="10:41" ht="16.5" customHeight="1">
      <c r="J39" s="9">
        <v>35</v>
      </c>
      <c r="K39" s="16" t="s">
        <v>37</v>
      </c>
      <c r="L39" s="16" t="s">
        <v>127</v>
      </c>
      <c r="M39" s="16" t="s">
        <v>19</v>
      </c>
      <c r="N39" s="16" t="s">
        <v>126</v>
      </c>
      <c r="O39" s="16" t="s">
        <v>34</v>
      </c>
      <c r="Q39" s="9">
        <v>7</v>
      </c>
      <c r="R39" s="9">
        <v>15</v>
      </c>
      <c r="S39" s="9">
        <v>5</v>
      </c>
      <c r="T39" s="9">
        <v>6</v>
      </c>
      <c r="U39" s="9">
        <v>9</v>
      </c>
      <c r="W39" s="25">
        <v>1</v>
      </c>
      <c r="X39" s="25">
        <v>2</v>
      </c>
      <c r="Y39" s="25">
        <v>2</v>
      </c>
      <c r="Z39" s="25">
        <v>2</v>
      </c>
      <c r="AA39" s="25">
        <v>1</v>
      </c>
      <c r="AC39" s="152" t="str">
        <v>Q</v>
      </c>
      <c r="AD39" s="131">
        <v>4</v>
      </c>
      <c r="AE39" s="131">
        <v>11</v>
      </c>
      <c r="AF39" s="131">
        <v>5</v>
      </c>
      <c r="AG39" s="131">
        <v>20</v>
      </c>
      <c r="AH39" s="131">
        <v>22</v>
      </c>
      <c r="AI39" s="5"/>
      <c r="AJ39" s="152" t="str">
        <v>Q</v>
      </c>
      <c r="AK39" s="131">
        <v>4</v>
      </c>
      <c r="AL39" s="131">
        <v>11</v>
      </c>
      <c r="AM39" s="131">
        <v>5</v>
      </c>
      <c r="AN39" s="131">
        <v>20</v>
      </c>
      <c r="AO39" s="131">
        <v>22</v>
      </c>
    </row>
    <row r="40" spans="10:41" ht="16.5" customHeight="1">
      <c r="J40" s="25">
        <v>36</v>
      </c>
      <c r="K40" s="16" t="s">
        <v>126</v>
      </c>
      <c r="L40" s="16" t="s">
        <v>126</v>
      </c>
      <c r="M40" s="16" t="s">
        <v>36</v>
      </c>
      <c r="N40" s="16" t="s">
        <v>90</v>
      </c>
      <c r="O40" s="16" t="s">
        <v>35</v>
      </c>
      <c r="Q40" s="9">
        <v>6</v>
      </c>
      <c r="R40" s="9">
        <v>6</v>
      </c>
      <c r="S40" s="9">
        <v>10</v>
      </c>
      <c r="T40" s="9">
        <v>13</v>
      </c>
      <c r="U40" s="9">
        <v>8</v>
      </c>
      <c r="W40" s="25">
        <v>1</v>
      </c>
      <c r="X40" s="25">
        <v>2</v>
      </c>
      <c r="Y40" s="25">
        <v>2</v>
      </c>
      <c r="Z40" s="25">
        <v>2</v>
      </c>
      <c r="AA40" s="25">
        <v>1</v>
      </c>
      <c r="AC40" s="152" t="str">
        <v>J</v>
      </c>
      <c r="AD40" s="131">
        <v>4</v>
      </c>
      <c r="AE40" s="131">
        <v>11</v>
      </c>
      <c r="AF40" s="131">
        <v>4</v>
      </c>
      <c r="AG40" s="131">
        <v>20</v>
      </c>
      <c r="AH40" s="131">
        <v>22</v>
      </c>
      <c r="AI40" s="5"/>
      <c r="AJ40" s="152" t="str">
        <v>J</v>
      </c>
      <c r="AK40" s="131">
        <v>4</v>
      </c>
      <c r="AL40" s="131">
        <v>11</v>
      </c>
      <c r="AM40" s="131">
        <v>4</v>
      </c>
      <c r="AN40" s="131">
        <v>20</v>
      </c>
      <c r="AO40" s="131">
        <v>22</v>
      </c>
    </row>
    <row r="41" spans="10:41" ht="16.5" customHeight="1">
      <c r="J41" s="9">
        <v>37</v>
      </c>
      <c r="K41" s="16" t="s">
        <v>37</v>
      </c>
      <c r="L41" s="16" t="s">
        <v>19</v>
      </c>
      <c r="M41" s="16" t="s">
        <v>126</v>
      </c>
      <c r="N41" s="16" t="s">
        <v>18</v>
      </c>
      <c r="O41" s="16" t="s">
        <v>35</v>
      </c>
      <c r="Q41" s="9">
        <v>7</v>
      </c>
      <c r="R41" s="9">
        <v>5</v>
      </c>
      <c r="S41" s="9">
        <v>6</v>
      </c>
      <c r="T41" s="9">
        <v>4</v>
      </c>
      <c r="U41" s="9">
        <v>8</v>
      </c>
      <c r="W41" s="25">
        <v>1</v>
      </c>
      <c r="X41" s="25">
        <v>2</v>
      </c>
      <c r="Y41" s="25">
        <v>2</v>
      </c>
      <c r="Z41" s="25">
        <v>2</v>
      </c>
      <c r="AA41" s="25">
        <v>1</v>
      </c>
      <c r="AC41" s="136" t="str">
        <v>G1</v>
      </c>
      <c r="AD41" s="99">
        <v>0</v>
      </c>
      <c r="AE41" s="99">
        <v>5</v>
      </c>
      <c r="AF41" s="99">
        <v>1</v>
      </c>
      <c r="AG41" s="99">
        <v>5</v>
      </c>
      <c r="AH41" s="99">
        <v>0</v>
      </c>
      <c r="AI41" s="5"/>
      <c r="AJ41" s="136" t="str">
        <v>G1</v>
      </c>
      <c r="AK41" s="99">
        <v>0</v>
      </c>
      <c r="AL41" s="99">
        <v>5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126</v>
      </c>
      <c r="L42" s="16" t="s">
        <v>18</v>
      </c>
      <c r="M42" s="16" t="s">
        <v>18</v>
      </c>
      <c r="N42" s="16" t="s">
        <v>126</v>
      </c>
      <c r="O42" s="16" t="s">
        <v>19</v>
      </c>
      <c r="Q42" s="9">
        <v>6</v>
      </c>
      <c r="R42" s="9">
        <v>4</v>
      </c>
      <c r="S42" s="9">
        <v>4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2</v>
      </c>
      <c r="AA42" s="25">
        <v>2</v>
      </c>
      <c r="AC42" s="136" t="str">
        <v>G2</v>
      </c>
      <c r="AD42" s="99">
        <v>0</v>
      </c>
      <c r="AE42" s="99">
        <v>6</v>
      </c>
      <c r="AF42" s="99">
        <v>1</v>
      </c>
      <c r="AG42" s="99">
        <v>5</v>
      </c>
      <c r="AH42" s="99">
        <v>0</v>
      </c>
      <c r="AI42" s="5"/>
      <c r="AJ42" s="136" t="str">
        <v>G2</v>
      </c>
      <c r="AK42" s="99">
        <v>0</v>
      </c>
      <c r="AL42" s="99">
        <v>6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90</v>
      </c>
      <c r="M43" s="16" t="s">
        <v>126</v>
      </c>
      <c r="N43" s="16" t="s">
        <v>126</v>
      </c>
      <c r="O43" s="16" t="s">
        <v>19</v>
      </c>
      <c r="Q43" s="9">
        <v>5</v>
      </c>
      <c r="R43" s="9">
        <v>13</v>
      </c>
      <c r="S43" s="9">
        <v>6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2</v>
      </c>
      <c r="AA43" s="25">
        <v>2</v>
      </c>
      <c r="AC43" s="136" t="str">
        <v>G3</v>
      </c>
      <c r="AD43" s="99">
        <v>0</v>
      </c>
      <c r="AE43" s="99">
        <v>6</v>
      </c>
      <c r="AF43" s="99">
        <v>1</v>
      </c>
      <c r="AG43" s="99">
        <v>5</v>
      </c>
      <c r="AH43" s="99">
        <v>0</v>
      </c>
      <c r="AI43" s="5"/>
      <c r="AJ43" s="136" t="str">
        <v>G3</v>
      </c>
      <c r="AK43" s="99">
        <v>0</v>
      </c>
      <c r="AL43" s="99">
        <v>6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37</v>
      </c>
      <c r="L44" s="16" t="s">
        <v>35</v>
      </c>
      <c r="M44" s="16" t="s">
        <v>35</v>
      </c>
      <c r="N44" s="16" t="s">
        <v>22</v>
      </c>
      <c r="O44" s="16" t="s">
        <v>126</v>
      </c>
      <c r="Q44" s="9">
        <v>7</v>
      </c>
      <c r="R44" s="9">
        <v>8</v>
      </c>
      <c r="S44" s="9">
        <v>8</v>
      </c>
      <c r="T44" s="9">
        <v>3</v>
      </c>
      <c r="U44" s="9">
        <v>6</v>
      </c>
      <c r="W44" s="25">
        <v>1</v>
      </c>
      <c r="X44" s="25">
        <v>1</v>
      </c>
      <c r="Y44" s="25">
        <v>1</v>
      </c>
      <c r="Z44" s="25">
        <v>2</v>
      </c>
      <c r="AA44" s="25">
        <v>2</v>
      </c>
      <c r="AC44" s="136" t="str">
        <v>G4</v>
      </c>
      <c r="AD44" s="99">
        <v>0</v>
      </c>
      <c r="AE44" s="99">
        <v>9</v>
      </c>
      <c r="AF44" s="99">
        <v>4</v>
      </c>
      <c r="AG44" s="99">
        <v>4</v>
      </c>
      <c r="AH44" s="99">
        <v>0</v>
      </c>
      <c r="AI44" s="5"/>
      <c r="AJ44" s="136" t="str">
        <v>G4</v>
      </c>
      <c r="AK44" s="99">
        <v>0</v>
      </c>
      <c r="AL44" s="99">
        <v>9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21</v>
      </c>
      <c r="M45" s="16" t="s">
        <v>35</v>
      </c>
      <c r="N45" s="16" t="s">
        <v>18</v>
      </c>
      <c r="O45" s="16" t="s">
        <v>126</v>
      </c>
      <c r="Q45" s="9">
        <v>6</v>
      </c>
      <c r="R45" s="9">
        <v>2</v>
      </c>
      <c r="S45" s="9">
        <v>8</v>
      </c>
      <c r="T45" s="9">
        <v>4</v>
      </c>
      <c r="U45" s="9">
        <v>6</v>
      </c>
      <c r="W45" s="25">
        <v>1</v>
      </c>
      <c r="X45" s="25">
        <v>2</v>
      </c>
      <c r="Y45" s="25">
        <v>1</v>
      </c>
      <c r="Z45" s="25">
        <v>2</v>
      </c>
      <c r="AA45" s="25">
        <v>1</v>
      </c>
      <c r="AC45" s="136" t="str">
        <v>G5</v>
      </c>
      <c r="AD45" s="99">
        <v>0</v>
      </c>
      <c r="AE45" s="99">
        <v>9</v>
      </c>
      <c r="AF45" s="99">
        <v>4</v>
      </c>
      <c r="AG45" s="99">
        <v>4</v>
      </c>
      <c r="AH45" s="99">
        <v>0</v>
      </c>
      <c r="AI45" s="5"/>
      <c r="AJ45" s="136" t="str">
        <v>G5</v>
      </c>
      <c r="AK45" s="99">
        <v>0</v>
      </c>
      <c r="AL45" s="99">
        <v>9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127</v>
      </c>
      <c r="M46" s="16" t="s">
        <v>37</v>
      </c>
      <c r="N46" s="16" t="s">
        <v>20</v>
      </c>
      <c r="O46" s="16" t="s">
        <v>18</v>
      </c>
      <c r="Q46" s="9">
        <v>6</v>
      </c>
      <c r="R46" s="9">
        <v>15</v>
      </c>
      <c r="S46" s="9">
        <v>7</v>
      </c>
      <c r="T46" s="9">
        <v>1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6" t="str">
        <v>GA</v>
      </c>
      <c r="AD46" s="99">
        <v>0</v>
      </c>
      <c r="AE46" s="99">
        <v>9</v>
      </c>
      <c r="AF46" s="99">
        <v>4</v>
      </c>
      <c r="AG46" s="99">
        <v>4</v>
      </c>
      <c r="AH46" s="99">
        <v>0</v>
      </c>
      <c r="AI46" s="5"/>
      <c r="AJ46" s="136" t="str">
        <v>GA</v>
      </c>
      <c r="AK46" s="99">
        <v>0</v>
      </c>
      <c r="AL46" s="99">
        <v>9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37</v>
      </c>
      <c r="L47" s="16" t="s">
        <v>22</v>
      </c>
      <c r="M47" s="16" t="s">
        <v>126</v>
      </c>
      <c r="N47" s="16" t="s">
        <v>19</v>
      </c>
      <c r="O47" s="16" t="s">
        <v>35</v>
      </c>
      <c r="Q47" s="9">
        <v>7</v>
      </c>
      <c r="R47" s="9">
        <v>3</v>
      </c>
      <c r="S47" s="9">
        <v>6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6" t="str">
        <v>GK</v>
      </c>
      <c r="AD47" s="99">
        <v>0</v>
      </c>
      <c r="AE47" s="99">
        <v>9</v>
      </c>
      <c r="AF47" s="99">
        <v>4</v>
      </c>
      <c r="AG47" s="99">
        <v>4</v>
      </c>
      <c r="AH47" s="99">
        <v>0</v>
      </c>
      <c r="AI47" s="5"/>
      <c r="AJ47" s="136" t="str">
        <v>GK</v>
      </c>
      <c r="AK47" s="99">
        <v>0</v>
      </c>
      <c r="AL47" s="99">
        <v>9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19</v>
      </c>
      <c r="L48" s="16" t="s">
        <v>37</v>
      </c>
      <c r="M48" s="16" t="s">
        <v>37</v>
      </c>
      <c r="N48" s="16" t="s">
        <v>35</v>
      </c>
      <c r="O48" s="16" t="s">
        <v>35</v>
      </c>
      <c r="Q48" s="9">
        <v>5</v>
      </c>
      <c r="R48" s="9">
        <v>7</v>
      </c>
      <c r="S48" s="9">
        <v>7</v>
      </c>
      <c r="T48" s="9">
        <v>8</v>
      </c>
      <c r="U48" s="9">
        <v>8</v>
      </c>
      <c r="W48" s="25">
        <v>2</v>
      </c>
      <c r="X48" s="25">
        <v>1</v>
      </c>
      <c r="Y48" s="25">
        <v>1</v>
      </c>
      <c r="Z48" s="25">
        <v>1</v>
      </c>
      <c r="AA48" s="25">
        <v>1</v>
      </c>
      <c r="AC48" s="136" t="str">
        <v>GQ</v>
      </c>
      <c r="AD48" s="99">
        <v>0</v>
      </c>
      <c r="AE48" s="99">
        <v>6</v>
      </c>
      <c r="AF48" s="99">
        <v>1</v>
      </c>
      <c r="AG48" s="99">
        <v>5</v>
      </c>
      <c r="AH48" s="99">
        <v>0</v>
      </c>
      <c r="AI48" s="5"/>
      <c r="AJ48" s="136" t="str">
        <v>GQ</v>
      </c>
      <c r="AK48" s="99">
        <v>0</v>
      </c>
      <c r="AL48" s="99">
        <v>6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19</v>
      </c>
      <c r="L49" s="16" t="s">
        <v>112</v>
      </c>
      <c r="M49" s="16" t="s">
        <v>126</v>
      </c>
      <c r="N49" s="16" t="s">
        <v>18</v>
      </c>
      <c r="O49" s="16" t="s">
        <v>126</v>
      </c>
      <c r="Q49" s="9">
        <v>5</v>
      </c>
      <c r="R49" s="9">
        <v>17</v>
      </c>
      <c r="S49" s="9">
        <v>6</v>
      </c>
      <c r="T49" s="9">
        <v>4</v>
      </c>
      <c r="U49" s="9">
        <v>6</v>
      </c>
      <c r="W49" s="25">
        <v>2</v>
      </c>
      <c r="X49" s="25">
        <v>1</v>
      </c>
      <c r="Y49" s="25">
        <v>1</v>
      </c>
      <c r="Z49" s="25">
        <v>2</v>
      </c>
      <c r="AA49" s="25">
        <v>2</v>
      </c>
      <c r="AC49" s="136" t="str">
        <v>GJ</v>
      </c>
      <c r="AD49" s="99">
        <v>0</v>
      </c>
      <c r="AE49" s="99">
        <v>6</v>
      </c>
      <c r="AF49" s="99">
        <v>1</v>
      </c>
      <c r="AG49" s="99">
        <v>5</v>
      </c>
      <c r="AH49" s="99">
        <v>0</v>
      </c>
      <c r="AI49" s="5"/>
      <c r="AJ49" s="136" t="str">
        <v>GJ</v>
      </c>
      <c r="AK49" s="99">
        <v>0</v>
      </c>
      <c r="AL49" s="99">
        <v>6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18</v>
      </c>
      <c r="L50" s="16" t="s">
        <v>112</v>
      </c>
      <c r="M50" s="16" t="s">
        <v>35</v>
      </c>
      <c r="N50" s="16" t="s">
        <v>34</v>
      </c>
      <c r="O50" s="16" t="s">
        <v>21</v>
      </c>
      <c r="Q50" s="9">
        <v>4</v>
      </c>
      <c r="R50" s="9">
        <v>17</v>
      </c>
      <c r="S50" s="9">
        <v>8</v>
      </c>
      <c r="T50" s="9">
        <v>9</v>
      </c>
      <c r="U50" s="9">
        <v>2</v>
      </c>
      <c r="W50" s="25">
        <v>1</v>
      </c>
      <c r="X50" s="25">
        <v>1</v>
      </c>
      <c r="Y50" s="25">
        <v>1</v>
      </c>
      <c r="Z50" s="25">
        <v>2</v>
      </c>
      <c r="AA50" s="25">
        <v>2</v>
      </c>
      <c r="AD50" s="111">
        <f>SUM(AD30:AD49)</f>
        <v>200</v>
      </c>
      <c r="AE50" s="111">
        <f>SUM(AE30:AE49)</f>
        <v>209</v>
      </c>
      <c r="AF50" s="111">
        <f>SUM(AF30:AF49)</f>
        <v>209</v>
      </c>
      <c r="AG50" s="111">
        <f>SUM(AG30:AG49)</f>
        <v>209</v>
      </c>
      <c r="AH50" s="111">
        <f>SUM(AH30:AH49)</f>
        <v>200</v>
      </c>
      <c r="AI50" s="5"/>
      <c r="AK50" s="111">
        <f>SUM(AK30:AK49)</f>
        <v>200</v>
      </c>
      <c r="AL50" s="111">
        <f>SUM(AL30:AL49)</f>
        <v>209</v>
      </c>
      <c r="AM50" s="111">
        <f>SUM(AM30:AM49)</f>
        <v>209</v>
      </c>
      <c r="AN50" s="111">
        <f>SUM(AN30:AN49)</f>
        <v>209</v>
      </c>
      <c r="AO50" s="111">
        <f>SUM(AO30:AO49)</f>
        <v>200</v>
      </c>
    </row>
    <row r="51" spans="10:41" ht="16.5" customHeight="1">
      <c r="J51" s="9">
        <v>47</v>
      </c>
      <c r="K51" s="16" t="s">
        <v>21</v>
      </c>
      <c r="L51" s="16" t="s">
        <v>35</v>
      </c>
      <c r="M51" s="16" t="s">
        <v>19</v>
      </c>
      <c r="N51" s="16" t="s">
        <v>88</v>
      </c>
      <c r="O51" s="16" t="s">
        <v>126</v>
      </c>
      <c r="Q51" s="9">
        <v>2</v>
      </c>
      <c r="R51" s="9">
        <v>8</v>
      </c>
      <c r="S51" s="9">
        <v>5</v>
      </c>
      <c r="T51" s="9">
        <v>11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2</v>
      </c>
      <c r="AH51" s="5"/>
      <c r="AI51" s="5"/>
      <c r="AO51" s="5"/>
    </row>
    <row r="52" spans="10:41" ht="16.5" customHeight="1">
      <c r="J52" s="25">
        <v>48</v>
      </c>
      <c r="K52" s="16" t="s">
        <v>37</v>
      </c>
      <c r="L52" s="16" t="s">
        <v>19</v>
      </c>
      <c r="M52" s="16" t="s">
        <v>37</v>
      </c>
      <c r="N52" s="16" t="s">
        <v>34</v>
      </c>
      <c r="O52" s="16" t="s">
        <v>126</v>
      </c>
      <c r="Q52" s="9">
        <v>7</v>
      </c>
      <c r="R52" s="9">
        <v>5</v>
      </c>
      <c r="S52" s="9">
        <v>7</v>
      </c>
      <c r="T52" s="9">
        <v>9</v>
      </c>
      <c r="U52" s="9">
        <v>6</v>
      </c>
      <c r="W52" s="25">
        <v>1</v>
      </c>
      <c r="X52" s="25">
        <v>1</v>
      </c>
      <c r="Y52" s="25">
        <v>1</v>
      </c>
      <c r="Z52" s="25">
        <v>1</v>
      </c>
      <c r="AA52" s="25">
        <v>2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19</v>
      </c>
      <c r="L53" s="16" t="s">
        <v>95</v>
      </c>
      <c r="M53" s="16" t="s">
        <v>19</v>
      </c>
      <c r="N53" s="16" t="s">
        <v>35</v>
      </c>
      <c r="O53" s="16" t="s">
        <v>19</v>
      </c>
      <c r="Q53" s="9">
        <v>5</v>
      </c>
      <c r="R53" s="9">
        <v>18</v>
      </c>
      <c r="S53" s="9">
        <v>5</v>
      </c>
      <c r="T53" s="9">
        <v>8</v>
      </c>
      <c r="U53" s="9">
        <v>5</v>
      </c>
      <c r="W53" s="25">
        <v>1</v>
      </c>
      <c r="X53" s="25">
        <v>1</v>
      </c>
      <c r="Y53" s="25">
        <v>1</v>
      </c>
      <c r="Z53" s="25">
        <v>1</v>
      </c>
      <c r="AA53" s="25">
        <v>2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37</v>
      </c>
      <c r="L54" s="16" t="s">
        <v>92</v>
      </c>
      <c r="M54" s="16" t="s">
        <v>126</v>
      </c>
      <c r="N54" s="16" t="s">
        <v>19</v>
      </c>
      <c r="O54" s="16" t="s">
        <v>19</v>
      </c>
      <c r="Q54" s="9">
        <v>7</v>
      </c>
      <c r="R54" s="9">
        <v>16</v>
      </c>
      <c r="S54" s="9">
        <v>6</v>
      </c>
      <c r="T54" s="9">
        <v>5</v>
      </c>
      <c r="U54" s="9">
        <v>5</v>
      </c>
      <c r="W54" s="25">
        <v>1</v>
      </c>
      <c r="X54" s="25">
        <v>1</v>
      </c>
      <c r="Y54" s="25">
        <v>1</v>
      </c>
      <c r="Z54" s="25">
        <v>2</v>
      </c>
      <c r="AA54" s="25">
        <v>2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126</v>
      </c>
      <c r="L55" s="16" t="s">
        <v>92</v>
      </c>
      <c r="M55" s="16" t="s">
        <v>35</v>
      </c>
      <c r="N55" s="16" t="s">
        <v>22</v>
      </c>
      <c r="O55" s="16" t="s">
        <v>36</v>
      </c>
      <c r="Q55" s="9">
        <v>6</v>
      </c>
      <c r="R55" s="9">
        <v>16</v>
      </c>
      <c r="S55" s="9">
        <v>8</v>
      </c>
      <c r="T55" s="9">
        <v>3</v>
      </c>
      <c r="U55" s="9">
        <v>10</v>
      </c>
      <c r="W55" s="25">
        <v>1</v>
      </c>
      <c r="X55" s="25">
        <v>1</v>
      </c>
      <c r="Y55" s="25">
        <v>1</v>
      </c>
      <c r="Z55" s="25">
        <v>2</v>
      </c>
      <c r="AA55" s="25">
        <v>1</v>
      </c>
      <c r="AC55" s="136" t="str">
        <v>C1</v>
      </c>
      <c r="AD55" s="136">
        <v>0</v>
      </c>
      <c r="AE55" s="136">
        <v>6</v>
      </c>
      <c r="AF55" s="136">
        <v>0</v>
      </c>
      <c r="AG55" s="136">
        <v>9</v>
      </c>
      <c r="AH55" s="136">
        <v>0</v>
      </c>
      <c r="AI55" s="5"/>
      <c r="AJ55" s="136" t="str">
        <v>C1</v>
      </c>
      <c r="AK55" s="136">
        <v>0</v>
      </c>
      <c r="AL55" s="136">
        <v>6</v>
      </c>
      <c r="AM55" s="136">
        <v>0</v>
      </c>
      <c r="AN55" s="136">
        <v>9</v>
      </c>
      <c r="AO55" s="136">
        <v>0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18</v>
      </c>
      <c r="N56" s="16" t="s">
        <v>19</v>
      </c>
      <c r="O56" s="16" t="s">
        <v>36</v>
      </c>
      <c r="Q56" s="9">
        <v>8</v>
      </c>
      <c r="R56" s="9">
        <v>5</v>
      </c>
      <c r="S56" s="9">
        <v>4</v>
      </c>
      <c r="T56" s="9">
        <v>5</v>
      </c>
      <c r="U56" s="9">
        <v>10</v>
      </c>
      <c r="W56" s="25">
        <v>1</v>
      </c>
      <c r="X56" s="25">
        <v>2</v>
      </c>
      <c r="Y56" s="25">
        <v>1</v>
      </c>
      <c r="Z56" s="25">
        <v>2</v>
      </c>
      <c r="AA56" s="25">
        <v>1</v>
      </c>
      <c r="AC56" s="152" t="str">
        <v>M1</v>
      </c>
      <c r="AD56" s="131">
        <v>4</v>
      </c>
      <c r="AE56" s="131">
        <v>11</v>
      </c>
      <c r="AF56" s="131">
        <v>5</v>
      </c>
      <c r="AG56" s="131">
        <v>21</v>
      </c>
      <c r="AH56" s="131">
        <v>23</v>
      </c>
      <c r="AI56" s="5"/>
      <c r="AJ56" s="152" t="str">
        <v>M1</v>
      </c>
      <c r="AK56" s="131">
        <v>4</v>
      </c>
      <c r="AL56" s="131">
        <v>11</v>
      </c>
      <c r="AM56" s="131">
        <v>5</v>
      </c>
      <c r="AN56" s="131">
        <v>21</v>
      </c>
      <c r="AO56" s="131">
        <v>23</v>
      </c>
    </row>
    <row r="57" spans="10:41" ht="16.5" customHeight="1">
      <c r="J57" s="9">
        <v>53</v>
      </c>
      <c r="K57" s="16" t="s">
        <v>126</v>
      </c>
      <c r="L57" s="16" t="s">
        <v>90</v>
      </c>
      <c r="M57" s="16" t="s">
        <v>37</v>
      </c>
      <c r="N57" s="16" t="s">
        <v>34</v>
      </c>
      <c r="O57" s="16" t="s">
        <v>37</v>
      </c>
      <c r="Q57" s="9">
        <v>6</v>
      </c>
      <c r="R57" s="9">
        <v>13</v>
      </c>
      <c r="S57" s="9">
        <v>7</v>
      </c>
      <c r="T57" s="9">
        <v>9</v>
      </c>
      <c r="U57" s="9">
        <v>7</v>
      </c>
      <c r="W57" s="25">
        <v>1</v>
      </c>
      <c r="X57" s="25">
        <v>1</v>
      </c>
      <c r="Y57" s="25">
        <v>1</v>
      </c>
      <c r="Z57" s="25">
        <v>2</v>
      </c>
      <c r="AA57" s="25">
        <v>1</v>
      </c>
      <c r="AC57" s="152" t="str">
        <v>M2</v>
      </c>
      <c r="AD57" s="131">
        <v>4</v>
      </c>
      <c r="AE57" s="131">
        <v>11</v>
      </c>
      <c r="AF57" s="131">
        <v>5</v>
      </c>
      <c r="AG57" s="131">
        <v>21</v>
      </c>
      <c r="AH57" s="131">
        <v>23</v>
      </c>
      <c r="AI57" s="5"/>
      <c r="AJ57" s="152" t="str">
        <v>M2</v>
      </c>
      <c r="AK57" s="131">
        <v>4</v>
      </c>
      <c r="AL57" s="131">
        <v>11</v>
      </c>
      <c r="AM57" s="131">
        <v>5</v>
      </c>
      <c r="AN57" s="131">
        <v>21</v>
      </c>
      <c r="AO57" s="131">
        <v>23</v>
      </c>
    </row>
    <row r="58" spans="10:41" ht="16.5" customHeight="1">
      <c r="J58" s="25">
        <v>54</v>
      </c>
      <c r="K58" s="16" t="s">
        <v>35</v>
      </c>
      <c r="L58" s="16" t="s">
        <v>21</v>
      </c>
      <c r="M58" s="16" t="s">
        <v>19</v>
      </c>
      <c r="N58" s="16" t="s">
        <v>21</v>
      </c>
      <c r="O58" s="16" t="s">
        <v>19</v>
      </c>
      <c r="Q58" s="9">
        <v>8</v>
      </c>
      <c r="R58" s="9">
        <v>2</v>
      </c>
      <c r="S58" s="9">
        <v>5</v>
      </c>
      <c r="T58" s="9">
        <v>2</v>
      </c>
      <c r="U58" s="9">
        <v>5</v>
      </c>
      <c r="W58" s="25">
        <v>1</v>
      </c>
      <c r="X58" s="25">
        <v>1</v>
      </c>
      <c r="Y58" s="25">
        <v>1</v>
      </c>
      <c r="Z58" s="25">
        <v>2</v>
      </c>
      <c r="AA58" s="25">
        <v>2</v>
      </c>
      <c r="AC58" s="152" t="str">
        <v>M3</v>
      </c>
      <c r="AD58" s="131">
        <v>4</v>
      </c>
      <c r="AE58" s="131">
        <v>11</v>
      </c>
      <c r="AF58" s="131">
        <v>5</v>
      </c>
      <c r="AG58" s="131">
        <v>21</v>
      </c>
      <c r="AH58" s="131">
        <v>22</v>
      </c>
      <c r="AI58" s="5"/>
      <c r="AJ58" s="152" t="str">
        <v>M3</v>
      </c>
      <c r="AK58" s="131">
        <v>4</v>
      </c>
      <c r="AL58" s="131">
        <v>11</v>
      </c>
      <c r="AM58" s="131">
        <v>5</v>
      </c>
      <c r="AN58" s="131">
        <v>21</v>
      </c>
      <c r="AO58" s="131">
        <v>22</v>
      </c>
    </row>
    <row r="59" spans="10:41" ht="16.5" customHeight="1">
      <c r="J59" s="9">
        <v>55</v>
      </c>
      <c r="K59" s="16" t="s">
        <v>35</v>
      </c>
      <c r="L59" s="16" t="s">
        <v>35</v>
      </c>
      <c r="M59" s="16" t="s">
        <v>35</v>
      </c>
      <c r="N59" s="16" t="s">
        <v>95</v>
      </c>
      <c r="O59" s="16" t="s">
        <v>18</v>
      </c>
      <c r="Q59" s="9">
        <v>8</v>
      </c>
      <c r="R59" s="9">
        <v>8</v>
      </c>
      <c r="S59" s="9">
        <v>8</v>
      </c>
      <c r="T59" s="9">
        <v>18</v>
      </c>
      <c r="U59" s="9">
        <v>4</v>
      </c>
      <c r="W59" s="25">
        <v>1</v>
      </c>
      <c r="X59" s="25">
        <v>1</v>
      </c>
      <c r="Y59" s="25">
        <v>1</v>
      </c>
      <c r="Z59" s="25">
        <v>2</v>
      </c>
      <c r="AA59" s="25">
        <v>2</v>
      </c>
      <c r="AC59" s="152" t="str">
        <v>M4</v>
      </c>
      <c r="AD59" s="131">
        <v>43</v>
      </c>
      <c r="AE59" s="131">
        <v>20</v>
      </c>
      <c r="AF59" s="131">
        <v>41</v>
      </c>
      <c r="AG59" s="131">
        <v>14</v>
      </c>
      <c r="AH59" s="131">
        <v>22</v>
      </c>
      <c r="AI59" s="5"/>
      <c r="AJ59" s="152" t="str">
        <v>M4</v>
      </c>
      <c r="AK59" s="131">
        <v>43</v>
      </c>
      <c r="AL59" s="131">
        <v>20</v>
      </c>
      <c r="AM59" s="131">
        <v>41</v>
      </c>
      <c r="AN59" s="131">
        <v>14</v>
      </c>
      <c r="AO59" s="131">
        <v>22</v>
      </c>
    </row>
    <row r="60" spans="10:41" ht="16.5" customHeight="1">
      <c r="J60" s="25">
        <v>56</v>
      </c>
      <c r="K60" s="16" t="s">
        <v>19</v>
      </c>
      <c r="L60" s="16" t="s">
        <v>92</v>
      </c>
      <c r="M60" s="16" t="s">
        <v>37</v>
      </c>
      <c r="N60" s="16" t="s">
        <v>36</v>
      </c>
      <c r="O60" s="16" t="s">
        <v>34</v>
      </c>
      <c r="Q60" s="9">
        <v>5</v>
      </c>
      <c r="R60" s="9">
        <v>16</v>
      </c>
      <c r="S60" s="9">
        <v>7</v>
      </c>
      <c r="T60" s="9">
        <v>10</v>
      </c>
      <c r="U60" s="9">
        <v>9</v>
      </c>
      <c r="W60" s="25">
        <v>1</v>
      </c>
      <c r="X60" s="25">
        <v>1</v>
      </c>
      <c r="Y60" s="25">
        <v>1</v>
      </c>
      <c r="Z60" s="25">
        <v>1</v>
      </c>
      <c r="AA60" s="25">
        <v>2</v>
      </c>
      <c r="AC60" s="152" t="str">
        <v>M5</v>
      </c>
      <c r="AD60" s="131">
        <v>43</v>
      </c>
      <c r="AE60" s="131">
        <v>21</v>
      </c>
      <c r="AF60" s="131">
        <v>41</v>
      </c>
      <c r="AG60" s="131">
        <v>14</v>
      </c>
      <c r="AH60" s="131">
        <v>22</v>
      </c>
      <c r="AI60" s="5"/>
      <c r="AJ60" s="152" t="str">
        <v>M5</v>
      </c>
      <c r="AK60" s="131">
        <v>43</v>
      </c>
      <c r="AL60" s="131">
        <v>21</v>
      </c>
      <c r="AM60" s="131">
        <v>41</v>
      </c>
      <c r="AN60" s="131">
        <v>14</v>
      </c>
      <c r="AO60" s="131">
        <v>22</v>
      </c>
    </row>
    <row r="61" spans="10:41">
      <c r="J61" s="9">
        <v>57</v>
      </c>
      <c r="K61" s="16" t="s">
        <v>35</v>
      </c>
      <c r="L61" s="16" t="s">
        <v>20</v>
      </c>
      <c r="M61" s="16" t="s">
        <v>35</v>
      </c>
      <c r="N61" s="16" t="s">
        <v>19</v>
      </c>
      <c r="O61" s="16" t="s">
        <v>22</v>
      </c>
      <c r="Q61" s="9">
        <v>8</v>
      </c>
      <c r="R61" s="9">
        <v>1</v>
      </c>
      <c r="S61" s="9">
        <v>8</v>
      </c>
      <c r="T61" s="9">
        <v>5</v>
      </c>
      <c r="U61" s="9">
        <v>3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2" t="str">
        <v>A</v>
      </c>
      <c r="AD61" s="131">
        <v>47</v>
      </c>
      <c r="AE61" s="131">
        <v>21</v>
      </c>
      <c r="AF61" s="131">
        <v>41</v>
      </c>
      <c r="AG61" s="131">
        <v>14</v>
      </c>
      <c r="AH61" s="131">
        <v>22</v>
      </c>
      <c r="AI61" s="5"/>
      <c r="AJ61" s="152" t="str">
        <v>A</v>
      </c>
      <c r="AK61" s="131">
        <v>47</v>
      </c>
      <c r="AL61" s="131">
        <v>21</v>
      </c>
      <c r="AM61" s="131">
        <v>41</v>
      </c>
      <c r="AN61" s="131">
        <v>14</v>
      </c>
      <c r="AO61" s="131">
        <v>22</v>
      </c>
    </row>
    <row r="62" spans="10:41">
      <c r="J62" s="25">
        <v>58</v>
      </c>
      <c r="K62" s="16" t="s">
        <v>126</v>
      </c>
      <c r="L62" s="16" t="s">
        <v>35</v>
      </c>
      <c r="M62" s="16" t="s">
        <v>37</v>
      </c>
      <c r="N62" s="16" t="s">
        <v>92</v>
      </c>
      <c r="O62" s="16" t="s">
        <v>18</v>
      </c>
      <c r="Q62" s="9">
        <v>6</v>
      </c>
      <c r="R62" s="9">
        <v>8</v>
      </c>
      <c r="S62" s="9">
        <v>7</v>
      </c>
      <c r="T62" s="9">
        <v>16</v>
      </c>
      <c r="U62" s="9">
        <v>4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2" t="str">
        <v>K</v>
      </c>
      <c r="AD62" s="131">
        <v>47</v>
      </c>
      <c r="AE62" s="131">
        <v>21</v>
      </c>
      <c r="AF62" s="131">
        <v>41</v>
      </c>
      <c r="AG62" s="131">
        <v>14</v>
      </c>
      <c r="AH62" s="131">
        <v>22</v>
      </c>
      <c r="AI62" s="5"/>
      <c r="AJ62" s="152" t="str">
        <v>K</v>
      </c>
      <c r="AK62" s="131">
        <v>47</v>
      </c>
      <c r="AL62" s="131">
        <v>21</v>
      </c>
      <c r="AM62" s="131">
        <v>41</v>
      </c>
      <c r="AN62" s="131">
        <v>14</v>
      </c>
      <c r="AO62" s="131">
        <v>22</v>
      </c>
    </row>
    <row r="63" spans="10:41" ht="16.5" customHeight="1">
      <c r="J63" s="9">
        <v>59</v>
      </c>
      <c r="K63" s="16" t="s">
        <v>37</v>
      </c>
      <c r="L63" s="16" t="s">
        <v>126</v>
      </c>
      <c r="M63" s="16" t="s">
        <v>22</v>
      </c>
      <c r="N63" s="16" t="s">
        <v>95</v>
      </c>
      <c r="O63" s="16" t="s">
        <v>37</v>
      </c>
      <c r="Q63" s="9">
        <v>7</v>
      </c>
      <c r="R63" s="9">
        <v>6</v>
      </c>
      <c r="S63" s="9">
        <v>3</v>
      </c>
      <c r="T63" s="9">
        <v>18</v>
      </c>
      <c r="U63" s="9">
        <v>7</v>
      </c>
      <c r="W63" s="25">
        <v>1</v>
      </c>
      <c r="X63" s="25">
        <v>2</v>
      </c>
      <c r="Y63" s="25">
        <v>1</v>
      </c>
      <c r="Z63" s="25">
        <v>1</v>
      </c>
      <c r="AA63" s="25">
        <v>1</v>
      </c>
      <c r="AC63" s="152" t="str">
        <v>Q</v>
      </c>
      <c r="AD63" s="131">
        <v>4</v>
      </c>
      <c r="AE63" s="131">
        <v>11</v>
      </c>
      <c r="AF63" s="131">
        <v>5</v>
      </c>
      <c r="AG63" s="131">
        <v>20</v>
      </c>
      <c r="AH63" s="131">
        <v>22</v>
      </c>
      <c r="AI63" s="5"/>
      <c r="AJ63" s="152" t="str">
        <v>Q</v>
      </c>
      <c r="AK63" s="131">
        <v>4</v>
      </c>
      <c r="AL63" s="131">
        <v>11</v>
      </c>
      <c r="AM63" s="131">
        <v>5</v>
      </c>
      <c r="AN63" s="131">
        <v>20</v>
      </c>
      <c r="AO63" s="131">
        <v>22</v>
      </c>
    </row>
    <row r="64" spans="10:41" ht="16.5" customHeight="1">
      <c r="J64" s="25">
        <v>60</v>
      </c>
      <c r="K64" s="16" t="s">
        <v>19</v>
      </c>
      <c r="L64" s="16" t="s">
        <v>90</v>
      </c>
      <c r="M64" s="16" t="s">
        <v>35</v>
      </c>
      <c r="N64" s="16" t="s">
        <v>35</v>
      </c>
      <c r="O64" s="16" t="s">
        <v>18</v>
      </c>
      <c r="Q64" s="9">
        <v>5</v>
      </c>
      <c r="R64" s="9">
        <v>13</v>
      </c>
      <c r="S64" s="9">
        <v>8</v>
      </c>
      <c r="T64" s="9">
        <v>8</v>
      </c>
      <c r="U64" s="9">
        <v>4</v>
      </c>
      <c r="W64" s="25">
        <v>1</v>
      </c>
      <c r="X64" s="25">
        <v>2</v>
      </c>
      <c r="Y64" s="25">
        <v>1</v>
      </c>
      <c r="Z64" s="25">
        <v>1</v>
      </c>
      <c r="AA64" s="25">
        <v>2</v>
      </c>
      <c r="AC64" s="152" t="str">
        <v>J</v>
      </c>
      <c r="AD64" s="131">
        <v>4</v>
      </c>
      <c r="AE64" s="131">
        <v>11</v>
      </c>
      <c r="AF64" s="131">
        <v>4</v>
      </c>
      <c r="AG64" s="131">
        <v>20</v>
      </c>
      <c r="AH64" s="131">
        <v>22</v>
      </c>
      <c r="AI64" s="5"/>
      <c r="AJ64" s="152" t="str">
        <v>J</v>
      </c>
      <c r="AK64" s="131">
        <v>4</v>
      </c>
      <c r="AL64" s="131">
        <v>11</v>
      </c>
      <c r="AM64" s="131">
        <v>4</v>
      </c>
      <c r="AN64" s="131">
        <v>20</v>
      </c>
      <c r="AO64" s="131">
        <v>22</v>
      </c>
    </row>
    <row r="65" spans="10:41" ht="16.5" customHeight="1">
      <c r="J65" s="9">
        <v>61</v>
      </c>
      <c r="K65" s="16" t="s">
        <v>35</v>
      </c>
      <c r="L65" s="16" t="s">
        <v>126</v>
      </c>
      <c r="M65" s="16" t="s">
        <v>19</v>
      </c>
      <c r="N65" s="16" t="s">
        <v>22</v>
      </c>
      <c r="O65" s="16" t="s">
        <v>126</v>
      </c>
      <c r="Q65" s="9">
        <v>8</v>
      </c>
      <c r="R65" s="9">
        <v>6</v>
      </c>
      <c r="S65" s="9">
        <v>5</v>
      </c>
      <c r="T65" s="9">
        <v>3</v>
      </c>
      <c r="U65" s="9">
        <v>6</v>
      </c>
      <c r="W65" s="25">
        <v>1</v>
      </c>
      <c r="X65" s="25">
        <v>2</v>
      </c>
      <c r="Y65" s="25">
        <v>1</v>
      </c>
      <c r="Z65" s="25">
        <v>2</v>
      </c>
      <c r="AA65" s="25">
        <v>1</v>
      </c>
      <c r="AC65" s="136" t="str">
        <v>G1</v>
      </c>
      <c r="AD65" s="99">
        <v>0</v>
      </c>
      <c r="AE65" s="99">
        <v>5</v>
      </c>
      <c r="AF65" s="99">
        <v>1</v>
      </c>
      <c r="AG65" s="99">
        <v>5</v>
      </c>
      <c r="AH65" s="99">
        <v>0</v>
      </c>
      <c r="AI65" s="5"/>
      <c r="AJ65" s="136" t="str">
        <v>G1</v>
      </c>
      <c r="AK65" s="99">
        <v>0</v>
      </c>
      <c r="AL65" s="99">
        <v>5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37</v>
      </c>
      <c r="L66" s="16" t="s">
        <v>34</v>
      </c>
      <c r="M66" s="16" t="s">
        <v>19</v>
      </c>
      <c r="N66" s="16" t="s">
        <v>36</v>
      </c>
      <c r="O66" s="16" t="s">
        <v>36</v>
      </c>
      <c r="Q66" s="9">
        <v>7</v>
      </c>
      <c r="R66" s="9">
        <v>9</v>
      </c>
      <c r="S66" s="9">
        <v>5</v>
      </c>
      <c r="T66" s="9">
        <v>10</v>
      </c>
      <c r="U66" s="9">
        <v>10</v>
      </c>
      <c r="W66" s="25">
        <v>1</v>
      </c>
      <c r="X66" s="25">
        <v>2</v>
      </c>
      <c r="Y66" s="25">
        <v>1</v>
      </c>
      <c r="Z66" s="25">
        <v>2</v>
      </c>
      <c r="AA66" s="25">
        <v>1</v>
      </c>
      <c r="AC66" s="136" t="str">
        <v>G2</v>
      </c>
      <c r="AD66" s="99">
        <v>0</v>
      </c>
      <c r="AE66" s="99">
        <v>6</v>
      </c>
      <c r="AF66" s="99">
        <v>1</v>
      </c>
      <c r="AG66" s="99">
        <v>5</v>
      </c>
      <c r="AH66" s="99">
        <v>0</v>
      </c>
      <c r="AI66" s="5"/>
      <c r="AJ66" s="136" t="str">
        <v>G2</v>
      </c>
      <c r="AK66" s="99">
        <v>0</v>
      </c>
      <c r="AL66" s="99">
        <v>6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126</v>
      </c>
      <c r="L67" s="16" t="s">
        <v>127</v>
      </c>
      <c r="M67" s="16" t="s">
        <v>35</v>
      </c>
      <c r="N67" s="16" t="s">
        <v>20</v>
      </c>
      <c r="O67" s="16" t="s">
        <v>37</v>
      </c>
      <c r="Q67" s="9">
        <v>6</v>
      </c>
      <c r="R67" s="9">
        <v>15</v>
      </c>
      <c r="S67" s="9">
        <v>8</v>
      </c>
      <c r="T67" s="9">
        <v>1</v>
      </c>
      <c r="U67" s="9">
        <v>7</v>
      </c>
      <c r="W67" s="25">
        <v>1</v>
      </c>
      <c r="X67" s="25">
        <v>2</v>
      </c>
      <c r="Y67" s="25">
        <v>1</v>
      </c>
      <c r="Z67" s="25">
        <v>1</v>
      </c>
      <c r="AA67" s="25">
        <v>1</v>
      </c>
      <c r="AC67" s="136" t="str">
        <v>G3</v>
      </c>
      <c r="AD67" s="99">
        <v>0</v>
      </c>
      <c r="AE67" s="99">
        <v>6</v>
      </c>
      <c r="AF67" s="99">
        <v>1</v>
      </c>
      <c r="AG67" s="99">
        <v>5</v>
      </c>
      <c r="AH67" s="99">
        <v>0</v>
      </c>
      <c r="AI67" s="5"/>
      <c r="AJ67" s="136" t="str">
        <v>G3</v>
      </c>
      <c r="AK67" s="99">
        <v>0</v>
      </c>
      <c r="AL67" s="99">
        <v>6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19</v>
      </c>
      <c r="L68" s="16" t="s">
        <v>89</v>
      </c>
      <c r="M68" s="16" t="s">
        <v>112</v>
      </c>
      <c r="N68" s="16" t="s">
        <v>21</v>
      </c>
      <c r="O68" s="16" t="s">
        <v>126</v>
      </c>
      <c r="Q68" s="9">
        <v>5</v>
      </c>
      <c r="R68" s="9">
        <v>12</v>
      </c>
      <c r="S68" s="9">
        <v>17</v>
      </c>
      <c r="T68" s="9">
        <v>2</v>
      </c>
      <c r="U68" s="9">
        <v>6</v>
      </c>
      <c r="W68" s="25">
        <v>1</v>
      </c>
      <c r="X68" s="25">
        <v>2</v>
      </c>
      <c r="Y68" s="25">
        <v>1</v>
      </c>
      <c r="Z68" s="25">
        <v>1</v>
      </c>
      <c r="AA68" s="25">
        <v>2</v>
      </c>
      <c r="AC68" s="136" t="str">
        <v>G4</v>
      </c>
      <c r="AD68" s="99">
        <v>0</v>
      </c>
      <c r="AE68" s="99">
        <v>9</v>
      </c>
      <c r="AF68" s="99">
        <v>4</v>
      </c>
      <c r="AG68" s="99">
        <v>4</v>
      </c>
      <c r="AH68" s="99">
        <v>0</v>
      </c>
      <c r="AI68" s="5"/>
      <c r="AJ68" s="136" t="str">
        <v>G4</v>
      </c>
      <c r="AK68" s="99">
        <v>0</v>
      </c>
      <c r="AL68" s="99">
        <v>9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35</v>
      </c>
      <c r="L69" s="16" t="s">
        <v>20</v>
      </c>
      <c r="M69" s="16" t="s">
        <v>126</v>
      </c>
      <c r="N69" s="16" t="s">
        <v>37</v>
      </c>
      <c r="O69" s="16" t="s">
        <v>18</v>
      </c>
      <c r="Q69" s="9">
        <v>8</v>
      </c>
      <c r="R69" s="9">
        <v>1</v>
      </c>
      <c r="S69" s="9">
        <v>6</v>
      </c>
      <c r="T69" s="9">
        <v>7</v>
      </c>
      <c r="U69" s="9">
        <v>4</v>
      </c>
      <c r="W69" s="25">
        <v>1</v>
      </c>
      <c r="X69" s="25">
        <v>2</v>
      </c>
      <c r="Y69" s="25">
        <v>2</v>
      </c>
      <c r="Z69" s="25">
        <v>1</v>
      </c>
      <c r="AA69" s="25">
        <v>2</v>
      </c>
      <c r="AC69" s="136" t="str">
        <v>G5</v>
      </c>
      <c r="AD69" s="99">
        <v>0</v>
      </c>
      <c r="AE69" s="99">
        <v>9</v>
      </c>
      <c r="AF69" s="99">
        <v>4</v>
      </c>
      <c r="AG69" s="99">
        <v>4</v>
      </c>
      <c r="AH69" s="99">
        <v>0</v>
      </c>
      <c r="AI69" s="5"/>
      <c r="AJ69" s="136" t="str">
        <v>G5</v>
      </c>
      <c r="AK69" s="99">
        <v>0</v>
      </c>
      <c r="AL69" s="99">
        <v>9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35</v>
      </c>
      <c r="L70" s="16" t="s">
        <v>126</v>
      </c>
      <c r="M70" s="16" t="s">
        <v>19</v>
      </c>
      <c r="N70" s="16" t="s">
        <v>37</v>
      </c>
      <c r="O70" s="16" t="s">
        <v>126</v>
      </c>
      <c r="Q70" s="9">
        <v>8</v>
      </c>
      <c r="R70" s="9">
        <v>6</v>
      </c>
      <c r="S70" s="9">
        <v>5</v>
      </c>
      <c r="T70" s="9">
        <v>7</v>
      </c>
      <c r="U70" s="9">
        <v>6</v>
      </c>
      <c r="W70" s="25">
        <v>1</v>
      </c>
      <c r="X70" s="25">
        <v>2</v>
      </c>
      <c r="Y70" s="25">
        <v>2</v>
      </c>
      <c r="Z70" s="25">
        <v>1</v>
      </c>
      <c r="AA70" s="25">
        <v>2</v>
      </c>
      <c r="AC70" s="136" t="str">
        <v>GA</v>
      </c>
      <c r="AD70" s="99">
        <v>0</v>
      </c>
      <c r="AE70" s="99">
        <v>9</v>
      </c>
      <c r="AF70" s="99">
        <v>4</v>
      </c>
      <c r="AG70" s="99">
        <v>4</v>
      </c>
      <c r="AH70" s="99">
        <v>0</v>
      </c>
      <c r="AI70" s="5"/>
      <c r="AJ70" s="136" t="str">
        <v>GA</v>
      </c>
      <c r="AK70" s="99">
        <v>0</v>
      </c>
      <c r="AL70" s="99">
        <v>9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19</v>
      </c>
      <c r="L71" s="16" t="s">
        <v>126</v>
      </c>
      <c r="M71" s="16" t="s">
        <v>34</v>
      </c>
      <c r="N71" s="16" t="s">
        <v>92</v>
      </c>
      <c r="O71" s="16" t="s">
        <v>36</v>
      </c>
      <c r="Q71" s="9">
        <v>5</v>
      </c>
      <c r="R71" s="9">
        <v>6</v>
      </c>
      <c r="S71" s="9">
        <v>9</v>
      </c>
      <c r="T71" s="9">
        <v>16</v>
      </c>
      <c r="U71" s="9">
        <v>10</v>
      </c>
      <c r="W71" s="25">
        <v>2</v>
      </c>
      <c r="X71" s="25">
        <v>2</v>
      </c>
      <c r="Y71" s="25">
        <v>2</v>
      </c>
      <c r="Z71" s="25">
        <v>1</v>
      </c>
      <c r="AA71" s="25">
        <v>2</v>
      </c>
      <c r="AC71" s="136" t="str">
        <v>GK</v>
      </c>
      <c r="AD71" s="99">
        <v>0</v>
      </c>
      <c r="AE71" s="99">
        <v>9</v>
      </c>
      <c r="AF71" s="99">
        <v>4</v>
      </c>
      <c r="AG71" s="99">
        <v>4</v>
      </c>
      <c r="AH71" s="99">
        <v>0</v>
      </c>
      <c r="AI71" s="5"/>
      <c r="AJ71" s="136" t="str">
        <v>GK</v>
      </c>
      <c r="AK71" s="99">
        <v>0</v>
      </c>
      <c r="AL71" s="99">
        <v>9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36</v>
      </c>
      <c r="L72" s="16" t="s">
        <v>88</v>
      </c>
      <c r="M72" s="16" t="s">
        <v>126</v>
      </c>
      <c r="N72" s="16" t="s">
        <v>22</v>
      </c>
      <c r="O72" s="16" t="s">
        <v>34</v>
      </c>
      <c r="Q72" s="9">
        <v>10</v>
      </c>
      <c r="R72" s="9">
        <v>11</v>
      </c>
      <c r="S72" s="9">
        <v>6</v>
      </c>
      <c r="T72" s="9">
        <v>3</v>
      </c>
      <c r="U72" s="9">
        <v>9</v>
      </c>
      <c r="W72" s="25">
        <v>1</v>
      </c>
      <c r="X72" s="25">
        <v>1</v>
      </c>
      <c r="Y72" s="25">
        <v>1</v>
      </c>
      <c r="Z72" s="25">
        <v>2</v>
      </c>
      <c r="AA72" s="25">
        <v>2</v>
      </c>
      <c r="AC72" s="136" t="str">
        <v>GQ</v>
      </c>
      <c r="AD72" s="99">
        <v>0</v>
      </c>
      <c r="AE72" s="99">
        <v>6</v>
      </c>
      <c r="AF72" s="99">
        <v>1</v>
      </c>
      <c r="AG72" s="99">
        <v>5</v>
      </c>
      <c r="AH72" s="99">
        <v>0</v>
      </c>
      <c r="AI72" s="5"/>
      <c r="AJ72" s="136" t="str">
        <v>GQ</v>
      </c>
      <c r="AK72" s="99">
        <v>0</v>
      </c>
      <c r="AL72" s="99">
        <v>6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19</v>
      </c>
      <c r="L73" s="16" t="s">
        <v>18</v>
      </c>
      <c r="M73" s="16" t="s">
        <v>126</v>
      </c>
      <c r="N73" s="16" t="s">
        <v>18</v>
      </c>
      <c r="O73" s="16" t="s">
        <v>18</v>
      </c>
      <c r="Q73" s="9">
        <v>5</v>
      </c>
      <c r="R73" s="9">
        <v>4</v>
      </c>
      <c r="S73" s="9">
        <v>6</v>
      </c>
      <c r="T73" s="9">
        <v>4</v>
      </c>
      <c r="U73" s="9">
        <v>4</v>
      </c>
      <c r="W73" s="25">
        <v>1</v>
      </c>
      <c r="X73" s="25">
        <v>1</v>
      </c>
      <c r="Y73" s="25">
        <v>1</v>
      </c>
      <c r="Z73" s="25">
        <v>2</v>
      </c>
      <c r="AA73" s="25">
        <v>2</v>
      </c>
      <c r="AC73" s="136" t="str">
        <v>GJ</v>
      </c>
      <c r="AD73" s="99">
        <v>0</v>
      </c>
      <c r="AE73" s="99">
        <v>6</v>
      </c>
      <c r="AF73" s="99">
        <v>1</v>
      </c>
      <c r="AG73" s="99">
        <v>5</v>
      </c>
      <c r="AH73" s="99">
        <v>0</v>
      </c>
      <c r="AI73" s="5"/>
      <c r="AJ73" s="136" t="str">
        <v>GJ</v>
      </c>
      <c r="AK73" s="99">
        <v>0</v>
      </c>
      <c r="AL73" s="99">
        <v>6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35</v>
      </c>
      <c r="M74" s="16" t="s">
        <v>35</v>
      </c>
      <c r="N74" s="16" t="s">
        <v>34</v>
      </c>
      <c r="O74" s="16" t="s">
        <v>126</v>
      </c>
      <c r="Q74" s="9">
        <v>8</v>
      </c>
      <c r="R74" s="9">
        <v>8</v>
      </c>
      <c r="S74" s="9">
        <v>8</v>
      </c>
      <c r="T74" s="9">
        <v>9</v>
      </c>
      <c r="U74" s="9">
        <v>6</v>
      </c>
      <c r="W74" s="25">
        <v>1</v>
      </c>
      <c r="X74" s="25">
        <v>1</v>
      </c>
      <c r="Y74" s="25">
        <v>1</v>
      </c>
      <c r="Z74" s="25">
        <v>2</v>
      </c>
      <c r="AA74" s="25">
        <v>1</v>
      </c>
      <c r="AD74" s="111">
        <f>SUM(AD54:AD73)</f>
        <v>200</v>
      </c>
      <c r="AE74" s="111">
        <f>SUM(AE54:AE73)</f>
        <v>209</v>
      </c>
      <c r="AF74" s="111">
        <f>SUM(AF54:AF73)</f>
        <v>209</v>
      </c>
      <c r="AG74" s="111">
        <f>SUM(AG54:AG73)</f>
        <v>209</v>
      </c>
      <c r="AH74" s="111">
        <f>SUM(AH54:AH73)</f>
        <v>200</v>
      </c>
      <c r="AI74" s="5"/>
      <c r="AK74" s="111">
        <f>SUM(AK54:AK73)</f>
        <v>200</v>
      </c>
      <c r="AL74" s="111">
        <f>SUM(AL54:AL73)</f>
        <v>209</v>
      </c>
      <c r="AM74" s="111">
        <f>SUM(AM54:AM73)</f>
        <v>209</v>
      </c>
      <c r="AN74" s="111">
        <f>SUM(AN54:AN73)</f>
        <v>209</v>
      </c>
      <c r="AO74" s="111">
        <f>SUM(AO54:AO73)</f>
        <v>200</v>
      </c>
    </row>
    <row r="75" spans="10:41" ht="16.5" customHeight="1">
      <c r="J75" s="9">
        <v>71</v>
      </c>
      <c r="K75" s="16" t="s">
        <v>18</v>
      </c>
      <c r="L75" s="16" t="s">
        <v>88</v>
      </c>
      <c r="M75" s="16" t="s">
        <v>126</v>
      </c>
      <c r="N75" s="16" t="s">
        <v>126</v>
      </c>
      <c r="O75" s="16" t="s">
        <v>21</v>
      </c>
      <c r="Q75" s="9">
        <v>4</v>
      </c>
      <c r="R75" s="9">
        <v>11</v>
      </c>
      <c r="S75" s="9">
        <v>6</v>
      </c>
      <c r="T75" s="9">
        <v>6</v>
      </c>
      <c r="U75" s="9">
        <v>2</v>
      </c>
      <c r="W75" s="25">
        <v>2</v>
      </c>
      <c r="X75" s="25">
        <v>2</v>
      </c>
      <c r="Y75" s="25">
        <v>1</v>
      </c>
      <c r="Z75" s="25">
        <v>2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36</v>
      </c>
      <c r="M76" s="16" t="s">
        <v>19</v>
      </c>
      <c r="N76" s="16" t="s">
        <v>20</v>
      </c>
      <c r="O76" s="16" t="s">
        <v>37</v>
      </c>
      <c r="Q76" s="9">
        <v>3</v>
      </c>
      <c r="R76" s="9">
        <v>10</v>
      </c>
      <c r="S76" s="9">
        <v>5</v>
      </c>
      <c r="T76" s="9">
        <v>1</v>
      </c>
      <c r="U76" s="9">
        <v>7</v>
      </c>
      <c r="W76" s="25">
        <v>1</v>
      </c>
      <c r="X76" s="25">
        <v>2</v>
      </c>
      <c r="Y76" s="25">
        <v>1</v>
      </c>
      <c r="Z76" s="25">
        <v>2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97</v>
      </c>
      <c r="M77" s="16" t="s">
        <v>35</v>
      </c>
      <c r="N77" s="16" t="s">
        <v>34</v>
      </c>
      <c r="O77" s="16" t="s">
        <v>126</v>
      </c>
      <c r="Q77" s="9">
        <v>5</v>
      </c>
      <c r="R77" s="9">
        <v>19</v>
      </c>
      <c r="S77" s="9">
        <v>8</v>
      </c>
      <c r="T77" s="9">
        <v>9</v>
      </c>
      <c r="U77" s="9">
        <v>6</v>
      </c>
      <c r="W77" s="25">
        <v>1</v>
      </c>
      <c r="X77" s="25">
        <v>2</v>
      </c>
      <c r="Y77" s="25">
        <v>1</v>
      </c>
      <c r="Z77" s="25">
        <v>2</v>
      </c>
      <c r="AA77" s="25">
        <v>2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21</v>
      </c>
      <c r="M78" s="16" t="s">
        <v>126</v>
      </c>
      <c r="N78" s="16" t="s">
        <v>22</v>
      </c>
      <c r="O78" s="16" t="s">
        <v>22</v>
      </c>
      <c r="Q78" s="9">
        <v>8</v>
      </c>
      <c r="R78" s="9">
        <v>2</v>
      </c>
      <c r="S78" s="9">
        <v>6</v>
      </c>
      <c r="T78" s="9">
        <v>3</v>
      </c>
      <c r="U78" s="9">
        <v>3</v>
      </c>
      <c r="W78" s="25">
        <v>1</v>
      </c>
      <c r="X78" s="25">
        <v>2</v>
      </c>
      <c r="Y78" s="25">
        <v>2</v>
      </c>
      <c r="Z78" s="25">
        <v>2</v>
      </c>
      <c r="AA78" s="25">
        <v>2</v>
      </c>
      <c r="AH78" s="5"/>
      <c r="AI78" s="5"/>
      <c r="AO78" s="5"/>
    </row>
    <row r="79" spans="10:41" ht="16.5" customHeight="1">
      <c r="J79" s="9">
        <v>75</v>
      </c>
      <c r="K79" s="16" t="s">
        <v>126</v>
      </c>
      <c r="L79" s="16" t="s">
        <v>21</v>
      </c>
      <c r="M79" s="16" t="s">
        <v>126</v>
      </c>
      <c r="N79" s="16" t="s">
        <v>126</v>
      </c>
      <c r="O79" s="16" t="s">
        <v>22</v>
      </c>
      <c r="Q79" s="9">
        <v>6</v>
      </c>
      <c r="R79" s="9">
        <v>2</v>
      </c>
      <c r="S79" s="9">
        <v>6</v>
      </c>
      <c r="T79" s="9">
        <v>6</v>
      </c>
      <c r="U79" s="9">
        <v>3</v>
      </c>
      <c r="W79" s="25">
        <v>1</v>
      </c>
      <c r="X79" s="25">
        <v>2</v>
      </c>
      <c r="Y79" s="25">
        <v>1</v>
      </c>
      <c r="Z79" s="25">
        <v>2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88</v>
      </c>
      <c r="M80" s="16" t="s">
        <v>127</v>
      </c>
      <c r="N80" s="16" t="s">
        <v>19</v>
      </c>
      <c r="O80" s="16" t="s">
        <v>19</v>
      </c>
      <c r="Q80" s="9">
        <v>7</v>
      </c>
      <c r="R80" s="9">
        <v>11</v>
      </c>
      <c r="S80" s="9">
        <v>15</v>
      </c>
      <c r="T80" s="9">
        <v>5</v>
      </c>
      <c r="U80" s="9">
        <v>5</v>
      </c>
      <c r="W80" s="25">
        <v>1</v>
      </c>
      <c r="X80" s="25">
        <v>2</v>
      </c>
      <c r="Y80" s="25">
        <v>1</v>
      </c>
      <c r="Z80" s="25">
        <v>2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34</v>
      </c>
      <c r="M81" s="16" t="s">
        <v>35</v>
      </c>
      <c r="N81" s="16" t="s">
        <v>21</v>
      </c>
      <c r="O81" s="16" t="s">
        <v>37</v>
      </c>
      <c r="Q81" s="9">
        <v>7</v>
      </c>
      <c r="R81" s="9">
        <v>9</v>
      </c>
      <c r="S81" s="9">
        <v>8</v>
      </c>
      <c r="T81" s="9">
        <v>2</v>
      </c>
      <c r="U81" s="9">
        <v>7</v>
      </c>
      <c r="W81" s="25">
        <v>1</v>
      </c>
      <c r="X81" s="25">
        <v>1</v>
      </c>
      <c r="Y81" s="25">
        <v>1</v>
      </c>
      <c r="Z81" s="25">
        <v>2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126</v>
      </c>
      <c r="L82" s="16" t="s">
        <v>21</v>
      </c>
      <c r="M82" s="16" t="s">
        <v>126</v>
      </c>
      <c r="N82" s="16" t="s">
        <v>18</v>
      </c>
      <c r="O82" s="16" t="s">
        <v>21</v>
      </c>
      <c r="Q82" s="9">
        <v>6</v>
      </c>
      <c r="R82" s="9">
        <v>2</v>
      </c>
      <c r="S82" s="9">
        <v>6</v>
      </c>
      <c r="T82" s="9">
        <v>4</v>
      </c>
      <c r="U82" s="9">
        <v>2</v>
      </c>
      <c r="W82" s="25">
        <v>1</v>
      </c>
      <c r="X82" s="25">
        <v>1</v>
      </c>
      <c r="Y82" s="25">
        <v>1</v>
      </c>
      <c r="Z82" s="25">
        <v>2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37</v>
      </c>
      <c r="L83" s="16" t="s">
        <v>112</v>
      </c>
      <c r="M83" s="16" t="s">
        <v>35</v>
      </c>
      <c r="N83" s="16" t="s">
        <v>18</v>
      </c>
      <c r="O83" s="16" t="s">
        <v>37</v>
      </c>
      <c r="Q83" s="9">
        <v>7</v>
      </c>
      <c r="R83" s="9">
        <v>17</v>
      </c>
      <c r="S83" s="9">
        <v>8</v>
      </c>
      <c r="T83" s="9">
        <v>4</v>
      </c>
      <c r="U83" s="9">
        <v>7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19</v>
      </c>
      <c r="L84" s="16" t="s">
        <v>19</v>
      </c>
      <c r="M84" s="16" t="s">
        <v>37</v>
      </c>
      <c r="N84" s="16" t="s">
        <v>18</v>
      </c>
      <c r="O84" s="16" t="s">
        <v>21</v>
      </c>
      <c r="Q84" s="9">
        <v>5</v>
      </c>
      <c r="R84" s="9">
        <v>5</v>
      </c>
      <c r="S84" s="9">
        <v>7</v>
      </c>
      <c r="T84" s="9">
        <v>4</v>
      </c>
      <c r="U84" s="9">
        <v>2</v>
      </c>
      <c r="W84" s="25">
        <v>1</v>
      </c>
      <c r="X84" s="25">
        <v>2</v>
      </c>
      <c r="Y84" s="25">
        <v>1</v>
      </c>
      <c r="Z84" s="25">
        <v>1</v>
      </c>
      <c r="AA84" s="25">
        <v>2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90</v>
      </c>
      <c r="M85" s="16" t="s">
        <v>37</v>
      </c>
      <c r="N85" s="16" t="s">
        <v>37</v>
      </c>
      <c r="O85" s="16" t="s">
        <v>36</v>
      </c>
      <c r="Q85" s="9">
        <v>5</v>
      </c>
      <c r="R85" s="9">
        <v>13</v>
      </c>
      <c r="S85" s="9">
        <v>7</v>
      </c>
      <c r="T85" s="9">
        <v>7</v>
      </c>
      <c r="U85" s="9">
        <v>10</v>
      </c>
      <c r="W85" s="25">
        <v>1</v>
      </c>
      <c r="X85" s="25">
        <v>2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127</v>
      </c>
      <c r="M86" s="16" t="s">
        <v>35</v>
      </c>
      <c r="N86" s="16" t="s">
        <v>35</v>
      </c>
      <c r="O86" s="16" t="s">
        <v>22</v>
      </c>
      <c r="Q86" s="9">
        <v>8</v>
      </c>
      <c r="R86" s="9">
        <v>15</v>
      </c>
      <c r="S86" s="9">
        <v>8</v>
      </c>
      <c r="T86" s="9">
        <v>8</v>
      </c>
      <c r="U86" s="9">
        <v>3</v>
      </c>
      <c r="W86" s="25">
        <v>1</v>
      </c>
      <c r="X86" s="25">
        <v>2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19</v>
      </c>
      <c r="L87" s="16" t="s">
        <v>127</v>
      </c>
      <c r="M87" s="16" t="s">
        <v>19</v>
      </c>
      <c r="N87" s="16" t="s">
        <v>36</v>
      </c>
      <c r="O87" s="16" t="s">
        <v>35</v>
      </c>
      <c r="Q87" s="9">
        <v>5</v>
      </c>
      <c r="R87" s="9">
        <v>15</v>
      </c>
      <c r="S87" s="9">
        <v>5</v>
      </c>
      <c r="T87" s="9">
        <v>10</v>
      </c>
      <c r="U87" s="9">
        <v>8</v>
      </c>
      <c r="W87" s="25">
        <v>1</v>
      </c>
      <c r="X87" s="25">
        <v>2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36</v>
      </c>
      <c r="M88" s="16" t="s">
        <v>22</v>
      </c>
      <c r="N88" s="16" t="s">
        <v>36</v>
      </c>
      <c r="O88" s="16" t="s">
        <v>21</v>
      </c>
      <c r="Q88" s="9">
        <v>8</v>
      </c>
      <c r="R88" s="9">
        <v>10</v>
      </c>
      <c r="S88" s="9">
        <v>3</v>
      </c>
      <c r="T88" s="9">
        <v>10</v>
      </c>
      <c r="U88" s="9">
        <v>2</v>
      </c>
      <c r="W88" s="25">
        <v>1</v>
      </c>
      <c r="X88" s="25">
        <v>2</v>
      </c>
      <c r="Y88" s="25">
        <v>1</v>
      </c>
      <c r="Z88" s="25">
        <v>1</v>
      </c>
      <c r="AA88" s="25">
        <v>2</v>
      </c>
      <c r="AH88" s="5"/>
      <c r="AI88" s="5"/>
      <c r="AO88" s="5"/>
    </row>
    <row r="89" spans="10:41">
      <c r="J89" s="9">
        <v>85</v>
      </c>
      <c r="K89" s="16" t="s">
        <v>126</v>
      </c>
      <c r="L89" s="16" t="s">
        <v>18</v>
      </c>
      <c r="M89" s="16" t="s">
        <v>92</v>
      </c>
      <c r="N89" s="16" t="s">
        <v>35</v>
      </c>
      <c r="O89" s="16" t="s">
        <v>19</v>
      </c>
      <c r="Q89" s="9">
        <v>6</v>
      </c>
      <c r="R89" s="9">
        <v>4</v>
      </c>
      <c r="S89" s="9">
        <v>16</v>
      </c>
      <c r="T89" s="9">
        <v>8</v>
      </c>
      <c r="U89" s="9">
        <v>5</v>
      </c>
      <c r="W89" s="25">
        <v>1</v>
      </c>
      <c r="X89" s="25">
        <v>2</v>
      </c>
      <c r="Y89" s="25">
        <v>1</v>
      </c>
      <c r="Z89" s="25">
        <v>1</v>
      </c>
      <c r="AA89" s="25">
        <v>2</v>
      </c>
      <c r="AH89" s="5"/>
      <c r="AI89" s="5"/>
      <c r="AO89" s="5"/>
    </row>
    <row r="90" spans="10:41">
      <c r="J90" s="25">
        <v>86</v>
      </c>
      <c r="K90" s="16" t="s">
        <v>126</v>
      </c>
      <c r="L90" s="16" t="s">
        <v>18</v>
      </c>
      <c r="M90" s="16" t="s">
        <v>19</v>
      </c>
      <c r="N90" s="16" t="s">
        <v>95</v>
      </c>
      <c r="O90" s="16" t="s">
        <v>21</v>
      </c>
      <c r="Q90" s="9">
        <v>6</v>
      </c>
      <c r="R90" s="9">
        <v>4</v>
      </c>
      <c r="S90" s="9">
        <v>5</v>
      </c>
      <c r="T90" s="9">
        <v>18</v>
      </c>
      <c r="U90" s="9">
        <v>2</v>
      </c>
      <c r="W90" s="25">
        <v>1</v>
      </c>
      <c r="X90" s="25">
        <v>2</v>
      </c>
      <c r="Y90" s="25">
        <v>1</v>
      </c>
      <c r="Z90" s="25">
        <v>2</v>
      </c>
      <c r="AA90" s="25">
        <v>2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97</v>
      </c>
      <c r="M91" s="16" t="s">
        <v>37</v>
      </c>
      <c r="N91" s="16" t="s">
        <v>126</v>
      </c>
      <c r="O91" s="16" t="s">
        <v>21</v>
      </c>
      <c r="Q91" s="9">
        <v>8</v>
      </c>
      <c r="R91" s="9">
        <v>19</v>
      </c>
      <c r="S91" s="9">
        <v>7</v>
      </c>
      <c r="T91" s="9">
        <v>6</v>
      </c>
      <c r="U91" s="9">
        <v>2</v>
      </c>
      <c r="W91" s="25">
        <v>1</v>
      </c>
      <c r="X91" s="25">
        <v>2</v>
      </c>
      <c r="Y91" s="25">
        <v>1</v>
      </c>
      <c r="Z91" s="25">
        <v>2</v>
      </c>
      <c r="AA91" s="25">
        <v>2</v>
      </c>
      <c r="AH91" s="5"/>
      <c r="AI91" s="5"/>
      <c r="AO91" s="5"/>
    </row>
    <row r="92" spans="10:41">
      <c r="J92" s="25">
        <v>88</v>
      </c>
      <c r="K92" s="16" t="s">
        <v>126</v>
      </c>
      <c r="L92" s="16" t="s">
        <v>91</v>
      </c>
      <c r="M92" s="16" t="s">
        <v>126</v>
      </c>
      <c r="N92" s="16" t="s">
        <v>126</v>
      </c>
      <c r="O92" s="16" t="s">
        <v>22</v>
      </c>
      <c r="Q92" s="9">
        <v>6</v>
      </c>
      <c r="R92" s="9">
        <v>14</v>
      </c>
      <c r="S92" s="9">
        <v>6</v>
      </c>
      <c r="T92" s="9">
        <v>6</v>
      </c>
      <c r="U92" s="9">
        <v>3</v>
      </c>
      <c r="W92" s="25">
        <v>1</v>
      </c>
      <c r="X92" s="25">
        <v>2</v>
      </c>
      <c r="Y92" s="25">
        <v>1</v>
      </c>
      <c r="Z92" s="25">
        <v>2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37</v>
      </c>
      <c r="L93" s="16" t="s">
        <v>22</v>
      </c>
      <c r="M93" s="16" t="s">
        <v>91</v>
      </c>
      <c r="N93" s="16" t="s">
        <v>88</v>
      </c>
      <c r="O93" s="16" t="s">
        <v>19</v>
      </c>
      <c r="Q93" s="9">
        <v>7</v>
      </c>
      <c r="R93" s="9">
        <v>3</v>
      </c>
      <c r="S93" s="9">
        <v>14</v>
      </c>
      <c r="T93" s="9">
        <v>11</v>
      </c>
      <c r="U93" s="9">
        <v>5</v>
      </c>
      <c r="W93" s="25">
        <v>1</v>
      </c>
      <c r="X93" s="25">
        <v>1</v>
      </c>
      <c r="Y93" s="25">
        <v>1</v>
      </c>
      <c r="Z93" s="25">
        <v>2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22</v>
      </c>
      <c r="M94" s="16" t="s">
        <v>35</v>
      </c>
      <c r="N94" s="16" t="s">
        <v>126</v>
      </c>
      <c r="O94" s="16" t="s">
        <v>37</v>
      </c>
      <c r="Q94" s="9">
        <v>8</v>
      </c>
      <c r="R94" s="9">
        <v>3</v>
      </c>
      <c r="S94" s="9">
        <v>8</v>
      </c>
      <c r="T94" s="9">
        <v>6</v>
      </c>
      <c r="U94" s="9">
        <v>7</v>
      </c>
      <c r="W94" s="25">
        <v>1</v>
      </c>
      <c r="X94" s="25">
        <v>1</v>
      </c>
      <c r="Y94" s="25">
        <v>1</v>
      </c>
      <c r="Z94" s="25">
        <v>2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37</v>
      </c>
      <c r="M95" s="16" t="s">
        <v>35</v>
      </c>
      <c r="N95" s="16" t="s">
        <v>91</v>
      </c>
      <c r="O95" s="16" t="s">
        <v>36</v>
      </c>
      <c r="Q95" s="9">
        <v>8</v>
      </c>
      <c r="R95" s="9">
        <v>7</v>
      </c>
      <c r="S95" s="9">
        <v>8</v>
      </c>
      <c r="T95" s="9">
        <v>14</v>
      </c>
      <c r="U95" s="9">
        <v>10</v>
      </c>
      <c r="W95" s="25">
        <v>1</v>
      </c>
      <c r="X95" s="25">
        <v>1</v>
      </c>
      <c r="Y95" s="25">
        <v>1</v>
      </c>
      <c r="Z95" s="25">
        <v>2</v>
      </c>
      <c r="AA95" s="25">
        <v>2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92</v>
      </c>
      <c r="M96" s="16" t="s">
        <v>35</v>
      </c>
      <c r="N96" s="16" t="s">
        <v>22</v>
      </c>
      <c r="O96" s="16" t="s">
        <v>126</v>
      </c>
      <c r="Q96" s="9">
        <v>8</v>
      </c>
      <c r="R96" s="9">
        <v>16</v>
      </c>
      <c r="S96" s="9">
        <v>8</v>
      </c>
      <c r="T96" s="9">
        <v>3</v>
      </c>
      <c r="U96" s="9">
        <v>6</v>
      </c>
      <c r="W96" s="25">
        <v>1</v>
      </c>
      <c r="X96" s="25">
        <v>1</v>
      </c>
      <c r="Y96" s="25">
        <v>1</v>
      </c>
      <c r="Z96" s="25">
        <v>2</v>
      </c>
      <c r="AA96" s="25">
        <v>2</v>
      </c>
      <c r="AH96" s="5"/>
      <c r="AI96" s="5"/>
      <c r="AO96" s="5"/>
    </row>
    <row r="97" spans="10:41">
      <c r="J97" s="9">
        <v>93</v>
      </c>
      <c r="K97" s="16" t="s">
        <v>126</v>
      </c>
      <c r="L97" s="16" t="s">
        <v>34</v>
      </c>
      <c r="M97" s="16" t="s">
        <v>37</v>
      </c>
      <c r="N97" s="16" t="s">
        <v>18</v>
      </c>
      <c r="O97" s="16" t="s">
        <v>126</v>
      </c>
      <c r="Q97" s="9">
        <v>6</v>
      </c>
      <c r="R97" s="9">
        <v>9</v>
      </c>
      <c r="S97" s="9">
        <v>7</v>
      </c>
      <c r="T97" s="9">
        <v>4</v>
      </c>
      <c r="U97" s="9">
        <v>6</v>
      </c>
      <c r="W97" s="25">
        <v>1</v>
      </c>
      <c r="X97" s="25">
        <v>2</v>
      </c>
      <c r="Y97" s="25">
        <v>1</v>
      </c>
      <c r="Z97" s="25">
        <v>2</v>
      </c>
      <c r="AA97" s="25">
        <v>2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36</v>
      </c>
      <c r="M98" s="16" t="s">
        <v>126</v>
      </c>
      <c r="N98" s="16" t="s">
        <v>18</v>
      </c>
      <c r="O98" s="16" t="s">
        <v>21</v>
      </c>
      <c r="Q98" s="9">
        <v>8</v>
      </c>
      <c r="R98" s="9">
        <v>10</v>
      </c>
      <c r="S98" s="9">
        <v>6</v>
      </c>
      <c r="T98" s="9">
        <v>4</v>
      </c>
      <c r="U98" s="9">
        <v>2</v>
      </c>
      <c r="W98" s="25">
        <v>1</v>
      </c>
      <c r="X98" s="25">
        <v>1</v>
      </c>
      <c r="Y98" s="25">
        <v>1</v>
      </c>
      <c r="Z98" s="25">
        <v>2</v>
      </c>
      <c r="AA98" s="25">
        <v>2</v>
      </c>
      <c r="AH98" s="5"/>
      <c r="AI98" s="5"/>
      <c r="AO98" s="5"/>
    </row>
    <row r="99" spans="10:41">
      <c r="J99" s="9">
        <v>95</v>
      </c>
      <c r="K99" s="16" t="s">
        <v>36</v>
      </c>
      <c r="L99" s="16" t="s">
        <v>89</v>
      </c>
      <c r="M99" s="16" t="s">
        <v>37</v>
      </c>
      <c r="N99" s="16" t="s">
        <v>21</v>
      </c>
      <c r="O99" s="16" t="s">
        <v>19</v>
      </c>
      <c r="Q99" s="9">
        <v>10</v>
      </c>
      <c r="R99" s="9">
        <v>12</v>
      </c>
      <c r="S99" s="9">
        <v>7</v>
      </c>
      <c r="T99" s="9">
        <v>2</v>
      </c>
      <c r="U99" s="9">
        <v>5</v>
      </c>
      <c r="W99" s="25">
        <v>1</v>
      </c>
      <c r="X99" s="25">
        <v>1</v>
      </c>
      <c r="Y99" s="25">
        <v>1</v>
      </c>
      <c r="Z99" s="25">
        <v>2</v>
      </c>
      <c r="AA99" s="25">
        <v>2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21</v>
      </c>
      <c r="N100" s="16" t="s">
        <v>21</v>
      </c>
      <c r="O100" s="16" t="s">
        <v>34</v>
      </c>
      <c r="Q100" s="9">
        <v>5</v>
      </c>
      <c r="R100" s="9">
        <v>8</v>
      </c>
      <c r="S100" s="9">
        <v>2</v>
      </c>
      <c r="T100" s="9">
        <v>2</v>
      </c>
      <c r="U100" s="9">
        <v>9</v>
      </c>
      <c r="W100" s="25">
        <v>1</v>
      </c>
      <c r="X100" s="25">
        <v>1</v>
      </c>
      <c r="Y100" s="25">
        <v>1</v>
      </c>
      <c r="Z100" s="25">
        <v>2</v>
      </c>
      <c r="AA100" s="25">
        <v>2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88</v>
      </c>
      <c r="M101" s="16" t="s">
        <v>19</v>
      </c>
      <c r="N101" s="16" t="s">
        <v>21</v>
      </c>
      <c r="O101" s="16" t="s">
        <v>36</v>
      </c>
      <c r="Q101" s="9">
        <v>8</v>
      </c>
      <c r="R101" s="9">
        <v>11</v>
      </c>
      <c r="S101" s="9">
        <v>5</v>
      </c>
      <c r="T101" s="9">
        <v>2</v>
      </c>
      <c r="U101" s="9">
        <v>10</v>
      </c>
      <c r="W101" s="25">
        <v>1</v>
      </c>
      <c r="X101" s="25">
        <v>2</v>
      </c>
      <c r="Y101" s="25">
        <v>1</v>
      </c>
      <c r="Z101" s="25">
        <v>1</v>
      </c>
      <c r="AA101" s="25">
        <v>2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22</v>
      </c>
      <c r="M102" s="16" t="s">
        <v>35</v>
      </c>
      <c r="N102" s="16" t="s">
        <v>126</v>
      </c>
      <c r="O102" s="16" t="s">
        <v>34</v>
      </c>
      <c r="Q102" s="9">
        <v>7</v>
      </c>
      <c r="R102" s="9">
        <v>3</v>
      </c>
      <c r="S102" s="9">
        <v>8</v>
      </c>
      <c r="T102" s="9">
        <v>6</v>
      </c>
      <c r="U102" s="9">
        <v>9</v>
      </c>
      <c r="W102" s="25">
        <v>1</v>
      </c>
      <c r="X102" s="25">
        <v>2</v>
      </c>
      <c r="Y102" s="25">
        <v>1</v>
      </c>
      <c r="Z102" s="25">
        <v>1</v>
      </c>
      <c r="AA102" s="25">
        <v>2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20</v>
      </c>
      <c r="M103" s="16" t="s">
        <v>126</v>
      </c>
      <c r="N103" s="16" t="s">
        <v>37</v>
      </c>
      <c r="O103" s="16" t="s">
        <v>22</v>
      </c>
      <c r="Q103" s="9">
        <v>7</v>
      </c>
      <c r="R103" s="9">
        <v>1</v>
      </c>
      <c r="S103" s="9">
        <v>6</v>
      </c>
      <c r="T103" s="9">
        <v>7</v>
      </c>
      <c r="U103" s="9">
        <v>3</v>
      </c>
      <c r="W103" s="25">
        <v>1</v>
      </c>
      <c r="X103" s="25">
        <v>2</v>
      </c>
      <c r="Y103" s="25">
        <v>2</v>
      </c>
      <c r="Z103" s="25">
        <v>1</v>
      </c>
      <c r="AA103" s="25">
        <v>2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21</v>
      </c>
      <c r="M104" s="16" t="s">
        <v>126</v>
      </c>
      <c r="N104" s="16" t="s">
        <v>126</v>
      </c>
      <c r="O104" s="16" t="s">
        <v>19</v>
      </c>
      <c r="Q104" s="9">
        <v>7</v>
      </c>
      <c r="R104" s="9">
        <v>2</v>
      </c>
      <c r="S104" s="9">
        <v>6</v>
      </c>
      <c r="T104" s="9">
        <v>6</v>
      </c>
      <c r="U104" s="9">
        <v>5</v>
      </c>
      <c r="W104" s="25">
        <v>1</v>
      </c>
      <c r="X104" s="25">
        <v>2</v>
      </c>
      <c r="Y104" s="25">
        <v>1</v>
      </c>
      <c r="Z104" s="25">
        <v>2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126</v>
      </c>
      <c r="L105" s="16" t="s">
        <v>91</v>
      </c>
      <c r="M105" s="16" t="s">
        <v>126</v>
      </c>
      <c r="N105" s="16" t="s">
        <v>90</v>
      </c>
      <c r="O105" s="16" t="s">
        <v>126</v>
      </c>
      <c r="Q105" s="9">
        <v>6</v>
      </c>
      <c r="R105" s="9">
        <v>14</v>
      </c>
      <c r="S105" s="9">
        <v>6</v>
      </c>
      <c r="T105" s="9">
        <v>13</v>
      </c>
      <c r="U105" s="9">
        <v>6</v>
      </c>
      <c r="W105" s="25">
        <v>1</v>
      </c>
      <c r="X105" s="25">
        <v>2</v>
      </c>
      <c r="Y105" s="25">
        <v>1</v>
      </c>
      <c r="Z105" s="25">
        <v>2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126</v>
      </c>
      <c r="L106" s="16" t="s">
        <v>91</v>
      </c>
      <c r="M106" s="16" t="s">
        <v>35</v>
      </c>
      <c r="N106" s="16" t="s">
        <v>36</v>
      </c>
      <c r="O106" s="16" t="s">
        <v>35</v>
      </c>
      <c r="Q106" s="9">
        <v>6</v>
      </c>
      <c r="R106" s="9">
        <v>14</v>
      </c>
      <c r="S106" s="9">
        <v>8</v>
      </c>
      <c r="T106" s="9">
        <v>10</v>
      </c>
      <c r="U106" s="9">
        <v>8</v>
      </c>
      <c r="W106" s="25">
        <v>1</v>
      </c>
      <c r="X106" s="25">
        <v>1</v>
      </c>
      <c r="Y106" s="25">
        <v>1</v>
      </c>
      <c r="Z106" s="25">
        <v>2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18</v>
      </c>
      <c r="M107" s="16" t="s">
        <v>37</v>
      </c>
      <c r="N107" s="16" t="s">
        <v>19</v>
      </c>
      <c r="O107" s="16" t="s">
        <v>18</v>
      </c>
      <c r="Q107" s="9">
        <v>8</v>
      </c>
      <c r="R107" s="9">
        <v>4</v>
      </c>
      <c r="S107" s="9">
        <v>7</v>
      </c>
      <c r="T107" s="9">
        <v>5</v>
      </c>
      <c r="U107" s="9">
        <v>4</v>
      </c>
      <c r="W107" s="25">
        <v>1</v>
      </c>
      <c r="X107" s="25">
        <v>1</v>
      </c>
      <c r="Y107" s="25">
        <v>1</v>
      </c>
      <c r="Z107" s="25">
        <v>2</v>
      </c>
      <c r="AA107" s="25">
        <v>2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112</v>
      </c>
      <c r="M108" s="16" t="s">
        <v>126</v>
      </c>
      <c r="N108" s="16" t="s">
        <v>126</v>
      </c>
      <c r="O108" s="16" t="s">
        <v>22</v>
      </c>
      <c r="Q108" s="9">
        <v>5</v>
      </c>
      <c r="R108" s="9">
        <v>17</v>
      </c>
      <c r="S108" s="9">
        <v>6</v>
      </c>
      <c r="T108" s="9">
        <v>6</v>
      </c>
      <c r="U108" s="9">
        <v>3</v>
      </c>
      <c r="W108" s="25">
        <v>1</v>
      </c>
      <c r="X108" s="25">
        <v>1</v>
      </c>
      <c r="Y108" s="25">
        <v>1</v>
      </c>
      <c r="Z108" s="25">
        <v>2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126</v>
      </c>
      <c r="L109" s="16" t="s">
        <v>22</v>
      </c>
      <c r="M109" s="16" t="s">
        <v>35</v>
      </c>
      <c r="N109" s="16" t="s">
        <v>36</v>
      </c>
      <c r="O109" s="16" t="s">
        <v>22</v>
      </c>
      <c r="Q109" s="9">
        <v>6</v>
      </c>
      <c r="R109" s="9">
        <v>3</v>
      </c>
      <c r="S109" s="9">
        <v>8</v>
      </c>
      <c r="T109" s="9">
        <v>10</v>
      </c>
      <c r="U109" s="9">
        <v>3</v>
      </c>
      <c r="W109" s="25">
        <v>1</v>
      </c>
      <c r="X109" s="25">
        <v>1</v>
      </c>
      <c r="Y109" s="25">
        <v>1</v>
      </c>
      <c r="Z109" s="25">
        <v>2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35</v>
      </c>
      <c r="M110" s="16" t="s">
        <v>35</v>
      </c>
      <c r="N110" s="16" t="s">
        <v>20</v>
      </c>
      <c r="O110" s="16" t="s">
        <v>35</v>
      </c>
      <c r="Q110" s="9">
        <v>8</v>
      </c>
      <c r="R110" s="9">
        <v>8</v>
      </c>
      <c r="S110" s="9">
        <v>8</v>
      </c>
      <c r="T110" s="9">
        <v>1</v>
      </c>
      <c r="U110" s="9">
        <v>8</v>
      </c>
      <c r="W110" s="25">
        <v>1</v>
      </c>
      <c r="X110" s="25">
        <v>1</v>
      </c>
      <c r="Y110" s="25">
        <v>1</v>
      </c>
      <c r="Z110" s="25">
        <v>2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22</v>
      </c>
      <c r="L111" s="16" t="s">
        <v>90</v>
      </c>
      <c r="M111" s="16" t="s">
        <v>37</v>
      </c>
      <c r="N111" s="16" t="s">
        <v>22</v>
      </c>
      <c r="O111" s="16" t="s">
        <v>34</v>
      </c>
      <c r="Q111" s="9">
        <v>3</v>
      </c>
      <c r="R111" s="9">
        <v>13</v>
      </c>
      <c r="S111" s="9">
        <v>7</v>
      </c>
      <c r="T111" s="9">
        <v>3</v>
      </c>
      <c r="U111" s="9">
        <v>9</v>
      </c>
      <c r="W111" s="25">
        <v>1</v>
      </c>
      <c r="X111" s="25">
        <v>1</v>
      </c>
      <c r="Y111" s="25">
        <v>1</v>
      </c>
      <c r="Z111" s="25">
        <v>2</v>
      </c>
      <c r="AA111" s="25">
        <v>2</v>
      </c>
      <c r="AH111" s="5"/>
      <c r="AI111" s="5"/>
      <c r="AO111" s="5"/>
    </row>
    <row r="112" spans="10:41">
      <c r="J112" s="9">
        <v>108</v>
      </c>
      <c r="K112" s="16" t="s">
        <v>37</v>
      </c>
      <c r="L112" s="16" t="s">
        <v>37</v>
      </c>
      <c r="M112" s="16" t="s">
        <v>37</v>
      </c>
      <c r="N112" s="16" t="s">
        <v>127</v>
      </c>
      <c r="O112" s="16" t="s">
        <v>34</v>
      </c>
      <c r="Q112" s="9">
        <v>7</v>
      </c>
      <c r="R112" s="9">
        <v>7</v>
      </c>
      <c r="S112" s="9">
        <v>7</v>
      </c>
      <c r="T112" s="9">
        <v>15</v>
      </c>
      <c r="U112" s="9">
        <v>9</v>
      </c>
      <c r="W112" s="25">
        <v>1</v>
      </c>
      <c r="X112" s="25">
        <v>1</v>
      </c>
      <c r="Y112" s="25">
        <v>1</v>
      </c>
      <c r="Z112" s="25">
        <v>1</v>
      </c>
      <c r="AA112" s="25">
        <v>2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19</v>
      </c>
      <c r="M113" s="16" t="s">
        <v>126</v>
      </c>
      <c r="N113" s="16" t="s">
        <v>18</v>
      </c>
      <c r="O113" s="16" t="s">
        <v>36</v>
      </c>
      <c r="Q113" s="9">
        <v>7</v>
      </c>
      <c r="R113" s="9">
        <v>5</v>
      </c>
      <c r="S113" s="9">
        <v>6</v>
      </c>
      <c r="T113" s="9">
        <v>4</v>
      </c>
      <c r="U113" s="9">
        <v>10</v>
      </c>
      <c r="W113" s="25">
        <v>1</v>
      </c>
      <c r="X113" s="25">
        <v>2</v>
      </c>
      <c r="Y113" s="25">
        <v>2</v>
      </c>
      <c r="Z113" s="25">
        <v>1</v>
      </c>
      <c r="AA113" s="25">
        <v>2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91</v>
      </c>
      <c r="M114" s="16" t="s">
        <v>19</v>
      </c>
      <c r="N114" s="16" t="s">
        <v>35</v>
      </c>
      <c r="O114" s="16" t="s">
        <v>36</v>
      </c>
      <c r="Q114" s="9">
        <v>7</v>
      </c>
      <c r="R114" s="9">
        <v>14</v>
      </c>
      <c r="S114" s="9">
        <v>5</v>
      </c>
      <c r="T114" s="9">
        <v>8</v>
      </c>
      <c r="U114" s="9">
        <v>10</v>
      </c>
      <c r="W114" s="25">
        <v>1</v>
      </c>
      <c r="X114" s="25">
        <v>2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126</v>
      </c>
      <c r="L115" s="16" t="s">
        <v>91</v>
      </c>
      <c r="M115" s="16" t="s">
        <v>19</v>
      </c>
      <c r="N115" s="16" t="s">
        <v>21</v>
      </c>
      <c r="O115" s="16" t="s">
        <v>19</v>
      </c>
      <c r="Q115" s="9">
        <v>6</v>
      </c>
      <c r="R115" s="9">
        <v>14</v>
      </c>
      <c r="S115" s="9">
        <v>5</v>
      </c>
      <c r="T115" s="9">
        <v>2</v>
      </c>
      <c r="U115" s="9">
        <v>5</v>
      </c>
      <c r="W115" s="25">
        <v>1</v>
      </c>
      <c r="X115" s="25">
        <v>2</v>
      </c>
      <c r="Y115" s="25">
        <v>1</v>
      </c>
      <c r="Z115" s="25">
        <v>2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21</v>
      </c>
      <c r="M116" s="16" t="s">
        <v>37</v>
      </c>
      <c r="N116" s="16" t="s">
        <v>97</v>
      </c>
      <c r="O116" s="16" t="s">
        <v>35</v>
      </c>
      <c r="Q116" s="9">
        <v>5</v>
      </c>
      <c r="R116" s="9">
        <v>2</v>
      </c>
      <c r="S116" s="9">
        <v>7</v>
      </c>
      <c r="T116" s="9">
        <v>19</v>
      </c>
      <c r="U116" s="9">
        <v>8</v>
      </c>
      <c r="W116" s="25">
        <v>1</v>
      </c>
      <c r="X116" s="25">
        <v>2</v>
      </c>
      <c r="Y116" s="25">
        <v>1</v>
      </c>
      <c r="Z116" s="25">
        <v>2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37</v>
      </c>
      <c r="L117" s="16" t="s">
        <v>21</v>
      </c>
      <c r="M117" s="16" t="s">
        <v>19</v>
      </c>
      <c r="N117" s="16" t="s">
        <v>36</v>
      </c>
      <c r="O117" s="16" t="s">
        <v>21</v>
      </c>
      <c r="Q117" s="9">
        <v>7</v>
      </c>
      <c r="R117" s="9">
        <v>2</v>
      </c>
      <c r="S117" s="9">
        <v>5</v>
      </c>
      <c r="T117" s="9">
        <v>10</v>
      </c>
      <c r="U117" s="9">
        <v>2</v>
      </c>
      <c r="W117" s="25">
        <v>1</v>
      </c>
      <c r="X117" s="25">
        <v>2</v>
      </c>
      <c r="Y117" s="25">
        <v>2</v>
      </c>
      <c r="Z117" s="25">
        <v>2</v>
      </c>
      <c r="AA117" s="25">
        <v>2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97</v>
      </c>
      <c r="M118" s="16" t="s">
        <v>36</v>
      </c>
      <c r="N118" s="16" t="s">
        <v>22</v>
      </c>
      <c r="O118" s="16" t="s">
        <v>36</v>
      </c>
      <c r="Q118" s="9">
        <v>8</v>
      </c>
      <c r="R118" s="9">
        <v>19</v>
      </c>
      <c r="S118" s="9">
        <v>10</v>
      </c>
      <c r="T118" s="9">
        <v>3</v>
      </c>
      <c r="U118" s="9">
        <v>10</v>
      </c>
      <c r="W118" s="25">
        <v>1</v>
      </c>
      <c r="X118" s="25">
        <v>1</v>
      </c>
      <c r="Y118" s="25">
        <v>2</v>
      </c>
      <c r="Z118" s="25">
        <v>2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95</v>
      </c>
      <c r="M119" s="16" t="s">
        <v>126</v>
      </c>
      <c r="N119" s="16" t="s">
        <v>22</v>
      </c>
      <c r="O119" s="16" t="s">
        <v>19</v>
      </c>
      <c r="Q119" s="9">
        <v>8</v>
      </c>
      <c r="R119" s="9">
        <v>18</v>
      </c>
      <c r="S119" s="9">
        <v>6</v>
      </c>
      <c r="T119" s="9">
        <v>3</v>
      </c>
      <c r="U119" s="9">
        <v>5</v>
      </c>
      <c r="W119" s="25">
        <v>1</v>
      </c>
      <c r="X119" s="25">
        <v>1</v>
      </c>
      <c r="Y119" s="25">
        <v>2</v>
      </c>
      <c r="Z119" s="25">
        <v>2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35</v>
      </c>
      <c r="L120" s="16" t="s">
        <v>35</v>
      </c>
      <c r="M120" s="16" t="s">
        <v>21</v>
      </c>
      <c r="N120" s="16" t="s">
        <v>88</v>
      </c>
      <c r="O120" s="16" t="s">
        <v>37</v>
      </c>
      <c r="Q120" s="9">
        <v>8</v>
      </c>
      <c r="R120" s="9">
        <v>8</v>
      </c>
      <c r="S120" s="9">
        <v>2</v>
      </c>
      <c r="T120" s="9">
        <v>11</v>
      </c>
      <c r="U120" s="9">
        <v>7</v>
      </c>
      <c r="W120" s="25">
        <v>1</v>
      </c>
      <c r="X120" s="25">
        <v>1</v>
      </c>
      <c r="Y120" s="25">
        <v>2</v>
      </c>
      <c r="Z120" s="25">
        <v>2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21</v>
      </c>
      <c r="M121" s="16" t="s">
        <v>19</v>
      </c>
      <c r="N121" s="16" t="s">
        <v>20</v>
      </c>
      <c r="O121" s="16" t="s">
        <v>21</v>
      </c>
      <c r="Q121" s="9">
        <v>7</v>
      </c>
      <c r="R121" s="9">
        <v>2</v>
      </c>
      <c r="S121" s="9">
        <v>5</v>
      </c>
      <c r="T121" s="9">
        <v>1</v>
      </c>
      <c r="U121" s="9">
        <v>2</v>
      </c>
      <c r="W121" s="25">
        <v>1</v>
      </c>
      <c r="X121" s="25">
        <v>1</v>
      </c>
      <c r="Y121" s="25">
        <v>2</v>
      </c>
      <c r="Z121" s="25">
        <v>1</v>
      </c>
      <c r="AA121" s="25">
        <v>2</v>
      </c>
      <c r="AH121" s="5"/>
      <c r="AI121" s="5"/>
      <c r="AO121" s="5"/>
    </row>
    <row r="122" spans="10:41">
      <c r="J122" s="9">
        <v>118</v>
      </c>
      <c r="K122" s="16" t="s">
        <v>126</v>
      </c>
      <c r="L122" s="16" t="s">
        <v>35</v>
      </c>
      <c r="M122" s="16" t="s">
        <v>126</v>
      </c>
      <c r="N122" s="16" t="s">
        <v>34</v>
      </c>
      <c r="O122" s="16" t="s">
        <v>18</v>
      </c>
      <c r="Q122" s="9">
        <v>6</v>
      </c>
      <c r="R122" s="9">
        <v>8</v>
      </c>
      <c r="S122" s="9">
        <v>6</v>
      </c>
      <c r="T122" s="9">
        <v>9</v>
      </c>
      <c r="U122" s="9">
        <v>4</v>
      </c>
      <c r="W122" s="25">
        <v>1</v>
      </c>
      <c r="X122" s="25">
        <v>1</v>
      </c>
      <c r="Y122" s="25">
        <v>1</v>
      </c>
      <c r="Z122" s="25">
        <v>1</v>
      </c>
      <c r="AA122" s="25">
        <v>2</v>
      </c>
      <c r="AH122" s="5"/>
      <c r="AI122" s="5"/>
      <c r="AO122" s="5"/>
    </row>
    <row r="123" spans="10:41">
      <c r="J123" s="25">
        <v>119</v>
      </c>
      <c r="K123" s="16" t="s">
        <v>126</v>
      </c>
      <c r="L123" s="16" t="s">
        <v>20</v>
      </c>
      <c r="M123" s="16" t="s">
        <v>126</v>
      </c>
      <c r="N123" s="16" t="s">
        <v>35</v>
      </c>
      <c r="O123" s="16" t="s">
        <v>22</v>
      </c>
      <c r="Q123" s="9">
        <v>6</v>
      </c>
      <c r="R123" s="9">
        <v>1</v>
      </c>
      <c r="S123" s="9">
        <v>6</v>
      </c>
      <c r="T123" s="9">
        <v>8</v>
      </c>
      <c r="U123" s="9">
        <v>3</v>
      </c>
      <c r="W123" s="25">
        <v>1</v>
      </c>
      <c r="X123" s="25">
        <v>2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88</v>
      </c>
      <c r="M124" s="16" t="s">
        <v>37</v>
      </c>
      <c r="N124" s="16" t="s">
        <v>18</v>
      </c>
      <c r="O124" s="16" t="s">
        <v>19</v>
      </c>
      <c r="Q124" s="9">
        <v>8</v>
      </c>
      <c r="R124" s="9">
        <v>11</v>
      </c>
      <c r="S124" s="9">
        <v>7</v>
      </c>
      <c r="T124" s="9">
        <v>4</v>
      </c>
      <c r="U124" s="9">
        <v>5</v>
      </c>
      <c r="W124" s="25">
        <v>1</v>
      </c>
      <c r="X124" s="25">
        <v>2</v>
      </c>
      <c r="Y124" s="25">
        <v>1</v>
      </c>
      <c r="Z124" s="25">
        <v>2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19</v>
      </c>
      <c r="M125" s="16" t="s">
        <v>19</v>
      </c>
      <c r="N125" s="16" t="s">
        <v>97</v>
      </c>
      <c r="O125" s="16" t="s">
        <v>35</v>
      </c>
      <c r="Q125" s="9">
        <v>7</v>
      </c>
      <c r="R125" s="9">
        <v>5</v>
      </c>
      <c r="S125" s="9">
        <v>5</v>
      </c>
      <c r="T125" s="9">
        <v>19</v>
      </c>
      <c r="U125" s="9">
        <v>8</v>
      </c>
      <c r="W125" s="25">
        <v>1</v>
      </c>
      <c r="X125" s="25">
        <v>1</v>
      </c>
      <c r="Y125" s="25">
        <v>1</v>
      </c>
      <c r="Z125" s="25">
        <v>2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21</v>
      </c>
      <c r="M126" s="16" t="s">
        <v>37</v>
      </c>
      <c r="N126" s="16" t="s">
        <v>127</v>
      </c>
      <c r="O126" s="16" t="s">
        <v>18</v>
      </c>
      <c r="Q126" s="9">
        <v>7</v>
      </c>
      <c r="R126" s="9">
        <v>2</v>
      </c>
      <c r="S126" s="9">
        <v>7</v>
      </c>
      <c r="T126" s="9">
        <v>15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2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112</v>
      </c>
      <c r="M127" s="16" t="s">
        <v>35</v>
      </c>
      <c r="N127" s="16" t="s">
        <v>22</v>
      </c>
      <c r="O127" s="16" t="s">
        <v>21</v>
      </c>
      <c r="Q127" s="9">
        <v>8</v>
      </c>
      <c r="R127" s="9">
        <v>17</v>
      </c>
      <c r="S127" s="9">
        <v>8</v>
      </c>
      <c r="T127" s="9">
        <v>3</v>
      </c>
      <c r="U127" s="9">
        <v>2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22</v>
      </c>
      <c r="M128" s="16" t="s">
        <v>19</v>
      </c>
      <c r="N128" s="16" t="s">
        <v>37</v>
      </c>
      <c r="O128" s="16" t="s">
        <v>21</v>
      </c>
      <c r="Q128" s="9">
        <v>5</v>
      </c>
      <c r="R128" s="9">
        <v>3</v>
      </c>
      <c r="S128" s="9">
        <v>5</v>
      </c>
      <c r="T128" s="9">
        <v>7</v>
      </c>
      <c r="U128" s="9">
        <v>2</v>
      </c>
      <c r="W128" s="25">
        <v>1</v>
      </c>
      <c r="X128" s="25">
        <v>1</v>
      </c>
      <c r="Y128" s="25">
        <v>2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92</v>
      </c>
      <c r="M129" s="16" t="s">
        <v>19</v>
      </c>
      <c r="N129" s="16" t="s">
        <v>126</v>
      </c>
      <c r="O129" s="16" t="s">
        <v>37</v>
      </c>
      <c r="Q129" s="9">
        <v>8</v>
      </c>
      <c r="R129" s="9">
        <v>16</v>
      </c>
      <c r="S129" s="9">
        <v>5</v>
      </c>
      <c r="T129" s="9">
        <v>6</v>
      </c>
      <c r="U129" s="9">
        <v>7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35</v>
      </c>
      <c r="M130" s="16" t="s">
        <v>126</v>
      </c>
      <c r="N130" s="16" t="s">
        <v>37</v>
      </c>
      <c r="O130" s="16" t="s">
        <v>34</v>
      </c>
      <c r="Q130" s="9">
        <v>7</v>
      </c>
      <c r="R130" s="9">
        <v>8</v>
      </c>
      <c r="S130" s="9">
        <v>6</v>
      </c>
      <c r="T130" s="9">
        <v>7</v>
      </c>
      <c r="U130" s="9">
        <v>9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35</v>
      </c>
      <c r="M131" s="16" t="s">
        <v>37</v>
      </c>
      <c r="N131" s="16" t="s">
        <v>36</v>
      </c>
      <c r="O131" s="16" t="s">
        <v>34</v>
      </c>
      <c r="Q131" s="9">
        <v>5</v>
      </c>
      <c r="R131" s="9">
        <v>8</v>
      </c>
      <c r="S131" s="9">
        <v>7</v>
      </c>
      <c r="T131" s="9">
        <v>10</v>
      </c>
      <c r="U131" s="9">
        <v>9</v>
      </c>
      <c r="W131" s="25">
        <v>1</v>
      </c>
      <c r="X131" s="25">
        <v>1</v>
      </c>
      <c r="Y131" s="25">
        <v>1</v>
      </c>
      <c r="Z131" s="25">
        <v>2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88</v>
      </c>
      <c r="M132" s="16" t="s">
        <v>37</v>
      </c>
      <c r="N132" s="16" t="s">
        <v>90</v>
      </c>
      <c r="O132" s="16" t="s">
        <v>35</v>
      </c>
      <c r="Q132" s="9">
        <v>7</v>
      </c>
      <c r="R132" s="9">
        <v>11</v>
      </c>
      <c r="S132" s="9">
        <v>7</v>
      </c>
      <c r="T132" s="9">
        <v>13</v>
      </c>
      <c r="U132" s="9">
        <v>8</v>
      </c>
      <c r="W132" s="25">
        <v>1</v>
      </c>
      <c r="X132" s="25">
        <v>2</v>
      </c>
      <c r="Y132" s="25">
        <v>1</v>
      </c>
      <c r="Z132" s="25">
        <v>2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22</v>
      </c>
      <c r="M133" s="16" t="s">
        <v>37</v>
      </c>
      <c r="N133" s="16" t="s">
        <v>20</v>
      </c>
      <c r="O133" s="16" t="s">
        <v>126</v>
      </c>
      <c r="Q133" s="9">
        <v>5</v>
      </c>
      <c r="R133" s="9">
        <v>3</v>
      </c>
      <c r="S133" s="9">
        <v>7</v>
      </c>
      <c r="T133" s="9">
        <v>1</v>
      </c>
      <c r="U133" s="9">
        <v>6</v>
      </c>
      <c r="W133" s="25">
        <v>1</v>
      </c>
      <c r="X133" s="25">
        <v>2</v>
      </c>
      <c r="Y133" s="25">
        <v>1</v>
      </c>
      <c r="Z133" s="25">
        <v>2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126</v>
      </c>
      <c r="N134" s="16" t="s">
        <v>21</v>
      </c>
      <c r="O134" s="16" t="s">
        <v>35</v>
      </c>
      <c r="Q134" s="9">
        <v>7</v>
      </c>
      <c r="R134" s="9">
        <v>3</v>
      </c>
      <c r="S134" s="9">
        <v>6</v>
      </c>
      <c r="T134" s="9">
        <v>2</v>
      </c>
      <c r="U134" s="9">
        <v>8</v>
      </c>
      <c r="W134" s="25">
        <v>1</v>
      </c>
      <c r="X134" s="25">
        <v>2</v>
      </c>
      <c r="Y134" s="25">
        <v>2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97</v>
      </c>
      <c r="M135" s="16" t="s">
        <v>126</v>
      </c>
      <c r="N135" s="16" t="s">
        <v>21</v>
      </c>
      <c r="O135" s="16" t="s">
        <v>21</v>
      </c>
      <c r="Q135" s="9">
        <v>7</v>
      </c>
      <c r="R135" s="9">
        <v>19</v>
      </c>
      <c r="S135" s="9">
        <v>6</v>
      </c>
      <c r="T135" s="9">
        <v>2</v>
      </c>
      <c r="U135" s="9">
        <v>2</v>
      </c>
      <c r="W135" s="25">
        <v>1</v>
      </c>
      <c r="X135" s="25">
        <v>2</v>
      </c>
      <c r="Y135" s="25">
        <v>2</v>
      </c>
      <c r="Z135" s="25">
        <v>1</v>
      </c>
      <c r="AA135" s="25">
        <v>2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126</v>
      </c>
      <c r="N136" s="16" t="s">
        <v>92</v>
      </c>
      <c r="O136" s="16" t="s">
        <v>34</v>
      </c>
      <c r="Q136" s="9">
        <v>8</v>
      </c>
      <c r="R136" s="9">
        <v>1</v>
      </c>
      <c r="S136" s="9">
        <v>6</v>
      </c>
      <c r="T136" s="9">
        <v>16</v>
      </c>
      <c r="U136" s="9">
        <v>9</v>
      </c>
      <c r="W136" s="25">
        <v>1</v>
      </c>
      <c r="X136" s="25">
        <v>2</v>
      </c>
      <c r="Y136" s="25">
        <v>2</v>
      </c>
      <c r="Z136" s="25">
        <v>1</v>
      </c>
      <c r="AA136" s="25">
        <v>2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126</v>
      </c>
      <c r="M137" s="16" t="s">
        <v>126</v>
      </c>
      <c r="N137" s="16" t="s">
        <v>112</v>
      </c>
      <c r="O137" s="16" t="s">
        <v>19</v>
      </c>
      <c r="Q137" s="9">
        <v>6</v>
      </c>
      <c r="R137" s="9">
        <v>6</v>
      </c>
      <c r="S137" s="9">
        <v>6</v>
      </c>
      <c r="T137" s="9">
        <v>17</v>
      </c>
      <c r="U137" s="9">
        <v>5</v>
      </c>
      <c r="W137" s="25">
        <v>1</v>
      </c>
      <c r="X137" s="25">
        <v>2</v>
      </c>
      <c r="Y137" s="25">
        <v>1</v>
      </c>
      <c r="Z137" s="25">
        <v>1</v>
      </c>
      <c r="AA137" s="25">
        <v>2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21</v>
      </c>
      <c r="M138" s="16" t="s">
        <v>35</v>
      </c>
      <c r="N138" s="16" t="s">
        <v>34</v>
      </c>
      <c r="O138" s="16" t="s">
        <v>22</v>
      </c>
      <c r="Q138" s="9">
        <v>8</v>
      </c>
      <c r="R138" s="9">
        <v>2</v>
      </c>
      <c r="S138" s="9">
        <v>8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2</v>
      </c>
      <c r="AA138" s="25">
        <v>2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91</v>
      </c>
      <c r="M139" s="16" t="s">
        <v>112</v>
      </c>
      <c r="N139" s="16" t="s">
        <v>18</v>
      </c>
      <c r="O139" s="16" t="s">
        <v>22</v>
      </c>
      <c r="Q139" s="9">
        <v>5</v>
      </c>
      <c r="R139" s="9">
        <v>14</v>
      </c>
      <c r="S139" s="9">
        <v>17</v>
      </c>
      <c r="T139" s="9">
        <v>4</v>
      </c>
      <c r="U139" s="9">
        <v>3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37</v>
      </c>
      <c r="L140" s="16" t="s">
        <v>37</v>
      </c>
      <c r="M140" s="16" t="s">
        <v>19</v>
      </c>
      <c r="N140" s="16" t="s">
        <v>18</v>
      </c>
      <c r="O140" s="16" t="s">
        <v>36</v>
      </c>
      <c r="Q140" s="9">
        <v>7</v>
      </c>
      <c r="R140" s="9">
        <v>7</v>
      </c>
      <c r="S140" s="9">
        <v>5</v>
      </c>
      <c r="T140" s="9">
        <v>4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126</v>
      </c>
      <c r="M141" s="16" t="s">
        <v>22</v>
      </c>
      <c r="N141" s="16" t="s">
        <v>112</v>
      </c>
      <c r="O141" s="16" t="s">
        <v>35</v>
      </c>
      <c r="Q141" s="9">
        <v>8</v>
      </c>
      <c r="R141" s="9">
        <v>6</v>
      </c>
      <c r="S141" s="9">
        <v>3</v>
      </c>
      <c r="T141" s="9">
        <v>17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89</v>
      </c>
      <c r="M142" s="16" t="s">
        <v>37</v>
      </c>
      <c r="N142" s="16" t="s">
        <v>95</v>
      </c>
      <c r="O142" s="16" t="s">
        <v>36</v>
      </c>
      <c r="Q142" s="9">
        <v>7</v>
      </c>
      <c r="R142" s="9">
        <v>12</v>
      </c>
      <c r="S142" s="9">
        <v>7</v>
      </c>
      <c r="T142" s="9">
        <v>18</v>
      </c>
      <c r="U142" s="9">
        <v>10</v>
      </c>
      <c r="W142" s="25">
        <v>1</v>
      </c>
      <c r="X142" s="25">
        <v>1</v>
      </c>
      <c r="Y142" s="25">
        <v>1</v>
      </c>
      <c r="Z142" s="25">
        <v>2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92</v>
      </c>
      <c r="M143" s="16" t="s">
        <v>127</v>
      </c>
      <c r="N143" s="16" t="s">
        <v>126</v>
      </c>
      <c r="O143" s="16" t="s">
        <v>37</v>
      </c>
      <c r="Q143" s="9">
        <v>8</v>
      </c>
      <c r="R143" s="9">
        <v>16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2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37</v>
      </c>
      <c r="M144" s="16" t="s">
        <v>34</v>
      </c>
      <c r="N144" s="16" t="s">
        <v>21</v>
      </c>
      <c r="O144" s="16" t="s">
        <v>37</v>
      </c>
      <c r="Q144" s="9">
        <v>8</v>
      </c>
      <c r="R144" s="9">
        <v>7</v>
      </c>
      <c r="S144" s="9">
        <v>9</v>
      </c>
      <c r="T144" s="9">
        <v>2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35</v>
      </c>
      <c r="N145" s="16" t="s">
        <v>89</v>
      </c>
      <c r="O145" s="16" t="s">
        <v>19</v>
      </c>
      <c r="Q145" s="9">
        <v>7</v>
      </c>
      <c r="R145" s="9">
        <v>7</v>
      </c>
      <c r="S145" s="9">
        <v>8</v>
      </c>
      <c r="T145" s="9">
        <v>12</v>
      </c>
      <c r="U145" s="9">
        <v>5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91</v>
      </c>
      <c r="M146" s="16" t="s">
        <v>35</v>
      </c>
      <c r="N146" s="16" t="s">
        <v>37</v>
      </c>
      <c r="O146" s="16" t="s">
        <v>34</v>
      </c>
      <c r="Q146" s="9">
        <v>6</v>
      </c>
      <c r="R146" s="9">
        <v>14</v>
      </c>
      <c r="S146" s="9">
        <v>8</v>
      </c>
      <c r="T146" s="9">
        <v>7</v>
      </c>
      <c r="U146" s="9">
        <v>9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36</v>
      </c>
      <c r="M147" s="16" t="s">
        <v>126</v>
      </c>
      <c r="N147" s="16" t="s">
        <v>127</v>
      </c>
      <c r="O147" s="16" t="s">
        <v>35</v>
      </c>
      <c r="Q147" s="9">
        <v>7</v>
      </c>
      <c r="R147" s="9">
        <v>10</v>
      </c>
      <c r="S147" s="9">
        <v>6</v>
      </c>
      <c r="T147" s="9">
        <v>15</v>
      </c>
      <c r="U147" s="9">
        <v>8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126</v>
      </c>
      <c r="L148" s="16" t="s">
        <v>37</v>
      </c>
      <c r="M148" s="16" t="s">
        <v>37</v>
      </c>
      <c r="N148" s="16" t="s">
        <v>35</v>
      </c>
      <c r="O148" s="16" t="s">
        <v>21</v>
      </c>
      <c r="Q148" s="9">
        <v>6</v>
      </c>
      <c r="R148" s="9">
        <v>7</v>
      </c>
      <c r="S148" s="9">
        <v>7</v>
      </c>
      <c r="T148" s="9">
        <v>8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2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88</v>
      </c>
      <c r="M149" s="16" t="s">
        <v>37</v>
      </c>
      <c r="N149" s="16" t="s">
        <v>35</v>
      </c>
      <c r="O149" s="16" t="s">
        <v>22</v>
      </c>
      <c r="Q149" s="9">
        <v>7</v>
      </c>
      <c r="R149" s="9">
        <v>11</v>
      </c>
      <c r="S149" s="9">
        <v>7</v>
      </c>
      <c r="T149" s="9">
        <v>8</v>
      </c>
      <c r="U149" s="9">
        <v>3</v>
      </c>
      <c r="W149" s="25">
        <v>1</v>
      </c>
      <c r="X149" s="25">
        <v>2</v>
      </c>
      <c r="Y149" s="25">
        <v>1</v>
      </c>
      <c r="Z149" s="25">
        <v>1</v>
      </c>
      <c r="AA149" s="25">
        <v>2</v>
      </c>
      <c r="AH149" s="5"/>
      <c r="AI149" s="5"/>
      <c r="AO149" s="5"/>
    </row>
    <row r="150" spans="10:41">
      <c r="J150" s="9">
        <v>146</v>
      </c>
      <c r="K150" s="16" t="s">
        <v>35</v>
      </c>
      <c r="L150" s="16" t="s">
        <v>21</v>
      </c>
      <c r="M150" s="16" t="s">
        <v>37</v>
      </c>
      <c r="N150" s="16" t="s">
        <v>18</v>
      </c>
      <c r="O150" s="16" t="s">
        <v>34</v>
      </c>
      <c r="Q150" s="9">
        <v>8</v>
      </c>
      <c r="R150" s="9">
        <v>2</v>
      </c>
      <c r="S150" s="9">
        <v>7</v>
      </c>
      <c r="T150" s="9">
        <v>4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2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21</v>
      </c>
      <c r="M151" s="16" t="s">
        <v>91</v>
      </c>
      <c r="N151" s="16" t="s">
        <v>35</v>
      </c>
      <c r="O151" s="16" t="s">
        <v>34</v>
      </c>
      <c r="Q151" s="9">
        <v>6</v>
      </c>
      <c r="R151" s="9">
        <v>2</v>
      </c>
      <c r="S151" s="9">
        <v>14</v>
      </c>
      <c r="T151" s="9">
        <v>8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2</v>
      </c>
      <c r="AH151" s="5"/>
      <c r="AI151" s="5"/>
      <c r="AO151" s="5"/>
    </row>
    <row r="152" spans="10:41">
      <c r="J152" s="9">
        <v>148</v>
      </c>
      <c r="K152" s="16" t="s">
        <v>35</v>
      </c>
      <c r="L152" s="16" t="s">
        <v>92</v>
      </c>
      <c r="M152" s="16" t="s">
        <v>35</v>
      </c>
      <c r="N152" s="16" t="s">
        <v>37</v>
      </c>
      <c r="O152" s="16" t="s">
        <v>22</v>
      </c>
      <c r="Q152" s="9">
        <v>8</v>
      </c>
      <c r="R152" s="9">
        <v>16</v>
      </c>
      <c r="S152" s="9">
        <v>8</v>
      </c>
      <c r="T152" s="9">
        <v>7</v>
      </c>
      <c r="U152" s="9">
        <v>3</v>
      </c>
      <c r="W152" s="25">
        <v>1</v>
      </c>
      <c r="X152" s="25">
        <v>1</v>
      </c>
      <c r="Y152" s="25">
        <v>1</v>
      </c>
      <c r="Z152" s="25">
        <v>1</v>
      </c>
      <c r="AA152" s="25">
        <v>2</v>
      </c>
      <c r="AH152" s="5"/>
      <c r="AI152" s="5"/>
      <c r="AO152" s="5"/>
    </row>
    <row r="153" spans="10:41">
      <c r="J153" s="25">
        <v>149</v>
      </c>
      <c r="K153" s="16" t="s">
        <v>34</v>
      </c>
      <c r="L153" s="16" t="s">
        <v>34</v>
      </c>
      <c r="M153" s="16" t="s">
        <v>126</v>
      </c>
      <c r="N153" s="16" t="s">
        <v>21</v>
      </c>
      <c r="O153" s="16" t="s">
        <v>126</v>
      </c>
      <c r="Q153" s="9">
        <v>9</v>
      </c>
      <c r="R153" s="9">
        <v>9</v>
      </c>
      <c r="S153" s="9">
        <v>6</v>
      </c>
      <c r="T153" s="9">
        <v>2</v>
      </c>
      <c r="U153" s="9">
        <v>6</v>
      </c>
      <c r="W153" s="25">
        <v>1</v>
      </c>
      <c r="X153" s="25">
        <v>1</v>
      </c>
      <c r="Y153" s="25">
        <v>1</v>
      </c>
      <c r="Z153" s="25">
        <v>2</v>
      </c>
      <c r="AA153" s="25">
        <v>2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112</v>
      </c>
      <c r="M154" s="16" t="s">
        <v>35</v>
      </c>
      <c r="N154" s="16" t="s">
        <v>34</v>
      </c>
      <c r="O154" s="16" t="s">
        <v>36</v>
      </c>
      <c r="Q154" s="9">
        <v>5</v>
      </c>
      <c r="R154" s="9">
        <v>17</v>
      </c>
      <c r="S154" s="9">
        <v>8</v>
      </c>
      <c r="T154" s="9">
        <v>9</v>
      </c>
      <c r="U154" s="9">
        <v>10</v>
      </c>
      <c r="W154" s="25">
        <v>1</v>
      </c>
      <c r="X154" s="25">
        <v>1</v>
      </c>
      <c r="Y154" s="25">
        <v>1</v>
      </c>
      <c r="Z154" s="25">
        <v>2</v>
      </c>
      <c r="AA154" s="25">
        <v>2</v>
      </c>
      <c r="AH154" s="5"/>
      <c r="AI154" s="5"/>
      <c r="AO154" s="5"/>
    </row>
    <row r="155" spans="10:41">
      <c r="J155" s="25">
        <v>151</v>
      </c>
      <c r="K155" s="16" t="s">
        <v>37</v>
      </c>
      <c r="L155" s="16" t="s">
        <v>90</v>
      </c>
      <c r="M155" s="16" t="s">
        <v>37</v>
      </c>
      <c r="N155" s="16" t="s">
        <v>19</v>
      </c>
      <c r="O155" s="16" t="s">
        <v>34</v>
      </c>
      <c r="Q155" s="9">
        <v>7</v>
      </c>
      <c r="R155" s="9">
        <v>13</v>
      </c>
      <c r="S155" s="9">
        <v>7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2</v>
      </c>
      <c r="AA155" s="25">
        <v>2</v>
      </c>
      <c r="AH155" s="5"/>
      <c r="AI155" s="5"/>
      <c r="AO155" s="5"/>
    </row>
    <row r="156" spans="10:41">
      <c r="J156" s="9">
        <v>152</v>
      </c>
      <c r="K156" s="16" t="s">
        <v>19</v>
      </c>
      <c r="L156" s="16" t="s">
        <v>126</v>
      </c>
      <c r="M156" s="16" t="s">
        <v>92</v>
      </c>
      <c r="N156" s="16" t="s">
        <v>91</v>
      </c>
      <c r="O156" s="16" t="s">
        <v>21</v>
      </c>
      <c r="Q156" s="9">
        <v>5</v>
      </c>
      <c r="R156" s="9">
        <v>6</v>
      </c>
      <c r="S156" s="9">
        <v>16</v>
      </c>
      <c r="T156" s="9">
        <v>14</v>
      </c>
      <c r="U156" s="9">
        <v>2</v>
      </c>
      <c r="W156" s="25">
        <v>1</v>
      </c>
      <c r="X156" s="25">
        <v>1</v>
      </c>
      <c r="Y156" s="25">
        <v>1</v>
      </c>
      <c r="Z156" s="25">
        <v>2</v>
      </c>
      <c r="AA156" s="25">
        <v>2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37</v>
      </c>
      <c r="N157" s="16" t="s">
        <v>19</v>
      </c>
      <c r="O157" s="16" t="s">
        <v>34</v>
      </c>
      <c r="Q157" s="9">
        <v>7</v>
      </c>
      <c r="R157" s="9">
        <v>8</v>
      </c>
      <c r="S157" s="9">
        <v>7</v>
      </c>
      <c r="T157" s="9">
        <v>5</v>
      </c>
      <c r="U157" s="9">
        <v>9</v>
      </c>
      <c r="W157" s="25">
        <v>1</v>
      </c>
      <c r="X157" s="25">
        <v>1</v>
      </c>
      <c r="Y157" s="25">
        <v>1</v>
      </c>
      <c r="Z157" s="25">
        <v>2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127</v>
      </c>
      <c r="M158" s="16" t="s">
        <v>34</v>
      </c>
      <c r="N158" s="16" t="s">
        <v>19</v>
      </c>
      <c r="O158" s="16" t="s">
        <v>36</v>
      </c>
      <c r="Q158" s="9">
        <v>5</v>
      </c>
      <c r="R158" s="9">
        <v>15</v>
      </c>
      <c r="S158" s="9">
        <v>9</v>
      </c>
      <c r="T158" s="9">
        <v>5</v>
      </c>
      <c r="U158" s="9">
        <v>10</v>
      </c>
      <c r="W158" s="25">
        <v>2</v>
      </c>
      <c r="X158" s="25">
        <v>2</v>
      </c>
      <c r="Y158" s="25">
        <v>1</v>
      </c>
      <c r="Z158" s="25">
        <v>2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34</v>
      </c>
      <c r="L159" s="16" t="s">
        <v>21</v>
      </c>
      <c r="M159" s="16" t="s">
        <v>19</v>
      </c>
      <c r="N159" s="16" t="s">
        <v>34</v>
      </c>
      <c r="O159" s="16" t="s">
        <v>35</v>
      </c>
      <c r="Q159" s="9">
        <v>9</v>
      </c>
      <c r="R159" s="9">
        <v>2</v>
      </c>
      <c r="S159" s="9">
        <v>5</v>
      </c>
      <c r="T159" s="9">
        <v>9</v>
      </c>
      <c r="U159" s="9">
        <v>8</v>
      </c>
      <c r="W159" s="25">
        <v>1</v>
      </c>
      <c r="X159" s="25">
        <v>1</v>
      </c>
      <c r="Y159" s="25">
        <v>1</v>
      </c>
      <c r="Z159" s="25">
        <v>2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21</v>
      </c>
      <c r="M160" s="16" t="s">
        <v>35</v>
      </c>
      <c r="N160" s="16" t="s">
        <v>21</v>
      </c>
      <c r="O160" s="16" t="s">
        <v>22</v>
      </c>
      <c r="Q160" s="9">
        <v>5</v>
      </c>
      <c r="R160" s="9">
        <v>2</v>
      </c>
      <c r="S160" s="9">
        <v>8</v>
      </c>
      <c r="T160" s="9">
        <v>2</v>
      </c>
      <c r="U160" s="9">
        <v>3</v>
      </c>
      <c r="W160" s="25">
        <v>1</v>
      </c>
      <c r="X160" s="25">
        <v>1</v>
      </c>
      <c r="Y160" s="25">
        <v>1</v>
      </c>
      <c r="Z160" s="25">
        <v>2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35</v>
      </c>
      <c r="M161" s="16" t="s">
        <v>19</v>
      </c>
      <c r="N161" s="16" t="s">
        <v>34</v>
      </c>
      <c r="O161" s="16" t="s">
        <v>21</v>
      </c>
      <c r="Q161" s="9">
        <v>8</v>
      </c>
      <c r="R161" s="9">
        <v>8</v>
      </c>
      <c r="S161" s="9">
        <v>5</v>
      </c>
      <c r="T161" s="9">
        <v>9</v>
      </c>
      <c r="U161" s="9">
        <v>2</v>
      </c>
      <c r="W161" s="25">
        <v>1</v>
      </c>
      <c r="X161" s="25">
        <v>1</v>
      </c>
      <c r="Y161" s="25">
        <v>1</v>
      </c>
      <c r="Z161" s="25">
        <v>2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97</v>
      </c>
      <c r="M162" s="16" t="s">
        <v>37</v>
      </c>
      <c r="N162" s="16" t="s">
        <v>34</v>
      </c>
      <c r="O162" s="16" t="s">
        <v>37</v>
      </c>
      <c r="Q162" s="9">
        <v>5</v>
      </c>
      <c r="R162" s="9">
        <v>19</v>
      </c>
      <c r="S162" s="9">
        <v>7</v>
      </c>
      <c r="T162" s="9">
        <v>9</v>
      </c>
      <c r="U162" s="9">
        <v>7</v>
      </c>
      <c r="W162" s="25">
        <v>2</v>
      </c>
      <c r="X162" s="25">
        <v>1</v>
      </c>
      <c r="Y162" s="25">
        <v>1</v>
      </c>
      <c r="Z162" s="25">
        <v>2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22</v>
      </c>
      <c r="L163" s="16" t="s">
        <v>127</v>
      </c>
      <c r="M163" s="16" t="s">
        <v>19</v>
      </c>
      <c r="N163" s="16" t="s">
        <v>34</v>
      </c>
      <c r="O163" s="16" t="s">
        <v>19</v>
      </c>
      <c r="Q163" s="9">
        <v>3</v>
      </c>
      <c r="R163" s="9">
        <v>15</v>
      </c>
      <c r="S163" s="9">
        <v>5</v>
      </c>
      <c r="T163" s="9">
        <v>9</v>
      </c>
      <c r="U163" s="9">
        <v>5</v>
      </c>
      <c r="W163" s="25">
        <v>1</v>
      </c>
      <c r="X163" s="25">
        <v>1</v>
      </c>
      <c r="Y163" s="25">
        <v>1</v>
      </c>
      <c r="Z163" s="25">
        <v>2</v>
      </c>
      <c r="AA163" s="25">
        <v>2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35</v>
      </c>
      <c r="N164" s="16" t="s">
        <v>36</v>
      </c>
      <c r="O164" s="16" t="s">
        <v>21</v>
      </c>
      <c r="Q164" s="9">
        <v>5</v>
      </c>
      <c r="R164" s="9">
        <v>7</v>
      </c>
      <c r="S164" s="9">
        <v>8</v>
      </c>
      <c r="T164" s="9">
        <v>10</v>
      </c>
      <c r="U164" s="9">
        <v>2</v>
      </c>
      <c r="W164" s="25">
        <v>1</v>
      </c>
      <c r="X164" s="25">
        <v>1</v>
      </c>
      <c r="Y164" s="25">
        <v>1</v>
      </c>
      <c r="Z164" s="25">
        <v>1</v>
      </c>
      <c r="AA164" s="25">
        <v>2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36</v>
      </c>
      <c r="M165" s="16" t="s">
        <v>19</v>
      </c>
      <c r="N165" s="16" t="s">
        <v>91</v>
      </c>
      <c r="O165" s="16" t="s">
        <v>126</v>
      </c>
      <c r="Q165" s="9">
        <v>7</v>
      </c>
      <c r="R165" s="9">
        <v>10</v>
      </c>
      <c r="S165" s="9">
        <v>5</v>
      </c>
      <c r="T165" s="9">
        <v>14</v>
      </c>
      <c r="U165" s="9">
        <v>6</v>
      </c>
      <c r="W165" s="25">
        <v>1</v>
      </c>
      <c r="X165" s="25">
        <v>2</v>
      </c>
      <c r="Y165" s="25">
        <v>1</v>
      </c>
      <c r="Z165" s="25">
        <v>1</v>
      </c>
      <c r="AA165" s="25">
        <v>2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126</v>
      </c>
      <c r="M166" s="16" t="s">
        <v>35</v>
      </c>
      <c r="N166" s="16" t="s">
        <v>35</v>
      </c>
      <c r="O166" s="16" t="s">
        <v>22</v>
      </c>
      <c r="Q166" s="9">
        <v>5</v>
      </c>
      <c r="R166" s="9">
        <v>6</v>
      </c>
      <c r="S166" s="9">
        <v>8</v>
      </c>
      <c r="T166" s="9">
        <v>8</v>
      </c>
      <c r="U166" s="9">
        <v>3</v>
      </c>
      <c r="W166" s="25">
        <v>2</v>
      </c>
      <c r="X166" s="25">
        <v>1</v>
      </c>
      <c r="Y166" s="25">
        <v>1</v>
      </c>
      <c r="Z166" s="25">
        <v>1</v>
      </c>
      <c r="AA166" s="25">
        <v>2</v>
      </c>
      <c r="AH166" s="5"/>
      <c r="AI166" s="5"/>
      <c r="AO166" s="5"/>
    </row>
    <row r="167" spans="10:41">
      <c r="J167" s="25">
        <v>163</v>
      </c>
      <c r="K167" s="16" t="s">
        <v>126</v>
      </c>
      <c r="L167" s="16" t="s">
        <v>95</v>
      </c>
      <c r="M167" s="16" t="s">
        <v>37</v>
      </c>
      <c r="N167" s="16" t="s">
        <v>21</v>
      </c>
      <c r="O167" s="16" t="s">
        <v>34</v>
      </c>
      <c r="Q167" s="9">
        <v>6</v>
      </c>
      <c r="R167" s="9">
        <v>18</v>
      </c>
      <c r="S167" s="9">
        <v>7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2</v>
      </c>
      <c r="AA167" s="25">
        <v>2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37</v>
      </c>
      <c r="M168" s="16" t="s">
        <v>35</v>
      </c>
      <c r="N168" s="16" t="s">
        <v>22</v>
      </c>
      <c r="O168" s="16" t="s">
        <v>36</v>
      </c>
      <c r="Q168" s="9">
        <v>5</v>
      </c>
      <c r="R168" s="9">
        <v>7</v>
      </c>
      <c r="S168" s="9">
        <v>8</v>
      </c>
      <c r="T168" s="9">
        <v>3</v>
      </c>
      <c r="U168" s="9">
        <v>10</v>
      </c>
      <c r="W168" s="25">
        <v>1</v>
      </c>
      <c r="X168" s="25">
        <v>1</v>
      </c>
      <c r="Y168" s="25">
        <v>1</v>
      </c>
      <c r="Z168" s="25">
        <v>2</v>
      </c>
      <c r="AA168" s="25">
        <v>2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21</v>
      </c>
      <c r="M169" s="16" t="s">
        <v>35</v>
      </c>
      <c r="N169" s="16" t="s">
        <v>22</v>
      </c>
      <c r="O169" s="16" t="s">
        <v>19</v>
      </c>
      <c r="Q169" s="9">
        <v>7</v>
      </c>
      <c r="R169" s="9">
        <v>2</v>
      </c>
      <c r="S169" s="9">
        <v>8</v>
      </c>
      <c r="T169" s="9">
        <v>3</v>
      </c>
      <c r="U169" s="9">
        <v>5</v>
      </c>
      <c r="W169" s="25">
        <v>1</v>
      </c>
      <c r="X169" s="25">
        <v>1</v>
      </c>
      <c r="Y169" s="25">
        <v>1</v>
      </c>
      <c r="Z169" s="25">
        <v>2</v>
      </c>
      <c r="AA169" s="25">
        <v>2</v>
      </c>
      <c r="AH169" s="5"/>
      <c r="AI169" s="5"/>
      <c r="AO169" s="5"/>
    </row>
    <row r="170" spans="10:41">
      <c r="J170" s="9">
        <v>166</v>
      </c>
      <c r="K170" s="16" t="s">
        <v>126</v>
      </c>
      <c r="L170" s="16" t="s">
        <v>37</v>
      </c>
      <c r="M170" s="16" t="s">
        <v>35</v>
      </c>
      <c r="N170" s="16" t="s">
        <v>22</v>
      </c>
      <c r="O170" s="16" t="s">
        <v>126</v>
      </c>
      <c r="Q170" s="9">
        <v>6</v>
      </c>
      <c r="R170" s="9">
        <v>7</v>
      </c>
      <c r="S170" s="9">
        <v>8</v>
      </c>
      <c r="T170" s="9">
        <v>3</v>
      </c>
      <c r="U170" s="9">
        <v>6</v>
      </c>
      <c r="W170" s="25">
        <v>1</v>
      </c>
      <c r="X170" s="25">
        <v>1</v>
      </c>
      <c r="Y170" s="25">
        <v>1</v>
      </c>
      <c r="Z170" s="25">
        <v>2</v>
      </c>
      <c r="AA170" s="25">
        <v>2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88</v>
      </c>
      <c r="M171" s="16" t="s">
        <v>37</v>
      </c>
      <c r="N171" s="16" t="s">
        <v>34</v>
      </c>
      <c r="O171" s="16" t="s">
        <v>18</v>
      </c>
      <c r="Q171" s="9">
        <v>8</v>
      </c>
      <c r="R171" s="9">
        <v>11</v>
      </c>
      <c r="S171" s="9">
        <v>7</v>
      </c>
      <c r="T171" s="9">
        <v>9</v>
      </c>
      <c r="U171" s="9">
        <v>4</v>
      </c>
      <c r="W171" s="25">
        <v>1</v>
      </c>
      <c r="X171" s="25">
        <v>2</v>
      </c>
      <c r="Y171" s="25">
        <v>1</v>
      </c>
      <c r="Z171" s="25">
        <v>2</v>
      </c>
      <c r="AA171" s="25">
        <v>2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88</v>
      </c>
      <c r="M172" s="16" t="s">
        <v>37</v>
      </c>
      <c r="N172" s="16" t="s">
        <v>19</v>
      </c>
      <c r="O172" s="16" t="s">
        <v>18</v>
      </c>
      <c r="Q172" s="9">
        <v>7</v>
      </c>
      <c r="R172" s="9">
        <v>11</v>
      </c>
      <c r="S172" s="9">
        <v>7</v>
      </c>
      <c r="T172" s="9">
        <v>5</v>
      </c>
      <c r="U172" s="9">
        <v>4</v>
      </c>
      <c r="W172" s="25">
        <v>1</v>
      </c>
      <c r="X172" s="25">
        <v>2</v>
      </c>
      <c r="Y172" s="25">
        <v>1</v>
      </c>
      <c r="Z172" s="25">
        <v>2</v>
      </c>
      <c r="AA172" s="25">
        <v>2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36</v>
      </c>
      <c r="M173" s="16" t="s">
        <v>126</v>
      </c>
      <c r="N173" s="16" t="s">
        <v>19</v>
      </c>
      <c r="O173" s="16" t="s">
        <v>36</v>
      </c>
      <c r="Q173" s="9">
        <v>6</v>
      </c>
      <c r="R173" s="9">
        <v>10</v>
      </c>
      <c r="S173" s="9">
        <v>6</v>
      </c>
      <c r="T173" s="9">
        <v>5</v>
      </c>
      <c r="U173" s="9">
        <v>10</v>
      </c>
      <c r="W173" s="25">
        <v>2</v>
      </c>
      <c r="X173" s="25">
        <v>2</v>
      </c>
      <c r="Y173" s="25">
        <v>1</v>
      </c>
      <c r="Z173" s="25">
        <v>2</v>
      </c>
      <c r="AA173" s="25">
        <v>2</v>
      </c>
      <c r="AH173" s="5"/>
      <c r="AI173" s="5"/>
      <c r="AO173" s="5"/>
    </row>
    <row r="174" spans="10:41">
      <c r="J174" s="9">
        <v>170</v>
      </c>
      <c r="K174" s="16" t="s">
        <v>126</v>
      </c>
      <c r="L174" s="16" t="s">
        <v>21</v>
      </c>
      <c r="M174" s="16" t="s">
        <v>35</v>
      </c>
      <c r="N174" s="16" t="s">
        <v>18</v>
      </c>
      <c r="O174" s="16" t="s">
        <v>36</v>
      </c>
      <c r="Q174" s="9">
        <v>6</v>
      </c>
      <c r="R174" s="9">
        <v>2</v>
      </c>
      <c r="S174" s="9">
        <v>8</v>
      </c>
      <c r="T174" s="9">
        <v>4</v>
      </c>
      <c r="U174" s="9">
        <v>10</v>
      </c>
      <c r="W174" s="25">
        <v>2</v>
      </c>
      <c r="X174" s="25">
        <v>2</v>
      </c>
      <c r="Y174" s="25">
        <v>1</v>
      </c>
      <c r="Z174" s="25">
        <v>2</v>
      </c>
      <c r="AA174" s="25">
        <v>2</v>
      </c>
      <c r="AH174" s="5"/>
      <c r="AI174" s="5"/>
      <c r="AO174" s="5"/>
    </row>
    <row r="175" spans="10:41">
      <c r="J175" s="25">
        <v>171</v>
      </c>
      <c r="K175" s="16" t="s">
        <v>126</v>
      </c>
      <c r="L175" s="16" t="s">
        <v>126</v>
      </c>
      <c r="M175" s="16" t="s">
        <v>35</v>
      </c>
      <c r="N175" s="16" t="s">
        <v>97</v>
      </c>
      <c r="O175" s="16" t="s">
        <v>18</v>
      </c>
      <c r="Q175" s="9">
        <v>6</v>
      </c>
      <c r="R175" s="9">
        <v>6</v>
      </c>
      <c r="S175" s="9">
        <v>8</v>
      </c>
      <c r="T175" s="9">
        <v>19</v>
      </c>
      <c r="U175" s="9">
        <v>4</v>
      </c>
      <c r="W175" s="25">
        <v>1</v>
      </c>
      <c r="X175" s="25">
        <v>2</v>
      </c>
      <c r="Y175" s="25">
        <v>1</v>
      </c>
      <c r="Z175" s="25">
        <v>2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36</v>
      </c>
      <c r="L176" s="16" t="s">
        <v>127</v>
      </c>
      <c r="M176" s="16" t="s">
        <v>37</v>
      </c>
      <c r="N176" s="16" t="s">
        <v>36</v>
      </c>
      <c r="O176" s="16" t="s">
        <v>126</v>
      </c>
      <c r="Q176" s="9">
        <v>10</v>
      </c>
      <c r="R176" s="9">
        <v>15</v>
      </c>
      <c r="S176" s="9">
        <v>7</v>
      </c>
      <c r="T176" s="9">
        <v>10</v>
      </c>
      <c r="U176" s="9">
        <v>6</v>
      </c>
      <c r="W176" s="25">
        <v>1</v>
      </c>
      <c r="X176" s="25">
        <v>2</v>
      </c>
      <c r="Y176" s="25">
        <v>1</v>
      </c>
      <c r="Z176" s="25">
        <v>2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89</v>
      </c>
      <c r="M177" s="16" t="s">
        <v>19</v>
      </c>
      <c r="N177" s="16" t="s">
        <v>18</v>
      </c>
      <c r="O177" s="16" t="s">
        <v>37</v>
      </c>
      <c r="Q177" s="9">
        <v>7</v>
      </c>
      <c r="R177" s="9">
        <v>12</v>
      </c>
      <c r="S177" s="9">
        <v>5</v>
      </c>
      <c r="T177" s="9">
        <v>4</v>
      </c>
      <c r="U177" s="9">
        <v>7</v>
      </c>
      <c r="W177" s="25">
        <v>1</v>
      </c>
      <c r="X177" s="25">
        <v>2</v>
      </c>
      <c r="Y177" s="25">
        <v>1</v>
      </c>
      <c r="Z177" s="25">
        <v>2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18</v>
      </c>
      <c r="L178" s="16" t="s">
        <v>19</v>
      </c>
      <c r="M178" s="16" t="s">
        <v>34</v>
      </c>
      <c r="N178" s="16" t="s">
        <v>126</v>
      </c>
      <c r="O178" s="16" t="s">
        <v>19</v>
      </c>
      <c r="Q178" s="9">
        <v>4</v>
      </c>
      <c r="R178" s="9">
        <v>5</v>
      </c>
      <c r="S178" s="9">
        <v>9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2</v>
      </c>
      <c r="AA178" s="25">
        <v>2</v>
      </c>
      <c r="AH178" s="5"/>
      <c r="AI178" s="5"/>
      <c r="AO178" s="5"/>
    </row>
    <row r="179" spans="10:41">
      <c r="J179" s="25">
        <v>175</v>
      </c>
      <c r="K179" s="16" t="s">
        <v>126</v>
      </c>
      <c r="L179" s="16" t="s">
        <v>19</v>
      </c>
      <c r="M179" s="16" t="s">
        <v>37</v>
      </c>
      <c r="N179" s="16" t="s">
        <v>21</v>
      </c>
      <c r="O179" s="16" t="s">
        <v>18</v>
      </c>
      <c r="Q179" s="9">
        <v>6</v>
      </c>
      <c r="R179" s="9">
        <v>5</v>
      </c>
      <c r="S179" s="9">
        <v>7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2</v>
      </c>
      <c r="AH179" s="5"/>
      <c r="AI179" s="5"/>
      <c r="AO179" s="5"/>
    </row>
    <row r="180" spans="10:41">
      <c r="J180" s="9">
        <v>176</v>
      </c>
      <c r="K180" s="16" t="s">
        <v>35</v>
      </c>
      <c r="L180" s="16" t="s">
        <v>92</v>
      </c>
      <c r="M180" s="16" t="s">
        <v>22</v>
      </c>
      <c r="N180" s="16" t="s">
        <v>20</v>
      </c>
      <c r="O180" s="16" t="s">
        <v>34</v>
      </c>
      <c r="Q180" s="9">
        <v>8</v>
      </c>
      <c r="R180" s="9">
        <v>16</v>
      </c>
      <c r="S180" s="9">
        <v>3</v>
      </c>
      <c r="T180" s="9">
        <v>1</v>
      </c>
      <c r="U180" s="9">
        <v>9</v>
      </c>
      <c r="W180" s="25">
        <v>1</v>
      </c>
      <c r="X180" s="25">
        <v>1</v>
      </c>
      <c r="Y180" s="25">
        <v>2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19</v>
      </c>
      <c r="M181" s="16" t="s">
        <v>21</v>
      </c>
      <c r="N181" s="16" t="s">
        <v>37</v>
      </c>
      <c r="O181" s="16" t="s">
        <v>22</v>
      </c>
      <c r="Q181" s="9">
        <v>7</v>
      </c>
      <c r="R181" s="9">
        <v>5</v>
      </c>
      <c r="S181" s="9">
        <v>2</v>
      </c>
      <c r="T181" s="9">
        <v>7</v>
      </c>
      <c r="U181" s="9">
        <v>3</v>
      </c>
      <c r="W181" s="25">
        <v>1</v>
      </c>
      <c r="X181" s="25">
        <v>1</v>
      </c>
      <c r="Y181" s="25">
        <v>2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21</v>
      </c>
      <c r="N182" s="16" t="s">
        <v>88</v>
      </c>
      <c r="O182" s="16" t="s">
        <v>37</v>
      </c>
      <c r="Q182" s="9">
        <v>7</v>
      </c>
      <c r="R182" s="9">
        <v>8</v>
      </c>
      <c r="S182" s="9">
        <v>2</v>
      </c>
      <c r="T182" s="9">
        <v>11</v>
      </c>
      <c r="U182" s="9">
        <v>7</v>
      </c>
      <c r="W182" s="25">
        <v>1</v>
      </c>
      <c r="X182" s="25">
        <v>1</v>
      </c>
      <c r="Y182" s="25">
        <v>2</v>
      </c>
      <c r="Z182" s="25">
        <v>2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35</v>
      </c>
      <c r="L183" s="16" t="s">
        <v>88</v>
      </c>
      <c r="M183" s="16" t="s">
        <v>126</v>
      </c>
      <c r="N183" s="16" t="s">
        <v>18</v>
      </c>
      <c r="O183" s="16" t="s">
        <v>19</v>
      </c>
      <c r="Q183" s="9">
        <v>8</v>
      </c>
      <c r="R183" s="9">
        <v>11</v>
      </c>
      <c r="S183" s="9">
        <v>6</v>
      </c>
      <c r="T183" s="9">
        <v>4</v>
      </c>
      <c r="U183" s="9">
        <v>5</v>
      </c>
      <c r="W183" s="25">
        <v>1</v>
      </c>
      <c r="X183" s="25">
        <v>1</v>
      </c>
      <c r="Y183" s="25">
        <v>2</v>
      </c>
      <c r="Z183" s="25">
        <v>2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126</v>
      </c>
      <c r="N184" s="16" t="s">
        <v>89</v>
      </c>
      <c r="O184" s="16" t="s">
        <v>35</v>
      </c>
      <c r="Q184" s="9">
        <v>8</v>
      </c>
      <c r="R184" s="9">
        <v>7</v>
      </c>
      <c r="S184" s="9">
        <v>6</v>
      </c>
      <c r="T184" s="9">
        <v>12</v>
      </c>
      <c r="U184" s="9">
        <v>8</v>
      </c>
      <c r="W184" s="25">
        <v>1</v>
      </c>
      <c r="X184" s="25">
        <v>1</v>
      </c>
      <c r="Y184" s="25">
        <v>2</v>
      </c>
      <c r="Z184" s="25">
        <v>2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126</v>
      </c>
      <c r="L185" s="16" t="s">
        <v>88</v>
      </c>
      <c r="M185" s="16" t="s">
        <v>91</v>
      </c>
      <c r="N185" s="16" t="s">
        <v>18</v>
      </c>
      <c r="O185" s="16" t="s">
        <v>34</v>
      </c>
      <c r="Q185" s="9">
        <v>6</v>
      </c>
      <c r="R185" s="9">
        <v>11</v>
      </c>
      <c r="S185" s="9">
        <v>14</v>
      </c>
      <c r="T185" s="9">
        <v>4</v>
      </c>
      <c r="U185" s="9">
        <v>9</v>
      </c>
      <c r="W185" s="25">
        <v>1</v>
      </c>
      <c r="X185" s="25">
        <v>1</v>
      </c>
      <c r="Y185" s="25">
        <v>2</v>
      </c>
      <c r="Z185" s="25">
        <v>2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35</v>
      </c>
      <c r="M186" s="16" t="s">
        <v>19</v>
      </c>
      <c r="N186" s="16" t="s">
        <v>34</v>
      </c>
      <c r="O186" s="16" t="s">
        <v>35</v>
      </c>
      <c r="Q186" s="9">
        <v>7</v>
      </c>
      <c r="R186" s="9">
        <v>8</v>
      </c>
      <c r="S186" s="9">
        <v>5</v>
      </c>
      <c r="T186" s="9">
        <v>9</v>
      </c>
      <c r="U186" s="9">
        <v>8</v>
      </c>
      <c r="W186" s="25">
        <v>1</v>
      </c>
      <c r="X186" s="25">
        <v>1</v>
      </c>
      <c r="Y186" s="25">
        <v>1</v>
      </c>
      <c r="Z186" s="25">
        <v>2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91</v>
      </c>
      <c r="M187" s="16" t="s">
        <v>18</v>
      </c>
      <c r="N187" s="16" t="s">
        <v>34</v>
      </c>
      <c r="O187" s="16" t="s">
        <v>36</v>
      </c>
      <c r="Q187" s="9">
        <v>8</v>
      </c>
      <c r="R187" s="9">
        <v>14</v>
      </c>
      <c r="S187" s="9">
        <v>4</v>
      </c>
      <c r="T187" s="9">
        <v>9</v>
      </c>
      <c r="U187" s="9">
        <v>10</v>
      </c>
      <c r="W187" s="25">
        <v>1</v>
      </c>
      <c r="X187" s="25">
        <v>1</v>
      </c>
      <c r="Y187" s="25">
        <v>1</v>
      </c>
      <c r="Z187" s="25">
        <v>2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126</v>
      </c>
      <c r="L188" s="16" t="s">
        <v>112</v>
      </c>
      <c r="M188" s="16" t="s">
        <v>37</v>
      </c>
      <c r="N188" s="16" t="s">
        <v>90</v>
      </c>
      <c r="O188" s="16" t="s">
        <v>126</v>
      </c>
      <c r="Q188" s="9">
        <v>6</v>
      </c>
      <c r="R188" s="9">
        <v>17</v>
      </c>
      <c r="S188" s="9">
        <v>7</v>
      </c>
      <c r="T188" s="9">
        <v>13</v>
      </c>
      <c r="U188" s="9">
        <v>6</v>
      </c>
      <c r="W188" s="25">
        <v>1</v>
      </c>
      <c r="X188" s="25">
        <v>1</v>
      </c>
      <c r="Y188" s="25">
        <v>1</v>
      </c>
      <c r="Z188" s="25">
        <v>2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37</v>
      </c>
      <c r="L189" s="16" t="s">
        <v>37</v>
      </c>
      <c r="M189" s="16" t="s">
        <v>36</v>
      </c>
      <c r="N189" s="16" t="s">
        <v>22</v>
      </c>
      <c r="O189" s="16" t="s">
        <v>37</v>
      </c>
      <c r="Q189" s="9">
        <v>7</v>
      </c>
      <c r="R189" s="9">
        <v>7</v>
      </c>
      <c r="S189" s="9">
        <v>10</v>
      </c>
      <c r="T189" s="9">
        <v>3</v>
      </c>
      <c r="U189" s="9">
        <v>7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89</v>
      </c>
      <c r="M190" s="16" t="s">
        <v>37</v>
      </c>
      <c r="N190" s="16" t="s">
        <v>89</v>
      </c>
      <c r="O190" s="16" t="s">
        <v>37</v>
      </c>
      <c r="Q190" s="9">
        <v>5</v>
      </c>
      <c r="R190" s="9">
        <v>12</v>
      </c>
      <c r="S190" s="9">
        <v>7</v>
      </c>
      <c r="T190" s="9">
        <v>12</v>
      </c>
      <c r="U190" s="9">
        <v>7</v>
      </c>
      <c r="W190" s="25">
        <v>2</v>
      </c>
      <c r="X190" s="25">
        <v>2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97</v>
      </c>
      <c r="M191" s="16" t="s">
        <v>126</v>
      </c>
      <c r="N191" s="16" t="s">
        <v>35</v>
      </c>
      <c r="O191" s="16" t="s">
        <v>22</v>
      </c>
      <c r="Q191" s="9">
        <v>5</v>
      </c>
      <c r="R191" s="9">
        <v>19</v>
      </c>
      <c r="S191" s="9">
        <v>6</v>
      </c>
      <c r="T191" s="9">
        <v>8</v>
      </c>
      <c r="U191" s="9">
        <v>3</v>
      </c>
      <c r="W191" s="25">
        <v>2</v>
      </c>
      <c r="X191" s="25">
        <v>2</v>
      </c>
      <c r="Y191" s="25">
        <v>1</v>
      </c>
      <c r="Z191" s="25">
        <v>1</v>
      </c>
      <c r="AA191" s="25">
        <v>2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126</v>
      </c>
      <c r="M192" s="16" t="s">
        <v>92</v>
      </c>
      <c r="N192" s="16" t="s">
        <v>36</v>
      </c>
      <c r="O192" s="16" t="s">
        <v>34</v>
      </c>
      <c r="Q192" s="9">
        <v>5</v>
      </c>
      <c r="R192" s="9">
        <v>6</v>
      </c>
      <c r="S192" s="9">
        <v>16</v>
      </c>
      <c r="T192" s="9">
        <v>10</v>
      </c>
      <c r="U192" s="9">
        <v>9</v>
      </c>
      <c r="W192" s="25">
        <v>2</v>
      </c>
      <c r="X192" s="25">
        <v>2</v>
      </c>
      <c r="Y192" s="25">
        <v>1</v>
      </c>
      <c r="Z192" s="25">
        <v>2</v>
      </c>
      <c r="AA192" s="25">
        <v>2</v>
      </c>
      <c r="AH192" s="5"/>
      <c r="AI192" s="5"/>
      <c r="AO192" s="5"/>
    </row>
    <row r="193" spans="10:41">
      <c r="J193" s="25">
        <v>189</v>
      </c>
      <c r="K193" s="16" t="s">
        <v>22</v>
      </c>
      <c r="L193" s="16" t="s">
        <v>21</v>
      </c>
      <c r="M193" s="16" t="s">
        <v>35</v>
      </c>
      <c r="N193" s="16" t="s">
        <v>22</v>
      </c>
      <c r="O193" s="16" t="s">
        <v>22</v>
      </c>
      <c r="Q193" s="9">
        <v>3</v>
      </c>
      <c r="R193" s="9">
        <v>2</v>
      </c>
      <c r="S193" s="9">
        <v>8</v>
      </c>
      <c r="T193" s="9">
        <v>3</v>
      </c>
      <c r="U193" s="9">
        <v>3</v>
      </c>
      <c r="W193" s="25">
        <v>2</v>
      </c>
      <c r="X193" s="25">
        <v>2</v>
      </c>
      <c r="Y193" s="25">
        <v>1</v>
      </c>
      <c r="Z193" s="25">
        <v>2</v>
      </c>
      <c r="AA193" s="25">
        <v>2</v>
      </c>
      <c r="AH193" s="5"/>
      <c r="AI193" s="5"/>
      <c r="AO193" s="5"/>
    </row>
    <row r="194" spans="10:41">
      <c r="J194" s="9">
        <v>190</v>
      </c>
      <c r="K194" s="16" t="s">
        <v>21</v>
      </c>
      <c r="L194" s="16" t="s">
        <v>21</v>
      </c>
      <c r="M194" s="16" t="s">
        <v>21</v>
      </c>
      <c r="N194" s="16" t="s">
        <v>21</v>
      </c>
      <c r="O194" s="16" t="s">
        <v>36</v>
      </c>
      <c r="Q194" s="9">
        <v>2</v>
      </c>
      <c r="R194" s="9">
        <v>2</v>
      </c>
      <c r="S194" s="9">
        <v>2</v>
      </c>
      <c r="T194" s="9">
        <v>2</v>
      </c>
      <c r="U194" s="9">
        <v>10</v>
      </c>
      <c r="W194" s="25">
        <v>1</v>
      </c>
      <c r="X194" s="25">
        <v>2</v>
      </c>
      <c r="Y194" s="25">
        <v>2</v>
      </c>
      <c r="Z194" s="25">
        <v>1</v>
      </c>
      <c r="AA194" s="25">
        <v>2</v>
      </c>
      <c r="AH194" s="5"/>
      <c r="AI194" s="5"/>
      <c r="AO194" s="5"/>
    </row>
    <row r="195" spans="10:41">
      <c r="J195" s="25">
        <v>191</v>
      </c>
      <c r="K195" s="16" t="s">
        <v>126</v>
      </c>
      <c r="L195" s="16" t="s">
        <v>95</v>
      </c>
      <c r="M195" s="16" t="s">
        <v>19</v>
      </c>
      <c r="N195" s="16" t="s">
        <v>21</v>
      </c>
      <c r="O195" s="16" t="s">
        <v>19</v>
      </c>
      <c r="Q195" s="9">
        <v>6</v>
      </c>
      <c r="R195" s="9">
        <v>18</v>
      </c>
      <c r="S195" s="9">
        <v>5</v>
      </c>
      <c r="T195" s="9">
        <v>2</v>
      </c>
      <c r="U195" s="9">
        <v>5</v>
      </c>
      <c r="W195" s="25">
        <v>1</v>
      </c>
      <c r="X195" s="25">
        <v>2</v>
      </c>
      <c r="Y195" s="25">
        <v>2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127</v>
      </c>
      <c r="M196" s="16" t="s">
        <v>19</v>
      </c>
      <c r="N196" s="16" t="s">
        <v>35</v>
      </c>
      <c r="O196" s="16" t="s">
        <v>19</v>
      </c>
      <c r="Q196" s="9">
        <v>8</v>
      </c>
      <c r="R196" s="9">
        <v>15</v>
      </c>
      <c r="S196" s="9">
        <v>5</v>
      </c>
      <c r="T196" s="9">
        <v>8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19</v>
      </c>
      <c r="M197" s="16" t="s">
        <v>19</v>
      </c>
      <c r="N197" s="16" t="s">
        <v>35</v>
      </c>
      <c r="O197" s="16" t="s">
        <v>35</v>
      </c>
      <c r="Q197" s="9">
        <v>5</v>
      </c>
      <c r="R197" s="9">
        <v>5</v>
      </c>
      <c r="S197" s="9">
        <v>5</v>
      </c>
      <c r="T197" s="9">
        <v>8</v>
      </c>
      <c r="U197" s="9">
        <v>8</v>
      </c>
      <c r="W197" s="25">
        <v>2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37</v>
      </c>
      <c r="M198" s="16" t="s">
        <v>37</v>
      </c>
      <c r="N198" s="16" t="s">
        <v>22</v>
      </c>
      <c r="O198" s="16" t="s">
        <v>22</v>
      </c>
      <c r="Q198" s="9">
        <v>5</v>
      </c>
      <c r="R198" s="9">
        <v>7</v>
      </c>
      <c r="S198" s="9">
        <v>7</v>
      </c>
      <c r="T198" s="9">
        <v>3</v>
      </c>
      <c r="U198" s="9">
        <v>3</v>
      </c>
      <c r="W198" s="25">
        <v>2</v>
      </c>
      <c r="X198" s="25">
        <v>1</v>
      </c>
      <c r="Y198" s="25">
        <v>1</v>
      </c>
      <c r="Z198" s="25">
        <v>2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21</v>
      </c>
      <c r="L199" s="16" t="s">
        <v>22</v>
      </c>
      <c r="M199" s="16" t="s">
        <v>22</v>
      </c>
      <c r="N199" s="16" t="s">
        <v>36</v>
      </c>
      <c r="O199" s="16" t="s">
        <v>126</v>
      </c>
      <c r="Q199" s="9">
        <v>2</v>
      </c>
      <c r="R199" s="9">
        <v>3</v>
      </c>
      <c r="S199" s="9">
        <v>3</v>
      </c>
      <c r="T199" s="9">
        <v>10</v>
      </c>
      <c r="U199" s="9">
        <v>6</v>
      </c>
      <c r="W199" s="25">
        <v>2</v>
      </c>
      <c r="X199" s="25">
        <v>1</v>
      </c>
      <c r="Y199" s="25">
        <v>2</v>
      </c>
      <c r="Z199" s="25">
        <v>2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92</v>
      </c>
      <c r="M200" s="16" t="s">
        <v>126</v>
      </c>
      <c r="N200" s="16" t="s">
        <v>18</v>
      </c>
      <c r="O200" s="16" t="s">
        <v>35</v>
      </c>
      <c r="Q200" s="9">
        <v>6</v>
      </c>
      <c r="R200" s="9">
        <v>16</v>
      </c>
      <c r="S200" s="9">
        <v>6</v>
      </c>
      <c r="T200" s="9">
        <v>4</v>
      </c>
      <c r="U200" s="9">
        <v>8</v>
      </c>
      <c r="W200" s="25">
        <v>1</v>
      </c>
      <c r="X200" s="25">
        <v>1</v>
      </c>
      <c r="Y200" s="25">
        <v>2</v>
      </c>
      <c r="Z200" s="25">
        <v>2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19</v>
      </c>
      <c r="M201" s="16" t="s">
        <v>19</v>
      </c>
      <c r="N201" s="16" t="s">
        <v>22</v>
      </c>
      <c r="O201" s="16" t="s">
        <v>18</v>
      </c>
      <c r="Q201" s="9">
        <v>5</v>
      </c>
      <c r="R201" s="9">
        <v>5</v>
      </c>
      <c r="S201" s="9">
        <v>5</v>
      </c>
      <c r="T201" s="9">
        <v>3</v>
      </c>
      <c r="U201" s="9">
        <v>4</v>
      </c>
      <c r="W201" s="25">
        <v>1</v>
      </c>
      <c r="X201" s="25">
        <v>2</v>
      </c>
      <c r="Y201" s="25">
        <v>2</v>
      </c>
      <c r="Z201" s="25">
        <v>2</v>
      </c>
      <c r="AA201" s="25">
        <v>2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126</v>
      </c>
      <c r="M202" s="16" t="s">
        <v>126</v>
      </c>
      <c r="N202" s="16" t="s">
        <v>34</v>
      </c>
      <c r="O202" s="16" t="s">
        <v>36</v>
      </c>
      <c r="Q202" s="9">
        <v>7</v>
      </c>
      <c r="R202" s="9">
        <v>6</v>
      </c>
      <c r="S202" s="9">
        <v>6</v>
      </c>
      <c r="T202" s="9">
        <v>9</v>
      </c>
      <c r="U202" s="9">
        <v>10</v>
      </c>
      <c r="W202" s="25">
        <v>1</v>
      </c>
      <c r="X202" s="25">
        <v>2</v>
      </c>
      <c r="Y202" s="25">
        <v>2</v>
      </c>
      <c r="Z202" s="25">
        <v>2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126</v>
      </c>
      <c r="L203" s="16" t="s">
        <v>36</v>
      </c>
      <c r="M203" s="16" t="s">
        <v>19</v>
      </c>
      <c r="N203" s="16" t="s">
        <v>36</v>
      </c>
      <c r="O203" s="16" t="s">
        <v>34</v>
      </c>
      <c r="Q203" s="9">
        <v>6</v>
      </c>
      <c r="R203" s="9">
        <v>10</v>
      </c>
      <c r="S203" s="9">
        <v>5</v>
      </c>
      <c r="T203" s="9">
        <v>10</v>
      </c>
      <c r="U203" s="9">
        <v>9</v>
      </c>
      <c r="W203" s="25">
        <v>2</v>
      </c>
      <c r="X203" s="25">
        <v>1</v>
      </c>
      <c r="Y203" s="25">
        <v>2</v>
      </c>
      <c r="Z203" s="25">
        <v>2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K1:O1048576">
    <cfRule type="cellIs" dxfId="153" priority="30" operator="equal">
      <formula>"C1"</formula>
    </cfRule>
    <cfRule type="cellIs" dxfId="152" priority="31" operator="between">
      <formula>"G1"</formula>
      <formula>"G5"</formula>
    </cfRule>
    <cfRule type="cellIs" dxfId="151" priority="33" operator="between">
      <formula>"M1"</formula>
      <formula>"M5"</formula>
    </cfRule>
  </conditionalFormatting>
  <conditionalFormatting sqref="W5:AA304 X4:AA4">
    <cfRule type="expression" dxfId="150" priority="34">
      <formula>_xlfn.LET(_xlpm.x, W4, AND(NOT(_xlfn.ISFORMULA(_xlpm.x)), _xlpm.x&lt;&gt;""))</formula>
    </cfRule>
  </conditionalFormatting>
  <conditionalFormatting sqref="W5:AA203 X4:AA4">
    <cfRule type="expression" dxfId="149" priority="29">
      <formula>_xlfn.LET(_xlpm.x, W4, AND(NOT(_xlfn.ISFORMULA(_xlpm.x)), _xlpm.x&lt;&gt;""))</formula>
    </cfRule>
  </conditionalFormatting>
  <conditionalFormatting sqref="C28:G28 D27:G27 C31:G46 C29:C30 G29:G30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{1232790A-EE9C-4471-B48B-F95D427BCD44}</x14:id>
        </ext>
      </extLst>
    </cfRule>
  </conditionalFormatting>
  <conditionalFormatting sqref="D52:D54">
    <cfRule type="cellIs" dxfId="148" priority="12" operator="equal">
      <formula>"C1"</formula>
    </cfRule>
    <cfRule type="cellIs" dxfId="147" priority="13" operator="between">
      <formula>"G1"</formula>
      <formula>"G4"</formula>
    </cfRule>
    <cfRule type="cellIs" dxfId="146" priority="14" operator="between">
      <formula>"GA"</formula>
      <formula>"GQ"</formula>
    </cfRule>
    <cfRule type="cellIs" dxfId="145" priority="15" operator="between">
      <formula>"M1"</formula>
      <formula>"M4"</formula>
    </cfRule>
  </conditionalFormatting>
  <conditionalFormatting sqref="E52:E54">
    <cfRule type="cellIs" dxfId="144" priority="8" operator="equal">
      <formula>"C1"</formula>
    </cfRule>
    <cfRule type="cellIs" dxfId="143" priority="9" operator="between">
      <formula>"G1"</formula>
      <formula>"G4"</formula>
    </cfRule>
    <cfRule type="cellIs" dxfId="142" priority="10" operator="between">
      <formula>"GA"</formula>
      <formula>"GQ"</formula>
    </cfRule>
    <cfRule type="cellIs" dxfId="141" priority="11" operator="between">
      <formula>"M1"</formula>
      <formula>"M4"</formula>
    </cfRule>
  </conditionalFormatting>
  <conditionalFormatting sqref="F52:F54">
    <cfRule type="cellIs" dxfId="140" priority="4" operator="equal">
      <formula>"C1"</formula>
    </cfRule>
    <cfRule type="cellIs" dxfId="139" priority="5" operator="between">
      <formula>"G1"</formula>
      <formula>"G4"</formula>
    </cfRule>
    <cfRule type="cellIs" dxfId="138" priority="6" operator="between">
      <formula>"GA"</formula>
      <formula>"GQ"</formula>
    </cfRule>
    <cfRule type="cellIs" dxfId="137" priority="7" operator="between">
      <formula>"M1"</formula>
      <formula>"M4"</formula>
    </cfRule>
  </conditionalFormatting>
  <conditionalFormatting sqref="D29:F3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{32F7C5C6-3616-47BD-9ABC-1E57940737ED}</x14:id>
        </ext>
      </extLst>
    </cfRule>
  </conditionalFormatting>
  <conditionalFormatting sqref="W5:AA203 X4:AA4">
    <cfRule type="expression" dxfId="136" priority="2">
      <formula>_xlfn.LET(_xlpm.x, W4, AND(NOT(_xlfn.ISFORMULA(_xlpm.x)), _xlpm.x&lt;&gt;""))</formula>
    </cfRule>
  </conditionalFormatting>
  <conditionalFormatting sqref="W4:AA203">
    <cfRule type="expression" dxfId="135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2790A-EE9C-4471-B48B-F95D427BCD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2F7C5C6-3616-47BD-9ABC-1E5794073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23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7</v>
      </c>
      <c r="S4" s="25">
        <v>16</v>
      </c>
      <c r="T4" s="25">
        <v>10</v>
      </c>
      <c r="U4" s="25">
        <v>2</v>
      </c>
      <c r="W4" s="25" cm="1">
        <f t="array" ref="W4">_xlfn.LET(_xlpm.x, K4:K6, IF(SUM((_xlpm.x="K")*1, (_xlpm.x="A")*1, (_xlpm.x="GK")*1, (_xlpm.x="GA")*1)&gt;0, 3, 1))</f>
        <v>3</v>
      </c>
      <c r="X4" s="25" cm="1">
        <f t="array" ref="X4">_xlfn.LET(_xlpm.x, L4:L6, IF(SUM((_xlpm.x="K")*1, (_xlpm.x="A")*1, (_xlpm.x="GK")*1, (_xlpm.x="GA")*1)&gt;0, 3, 1))</f>
        <v>3</v>
      </c>
      <c r="Y4" s="25" cm="1">
        <f t="array" ref="Y4">_xlfn.LET(_xlpm.x, M4:M6, IF(SUM((_xlpm.x="K")*1, (_xlpm.x="A")*1, (_xlpm.x="GK")*1, (_xlpm.x="GA")*1)&gt;0, 3, 1))</f>
        <v>3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0</v>
      </c>
      <c r="D5" s="99">
        <f t="shared" si="0"/>
        <v>6</v>
      </c>
      <c r="E5" s="99">
        <f t="shared" si="0"/>
        <v>0</v>
      </c>
      <c r="F5" s="99">
        <f t="shared" si="0"/>
        <v>9</v>
      </c>
      <c r="G5" s="99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 cm="1">
        <f t="array" ref="W5">_xlfn.LET(_xlpm.x, K5:K7, IF(SUM((_xlpm.x="K")*1, (_xlpm.x="A")*1, (_xlpm.x="GK")*1, (_xlpm.x="GA")*1)&gt;0, 3, 1))</f>
        <v>3</v>
      </c>
      <c r="X5" s="25" cm="1">
        <f t="array" ref="X5">_xlfn.LET(_xlpm.x, L5:L7, IF(SUM((_xlpm.x="K")*1, (_xlpm.x="A")*1, (_xlpm.x="GK")*1, (_xlpm.x="GA")*1)&gt;0, 3, 1))</f>
        <v>3</v>
      </c>
      <c r="Y5" s="25" cm="1">
        <f t="array" ref="Y5">_xlfn.LET(_xlpm.x, M5:M7, IF(SUM((_xlpm.x="K")*1, (_xlpm.x="A")*1, (_xlpm.x="GK")*1, (_xlpm.x="GA")*1)&gt;0, 3, 1))</f>
        <v>1</v>
      </c>
      <c r="Z5" s="25">
        <v>1</v>
      </c>
      <c r="AA5" s="25">
        <v>1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4</v>
      </c>
      <c r="D6" s="131">
        <f t="shared" si="0"/>
        <v>6</v>
      </c>
      <c r="E6" s="131">
        <f t="shared" si="0"/>
        <v>0</v>
      </c>
      <c r="F6" s="131">
        <f t="shared" si="0"/>
        <v>22</v>
      </c>
      <c r="G6" s="131">
        <f t="shared" si="0"/>
        <v>28</v>
      </c>
      <c r="H6" s="110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3, 1))</f>
        <v>3</v>
      </c>
      <c r="X6" s="25" cm="1">
        <f t="array" ref="X6">_xlfn.LET(_xlpm.x, L6:L8, IF(SUM((_xlpm.x="K")*1, (_xlpm.x="A")*1, (_xlpm.x="GK")*1, (_xlpm.x="GA")*1)&gt;0, 3, 1))</f>
        <v>3</v>
      </c>
      <c r="Y6" s="25" cm="1">
        <f t="array" ref="Y6">_xlfn.LET(_xlpm.x, M6:M8, IF(SUM((_xlpm.x="K")*1, (_xlpm.x="A")*1, (_xlpm.x="GK")*1, (_xlpm.x="GA")*1)&gt;0, 3, 1))</f>
        <v>1</v>
      </c>
      <c r="Z6" s="25">
        <v>1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4</v>
      </c>
      <c r="D7" s="131">
        <f t="shared" si="0"/>
        <v>6</v>
      </c>
      <c r="E7" s="131">
        <f t="shared" si="0"/>
        <v>0</v>
      </c>
      <c r="F7" s="131">
        <f t="shared" si="0"/>
        <v>22</v>
      </c>
      <c r="G7" s="131">
        <f t="shared" si="0"/>
        <v>27</v>
      </c>
      <c r="H7" s="110">
        <v>3</v>
      </c>
      <c r="I7" s="87"/>
      <c r="J7" s="9">
        <v>3</v>
      </c>
      <c r="K7" s="16" t="s">
        <v>19</v>
      </c>
      <c r="L7" s="16" t="s">
        <v>34</v>
      </c>
      <c r="M7" s="26" t="s">
        <v>127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 cm="1">
        <f t="array" ref="W7">_xlfn.LET(_xlpm.x, K7:K9, IF(SUM((_xlpm.x="K")*1, (_xlpm.x="A")*1, (_xlpm.x="GK")*1, (_xlpm.x="GA")*1)&gt;0, 3, 1))</f>
        <v>3</v>
      </c>
      <c r="X7" s="25" cm="1">
        <f t="array" ref="X7">_xlfn.LET(_xlpm.x, L7:L9, IF(SUM((_xlpm.x="K")*1, (_xlpm.x="A")*1, (_xlpm.x="GK")*1, (_xlpm.x="GA")*1)&gt;0, 3, 1))</f>
        <v>3</v>
      </c>
      <c r="Y7" s="25" cm="1">
        <f t="array" ref="Y7">_xlfn.LET(_xlpm.x, M7:M9, IF(SUM((_xlpm.x="K")*1, (_xlpm.x="A")*1, (_xlpm.x="GK")*1, (_xlpm.x="GA")*1)&gt;0, 3, 1))</f>
        <v>3</v>
      </c>
      <c r="Z7" s="25">
        <v>1</v>
      </c>
      <c r="AA7" s="25">
        <v>1</v>
      </c>
      <c r="AC7" s="136" t="str">
        <v>C1</v>
      </c>
      <c r="AD7" s="99">
        <v>0</v>
      </c>
      <c r="AE7" s="99">
        <v>6</v>
      </c>
      <c r="AF7" s="99">
        <v>0</v>
      </c>
      <c r="AG7" s="99">
        <v>9</v>
      </c>
      <c r="AH7" s="99">
        <v>0</v>
      </c>
      <c r="AI7" s="5"/>
      <c r="AJ7" s="136" t="str">
        <v>C1</v>
      </c>
      <c r="AK7" s="136">
        <v>0</v>
      </c>
      <c r="AL7" s="136">
        <v>6</v>
      </c>
      <c r="AM7" s="136">
        <v>0</v>
      </c>
      <c r="AN7" s="136">
        <v>9</v>
      </c>
      <c r="AO7" s="136">
        <v>0</v>
      </c>
    </row>
    <row r="8" spans="1:41" ht="15.9" customHeight="1">
      <c r="A8" s="131" t="str">
        <v>M3</v>
      </c>
      <c r="B8" s="110" t="str">
        <v>M3</v>
      </c>
      <c r="C8" s="131">
        <f t="shared" si="0"/>
        <v>4</v>
      </c>
      <c r="D8" s="131">
        <f t="shared" si="0"/>
        <v>6</v>
      </c>
      <c r="E8" s="131">
        <f t="shared" si="0"/>
        <v>0</v>
      </c>
      <c r="F8" s="131">
        <f t="shared" si="0"/>
        <v>22</v>
      </c>
      <c r="G8" s="131">
        <f t="shared" si="0"/>
        <v>27</v>
      </c>
      <c r="H8" s="110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 cm="1">
        <f t="array" ref="W8">_xlfn.LET(_xlpm.x, K8:K10, IF(SUM((_xlpm.x="K")*1, (_xlpm.x="A")*1, (_xlpm.x="GK")*1, (_xlpm.x="GA")*1)&gt;0, 3, 1))</f>
        <v>3</v>
      </c>
      <c r="X8" s="25" cm="1">
        <f t="array" ref="X8">_xlfn.LET(_xlpm.x, L8:L10, IF(SUM((_xlpm.x="K")*1, (_xlpm.x="A")*1, (_xlpm.x="GK")*1, (_xlpm.x="GA")*1)&gt;0, 3, 1))</f>
        <v>3</v>
      </c>
      <c r="Y8" s="25" cm="1">
        <f t="array" ref="Y8">_xlfn.LET(_xlpm.x, M8:M10, IF(SUM((_xlpm.x="K")*1, (_xlpm.x="A")*1, (_xlpm.x="GK")*1, (_xlpm.x="GA")*1)&gt;0, 3, 1))</f>
        <v>3</v>
      </c>
      <c r="Z8" s="25">
        <v>1</v>
      </c>
      <c r="AA8" s="25">
        <v>1</v>
      </c>
      <c r="AC8" s="152" t="str">
        <v>M1</v>
      </c>
      <c r="AD8" s="131">
        <v>4</v>
      </c>
      <c r="AE8" s="131">
        <v>11</v>
      </c>
      <c r="AF8" s="131">
        <v>0</v>
      </c>
      <c r="AG8" s="131">
        <v>22</v>
      </c>
      <c r="AH8" s="131">
        <v>28</v>
      </c>
      <c r="AI8" s="5"/>
      <c r="AJ8" s="152" t="str">
        <v>M1</v>
      </c>
      <c r="AK8" s="131">
        <v>4</v>
      </c>
      <c r="AL8" s="131">
        <v>11</v>
      </c>
      <c r="AM8" s="131">
        <v>0</v>
      </c>
      <c r="AN8" s="131">
        <v>22</v>
      </c>
      <c r="AO8" s="131">
        <v>28</v>
      </c>
    </row>
    <row r="9" spans="1:41" ht="15.9" customHeight="1">
      <c r="A9" s="131" t="str">
        <v>M4</v>
      </c>
      <c r="B9" s="110" t="str">
        <v>M4</v>
      </c>
      <c r="C9" s="131">
        <f t="shared" si="0"/>
        <v>43</v>
      </c>
      <c r="D9" s="131">
        <f t="shared" si="0"/>
        <v>19</v>
      </c>
      <c r="E9" s="131">
        <f t="shared" si="0"/>
        <v>0</v>
      </c>
      <c r="F9" s="131">
        <f t="shared" si="0"/>
        <v>12</v>
      </c>
      <c r="G9" s="131">
        <f t="shared" si="0"/>
        <v>16</v>
      </c>
      <c r="H9" s="110">
        <v>5</v>
      </c>
      <c r="I9" s="87"/>
      <c r="J9" s="9">
        <v>5</v>
      </c>
      <c r="K9" s="16" t="s">
        <v>126</v>
      </c>
      <c r="L9" s="16" t="s">
        <v>18</v>
      </c>
      <c r="M9" s="16" t="s">
        <v>112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 cm="1">
        <f t="array" ref="W9">_xlfn.LET(_xlpm.x, K9:K11, IF(SUM((_xlpm.x="K")*1, (_xlpm.x="A")*1, (_xlpm.x="GK")*1, (_xlpm.x="GA")*1)&gt;0, 3, 1))</f>
        <v>3</v>
      </c>
      <c r="X9" s="25" cm="1">
        <f t="array" ref="X9">_xlfn.LET(_xlpm.x, L9:L11, IF(SUM((_xlpm.x="K")*1, (_xlpm.x="A")*1, (_xlpm.x="GK")*1, (_xlpm.x="GA")*1)&gt;0, 3, 1))</f>
        <v>1</v>
      </c>
      <c r="Y9" s="25" cm="1">
        <f t="array" ref="Y9">_xlfn.LET(_xlpm.x, M9:M11, IF(SUM((_xlpm.x="K")*1, (_xlpm.x="A")*1, (_xlpm.x="GK")*1, (_xlpm.x="GA")*1)&gt;0, 3, 1))</f>
        <v>3</v>
      </c>
      <c r="Z9" s="25">
        <v>1</v>
      </c>
      <c r="AA9" s="25">
        <v>1</v>
      </c>
      <c r="AC9" s="152" t="str">
        <v>M2</v>
      </c>
      <c r="AD9" s="131">
        <v>4</v>
      </c>
      <c r="AE9" s="131">
        <v>11</v>
      </c>
      <c r="AF9" s="131">
        <v>0</v>
      </c>
      <c r="AG9" s="131">
        <v>22</v>
      </c>
      <c r="AH9" s="131">
        <v>27</v>
      </c>
      <c r="AI9" s="5"/>
      <c r="AJ9" s="152" t="str">
        <v>M2</v>
      </c>
      <c r="AK9" s="131">
        <v>4</v>
      </c>
      <c r="AL9" s="131">
        <v>11</v>
      </c>
      <c r="AM9" s="131">
        <v>0</v>
      </c>
      <c r="AN9" s="131">
        <v>22</v>
      </c>
      <c r="AO9" s="131">
        <v>27</v>
      </c>
    </row>
    <row r="10" spans="1:41" ht="15.9" customHeight="1">
      <c r="A10" s="131" t="str">
        <v>M5</v>
      </c>
      <c r="B10" s="110" t="str">
        <v>M5</v>
      </c>
      <c r="C10" s="131">
        <f t="shared" si="0"/>
        <v>43</v>
      </c>
      <c r="D10" s="131">
        <f t="shared" si="0"/>
        <v>19</v>
      </c>
      <c r="E10" s="131">
        <f t="shared" si="0"/>
        <v>0</v>
      </c>
      <c r="F10" s="131">
        <f t="shared" si="0"/>
        <v>12</v>
      </c>
      <c r="G10" s="131">
        <f t="shared" si="0"/>
        <v>16</v>
      </c>
      <c r="H10" s="110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 cm="1">
        <f t="array" ref="W10">_xlfn.LET(_xlpm.x, K10:K12, IF(SUM((_xlpm.x="K")*1, (_xlpm.x="A")*1, (_xlpm.x="GK")*1, (_xlpm.x="GA")*1)&gt;0, 3, 1))</f>
        <v>3</v>
      </c>
      <c r="X10" s="25" cm="1">
        <f t="array" ref="X10">_xlfn.LET(_xlpm.x, L10:L12, IF(SUM((_xlpm.x="K")*1, (_xlpm.x="A")*1, (_xlpm.x="GK")*1, (_xlpm.x="GA")*1)&gt;0, 3, 1))</f>
        <v>3</v>
      </c>
      <c r="Y10" s="25" cm="1">
        <f t="array" ref="Y10">_xlfn.LET(_xlpm.x, M10:M12, IF(SUM((_xlpm.x="K")*1, (_xlpm.x="A")*1, (_xlpm.x="GK")*1, (_xlpm.x="GA")*1)&gt;0, 3, 1))</f>
        <v>3</v>
      </c>
      <c r="Z10" s="25">
        <v>1</v>
      </c>
      <c r="AA10" s="25">
        <v>1</v>
      </c>
      <c r="AC10" s="152" t="str">
        <v>M3</v>
      </c>
      <c r="AD10" s="131">
        <v>4</v>
      </c>
      <c r="AE10" s="131">
        <v>11</v>
      </c>
      <c r="AF10" s="131">
        <v>0</v>
      </c>
      <c r="AG10" s="131">
        <v>22</v>
      </c>
      <c r="AH10" s="131">
        <v>27</v>
      </c>
      <c r="AI10" s="5"/>
      <c r="AJ10" s="152" t="str">
        <v>M3</v>
      </c>
      <c r="AK10" s="131">
        <v>4</v>
      </c>
      <c r="AL10" s="131">
        <v>11</v>
      </c>
      <c r="AM10" s="131">
        <v>0</v>
      </c>
      <c r="AN10" s="131">
        <v>22</v>
      </c>
      <c r="AO10" s="131">
        <v>27</v>
      </c>
    </row>
    <row r="11" spans="1:41" ht="15.9" customHeight="1">
      <c r="A11" s="131" t="str">
        <v>A</v>
      </c>
      <c r="B11" s="110" t="str">
        <v>A</v>
      </c>
      <c r="C11" s="131">
        <f t="shared" si="0"/>
        <v>47</v>
      </c>
      <c r="D11" s="131">
        <f t="shared" si="0"/>
        <v>22</v>
      </c>
      <c r="E11" s="131">
        <f t="shared" si="0"/>
        <v>0</v>
      </c>
      <c r="F11" s="131">
        <f t="shared" si="0"/>
        <v>12</v>
      </c>
      <c r="G11" s="131">
        <f t="shared" si="0"/>
        <v>16</v>
      </c>
      <c r="H11" s="110">
        <v>7</v>
      </c>
      <c r="I11" s="87"/>
      <c r="J11" s="9">
        <v>7</v>
      </c>
      <c r="K11" s="16" t="s">
        <v>126</v>
      </c>
      <c r="L11" s="16" t="s">
        <v>90</v>
      </c>
      <c r="M11" s="16" t="s">
        <v>127</v>
      </c>
      <c r="N11" s="16" t="s">
        <v>36</v>
      </c>
      <c r="O11" s="16" t="s">
        <v>126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 cm="1">
        <f t="array" ref="W11">_xlfn.LET(_xlpm.x, K11:K13, IF(SUM((_xlpm.x="K")*1, (_xlpm.x="A")*1, (_xlpm.x="GK")*1, (_xlpm.x="GA")*1)&gt;0, 3, 1))</f>
        <v>3</v>
      </c>
      <c r="X11" s="25" cm="1">
        <f t="array" ref="X11">_xlfn.LET(_xlpm.x, L11:L13, IF(SUM((_xlpm.x="K")*1, (_xlpm.x="A")*1, (_xlpm.x="GK")*1, (_xlpm.x="GA")*1)&gt;0, 3, 1))</f>
        <v>3</v>
      </c>
      <c r="Y11" s="25" cm="1">
        <f t="array" ref="Y11">_xlfn.LET(_xlpm.x, M11:M13, IF(SUM((_xlpm.x="K")*1, (_xlpm.x="A")*1, (_xlpm.x="GK")*1, (_xlpm.x="GA")*1)&gt;0, 3, 1))</f>
        <v>3</v>
      </c>
      <c r="Z11" s="25">
        <v>1</v>
      </c>
      <c r="AA11" s="25">
        <v>1</v>
      </c>
      <c r="AC11" s="152" t="str">
        <v>M4</v>
      </c>
      <c r="AD11" s="131">
        <v>43</v>
      </c>
      <c r="AE11" s="131">
        <v>19</v>
      </c>
      <c r="AF11" s="131">
        <v>0</v>
      </c>
      <c r="AG11" s="131">
        <v>12</v>
      </c>
      <c r="AH11" s="131">
        <v>16</v>
      </c>
      <c r="AI11" s="5"/>
      <c r="AJ11" s="152" t="str">
        <v>M4</v>
      </c>
      <c r="AK11" s="131">
        <v>43</v>
      </c>
      <c r="AL11" s="131">
        <v>19</v>
      </c>
      <c r="AM11" s="131">
        <v>0</v>
      </c>
      <c r="AN11" s="131">
        <v>12</v>
      </c>
      <c r="AO11" s="131">
        <v>16</v>
      </c>
    </row>
    <row r="12" spans="1:41" ht="15.9" customHeight="1">
      <c r="A12" s="131" t="str">
        <v>K</v>
      </c>
      <c r="B12" s="110" t="str">
        <v>K</v>
      </c>
      <c r="C12" s="131">
        <f t="shared" si="0"/>
        <v>47</v>
      </c>
      <c r="D12" s="131">
        <f t="shared" si="0"/>
        <v>24</v>
      </c>
      <c r="E12" s="131">
        <f t="shared" si="0"/>
        <v>0</v>
      </c>
      <c r="F12" s="131">
        <f t="shared" si="0"/>
        <v>12</v>
      </c>
      <c r="G12" s="131">
        <f t="shared" si="0"/>
        <v>16</v>
      </c>
      <c r="H12" s="110">
        <v>8</v>
      </c>
      <c r="I12" s="87"/>
      <c r="J12" s="25">
        <v>8</v>
      </c>
      <c r="K12" s="16" t="s">
        <v>19</v>
      </c>
      <c r="L12" s="16" t="s">
        <v>37</v>
      </c>
      <c r="M12" s="16" t="s">
        <v>112</v>
      </c>
      <c r="N12" s="16" t="s">
        <v>126</v>
      </c>
      <c r="O12" s="16" t="s">
        <v>126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 cm="1">
        <f t="array" ref="W12">_xlfn.LET(_xlpm.x, K12:K14, IF(SUM((_xlpm.x="K")*1, (_xlpm.x="A")*1, (_xlpm.x="GK")*1, (_xlpm.x="GA")*1)&gt;0, 3, 1))</f>
        <v>3</v>
      </c>
      <c r="X12" s="25" cm="1">
        <f t="array" ref="X12">_xlfn.LET(_xlpm.x, L12:L14, IF(SUM((_xlpm.x="K")*1, (_xlpm.x="A")*1, (_xlpm.x="GK")*1, (_xlpm.x="GA")*1)&gt;0, 3, 1))</f>
        <v>3</v>
      </c>
      <c r="Y12" s="25" cm="1">
        <f t="array" ref="Y12">_xlfn.LET(_xlpm.x, M12:M14, IF(SUM((_xlpm.x="K")*1, (_xlpm.x="A")*1, (_xlpm.x="GK")*1, (_xlpm.x="GA")*1)&gt;0, 3, 1))</f>
        <v>3</v>
      </c>
      <c r="Z12" s="25">
        <v>1</v>
      </c>
      <c r="AA12" s="25">
        <v>1</v>
      </c>
      <c r="AC12" s="152" t="str">
        <v>M5</v>
      </c>
      <c r="AD12" s="131">
        <v>43</v>
      </c>
      <c r="AE12" s="131">
        <v>20</v>
      </c>
      <c r="AF12" s="131">
        <v>0</v>
      </c>
      <c r="AG12" s="131">
        <v>12</v>
      </c>
      <c r="AH12" s="131">
        <v>16</v>
      </c>
      <c r="AI12" s="5"/>
      <c r="AJ12" s="152" t="str">
        <v>M5</v>
      </c>
      <c r="AK12" s="131">
        <v>43</v>
      </c>
      <c r="AL12" s="131">
        <v>20</v>
      </c>
      <c r="AM12" s="131">
        <v>0</v>
      </c>
      <c r="AN12" s="131">
        <v>12</v>
      </c>
      <c r="AO12" s="131">
        <v>16</v>
      </c>
    </row>
    <row r="13" spans="1:41" ht="15.9" customHeight="1">
      <c r="A13" s="131" t="str">
        <v>Q</v>
      </c>
      <c r="B13" s="110" t="str">
        <v>Q</v>
      </c>
      <c r="C13" s="131">
        <f t="shared" si="0"/>
        <v>4</v>
      </c>
      <c r="D13" s="131">
        <f t="shared" si="0"/>
        <v>5</v>
      </c>
      <c r="E13" s="131">
        <f t="shared" si="0"/>
        <v>0</v>
      </c>
      <c r="F13" s="131">
        <f t="shared" si="0"/>
        <v>21</v>
      </c>
      <c r="G13" s="131">
        <f t="shared" si="0"/>
        <v>27</v>
      </c>
      <c r="H13" s="110">
        <v>9</v>
      </c>
      <c r="I13" s="87"/>
      <c r="J13" s="9">
        <v>9</v>
      </c>
      <c r="K13" s="16" t="s">
        <v>35</v>
      </c>
      <c r="L13" s="16" t="s">
        <v>97</v>
      </c>
      <c r="M13" s="16" t="s">
        <v>127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 cm="1">
        <f t="array" ref="W13">_xlfn.LET(_xlpm.x, K13:K15, IF(SUM((_xlpm.x="K")*1, (_xlpm.x="A")*1, (_xlpm.x="GK")*1, (_xlpm.x="GA")*1)&gt;0, 3, 1))</f>
        <v>3</v>
      </c>
      <c r="X13" s="25" cm="1">
        <f t="array" ref="X13">_xlfn.LET(_xlpm.x, L13:L15, IF(SUM((_xlpm.x="K")*1, (_xlpm.x="A")*1, (_xlpm.x="GK")*1, (_xlpm.x="GA")*1)&gt;0, 3, 1))</f>
        <v>1</v>
      </c>
      <c r="Y13" s="25" cm="1">
        <f t="array" ref="Y13">_xlfn.LET(_xlpm.x, M13:M15, IF(SUM((_xlpm.x="K")*1, (_xlpm.x="A")*1, (_xlpm.x="GK")*1, (_xlpm.x="GA")*1)&gt;0, 3, 1))</f>
        <v>3</v>
      </c>
      <c r="Z13" s="25">
        <v>1</v>
      </c>
      <c r="AA13" s="25">
        <v>1</v>
      </c>
      <c r="AC13" s="152" t="str">
        <v>A</v>
      </c>
      <c r="AD13" s="131">
        <v>47</v>
      </c>
      <c r="AE13" s="131">
        <v>20</v>
      </c>
      <c r="AF13" s="131">
        <v>0</v>
      </c>
      <c r="AG13" s="131">
        <v>12</v>
      </c>
      <c r="AH13" s="131">
        <v>16</v>
      </c>
      <c r="AI13" s="5"/>
      <c r="AJ13" s="152" t="str">
        <v>A</v>
      </c>
      <c r="AK13" s="131">
        <v>47</v>
      </c>
      <c r="AL13" s="131">
        <v>20</v>
      </c>
      <c r="AM13" s="131">
        <v>0</v>
      </c>
      <c r="AN13" s="131">
        <v>12</v>
      </c>
      <c r="AO13" s="131">
        <v>16</v>
      </c>
    </row>
    <row r="14" spans="1:41" ht="15.9" customHeight="1">
      <c r="A14" s="131" t="str">
        <v>J</v>
      </c>
      <c r="B14" s="110" t="str">
        <v>J</v>
      </c>
      <c r="C14" s="131">
        <f t="shared" si="0"/>
        <v>4</v>
      </c>
      <c r="D14" s="131">
        <f t="shared" si="0"/>
        <v>7</v>
      </c>
      <c r="E14" s="131">
        <f t="shared" si="0"/>
        <v>0</v>
      </c>
      <c r="F14" s="131">
        <f t="shared" si="0"/>
        <v>21</v>
      </c>
      <c r="G14" s="131">
        <f t="shared" si="0"/>
        <v>27</v>
      </c>
      <c r="H14" s="110">
        <v>10</v>
      </c>
      <c r="I14" s="87"/>
      <c r="J14" s="25">
        <v>10</v>
      </c>
      <c r="K14" s="16" t="s">
        <v>34</v>
      </c>
      <c r="L14" s="16" t="s">
        <v>326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15</v>
      </c>
      <c r="S14" s="9">
        <v>16</v>
      </c>
      <c r="T14" s="9">
        <v>2</v>
      </c>
      <c r="U14" s="9">
        <v>8</v>
      </c>
      <c r="W14" s="25" cm="1">
        <f t="array" ref="W14">_xlfn.LET(_xlpm.x, K14:K16, IF(SUM((_xlpm.x="K")*1, (_xlpm.x="A")*1, (_xlpm.x="GK")*1, (_xlpm.x="GA")*1)&gt;0, 3, 1))</f>
        <v>3</v>
      </c>
      <c r="X14" s="25" cm="1">
        <f t="array" ref="X14">_xlfn.LET(_xlpm.x, L14:L16, IF(SUM((_xlpm.x="K")*1, (_xlpm.x="A")*1, (_xlpm.x="GK")*1, (_xlpm.x="GA")*1)&gt;0, 3, 1))</f>
        <v>1</v>
      </c>
      <c r="Y14" s="25" cm="1">
        <f t="array" ref="Y14">_xlfn.LET(_xlpm.x, M14:M16, IF(SUM((_xlpm.x="K")*1, (_xlpm.x="A")*1, (_xlpm.x="GK")*1, (_xlpm.x="GA")*1)&gt;0, 3, 1))</f>
        <v>3</v>
      </c>
      <c r="Z14" s="25">
        <v>1</v>
      </c>
      <c r="AA14" s="25">
        <v>1</v>
      </c>
      <c r="AC14" s="152" t="str">
        <v>K</v>
      </c>
      <c r="AD14" s="131">
        <v>47</v>
      </c>
      <c r="AE14" s="131">
        <v>20</v>
      </c>
      <c r="AF14" s="131">
        <v>0</v>
      </c>
      <c r="AG14" s="131">
        <v>12</v>
      </c>
      <c r="AH14" s="131">
        <v>16</v>
      </c>
      <c r="AI14" s="5"/>
      <c r="AJ14" s="152" t="str">
        <v>K</v>
      </c>
      <c r="AK14" s="131">
        <v>47</v>
      </c>
      <c r="AL14" s="131">
        <v>20</v>
      </c>
      <c r="AM14" s="131">
        <v>0</v>
      </c>
      <c r="AN14" s="131">
        <v>12</v>
      </c>
      <c r="AO14" s="131">
        <v>16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4</v>
      </c>
      <c r="E15" s="99">
        <f t="shared" si="0"/>
        <v>5</v>
      </c>
      <c r="F15" s="99">
        <f t="shared" si="0"/>
        <v>5</v>
      </c>
      <c r="G15" s="99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29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5</v>
      </c>
      <c r="S15" s="9">
        <v>14</v>
      </c>
      <c r="T15" s="9">
        <v>7</v>
      </c>
      <c r="U15" s="9">
        <v>8</v>
      </c>
      <c r="W15" s="25" cm="1">
        <f t="array" ref="W15">_xlfn.LET(_xlpm.x, K15:K17, IF(SUM((_xlpm.x="K")*1, (_xlpm.x="A")*1, (_xlpm.x="GK")*1, (_xlpm.x="GA")*1)&gt;0, 3, 1))</f>
        <v>3</v>
      </c>
      <c r="X15" s="25" cm="1">
        <f t="array" ref="X15">_xlfn.LET(_xlpm.x, L15:L17, IF(SUM((_xlpm.x="K")*1, (_xlpm.x="A")*1, (_xlpm.x="GK")*1, (_xlpm.x="GA")*1)&gt;0, 3, 1))</f>
        <v>1</v>
      </c>
      <c r="Y15" s="25" cm="1">
        <f t="array" ref="Y15">_xlfn.LET(_xlpm.x, M15:M17, IF(SUM((_xlpm.x="K")*1, (_xlpm.x="A")*1, (_xlpm.x="GK")*1, (_xlpm.x="GA")*1)&gt;0, 3, 1))</f>
        <v>3</v>
      </c>
      <c r="Z15" s="25">
        <v>1</v>
      </c>
      <c r="AA15" s="25">
        <v>1</v>
      </c>
      <c r="AC15" s="152" t="str">
        <v>Q</v>
      </c>
      <c r="AD15" s="131">
        <v>4</v>
      </c>
      <c r="AE15" s="131">
        <v>11</v>
      </c>
      <c r="AF15" s="131">
        <v>0</v>
      </c>
      <c r="AG15" s="131">
        <v>21</v>
      </c>
      <c r="AH15" s="131">
        <v>27</v>
      </c>
      <c r="AI15" s="5"/>
      <c r="AJ15" s="152" t="str">
        <v>Q</v>
      </c>
      <c r="AK15" s="131">
        <v>4</v>
      </c>
      <c r="AL15" s="131">
        <v>11</v>
      </c>
      <c r="AM15" s="131">
        <v>0</v>
      </c>
      <c r="AN15" s="131">
        <v>21</v>
      </c>
      <c r="AO15" s="131">
        <v>27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4</v>
      </c>
      <c r="E16" s="99">
        <f t="shared" si="0"/>
        <v>5</v>
      </c>
      <c r="F16" s="99">
        <f t="shared" si="0"/>
        <v>5</v>
      </c>
      <c r="G16" s="99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112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 cm="1">
        <f t="array" ref="W16">_xlfn.LET(_xlpm.x, K16:K18, IF(SUM((_xlpm.x="K")*1, (_xlpm.x="A")*1, (_xlpm.x="GK")*1, (_xlpm.x="GA")*1)&gt;0, 3, 1))</f>
        <v>3</v>
      </c>
      <c r="X16" s="25" cm="1">
        <f t="array" ref="X16">_xlfn.LET(_xlpm.x, L16:L18, IF(SUM((_xlpm.x="K")*1, (_xlpm.x="A")*1, (_xlpm.x="GK")*1, (_xlpm.x="GA")*1)&gt;0, 3, 1))</f>
        <v>3</v>
      </c>
      <c r="Y16" s="25" cm="1">
        <f t="array" ref="Y16">_xlfn.LET(_xlpm.x, M16:M18, IF(SUM((_xlpm.x="K")*1, (_xlpm.x="A")*1, (_xlpm.x="GK")*1, (_xlpm.x="GA")*1)&gt;0, 3, 1))</f>
        <v>3</v>
      </c>
      <c r="Z16" s="25">
        <v>1</v>
      </c>
      <c r="AA16" s="25">
        <v>1</v>
      </c>
      <c r="AC16" s="152" t="str">
        <v>J</v>
      </c>
      <c r="AD16" s="131">
        <v>4</v>
      </c>
      <c r="AE16" s="131">
        <v>11</v>
      </c>
      <c r="AF16" s="131">
        <v>0</v>
      </c>
      <c r="AG16" s="131">
        <v>21</v>
      </c>
      <c r="AH16" s="131">
        <v>27</v>
      </c>
      <c r="AI16" s="5"/>
      <c r="AJ16" s="152" t="str">
        <v>J</v>
      </c>
      <c r="AK16" s="131">
        <v>4</v>
      </c>
      <c r="AL16" s="131">
        <v>11</v>
      </c>
      <c r="AM16" s="131">
        <v>0</v>
      </c>
      <c r="AN16" s="131">
        <v>21</v>
      </c>
      <c r="AO16" s="131">
        <v>27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4</v>
      </c>
      <c r="E17" s="99">
        <f t="shared" si="0"/>
        <v>5</v>
      </c>
      <c r="F17" s="99">
        <f t="shared" si="0"/>
        <v>5</v>
      </c>
      <c r="G17" s="99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32</v>
      </c>
      <c r="M17" s="16" t="s">
        <v>127</v>
      </c>
      <c r="N17" s="16" t="s">
        <v>35</v>
      </c>
      <c r="O17" s="16" t="s">
        <v>22</v>
      </c>
      <c r="Q17" s="9">
        <v>8</v>
      </c>
      <c r="R17" s="9">
        <v>9</v>
      </c>
      <c r="S17" s="9">
        <v>15</v>
      </c>
      <c r="T17" s="9">
        <v>8</v>
      </c>
      <c r="U17" s="9">
        <v>3</v>
      </c>
      <c r="W17" s="25" cm="1">
        <f t="array" ref="W17">_xlfn.LET(_xlpm.x, K17:K19, IF(SUM((_xlpm.x="K")*1, (_xlpm.x="A")*1, (_xlpm.x="GK")*1, (_xlpm.x="GA")*1)&gt;0, 3, 1))</f>
        <v>3</v>
      </c>
      <c r="X17" s="25" cm="1">
        <f t="array" ref="X17">_xlfn.LET(_xlpm.x, L17:L19, IF(SUM((_xlpm.x="K")*1, (_xlpm.x="A")*1, (_xlpm.x="GK")*1, (_xlpm.x="GA")*1)&gt;0, 3, 1))</f>
        <v>3</v>
      </c>
      <c r="Y17" s="25" cm="1">
        <f t="array" ref="Y17">_xlfn.LET(_xlpm.x, M17:M19, IF(SUM((_xlpm.x="K")*1, (_xlpm.x="A")*1, (_xlpm.x="GK")*1, (_xlpm.x="GA")*1)&gt;0, 3, 1))</f>
        <v>3</v>
      </c>
      <c r="Z17" s="25">
        <v>1</v>
      </c>
      <c r="AA17" s="25">
        <v>1</v>
      </c>
      <c r="AC17" s="136" t="str">
        <v>G1</v>
      </c>
      <c r="AD17" s="99">
        <v>0</v>
      </c>
      <c r="AE17" s="99">
        <v>5</v>
      </c>
      <c r="AF17" s="99">
        <v>5</v>
      </c>
      <c r="AG17" s="99">
        <v>6</v>
      </c>
      <c r="AH17" s="99">
        <v>0</v>
      </c>
      <c r="AI17" s="5"/>
      <c r="AJ17" s="136" t="str">
        <v>G1</v>
      </c>
      <c r="AK17" s="99">
        <v>0</v>
      </c>
      <c r="AL17" s="99">
        <v>5</v>
      </c>
      <c r="AM17" s="99">
        <v>5</v>
      </c>
      <c r="AN17" s="99">
        <v>6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15</v>
      </c>
      <c r="E18" s="99">
        <f t="shared" si="0"/>
        <v>44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 cm="1">
        <f t="array" ref="W18">_xlfn.LET(_xlpm.x, K18:K20, IF(SUM((_xlpm.x="K")*1, (_xlpm.x="A")*1, (_xlpm.x="GK")*1, (_xlpm.x="GA")*1)&gt;0, 3, 1))</f>
        <v>3</v>
      </c>
      <c r="X18" s="25" cm="1">
        <f t="array" ref="X18">_xlfn.LET(_xlpm.x, L18:L20, IF(SUM((_xlpm.x="K")*1, (_xlpm.x="A")*1, (_xlpm.x="GK")*1, (_xlpm.x="GA")*1)&gt;0, 3, 1))</f>
        <v>3</v>
      </c>
      <c r="Y18" s="25" cm="1">
        <f t="array" ref="Y18">_xlfn.LET(_xlpm.x, M18:M20, IF(SUM((_xlpm.x="K")*1, (_xlpm.x="A")*1, (_xlpm.x="GK")*1, (_xlpm.x="GA")*1)&gt;0, 3, 1))</f>
        <v>3</v>
      </c>
      <c r="Z18" s="25">
        <v>1</v>
      </c>
      <c r="AA18" s="25">
        <v>1</v>
      </c>
      <c r="AC18" s="136" t="str">
        <v>G2</v>
      </c>
      <c r="AD18" s="99">
        <v>0</v>
      </c>
      <c r="AE18" s="99">
        <v>6</v>
      </c>
      <c r="AF18" s="99">
        <v>5</v>
      </c>
      <c r="AG18" s="99">
        <v>6</v>
      </c>
      <c r="AH18" s="99">
        <v>0</v>
      </c>
      <c r="AI18" s="5"/>
      <c r="AJ18" s="136" t="str">
        <v>G2</v>
      </c>
      <c r="AK18" s="99">
        <v>0</v>
      </c>
      <c r="AL18" s="99">
        <v>6</v>
      </c>
      <c r="AM18" s="99">
        <v>5</v>
      </c>
      <c r="AN18" s="99">
        <v>6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16</v>
      </c>
      <c r="E19" s="99">
        <f t="shared" si="0"/>
        <v>44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126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 cm="1">
        <f t="array" ref="W19">_xlfn.LET(_xlpm.x, K19:K21, IF(SUM((_xlpm.x="K")*1, (_xlpm.x="A")*1, (_xlpm.x="GK")*1, (_xlpm.x="GA")*1)&gt;0, 3, 1))</f>
        <v>3</v>
      </c>
      <c r="X19" s="25" cm="1">
        <f t="array" ref="X19">_xlfn.LET(_xlpm.x, L19:L21, IF(SUM((_xlpm.x="K")*1, (_xlpm.x="A")*1, (_xlpm.x="GK")*1, (_xlpm.x="GA")*1)&gt;0, 3, 1))</f>
        <v>1</v>
      </c>
      <c r="Y19" s="25" cm="1">
        <f t="array" ref="Y19">_xlfn.LET(_xlpm.x, M19:M21, IF(SUM((_xlpm.x="K")*1, (_xlpm.x="A")*1, (_xlpm.x="GK")*1, (_xlpm.x="GA")*1)&gt;0, 3, 1))</f>
        <v>3</v>
      </c>
      <c r="Z19" s="25">
        <v>1</v>
      </c>
      <c r="AA19" s="25">
        <v>1</v>
      </c>
      <c r="AC19" s="136" t="str">
        <v>G3</v>
      </c>
      <c r="AD19" s="99">
        <v>0</v>
      </c>
      <c r="AE19" s="99">
        <v>6</v>
      </c>
      <c r="AF19" s="99">
        <v>5</v>
      </c>
      <c r="AG19" s="99">
        <v>6</v>
      </c>
      <c r="AH19" s="99">
        <v>0</v>
      </c>
      <c r="AI19" s="5"/>
      <c r="AJ19" s="136" t="str">
        <v>G3</v>
      </c>
      <c r="AK19" s="99">
        <v>0</v>
      </c>
      <c r="AL19" s="99">
        <v>6</v>
      </c>
      <c r="AM19" s="99">
        <v>5</v>
      </c>
      <c r="AN19" s="99">
        <v>6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15</v>
      </c>
      <c r="E20" s="99">
        <f t="shared" si="0"/>
        <v>44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 cm="1">
        <f t="array" ref="W20">_xlfn.LET(_xlpm.x, K20:K22, IF(SUM((_xlpm.x="K")*1, (_xlpm.x="A")*1, (_xlpm.x="GK")*1, (_xlpm.x="GA")*1)&gt;0, 3, 1))</f>
        <v>3</v>
      </c>
      <c r="X20" s="25" cm="1">
        <f t="array" ref="X20">_xlfn.LET(_xlpm.x, L20:L22, IF(SUM((_xlpm.x="K")*1, (_xlpm.x="A")*1, (_xlpm.x="GK")*1, (_xlpm.x="GA")*1)&gt;0, 3, 1))</f>
        <v>1</v>
      </c>
      <c r="Y20" s="25" cm="1">
        <f t="array" ref="Y20">_xlfn.LET(_xlpm.x, M20:M22, IF(SUM((_xlpm.x="K")*1, (_xlpm.x="A")*1, (_xlpm.x="GK")*1, (_xlpm.x="GA")*1)&gt;0, 3, 1))</f>
        <v>3</v>
      </c>
      <c r="Z20" s="25">
        <v>1</v>
      </c>
      <c r="AA20" s="25">
        <v>1</v>
      </c>
      <c r="AC20" s="136" t="str">
        <v>G4</v>
      </c>
      <c r="AD20" s="99">
        <v>0</v>
      </c>
      <c r="AE20" s="99">
        <v>10</v>
      </c>
      <c r="AF20" s="99">
        <v>44</v>
      </c>
      <c r="AG20" s="99">
        <v>4</v>
      </c>
      <c r="AH20" s="99">
        <v>0</v>
      </c>
      <c r="AI20" s="5"/>
      <c r="AJ20" s="136" t="str">
        <v>G4</v>
      </c>
      <c r="AK20" s="99">
        <v>0</v>
      </c>
      <c r="AL20" s="99">
        <v>10</v>
      </c>
      <c r="AM20" s="99">
        <v>44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14</v>
      </c>
      <c r="E21" s="99">
        <f t="shared" si="0"/>
        <v>44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127</v>
      </c>
      <c r="M21" s="16" t="s">
        <v>92</v>
      </c>
      <c r="N21" s="16" t="s">
        <v>112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 cm="1">
        <f t="array" ref="W21">_xlfn.LET(_xlpm.x, K21:K23, IF(SUM((_xlpm.x="K")*1, (_xlpm.x="A")*1, (_xlpm.x="GK")*1, (_xlpm.x="GA")*1)&gt;0, 3, 1))</f>
        <v>3</v>
      </c>
      <c r="X21" s="25" cm="1">
        <f t="array" ref="X21">_xlfn.LET(_xlpm.x, L21:L23, IF(SUM((_xlpm.x="K")*1, (_xlpm.x="A")*1, (_xlpm.x="GK")*1, (_xlpm.x="GA")*1)&gt;0, 3, 1))</f>
        <v>3</v>
      </c>
      <c r="Y21" s="25" cm="1">
        <f t="array" ref="Y21">_xlfn.LET(_xlpm.x, M21:M23, IF(SUM((_xlpm.x="K")*1, (_xlpm.x="A")*1, (_xlpm.x="GK")*1, (_xlpm.x="GA")*1)&gt;0, 3, 1))</f>
        <v>3</v>
      </c>
      <c r="Z21" s="25">
        <v>1</v>
      </c>
      <c r="AA21" s="25">
        <v>1</v>
      </c>
      <c r="AC21" s="136" t="str">
        <v>G5</v>
      </c>
      <c r="AD21" s="99">
        <v>0</v>
      </c>
      <c r="AE21" s="99">
        <v>10</v>
      </c>
      <c r="AF21" s="99">
        <v>44</v>
      </c>
      <c r="AG21" s="99">
        <v>4</v>
      </c>
      <c r="AH21" s="99">
        <v>0</v>
      </c>
      <c r="AI21" s="5"/>
      <c r="AJ21" s="136" t="str">
        <v>G5</v>
      </c>
      <c r="AK21" s="99">
        <v>0</v>
      </c>
      <c r="AL21" s="99">
        <v>10</v>
      </c>
      <c r="AM21" s="99">
        <v>44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5</v>
      </c>
      <c r="E22" s="99">
        <f t="shared" si="0"/>
        <v>5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126</v>
      </c>
      <c r="L22" s="16" t="s">
        <v>126</v>
      </c>
      <c r="M22" s="16" t="s">
        <v>127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 cm="1">
        <f t="array" ref="W22">_xlfn.LET(_xlpm.x, K22:K24, IF(SUM((_xlpm.x="K")*1, (_xlpm.x="A")*1, (_xlpm.x="GK")*1, (_xlpm.x="GA")*1)&gt;0, 3, 1))</f>
        <v>1</v>
      </c>
      <c r="X22" s="25" cm="1">
        <f t="array" ref="X22">_xlfn.LET(_xlpm.x, L22:L24, IF(SUM((_xlpm.x="K")*1, (_xlpm.x="A")*1, (_xlpm.x="GK")*1, (_xlpm.x="GA")*1)&gt;0, 3, 1))</f>
        <v>3</v>
      </c>
      <c r="Y22" s="25" cm="1">
        <f t="array" ref="Y22">_xlfn.LET(_xlpm.x, M22:M24, IF(SUM((_xlpm.x="K")*1, (_xlpm.x="A")*1, (_xlpm.x="GK")*1, (_xlpm.x="GA")*1)&gt;0, 3, 1))</f>
        <v>3</v>
      </c>
      <c r="Z22" s="25">
        <v>1</v>
      </c>
      <c r="AA22" s="25">
        <v>1</v>
      </c>
      <c r="AC22" s="136" t="str">
        <v>GA</v>
      </c>
      <c r="AD22" s="99">
        <v>0</v>
      </c>
      <c r="AE22" s="99">
        <v>10</v>
      </c>
      <c r="AF22" s="99">
        <v>44</v>
      </c>
      <c r="AG22" s="99">
        <v>4</v>
      </c>
      <c r="AH22" s="99">
        <v>0</v>
      </c>
      <c r="AI22" s="5"/>
      <c r="AJ22" s="136" t="str">
        <v>GA</v>
      </c>
      <c r="AK22" s="99">
        <v>0</v>
      </c>
      <c r="AL22" s="99">
        <v>10</v>
      </c>
      <c r="AM22" s="99">
        <v>44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3</v>
      </c>
      <c r="E23" s="99">
        <f t="shared" si="0"/>
        <v>4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23</v>
      </c>
      <c r="M23" s="16" t="s">
        <v>112</v>
      </c>
      <c r="N23" s="16" t="s">
        <v>34</v>
      </c>
      <c r="O23" s="16" t="s">
        <v>21</v>
      </c>
      <c r="Q23" s="9">
        <v>5</v>
      </c>
      <c r="R23" s="9">
        <v>7</v>
      </c>
      <c r="S23" s="9">
        <v>17</v>
      </c>
      <c r="T23" s="9">
        <v>9</v>
      </c>
      <c r="U23" s="9">
        <v>2</v>
      </c>
      <c r="W23" s="25" cm="1">
        <f t="array" ref="W23">_xlfn.LET(_xlpm.x, K23:K25, IF(SUM((_xlpm.x="K")*1, (_xlpm.x="A")*1, (_xlpm.x="GK")*1, (_xlpm.x="GA")*1)&gt;0, 3, 1))</f>
        <v>1</v>
      </c>
      <c r="X23" s="25" cm="1">
        <f t="array" ref="X23">_xlfn.LET(_xlpm.x, L23:L25, IF(SUM((_xlpm.x="K")*1, (_xlpm.x="A")*1, (_xlpm.x="GK")*1, (_xlpm.x="GA")*1)&gt;0, 3, 1))</f>
        <v>3</v>
      </c>
      <c r="Y23" s="25" cm="1">
        <f t="array" ref="Y23">_xlfn.LET(_xlpm.x, M23:M25, IF(SUM((_xlpm.x="K")*1, (_xlpm.x="A")*1, (_xlpm.x="GK")*1, (_xlpm.x="GA")*1)&gt;0, 3, 1))</f>
        <v>3</v>
      </c>
      <c r="Z23" s="25">
        <v>1</v>
      </c>
      <c r="AA23" s="25">
        <v>1</v>
      </c>
      <c r="AC23" s="136" t="str">
        <v>GK</v>
      </c>
      <c r="AD23" s="99">
        <v>0</v>
      </c>
      <c r="AE23" s="99">
        <v>10</v>
      </c>
      <c r="AF23" s="99">
        <v>44</v>
      </c>
      <c r="AG23" s="99">
        <v>4</v>
      </c>
      <c r="AH23" s="99">
        <v>0</v>
      </c>
      <c r="AI23" s="5"/>
      <c r="AJ23" s="136" t="str">
        <v>GK</v>
      </c>
      <c r="AK23" s="99">
        <v>0</v>
      </c>
      <c r="AL23" s="99">
        <v>10</v>
      </c>
      <c r="AM23" s="99">
        <v>44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126</v>
      </c>
      <c r="L24" s="16" t="s">
        <v>94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17</v>
      </c>
      <c r="S24" s="9">
        <v>14</v>
      </c>
      <c r="T24" s="9">
        <v>4</v>
      </c>
      <c r="U24" s="9">
        <v>9</v>
      </c>
      <c r="W24" s="25" cm="1">
        <f t="array" ref="W24">_xlfn.LET(_xlpm.x, K24:K26, IF(SUM((_xlpm.x="K")*1, (_xlpm.x="A")*1, (_xlpm.x="GK")*1, (_xlpm.x="GA")*1)&gt;0, 3, 1))</f>
        <v>3</v>
      </c>
      <c r="X24" s="25" cm="1">
        <f t="array" ref="X24">_xlfn.LET(_xlpm.x, L24:L26, IF(SUM((_xlpm.x="K")*1, (_xlpm.x="A")*1, (_xlpm.x="GK")*1, (_xlpm.x="GA")*1)&gt;0, 3, 1))</f>
        <v>3</v>
      </c>
      <c r="Y24" s="25" cm="1">
        <f t="array" ref="Y24">_xlfn.LET(_xlpm.x, M24:M26, IF(SUM((_xlpm.x="K")*1, (_xlpm.x="A")*1, (_xlpm.x="GK")*1, (_xlpm.x="GA")*1)&gt;0, 3, 1))</f>
        <v>3</v>
      </c>
      <c r="Z24" s="25">
        <v>1</v>
      </c>
      <c r="AA24" s="25">
        <v>1</v>
      </c>
      <c r="AC24" s="136" t="str">
        <v>GQ</v>
      </c>
      <c r="AD24" s="99">
        <v>0</v>
      </c>
      <c r="AE24" s="99">
        <v>6</v>
      </c>
      <c r="AF24" s="99">
        <v>5</v>
      </c>
      <c r="AG24" s="99">
        <v>5</v>
      </c>
      <c r="AH24" s="99">
        <v>0</v>
      </c>
      <c r="AI24" s="5"/>
      <c r="AJ24" s="136" t="str">
        <v>GQ</v>
      </c>
      <c r="AK24" s="99">
        <v>0</v>
      </c>
      <c r="AL24" s="99">
        <v>6</v>
      </c>
      <c r="AM24" s="99">
        <v>5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112</v>
      </c>
      <c r="M25" s="16" t="s">
        <v>112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 cm="1">
        <f t="array" ref="W25">_xlfn.LET(_xlpm.x, K25:K27, IF(SUM((_xlpm.x="K")*1, (_xlpm.x="A")*1, (_xlpm.x="GK")*1, (_xlpm.x="GA")*1)&gt;0, 3, 1))</f>
        <v>3</v>
      </c>
      <c r="X25" s="25" cm="1">
        <f t="array" ref="X25">_xlfn.LET(_xlpm.x, L25:L27, IF(SUM((_xlpm.x="K")*1, (_xlpm.x="A")*1, (_xlpm.x="GK")*1, (_xlpm.x="GA")*1)&gt;0, 3, 1))</f>
        <v>3</v>
      </c>
      <c r="Y25" s="25" cm="1">
        <f t="array" ref="Y25">_xlfn.LET(_xlpm.x, M25:M27, IF(SUM((_xlpm.x="K")*1, (_xlpm.x="A")*1, (_xlpm.x="GK")*1, (_xlpm.x="GA")*1)&gt;0, 3, 1))</f>
        <v>3</v>
      </c>
      <c r="Z25" s="25">
        <v>1</v>
      </c>
      <c r="AA25" s="25">
        <v>1</v>
      </c>
      <c r="AC25" s="136" t="str">
        <v>GJ</v>
      </c>
      <c r="AD25" s="99">
        <v>0</v>
      </c>
      <c r="AE25" s="99">
        <v>6</v>
      </c>
      <c r="AF25" s="99">
        <v>4</v>
      </c>
      <c r="AG25" s="99">
        <v>5</v>
      </c>
      <c r="AH25" s="99">
        <v>0</v>
      </c>
      <c r="AI25" s="5"/>
      <c r="AJ25" s="136" t="str">
        <v>GJ</v>
      </c>
      <c r="AK25" s="99">
        <v>0</v>
      </c>
      <c r="AL25" s="99">
        <v>6</v>
      </c>
      <c r="AM25" s="99">
        <v>4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0.6</v>
      </c>
      <c r="E26" s="179">
        <f t="shared" si="1"/>
        <v>0</v>
      </c>
      <c r="F26" s="179">
        <f t="shared" si="1"/>
        <v>0.82499999999999996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324</v>
      </c>
      <c r="M26" s="16" t="s">
        <v>97</v>
      </c>
      <c r="N26" s="16" t="s">
        <v>127</v>
      </c>
      <c r="O26" s="16" t="s">
        <v>18</v>
      </c>
      <c r="Q26" s="9">
        <v>8</v>
      </c>
      <c r="R26" s="9">
        <v>6</v>
      </c>
      <c r="S26" s="9">
        <v>19</v>
      </c>
      <c r="T26" s="9">
        <v>15</v>
      </c>
      <c r="U26" s="9">
        <v>4</v>
      </c>
      <c r="W26" s="25" cm="1">
        <f t="array" ref="W26">_xlfn.LET(_xlpm.x, K26:K28, IF(SUM((_xlpm.x="K")*1, (_xlpm.x="A")*1, (_xlpm.x="GK")*1, (_xlpm.x="GA")*1)&gt;0, 3, 1))</f>
        <v>3</v>
      </c>
      <c r="X26" s="25" cm="1">
        <f t="array" ref="X26">_xlfn.LET(_xlpm.x, L26:L28, IF(SUM((_xlpm.x="K")*1, (_xlpm.x="A")*1, (_xlpm.x="GK")*1, (_xlpm.x="GA")*1)&gt;0, 3, 1))</f>
        <v>3</v>
      </c>
      <c r="Y26" s="25" cm="1">
        <f t="array" ref="Y26">_xlfn.LET(_xlpm.x, M26:M28, IF(SUM((_xlpm.x="K")*1, (_xlpm.x="A")*1, (_xlpm.x="GK")*1, (_xlpm.x="GA")*1)&gt;0, 3, 1))</f>
        <v>1</v>
      </c>
      <c r="Z26" s="25">
        <v>1</v>
      </c>
      <c r="AA26" s="25">
        <v>1</v>
      </c>
      <c r="AD26" s="111">
        <f>SUM(AD6:AD25)</f>
        <v>200</v>
      </c>
      <c r="AE26" s="111">
        <f>SUM(AE6:AE25)</f>
        <v>209</v>
      </c>
      <c r="AF26" s="111">
        <f>SUM(AF6:AF25)</f>
        <v>200</v>
      </c>
      <c r="AG26" s="111">
        <f>SUM(AG6:AG25)</f>
        <v>209</v>
      </c>
      <c r="AH26" s="111">
        <f>SUM(AH6:AH25)</f>
        <v>200</v>
      </c>
      <c r="AI26" s="5"/>
      <c r="AK26" s="111">
        <f>SUM(AK6:AK25)</f>
        <v>200</v>
      </c>
      <c r="AL26" s="111">
        <f>SUM(AL6:AL25)</f>
        <v>209</v>
      </c>
      <c r="AM26" s="111">
        <f>SUM(AM6:AM25)</f>
        <v>200</v>
      </c>
      <c r="AN26" s="111">
        <f>SUM(AN6:AN25)</f>
        <v>209</v>
      </c>
      <c r="AO26" s="111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0.4</v>
      </c>
      <c r="E27" s="179">
        <f t="shared" si="2"/>
        <v>1</v>
      </c>
      <c r="F27" s="179">
        <f t="shared" si="2"/>
        <v>0.17499999999999999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31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8</v>
      </c>
      <c r="S27" s="9">
        <v>14</v>
      </c>
      <c r="T27" s="9">
        <v>10</v>
      </c>
      <c r="U27" s="9">
        <v>3</v>
      </c>
      <c r="W27" s="25" cm="1">
        <f t="array" ref="W27">_xlfn.LET(_xlpm.x, K27:K29, IF(SUM((_xlpm.x="K")*1, (_xlpm.x="A")*1, (_xlpm.x="GK")*1, (_xlpm.x="GA")*1)&gt;0, 3, 1))</f>
        <v>1</v>
      </c>
      <c r="X27" s="25" cm="1">
        <f t="array" ref="X27">_xlfn.LET(_xlpm.x, L27:L29, IF(SUM((_xlpm.x="K")*1, (_xlpm.x="A")*1, (_xlpm.x="GK")*1, (_xlpm.x="GA")*1)&gt;0, 3, 1))</f>
        <v>3</v>
      </c>
      <c r="Y27" s="25" cm="1">
        <f t="array" ref="Y27">_xlfn.LET(_xlpm.x, M27:M29, IF(SUM((_xlpm.x="K")*1, (_xlpm.x="A")*1, (_xlpm.x="GK")*1, (_xlpm.x="GA")*1)&gt;0, 3, 1))</f>
        <v>3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126</v>
      </c>
      <c r="L28" s="16" t="s">
        <v>127</v>
      </c>
      <c r="M28" s="16" t="s">
        <v>127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 cm="1">
        <f t="array" ref="W28">_xlfn.LET(_xlpm.x, K28:K30, IF(SUM((_xlpm.x="K")*1, (_xlpm.x="A")*1, (_xlpm.x="GK")*1, (_xlpm.x="GA")*1)&gt;0, 3, 1))</f>
        <v>1</v>
      </c>
      <c r="X28" s="25" cm="1">
        <f t="array" ref="X28">_xlfn.LET(_xlpm.x, L28:L30, IF(SUM((_xlpm.x="K")*1, (_xlpm.x="A")*1, (_xlpm.x="GK")*1, (_xlpm.x="GA")*1)&gt;0, 3, 1))</f>
        <v>3</v>
      </c>
      <c r="Y28" s="25" cm="1">
        <f t="array" ref="Y28">_xlfn.LET(_xlpm.x, M28:M30, IF(SUM((_xlpm.x="K")*1, (_xlpm.x="A")*1, (_xlpm.x="GK")*1, (_xlpm.x="GA")*1)&gt;0, 3, 1))</f>
        <v>3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36</v>
      </c>
      <c r="L29" s="16" t="s">
        <v>22</v>
      </c>
      <c r="M29" s="16" t="s">
        <v>112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 cm="1">
        <f t="array" ref="W29">_xlfn.LET(_xlpm.x, K29:K31, IF(SUM((_xlpm.x="K")*1, (_xlpm.x="A")*1, (_xlpm.x="GK")*1, (_xlpm.x="GA")*1)&gt;0, 3, 1))</f>
        <v>1</v>
      </c>
      <c r="X29" s="25" cm="1">
        <f t="array" ref="X29">_xlfn.LET(_xlpm.x, L29:L31, IF(SUM((_xlpm.x="K")*1, (_xlpm.x="A")*1, (_xlpm.x="GK")*1, (_xlpm.x="GA")*1)&gt;0, 3, 1))</f>
        <v>3</v>
      </c>
      <c r="Y29" s="25" cm="1">
        <f t="array" ref="Y29">_xlfn.LET(_xlpm.x, M29:M31, IF(SUM((_xlpm.x="K")*1, (_xlpm.x="A")*1, (_xlpm.x="GK")*1, (_xlpm.x="GA")*1)&gt;0, 3, 1))</f>
        <v>3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126</v>
      </c>
      <c r="L30" s="16" t="s">
        <v>35</v>
      </c>
      <c r="M30" s="16" t="s">
        <v>91</v>
      </c>
      <c r="N30" s="16" t="s">
        <v>126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 cm="1">
        <f t="array" ref="W30">_xlfn.LET(_xlpm.x, K30:K32, IF(SUM((_xlpm.x="K")*1, (_xlpm.x="A")*1, (_xlpm.x="GK")*1, (_xlpm.x="GA")*1)&gt;0, 3, 1))</f>
        <v>1</v>
      </c>
      <c r="X30" s="25" cm="1">
        <f t="array" ref="X30">_xlfn.LET(_xlpm.x, L30:L32, IF(SUM((_xlpm.x="K")*1, (_xlpm.x="A")*1, (_xlpm.x="GK")*1, (_xlpm.x="GA")*1)&gt;0, 3, 1))</f>
        <v>3</v>
      </c>
      <c r="Y30" s="25" cm="1">
        <f t="array" ref="Y30">_xlfn.LET(_xlpm.x, M30:M32, IF(SUM((_xlpm.x="K")*1, (_xlpm.x="A")*1, (_xlpm.x="GK")*1, (_xlpm.x="GA")*1)&gt;0, 3, 1))</f>
        <v>3</v>
      </c>
      <c r="Z30" s="25">
        <v>1</v>
      </c>
      <c r="AA30" s="25"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 cm="1">
        <f t="array" ref="W31">_xlfn.LET(_xlpm.x, K31:K33, IF(SUM((_xlpm.x="K")*1, (_xlpm.x="A")*1, (_xlpm.x="GK")*1, (_xlpm.x="GA")*1)&gt;0, 3, 1))</f>
        <v>1</v>
      </c>
      <c r="X31" s="25" cm="1">
        <f t="array" ref="X31">_xlfn.LET(_xlpm.x, L31:L33, IF(SUM((_xlpm.x="K")*1, (_xlpm.x="A")*1, (_xlpm.x="GK")*1, (_xlpm.x="GA")*1)&gt;0, 3, 1))</f>
        <v>3</v>
      </c>
      <c r="Y31" s="25" cm="1">
        <f t="array" ref="Y31">_xlfn.LET(_xlpm.x, M31:M33, IF(SUM((_xlpm.x="K")*1, (_xlpm.x="A")*1, (_xlpm.x="GK")*1, (_xlpm.x="GA")*1)&gt;0, 3, 1))</f>
        <v>3</v>
      </c>
      <c r="Z31" s="25">
        <v>1</v>
      </c>
      <c r="AA31" s="25">
        <v>1</v>
      </c>
      <c r="AC31" s="136" t="str">
        <v>C1</v>
      </c>
      <c r="AD31" s="136">
        <v>0</v>
      </c>
      <c r="AE31" s="136">
        <v>6</v>
      </c>
      <c r="AF31" s="136">
        <v>0</v>
      </c>
      <c r="AG31" s="136">
        <v>9</v>
      </c>
      <c r="AH31" s="136">
        <v>0</v>
      </c>
      <c r="AI31" s="5"/>
      <c r="AJ31" s="136" t="str">
        <v>C1</v>
      </c>
      <c r="AK31" s="136">
        <v>0</v>
      </c>
      <c r="AL31" s="136">
        <v>6</v>
      </c>
      <c r="AM31" s="136">
        <v>0</v>
      </c>
      <c r="AN31" s="136">
        <v>9</v>
      </c>
      <c r="AO31" s="136">
        <v>0</v>
      </c>
    </row>
    <row r="32" spans="1:41" ht="16.5" customHeight="1">
      <c r="J32" s="25">
        <v>28</v>
      </c>
      <c r="K32" s="16" t="s">
        <v>126</v>
      </c>
      <c r="L32" s="16" t="s">
        <v>92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16</v>
      </c>
      <c r="S32" s="9">
        <v>16</v>
      </c>
      <c r="T32" s="9">
        <v>1</v>
      </c>
      <c r="U32" s="9">
        <v>2</v>
      </c>
      <c r="W32" s="25" cm="1">
        <f t="array" ref="W32">_xlfn.LET(_xlpm.x, K32:K34, IF(SUM((_xlpm.x="K")*1, (_xlpm.x="A")*1, (_xlpm.x="GK")*1, (_xlpm.x="GA")*1)&gt;0, 3, 1))</f>
        <v>1</v>
      </c>
      <c r="X32" s="25" cm="1">
        <f t="array" ref="X32">_xlfn.LET(_xlpm.x, L32:L34, IF(SUM((_xlpm.x="K")*1, (_xlpm.x="A")*1, (_xlpm.x="GK")*1, (_xlpm.x="GA")*1)&gt;0, 3, 1))</f>
        <v>3</v>
      </c>
      <c r="Y32" s="25" cm="1">
        <f t="array" ref="Y32">_xlfn.LET(_xlpm.x, M32:M34, IF(SUM((_xlpm.x="K")*1, (_xlpm.x="A")*1, (_xlpm.x="GK")*1, (_xlpm.x="GA")*1)&gt;0, 3, 1))</f>
        <v>3</v>
      </c>
      <c r="Z32" s="25">
        <v>1</v>
      </c>
      <c r="AA32" s="25">
        <v>1</v>
      </c>
      <c r="AC32" s="152" t="str">
        <v>M1</v>
      </c>
      <c r="AD32" s="131">
        <v>4</v>
      </c>
      <c r="AE32" s="131">
        <v>11</v>
      </c>
      <c r="AF32" s="131">
        <v>0</v>
      </c>
      <c r="AG32" s="131">
        <v>22</v>
      </c>
      <c r="AH32" s="131">
        <v>28</v>
      </c>
      <c r="AI32" s="5"/>
      <c r="AJ32" s="152" t="str">
        <v>M1</v>
      </c>
      <c r="AK32" s="131">
        <v>4</v>
      </c>
      <c r="AL32" s="131">
        <v>11</v>
      </c>
      <c r="AM32" s="131">
        <v>0</v>
      </c>
      <c r="AN32" s="131">
        <v>22</v>
      </c>
      <c r="AO32" s="131">
        <v>28</v>
      </c>
    </row>
    <row r="33" spans="10:41" ht="16.5" customHeight="1">
      <c r="J33" s="9">
        <v>29</v>
      </c>
      <c r="K33" s="16" t="s">
        <v>126</v>
      </c>
      <c r="L33" s="16" t="s">
        <v>92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16</v>
      </c>
      <c r="S33" s="9">
        <v>14</v>
      </c>
      <c r="T33" s="9">
        <v>4</v>
      </c>
      <c r="U33" s="9">
        <v>3</v>
      </c>
      <c r="W33" s="25" cm="1">
        <f t="array" ref="W33">_xlfn.LET(_xlpm.x, K33:K35, IF(SUM((_xlpm.x="K")*1, (_xlpm.x="A")*1, (_xlpm.x="GK")*1, (_xlpm.x="GA")*1)&gt;0, 3, 1))</f>
        <v>3</v>
      </c>
      <c r="X33" s="25" cm="1">
        <f t="array" ref="X33">_xlfn.LET(_xlpm.x, L33:L35, IF(SUM((_xlpm.x="K")*1, (_xlpm.x="A")*1, (_xlpm.x="GK")*1, (_xlpm.x="GA")*1)&gt;0, 3, 1))</f>
        <v>3</v>
      </c>
      <c r="Y33" s="25" cm="1">
        <f t="array" ref="Y33">_xlfn.LET(_xlpm.x, M33:M35, IF(SUM((_xlpm.x="K")*1, (_xlpm.x="A")*1, (_xlpm.x="GK")*1, (_xlpm.x="GA")*1)&gt;0, 3, 1))</f>
        <v>1</v>
      </c>
      <c r="Z33" s="25">
        <v>1</v>
      </c>
      <c r="AA33" s="25">
        <v>1</v>
      </c>
      <c r="AC33" s="152" t="str">
        <v>M2</v>
      </c>
      <c r="AD33" s="131">
        <v>4</v>
      </c>
      <c r="AE33" s="131">
        <v>11</v>
      </c>
      <c r="AF33" s="131">
        <v>0</v>
      </c>
      <c r="AG33" s="131">
        <v>22</v>
      </c>
      <c r="AH33" s="131">
        <v>27</v>
      </c>
      <c r="AI33" s="5"/>
      <c r="AJ33" s="152" t="str">
        <v>M2</v>
      </c>
      <c r="AK33" s="131">
        <v>4</v>
      </c>
      <c r="AL33" s="131">
        <v>11</v>
      </c>
      <c r="AM33" s="131">
        <v>0</v>
      </c>
      <c r="AN33" s="131">
        <v>22</v>
      </c>
      <c r="AO33" s="131">
        <v>27</v>
      </c>
    </row>
    <row r="34" spans="10:41" ht="16.5" customHeight="1">
      <c r="J34" s="25">
        <v>30</v>
      </c>
      <c r="K34" s="16" t="s">
        <v>126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 cm="1">
        <f t="array" ref="W34">_xlfn.LET(_xlpm.x, K34:K36, IF(SUM((_xlpm.x="K")*1, (_xlpm.x="A")*1, (_xlpm.x="GK")*1, (_xlpm.x="GA")*1)&gt;0, 3, 1))</f>
        <v>3</v>
      </c>
      <c r="X34" s="25" cm="1">
        <f t="array" ref="X34">_xlfn.LET(_xlpm.x, L34:L36, IF(SUM((_xlpm.x="K")*1, (_xlpm.x="A")*1, (_xlpm.x="GK")*1, (_xlpm.x="GA")*1)&gt;0, 3, 1))</f>
        <v>3</v>
      </c>
      <c r="Y34" s="25" cm="1">
        <f t="array" ref="Y34">_xlfn.LET(_xlpm.x, M34:M36, IF(SUM((_xlpm.x="K")*1, (_xlpm.x="A")*1, (_xlpm.x="GK")*1, (_xlpm.x="GA")*1)&gt;0, 3, 1))</f>
        <v>1</v>
      </c>
      <c r="Z34" s="25">
        <v>1</v>
      </c>
      <c r="AA34" s="25">
        <v>1</v>
      </c>
      <c r="AC34" s="152" t="str">
        <v>M3</v>
      </c>
      <c r="AD34" s="131">
        <v>4</v>
      </c>
      <c r="AE34" s="131">
        <v>11</v>
      </c>
      <c r="AF34" s="131">
        <v>0</v>
      </c>
      <c r="AG34" s="131">
        <v>22</v>
      </c>
      <c r="AH34" s="131">
        <v>27</v>
      </c>
      <c r="AI34" s="5"/>
      <c r="AJ34" s="152" t="str">
        <v>M3</v>
      </c>
      <c r="AK34" s="131">
        <v>4</v>
      </c>
      <c r="AL34" s="131">
        <v>11</v>
      </c>
      <c r="AM34" s="131">
        <v>0</v>
      </c>
      <c r="AN34" s="131">
        <v>22</v>
      </c>
      <c r="AO34" s="131">
        <v>27</v>
      </c>
    </row>
    <row r="35" spans="10:41" ht="16.5" customHeight="1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 cm="1">
        <f t="array" ref="W35">_xlfn.LET(_xlpm.x, K35:K37, IF(SUM((_xlpm.x="K")*1, (_xlpm.x="A")*1, (_xlpm.x="GK")*1, (_xlpm.x="GA")*1)&gt;0, 3, 1))</f>
        <v>3</v>
      </c>
      <c r="X35" s="25" cm="1">
        <f t="array" ref="X35">_xlfn.LET(_xlpm.x, L35:L37, IF(SUM((_xlpm.x="K")*1, (_xlpm.x="A")*1, (_xlpm.x="GK")*1, (_xlpm.x="GA")*1)&gt;0, 3, 1))</f>
        <v>3</v>
      </c>
      <c r="Y35" s="25" cm="1">
        <f t="array" ref="Y35">_xlfn.LET(_xlpm.x, M35:M37, IF(SUM((_xlpm.x="K")*1, (_xlpm.x="A")*1, (_xlpm.x="GK")*1, (_xlpm.x="GA")*1)&gt;0, 3, 1))</f>
        <v>3</v>
      </c>
      <c r="Z35" s="25">
        <v>1</v>
      </c>
      <c r="AA35" s="25">
        <v>1</v>
      </c>
      <c r="AC35" s="152" t="str">
        <v>M4</v>
      </c>
      <c r="AD35" s="131">
        <v>43</v>
      </c>
      <c r="AE35" s="131">
        <v>19</v>
      </c>
      <c r="AF35" s="131">
        <v>0</v>
      </c>
      <c r="AG35" s="131">
        <v>12</v>
      </c>
      <c r="AH35" s="131">
        <v>16</v>
      </c>
      <c r="AI35" s="5"/>
      <c r="AJ35" s="152" t="str">
        <v>M4</v>
      </c>
      <c r="AK35" s="131">
        <v>43</v>
      </c>
      <c r="AL35" s="131">
        <v>19</v>
      </c>
      <c r="AM35" s="131">
        <v>0</v>
      </c>
      <c r="AN35" s="131">
        <v>12</v>
      </c>
      <c r="AO35" s="131">
        <v>16</v>
      </c>
    </row>
    <row r="36" spans="10:41" ht="16.5" customHeight="1">
      <c r="J36" s="25">
        <v>32</v>
      </c>
      <c r="K36" s="16" t="s">
        <v>37</v>
      </c>
      <c r="L36" s="16" t="s">
        <v>97</v>
      </c>
      <c r="M36" s="16" t="s">
        <v>127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 cm="1">
        <f t="array" ref="W36">_xlfn.LET(_xlpm.x, K36:K38, IF(SUM((_xlpm.x="K")*1, (_xlpm.x="A")*1, (_xlpm.x="GK")*1, (_xlpm.x="GA")*1)&gt;0, 3, 1))</f>
        <v>3</v>
      </c>
      <c r="X36" s="25" cm="1">
        <f t="array" ref="X36">_xlfn.LET(_xlpm.x, L36:L38, IF(SUM((_xlpm.x="K")*1, (_xlpm.x="A")*1, (_xlpm.x="GK")*1, (_xlpm.x="GA")*1)&gt;0, 3, 1))</f>
        <v>3</v>
      </c>
      <c r="Y36" s="25" cm="1">
        <f t="array" ref="Y36">_xlfn.LET(_xlpm.x, M36:M38, IF(SUM((_xlpm.x="K")*1, (_xlpm.x="A")*1, (_xlpm.x="GK")*1, (_xlpm.x="GA")*1)&gt;0, 3, 1))</f>
        <v>3</v>
      </c>
      <c r="Z36" s="25">
        <v>1</v>
      </c>
      <c r="AA36" s="25">
        <v>1</v>
      </c>
      <c r="AC36" s="152" t="str">
        <v>M5</v>
      </c>
      <c r="AD36" s="131">
        <v>43</v>
      </c>
      <c r="AE36" s="131">
        <v>20</v>
      </c>
      <c r="AF36" s="131">
        <v>0</v>
      </c>
      <c r="AG36" s="131">
        <v>12</v>
      </c>
      <c r="AH36" s="131">
        <v>16</v>
      </c>
      <c r="AI36" s="5"/>
      <c r="AJ36" s="152" t="str">
        <v>M5</v>
      </c>
      <c r="AK36" s="131">
        <v>43</v>
      </c>
      <c r="AL36" s="131">
        <v>20</v>
      </c>
      <c r="AM36" s="131">
        <v>0</v>
      </c>
      <c r="AN36" s="131">
        <v>12</v>
      </c>
      <c r="AO36" s="131">
        <v>16</v>
      </c>
    </row>
    <row r="37" spans="10:41" ht="16.5" customHeight="1">
      <c r="J37" s="9">
        <v>33</v>
      </c>
      <c r="K37" s="16" t="s">
        <v>126</v>
      </c>
      <c r="L37" s="16" t="s">
        <v>35</v>
      </c>
      <c r="M37" s="16" t="s">
        <v>112</v>
      </c>
      <c r="N37" s="16" t="s">
        <v>112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 cm="1">
        <f t="array" ref="W37">_xlfn.LET(_xlpm.x, K37:K39, IF(SUM((_xlpm.x="K")*1, (_xlpm.x="A")*1, (_xlpm.x="GK")*1, (_xlpm.x="GA")*1)&gt;0, 3, 1))</f>
        <v>3</v>
      </c>
      <c r="X37" s="25" cm="1">
        <f t="array" ref="X37">_xlfn.LET(_xlpm.x, L37:L39, IF(SUM((_xlpm.x="K")*1, (_xlpm.x="A")*1, (_xlpm.x="GK")*1, (_xlpm.x="GA")*1)&gt;0, 3, 1))</f>
        <v>3</v>
      </c>
      <c r="Y37" s="25" cm="1">
        <f t="array" ref="Y37">_xlfn.LET(_xlpm.x, M37:M39, IF(SUM((_xlpm.x="K")*1, (_xlpm.x="A")*1, (_xlpm.x="GK")*1, (_xlpm.x="GA")*1)&gt;0, 3, 1))</f>
        <v>3</v>
      </c>
      <c r="Z37" s="25">
        <v>1</v>
      </c>
      <c r="AA37" s="25">
        <v>1</v>
      </c>
      <c r="AC37" s="152" t="str">
        <v>A</v>
      </c>
      <c r="AD37" s="131">
        <v>47</v>
      </c>
      <c r="AE37" s="131">
        <v>20</v>
      </c>
      <c r="AF37" s="131">
        <v>0</v>
      </c>
      <c r="AG37" s="131">
        <v>12</v>
      </c>
      <c r="AH37" s="131">
        <v>16</v>
      </c>
      <c r="AI37" s="5"/>
      <c r="AJ37" s="152" t="str">
        <v>A</v>
      </c>
      <c r="AK37" s="131">
        <v>47</v>
      </c>
      <c r="AL37" s="131">
        <v>20</v>
      </c>
      <c r="AM37" s="131">
        <v>0</v>
      </c>
      <c r="AN37" s="131">
        <v>12</v>
      </c>
      <c r="AO37" s="131">
        <v>16</v>
      </c>
    </row>
    <row r="38" spans="10:41" ht="16.5" customHeight="1">
      <c r="J38" s="25">
        <v>34</v>
      </c>
      <c r="K38" s="16" t="s">
        <v>19</v>
      </c>
      <c r="L38" s="16" t="s">
        <v>91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14</v>
      </c>
      <c r="S38" s="9">
        <v>16</v>
      </c>
      <c r="T38" s="9">
        <v>2</v>
      </c>
      <c r="U38" s="9">
        <v>8</v>
      </c>
      <c r="W38" s="25" cm="1">
        <f t="array" ref="W38">_xlfn.LET(_xlpm.x, K38:K40, IF(SUM((_xlpm.x="K")*1, (_xlpm.x="A")*1, (_xlpm.x="GK")*1, (_xlpm.x="GA")*1)&gt;0, 3, 1))</f>
        <v>3</v>
      </c>
      <c r="X38" s="25" cm="1">
        <f t="array" ref="X38">_xlfn.LET(_xlpm.x, L38:L40, IF(SUM((_xlpm.x="K")*1, (_xlpm.x="A")*1, (_xlpm.x="GK")*1, (_xlpm.x="GA")*1)&gt;0, 3, 1))</f>
        <v>1</v>
      </c>
      <c r="Y38" s="25" cm="1">
        <f t="array" ref="Y38">_xlfn.LET(_xlpm.x, M38:M40, IF(SUM((_xlpm.x="K")*1, (_xlpm.x="A")*1, (_xlpm.x="GK")*1, (_xlpm.x="GA")*1)&gt;0, 3, 1))</f>
        <v>3</v>
      </c>
      <c r="Z38" s="25">
        <v>1</v>
      </c>
      <c r="AA38" s="25">
        <v>1</v>
      </c>
      <c r="AC38" s="152" t="str">
        <v>K</v>
      </c>
      <c r="AD38" s="131">
        <v>47</v>
      </c>
      <c r="AE38" s="131">
        <v>20</v>
      </c>
      <c r="AF38" s="131">
        <v>0</v>
      </c>
      <c r="AG38" s="131">
        <v>12</v>
      </c>
      <c r="AH38" s="131">
        <v>16</v>
      </c>
      <c r="AI38" s="5"/>
      <c r="AJ38" s="152" t="str">
        <v>K</v>
      </c>
      <c r="AK38" s="131">
        <v>47</v>
      </c>
      <c r="AL38" s="131">
        <v>20</v>
      </c>
      <c r="AM38" s="131">
        <v>0</v>
      </c>
      <c r="AN38" s="131">
        <v>12</v>
      </c>
      <c r="AO38" s="131">
        <v>16</v>
      </c>
    </row>
    <row r="39" spans="10:41" ht="16.5" customHeight="1">
      <c r="J39" s="9">
        <v>35</v>
      </c>
      <c r="K39" s="16" t="s">
        <v>35</v>
      </c>
      <c r="L39" s="16" t="s">
        <v>18</v>
      </c>
      <c r="M39" s="16" t="s">
        <v>127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 cm="1">
        <f t="array" ref="W39">_xlfn.LET(_xlpm.x, K39:K41, IF(SUM((_xlpm.x="K")*1, (_xlpm.x="A")*1, (_xlpm.x="GK")*1, (_xlpm.x="GA")*1)&gt;0, 3, 1))</f>
        <v>3</v>
      </c>
      <c r="X39" s="25" cm="1">
        <f t="array" ref="X39">_xlfn.LET(_xlpm.x, L39:L41, IF(SUM((_xlpm.x="K")*1, (_xlpm.x="A")*1, (_xlpm.x="GK")*1, (_xlpm.x="GA")*1)&gt;0, 3, 1))</f>
        <v>1</v>
      </c>
      <c r="Y39" s="25" cm="1">
        <f t="array" ref="Y39">_xlfn.LET(_xlpm.x, M39:M41, IF(SUM((_xlpm.x="K")*1, (_xlpm.x="A")*1, (_xlpm.x="GK")*1, (_xlpm.x="GA")*1)&gt;0, 3, 1))</f>
        <v>3</v>
      </c>
      <c r="Z39" s="25">
        <v>1</v>
      </c>
      <c r="AA39" s="25">
        <v>1</v>
      </c>
      <c r="AC39" s="152" t="str">
        <v>Q</v>
      </c>
      <c r="AD39" s="131">
        <v>4</v>
      </c>
      <c r="AE39" s="131">
        <v>11</v>
      </c>
      <c r="AF39" s="131">
        <v>0</v>
      </c>
      <c r="AG39" s="131">
        <v>21</v>
      </c>
      <c r="AH39" s="131">
        <v>27</v>
      </c>
      <c r="AI39" s="5"/>
      <c r="AJ39" s="152" t="str">
        <v>Q</v>
      </c>
      <c r="AK39" s="131">
        <v>4</v>
      </c>
      <c r="AL39" s="131">
        <v>11</v>
      </c>
      <c r="AM39" s="131">
        <v>0</v>
      </c>
      <c r="AN39" s="131">
        <v>21</v>
      </c>
      <c r="AO39" s="131">
        <v>27</v>
      </c>
    </row>
    <row r="40" spans="10:41" ht="16.5" customHeight="1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 cm="1">
        <f t="array" ref="W40">_xlfn.LET(_xlpm.x, K40:K42, IF(SUM((_xlpm.x="K")*1, (_xlpm.x="A")*1, (_xlpm.x="GK")*1, (_xlpm.x="GA")*1)&gt;0, 3, 1))</f>
        <v>1</v>
      </c>
      <c r="X40" s="25" cm="1">
        <f t="array" ref="X40">_xlfn.LET(_xlpm.x, L40:L42, IF(SUM((_xlpm.x="K")*1, (_xlpm.x="A")*1, (_xlpm.x="GK")*1, (_xlpm.x="GA")*1)&gt;0, 3, 1))</f>
        <v>3</v>
      </c>
      <c r="Y40" s="25" cm="1">
        <f t="array" ref="Y40">_xlfn.LET(_xlpm.x, M40:M42, IF(SUM((_xlpm.x="K")*1, (_xlpm.x="A")*1, (_xlpm.x="GK")*1, (_xlpm.x="GA")*1)&gt;0, 3, 1))</f>
        <v>3</v>
      </c>
      <c r="Z40" s="25">
        <v>1</v>
      </c>
      <c r="AA40" s="25">
        <v>1</v>
      </c>
      <c r="AC40" s="152" t="str">
        <v>J</v>
      </c>
      <c r="AD40" s="131">
        <v>4</v>
      </c>
      <c r="AE40" s="131">
        <v>11</v>
      </c>
      <c r="AF40" s="131">
        <v>0</v>
      </c>
      <c r="AG40" s="131">
        <v>21</v>
      </c>
      <c r="AH40" s="131">
        <v>27</v>
      </c>
      <c r="AI40" s="5"/>
      <c r="AJ40" s="152" t="str">
        <v>J</v>
      </c>
      <c r="AK40" s="131">
        <v>4</v>
      </c>
      <c r="AL40" s="131">
        <v>11</v>
      </c>
      <c r="AM40" s="131">
        <v>0</v>
      </c>
      <c r="AN40" s="131">
        <v>21</v>
      </c>
      <c r="AO40" s="131">
        <v>27</v>
      </c>
    </row>
    <row r="41" spans="10:41" ht="16.5" customHeight="1">
      <c r="J41" s="9">
        <v>37</v>
      </c>
      <c r="K41" s="16" t="s">
        <v>126</v>
      </c>
      <c r="L41" s="16" t="s">
        <v>127</v>
      </c>
      <c r="M41" s="16" t="s">
        <v>112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 cm="1">
        <f t="array" ref="W41">_xlfn.LET(_xlpm.x, K41:K43, IF(SUM((_xlpm.x="K")*1, (_xlpm.x="A")*1, (_xlpm.x="GK")*1, (_xlpm.x="GA")*1)&gt;0, 3, 1))</f>
        <v>1</v>
      </c>
      <c r="X41" s="25" cm="1">
        <f t="array" ref="X41">_xlfn.LET(_xlpm.x, L41:L43, IF(SUM((_xlpm.x="K")*1, (_xlpm.x="A")*1, (_xlpm.x="GK")*1, (_xlpm.x="GA")*1)&gt;0, 3, 1))</f>
        <v>3</v>
      </c>
      <c r="Y41" s="25" cm="1">
        <f t="array" ref="Y41">_xlfn.LET(_xlpm.x, M41:M43, IF(SUM((_xlpm.x="K")*1, (_xlpm.x="A")*1, (_xlpm.x="GK")*1, (_xlpm.x="GA")*1)&gt;0, 3, 1))</f>
        <v>3</v>
      </c>
      <c r="Z41" s="25">
        <v>1</v>
      </c>
      <c r="AA41" s="25">
        <v>1</v>
      </c>
      <c r="AC41" s="136" t="str">
        <v>G1</v>
      </c>
      <c r="AD41" s="99">
        <v>0</v>
      </c>
      <c r="AE41" s="99">
        <v>5</v>
      </c>
      <c r="AF41" s="99">
        <v>5</v>
      </c>
      <c r="AG41" s="99">
        <v>6</v>
      </c>
      <c r="AH41" s="99">
        <v>0</v>
      </c>
      <c r="AI41" s="5"/>
      <c r="AJ41" s="136" t="str">
        <v>G1</v>
      </c>
      <c r="AK41" s="99">
        <v>0</v>
      </c>
      <c r="AL41" s="99">
        <v>5</v>
      </c>
      <c r="AM41" s="99">
        <v>5</v>
      </c>
      <c r="AN41" s="99">
        <v>6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93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16</v>
      </c>
      <c r="S42" s="9">
        <v>16</v>
      </c>
      <c r="T42" s="9">
        <v>9</v>
      </c>
      <c r="U42" s="9">
        <v>3</v>
      </c>
      <c r="W42" s="25" cm="1">
        <f t="array" ref="W42">_xlfn.LET(_xlpm.x, K42:K44, IF(SUM((_xlpm.x="K")*1, (_xlpm.x="A")*1, (_xlpm.x="GK")*1, (_xlpm.x="GA")*1)&gt;0, 3, 1))</f>
        <v>1</v>
      </c>
      <c r="X42" s="25" cm="1">
        <f t="array" ref="X42">_xlfn.LET(_xlpm.x, L42:L44, IF(SUM((_xlpm.x="K")*1, (_xlpm.x="A")*1, (_xlpm.x="GK")*1, (_xlpm.x="GA")*1)&gt;0, 3, 1))</f>
        <v>3</v>
      </c>
      <c r="Y42" s="25" cm="1">
        <f t="array" ref="Y42">_xlfn.LET(_xlpm.x, M42:M44, IF(SUM((_xlpm.x="K")*1, (_xlpm.x="A")*1, (_xlpm.x="GK")*1, (_xlpm.x="GA")*1)&gt;0, 3, 1))</f>
        <v>3</v>
      </c>
      <c r="Z42" s="25">
        <v>1</v>
      </c>
      <c r="AA42" s="25">
        <v>1</v>
      </c>
      <c r="AC42" s="136" t="str">
        <v>G2</v>
      </c>
      <c r="AD42" s="99">
        <v>0</v>
      </c>
      <c r="AE42" s="99">
        <v>6</v>
      </c>
      <c r="AF42" s="99">
        <v>5</v>
      </c>
      <c r="AG42" s="99">
        <v>6</v>
      </c>
      <c r="AH42" s="99">
        <v>0</v>
      </c>
      <c r="AI42" s="5"/>
      <c r="AJ42" s="136" t="str">
        <v>G2</v>
      </c>
      <c r="AK42" s="99">
        <v>0</v>
      </c>
      <c r="AL42" s="99">
        <v>6</v>
      </c>
      <c r="AM42" s="99">
        <v>5</v>
      </c>
      <c r="AN42" s="99">
        <v>6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 cm="1">
        <f t="array" ref="W43">_xlfn.LET(_xlpm.x, K43:K45, IF(SUM((_xlpm.x="K")*1, (_xlpm.x="A")*1, (_xlpm.x="GK")*1, (_xlpm.x="GA")*1)&gt;0, 3, 1))</f>
        <v>1</v>
      </c>
      <c r="X43" s="25" cm="1">
        <f t="array" ref="X43">_xlfn.LET(_xlpm.x, L43:L45, IF(SUM((_xlpm.x="K")*1, (_xlpm.x="A")*1, (_xlpm.x="GK")*1, (_xlpm.x="GA")*1)&gt;0, 3, 1))</f>
        <v>3</v>
      </c>
      <c r="Y43" s="25" cm="1">
        <f t="array" ref="Y43">_xlfn.LET(_xlpm.x, M43:M45, IF(SUM((_xlpm.x="K")*1, (_xlpm.x="A")*1, (_xlpm.x="GK")*1, (_xlpm.x="GA")*1)&gt;0, 3, 1))</f>
        <v>3</v>
      </c>
      <c r="Z43" s="25">
        <v>1</v>
      </c>
      <c r="AA43" s="25">
        <v>1</v>
      </c>
      <c r="AC43" s="136" t="str">
        <v>G3</v>
      </c>
      <c r="AD43" s="99">
        <v>0</v>
      </c>
      <c r="AE43" s="99">
        <v>6</v>
      </c>
      <c r="AF43" s="99">
        <v>5</v>
      </c>
      <c r="AG43" s="99">
        <v>6</v>
      </c>
      <c r="AH43" s="99">
        <v>0</v>
      </c>
      <c r="AI43" s="5"/>
      <c r="AJ43" s="136" t="str">
        <v>G3</v>
      </c>
      <c r="AK43" s="99">
        <v>0</v>
      </c>
      <c r="AL43" s="99">
        <v>6</v>
      </c>
      <c r="AM43" s="99">
        <v>5</v>
      </c>
      <c r="AN43" s="99">
        <v>6</v>
      </c>
      <c r="AO43" s="99">
        <v>0</v>
      </c>
    </row>
    <row r="44" spans="10:41" ht="16.5" customHeight="1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 cm="1">
        <f t="array" ref="W44">_xlfn.LET(_xlpm.x, K44:K46, IF(SUM((_xlpm.x="K")*1, (_xlpm.x="A")*1, (_xlpm.x="GK")*1, (_xlpm.x="GA")*1)&gt;0, 3, 1))</f>
        <v>3</v>
      </c>
      <c r="X44" s="25" cm="1">
        <f t="array" ref="X44">_xlfn.LET(_xlpm.x, L44:L46, IF(SUM((_xlpm.x="K")*1, (_xlpm.x="A")*1, (_xlpm.x="GK")*1, (_xlpm.x="GA")*1)&gt;0, 3, 1))</f>
        <v>3</v>
      </c>
      <c r="Y44" s="25" cm="1">
        <f t="array" ref="Y44">_xlfn.LET(_xlpm.x, M44:M46, IF(SUM((_xlpm.x="K")*1, (_xlpm.x="A")*1, (_xlpm.x="GK")*1, (_xlpm.x="GA")*1)&gt;0, 3, 1))</f>
        <v>3</v>
      </c>
      <c r="Z44" s="25">
        <v>1</v>
      </c>
      <c r="AA44" s="25">
        <v>1</v>
      </c>
      <c r="AC44" s="136" t="str">
        <v>G4</v>
      </c>
      <c r="AD44" s="99">
        <v>0</v>
      </c>
      <c r="AE44" s="99">
        <v>10</v>
      </c>
      <c r="AF44" s="99">
        <v>44</v>
      </c>
      <c r="AG44" s="99">
        <v>4</v>
      </c>
      <c r="AH44" s="99">
        <v>0</v>
      </c>
      <c r="AI44" s="5"/>
      <c r="AJ44" s="136" t="str">
        <v>G4</v>
      </c>
      <c r="AK44" s="99">
        <v>0</v>
      </c>
      <c r="AL44" s="99">
        <v>10</v>
      </c>
      <c r="AM44" s="99">
        <v>44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23</v>
      </c>
      <c r="M45" s="16" t="s">
        <v>112</v>
      </c>
      <c r="N45" s="16" t="s">
        <v>95</v>
      </c>
      <c r="O45" s="16" t="s">
        <v>35</v>
      </c>
      <c r="Q45" s="9">
        <v>6</v>
      </c>
      <c r="R45" s="9">
        <v>7</v>
      </c>
      <c r="S45" s="9">
        <v>17</v>
      </c>
      <c r="T45" s="9">
        <v>18</v>
      </c>
      <c r="U45" s="9">
        <v>8</v>
      </c>
      <c r="W45" s="25" cm="1">
        <f t="array" ref="W45">_xlfn.LET(_xlpm.x, K45:K47, IF(SUM((_xlpm.x="K")*1, (_xlpm.x="A")*1, (_xlpm.x="GK")*1, (_xlpm.x="GA")*1)&gt;0, 3, 1))</f>
        <v>3</v>
      </c>
      <c r="X45" s="25" cm="1">
        <f t="array" ref="X45">_xlfn.LET(_xlpm.x, L45:L47, IF(SUM((_xlpm.x="K")*1, (_xlpm.x="A")*1, (_xlpm.x="GK")*1, (_xlpm.x="GA")*1)&gt;0, 3, 1))</f>
        <v>3</v>
      </c>
      <c r="Y45" s="25" cm="1">
        <f t="array" ref="Y45">_xlfn.LET(_xlpm.x, M45:M47, IF(SUM((_xlpm.x="K")*1, (_xlpm.x="A")*1, (_xlpm.x="GK")*1, (_xlpm.x="GA")*1)&gt;0, 3, 1))</f>
        <v>3</v>
      </c>
      <c r="Z45" s="25">
        <v>1</v>
      </c>
      <c r="AA45" s="25">
        <v>1</v>
      </c>
      <c r="AC45" s="136" t="str">
        <v>G5</v>
      </c>
      <c r="AD45" s="99">
        <v>0</v>
      </c>
      <c r="AE45" s="99">
        <v>10</v>
      </c>
      <c r="AF45" s="99">
        <v>44</v>
      </c>
      <c r="AG45" s="99">
        <v>4</v>
      </c>
      <c r="AH45" s="99">
        <v>0</v>
      </c>
      <c r="AI45" s="5"/>
      <c r="AJ45" s="136" t="str">
        <v>G5</v>
      </c>
      <c r="AK45" s="99">
        <v>0</v>
      </c>
      <c r="AL45" s="99">
        <v>10</v>
      </c>
      <c r="AM45" s="99">
        <v>44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 cm="1">
        <f t="array" ref="W46">_xlfn.LET(_xlpm.x, K46:K48, IF(SUM((_xlpm.x="K")*1, (_xlpm.x="A")*1, (_xlpm.x="GK")*1, (_xlpm.x="GA")*1)&gt;0, 3, 1))</f>
        <v>3</v>
      </c>
      <c r="X46" s="25" cm="1">
        <f t="array" ref="X46">_xlfn.LET(_xlpm.x, L46:L48, IF(SUM((_xlpm.x="K")*1, (_xlpm.x="A")*1, (_xlpm.x="GK")*1, (_xlpm.x="GA")*1)&gt;0, 3, 1))</f>
        <v>3</v>
      </c>
      <c r="Y46" s="25" cm="1">
        <f t="array" ref="Y46">_xlfn.LET(_xlpm.x, M46:M48, IF(SUM((_xlpm.x="K")*1, (_xlpm.x="A")*1, (_xlpm.x="GK")*1, (_xlpm.x="GA")*1)&gt;0, 3, 1))</f>
        <v>3</v>
      </c>
      <c r="Z46" s="25">
        <v>1</v>
      </c>
      <c r="AA46" s="25">
        <v>1</v>
      </c>
      <c r="AC46" s="136" t="str">
        <v>GA</v>
      </c>
      <c r="AD46" s="99">
        <v>0</v>
      </c>
      <c r="AE46" s="99">
        <v>10</v>
      </c>
      <c r="AF46" s="99">
        <v>44</v>
      </c>
      <c r="AG46" s="99">
        <v>4</v>
      </c>
      <c r="AH46" s="99">
        <v>0</v>
      </c>
      <c r="AI46" s="5"/>
      <c r="AJ46" s="136" t="str">
        <v>GA</v>
      </c>
      <c r="AK46" s="99">
        <v>0</v>
      </c>
      <c r="AL46" s="99">
        <v>10</v>
      </c>
      <c r="AM46" s="99">
        <v>44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19</v>
      </c>
      <c r="L47" s="16" t="s">
        <v>112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 cm="1">
        <f t="array" ref="W47">_xlfn.LET(_xlpm.x, K47:K49, IF(SUM((_xlpm.x="K")*1, (_xlpm.x="A")*1, (_xlpm.x="GK")*1, (_xlpm.x="GA")*1)&gt;0, 3, 1))</f>
        <v>1</v>
      </c>
      <c r="X47" s="25" cm="1">
        <f t="array" ref="X47">_xlfn.LET(_xlpm.x, L47:L49, IF(SUM((_xlpm.x="K")*1, (_xlpm.x="A")*1, (_xlpm.x="GK")*1, (_xlpm.x="GA")*1)&gt;0, 3, 1))</f>
        <v>3</v>
      </c>
      <c r="Y47" s="25" cm="1">
        <f t="array" ref="Y47">_xlfn.LET(_xlpm.x, M47:M49, IF(SUM((_xlpm.x="K")*1, (_xlpm.x="A")*1, (_xlpm.x="GK")*1, (_xlpm.x="GA")*1)&gt;0, 3, 1))</f>
        <v>3</v>
      </c>
      <c r="Z47" s="25">
        <v>1</v>
      </c>
      <c r="AA47" s="25">
        <v>1</v>
      </c>
      <c r="AC47" s="136" t="str">
        <v>GK</v>
      </c>
      <c r="AD47" s="99">
        <v>0</v>
      </c>
      <c r="AE47" s="99">
        <v>10</v>
      </c>
      <c r="AF47" s="99">
        <v>44</v>
      </c>
      <c r="AG47" s="99">
        <v>4</v>
      </c>
      <c r="AH47" s="99">
        <v>0</v>
      </c>
      <c r="AI47" s="5"/>
      <c r="AJ47" s="136" t="str">
        <v>GK</v>
      </c>
      <c r="AK47" s="99">
        <v>0</v>
      </c>
      <c r="AL47" s="99">
        <v>10</v>
      </c>
      <c r="AM47" s="99">
        <v>44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126</v>
      </c>
      <c r="L48" s="16" t="s">
        <v>20</v>
      </c>
      <c r="M48" s="16" t="s">
        <v>127</v>
      </c>
      <c r="N48" s="16" t="s">
        <v>126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 cm="1">
        <f t="array" ref="W48">_xlfn.LET(_xlpm.x, K48:K50, IF(SUM((_xlpm.x="K")*1, (_xlpm.x="A")*1, (_xlpm.x="GK")*1, (_xlpm.x="GA")*1)&gt;0, 3, 1))</f>
        <v>1</v>
      </c>
      <c r="X48" s="25" cm="1">
        <f t="array" ref="X48">_xlfn.LET(_xlpm.x, L48:L50, IF(SUM((_xlpm.x="K")*1, (_xlpm.x="A")*1, (_xlpm.x="GK")*1, (_xlpm.x="GA")*1)&gt;0, 3, 1))</f>
        <v>1</v>
      </c>
      <c r="Y48" s="25" cm="1">
        <f t="array" ref="Y48">_xlfn.LET(_xlpm.x, M48:M50, IF(SUM((_xlpm.x="K")*1, (_xlpm.x="A")*1, (_xlpm.x="GK")*1, (_xlpm.x="GA")*1)&gt;0, 3, 1))</f>
        <v>3</v>
      </c>
      <c r="Z48" s="25">
        <v>1</v>
      </c>
      <c r="AA48" s="25">
        <v>1</v>
      </c>
      <c r="AC48" s="136" t="str">
        <v>GQ</v>
      </c>
      <c r="AD48" s="99">
        <v>0</v>
      </c>
      <c r="AE48" s="99">
        <v>6</v>
      </c>
      <c r="AF48" s="99">
        <v>5</v>
      </c>
      <c r="AG48" s="99">
        <v>5</v>
      </c>
      <c r="AH48" s="99">
        <v>0</v>
      </c>
      <c r="AI48" s="5"/>
      <c r="AJ48" s="136" t="str">
        <v>GQ</v>
      </c>
      <c r="AK48" s="99">
        <v>0</v>
      </c>
      <c r="AL48" s="99">
        <v>6</v>
      </c>
      <c r="AM48" s="99">
        <v>5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19</v>
      </c>
      <c r="L49" s="16" t="s">
        <v>127</v>
      </c>
      <c r="M49" s="16" t="s">
        <v>112</v>
      </c>
      <c r="N49" s="16" t="s">
        <v>126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 cm="1">
        <f t="array" ref="W49">_xlfn.LET(_xlpm.x, K49:K51, IF(SUM((_xlpm.x="K")*1, (_xlpm.x="A")*1, (_xlpm.x="GK")*1, (_xlpm.x="GA")*1)&gt;0, 3, 1))</f>
        <v>1</v>
      </c>
      <c r="X49" s="25" cm="1">
        <f t="array" ref="X49">_xlfn.LET(_xlpm.x, L49:L51, IF(SUM((_xlpm.x="K")*1, (_xlpm.x="A")*1, (_xlpm.x="GK")*1, (_xlpm.x="GA")*1)&gt;0, 3, 1))</f>
        <v>3</v>
      </c>
      <c r="Y49" s="25" cm="1">
        <f t="array" ref="Y49">_xlfn.LET(_xlpm.x, M49:M51, IF(SUM((_xlpm.x="K")*1, (_xlpm.x="A")*1, (_xlpm.x="GK")*1, (_xlpm.x="GA")*1)&gt;0, 3, 1))</f>
        <v>3</v>
      </c>
      <c r="Z49" s="25">
        <v>1</v>
      </c>
      <c r="AA49" s="25">
        <v>1</v>
      </c>
      <c r="AC49" s="136" t="str">
        <v>GJ</v>
      </c>
      <c r="AD49" s="99">
        <v>0</v>
      </c>
      <c r="AE49" s="99">
        <v>6</v>
      </c>
      <c r="AF49" s="99">
        <v>4</v>
      </c>
      <c r="AG49" s="99">
        <v>5</v>
      </c>
      <c r="AH49" s="99">
        <v>0</v>
      </c>
      <c r="AI49" s="5"/>
      <c r="AJ49" s="136" t="str">
        <v>GJ</v>
      </c>
      <c r="AK49" s="99">
        <v>0</v>
      </c>
      <c r="AL49" s="99">
        <v>6</v>
      </c>
      <c r="AM49" s="99">
        <v>4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18</v>
      </c>
      <c r="L50" s="16" t="s">
        <v>126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 cm="1">
        <f t="array" ref="W50">_xlfn.LET(_xlpm.x, K50:K52, IF(SUM((_xlpm.x="K")*1, (_xlpm.x="A")*1, (_xlpm.x="GK")*1, (_xlpm.x="GA")*1)&gt;0, 3, 1))</f>
        <v>1</v>
      </c>
      <c r="X50" s="25" cm="1">
        <f t="array" ref="X50">_xlfn.LET(_xlpm.x, L50:L52, IF(SUM((_xlpm.x="K")*1, (_xlpm.x="A")*1, (_xlpm.x="GK")*1, (_xlpm.x="GA")*1)&gt;0, 3, 1))</f>
        <v>3</v>
      </c>
      <c r="Y50" s="25" cm="1">
        <f t="array" ref="Y50">_xlfn.LET(_xlpm.x, M50:M52, IF(SUM((_xlpm.x="K")*1, (_xlpm.x="A")*1, (_xlpm.x="GK")*1, (_xlpm.x="GA")*1)&gt;0, 3, 1))</f>
        <v>3</v>
      </c>
      <c r="Z50" s="25">
        <v>1</v>
      </c>
      <c r="AA50" s="25">
        <v>1</v>
      </c>
      <c r="AD50" s="111">
        <f>SUM(AD30:AD49)</f>
        <v>200</v>
      </c>
      <c r="AE50" s="111">
        <f>SUM(AE30:AE49)</f>
        <v>209</v>
      </c>
      <c r="AF50" s="111">
        <f>SUM(AF30:AF49)</f>
        <v>200</v>
      </c>
      <c r="AG50" s="111">
        <f>SUM(AG30:AG49)</f>
        <v>209</v>
      </c>
      <c r="AH50" s="111">
        <f>SUM(AH30:AH49)</f>
        <v>200</v>
      </c>
      <c r="AI50" s="5"/>
      <c r="AK50" s="111">
        <f>SUM(AK30:AK49)</f>
        <v>200</v>
      </c>
      <c r="AL50" s="111">
        <f>SUM(AL30:AL49)</f>
        <v>209</v>
      </c>
      <c r="AM50" s="111">
        <f>SUM(AM30:AM49)</f>
        <v>200</v>
      </c>
      <c r="AN50" s="111">
        <f>SUM(AN30:AN49)</f>
        <v>209</v>
      </c>
      <c r="AO50" s="111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37</v>
      </c>
      <c r="M51" s="16" t="s">
        <v>112</v>
      </c>
      <c r="N51" s="16" t="s">
        <v>34</v>
      </c>
      <c r="O51" s="16" t="s">
        <v>37</v>
      </c>
      <c r="Q51" s="9">
        <v>5</v>
      </c>
      <c r="R51" s="9">
        <v>7</v>
      </c>
      <c r="S51" s="9">
        <v>17</v>
      </c>
      <c r="T51" s="9">
        <v>9</v>
      </c>
      <c r="U51" s="9">
        <v>7</v>
      </c>
      <c r="W51" s="25" cm="1">
        <f t="array" ref="W51">_xlfn.LET(_xlpm.x, K51:K53, IF(SUM((_xlpm.x="K")*1, (_xlpm.x="A")*1, (_xlpm.x="GK")*1, (_xlpm.x="GA")*1)&gt;0, 3, 1))</f>
        <v>3</v>
      </c>
      <c r="X51" s="25" cm="1">
        <f t="array" ref="X51">_xlfn.LET(_xlpm.x, L51:L53, IF(SUM((_xlpm.x="K")*1, (_xlpm.x="A")*1, (_xlpm.x="GK")*1, (_xlpm.x="GA")*1)&gt;0, 3, 1))</f>
        <v>3</v>
      </c>
      <c r="Y51" s="25" cm="1">
        <f t="array" ref="Y51">_xlfn.LET(_xlpm.x, M51:M53, IF(SUM((_xlpm.x="K")*1, (_xlpm.x="A")*1, (_xlpm.x="GK")*1, (_xlpm.x="GA")*1)&gt;0, 3, 1))</f>
        <v>3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126</v>
      </c>
      <c r="L52" s="16" t="s">
        <v>37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7</v>
      </c>
      <c r="S52" s="9">
        <v>16</v>
      </c>
      <c r="T52" s="9">
        <v>3</v>
      </c>
      <c r="U52" s="9">
        <v>5</v>
      </c>
      <c r="W52" s="25" cm="1">
        <f t="array" ref="W52">_xlfn.LET(_xlpm.x, K52:K54, IF(SUM((_xlpm.x="K")*1, (_xlpm.x="A")*1, (_xlpm.x="GK")*1, (_xlpm.x="GA")*1)&gt;0, 3, 1))</f>
        <v>3</v>
      </c>
      <c r="X52" s="25" cm="1">
        <f t="array" ref="X52">_xlfn.LET(_xlpm.x, L52:L54, IF(SUM((_xlpm.x="K")*1, (_xlpm.x="A")*1, (_xlpm.x="GK")*1, (_xlpm.x="GA")*1)&gt;0, 3, 1))</f>
        <v>3</v>
      </c>
      <c r="Y52" s="25" cm="1">
        <f t="array" ref="Y52">_xlfn.LET(_xlpm.x, M52:M54, IF(SUM((_xlpm.x="K")*1, (_xlpm.x="A")*1, (_xlpm.x="GK")*1, (_xlpm.x="GA")*1)&gt;0, 3, 1))</f>
        <v>3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326</v>
      </c>
      <c r="M53" s="16" t="s">
        <v>127</v>
      </c>
      <c r="N53" s="16" t="s">
        <v>126</v>
      </c>
      <c r="O53" s="16" t="s">
        <v>37</v>
      </c>
      <c r="Q53" s="9">
        <v>8</v>
      </c>
      <c r="R53" s="9">
        <v>15</v>
      </c>
      <c r="S53" s="9">
        <v>15</v>
      </c>
      <c r="T53" s="9">
        <v>6</v>
      </c>
      <c r="U53" s="9">
        <v>7</v>
      </c>
      <c r="W53" s="25" cm="1">
        <f t="array" ref="W53">_xlfn.LET(_xlpm.x, K53:K55, IF(SUM((_xlpm.x="K")*1, (_xlpm.x="A")*1, (_xlpm.x="GK")*1, (_xlpm.x="GA")*1)&gt;0, 3, 1))</f>
        <v>3</v>
      </c>
      <c r="X53" s="25" cm="1">
        <f t="array" ref="X53">_xlfn.LET(_xlpm.x, L53:L55, IF(SUM((_xlpm.x="K")*1, (_xlpm.x="A")*1, (_xlpm.x="GK")*1, (_xlpm.x="GA")*1)&gt;0, 3, 1))</f>
        <v>3</v>
      </c>
      <c r="Y53" s="25" cm="1">
        <f t="array" ref="Y53">_xlfn.LET(_xlpm.x, M53:M55, IF(SUM((_xlpm.x="K")*1, (_xlpm.x="A")*1, (_xlpm.x="GK")*1, (_xlpm.x="GA")*1)&gt;0, 3, 1))</f>
        <v>1</v>
      </c>
      <c r="Z53" s="25">
        <v>1</v>
      </c>
      <c r="AA53" s="25"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37</v>
      </c>
      <c r="L54" s="16" t="s">
        <v>326</v>
      </c>
      <c r="M54" s="16" t="s">
        <v>90</v>
      </c>
      <c r="N54" s="16" t="s">
        <v>126</v>
      </c>
      <c r="O54" s="16" t="s">
        <v>22</v>
      </c>
      <c r="Q54" s="9">
        <v>7</v>
      </c>
      <c r="R54" s="9">
        <v>15</v>
      </c>
      <c r="S54" s="9">
        <v>13</v>
      </c>
      <c r="T54" s="9">
        <v>6</v>
      </c>
      <c r="U54" s="9">
        <v>3</v>
      </c>
      <c r="W54" s="25" cm="1">
        <f t="array" ref="W54">_xlfn.LET(_xlpm.x, K54:K56, IF(SUM((_xlpm.x="K")*1, (_xlpm.x="A")*1, (_xlpm.x="GK")*1, (_xlpm.x="GA")*1)&gt;0, 3, 1))</f>
        <v>3</v>
      </c>
      <c r="X54" s="25" cm="1">
        <f t="array" ref="X54">_xlfn.LET(_xlpm.x, L54:L56, IF(SUM((_xlpm.x="K")*1, (_xlpm.x="A")*1, (_xlpm.x="GK")*1, (_xlpm.x="GA")*1)&gt;0, 3, 1))</f>
        <v>3</v>
      </c>
      <c r="Y54" s="25" cm="1">
        <f t="array" ref="Y54">_xlfn.LET(_xlpm.x, M54:M56, IF(SUM((_xlpm.x="K")*1, (_xlpm.x="A")*1, (_xlpm.x="GK")*1, (_xlpm.x="GA")*1)&gt;0, 3, 1))</f>
        <v>1</v>
      </c>
      <c r="Z54" s="25">
        <v>1</v>
      </c>
      <c r="AA54" s="25"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35</v>
      </c>
      <c r="L55" s="16" t="s">
        <v>31</v>
      </c>
      <c r="M55" s="16" t="s">
        <v>127</v>
      </c>
      <c r="N55" s="16" t="s">
        <v>90</v>
      </c>
      <c r="O55" s="16" t="s">
        <v>19</v>
      </c>
      <c r="Q55" s="9">
        <v>8</v>
      </c>
      <c r="R55" s="9">
        <v>8</v>
      </c>
      <c r="S55" s="9">
        <v>15</v>
      </c>
      <c r="T55" s="9">
        <v>13</v>
      </c>
      <c r="U55" s="9">
        <v>5</v>
      </c>
      <c r="W55" s="25" cm="1">
        <f t="array" ref="W55">_xlfn.LET(_xlpm.x, K55:K57, IF(SUM((_xlpm.x="K")*1, (_xlpm.x="A")*1, (_xlpm.x="GK")*1, (_xlpm.x="GA")*1)&gt;0, 3, 1))</f>
        <v>3</v>
      </c>
      <c r="X55" s="25" cm="1">
        <f t="array" ref="X55">_xlfn.LET(_xlpm.x, L55:L57, IF(SUM((_xlpm.x="K")*1, (_xlpm.x="A")*1, (_xlpm.x="GK")*1, (_xlpm.x="GA")*1)&gt;0, 3, 1))</f>
        <v>3</v>
      </c>
      <c r="Y55" s="25" cm="1">
        <f t="array" ref="Y55">_xlfn.LET(_xlpm.x, M55:M57, IF(SUM((_xlpm.x="K")*1, (_xlpm.x="A")*1, (_xlpm.x="GK")*1, (_xlpm.x="GA")*1)&gt;0, 3, 1))</f>
        <v>1</v>
      </c>
      <c r="Z55" s="25">
        <v>1</v>
      </c>
      <c r="AA55" s="25">
        <v>1</v>
      </c>
      <c r="AC55" s="136" t="str">
        <v>C1</v>
      </c>
      <c r="AD55" s="136">
        <v>0</v>
      </c>
      <c r="AE55" s="136">
        <v>6</v>
      </c>
      <c r="AF55" s="136">
        <v>0</v>
      </c>
      <c r="AG55" s="136">
        <v>9</v>
      </c>
      <c r="AH55" s="136">
        <v>0</v>
      </c>
      <c r="AI55" s="5"/>
      <c r="AJ55" s="136" t="str">
        <v>C1</v>
      </c>
      <c r="AK55" s="136">
        <v>0</v>
      </c>
      <c r="AL55" s="136">
        <v>6</v>
      </c>
      <c r="AM55" s="136">
        <v>0</v>
      </c>
      <c r="AN55" s="136">
        <v>9</v>
      </c>
      <c r="AO55" s="136">
        <v>0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7</v>
      </c>
      <c r="S56" s="9">
        <v>14</v>
      </c>
      <c r="T56" s="9">
        <v>10</v>
      </c>
      <c r="U56" s="9">
        <v>10</v>
      </c>
      <c r="W56" s="25" cm="1">
        <f t="array" ref="W56">_xlfn.LET(_xlpm.x, K56:K58, IF(SUM((_xlpm.x="K")*1, (_xlpm.x="A")*1, (_xlpm.x="GK")*1, (_xlpm.x="GA")*1)&gt;0, 3, 1))</f>
        <v>3</v>
      </c>
      <c r="X56" s="25" cm="1">
        <f t="array" ref="X56">_xlfn.LET(_xlpm.x, L56:L58, IF(SUM((_xlpm.x="K")*1, (_xlpm.x="A")*1, (_xlpm.x="GK")*1, (_xlpm.x="GA")*1)&gt;0, 3, 1))</f>
        <v>3</v>
      </c>
      <c r="Y56" s="25" cm="1">
        <f t="array" ref="Y56">_xlfn.LET(_xlpm.x, M56:M58, IF(SUM((_xlpm.x="K")*1, (_xlpm.x="A")*1, (_xlpm.x="GK")*1, (_xlpm.x="GA")*1)&gt;0, 3, 1))</f>
        <v>3</v>
      </c>
      <c r="Z56" s="25">
        <v>1</v>
      </c>
      <c r="AA56" s="25">
        <v>1</v>
      </c>
      <c r="AC56" s="152" t="str">
        <v>M1</v>
      </c>
      <c r="AD56" s="131">
        <v>4</v>
      </c>
      <c r="AE56" s="131">
        <v>11</v>
      </c>
      <c r="AF56" s="131">
        <v>0</v>
      </c>
      <c r="AG56" s="131">
        <v>22</v>
      </c>
      <c r="AH56" s="131">
        <v>28</v>
      </c>
      <c r="AI56" s="5"/>
      <c r="AJ56" s="152" t="str">
        <v>M1</v>
      </c>
      <c r="AK56" s="131">
        <v>4</v>
      </c>
      <c r="AL56" s="131">
        <v>11</v>
      </c>
      <c r="AM56" s="131">
        <v>0</v>
      </c>
      <c r="AN56" s="131">
        <v>22</v>
      </c>
      <c r="AO56" s="131">
        <v>28</v>
      </c>
    </row>
    <row r="57" spans="10:41" ht="16.5" customHeight="1">
      <c r="J57" s="9">
        <v>53</v>
      </c>
      <c r="K57" s="16" t="s">
        <v>19</v>
      </c>
      <c r="L57" s="16" t="s">
        <v>327</v>
      </c>
      <c r="M57" s="16" t="s">
        <v>127</v>
      </c>
      <c r="N57" s="16" t="s">
        <v>89</v>
      </c>
      <c r="O57" s="16" t="s">
        <v>18</v>
      </c>
      <c r="Q57" s="9">
        <v>5</v>
      </c>
      <c r="R57" s="9">
        <v>14</v>
      </c>
      <c r="S57" s="9">
        <v>15</v>
      </c>
      <c r="T57" s="9">
        <v>12</v>
      </c>
      <c r="U57" s="9">
        <v>4</v>
      </c>
      <c r="W57" s="25" cm="1">
        <f t="array" ref="W57">_xlfn.LET(_xlpm.x, K57:K59, IF(SUM((_xlpm.x="K")*1, (_xlpm.x="A")*1, (_xlpm.x="GK")*1, (_xlpm.x="GA")*1)&gt;0, 3, 1))</f>
        <v>3</v>
      </c>
      <c r="X57" s="25" cm="1">
        <f t="array" ref="X57">_xlfn.LET(_xlpm.x, L57:L59, IF(SUM((_xlpm.x="K")*1, (_xlpm.x="A")*1, (_xlpm.x="GK")*1, (_xlpm.x="GA")*1)&gt;0, 3, 1))</f>
        <v>3</v>
      </c>
      <c r="Y57" s="25" cm="1">
        <f t="array" ref="Y57">_xlfn.LET(_xlpm.x, M57:M59, IF(SUM((_xlpm.x="K")*1, (_xlpm.x="A")*1, (_xlpm.x="GK")*1, (_xlpm.x="GA")*1)&gt;0, 3, 1))</f>
        <v>3</v>
      </c>
      <c r="Z57" s="25">
        <v>1</v>
      </c>
      <c r="AA57" s="25">
        <v>1</v>
      </c>
      <c r="AC57" s="152" t="str">
        <v>M2</v>
      </c>
      <c r="AD57" s="131">
        <v>4</v>
      </c>
      <c r="AE57" s="131">
        <v>11</v>
      </c>
      <c r="AF57" s="131">
        <v>0</v>
      </c>
      <c r="AG57" s="131">
        <v>22</v>
      </c>
      <c r="AH57" s="131">
        <v>27</v>
      </c>
      <c r="AI57" s="5"/>
      <c r="AJ57" s="152" t="str">
        <v>M2</v>
      </c>
      <c r="AK57" s="131">
        <v>4</v>
      </c>
      <c r="AL57" s="131">
        <v>11</v>
      </c>
      <c r="AM57" s="131">
        <v>0</v>
      </c>
      <c r="AN57" s="131">
        <v>22</v>
      </c>
      <c r="AO57" s="131">
        <v>27</v>
      </c>
    </row>
    <row r="58" spans="10:41" ht="16.5" customHeight="1">
      <c r="J58" s="25">
        <v>54</v>
      </c>
      <c r="K58" s="16" t="s">
        <v>35</v>
      </c>
      <c r="L58" s="16" t="s">
        <v>93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16</v>
      </c>
      <c r="S58" s="9">
        <v>16</v>
      </c>
      <c r="T58" s="9">
        <v>7</v>
      </c>
      <c r="U58" s="9">
        <v>5</v>
      </c>
      <c r="W58" s="25" cm="1">
        <f t="array" ref="W58">_xlfn.LET(_xlpm.x, K58:K60, IF(SUM((_xlpm.x="K")*1, (_xlpm.x="A")*1, (_xlpm.x="GK")*1, (_xlpm.x="GA")*1)&gt;0, 3, 1))</f>
        <v>3</v>
      </c>
      <c r="X58" s="25" cm="1">
        <f t="array" ref="X58">_xlfn.LET(_xlpm.x, L58:L60, IF(SUM((_xlpm.x="K")*1, (_xlpm.x="A")*1, (_xlpm.x="GK")*1, (_xlpm.x="GA")*1)&gt;0, 3, 1))</f>
        <v>3</v>
      </c>
      <c r="Y58" s="25" cm="1">
        <f t="array" ref="Y58">_xlfn.LET(_xlpm.x, M58:M60, IF(SUM((_xlpm.x="K")*1, (_xlpm.x="A")*1, (_xlpm.x="GK")*1, (_xlpm.x="GA")*1)&gt;0, 3, 1))</f>
        <v>3</v>
      </c>
      <c r="Z58" s="25">
        <v>1</v>
      </c>
      <c r="AA58" s="25">
        <v>1</v>
      </c>
      <c r="AC58" s="152" t="str">
        <v>M3</v>
      </c>
      <c r="AD58" s="131">
        <v>4</v>
      </c>
      <c r="AE58" s="131">
        <v>11</v>
      </c>
      <c r="AF58" s="131">
        <v>0</v>
      </c>
      <c r="AG58" s="131">
        <v>22</v>
      </c>
      <c r="AH58" s="131">
        <v>27</v>
      </c>
      <c r="AI58" s="5"/>
      <c r="AJ58" s="152" t="str">
        <v>M3</v>
      </c>
      <c r="AK58" s="131">
        <v>4</v>
      </c>
      <c r="AL58" s="131">
        <v>11</v>
      </c>
      <c r="AM58" s="131">
        <v>0</v>
      </c>
      <c r="AN58" s="131">
        <v>22</v>
      </c>
      <c r="AO58" s="131">
        <v>27</v>
      </c>
    </row>
    <row r="59" spans="10:41" ht="16.5" customHeight="1">
      <c r="J59" s="9">
        <v>55</v>
      </c>
      <c r="K59" s="16" t="s">
        <v>37</v>
      </c>
      <c r="L59" s="16" t="s">
        <v>23</v>
      </c>
      <c r="M59" s="16" t="s">
        <v>127</v>
      </c>
      <c r="N59" s="16" t="s">
        <v>90</v>
      </c>
      <c r="O59" s="16" t="s">
        <v>22</v>
      </c>
      <c r="Q59" s="9">
        <v>7</v>
      </c>
      <c r="R59" s="9">
        <v>7</v>
      </c>
      <c r="S59" s="9">
        <v>15</v>
      </c>
      <c r="T59" s="9">
        <v>13</v>
      </c>
      <c r="U59" s="9">
        <v>3</v>
      </c>
      <c r="W59" s="25" cm="1">
        <f t="array" ref="W59">_xlfn.LET(_xlpm.x, K59:K61, IF(SUM((_xlpm.x="K")*1, (_xlpm.x="A")*1, (_xlpm.x="GK")*1, (_xlpm.x="GA")*1)&gt;0, 3, 1))</f>
        <v>3</v>
      </c>
      <c r="X59" s="25" cm="1">
        <f t="array" ref="X59">_xlfn.LET(_xlpm.x, L59:L61, IF(SUM((_xlpm.x="K")*1, (_xlpm.x="A")*1, (_xlpm.x="GK")*1, (_xlpm.x="GA")*1)&gt;0, 3, 1))</f>
        <v>3</v>
      </c>
      <c r="Y59" s="25" cm="1">
        <f t="array" ref="Y59">_xlfn.LET(_xlpm.x, M59:M61, IF(SUM((_xlpm.x="K")*1, (_xlpm.x="A")*1, (_xlpm.x="GK")*1, (_xlpm.x="GA")*1)&gt;0, 3, 1))</f>
        <v>3</v>
      </c>
      <c r="Z59" s="25">
        <v>1</v>
      </c>
      <c r="AA59" s="25">
        <v>1</v>
      </c>
      <c r="AC59" s="152" t="str">
        <v>M4</v>
      </c>
      <c r="AD59" s="131">
        <v>43</v>
      </c>
      <c r="AE59" s="131">
        <v>19</v>
      </c>
      <c r="AF59" s="131">
        <v>0</v>
      </c>
      <c r="AG59" s="131">
        <v>12</v>
      </c>
      <c r="AH59" s="131">
        <v>16</v>
      </c>
      <c r="AI59" s="5"/>
      <c r="AJ59" s="152" t="str">
        <v>M4</v>
      </c>
      <c r="AK59" s="131">
        <v>43</v>
      </c>
      <c r="AL59" s="131">
        <v>19</v>
      </c>
      <c r="AM59" s="131">
        <v>0</v>
      </c>
      <c r="AN59" s="131">
        <v>12</v>
      </c>
      <c r="AO59" s="131">
        <v>16</v>
      </c>
    </row>
    <row r="60" spans="10:41" ht="16.5" customHeight="1">
      <c r="J60" s="25">
        <v>56</v>
      </c>
      <c r="K60" s="16" t="s">
        <v>19</v>
      </c>
      <c r="L60" s="16" t="s">
        <v>29</v>
      </c>
      <c r="M60" s="16" t="s">
        <v>88</v>
      </c>
      <c r="N60" s="16" t="s">
        <v>22</v>
      </c>
      <c r="O60" s="16" t="s">
        <v>126</v>
      </c>
      <c r="Q60" s="9">
        <v>5</v>
      </c>
      <c r="R60" s="9">
        <v>5</v>
      </c>
      <c r="S60" s="9">
        <v>11</v>
      </c>
      <c r="T60" s="9">
        <v>3</v>
      </c>
      <c r="U60" s="9">
        <v>6</v>
      </c>
      <c r="W60" s="25" cm="1">
        <f t="array" ref="W60">_xlfn.LET(_xlpm.x, K60:K62, IF(SUM((_xlpm.x="K")*1, (_xlpm.x="A")*1, (_xlpm.x="GK")*1, (_xlpm.x="GA")*1)&gt;0, 3, 1))</f>
        <v>1</v>
      </c>
      <c r="X60" s="25" cm="1">
        <f t="array" ref="X60">_xlfn.LET(_xlpm.x, L60:L62, IF(SUM((_xlpm.x="K")*1, (_xlpm.x="A")*1, (_xlpm.x="GK")*1, (_xlpm.x="GA")*1)&gt;0, 3, 1))</f>
        <v>1</v>
      </c>
      <c r="Y60" s="25" cm="1">
        <f t="array" ref="Y60">_xlfn.LET(_xlpm.x, M60:M62, IF(SUM((_xlpm.x="K")*1, (_xlpm.x="A")*1, (_xlpm.x="GK")*1, (_xlpm.x="GA")*1)&gt;0, 3, 1))</f>
        <v>3</v>
      </c>
      <c r="Z60" s="25">
        <v>1</v>
      </c>
      <c r="AA60" s="25">
        <v>1</v>
      </c>
      <c r="AC60" s="152" t="str">
        <v>M5</v>
      </c>
      <c r="AD60" s="131">
        <v>43</v>
      </c>
      <c r="AE60" s="131">
        <v>20</v>
      </c>
      <c r="AF60" s="131">
        <v>0</v>
      </c>
      <c r="AG60" s="131">
        <v>12</v>
      </c>
      <c r="AH60" s="131">
        <v>16</v>
      </c>
      <c r="AI60" s="5"/>
      <c r="AJ60" s="152" t="str">
        <v>M5</v>
      </c>
      <c r="AK60" s="131">
        <v>43</v>
      </c>
      <c r="AL60" s="131">
        <v>20</v>
      </c>
      <c r="AM60" s="131">
        <v>0</v>
      </c>
      <c r="AN60" s="131">
        <v>12</v>
      </c>
      <c r="AO60" s="131">
        <v>16</v>
      </c>
    </row>
    <row r="61" spans="10:41">
      <c r="J61" s="9">
        <v>57</v>
      </c>
      <c r="K61" s="16" t="s">
        <v>19</v>
      </c>
      <c r="L61" s="16" t="s">
        <v>326</v>
      </c>
      <c r="M61" s="16" t="s">
        <v>112</v>
      </c>
      <c r="N61" s="16" t="s">
        <v>22</v>
      </c>
      <c r="O61" s="16" t="s">
        <v>126</v>
      </c>
      <c r="Q61" s="9">
        <v>5</v>
      </c>
      <c r="R61" s="9">
        <v>15</v>
      </c>
      <c r="S61" s="9">
        <v>17</v>
      </c>
      <c r="T61" s="9">
        <v>3</v>
      </c>
      <c r="U61" s="9">
        <v>6</v>
      </c>
      <c r="W61" s="25" cm="1">
        <f t="array" ref="W61">_xlfn.LET(_xlpm.x, K61:K63, IF(SUM((_xlpm.x="K")*1, (_xlpm.x="A")*1, (_xlpm.x="GK")*1, (_xlpm.x="GA")*1)&gt;0, 3, 1))</f>
        <v>3</v>
      </c>
      <c r="X61" s="25" cm="1">
        <f t="array" ref="X61">_xlfn.LET(_xlpm.x, L61:L63, IF(SUM((_xlpm.x="K")*1, (_xlpm.x="A")*1, (_xlpm.x="GK")*1, (_xlpm.x="GA")*1)&gt;0, 3, 1))</f>
        <v>1</v>
      </c>
      <c r="Y61" s="25" cm="1">
        <f t="array" ref="Y61">_xlfn.LET(_xlpm.x, M61:M63, IF(SUM((_xlpm.x="K")*1, (_xlpm.x="A")*1, (_xlpm.x="GK")*1, (_xlpm.x="GA")*1)&gt;0, 3, 1))</f>
        <v>3</v>
      </c>
      <c r="Z61" s="25">
        <v>1</v>
      </c>
      <c r="AA61" s="25">
        <v>1</v>
      </c>
      <c r="AC61" s="152" t="str">
        <v>A</v>
      </c>
      <c r="AD61" s="131">
        <v>47</v>
      </c>
      <c r="AE61" s="131">
        <v>20</v>
      </c>
      <c r="AF61" s="131">
        <v>0</v>
      </c>
      <c r="AG61" s="131">
        <v>12</v>
      </c>
      <c r="AH61" s="131">
        <v>16</v>
      </c>
      <c r="AI61" s="5"/>
      <c r="AJ61" s="152" t="str">
        <v>A</v>
      </c>
      <c r="AK61" s="131">
        <v>47</v>
      </c>
      <c r="AL61" s="131">
        <v>20</v>
      </c>
      <c r="AM61" s="131">
        <v>0</v>
      </c>
      <c r="AN61" s="131">
        <v>12</v>
      </c>
      <c r="AO61" s="131">
        <v>16</v>
      </c>
    </row>
    <row r="62" spans="10:41">
      <c r="J62" s="25">
        <v>58</v>
      </c>
      <c r="K62" s="16" t="s">
        <v>19</v>
      </c>
      <c r="L62" s="16" t="s">
        <v>324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6</v>
      </c>
      <c r="S62" s="9">
        <v>12</v>
      </c>
      <c r="T62" s="9">
        <v>3</v>
      </c>
      <c r="U62" s="9">
        <v>2</v>
      </c>
      <c r="W62" s="25" cm="1">
        <f t="array" ref="W62">_xlfn.LET(_xlpm.x, K62:K64, IF(SUM((_xlpm.x="K")*1, (_xlpm.x="A")*1, (_xlpm.x="GK")*1, (_xlpm.x="GA")*1)&gt;0, 3, 1))</f>
        <v>3</v>
      </c>
      <c r="X62" s="25" cm="1">
        <f t="array" ref="X62">_xlfn.LET(_xlpm.x, L62:L64, IF(SUM((_xlpm.x="K")*1, (_xlpm.x="A")*1, (_xlpm.x="GK")*1, (_xlpm.x="GA")*1)&gt;0, 3, 1))</f>
        <v>1</v>
      </c>
      <c r="Y62" s="25" cm="1">
        <f t="array" ref="Y62">_xlfn.LET(_xlpm.x, M62:M64, IF(SUM((_xlpm.x="K")*1, (_xlpm.x="A")*1, (_xlpm.x="GK")*1, (_xlpm.x="GA")*1)&gt;0, 3, 1))</f>
        <v>1</v>
      </c>
      <c r="Z62" s="25">
        <v>1</v>
      </c>
      <c r="AA62" s="25">
        <v>1</v>
      </c>
      <c r="AC62" s="152" t="str">
        <v>K</v>
      </c>
      <c r="AD62" s="131">
        <v>47</v>
      </c>
      <c r="AE62" s="131">
        <v>20</v>
      </c>
      <c r="AF62" s="131">
        <v>0</v>
      </c>
      <c r="AG62" s="131">
        <v>12</v>
      </c>
      <c r="AH62" s="131">
        <v>16</v>
      </c>
      <c r="AI62" s="5"/>
      <c r="AJ62" s="152" t="str">
        <v>K</v>
      </c>
      <c r="AK62" s="131">
        <v>47</v>
      </c>
      <c r="AL62" s="131">
        <v>20</v>
      </c>
      <c r="AM62" s="131">
        <v>0</v>
      </c>
      <c r="AN62" s="131">
        <v>12</v>
      </c>
      <c r="AO62" s="131">
        <v>16</v>
      </c>
    </row>
    <row r="63" spans="10:41" ht="16.5" customHeight="1">
      <c r="J63" s="9">
        <v>59</v>
      </c>
      <c r="K63" s="16" t="s">
        <v>37</v>
      </c>
      <c r="L63" s="16" t="s">
        <v>29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5</v>
      </c>
      <c r="S63" s="9">
        <v>11</v>
      </c>
      <c r="T63" s="9">
        <v>14</v>
      </c>
      <c r="U63" s="9">
        <v>7</v>
      </c>
      <c r="W63" s="25" cm="1">
        <f t="array" ref="W63">_xlfn.LET(_xlpm.x, K63:K65, IF(SUM((_xlpm.x="K")*1, (_xlpm.x="A")*1, (_xlpm.x="GK")*1, (_xlpm.x="GA")*1)&gt;0, 3, 1))</f>
        <v>3</v>
      </c>
      <c r="X63" s="25" cm="1">
        <f t="array" ref="X63">_xlfn.LET(_xlpm.x, L63:L65, IF(SUM((_xlpm.x="K")*1, (_xlpm.x="A")*1, (_xlpm.x="GK")*1, (_xlpm.x="GA")*1)&gt;0, 3, 1))</f>
        <v>3</v>
      </c>
      <c r="Y63" s="25" cm="1">
        <f t="array" ref="Y63">_xlfn.LET(_xlpm.x, M63:M65, IF(SUM((_xlpm.x="K")*1, (_xlpm.x="A")*1, (_xlpm.x="GK")*1, (_xlpm.x="GA")*1)&gt;0, 3, 1))</f>
        <v>3</v>
      </c>
      <c r="Z63" s="25">
        <v>1</v>
      </c>
      <c r="AA63" s="25">
        <v>1</v>
      </c>
      <c r="AC63" s="152" t="str">
        <v>Q</v>
      </c>
      <c r="AD63" s="131">
        <v>4</v>
      </c>
      <c r="AE63" s="131">
        <v>11</v>
      </c>
      <c r="AF63" s="131">
        <v>0</v>
      </c>
      <c r="AG63" s="131">
        <v>21</v>
      </c>
      <c r="AH63" s="131">
        <v>27</v>
      </c>
      <c r="AI63" s="5"/>
      <c r="AJ63" s="152" t="str">
        <v>Q</v>
      </c>
      <c r="AK63" s="131">
        <v>4</v>
      </c>
      <c r="AL63" s="131">
        <v>11</v>
      </c>
      <c r="AM63" s="131">
        <v>0</v>
      </c>
      <c r="AN63" s="131">
        <v>21</v>
      </c>
      <c r="AO63" s="131">
        <v>27</v>
      </c>
    </row>
    <row r="64" spans="10:41" ht="16.5" customHeight="1">
      <c r="J64" s="25">
        <v>60</v>
      </c>
      <c r="K64" s="16" t="s">
        <v>19</v>
      </c>
      <c r="L64" s="16" t="s">
        <v>327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14</v>
      </c>
      <c r="S64" s="9">
        <v>13</v>
      </c>
      <c r="T64" s="9">
        <v>2</v>
      </c>
      <c r="U64" s="9">
        <v>9</v>
      </c>
      <c r="W64" s="25" cm="1">
        <f t="array" ref="W64">_xlfn.LET(_xlpm.x, K64:K66, IF(SUM((_xlpm.x="K")*1, (_xlpm.x="A")*1, (_xlpm.x="GK")*1, (_xlpm.x="GA")*1)&gt;0, 3, 1))</f>
        <v>3</v>
      </c>
      <c r="X64" s="25" cm="1">
        <f t="array" ref="X64">_xlfn.LET(_xlpm.x, L64:L66, IF(SUM((_xlpm.x="K")*1, (_xlpm.x="A")*1, (_xlpm.x="GK")*1, (_xlpm.x="GA")*1)&gt;0, 3, 1))</f>
        <v>3</v>
      </c>
      <c r="Y64" s="25" cm="1">
        <f t="array" ref="Y64">_xlfn.LET(_xlpm.x, M64:M66, IF(SUM((_xlpm.x="K")*1, (_xlpm.x="A")*1, (_xlpm.x="GK")*1, (_xlpm.x="GA")*1)&gt;0, 3, 1))</f>
        <v>3</v>
      </c>
      <c r="Z64" s="25">
        <v>1</v>
      </c>
      <c r="AA64" s="25">
        <v>1</v>
      </c>
      <c r="AC64" s="152" t="str">
        <v>J</v>
      </c>
      <c r="AD64" s="131">
        <v>4</v>
      </c>
      <c r="AE64" s="131">
        <v>11</v>
      </c>
      <c r="AF64" s="131">
        <v>0</v>
      </c>
      <c r="AG64" s="131">
        <v>21</v>
      </c>
      <c r="AH64" s="131">
        <v>27</v>
      </c>
      <c r="AI64" s="5"/>
      <c r="AJ64" s="152" t="str">
        <v>J</v>
      </c>
      <c r="AK64" s="131">
        <v>4</v>
      </c>
      <c r="AL64" s="131">
        <v>11</v>
      </c>
      <c r="AM64" s="131">
        <v>0</v>
      </c>
      <c r="AN64" s="131">
        <v>21</v>
      </c>
      <c r="AO64" s="131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112</v>
      </c>
      <c r="N65" s="16" t="s">
        <v>126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 cm="1">
        <f t="array" ref="W65">_xlfn.LET(_xlpm.x, K65:K67, IF(SUM((_xlpm.x="K")*1, (_xlpm.x="A")*1, (_xlpm.x="GK")*1, (_xlpm.x="GA")*1)&gt;0, 3, 1))</f>
        <v>3</v>
      </c>
      <c r="X65" s="25" cm="1">
        <f t="array" ref="X65">_xlfn.LET(_xlpm.x, L65:L67, IF(SUM((_xlpm.x="K")*1, (_xlpm.x="A")*1, (_xlpm.x="GK")*1, (_xlpm.x="GA")*1)&gt;0, 3, 1))</f>
        <v>3</v>
      </c>
      <c r="Y65" s="25" cm="1">
        <f t="array" ref="Y65">_xlfn.LET(_xlpm.x, M65:M67, IF(SUM((_xlpm.x="K")*1, (_xlpm.x="A")*1, (_xlpm.x="GK")*1, (_xlpm.x="GA")*1)&gt;0, 3, 1))</f>
        <v>3</v>
      </c>
      <c r="Z65" s="25">
        <v>1</v>
      </c>
      <c r="AA65" s="25">
        <v>1</v>
      </c>
      <c r="AC65" s="136" t="str">
        <v>G1</v>
      </c>
      <c r="AD65" s="99">
        <v>0</v>
      </c>
      <c r="AE65" s="99">
        <v>5</v>
      </c>
      <c r="AF65" s="99">
        <v>5</v>
      </c>
      <c r="AG65" s="99">
        <v>6</v>
      </c>
      <c r="AH65" s="99">
        <v>0</v>
      </c>
      <c r="AI65" s="5"/>
      <c r="AJ65" s="136" t="str">
        <v>G1</v>
      </c>
      <c r="AK65" s="99">
        <v>0</v>
      </c>
      <c r="AL65" s="99">
        <v>5</v>
      </c>
      <c r="AM65" s="99">
        <v>5</v>
      </c>
      <c r="AN65" s="99">
        <v>6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127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 cm="1">
        <f t="array" ref="W66">_xlfn.LET(_xlpm.x, K66:K68, IF(SUM((_xlpm.x="K")*1, (_xlpm.x="A")*1, (_xlpm.x="GK")*1, (_xlpm.x="GA")*1)&gt;0, 3, 1))</f>
        <v>3</v>
      </c>
      <c r="X66" s="25" cm="1">
        <f t="array" ref="X66">_xlfn.LET(_xlpm.x, L66:L68, IF(SUM((_xlpm.x="K")*1, (_xlpm.x="A")*1, (_xlpm.x="GK")*1, (_xlpm.x="GA")*1)&gt;0, 3, 1))</f>
        <v>1</v>
      </c>
      <c r="Y66" s="25" cm="1">
        <f t="array" ref="Y66">_xlfn.LET(_xlpm.x, M66:M68, IF(SUM((_xlpm.x="K")*1, (_xlpm.x="A")*1, (_xlpm.x="GK")*1, (_xlpm.x="GA")*1)&gt;0, 3, 1))</f>
        <v>3</v>
      </c>
      <c r="Z66" s="25">
        <v>1</v>
      </c>
      <c r="AA66" s="25">
        <v>1</v>
      </c>
      <c r="AC66" s="136" t="str">
        <v>G2</v>
      </c>
      <c r="AD66" s="99">
        <v>0</v>
      </c>
      <c r="AE66" s="99">
        <v>6</v>
      </c>
      <c r="AF66" s="99">
        <v>5</v>
      </c>
      <c r="AG66" s="99">
        <v>6</v>
      </c>
      <c r="AH66" s="99">
        <v>0</v>
      </c>
      <c r="AI66" s="5"/>
      <c r="AJ66" s="136" t="str">
        <v>G2</v>
      </c>
      <c r="AK66" s="99">
        <v>0</v>
      </c>
      <c r="AL66" s="99">
        <v>6</v>
      </c>
      <c r="AM66" s="99">
        <v>5</v>
      </c>
      <c r="AN66" s="99">
        <v>6</v>
      </c>
      <c r="AO66" s="99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 cm="1">
        <f t="array" ref="W67">_xlfn.LET(_xlpm.x, K67:K69, IF(SUM((_xlpm.x="K")*1, (_xlpm.x="A")*1, (_xlpm.x="GK")*1, (_xlpm.x="GA")*1)&gt;0, 3, 1))</f>
        <v>1</v>
      </c>
      <c r="X67" s="25" cm="1">
        <f t="array" ref="X67">_xlfn.LET(_xlpm.x, L67:L69, IF(SUM((_xlpm.x="K")*1, (_xlpm.x="A")*1, (_xlpm.x="GK")*1, (_xlpm.x="GA")*1)&gt;0, 3, 1))</f>
        <v>1</v>
      </c>
      <c r="Y67" s="25" cm="1">
        <f t="array" ref="Y67">_xlfn.LET(_xlpm.x, M67:M69, IF(SUM((_xlpm.x="K")*1, (_xlpm.x="A")*1, (_xlpm.x="GK")*1, (_xlpm.x="GA")*1)&gt;0, 3, 1))</f>
        <v>3</v>
      </c>
      <c r="Z67" s="25">
        <v>1</v>
      </c>
      <c r="AA67" s="25">
        <v>1</v>
      </c>
      <c r="AC67" s="136" t="str">
        <v>G3</v>
      </c>
      <c r="AD67" s="99">
        <v>0</v>
      </c>
      <c r="AE67" s="99">
        <v>6</v>
      </c>
      <c r="AF67" s="99">
        <v>5</v>
      </c>
      <c r="AG67" s="99">
        <v>6</v>
      </c>
      <c r="AH67" s="99">
        <v>0</v>
      </c>
      <c r="AI67" s="5"/>
      <c r="AJ67" s="136" t="str">
        <v>G3</v>
      </c>
      <c r="AK67" s="99">
        <v>0</v>
      </c>
      <c r="AL67" s="99">
        <v>6</v>
      </c>
      <c r="AM67" s="99">
        <v>5</v>
      </c>
      <c r="AN67" s="99">
        <v>6</v>
      </c>
      <c r="AO67" s="99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 cm="1">
        <f t="array" ref="W68">_xlfn.LET(_xlpm.x, K68:K70, IF(SUM((_xlpm.x="K")*1, (_xlpm.x="A")*1, (_xlpm.x="GK")*1, (_xlpm.x="GA")*1)&gt;0, 3, 1))</f>
        <v>3</v>
      </c>
      <c r="X68" s="25" cm="1">
        <f t="array" ref="X68">_xlfn.LET(_xlpm.x, L68:L70, IF(SUM((_xlpm.x="K")*1, (_xlpm.x="A")*1, (_xlpm.x="GK")*1, (_xlpm.x="GA")*1)&gt;0, 3, 1))</f>
        <v>3</v>
      </c>
      <c r="Y68" s="25" cm="1">
        <f t="array" ref="Y68">_xlfn.LET(_xlpm.x, M68:M70, IF(SUM((_xlpm.x="K")*1, (_xlpm.x="A")*1, (_xlpm.x="GK")*1, (_xlpm.x="GA")*1)&gt;0, 3, 1))</f>
        <v>3</v>
      </c>
      <c r="Z68" s="25">
        <v>1</v>
      </c>
      <c r="AA68" s="25">
        <v>1</v>
      </c>
      <c r="AC68" s="136" t="str">
        <v>G4</v>
      </c>
      <c r="AD68" s="99">
        <v>0</v>
      </c>
      <c r="AE68" s="99">
        <v>10</v>
      </c>
      <c r="AF68" s="99">
        <v>44</v>
      </c>
      <c r="AG68" s="99">
        <v>4</v>
      </c>
      <c r="AH68" s="99">
        <v>0</v>
      </c>
      <c r="AI68" s="5"/>
      <c r="AJ68" s="136" t="str">
        <v>G4</v>
      </c>
      <c r="AK68" s="99">
        <v>0</v>
      </c>
      <c r="AL68" s="99">
        <v>10</v>
      </c>
      <c r="AM68" s="99">
        <v>44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 cm="1">
        <f t="array" ref="W69">_xlfn.LET(_xlpm.x, K69:K71, IF(SUM((_xlpm.x="K")*1, (_xlpm.x="A")*1, (_xlpm.x="GK")*1, (_xlpm.x="GA")*1)&gt;0, 3, 1))</f>
        <v>3</v>
      </c>
      <c r="X69" s="25" cm="1">
        <f t="array" ref="X69">_xlfn.LET(_xlpm.x, L69:L71, IF(SUM((_xlpm.x="K")*1, (_xlpm.x="A")*1, (_xlpm.x="GK")*1, (_xlpm.x="GA")*1)&gt;0, 3, 1))</f>
        <v>3</v>
      </c>
      <c r="Y69" s="25" cm="1">
        <f t="array" ref="Y69">_xlfn.LET(_xlpm.x, M69:M71, IF(SUM((_xlpm.x="K")*1, (_xlpm.x="A")*1, (_xlpm.x="GK")*1, (_xlpm.x="GA")*1)&gt;0, 3, 1))</f>
        <v>3</v>
      </c>
      <c r="Z69" s="25">
        <v>1</v>
      </c>
      <c r="AA69" s="25">
        <v>1</v>
      </c>
      <c r="AC69" s="136" t="str">
        <v>G5</v>
      </c>
      <c r="AD69" s="99">
        <v>0</v>
      </c>
      <c r="AE69" s="99">
        <v>10</v>
      </c>
      <c r="AF69" s="99">
        <v>44</v>
      </c>
      <c r="AG69" s="99">
        <v>4</v>
      </c>
      <c r="AH69" s="99">
        <v>0</v>
      </c>
      <c r="AI69" s="5"/>
      <c r="AJ69" s="136" t="str">
        <v>G5</v>
      </c>
      <c r="AK69" s="99">
        <v>0</v>
      </c>
      <c r="AL69" s="99">
        <v>10</v>
      </c>
      <c r="AM69" s="99">
        <v>44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35</v>
      </c>
      <c r="L70" s="16" t="s">
        <v>112</v>
      </c>
      <c r="M70" s="16" t="s">
        <v>112</v>
      </c>
      <c r="N70" s="16" t="s">
        <v>90</v>
      </c>
      <c r="O70" s="16" t="s">
        <v>21</v>
      </c>
      <c r="Q70" s="9">
        <v>8</v>
      </c>
      <c r="R70" s="9">
        <v>17</v>
      </c>
      <c r="S70" s="9">
        <v>17</v>
      </c>
      <c r="T70" s="9">
        <v>13</v>
      </c>
      <c r="U70" s="9">
        <v>2</v>
      </c>
      <c r="W70" s="25" cm="1">
        <f t="array" ref="W70">_xlfn.LET(_xlpm.x, K70:K72, IF(SUM((_xlpm.x="K")*1, (_xlpm.x="A")*1, (_xlpm.x="GK")*1, (_xlpm.x="GA")*1)&gt;0, 3, 1))</f>
        <v>3</v>
      </c>
      <c r="X70" s="25" cm="1">
        <f t="array" ref="X70">_xlfn.LET(_xlpm.x, L70:L72, IF(SUM((_xlpm.x="K")*1, (_xlpm.x="A")*1, (_xlpm.x="GK")*1, (_xlpm.x="GA")*1)&gt;0, 3, 1))</f>
        <v>3</v>
      </c>
      <c r="Y70" s="25" cm="1">
        <f t="array" ref="Y70">_xlfn.LET(_xlpm.x, M70:M72, IF(SUM((_xlpm.x="K")*1, (_xlpm.x="A")*1, (_xlpm.x="GK")*1, (_xlpm.x="GA")*1)&gt;0, 3, 1))</f>
        <v>3</v>
      </c>
      <c r="Z70" s="25">
        <v>1</v>
      </c>
      <c r="AA70" s="25">
        <v>1</v>
      </c>
      <c r="AC70" s="136" t="str">
        <v>GA</v>
      </c>
      <c r="AD70" s="99">
        <v>0</v>
      </c>
      <c r="AE70" s="99">
        <v>10</v>
      </c>
      <c r="AF70" s="99">
        <v>44</v>
      </c>
      <c r="AG70" s="99">
        <v>4</v>
      </c>
      <c r="AH70" s="99">
        <v>0</v>
      </c>
      <c r="AI70" s="5"/>
      <c r="AJ70" s="136" t="str">
        <v>GA</v>
      </c>
      <c r="AK70" s="99">
        <v>0</v>
      </c>
      <c r="AL70" s="99">
        <v>10</v>
      </c>
      <c r="AM70" s="99">
        <v>44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 cm="1">
        <f t="array" ref="W71">_xlfn.LET(_xlpm.x, K71:K73, IF(SUM((_xlpm.x="K")*1, (_xlpm.x="A")*1, (_xlpm.x="GK")*1, (_xlpm.x="GA")*1)&gt;0, 3, 1))</f>
        <v>3</v>
      </c>
      <c r="X71" s="25" cm="1">
        <f t="array" ref="X71">_xlfn.LET(_xlpm.x, L71:L73, IF(SUM((_xlpm.x="K")*1, (_xlpm.x="A")*1, (_xlpm.x="GK")*1, (_xlpm.x="GA")*1)&gt;0, 3, 1))</f>
        <v>3</v>
      </c>
      <c r="Y71" s="25" cm="1">
        <f t="array" ref="Y71">_xlfn.LET(_xlpm.x, M71:M73, IF(SUM((_xlpm.x="K")*1, (_xlpm.x="A")*1, (_xlpm.x="GK")*1, (_xlpm.x="GA")*1)&gt;0, 3, 1))</f>
        <v>3</v>
      </c>
      <c r="Z71" s="25">
        <v>1</v>
      </c>
      <c r="AA71" s="25">
        <v>1</v>
      </c>
      <c r="AC71" s="136" t="str">
        <v>GK</v>
      </c>
      <c r="AD71" s="99">
        <v>0</v>
      </c>
      <c r="AE71" s="99">
        <v>10</v>
      </c>
      <c r="AF71" s="99">
        <v>44</v>
      </c>
      <c r="AG71" s="99">
        <v>4</v>
      </c>
      <c r="AH71" s="99">
        <v>0</v>
      </c>
      <c r="AI71" s="5"/>
      <c r="AJ71" s="136" t="str">
        <v>GK</v>
      </c>
      <c r="AK71" s="99">
        <v>0</v>
      </c>
      <c r="AL71" s="99">
        <v>10</v>
      </c>
      <c r="AM71" s="99">
        <v>44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 cm="1">
        <f t="array" ref="W72">_xlfn.LET(_xlpm.x, K72:K74, IF(SUM((_xlpm.x="K")*1, (_xlpm.x="A")*1, (_xlpm.x="GK")*1, (_xlpm.x="GA")*1)&gt;0, 3, 1))</f>
        <v>1</v>
      </c>
      <c r="X72" s="25" cm="1">
        <f t="array" ref="X72">_xlfn.LET(_xlpm.x, L72:L74, IF(SUM((_xlpm.x="K")*1, (_xlpm.x="A")*1, (_xlpm.x="GK")*1, (_xlpm.x="GA")*1)&gt;0, 3, 1))</f>
        <v>1</v>
      </c>
      <c r="Y72" s="25" cm="1">
        <f t="array" ref="Y72">_xlfn.LET(_xlpm.x, M72:M74, IF(SUM((_xlpm.x="K")*1, (_xlpm.x="A")*1, (_xlpm.x="GK")*1, (_xlpm.x="GA")*1)&gt;0, 3, 1))</f>
        <v>3</v>
      </c>
      <c r="Z72" s="25">
        <v>1</v>
      </c>
      <c r="AA72" s="25">
        <v>1</v>
      </c>
      <c r="AC72" s="136" t="str">
        <v>GQ</v>
      </c>
      <c r="AD72" s="99">
        <v>0</v>
      </c>
      <c r="AE72" s="99">
        <v>6</v>
      </c>
      <c r="AF72" s="99">
        <v>5</v>
      </c>
      <c r="AG72" s="99">
        <v>5</v>
      </c>
      <c r="AH72" s="99">
        <v>0</v>
      </c>
      <c r="AI72" s="5"/>
      <c r="AJ72" s="136" t="str">
        <v>GQ</v>
      </c>
      <c r="AK72" s="99">
        <v>0</v>
      </c>
      <c r="AL72" s="99">
        <v>6</v>
      </c>
      <c r="AM72" s="99">
        <v>5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21</v>
      </c>
      <c r="L73" s="16" t="s">
        <v>29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5</v>
      </c>
      <c r="S73" s="9">
        <v>16</v>
      </c>
      <c r="T73" s="9">
        <v>2</v>
      </c>
      <c r="U73" s="9">
        <v>7</v>
      </c>
      <c r="W73" s="25" cm="1">
        <f t="array" ref="W73">_xlfn.LET(_xlpm.x, K73:K75, IF(SUM((_xlpm.x="K")*1, (_xlpm.x="A")*1, (_xlpm.x="GK")*1, (_xlpm.x="GA")*1)&gt;0, 3, 1))</f>
        <v>1</v>
      </c>
      <c r="X73" s="25" cm="1">
        <f t="array" ref="X73">_xlfn.LET(_xlpm.x, L73:L75, IF(SUM((_xlpm.x="K")*1, (_xlpm.x="A")*1, (_xlpm.x="GK")*1, (_xlpm.x="GA")*1)&gt;0, 3, 1))</f>
        <v>3</v>
      </c>
      <c r="Y73" s="25" cm="1">
        <f t="array" ref="Y73">_xlfn.LET(_xlpm.x, M73:M75, IF(SUM((_xlpm.x="K")*1, (_xlpm.x="A")*1, (_xlpm.x="GK")*1, (_xlpm.x="GA")*1)&gt;0, 3, 1))</f>
        <v>3</v>
      </c>
      <c r="Z73" s="25">
        <v>1</v>
      </c>
      <c r="AA73" s="25">
        <v>1</v>
      </c>
      <c r="AC73" s="136" t="str">
        <v>GJ</v>
      </c>
      <c r="AD73" s="99">
        <v>0</v>
      </c>
      <c r="AE73" s="99">
        <v>6</v>
      </c>
      <c r="AF73" s="99">
        <v>4</v>
      </c>
      <c r="AG73" s="99">
        <v>5</v>
      </c>
      <c r="AH73" s="99">
        <v>0</v>
      </c>
      <c r="AI73" s="5"/>
      <c r="AJ73" s="136" t="str">
        <v>GJ</v>
      </c>
      <c r="AK73" s="99">
        <v>0</v>
      </c>
      <c r="AL73" s="99">
        <v>6</v>
      </c>
      <c r="AM73" s="99">
        <v>4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19</v>
      </c>
      <c r="L74" s="16" t="s">
        <v>29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5</v>
      </c>
      <c r="S74" s="9">
        <v>14</v>
      </c>
      <c r="T74" s="9">
        <v>7</v>
      </c>
      <c r="U74" s="9">
        <v>7</v>
      </c>
      <c r="W74" s="25" cm="1">
        <f t="array" ref="W74">_xlfn.LET(_xlpm.x, K74:K76, IF(SUM((_xlpm.x="K")*1, (_xlpm.x="A")*1, (_xlpm.x="GK")*1, (_xlpm.x="GA")*1)&gt;0, 3, 1))</f>
        <v>3</v>
      </c>
      <c r="X74" s="25" cm="1">
        <f t="array" ref="X74">_xlfn.LET(_xlpm.x, L74:L76, IF(SUM((_xlpm.x="K")*1, (_xlpm.x="A")*1, (_xlpm.x="GK")*1, (_xlpm.x="GA")*1)&gt;0, 3, 1))</f>
        <v>3</v>
      </c>
      <c r="Y74" s="25" cm="1">
        <f t="array" ref="Y74">_xlfn.LET(_xlpm.x, M74:M76, IF(SUM((_xlpm.x="K")*1, (_xlpm.x="A")*1, (_xlpm.x="GK")*1, (_xlpm.x="GA")*1)&gt;0, 3, 1))</f>
        <v>3</v>
      </c>
      <c r="Z74" s="25">
        <v>1</v>
      </c>
      <c r="AA74" s="25">
        <v>1</v>
      </c>
      <c r="AD74" s="111">
        <f>SUM(AD54:AD73)</f>
        <v>200</v>
      </c>
      <c r="AE74" s="111">
        <f>SUM(AE54:AE73)</f>
        <v>209</v>
      </c>
      <c r="AF74" s="111">
        <f>SUM(AF54:AF73)</f>
        <v>200</v>
      </c>
      <c r="AG74" s="111">
        <f>SUM(AG54:AG73)</f>
        <v>209</v>
      </c>
      <c r="AH74" s="111">
        <f>SUM(AH54:AH73)</f>
        <v>200</v>
      </c>
      <c r="AI74" s="5"/>
      <c r="AK74" s="111">
        <f>SUM(AK54:AK73)</f>
        <v>200</v>
      </c>
      <c r="AL74" s="111">
        <f>SUM(AL54:AL73)</f>
        <v>209</v>
      </c>
      <c r="AM74" s="111">
        <f>SUM(AM54:AM73)</f>
        <v>200</v>
      </c>
      <c r="AN74" s="111">
        <f>SUM(AN54:AN73)</f>
        <v>209</v>
      </c>
      <c r="AO74" s="111">
        <f>SUM(AO54:AO73)</f>
        <v>200</v>
      </c>
    </row>
    <row r="75" spans="10:41" ht="16.5" customHeight="1">
      <c r="J75" s="9">
        <v>71</v>
      </c>
      <c r="K75" s="16" t="s">
        <v>126</v>
      </c>
      <c r="L75" s="16" t="s">
        <v>112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17</v>
      </c>
      <c r="S75" s="9">
        <v>16</v>
      </c>
      <c r="T75" s="9">
        <v>4</v>
      </c>
      <c r="U75" s="9">
        <v>3</v>
      </c>
      <c r="W75" s="25" cm="1">
        <f t="array" ref="W75">_xlfn.LET(_xlpm.x, K75:K77, IF(SUM((_xlpm.x="K")*1, (_xlpm.x="A")*1, (_xlpm.x="GK")*1, (_xlpm.x="GA")*1)&gt;0, 3, 1))</f>
        <v>3</v>
      </c>
      <c r="X75" s="25" cm="1">
        <f t="array" ref="X75">_xlfn.LET(_xlpm.x, L75:L77, IF(SUM((_xlpm.x="K")*1, (_xlpm.x="A")*1, (_xlpm.x="GK")*1, (_xlpm.x="GA")*1)&gt;0, 3, 1))</f>
        <v>3</v>
      </c>
      <c r="Y75" s="25" cm="1">
        <f t="array" ref="Y75">_xlfn.LET(_xlpm.x, M75:M77, IF(SUM((_xlpm.x="K")*1, (_xlpm.x="A")*1, (_xlpm.x="GK")*1, (_xlpm.x="GA")*1)&gt;0, 3, 1))</f>
        <v>3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 cm="1">
        <f t="array" ref="W76">_xlfn.LET(_xlpm.x, K76:K78, IF(SUM((_xlpm.x="K")*1, (_xlpm.x="A")*1, (_xlpm.x="GK")*1, (_xlpm.x="GA")*1)&gt;0, 3, 1))</f>
        <v>3</v>
      </c>
      <c r="X76" s="25" cm="1">
        <f t="array" ref="X76">_xlfn.LET(_xlpm.x, L76:L78, IF(SUM((_xlpm.x="K")*1, (_xlpm.x="A")*1, (_xlpm.x="GK")*1, (_xlpm.x="GA")*1)&gt;0, 3, 1))</f>
        <v>3</v>
      </c>
      <c r="Y76" s="25" cm="1">
        <f t="array" ref="Y76">_xlfn.LET(_xlpm.x, M76:M78, IF(SUM((_xlpm.x="K")*1, (_xlpm.x="A")*1, (_xlpm.x="GK")*1, (_xlpm.x="GA")*1)&gt;0, 3, 1))</f>
        <v>3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90</v>
      </c>
      <c r="M77" s="16" t="s">
        <v>112</v>
      </c>
      <c r="N77" s="16" t="s">
        <v>21</v>
      </c>
      <c r="O77" s="16" t="s">
        <v>126</v>
      </c>
      <c r="Q77" s="9">
        <v>8</v>
      </c>
      <c r="R77" s="9">
        <v>13</v>
      </c>
      <c r="S77" s="9">
        <v>17</v>
      </c>
      <c r="T77" s="9">
        <v>2</v>
      </c>
      <c r="U77" s="9">
        <v>6</v>
      </c>
      <c r="W77" s="25" cm="1">
        <f t="array" ref="W77">_xlfn.LET(_xlpm.x, K77:K79, IF(SUM((_xlpm.x="K")*1, (_xlpm.x="A")*1, (_xlpm.x="GK")*1, (_xlpm.x="GA")*1)&gt;0, 3, 1))</f>
        <v>3</v>
      </c>
      <c r="X77" s="25" cm="1">
        <f t="array" ref="X77">_xlfn.LET(_xlpm.x, L77:L79, IF(SUM((_xlpm.x="K")*1, (_xlpm.x="A")*1, (_xlpm.x="GK")*1, (_xlpm.x="GA")*1)&gt;0, 3, 1))</f>
        <v>1</v>
      </c>
      <c r="Y77" s="25" cm="1">
        <f t="array" ref="Y77">_xlfn.LET(_xlpm.x, M77:M79, IF(SUM((_xlpm.x="K")*1, (_xlpm.x="A")*1, (_xlpm.x="GK")*1, (_xlpm.x="GA")*1)&gt;0, 3, 1))</f>
        <v>3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126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 cm="1">
        <f t="array" ref="W78">_xlfn.LET(_xlpm.x, K78:K80, IF(SUM((_xlpm.x="K")*1, (_xlpm.x="A")*1, (_xlpm.x="GK")*1, (_xlpm.x="GA")*1)&gt;0, 3, 1))</f>
        <v>3</v>
      </c>
      <c r="X78" s="25" cm="1">
        <f t="array" ref="X78">_xlfn.LET(_xlpm.x, L78:L80, IF(SUM((_xlpm.x="K")*1, (_xlpm.x="A")*1, (_xlpm.x="GK")*1, (_xlpm.x="GA")*1)&gt;0, 3, 1))</f>
        <v>1</v>
      </c>
      <c r="Y78" s="25" cm="1">
        <f t="array" ref="Y78">_xlfn.LET(_xlpm.x, M78:M80, IF(SUM((_xlpm.x="K")*1, (_xlpm.x="A")*1, (_xlpm.x="GK")*1, (_xlpm.x="GA")*1)&gt;0, 3, 1))</f>
        <v>3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126</v>
      </c>
      <c r="L79" s="16" t="s">
        <v>19</v>
      </c>
      <c r="M79" s="16" t="s">
        <v>127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 cm="1">
        <f t="array" ref="W79">_xlfn.LET(_xlpm.x, K79:K81, IF(SUM((_xlpm.x="K")*1, (_xlpm.x="A")*1, (_xlpm.x="GK")*1, (_xlpm.x="GA")*1)&gt;0, 3, 1))</f>
        <v>3</v>
      </c>
      <c r="X79" s="25" cm="1">
        <f t="array" ref="X79">_xlfn.LET(_xlpm.x, L79:L81, IF(SUM((_xlpm.x="K")*1, (_xlpm.x="A")*1, (_xlpm.x="GK")*1, (_xlpm.x="GA")*1)&gt;0, 3, 1))</f>
        <v>1</v>
      </c>
      <c r="Y79" s="25" cm="1">
        <f t="array" ref="Y79">_xlfn.LET(_xlpm.x, M79:M81, IF(SUM((_xlpm.x="K")*1, (_xlpm.x="A")*1, (_xlpm.x="GK")*1, (_xlpm.x="GA")*1)&gt;0, 3, 1))</f>
        <v>3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 cm="1">
        <f t="array" ref="W80">_xlfn.LET(_xlpm.x, K80:K82, IF(SUM((_xlpm.x="K")*1, (_xlpm.x="A")*1, (_xlpm.x="GK")*1, (_xlpm.x="GA")*1)&gt;0, 3, 1))</f>
        <v>3</v>
      </c>
      <c r="X80" s="25" cm="1">
        <f t="array" ref="X80">_xlfn.LET(_xlpm.x, L80:L82, IF(SUM((_xlpm.x="K")*1, (_xlpm.x="A")*1, (_xlpm.x="GK")*1, (_xlpm.x="GA")*1)&gt;0, 3, 1))</f>
        <v>1</v>
      </c>
      <c r="Y80" s="25" cm="1">
        <f t="array" ref="Y80">_xlfn.LET(_xlpm.x, M80:M82, IF(SUM((_xlpm.x="K")*1, (_xlpm.x="A")*1, (_xlpm.x="GK")*1, (_xlpm.x="GA")*1)&gt;0, 3, 1))</f>
        <v>3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324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6</v>
      </c>
      <c r="S81" s="9">
        <v>14</v>
      </c>
      <c r="T81" s="9">
        <v>3</v>
      </c>
      <c r="U81" s="9">
        <v>9</v>
      </c>
      <c r="W81" s="25" cm="1">
        <f t="array" ref="W81">_xlfn.LET(_xlpm.x, K81:K83, IF(SUM((_xlpm.x="K")*1, (_xlpm.x="A")*1, (_xlpm.x="GK")*1, (_xlpm.x="GA")*1)&gt;0, 3, 1))</f>
        <v>3</v>
      </c>
      <c r="X81" s="25" cm="1">
        <f t="array" ref="X81">_xlfn.LET(_xlpm.x, L81:L83, IF(SUM((_xlpm.x="K")*1, (_xlpm.x="A")*1, (_xlpm.x="GK")*1, (_xlpm.x="GA")*1)&gt;0, 3, 1))</f>
        <v>1</v>
      </c>
      <c r="Y81" s="25" cm="1">
        <f t="array" ref="Y81">_xlfn.LET(_xlpm.x, M81:M83, IF(SUM((_xlpm.x="K")*1, (_xlpm.x="A")*1, (_xlpm.x="GK")*1, (_xlpm.x="GA")*1)&gt;0, 3, 1))</f>
        <v>3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324</v>
      </c>
      <c r="M82" s="16" t="s">
        <v>112</v>
      </c>
      <c r="N82" s="16" t="s">
        <v>19</v>
      </c>
      <c r="O82" s="16" t="s">
        <v>22</v>
      </c>
      <c r="Q82" s="9">
        <v>7</v>
      </c>
      <c r="R82" s="9">
        <v>6</v>
      </c>
      <c r="S82" s="9">
        <v>17</v>
      </c>
      <c r="T82" s="9">
        <v>5</v>
      </c>
      <c r="U82" s="9">
        <v>3</v>
      </c>
      <c r="W82" s="25" cm="1">
        <f t="array" ref="W82">_xlfn.LET(_xlpm.x, K82:K84, IF(SUM((_xlpm.x="K")*1, (_xlpm.x="A")*1, (_xlpm.x="GK")*1, (_xlpm.x="GA")*1)&gt;0, 3, 1))</f>
        <v>3</v>
      </c>
      <c r="X82" s="25" cm="1">
        <f t="array" ref="X82">_xlfn.LET(_xlpm.x, L82:L84, IF(SUM((_xlpm.x="K")*1, (_xlpm.x="A")*1, (_xlpm.x="GK")*1, (_xlpm.x="GA")*1)&gt;0, 3, 1))</f>
        <v>1</v>
      </c>
      <c r="Y82" s="25" cm="1">
        <f t="array" ref="Y82">_xlfn.LET(_xlpm.x, M82:M84, IF(SUM((_xlpm.x="K")*1, (_xlpm.x="A")*1, (_xlpm.x="GK")*1, (_xlpm.x="GA")*1)&gt;0, 3, 1))</f>
        <v>3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91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14</v>
      </c>
      <c r="S83" s="9">
        <v>16</v>
      </c>
      <c r="T83" s="9">
        <v>9</v>
      </c>
      <c r="U83" s="9">
        <v>9</v>
      </c>
      <c r="W83" s="25" cm="1">
        <f t="array" ref="W83">_xlfn.LET(_xlpm.x, K83:K85, IF(SUM((_xlpm.x="K")*1, (_xlpm.x="A")*1, (_xlpm.x="GK")*1, (_xlpm.x="GA")*1)&gt;0, 3, 1))</f>
        <v>3</v>
      </c>
      <c r="X83" s="25" cm="1">
        <f t="array" ref="X83">_xlfn.LET(_xlpm.x, L83:L85, IF(SUM((_xlpm.x="K")*1, (_xlpm.x="A")*1, (_xlpm.x="GK")*1, (_xlpm.x="GA")*1)&gt;0, 3, 1))</f>
        <v>1</v>
      </c>
      <c r="Y83" s="25" cm="1">
        <f t="array" ref="Y83">_xlfn.LET(_xlpm.x, M83:M85, IF(SUM((_xlpm.x="K")*1, (_xlpm.x="A")*1, (_xlpm.x="GK")*1, (_xlpm.x="GA")*1)&gt;0, 3, 1))</f>
        <v>3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126</v>
      </c>
      <c r="M84" s="16" t="s">
        <v>127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 cm="1">
        <f t="array" ref="W84">_xlfn.LET(_xlpm.x, K84:K86, IF(SUM((_xlpm.x="K")*1, (_xlpm.x="A")*1, (_xlpm.x="GK")*1, (_xlpm.x="GA")*1)&gt;0, 3, 1))</f>
        <v>3</v>
      </c>
      <c r="X84" s="25" cm="1">
        <f t="array" ref="X84">_xlfn.LET(_xlpm.x, L84:L86, IF(SUM((_xlpm.x="K")*1, (_xlpm.x="A")*1, (_xlpm.x="GK")*1, (_xlpm.x="GA")*1)&gt;0, 3, 1))</f>
        <v>1</v>
      </c>
      <c r="Y84" s="25" cm="1">
        <f t="array" ref="Y84">_xlfn.LET(_xlpm.x, M84:M86, IF(SUM((_xlpm.x="K")*1, (_xlpm.x="A")*1, (_xlpm.x="GK")*1, (_xlpm.x="GA")*1)&gt;0, 3, 1))</f>
        <v>3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126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 cm="1">
        <f t="array" ref="W85">_xlfn.LET(_xlpm.x, K85:K87, IF(SUM((_xlpm.x="K")*1, (_xlpm.x="A")*1, (_xlpm.x="GK")*1, (_xlpm.x="GA")*1)&gt;0, 3, 1))</f>
        <v>1</v>
      </c>
      <c r="X85" s="25" cm="1">
        <f t="array" ref="X85">_xlfn.LET(_xlpm.x, L85:L87, IF(SUM((_xlpm.x="K")*1, (_xlpm.x="A")*1, (_xlpm.x="GK")*1, (_xlpm.x="GA")*1)&gt;0, 3, 1))</f>
        <v>3</v>
      </c>
      <c r="Y85" s="25" cm="1">
        <f t="array" ref="Y85">_xlfn.LET(_xlpm.x, M85:M87, IF(SUM((_xlpm.x="K")*1, (_xlpm.x="A")*1, (_xlpm.x="GK")*1, (_xlpm.x="GA")*1)&gt;0, 3, 1))</f>
        <v>3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126</v>
      </c>
      <c r="L86" s="16" t="s">
        <v>127</v>
      </c>
      <c r="M86" s="16" t="s">
        <v>95</v>
      </c>
      <c r="N86" s="16" t="s">
        <v>21</v>
      </c>
      <c r="O86" s="16" t="s">
        <v>126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 cm="1">
        <f t="array" ref="W86">_xlfn.LET(_xlpm.x, K86:K88, IF(SUM((_xlpm.x="K")*1, (_xlpm.x="A")*1, (_xlpm.x="GK")*1, (_xlpm.x="GA")*1)&gt;0, 3, 1))</f>
        <v>3</v>
      </c>
      <c r="X86" s="25" cm="1">
        <f t="array" ref="X86">_xlfn.LET(_xlpm.x, L86:L88, IF(SUM((_xlpm.x="K")*1, (_xlpm.x="A")*1, (_xlpm.x="GK")*1, (_xlpm.x="GA")*1)&gt;0, 3, 1))</f>
        <v>3</v>
      </c>
      <c r="Y86" s="25" cm="1">
        <f t="array" ref="Y86">_xlfn.LET(_xlpm.x, M86:M88, IF(SUM((_xlpm.x="K")*1, (_xlpm.x="A")*1, (_xlpm.x="GK")*1, (_xlpm.x="GA")*1)&gt;0, 3, 1))</f>
        <v>3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31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8</v>
      </c>
      <c r="S87" s="9">
        <v>14</v>
      </c>
      <c r="T87" s="9">
        <v>5</v>
      </c>
      <c r="U87" s="9">
        <v>3</v>
      </c>
      <c r="W87" s="25" cm="1">
        <f t="array" ref="W87">_xlfn.LET(_xlpm.x, K87:K89, IF(SUM((_xlpm.x="K")*1, (_xlpm.x="A")*1, (_xlpm.x="GK")*1, (_xlpm.x="GA")*1)&gt;0, 3, 1))</f>
        <v>3</v>
      </c>
      <c r="X87" s="25" cm="1">
        <f t="array" ref="X87">_xlfn.LET(_xlpm.x, L87:L89, IF(SUM((_xlpm.x="K")*1, (_xlpm.x="A")*1, (_xlpm.x="GK")*1, (_xlpm.x="GA")*1)&gt;0, 3, 1))</f>
        <v>3</v>
      </c>
      <c r="Y87" s="25" cm="1">
        <f t="array" ref="Y87">_xlfn.LET(_xlpm.x, M87:M89, IF(SUM((_xlpm.x="K")*1, (_xlpm.x="A")*1, (_xlpm.x="GK")*1, (_xlpm.x="GA")*1)&gt;0, 3, 1))</f>
        <v>3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91</v>
      </c>
      <c r="M88" s="16" t="s">
        <v>112</v>
      </c>
      <c r="N88" s="16" t="s">
        <v>88</v>
      </c>
      <c r="O88" s="16" t="s">
        <v>34</v>
      </c>
      <c r="Q88" s="9">
        <v>7</v>
      </c>
      <c r="R88" s="9">
        <v>14</v>
      </c>
      <c r="S88" s="9">
        <v>17</v>
      </c>
      <c r="T88" s="9">
        <v>11</v>
      </c>
      <c r="U88" s="9">
        <v>9</v>
      </c>
      <c r="W88" s="25" cm="1">
        <f t="array" ref="W88">_xlfn.LET(_xlpm.x, K88:K90, IF(SUM((_xlpm.x="K")*1, (_xlpm.x="A")*1, (_xlpm.x="GK")*1, (_xlpm.x="GA")*1)&gt;0, 3, 1))</f>
        <v>3</v>
      </c>
      <c r="X88" s="25" cm="1">
        <f t="array" ref="X88">_xlfn.LET(_xlpm.x, L88:L90, IF(SUM((_xlpm.x="K")*1, (_xlpm.x="A")*1, (_xlpm.x="GK")*1, (_xlpm.x="GA")*1)&gt;0, 3, 1))</f>
        <v>1</v>
      </c>
      <c r="Y88" s="25" cm="1">
        <f t="array" ref="Y88">_xlfn.LET(_xlpm.x, M88:M90, IF(SUM((_xlpm.x="K")*1, (_xlpm.x="A")*1, (_xlpm.x="GK")*1, (_xlpm.x="GA")*1)&gt;0, 3, 1))</f>
        <v>3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127</v>
      </c>
      <c r="N89" s="16" t="s">
        <v>22</v>
      </c>
      <c r="O89" s="16" t="s">
        <v>126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 cm="1">
        <f t="array" ref="W89">_xlfn.LET(_xlpm.x, K89:K91, IF(SUM((_xlpm.x="K")*1, (_xlpm.x="A")*1, (_xlpm.x="GK")*1, (_xlpm.x="GA")*1)&gt;0, 3, 1))</f>
        <v>3</v>
      </c>
      <c r="X89" s="25" cm="1">
        <f t="array" ref="X89">_xlfn.LET(_xlpm.x, L89:L91, IF(SUM((_xlpm.x="K")*1, (_xlpm.x="A")*1, (_xlpm.x="GK")*1, (_xlpm.x="GA")*1)&gt;0, 3, 1))</f>
        <v>1</v>
      </c>
      <c r="Y89" s="25" cm="1">
        <f t="array" ref="Y89">_xlfn.LET(_xlpm.x, M89:M91, IF(SUM((_xlpm.x="K")*1, (_xlpm.x="A")*1, (_xlpm.x="GK")*1, (_xlpm.x="GA")*1)&gt;0, 3, 1))</f>
        <v>3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 cm="1">
        <f t="array" ref="W90">_xlfn.LET(_xlpm.x, K90:K92, IF(SUM((_xlpm.x="K")*1, (_xlpm.x="A")*1, (_xlpm.x="GK")*1, (_xlpm.x="GA")*1)&gt;0, 3, 1))</f>
        <v>3</v>
      </c>
      <c r="X90" s="25" cm="1">
        <f t="array" ref="X90">_xlfn.LET(_xlpm.x, L90:L92, IF(SUM((_xlpm.x="K")*1, (_xlpm.x="A")*1, (_xlpm.x="GK")*1, (_xlpm.x="GA")*1)&gt;0, 3, 1))</f>
        <v>1</v>
      </c>
      <c r="Y90" s="25" cm="1">
        <f t="array" ref="Y90">_xlfn.LET(_xlpm.x, M90:M92, IF(SUM((_xlpm.x="K")*1, (_xlpm.x="A")*1, (_xlpm.x="GK")*1, (_xlpm.x="GA")*1)&gt;0, 3, 1))</f>
        <v>3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 cm="1">
        <f t="array" ref="W91">_xlfn.LET(_xlpm.x, K91:K93, IF(SUM((_xlpm.x="K")*1, (_xlpm.x="A")*1, (_xlpm.x="GK")*1, (_xlpm.x="GA")*1)&gt;0, 3, 1))</f>
        <v>3</v>
      </c>
      <c r="X91" s="25" cm="1">
        <f t="array" ref="X91">_xlfn.LET(_xlpm.x, L91:L93, IF(SUM((_xlpm.x="K")*1, (_xlpm.x="A")*1, (_xlpm.x="GK")*1, (_xlpm.x="GA")*1)&gt;0, 3, 1))</f>
        <v>1</v>
      </c>
      <c r="Y91" s="25" cm="1">
        <f t="array" ref="Y91">_xlfn.LET(_xlpm.x, M91:M93, IF(SUM((_xlpm.x="K")*1, (_xlpm.x="A")*1, (_xlpm.x="GK")*1, (_xlpm.x="GA")*1)&gt;0, 3, 1))</f>
        <v>3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127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15</v>
      </c>
      <c r="S92" s="9">
        <v>16</v>
      </c>
      <c r="T92" s="9">
        <v>1</v>
      </c>
      <c r="U92" s="9">
        <v>5</v>
      </c>
      <c r="W92" s="25" cm="1">
        <f t="array" ref="W92">_xlfn.LET(_xlpm.x, K92:K94, IF(SUM((_xlpm.x="K")*1, (_xlpm.x="A")*1, (_xlpm.x="GK")*1, (_xlpm.x="GA")*1)&gt;0, 3, 1))</f>
        <v>3</v>
      </c>
      <c r="X92" s="25" cm="1">
        <f t="array" ref="X92">_xlfn.LET(_xlpm.x, L92:L94, IF(SUM((_xlpm.x="K")*1, (_xlpm.x="A")*1, (_xlpm.x="GK")*1, (_xlpm.x="GA")*1)&gt;0, 3, 1))</f>
        <v>3</v>
      </c>
      <c r="Y92" s="25" cm="1">
        <f t="array" ref="Y92">_xlfn.LET(_xlpm.x, M92:M94, IF(SUM((_xlpm.x="K")*1, (_xlpm.x="A")*1, (_xlpm.x="GK")*1, (_xlpm.x="GA")*1)&gt;0, 3, 1))</f>
        <v>3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127</v>
      </c>
      <c r="M93" s="16" t="s">
        <v>112</v>
      </c>
      <c r="N93" s="16" t="s">
        <v>21</v>
      </c>
      <c r="O93" s="16" t="s">
        <v>34</v>
      </c>
      <c r="Q93" s="9">
        <v>4</v>
      </c>
      <c r="R93" s="9">
        <v>15</v>
      </c>
      <c r="S93" s="9">
        <v>17</v>
      </c>
      <c r="T93" s="9">
        <v>2</v>
      </c>
      <c r="U93" s="9">
        <v>9</v>
      </c>
      <c r="W93" s="25" cm="1">
        <f t="array" ref="W93">_xlfn.LET(_xlpm.x, K93:K95, IF(SUM((_xlpm.x="K")*1, (_xlpm.x="A")*1, (_xlpm.x="GK")*1, (_xlpm.x="GA")*1)&gt;0, 3, 1))</f>
        <v>1</v>
      </c>
      <c r="X93" s="25" cm="1">
        <f t="array" ref="X93">_xlfn.LET(_xlpm.x, L93:L95, IF(SUM((_xlpm.x="K")*1, (_xlpm.x="A")*1, (_xlpm.x="GK")*1, (_xlpm.x="GA")*1)&gt;0, 3, 1))</f>
        <v>3</v>
      </c>
      <c r="Y93" s="25" cm="1">
        <f t="array" ref="Y93">_xlfn.LET(_xlpm.x, M93:M95, IF(SUM((_xlpm.x="K")*1, (_xlpm.x="A")*1, (_xlpm.x="GK")*1, (_xlpm.x="GA")*1)&gt;0, 3, 1))</f>
        <v>3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 cm="1">
        <f t="array" ref="W94">_xlfn.LET(_xlpm.x, K94:K96, IF(SUM((_xlpm.x="K")*1, (_xlpm.x="A")*1, (_xlpm.x="GK")*1, (_xlpm.x="GA")*1)&gt;0, 3, 1))</f>
        <v>3</v>
      </c>
      <c r="X94" s="25" cm="1">
        <f t="array" ref="X94">_xlfn.LET(_xlpm.x, L94:L96, IF(SUM((_xlpm.x="K")*1, (_xlpm.x="A")*1, (_xlpm.x="GK")*1, (_xlpm.x="GA")*1)&gt;0, 3, 1))</f>
        <v>3</v>
      </c>
      <c r="Y94" s="25" cm="1">
        <f t="array" ref="Y94">_xlfn.LET(_xlpm.x, M94:M96, IF(SUM((_xlpm.x="K")*1, (_xlpm.x="A")*1, (_xlpm.x="GK")*1, (_xlpm.x="GA")*1)&gt;0, 3, 1))</f>
        <v>3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112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 cm="1">
        <f t="array" ref="W95">_xlfn.LET(_xlpm.x, K95:K97, IF(SUM((_xlpm.x="K")*1, (_xlpm.x="A")*1, (_xlpm.x="GK")*1, (_xlpm.x="GA")*1)&gt;0, 3, 1))</f>
        <v>3</v>
      </c>
      <c r="X95" s="25" cm="1">
        <f t="array" ref="X95">_xlfn.LET(_xlpm.x, L95:L97, IF(SUM((_xlpm.x="K")*1, (_xlpm.x="A")*1, (_xlpm.x="GK")*1, (_xlpm.x="GA")*1)&gt;0, 3, 1))</f>
        <v>3</v>
      </c>
      <c r="Y95" s="25" cm="1">
        <f t="array" ref="Y95">_xlfn.LET(_xlpm.x, M95:M97, IF(SUM((_xlpm.x="K")*1, (_xlpm.x="A")*1, (_xlpm.x="GK")*1, (_xlpm.x="GA")*1)&gt;0, 3, 1))</f>
        <v>3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 cm="1">
        <f t="array" ref="W96">_xlfn.LET(_xlpm.x, K96:K98, IF(SUM((_xlpm.x="K")*1, (_xlpm.x="A")*1, (_xlpm.x="GK")*1, (_xlpm.x="GA")*1)&gt;0, 3, 1))</f>
        <v>3</v>
      </c>
      <c r="X96" s="25" cm="1">
        <f t="array" ref="X96">_xlfn.LET(_xlpm.x, L96:L98, IF(SUM((_xlpm.x="K")*1, (_xlpm.x="A")*1, (_xlpm.x="GK")*1, (_xlpm.x="GA")*1)&gt;0, 3, 1))</f>
        <v>3</v>
      </c>
      <c r="Y96" s="25" cm="1">
        <f t="array" ref="Y96">_xlfn.LET(_xlpm.x, M96:M98, IF(SUM((_xlpm.x="K")*1, (_xlpm.x="A")*1, (_xlpm.x="GK")*1, (_xlpm.x="GA")*1)&gt;0, 3, 1))</f>
        <v>3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 cm="1">
        <f t="array" ref="W97">_xlfn.LET(_xlpm.x, K97:K99, IF(SUM((_xlpm.x="K")*1, (_xlpm.x="A")*1, (_xlpm.x="GK")*1, (_xlpm.x="GA")*1)&gt;0, 3, 1))</f>
        <v>3</v>
      </c>
      <c r="X97" s="25" cm="1">
        <f t="array" ref="X97">_xlfn.LET(_xlpm.x, L97:L99, IF(SUM((_xlpm.x="K")*1, (_xlpm.x="A")*1, (_xlpm.x="GK")*1, (_xlpm.x="GA")*1)&gt;0, 3, 1))</f>
        <v>3</v>
      </c>
      <c r="Y97" s="25" cm="1">
        <f t="array" ref="Y97">_xlfn.LET(_xlpm.x, M97:M99, IF(SUM((_xlpm.x="K")*1, (_xlpm.x="A")*1, (_xlpm.x="GK")*1, (_xlpm.x="GA")*1)&gt;0, 3, 1))</f>
        <v>3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127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 cm="1">
        <f t="array" ref="W98">_xlfn.LET(_xlpm.x, K98:K100, IF(SUM((_xlpm.x="K")*1, (_xlpm.x="A")*1, (_xlpm.x="GK")*1, (_xlpm.x="GA")*1)&gt;0, 3, 1))</f>
        <v>3</v>
      </c>
      <c r="X98" s="25" cm="1">
        <f t="array" ref="X98">_xlfn.LET(_xlpm.x, L98:L100, IF(SUM((_xlpm.x="K")*1, (_xlpm.x="A")*1, (_xlpm.x="GK")*1, (_xlpm.x="GA")*1)&gt;0, 3, 1))</f>
        <v>3</v>
      </c>
      <c r="Y98" s="25" cm="1">
        <f t="array" ref="Y98">_xlfn.LET(_xlpm.x, M98:M100, IF(SUM((_xlpm.x="K")*1, (_xlpm.x="A")*1, (_xlpm.x="GK")*1, (_xlpm.x="GA")*1)&gt;0, 3, 1))</f>
        <v>3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112</v>
      </c>
      <c r="M99" s="16" t="s">
        <v>112</v>
      </c>
      <c r="N99" s="16" t="s">
        <v>18</v>
      </c>
      <c r="O99" s="16" t="s">
        <v>35</v>
      </c>
      <c r="Q99" s="9">
        <v>5</v>
      </c>
      <c r="R99" s="9">
        <v>17</v>
      </c>
      <c r="S99" s="9">
        <v>17</v>
      </c>
      <c r="T99" s="9">
        <v>4</v>
      </c>
      <c r="U99" s="9">
        <v>8</v>
      </c>
      <c r="W99" s="25" cm="1">
        <f t="array" ref="W99">_xlfn.LET(_xlpm.x, K99:K101, IF(SUM((_xlpm.x="K")*1, (_xlpm.x="A")*1, (_xlpm.x="GK")*1, (_xlpm.x="GA")*1)&gt;0, 3, 1))</f>
        <v>1</v>
      </c>
      <c r="X99" s="25" cm="1">
        <f t="array" ref="X99">_xlfn.LET(_xlpm.x, L99:L101, IF(SUM((_xlpm.x="K")*1, (_xlpm.x="A")*1, (_xlpm.x="GK")*1, (_xlpm.x="GA")*1)&gt;0, 3, 1))</f>
        <v>3</v>
      </c>
      <c r="Y99" s="25" cm="1">
        <f t="array" ref="Y99">_xlfn.LET(_xlpm.x, M99:M101, IF(SUM((_xlpm.x="K")*1, (_xlpm.x="A")*1, (_xlpm.x="GK")*1, (_xlpm.x="GA")*1)&gt;0, 3, 1))</f>
        <v>3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126</v>
      </c>
      <c r="L100" s="16" t="s">
        <v>31</v>
      </c>
      <c r="M100" s="16" t="s">
        <v>127</v>
      </c>
      <c r="N100" s="16" t="s">
        <v>35</v>
      </c>
      <c r="O100" s="16" t="s">
        <v>19</v>
      </c>
      <c r="Q100" s="9">
        <v>6</v>
      </c>
      <c r="R100" s="9">
        <v>8</v>
      </c>
      <c r="S100" s="9">
        <v>15</v>
      </c>
      <c r="T100" s="9">
        <v>8</v>
      </c>
      <c r="U100" s="9">
        <v>5</v>
      </c>
      <c r="W100" s="25" cm="1">
        <f t="array" ref="W100">_xlfn.LET(_xlpm.x, K100:K102, IF(SUM((_xlpm.x="K")*1, (_xlpm.x="A")*1, (_xlpm.x="GK")*1, (_xlpm.x="GA")*1)&gt;0, 3, 1))</f>
        <v>3</v>
      </c>
      <c r="X100" s="25" cm="1">
        <f t="array" ref="X100">_xlfn.LET(_xlpm.x, L100:L102, IF(SUM((_xlpm.x="K")*1, (_xlpm.x="A")*1, (_xlpm.x="GK")*1, (_xlpm.x="GA")*1)&gt;0, 3, 1))</f>
        <v>3</v>
      </c>
      <c r="Y100" s="25" cm="1">
        <f t="array" ref="Y100">_xlfn.LET(_xlpm.x, M100:M102, IF(SUM((_xlpm.x="K")*1, (_xlpm.x="A")*1, (_xlpm.x="GK")*1, (_xlpm.x="GA")*1)&gt;0, 3, 1))</f>
        <v>3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92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16</v>
      </c>
      <c r="S101" s="9">
        <v>16</v>
      </c>
      <c r="T101" s="9">
        <v>8</v>
      </c>
      <c r="U101" s="9">
        <v>4</v>
      </c>
      <c r="W101" s="25" cm="1">
        <f t="array" ref="W101">_xlfn.LET(_xlpm.x, K101:K103, IF(SUM((_xlpm.x="K")*1, (_xlpm.x="A")*1, (_xlpm.x="GK")*1, (_xlpm.x="GA")*1)&gt;0, 3, 1))</f>
        <v>3</v>
      </c>
      <c r="X101" s="25" cm="1">
        <f t="array" ref="X101">_xlfn.LET(_xlpm.x, L101:L103, IF(SUM((_xlpm.x="K")*1, (_xlpm.x="A")*1, (_xlpm.x="GK")*1, (_xlpm.x="GA")*1)&gt;0, 3, 1))</f>
        <v>3</v>
      </c>
      <c r="Y101" s="25" cm="1">
        <f t="array" ref="Y101">_xlfn.LET(_xlpm.x, M101:M103, IF(SUM((_xlpm.x="K")*1, (_xlpm.x="A")*1, (_xlpm.x="GK")*1, (_xlpm.x="GA")*1)&gt;0, 3, 1))</f>
        <v>3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112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 cm="1">
        <f t="array" ref="W102">_xlfn.LET(_xlpm.x, K102:K104, IF(SUM((_xlpm.x="K")*1, (_xlpm.x="A")*1, (_xlpm.x="GK")*1, (_xlpm.x="GA")*1)&gt;0, 3, 1))</f>
        <v>3</v>
      </c>
      <c r="X102" s="25" cm="1">
        <f t="array" ref="X102">_xlfn.LET(_xlpm.x, L102:L104, IF(SUM((_xlpm.x="K")*1, (_xlpm.x="A")*1, (_xlpm.x="GK")*1, (_xlpm.x="GA")*1)&gt;0, 3, 1))</f>
        <v>1</v>
      </c>
      <c r="Y102" s="25" cm="1">
        <f t="array" ref="Y102">_xlfn.LET(_xlpm.x, M102:M104, IF(SUM((_xlpm.x="K")*1, (_xlpm.x="A")*1, (_xlpm.x="GK")*1, (_xlpm.x="GA")*1)&gt;0, 3, 1))</f>
        <v>3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 cm="1">
        <f t="array" ref="W103">_xlfn.LET(_xlpm.x, K103:K105, IF(SUM((_xlpm.x="K")*1, (_xlpm.x="A")*1, (_xlpm.x="GK")*1, (_xlpm.x="GA")*1)&gt;0, 3, 1))</f>
        <v>3</v>
      </c>
      <c r="X103" s="25" cm="1">
        <f t="array" ref="X103">_xlfn.LET(_xlpm.x, L103:L105, IF(SUM((_xlpm.x="K")*1, (_xlpm.x="A")*1, (_xlpm.x="GK")*1, (_xlpm.x="GA")*1)&gt;0, 3, 1))</f>
        <v>1</v>
      </c>
      <c r="Y103" s="25" cm="1">
        <f t="array" ref="Y103">_xlfn.LET(_xlpm.x, M103:M105, IF(SUM((_xlpm.x="K")*1, (_xlpm.x="A")*1, (_xlpm.x="GK")*1, (_xlpm.x="GA")*1)&gt;0, 3, 1))</f>
        <v>3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 cm="1">
        <f t="array" ref="W104">_xlfn.LET(_xlpm.x, K104:K106, IF(SUM((_xlpm.x="K")*1, (_xlpm.x="A")*1, (_xlpm.x="GK")*1, (_xlpm.x="GA")*1)&gt;0, 3, 1))</f>
        <v>3</v>
      </c>
      <c r="X104" s="25" cm="1">
        <f t="array" ref="X104">_xlfn.LET(_xlpm.x, L104:L106, IF(SUM((_xlpm.x="K")*1, (_xlpm.x="A")*1, (_xlpm.x="GK")*1, (_xlpm.x="GA")*1)&gt;0, 3, 1))</f>
        <v>3</v>
      </c>
      <c r="Y104" s="25" cm="1">
        <f t="array" ref="Y104">_xlfn.LET(_xlpm.x, M104:M106, IF(SUM((_xlpm.x="K")*1, (_xlpm.x="A")*1, (_xlpm.x="GK")*1, (_xlpm.x="GA")*1)&gt;0, 3, 1))</f>
        <v>3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126</v>
      </c>
      <c r="M105" s="16" t="s">
        <v>112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 cm="1">
        <f t="array" ref="W105">_xlfn.LET(_xlpm.x, K105:K107, IF(SUM((_xlpm.x="K")*1, (_xlpm.x="A")*1, (_xlpm.x="GK")*1, (_xlpm.x="GA")*1)&gt;0, 3, 1))</f>
        <v>3</v>
      </c>
      <c r="X105" s="25" cm="1">
        <f t="array" ref="X105">_xlfn.LET(_xlpm.x, L105:L107, IF(SUM((_xlpm.x="K")*1, (_xlpm.x="A")*1, (_xlpm.x="GK")*1, (_xlpm.x="GA")*1)&gt;0, 3, 1))</f>
        <v>3</v>
      </c>
      <c r="Y105" s="25" cm="1">
        <f t="array" ref="Y105">_xlfn.LET(_xlpm.x, M105:M107, IF(SUM((_xlpm.x="K")*1, (_xlpm.x="A")*1, (_xlpm.x="GK")*1, (_xlpm.x="GA")*1)&gt;0, 3, 1))</f>
        <v>3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31</v>
      </c>
      <c r="M106" s="16" t="s">
        <v>91</v>
      </c>
      <c r="N106" s="16" t="s">
        <v>21</v>
      </c>
      <c r="O106" s="16" t="s">
        <v>126</v>
      </c>
      <c r="Q106" s="9">
        <v>8</v>
      </c>
      <c r="R106" s="9">
        <v>8</v>
      </c>
      <c r="S106" s="9">
        <v>14</v>
      </c>
      <c r="T106" s="9">
        <v>2</v>
      </c>
      <c r="U106" s="9">
        <v>6</v>
      </c>
      <c r="W106" s="25" cm="1">
        <f t="array" ref="W106">_xlfn.LET(_xlpm.x, K106:K108, IF(SUM((_xlpm.x="K")*1, (_xlpm.x="A")*1, (_xlpm.x="GK")*1, (_xlpm.x="GA")*1)&gt;0, 3, 1))</f>
        <v>3</v>
      </c>
      <c r="X106" s="25" cm="1">
        <f t="array" ref="X106">_xlfn.LET(_xlpm.x, L106:L108, IF(SUM((_xlpm.x="K")*1, (_xlpm.x="A")*1, (_xlpm.x="GK")*1, (_xlpm.x="GA")*1)&gt;0, 3, 1))</f>
        <v>3</v>
      </c>
      <c r="Y106" s="25" cm="1">
        <f t="array" ref="Y106">_xlfn.LET(_xlpm.x, M106:M108, IF(SUM((_xlpm.x="K")*1, (_xlpm.x="A")*1, (_xlpm.x="GK")*1, (_xlpm.x="GA")*1)&gt;0, 3, 1))</f>
        <v>3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31</v>
      </c>
      <c r="M107" s="16" t="s">
        <v>127</v>
      </c>
      <c r="N107" s="16" t="s">
        <v>90</v>
      </c>
      <c r="O107" s="16" t="s">
        <v>34</v>
      </c>
      <c r="Q107" s="9">
        <v>7</v>
      </c>
      <c r="R107" s="9">
        <v>8</v>
      </c>
      <c r="S107" s="9">
        <v>15</v>
      </c>
      <c r="T107" s="9">
        <v>13</v>
      </c>
      <c r="U107" s="9">
        <v>9</v>
      </c>
      <c r="W107" s="25" cm="1">
        <f t="array" ref="W107">_xlfn.LET(_xlpm.x, K107:K109, IF(SUM((_xlpm.x="K")*1, (_xlpm.x="A")*1, (_xlpm.x="GK")*1, (_xlpm.x="GA")*1)&gt;0, 3, 1))</f>
        <v>3</v>
      </c>
      <c r="X107" s="25" cm="1">
        <f t="array" ref="X107">_xlfn.LET(_xlpm.x, L107:L109, IF(SUM((_xlpm.x="K")*1, (_xlpm.x="A")*1, (_xlpm.x="GK")*1, (_xlpm.x="GA")*1)&gt;0, 3, 1))</f>
        <v>3</v>
      </c>
      <c r="Y107" s="25" cm="1">
        <f t="array" ref="Y107">_xlfn.LET(_xlpm.x, M107:M109, IF(SUM((_xlpm.x="K")*1, (_xlpm.x="A")*1, (_xlpm.x="GK")*1, (_xlpm.x="GA")*1)&gt;0, 3, 1))</f>
        <v>3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 cm="1">
        <f t="array" ref="W108">_xlfn.LET(_xlpm.x, K108:K110, IF(SUM((_xlpm.x="K")*1, (_xlpm.x="A")*1, (_xlpm.x="GK")*1, (_xlpm.x="GA")*1)&gt;0, 3, 1))</f>
        <v>3</v>
      </c>
      <c r="X108" s="25" cm="1">
        <f t="array" ref="X108">_xlfn.LET(_xlpm.x, L108:L110, IF(SUM((_xlpm.x="K")*1, (_xlpm.x="A")*1, (_xlpm.x="GK")*1, (_xlpm.x="GA")*1)&gt;0, 3, 1))</f>
        <v>1</v>
      </c>
      <c r="Y108" s="25" cm="1">
        <f t="array" ref="Y108">_xlfn.LET(_xlpm.x, M108:M110, IF(SUM((_xlpm.x="K")*1, (_xlpm.x="A")*1, (_xlpm.x="GK")*1, (_xlpm.x="GA")*1)&gt;0, 3, 1))</f>
        <v>3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89</v>
      </c>
      <c r="M109" s="16" t="s">
        <v>127</v>
      </c>
      <c r="N109" s="16" t="s">
        <v>19</v>
      </c>
      <c r="O109" s="16" t="s">
        <v>36</v>
      </c>
      <c r="Q109" s="9">
        <v>8</v>
      </c>
      <c r="R109" s="9">
        <v>12</v>
      </c>
      <c r="S109" s="9">
        <v>15</v>
      </c>
      <c r="T109" s="9">
        <v>5</v>
      </c>
      <c r="U109" s="9">
        <v>10</v>
      </c>
      <c r="W109" s="25" cm="1">
        <f t="array" ref="W109">_xlfn.LET(_xlpm.x, K109:K111, IF(SUM((_xlpm.x="K")*1, (_xlpm.x="A")*1, (_xlpm.x="GK")*1, (_xlpm.x="GA")*1)&gt;0, 3, 1))</f>
        <v>3</v>
      </c>
      <c r="X109" s="25" cm="1">
        <f t="array" ref="X109">_xlfn.LET(_xlpm.x, L109:L111, IF(SUM((_xlpm.x="K")*1, (_xlpm.x="A")*1, (_xlpm.x="GK")*1, (_xlpm.x="GA")*1)&gt;0, 3, 1))</f>
        <v>1</v>
      </c>
      <c r="Y109" s="25" cm="1">
        <f t="array" ref="Y109">_xlfn.LET(_xlpm.x, M109:M111, IF(SUM((_xlpm.x="K")*1, (_xlpm.x="A")*1, (_xlpm.x="GK")*1, (_xlpm.x="GA")*1)&gt;0, 3, 1))</f>
        <v>3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 cm="1">
        <f t="array" ref="W110">_xlfn.LET(_xlpm.x, K110:K112, IF(SUM((_xlpm.x="K")*1, (_xlpm.x="A")*1, (_xlpm.x="GK")*1, (_xlpm.x="GA")*1)&gt;0, 3, 1))</f>
        <v>3</v>
      </c>
      <c r="X110" s="25" cm="1">
        <f t="array" ref="X110">_xlfn.LET(_xlpm.x, L110:L112, IF(SUM((_xlpm.x="K")*1, (_xlpm.x="A")*1, (_xlpm.x="GK")*1, (_xlpm.x="GA")*1)&gt;0, 3, 1))</f>
        <v>1</v>
      </c>
      <c r="Y110" s="25" cm="1">
        <f t="array" ref="Y110">_xlfn.LET(_xlpm.x, M110:M112, IF(SUM((_xlpm.x="K")*1, (_xlpm.x="A")*1, (_xlpm.x="GK")*1, (_xlpm.x="GA")*1)&gt;0, 3, 1))</f>
        <v>3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127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 cm="1">
        <f t="array" ref="W111">_xlfn.LET(_xlpm.x, K111:K113, IF(SUM((_xlpm.x="K")*1, (_xlpm.x="A")*1, (_xlpm.x="GK")*1, (_xlpm.x="GA")*1)&gt;0, 3, 1))</f>
        <v>3</v>
      </c>
      <c r="X111" s="25" cm="1">
        <f t="array" ref="X111">_xlfn.LET(_xlpm.x, L111:L113, IF(SUM((_xlpm.x="K")*1, (_xlpm.x="A")*1, (_xlpm.x="GK")*1, (_xlpm.x="GA")*1)&gt;0, 3, 1))</f>
        <v>1</v>
      </c>
      <c r="Y111" s="25" cm="1">
        <f t="array" ref="Y111">_xlfn.LET(_xlpm.x, M111:M113, IF(SUM((_xlpm.x="K")*1, (_xlpm.x="A")*1, (_xlpm.x="GK")*1, (_xlpm.x="GA")*1)&gt;0, 3, 1))</f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126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 cm="1">
        <f t="array" ref="W112">_xlfn.LET(_xlpm.x, K112:K114, IF(SUM((_xlpm.x="K")*1, (_xlpm.x="A")*1, (_xlpm.x="GK")*1, (_xlpm.x="GA")*1)&gt;0, 3, 1))</f>
        <v>3</v>
      </c>
      <c r="X112" s="25" cm="1">
        <f t="array" ref="X112">_xlfn.LET(_xlpm.x, L112:L114, IF(SUM((_xlpm.x="K")*1, (_xlpm.x="A")*1, (_xlpm.x="GK")*1, (_xlpm.x="GA")*1)&gt;0, 3, 1))</f>
        <v>3</v>
      </c>
      <c r="Y112" s="25" cm="1">
        <f t="array" ref="Y112">_xlfn.LET(_xlpm.x, M112:M114, IF(SUM((_xlpm.x="K")*1, (_xlpm.x="A")*1, (_xlpm.x="GK")*1, (_xlpm.x="GA")*1)&gt;0, 3, 1))</f>
        <v>3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127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 cm="1">
        <f t="array" ref="W113">_xlfn.LET(_xlpm.x, K113:K115, IF(SUM((_xlpm.x="K")*1, (_xlpm.x="A")*1, (_xlpm.x="GK")*1, (_xlpm.x="GA")*1)&gt;0, 3, 1))</f>
        <v>3</v>
      </c>
      <c r="X113" s="25" cm="1">
        <f t="array" ref="X113">_xlfn.LET(_xlpm.x, L113:L115, IF(SUM((_xlpm.x="K")*1, (_xlpm.x="A")*1, (_xlpm.x="GK")*1, (_xlpm.x="GA")*1)&gt;0, 3, 1))</f>
        <v>3</v>
      </c>
      <c r="Y113" s="25" cm="1">
        <f t="array" ref="Y113">_xlfn.LET(_xlpm.x, M113:M115, IF(SUM((_xlpm.x="K")*1, (_xlpm.x="A")*1, (_xlpm.x="GK")*1, (_xlpm.x="GA")*1)&gt;0, 3, 1))</f>
        <v>3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112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 cm="1">
        <f t="array" ref="W114">_xlfn.LET(_xlpm.x, K114:K116, IF(SUM((_xlpm.x="K")*1, (_xlpm.x="A")*1, (_xlpm.x="GK")*1, (_xlpm.x="GA")*1)&gt;0, 3, 1))</f>
        <v>1</v>
      </c>
      <c r="X114" s="25" cm="1">
        <f t="array" ref="X114">_xlfn.LET(_xlpm.x, L114:L116, IF(SUM((_xlpm.x="K")*1, (_xlpm.x="A")*1, (_xlpm.x="GK")*1, (_xlpm.x="GA")*1)&gt;0, 3, 1))</f>
        <v>3</v>
      </c>
      <c r="Y114" s="25" cm="1">
        <f t="array" ref="Y114">_xlfn.LET(_xlpm.x, M114:M116, IF(SUM((_xlpm.x="K")*1, (_xlpm.x="A")*1, (_xlpm.x="GK")*1, (_xlpm.x="GA")*1)&gt;0, 3, 1))</f>
        <v>3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126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 cm="1">
        <f t="array" ref="W115">_xlfn.LET(_xlpm.x, K115:K117, IF(SUM((_xlpm.x="K")*1, (_xlpm.x="A")*1, (_xlpm.x="GK")*1, (_xlpm.x="GA")*1)&gt;0, 3, 1))</f>
        <v>3</v>
      </c>
      <c r="X115" s="25" cm="1">
        <f t="array" ref="X115">_xlfn.LET(_xlpm.x, L115:L117, IF(SUM((_xlpm.x="K")*1, (_xlpm.x="A")*1, (_xlpm.x="GK")*1, (_xlpm.x="GA")*1)&gt;0, 3, 1))</f>
        <v>3</v>
      </c>
      <c r="Y115" s="25" cm="1">
        <f t="array" ref="Y115">_xlfn.LET(_xlpm.x, M115:M117, IF(SUM((_xlpm.x="K")*1, (_xlpm.x="A")*1, (_xlpm.x="GK")*1, (_xlpm.x="GA")*1)&gt;0, 3, 1))</f>
        <v>3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126</v>
      </c>
      <c r="L116" s="16" t="s">
        <v>91</v>
      </c>
      <c r="M116" s="16" t="s">
        <v>112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 cm="1">
        <f t="array" ref="W116">_xlfn.LET(_xlpm.x, K116:K118, IF(SUM((_xlpm.x="K")*1, (_xlpm.x="A")*1, (_xlpm.x="GK")*1, (_xlpm.x="GA")*1)&gt;0, 3, 1))</f>
        <v>3</v>
      </c>
      <c r="X116" s="25" cm="1">
        <f t="array" ref="X116">_xlfn.LET(_xlpm.x, L116:L118, IF(SUM((_xlpm.x="K")*1, (_xlpm.x="A")*1, (_xlpm.x="GK")*1, (_xlpm.x="GA")*1)&gt;0, 3, 1))</f>
        <v>1</v>
      </c>
      <c r="Y116" s="25" cm="1">
        <f t="array" ref="Y116">_xlfn.LET(_xlpm.x, M116:M118, IF(SUM((_xlpm.x="K")*1, (_xlpm.x="A")*1, (_xlpm.x="GK")*1, (_xlpm.x="GA")*1)&gt;0, 3, 1))</f>
        <v>3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127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 cm="1">
        <f t="array" ref="W117">_xlfn.LET(_xlpm.x, K117:K119, IF(SUM((_xlpm.x="K")*1, (_xlpm.x="A")*1, (_xlpm.x="GK")*1, (_xlpm.x="GA")*1)&gt;0, 3, 1))</f>
        <v>3</v>
      </c>
      <c r="X117" s="25" cm="1">
        <f t="array" ref="X117">_xlfn.LET(_xlpm.x, L117:L119, IF(SUM((_xlpm.x="K")*1, (_xlpm.x="A")*1, (_xlpm.x="GK")*1, (_xlpm.x="GA")*1)&gt;0, 3, 1))</f>
        <v>1</v>
      </c>
      <c r="Y117" s="25" cm="1">
        <f t="array" ref="Y117">_xlfn.LET(_xlpm.x, M117:M119, IF(SUM((_xlpm.x="K")*1, (_xlpm.x="A")*1, (_xlpm.x="GK")*1, (_xlpm.x="GA")*1)&gt;0, 3, 1))</f>
        <v>3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126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 cm="1">
        <f t="array" ref="W118">_xlfn.LET(_xlpm.x, K118:K120, IF(SUM((_xlpm.x="K")*1, (_xlpm.x="A")*1, (_xlpm.x="GK")*1, (_xlpm.x="GA")*1)&gt;0, 3, 1))</f>
        <v>3</v>
      </c>
      <c r="X118" s="25" cm="1">
        <f t="array" ref="X118">_xlfn.LET(_xlpm.x, L118:L120, IF(SUM((_xlpm.x="K")*1, (_xlpm.x="A")*1, (_xlpm.x="GK")*1, (_xlpm.x="GA")*1)&gt;0, 3, 1))</f>
        <v>1</v>
      </c>
      <c r="Y118" s="25" cm="1">
        <f t="array" ref="Y118">_xlfn.LET(_xlpm.x, M118:M120, IF(SUM((_xlpm.x="K")*1, (_xlpm.x="A")*1, (_xlpm.x="GK")*1, (_xlpm.x="GA")*1)&gt;0, 3, 1))</f>
        <v>3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127</v>
      </c>
      <c r="M119" s="16" t="s">
        <v>112</v>
      </c>
      <c r="N119" s="16" t="s">
        <v>92</v>
      </c>
      <c r="O119" s="16" t="s">
        <v>22</v>
      </c>
      <c r="Q119" s="9">
        <v>8</v>
      </c>
      <c r="R119" s="9">
        <v>15</v>
      </c>
      <c r="S119" s="9">
        <v>17</v>
      </c>
      <c r="T119" s="9">
        <v>16</v>
      </c>
      <c r="U119" s="9">
        <v>3</v>
      </c>
      <c r="W119" s="25" cm="1">
        <f t="array" ref="W119">_xlfn.LET(_xlpm.x, K119:K121, IF(SUM((_xlpm.x="K")*1, (_xlpm.x="A")*1, (_xlpm.x="GK")*1, (_xlpm.x="GA")*1)&gt;0, 3, 1))</f>
        <v>3</v>
      </c>
      <c r="X119" s="25" cm="1">
        <f t="array" ref="X119">_xlfn.LET(_xlpm.x, L119:L121, IF(SUM((_xlpm.x="K")*1, (_xlpm.x="A")*1, (_xlpm.x="GK")*1, (_xlpm.x="GA")*1)&gt;0, 3, 1))</f>
        <v>3</v>
      </c>
      <c r="Y119" s="25" cm="1">
        <f t="array" ref="Y119">_xlfn.LET(_xlpm.x, M119:M121, IF(SUM((_xlpm.x="K")*1, (_xlpm.x="A")*1, (_xlpm.x="GK")*1, (_xlpm.x="GA")*1)&gt;0, 3, 1))</f>
        <v>3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126</v>
      </c>
      <c r="M120" s="16" t="s">
        <v>92</v>
      </c>
      <c r="N120" s="16" t="s">
        <v>126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 cm="1">
        <f t="array" ref="W120">_xlfn.LET(_xlpm.x, K120:K122, IF(SUM((_xlpm.x="K")*1, (_xlpm.x="A")*1, (_xlpm.x="GK")*1, (_xlpm.x="GA")*1)&gt;0, 3, 1))</f>
        <v>3</v>
      </c>
      <c r="X120" s="25" cm="1">
        <f t="array" ref="X120">_xlfn.LET(_xlpm.x, L120:L122, IF(SUM((_xlpm.x="K")*1, (_xlpm.x="A")*1, (_xlpm.x="GK")*1, (_xlpm.x="GA")*1)&gt;0, 3, 1))</f>
        <v>3</v>
      </c>
      <c r="Y120" s="25" cm="1">
        <f t="array" ref="Y120">_xlfn.LET(_xlpm.x, M120:M122, IF(SUM((_xlpm.x="K")*1, (_xlpm.x="A")*1, (_xlpm.x="GK")*1, (_xlpm.x="GA")*1)&gt;0, 3, 1))</f>
        <v>3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127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 cm="1">
        <f t="array" ref="W121">_xlfn.LET(_xlpm.x, K121:K123, IF(SUM((_xlpm.x="K")*1, (_xlpm.x="A")*1, (_xlpm.x="GK")*1, (_xlpm.x="GA")*1)&gt;0, 3, 1))</f>
        <v>3</v>
      </c>
      <c r="X121" s="25" cm="1">
        <f t="array" ref="X121">_xlfn.LET(_xlpm.x, L121:L123, IF(SUM((_xlpm.x="K")*1, (_xlpm.x="A")*1, (_xlpm.x="GK")*1, (_xlpm.x="GA")*1)&gt;0, 3, 1))</f>
        <v>3</v>
      </c>
      <c r="Y121" s="25" cm="1">
        <f t="array" ref="Y121">_xlfn.LET(_xlpm.x, M121:M123, IF(SUM((_xlpm.x="K")*1, (_xlpm.x="A")*1, (_xlpm.x="GK")*1, (_xlpm.x="GA")*1)&gt;0, 3, 1))</f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31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8</v>
      </c>
      <c r="S122" s="9">
        <v>19</v>
      </c>
      <c r="T122" s="9">
        <v>7</v>
      </c>
      <c r="U122" s="9">
        <v>9</v>
      </c>
      <c r="W122" s="25" cm="1">
        <f t="array" ref="W122">_xlfn.LET(_xlpm.x, K122:K124, IF(SUM((_xlpm.x="K")*1, (_xlpm.x="A")*1, (_xlpm.x="GK")*1, (_xlpm.x="GA")*1)&gt;0, 3, 1))</f>
        <v>3</v>
      </c>
      <c r="X122" s="25" cm="1">
        <f t="array" ref="X122">_xlfn.LET(_xlpm.x, L122:L124, IF(SUM((_xlpm.x="K")*1, (_xlpm.x="A")*1, (_xlpm.x="GK")*1, (_xlpm.x="GA")*1)&gt;0, 3, 1))</f>
        <v>3</v>
      </c>
      <c r="Y122" s="25" cm="1">
        <f t="array" ref="Y122">_xlfn.LET(_xlpm.x, M122:M124, IF(SUM((_xlpm.x="K")*1, (_xlpm.x="A")*1, (_xlpm.x="GK")*1, (_xlpm.x="GA")*1)&gt;0, 3, 1))</f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95</v>
      </c>
      <c r="M123" s="16" t="s">
        <v>127</v>
      </c>
      <c r="N123" s="16" t="s">
        <v>37</v>
      </c>
      <c r="O123" s="16" t="s">
        <v>35</v>
      </c>
      <c r="Q123" s="9">
        <v>8</v>
      </c>
      <c r="R123" s="9">
        <v>18</v>
      </c>
      <c r="S123" s="9">
        <v>15</v>
      </c>
      <c r="T123" s="9">
        <v>7</v>
      </c>
      <c r="U123" s="9">
        <v>8</v>
      </c>
      <c r="W123" s="25" cm="1">
        <f t="array" ref="W123">_xlfn.LET(_xlpm.x, K123:K125, IF(SUM((_xlpm.x="K")*1, (_xlpm.x="A")*1, (_xlpm.x="GK")*1, (_xlpm.x="GA")*1)&gt;0, 3, 1))</f>
        <v>3</v>
      </c>
      <c r="X123" s="25" cm="1">
        <f t="array" ref="X123">_xlfn.LET(_xlpm.x, L123:L125, IF(SUM((_xlpm.x="K")*1, (_xlpm.x="A")*1, (_xlpm.x="GK")*1, (_xlpm.x="GA")*1)&gt;0, 3, 1))</f>
        <v>1</v>
      </c>
      <c r="Y123" s="25" cm="1">
        <f t="array" ref="Y123">_xlfn.LET(_xlpm.x, M123:M125, IF(SUM((_xlpm.x="K")*1, (_xlpm.x="A")*1, (_xlpm.x="GK")*1, (_xlpm.x="GA")*1)&gt;0, 3, 1))</f>
        <v>3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 cm="1">
        <f t="array" ref="W124">_xlfn.LET(_xlpm.x, K124:K126, IF(SUM((_xlpm.x="K")*1, (_xlpm.x="A")*1, (_xlpm.x="GK")*1, (_xlpm.x="GA")*1)&gt;0, 3, 1))</f>
        <v>1</v>
      </c>
      <c r="X124" s="25" cm="1">
        <f t="array" ref="X124">_xlfn.LET(_xlpm.x, L124:L126, IF(SUM((_xlpm.x="K")*1, (_xlpm.x="A")*1, (_xlpm.x="GK")*1, (_xlpm.x="GA")*1)&gt;0, 3, 1))</f>
        <v>1</v>
      </c>
      <c r="Y124" s="25" cm="1">
        <f t="array" ref="Y124">_xlfn.LET(_xlpm.x, M124:M126, IF(SUM((_xlpm.x="K")*1, (_xlpm.x="A")*1, (_xlpm.x="GK")*1, (_xlpm.x="GA")*1)&gt;0, 3, 1))</f>
        <v>3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126</v>
      </c>
      <c r="L125" s="16" t="s">
        <v>20</v>
      </c>
      <c r="M125" s="16" t="s">
        <v>112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 cm="1">
        <f t="array" ref="W125">_xlfn.LET(_xlpm.x, K125:K127, IF(SUM((_xlpm.x="K")*1, (_xlpm.x="A")*1, (_xlpm.x="GK")*1, (_xlpm.x="GA")*1)&gt;0, 3, 1))</f>
        <v>1</v>
      </c>
      <c r="X125" s="25" cm="1">
        <f t="array" ref="X125">_xlfn.LET(_xlpm.x, L125:L127, IF(SUM((_xlpm.x="K")*1, (_xlpm.x="A")*1, (_xlpm.x="GK")*1, (_xlpm.x="GA")*1)&gt;0, 3, 1))</f>
        <v>1</v>
      </c>
      <c r="Y125" s="25" cm="1">
        <f t="array" ref="Y125">_xlfn.LET(_xlpm.x, M125:M127, IF(SUM((_xlpm.x="K")*1, (_xlpm.x="A")*1, (_xlpm.x="GK")*1, (_xlpm.x="GA")*1)&gt;0, 3, 1))</f>
        <v>3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 cm="1">
        <f t="array" ref="W126">_xlfn.LET(_xlpm.x, K126:K128, IF(SUM((_xlpm.x="K")*1, (_xlpm.x="A")*1, (_xlpm.x="GK")*1, (_xlpm.x="GA")*1)&gt;0, 3, 1))</f>
        <v>1</v>
      </c>
      <c r="X126" s="25" cm="1">
        <f t="array" ref="X126">_xlfn.LET(_xlpm.x, L126:L128, IF(SUM((_xlpm.x="K")*1, (_xlpm.x="A")*1, (_xlpm.x="GK")*1, (_xlpm.x="GA")*1)&gt;0, 3, 1))</f>
        <v>1</v>
      </c>
      <c r="Y126" s="25" cm="1">
        <f t="array" ref="Y126">_xlfn.LET(_xlpm.x, M126:M128, IF(SUM((_xlpm.x="K")*1, (_xlpm.x="A")*1, (_xlpm.x="GK")*1, (_xlpm.x="GA")*1)&gt;0, 3, 1))</f>
        <v>3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 cm="1">
        <f t="array" ref="W127">_xlfn.LET(_xlpm.x, K127:K129, IF(SUM((_xlpm.x="K")*1, (_xlpm.x="A")*1, (_xlpm.x="GK")*1, (_xlpm.x="GA")*1)&gt;0, 3, 1))</f>
        <v>3</v>
      </c>
      <c r="X127" s="25" cm="1">
        <f t="array" ref="X127">_xlfn.LET(_xlpm.x, L127:L129, IF(SUM((_xlpm.x="K")*1, (_xlpm.x="A")*1, (_xlpm.x="GK")*1, (_xlpm.x="GA")*1)&gt;0, 3, 1))</f>
        <v>1</v>
      </c>
      <c r="Y127" s="25" cm="1">
        <f t="array" ref="Y127">_xlfn.LET(_xlpm.x, M127:M129, IF(SUM((_xlpm.x="K")*1, (_xlpm.x="A")*1, (_xlpm.x="GK")*1, (_xlpm.x="GA")*1)&gt;0, 3, 1))</f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127</v>
      </c>
      <c r="M128" s="16" t="s">
        <v>127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 cm="1">
        <f t="array" ref="W128">_xlfn.LET(_xlpm.x, K128:K130, IF(SUM((_xlpm.x="K")*1, (_xlpm.x="A")*1, (_xlpm.x="GK")*1, (_xlpm.x="GA")*1)&gt;0, 3, 1))</f>
        <v>3</v>
      </c>
      <c r="X128" s="25" cm="1">
        <f t="array" ref="X128">_xlfn.LET(_xlpm.x, L128:L130, IF(SUM((_xlpm.x="K")*1, (_xlpm.x="A")*1, (_xlpm.x="GK")*1, (_xlpm.x="GA")*1)&gt;0, 3, 1))</f>
        <v>1</v>
      </c>
      <c r="Y128" s="25" cm="1">
        <f t="array" ref="Y128">_xlfn.LET(_xlpm.x, M128:M130, IF(SUM((_xlpm.x="K")*1, (_xlpm.x="A")*1, (_xlpm.x="GK")*1, (_xlpm.x="GA")*1)&gt;0, 3, 1))</f>
        <v>3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 cm="1">
        <f t="array" ref="W129">_xlfn.LET(_xlpm.x, K129:K131, IF(SUM((_xlpm.x="K")*1, (_xlpm.x="A")*1, (_xlpm.x="GK")*1, (_xlpm.x="GA")*1)&gt;0, 3, 1))</f>
        <v>3</v>
      </c>
      <c r="X129" s="25" cm="1">
        <f t="array" ref="X129">_xlfn.LET(_xlpm.x, L129:L131, IF(SUM((_xlpm.x="K")*1, (_xlpm.x="A")*1, (_xlpm.x="GK")*1, (_xlpm.x="GA")*1)&gt;0, 3, 1))</f>
        <v>3</v>
      </c>
      <c r="Y129" s="25" cm="1">
        <f t="array" ref="Y129">_xlfn.LET(_xlpm.x, M129:M131, IF(SUM((_xlpm.x="K")*1, (_xlpm.x="A")*1, (_xlpm.x="GK")*1, (_xlpm.x="GA")*1)&gt;0, 3, 1))</f>
        <v>3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126</v>
      </c>
      <c r="L130" s="16" t="s">
        <v>34</v>
      </c>
      <c r="M130" s="16" t="s">
        <v>112</v>
      </c>
      <c r="N130" s="16" t="s">
        <v>126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 cm="1">
        <f t="array" ref="W130">_xlfn.LET(_xlpm.x, K130:K132, IF(SUM((_xlpm.x="K")*1, (_xlpm.x="A")*1, (_xlpm.x="GK")*1, (_xlpm.x="GA")*1)&gt;0, 3, 1))</f>
        <v>3</v>
      </c>
      <c r="X130" s="25" cm="1">
        <f t="array" ref="X130">_xlfn.LET(_xlpm.x, L130:L132, IF(SUM((_xlpm.x="K")*1, (_xlpm.x="A")*1, (_xlpm.x="GK")*1, (_xlpm.x="GA")*1)&gt;0, 3, 1))</f>
        <v>3</v>
      </c>
      <c r="Y130" s="25" cm="1">
        <f t="array" ref="Y130">_xlfn.LET(_xlpm.x, M130:M132, IF(SUM((_xlpm.x="K")*1, (_xlpm.x="A")*1, (_xlpm.x="GK")*1, (_xlpm.x="GA")*1)&gt;0, 3, 1))</f>
        <v>3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112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 cm="1">
        <f t="array" ref="W131">_xlfn.LET(_xlpm.x, K131:K133, IF(SUM((_xlpm.x="K")*1, (_xlpm.x="A")*1, (_xlpm.x="GK")*1, (_xlpm.x="GA")*1)&gt;0, 3, 1))</f>
        <v>3</v>
      </c>
      <c r="X131" s="25" cm="1">
        <f t="array" ref="X131">_xlfn.LET(_xlpm.x, L131:L133, IF(SUM((_xlpm.x="K")*1, (_xlpm.x="A")*1, (_xlpm.x="GK")*1, (_xlpm.x="GA")*1)&gt;0, 3, 1))</f>
        <v>3</v>
      </c>
      <c r="Y131" s="25" cm="1">
        <f t="array" ref="Y131">_xlfn.LET(_xlpm.x, M131:M133, IF(SUM((_xlpm.x="K")*1, (_xlpm.x="A")*1, (_xlpm.x="GK")*1, (_xlpm.x="GA")*1)&gt;0, 3, 1))</f>
        <v>3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20</v>
      </c>
      <c r="M132" s="16" t="s">
        <v>127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 cm="1">
        <f t="array" ref="W132">_xlfn.LET(_xlpm.x, K132:K134, IF(SUM((_xlpm.x="K")*1, (_xlpm.x="A")*1, (_xlpm.x="GK")*1, (_xlpm.x="GA")*1)&gt;0, 3, 1))</f>
        <v>3</v>
      </c>
      <c r="X132" s="25" cm="1">
        <f t="array" ref="X132">_xlfn.LET(_xlpm.x, L132:L134, IF(SUM((_xlpm.x="K")*1, (_xlpm.x="A")*1, (_xlpm.x="GK")*1, (_xlpm.x="GA")*1)&gt;0, 3, 1))</f>
        <v>1</v>
      </c>
      <c r="Y132" s="25" cm="1">
        <f t="array" ref="Y132">_xlfn.LET(_xlpm.x, M132:M134, IF(SUM((_xlpm.x="K")*1, (_xlpm.x="A")*1, (_xlpm.x="GK")*1, (_xlpm.x="GA")*1)&gt;0, 3, 1))</f>
        <v>3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29</v>
      </c>
      <c r="M133" s="16" t="s">
        <v>112</v>
      </c>
      <c r="N133" s="16" t="s">
        <v>89</v>
      </c>
      <c r="O133" s="16" t="s">
        <v>21</v>
      </c>
      <c r="Q133" s="9">
        <v>8</v>
      </c>
      <c r="R133" s="9">
        <v>5</v>
      </c>
      <c r="S133" s="9">
        <v>17</v>
      </c>
      <c r="T133" s="9">
        <v>12</v>
      </c>
      <c r="U133" s="9">
        <v>2</v>
      </c>
      <c r="W133" s="25" cm="1">
        <f t="array" ref="W133">_xlfn.LET(_xlpm.x, K133:K135, IF(SUM((_xlpm.x="K")*1, (_xlpm.x="A")*1, (_xlpm.x="GK")*1, (_xlpm.x="GA")*1)&gt;0, 3, 1))</f>
        <v>3</v>
      </c>
      <c r="X133" s="25" cm="1">
        <f t="array" ref="X133">_xlfn.LET(_xlpm.x, L133:L135, IF(SUM((_xlpm.x="K")*1, (_xlpm.x="A")*1, (_xlpm.x="GK")*1, (_xlpm.x="GA")*1)&gt;0, 3, 1))</f>
        <v>1</v>
      </c>
      <c r="Y133" s="25" cm="1">
        <f t="array" ref="Y133">_xlfn.LET(_xlpm.x, M133:M135, IF(SUM((_xlpm.x="K")*1, (_xlpm.x="A")*1, (_xlpm.x="GK")*1, (_xlpm.x="GA")*1)&gt;0, 3, 1))</f>
        <v>3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126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 cm="1">
        <f t="array" ref="W134">_xlfn.LET(_xlpm.x, K134:K136, IF(SUM((_xlpm.x="K")*1, (_xlpm.x="A")*1, (_xlpm.x="GK")*1, (_xlpm.x="GA")*1)&gt;0, 3, 1))</f>
        <v>3</v>
      </c>
      <c r="X134" s="25" cm="1">
        <f t="array" ref="X134">_xlfn.LET(_xlpm.x, L134:L136, IF(SUM((_xlpm.x="K")*1, (_xlpm.x="A")*1, (_xlpm.x="GK")*1, (_xlpm.x="GA")*1)&gt;0, 3, 1))</f>
        <v>3</v>
      </c>
      <c r="Y134" s="25" cm="1">
        <f t="array" ref="Y134">_xlfn.LET(_xlpm.x, M134:M136, IF(SUM((_xlpm.x="K")*1, (_xlpm.x="A")*1, (_xlpm.x="GK")*1, (_xlpm.x="GA")*1)&gt;0, 3, 1))</f>
        <v>3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126</v>
      </c>
      <c r="M135" s="16" t="s">
        <v>112</v>
      </c>
      <c r="N135" s="16" t="s">
        <v>126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 cm="1">
        <f t="array" ref="W135">_xlfn.LET(_xlpm.x, K135:K137, IF(SUM((_xlpm.x="K")*1, (_xlpm.x="A")*1, (_xlpm.x="GK")*1, (_xlpm.x="GA")*1)&gt;0, 3, 1))</f>
        <v>3</v>
      </c>
      <c r="X135" s="25" cm="1">
        <f t="array" ref="X135">_xlfn.LET(_xlpm.x, L135:L137, IF(SUM((_xlpm.x="K")*1, (_xlpm.x="A")*1, (_xlpm.x="GK")*1, (_xlpm.x="GA")*1)&gt;0, 3, 1))</f>
        <v>3</v>
      </c>
      <c r="Y135" s="25" cm="1">
        <f t="array" ref="Y135">_xlfn.LET(_xlpm.x, M135:M137, IF(SUM((_xlpm.x="K")*1, (_xlpm.x="A")*1, (_xlpm.x="GK")*1, (_xlpm.x="GA")*1)&gt;0, 3, 1))</f>
        <v>3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 cm="1">
        <f t="array" ref="W136">_xlfn.LET(_xlpm.x, K136:K138, IF(SUM((_xlpm.x="K")*1, (_xlpm.x="A")*1, (_xlpm.x="GK")*1, (_xlpm.x="GA")*1)&gt;0, 3, 1))</f>
        <v>3</v>
      </c>
      <c r="X136" s="25" cm="1">
        <f t="array" ref="X136">_xlfn.LET(_xlpm.x, L136:L138, IF(SUM((_xlpm.x="K")*1, (_xlpm.x="A")*1, (_xlpm.x="GK")*1, (_xlpm.x="GA")*1)&gt;0, 3, 1))</f>
        <v>3</v>
      </c>
      <c r="Y136" s="25" cm="1">
        <f t="array" ref="Y136">_xlfn.LET(_xlpm.x, M136:M138, IF(SUM((_xlpm.x="K")*1, (_xlpm.x="A")*1, (_xlpm.x="GK")*1, (_xlpm.x="GA")*1)&gt;0, 3, 1))</f>
        <v>3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112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17</v>
      </c>
      <c r="S137" s="9">
        <v>16</v>
      </c>
      <c r="T137" s="9">
        <v>10</v>
      </c>
      <c r="U137" s="9">
        <v>2</v>
      </c>
      <c r="W137" s="25" cm="1">
        <f t="array" ref="W137">_xlfn.LET(_xlpm.x, K137:K139, IF(SUM((_xlpm.x="K")*1, (_xlpm.x="A")*1, (_xlpm.x="GK")*1, (_xlpm.x="GA")*1)&gt;0, 3, 1))</f>
        <v>3</v>
      </c>
      <c r="X137" s="25" cm="1">
        <f t="array" ref="X137">_xlfn.LET(_xlpm.x, L137:L139, IF(SUM((_xlpm.x="K")*1, (_xlpm.x="A")*1, (_xlpm.x="GK")*1, (_xlpm.x="GA")*1)&gt;0, 3, 1))</f>
        <v>3</v>
      </c>
      <c r="Y137" s="25" cm="1">
        <f t="array" ref="Y137">_xlfn.LET(_xlpm.x, M137:M139, IF(SUM((_xlpm.x="K")*1, (_xlpm.x="A")*1, (_xlpm.x="GK")*1, (_xlpm.x="GA")*1)&gt;0, 3, 1))</f>
        <v>3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127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 cm="1">
        <f t="array" ref="W138">_xlfn.LET(_xlpm.x, K138:K140, IF(SUM((_xlpm.x="K")*1, (_xlpm.x="A")*1, (_xlpm.x="GK")*1, (_xlpm.x="GA")*1)&gt;0, 3, 1))</f>
        <v>3</v>
      </c>
      <c r="X138" s="25" cm="1">
        <f t="array" ref="X138">_xlfn.LET(_xlpm.x, L138:L140, IF(SUM((_xlpm.x="K")*1, (_xlpm.x="A")*1, (_xlpm.x="GK")*1, (_xlpm.x="GA")*1)&gt;0, 3, 1))</f>
        <v>3</v>
      </c>
      <c r="Y138" s="25" cm="1">
        <f t="array" ref="Y138">_xlfn.LET(_xlpm.x, M138:M140, IF(SUM((_xlpm.x="K")*1, (_xlpm.x="A")*1, (_xlpm.x="GK")*1, (_xlpm.x="GA")*1)&gt;0, 3, 1))</f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 cm="1">
        <f t="array" ref="W139">_xlfn.LET(_xlpm.x, K139:K141, IF(SUM((_xlpm.x="K")*1, (_xlpm.x="A")*1, (_xlpm.x="GK")*1, (_xlpm.x="GA")*1)&gt;0, 3, 1))</f>
        <v>3</v>
      </c>
      <c r="X139" s="25" cm="1">
        <f t="array" ref="X139">_xlfn.LET(_xlpm.x, L139:L141, IF(SUM((_xlpm.x="K")*1, (_xlpm.x="A")*1, (_xlpm.x="GK")*1, (_xlpm.x="GA")*1)&gt;0, 3, 1))</f>
        <v>3</v>
      </c>
      <c r="Y139" s="25" cm="1">
        <f t="array" ref="Y139">_xlfn.LET(_xlpm.x, M139:M141, IF(SUM((_xlpm.x="K")*1, (_xlpm.x="A")*1, (_xlpm.x="GK")*1, (_xlpm.x="GA")*1)&gt;0, 3, 1))</f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126</v>
      </c>
      <c r="L140" s="16" t="s">
        <v>93</v>
      </c>
      <c r="M140" s="16" t="s">
        <v>97</v>
      </c>
      <c r="N140" s="16" t="s">
        <v>37</v>
      </c>
      <c r="O140" s="16" t="s">
        <v>126</v>
      </c>
      <c r="Q140" s="9">
        <v>6</v>
      </c>
      <c r="R140" s="9">
        <v>16</v>
      </c>
      <c r="S140" s="9">
        <v>19</v>
      </c>
      <c r="T140" s="9">
        <v>7</v>
      </c>
      <c r="U140" s="9">
        <v>6</v>
      </c>
      <c r="W140" s="25" cm="1">
        <f t="array" ref="W140">_xlfn.LET(_xlpm.x, K140:K142, IF(SUM((_xlpm.x="K")*1, (_xlpm.x="A")*1, (_xlpm.x="GK")*1, (_xlpm.x="GA")*1)&gt;0, 3, 1))</f>
        <v>3</v>
      </c>
      <c r="X140" s="25" cm="1">
        <f t="array" ref="X140">_xlfn.LET(_xlpm.x, L140:L142, IF(SUM((_xlpm.x="K")*1, (_xlpm.x="A")*1, (_xlpm.x="GK")*1, (_xlpm.x="GA")*1)&gt;0, 3, 1))</f>
        <v>3</v>
      </c>
      <c r="Y140" s="25" cm="1">
        <f t="array" ref="Y140">_xlfn.LET(_xlpm.x, M140:M142, IF(SUM((_xlpm.x="K")*1, (_xlpm.x="A")*1, (_xlpm.x="GK")*1, (_xlpm.x="GA")*1)&gt;0, 3, 1))</f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 cm="1">
        <f t="array" ref="W141">_xlfn.LET(_xlpm.x, K141:K143, IF(SUM((_xlpm.x="K")*1, (_xlpm.x="A")*1, (_xlpm.x="GK")*1, (_xlpm.x="GA")*1)&gt;0, 3, 1))</f>
        <v>3</v>
      </c>
      <c r="X141" s="25" cm="1">
        <f t="array" ref="X141">_xlfn.LET(_xlpm.x, L141:L143, IF(SUM((_xlpm.x="K")*1, (_xlpm.x="A")*1, (_xlpm.x="GK")*1, (_xlpm.x="GA")*1)&gt;0, 3, 1))</f>
        <v>3</v>
      </c>
      <c r="Y141" s="25" cm="1">
        <f t="array" ref="Y141">_xlfn.LET(_xlpm.x, M141:M143, IF(SUM((_xlpm.x="K")*1, (_xlpm.x="A")*1, (_xlpm.x="GK")*1, (_xlpm.x="GA")*1)&gt;0, 3, 1))</f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127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 cm="1">
        <f t="array" ref="W142">_xlfn.LET(_xlpm.x, K142:K144, IF(SUM((_xlpm.x="K")*1, (_xlpm.x="A")*1, (_xlpm.x="GK")*1, (_xlpm.x="GA")*1)&gt;0, 3, 1))</f>
        <v>3</v>
      </c>
      <c r="X142" s="25" cm="1">
        <f t="array" ref="X142">_xlfn.LET(_xlpm.x, L142:L144, IF(SUM((_xlpm.x="K")*1, (_xlpm.x="A")*1, (_xlpm.x="GK")*1, (_xlpm.x="GA")*1)&gt;0, 3, 1))</f>
        <v>3</v>
      </c>
      <c r="Y142" s="25" cm="1">
        <f t="array" ref="Y142">_xlfn.LET(_xlpm.x, M142:M144, IF(SUM((_xlpm.x="K")*1, (_xlpm.x="A")*1, (_xlpm.x="GK")*1, (_xlpm.x="GA")*1)&gt;0, 3, 1))</f>
        <v>3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 cm="1">
        <f t="array" ref="W143">_xlfn.LET(_xlpm.x, K143:K145, IF(SUM((_xlpm.x="K")*1, (_xlpm.x="A")*1, (_xlpm.x="GK")*1, (_xlpm.x="GA")*1)&gt;0, 3, 1))</f>
        <v>3</v>
      </c>
      <c r="X143" s="25" cm="1">
        <f t="array" ref="X143">_xlfn.LET(_xlpm.x, L143:L145, IF(SUM((_xlpm.x="K")*1, (_xlpm.x="A")*1, (_xlpm.x="GK")*1, (_xlpm.x="GA")*1)&gt;0, 3, 1))</f>
        <v>3</v>
      </c>
      <c r="Y143" s="25" cm="1">
        <f t="array" ref="Y143">_xlfn.LET(_xlpm.x, M143:M145, IF(SUM((_xlpm.x="K")*1, (_xlpm.x="A")*1, (_xlpm.x="GK")*1, (_xlpm.x="GA")*1)&gt;0, 3, 1))</f>
        <v>3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112</v>
      </c>
      <c r="M144" s="16" t="s">
        <v>112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 cm="1">
        <f t="array" ref="W144">_xlfn.LET(_xlpm.x, K144:K146, IF(SUM((_xlpm.x="K")*1, (_xlpm.x="A")*1, (_xlpm.x="GK")*1, (_xlpm.x="GA")*1)&gt;0, 3, 1))</f>
        <v>3</v>
      </c>
      <c r="X144" s="25" cm="1">
        <f t="array" ref="X144">_xlfn.LET(_xlpm.x, L144:L146, IF(SUM((_xlpm.x="K")*1, (_xlpm.x="A")*1, (_xlpm.x="GK")*1, (_xlpm.x="GA")*1)&gt;0, 3, 1))</f>
        <v>3</v>
      </c>
      <c r="Y144" s="25" cm="1">
        <f t="array" ref="Y144">_xlfn.LET(_xlpm.x, M144:M146, IF(SUM((_xlpm.x="K")*1, (_xlpm.x="A")*1, (_xlpm.x="GK")*1, (_xlpm.x="GA")*1)&gt;0, 3, 1))</f>
        <v>3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32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9</v>
      </c>
      <c r="S145" s="9">
        <v>16</v>
      </c>
      <c r="T145" s="9">
        <v>10</v>
      </c>
      <c r="U145" s="9">
        <v>4</v>
      </c>
      <c r="W145" s="25" cm="1">
        <f t="array" ref="W145">_xlfn.LET(_xlpm.x, K145:K147, IF(SUM((_xlpm.x="K")*1, (_xlpm.x="A")*1, (_xlpm.x="GK")*1, (_xlpm.x="GA")*1)&gt;0, 3, 1))</f>
        <v>3</v>
      </c>
      <c r="X145" s="25" cm="1">
        <f t="array" ref="X145">_xlfn.LET(_xlpm.x, L145:L147, IF(SUM((_xlpm.x="K")*1, (_xlpm.x="A")*1, (_xlpm.x="GK")*1, (_xlpm.x="GA")*1)&gt;0, 3, 1))</f>
        <v>3</v>
      </c>
      <c r="Y145" s="25" cm="1">
        <f t="array" ref="Y145">_xlfn.LET(_xlpm.x, M145:M147, IF(SUM((_xlpm.x="K")*1, (_xlpm.x="A")*1, (_xlpm.x="GK")*1, (_xlpm.x="GA")*1)&gt;0, 3, 1))</f>
        <v>3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127</v>
      </c>
      <c r="N146" s="16" t="s">
        <v>36</v>
      </c>
      <c r="O146" s="16" t="s">
        <v>126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 cm="1">
        <f t="array" ref="W146">_xlfn.LET(_xlpm.x, K146:K148, IF(SUM((_xlpm.x="K")*1, (_xlpm.x="A")*1, (_xlpm.x="GK")*1, (_xlpm.x="GA")*1)&gt;0, 3, 1))</f>
        <v>3</v>
      </c>
      <c r="X146" s="25" cm="1">
        <f t="array" ref="X146">_xlfn.LET(_xlpm.x, L146:L148, IF(SUM((_xlpm.x="K")*1, (_xlpm.x="A")*1, (_xlpm.x="GK")*1, (_xlpm.x="GA")*1)&gt;0, 3, 1))</f>
        <v>3</v>
      </c>
      <c r="Y146" s="25" cm="1">
        <f t="array" ref="Y146">_xlfn.LET(_xlpm.x, M146:M148, IF(SUM((_xlpm.x="K")*1, (_xlpm.x="A")*1, (_xlpm.x="GK")*1, (_xlpm.x="GA")*1)&gt;0, 3, 1))</f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 cm="1">
        <f t="array" ref="W147">_xlfn.LET(_xlpm.x, K147:K149, IF(SUM((_xlpm.x="K")*1, (_xlpm.x="A")*1, (_xlpm.x="GK")*1, (_xlpm.x="GA")*1)&gt;0, 3, 1))</f>
        <v>3</v>
      </c>
      <c r="X147" s="25" cm="1">
        <f t="array" ref="X147">_xlfn.LET(_xlpm.x, L147:L149, IF(SUM((_xlpm.x="K")*1, (_xlpm.x="A")*1, (_xlpm.x="GK")*1, (_xlpm.x="GA")*1)&gt;0, 3, 1))</f>
        <v>1</v>
      </c>
      <c r="Y147" s="25" cm="1">
        <f t="array" ref="Y147">_xlfn.LET(_xlpm.x, M147:M149, IF(SUM((_xlpm.x="K")*1, (_xlpm.x="A")*1, (_xlpm.x="GK")*1, (_xlpm.x="GA")*1)&gt;0, 3, 1))</f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127</v>
      </c>
      <c r="N148" s="16" t="s">
        <v>127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 cm="1">
        <f t="array" ref="W148">_xlfn.LET(_xlpm.x, K148:K150, IF(SUM((_xlpm.x="K")*1, (_xlpm.x="A")*1, (_xlpm.x="GK")*1, (_xlpm.x="GA")*1)&gt;0, 3, 1))</f>
        <v>3</v>
      </c>
      <c r="X148" s="25" cm="1">
        <f t="array" ref="X148">_xlfn.LET(_xlpm.x, L148:L150, IF(SUM((_xlpm.x="K")*1, (_xlpm.x="A")*1, (_xlpm.x="GK")*1, (_xlpm.x="GA")*1)&gt;0, 3, 1))</f>
        <v>3</v>
      </c>
      <c r="Y148" s="25" cm="1">
        <f t="array" ref="Y148">_xlfn.LET(_xlpm.x, M148:M150, IF(SUM((_xlpm.x="K")*1, (_xlpm.x="A")*1, (_xlpm.x="GK")*1, (_xlpm.x="GA")*1)&gt;0, 3, 1))</f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89</v>
      </c>
      <c r="M149" s="16" t="s">
        <v>91</v>
      </c>
      <c r="N149" s="16" t="s">
        <v>112</v>
      </c>
      <c r="O149" s="16" t="s">
        <v>21</v>
      </c>
      <c r="Q149" s="9">
        <v>7</v>
      </c>
      <c r="R149" s="9">
        <v>12</v>
      </c>
      <c r="S149" s="9">
        <v>14</v>
      </c>
      <c r="T149" s="9">
        <v>17</v>
      </c>
      <c r="U149" s="9">
        <v>2</v>
      </c>
      <c r="W149" s="25" cm="1">
        <f t="array" ref="W149">_xlfn.LET(_xlpm.x, K149:K151, IF(SUM((_xlpm.x="K")*1, (_xlpm.x="A")*1, (_xlpm.x="GK")*1, (_xlpm.x="GA")*1)&gt;0, 3, 1))</f>
        <v>3</v>
      </c>
      <c r="X149" s="25" cm="1">
        <f t="array" ref="X149">_xlfn.LET(_xlpm.x, L149:L151, IF(SUM((_xlpm.x="K")*1, (_xlpm.x="A")*1, (_xlpm.x="GK")*1, (_xlpm.x="GA")*1)&gt;0, 3, 1))</f>
        <v>3</v>
      </c>
      <c r="Y149" s="25" cm="1">
        <f t="array" ref="Y149">_xlfn.LET(_xlpm.x, M149:M151, IF(SUM((_xlpm.x="K")*1, (_xlpm.x="A")*1, (_xlpm.x="GK")*1, (_xlpm.x="GA")*1)&gt;0, 3, 1))</f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37</v>
      </c>
      <c r="M150" s="16" t="s">
        <v>127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 cm="1">
        <f t="array" ref="W150">_xlfn.LET(_xlpm.x, K150:K152, IF(SUM((_xlpm.x="K")*1, (_xlpm.x="A")*1, (_xlpm.x="GK")*1, (_xlpm.x="GA")*1)&gt;0, 3, 1))</f>
        <v>3</v>
      </c>
      <c r="X150" s="25" cm="1">
        <f t="array" ref="X150">_xlfn.LET(_xlpm.x, L150:L152, IF(SUM((_xlpm.x="K")*1, (_xlpm.x="A")*1, (_xlpm.x="GK")*1, (_xlpm.x="GA")*1)&gt;0, 3, 1))</f>
        <v>3</v>
      </c>
      <c r="Y150" s="25" cm="1">
        <f t="array" ref="Y150">_xlfn.LET(_xlpm.x, M150:M152, IF(SUM((_xlpm.x="K")*1, (_xlpm.x="A")*1, (_xlpm.x="GK")*1, (_xlpm.x="GA")*1)&gt;0, 3, 1))</f>
        <v>3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 cm="1">
        <f t="array" ref="W151">_xlfn.LET(_xlpm.x, K151:K153, IF(SUM((_xlpm.x="K")*1, (_xlpm.x="A")*1, (_xlpm.x="GK")*1, (_xlpm.x="GA")*1)&gt;0, 3, 1))</f>
        <v>3</v>
      </c>
      <c r="X151" s="25" cm="1">
        <f t="array" ref="X151">_xlfn.LET(_xlpm.x, L151:L153, IF(SUM((_xlpm.x="K")*1, (_xlpm.x="A")*1, (_xlpm.x="GK")*1, (_xlpm.x="GA")*1)&gt;0, 3, 1))</f>
        <v>1</v>
      </c>
      <c r="Y151" s="25" cm="1">
        <f t="array" ref="Y151">_xlfn.LET(_xlpm.x, M151:M153, IF(SUM((_xlpm.x="K")*1, (_xlpm.x="A")*1, (_xlpm.x="GK")*1, (_xlpm.x="GA")*1)&gt;0, 3, 1))</f>
        <v>3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95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18</v>
      </c>
      <c r="S152" s="9">
        <v>16</v>
      </c>
      <c r="T152" s="9">
        <v>10</v>
      </c>
      <c r="U152" s="9">
        <v>4</v>
      </c>
      <c r="W152" s="25" cm="1">
        <f t="array" ref="W152">_xlfn.LET(_xlpm.x, K152:K154, IF(SUM((_xlpm.x="K")*1, (_xlpm.x="A")*1, (_xlpm.x="GK")*1, (_xlpm.x="GA")*1)&gt;0, 3, 1))</f>
        <v>3</v>
      </c>
      <c r="X152" s="25" cm="1">
        <f t="array" ref="X152">_xlfn.LET(_xlpm.x, L152:L154, IF(SUM((_xlpm.x="K")*1, (_xlpm.x="A")*1, (_xlpm.x="GK")*1, (_xlpm.x="GA")*1)&gt;0, 3, 1))</f>
        <v>3</v>
      </c>
      <c r="Y152" s="25" cm="1">
        <f t="array" ref="Y152">_xlfn.LET(_xlpm.x, M152:M154, IF(SUM((_xlpm.x="K")*1, (_xlpm.x="A")*1, (_xlpm.x="GK")*1, (_xlpm.x="GA")*1)&gt;0, 3, 1))</f>
        <v>3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127</v>
      </c>
      <c r="M153" s="16" t="s">
        <v>127</v>
      </c>
      <c r="N153" s="16" t="s">
        <v>37</v>
      </c>
      <c r="O153" s="16" t="s">
        <v>21</v>
      </c>
      <c r="Q153" s="9">
        <v>6</v>
      </c>
      <c r="R153" s="9">
        <v>15</v>
      </c>
      <c r="S153" s="9">
        <v>15</v>
      </c>
      <c r="T153" s="9">
        <v>7</v>
      </c>
      <c r="U153" s="9">
        <v>2</v>
      </c>
      <c r="W153" s="25" cm="1">
        <f t="array" ref="W153">_xlfn.LET(_xlpm.x, K153:K155, IF(SUM((_xlpm.x="K")*1, (_xlpm.x="A")*1, (_xlpm.x="GK")*1, (_xlpm.x="GA")*1)&gt;0, 3, 1))</f>
        <v>3</v>
      </c>
      <c r="X153" s="25" cm="1">
        <f t="array" ref="X153">_xlfn.LET(_xlpm.x, L153:L155, IF(SUM((_xlpm.x="K")*1, (_xlpm.x="A")*1, (_xlpm.x="GK")*1, (_xlpm.x="GA")*1)&gt;0, 3, 1))</f>
        <v>3</v>
      </c>
      <c r="Y153" s="25" cm="1">
        <f t="array" ref="Y153">_xlfn.LET(_xlpm.x, M153:M155, IF(SUM((_xlpm.x="K")*1, (_xlpm.x="A")*1, (_xlpm.x="GK")*1, (_xlpm.x="GA")*1)&gt;0, 3, 1))</f>
        <v>3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23</v>
      </c>
      <c r="M154" s="16" t="s">
        <v>112</v>
      </c>
      <c r="N154" s="16" t="s">
        <v>34</v>
      </c>
      <c r="O154" s="16" t="s">
        <v>22</v>
      </c>
      <c r="Q154" s="9">
        <v>7</v>
      </c>
      <c r="R154" s="9">
        <v>7</v>
      </c>
      <c r="S154" s="9">
        <v>17</v>
      </c>
      <c r="T154" s="9">
        <v>9</v>
      </c>
      <c r="U154" s="9">
        <v>3</v>
      </c>
      <c r="W154" s="25" cm="1">
        <f t="array" ref="W154">_xlfn.LET(_xlpm.x, K154:K156, IF(SUM((_xlpm.x="K")*1, (_xlpm.x="A")*1, (_xlpm.x="GK")*1, (_xlpm.x="GA")*1)&gt;0, 3, 1))</f>
        <v>3</v>
      </c>
      <c r="X154" s="25" cm="1">
        <f t="array" ref="X154">_xlfn.LET(_xlpm.x, L154:L156, IF(SUM((_xlpm.x="K")*1, (_xlpm.x="A")*1, (_xlpm.x="GK")*1, (_xlpm.x="GA")*1)&gt;0, 3, 1))</f>
        <v>3</v>
      </c>
      <c r="Y154" s="25" cm="1">
        <f t="array" ref="Y154">_xlfn.LET(_xlpm.x, M154:M156, IF(SUM((_xlpm.x="K")*1, (_xlpm.x="A")*1, (_xlpm.x="GK")*1, (_xlpm.x="GA")*1)&gt;0, 3, 1))</f>
        <v>3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127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 cm="1">
        <f t="array" ref="W155">_xlfn.LET(_xlpm.x, K155:K157, IF(SUM((_xlpm.x="K")*1, (_xlpm.x="A")*1, (_xlpm.x="GK")*1, (_xlpm.x="GA")*1)&gt;0, 3, 1))</f>
        <v>3</v>
      </c>
      <c r="X155" s="25" cm="1">
        <f t="array" ref="X155">_xlfn.LET(_xlpm.x, L155:L157, IF(SUM((_xlpm.x="K")*1, (_xlpm.x="A")*1, (_xlpm.x="GK")*1, (_xlpm.x="GA")*1)&gt;0, 3, 1))</f>
        <v>3</v>
      </c>
      <c r="Y155" s="25" cm="1">
        <f t="array" ref="Y155">_xlfn.LET(_xlpm.x, M155:M157, IF(SUM((_xlpm.x="K")*1, (_xlpm.x="A")*1, (_xlpm.x="GK")*1, (_xlpm.x="GA")*1)&gt;0, 3, 1))</f>
        <v>3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88</v>
      </c>
      <c r="M156" s="16" t="s">
        <v>112</v>
      </c>
      <c r="N156" s="16" t="s">
        <v>20</v>
      </c>
      <c r="O156" s="16" t="s">
        <v>34</v>
      </c>
      <c r="Q156" s="9">
        <v>7</v>
      </c>
      <c r="R156" s="9">
        <v>11</v>
      </c>
      <c r="S156" s="9">
        <v>17</v>
      </c>
      <c r="T156" s="9">
        <v>1</v>
      </c>
      <c r="U156" s="9">
        <v>9</v>
      </c>
      <c r="W156" s="25" cm="1">
        <f t="array" ref="W156">_xlfn.LET(_xlpm.x, K156:K158, IF(SUM((_xlpm.x="K")*1, (_xlpm.x="A")*1, (_xlpm.x="GK")*1, (_xlpm.x="GA")*1)&gt;0, 3, 1))</f>
        <v>3</v>
      </c>
      <c r="X156" s="25" cm="1">
        <f t="array" ref="X156">_xlfn.LET(_xlpm.x, L156:L158, IF(SUM((_xlpm.x="K")*1, (_xlpm.x="A")*1, (_xlpm.x="GK")*1, (_xlpm.x="GA")*1)&gt;0, 3, 1))</f>
        <v>3</v>
      </c>
      <c r="Y156" s="25" cm="1">
        <f t="array" ref="Y156">_xlfn.LET(_xlpm.x, M156:M158, IF(SUM((_xlpm.x="K")*1, (_xlpm.x="A")*1, (_xlpm.x="GK")*1, (_xlpm.x="GA")*1)&gt;0, 3, 1))</f>
        <v>3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37</v>
      </c>
      <c r="M157" s="16" t="s">
        <v>127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 cm="1">
        <f t="array" ref="W157">_xlfn.LET(_xlpm.x, K157:K159, IF(SUM((_xlpm.x="K")*1, (_xlpm.x="A")*1, (_xlpm.x="GK")*1, (_xlpm.x="GA")*1)&gt;0, 3, 1))</f>
        <v>3</v>
      </c>
      <c r="X157" s="25" cm="1">
        <f t="array" ref="X157">_xlfn.LET(_xlpm.x, L157:L159, IF(SUM((_xlpm.x="K")*1, (_xlpm.x="A")*1, (_xlpm.x="GK")*1, (_xlpm.x="GA")*1)&gt;0, 3, 1))</f>
        <v>3</v>
      </c>
      <c r="Y157" s="25" cm="1">
        <f t="array" ref="Y157">_xlfn.LET(_xlpm.x, M157:M159, IF(SUM((_xlpm.x="K")*1, (_xlpm.x="A")*1, (_xlpm.x="GK")*1, (_xlpm.x="GA")*1)&gt;0, 3, 1))</f>
        <v>3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126</v>
      </c>
      <c r="M158" s="16" t="s">
        <v>92</v>
      </c>
      <c r="N158" s="16" t="s">
        <v>19</v>
      </c>
      <c r="O158" s="16" t="s">
        <v>126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 cm="1">
        <f t="array" ref="W158">_xlfn.LET(_xlpm.x, K158:K160, IF(SUM((_xlpm.x="K")*1, (_xlpm.x="A")*1, (_xlpm.x="GK")*1, (_xlpm.x="GA")*1)&gt;0, 3, 1))</f>
        <v>3</v>
      </c>
      <c r="X158" s="25" cm="1">
        <f t="array" ref="X158">_xlfn.LET(_xlpm.x, L158:L160, IF(SUM((_xlpm.x="K")*1, (_xlpm.x="A")*1, (_xlpm.x="GK")*1, (_xlpm.x="GA")*1)&gt;0, 3, 1))</f>
        <v>3</v>
      </c>
      <c r="Y158" s="25" cm="1">
        <f t="array" ref="Y158">_xlfn.LET(_xlpm.x, M158:M160, IF(SUM((_xlpm.x="K")*1, (_xlpm.x="A")*1, (_xlpm.x="GK")*1, (_xlpm.x="GA")*1)&gt;0, 3, 1))</f>
        <v>3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112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 cm="1">
        <f t="array" ref="W159">_xlfn.LET(_xlpm.x, K159:K161, IF(SUM((_xlpm.x="K")*1, (_xlpm.x="A")*1, (_xlpm.x="GK")*1, (_xlpm.x="GA")*1)&gt;0, 3, 1))</f>
        <v>3</v>
      </c>
      <c r="X159" s="25" cm="1">
        <f t="array" ref="X159">_xlfn.LET(_xlpm.x, L159:L161, IF(SUM((_xlpm.x="K")*1, (_xlpm.x="A")*1, (_xlpm.x="GK")*1, (_xlpm.x="GA")*1)&gt;0, 3, 1))</f>
        <v>3</v>
      </c>
      <c r="Y159" s="25" cm="1">
        <f t="array" ref="Y159">_xlfn.LET(_xlpm.x, M159:M161, IF(SUM((_xlpm.x="K")*1, (_xlpm.x="A")*1, (_xlpm.x="GK")*1, (_xlpm.x="GA")*1)&gt;0, 3, 1))</f>
        <v>3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112</v>
      </c>
      <c r="M160" s="16" t="s">
        <v>92</v>
      </c>
      <c r="N160" s="16" t="s">
        <v>34</v>
      </c>
      <c r="O160" s="16" t="s">
        <v>126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 cm="1">
        <f t="array" ref="W160">_xlfn.LET(_xlpm.x, K160:K162, IF(SUM((_xlpm.x="K")*1, (_xlpm.x="A")*1, (_xlpm.x="GK")*1, (_xlpm.x="GA")*1)&gt;0, 3, 1))</f>
        <v>3</v>
      </c>
      <c r="X160" s="25" cm="1">
        <f t="array" ref="X160">_xlfn.LET(_xlpm.x, L160:L162, IF(SUM((_xlpm.x="K")*1, (_xlpm.x="A")*1, (_xlpm.x="GK")*1, (_xlpm.x="GA")*1)&gt;0, 3, 1))</f>
        <v>3</v>
      </c>
      <c r="Y160" s="25" cm="1">
        <f t="array" ref="Y160">_xlfn.LET(_xlpm.x, M160:M162, IF(SUM((_xlpm.x="K")*1, (_xlpm.x="A")*1, (_xlpm.x="GK")*1, (_xlpm.x="GA")*1)&gt;0, 3, 1))</f>
        <v>3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324</v>
      </c>
      <c r="M161" s="16" t="s">
        <v>112</v>
      </c>
      <c r="N161" s="16" t="s">
        <v>18</v>
      </c>
      <c r="O161" s="16" t="s">
        <v>19</v>
      </c>
      <c r="Q161" s="9">
        <v>8</v>
      </c>
      <c r="R161" s="9">
        <v>6</v>
      </c>
      <c r="S161" s="9">
        <v>17</v>
      </c>
      <c r="T161" s="9">
        <v>4</v>
      </c>
      <c r="U161" s="9">
        <v>5</v>
      </c>
      <c r="W161" s="25" cm="1">
        <f t="array" ref="W161">_xlfn.LET(_xlpm.x, K161:K163, IF(SUM((_xlpm.x="K")*1, (_xlpm.x="A")*1, (_xlpm.x="GK")*1, (_xlpm.x="GA")*1)&gt;0, 3, 1))</f>
        <v>3</v>
      </c>
      <c r="X161" s="25" cm="1">
        <f t="array" ref="X161">_xlfn.LET(_xlpm.x, L161:L163, IF(SUM((_xlpm.x="K")*1, (_xlpm.x="A")*1, (_xlpm.x="GK")*1, (_xlpm.x="GA")*1)&gt;0, 3, 1))</f>
        <v>3</v>
      </c>
      <c r="Y161" s="25" cm="1">
        <f t="array" ref="Y161">_xlfn.LET(_xlpm.x, M161:M163, IF(SUM((_xlpm.x="K")*1, (_xlpm.x="A")*1, (_xlpm.x="GK")*1, (_xlpm.x="GA")*1)&gt;0, 3, 1))</f>
        <v>3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37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7</v>
      </c>
      <c r="S162" s="9">
        <v>16</v>
      </c>
      <c r="T162" s="9">
        <v>12</v>
      </c>
      <c r="U162" s="9">
        <v>5</v>
      </c>
      <c r="W162" s="25" cm="1">
        <f t="array" ref="W162">_xlfn.LET(_xlpm.x, K162:K164, IF(SUM((_xlpm.x="K")*1, (_xlpm.x="A")*1, (_xlpm.x="GK")*1, (_xlpm.x="GA")*1)&gt;0, 3, 1))</f>
        <v>3</v>
      </c>
      <c r="X162" s="25" cm="1">
        <f t="array" ref="X162">_xlfn.LET(_xlpm.x, L162:L164, IF(SUM((_xlpm.x="K")*1, (_xlpm.x="A")*1, (_xlpm.x="GK")*1, (_xlpm.x="GA")*1)&gt;0, 3, 1))</f>
        <v>3</v>
      </c>
      <c r="Y162" s="25" cm="1">
        <f t="array" ref="Y162">_xlfn.LET(_xlpm.x, M162:M164, IF(SUM((_xlpm.x="K")*1, (_xlpm.x="A")*1, (_xlpm.x="GK")*1, (_xlpm.x="GA")*1)&gt;0, 3, 1))</f>
        <v>3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126</v>
      </c>
      <c r="L163" s="16" t="s">
        <v>92</v>
      </c>
      <c r="M163" s="16" t="s">
        <v>112</v>
      </c>
      <c r="N163" s="16" t="s">
        <v>19</v>
      </c>
      <c r="O163" s="16" t="s">
        <v>36</v>
      </c>
      <c r="Q163" s="9">
        <v>6</v>
      </c>
      <c r="R163" s="9">
        <v>16</v>
      </c>
      <c r="S163" s="9">
        <v>17</v>
      </c>
      <c r="T163" s="9">
        <v>5</v>
      </c>
      <c r="U163" s="9">
        <v>10</v>
      </c>
      <c r="W163" s="25" cm="1">
        <f t="array" ref="W163">_xlfn.LET(_xlpm.x, K163:K165, IF(SUM((_xlpm.x="K")*1, (_xlpm.x="A")*1, (_xlpm.x="GK")*1, (_xlpm.x="GA")*1)&gt;0, 3, 1))</f>
        <v>3</v>
      </c>
      <c r="X163" s="25" cm="1">
        <f t="array" ref="X163">_xlfn.LET(_xlpm.x, L163:L165, IF(SUM((_xlpm.x="K")*1, (_xlpm.x="A")*1, (_xlpm.x="GK")*1, (_xlpm.x="GA")*1)&gt;0, 3, 1))</f>
        <v>3</v>
      </c>
      <c r="Y163" s="25" cm="1">
        <f t="array" ref="Y163">_xlfn.LET(_xlpm.x, M163:M165, IF(SUM((_xlpm.x="K")*1, (_xlpm.x="A")*1, (_xlpm.x="GK")*1, (_xlpm.x="GA")*1)&gt;0, 3, 1))</f>
        <v>3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 cm="1">
        <f t="array" ref="W164">_xlfn.LET(_xlpm.x, K164:K166, IF(SUM((_xlpm.x="K")*1, (_xlpm.x="A")*1, (_xlpm.x="GK")*1, (_xlpm.x="GA")*1)&gt;0, 3, 1))</f>
        <v>3</v>
      </c>
      <c r="X164" s="25" cm="1">
        <f t="array" ref="X164">_xlfn.LET(_xlpm.x, L164:L166, IF(SUM((_xlpm.x="K")*1, (_xlpm.x="A")*1, (_xlpm.x="GK")*1, (_xlpm.x="GA")*1)&gt;0, 3, 1))</f>
        <v>3</v>
      </c>
      <c r="Y164" s="25" cm="1">
        <f t="array" ref="Y164">_xlfn.LET(_xlpm.x, M164:M166, IF(SUM((_xlpm.x="K")*1, (_xlpm.x="A")*1, (_xlpm.x="GK")*1, (_xlpm.x="GA")*1)&gt;0, 3, 1))</f>
        <v>3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325</v>
      </c>
      <c r="M165" s="16" t="s">
        <v>112</v>
      </c>
      <c r="N165" s="16" t="s">
        <v>35</v>
      </c>
      <c r="O165" s="16" t="s">
        <v>35</v>
      </c>
      <c r="Q165" s="9">
        <v>8</v>
      </c>
      <c r="R165" s="9">
        <v>11</v>
      </c>
      <c r="S165" s="9">
        <v>17</v>
      </c>
      <c r="T165" s="9">
        <v>8</v>
      </c>
      <c r="U165" s="9">
        <v>8</v>
      </c>
      <c r="W165" s="25" cm="1">
        <f t="array" ref="W165">_xlfn.LET(_xlpm.x, K165:K167, IF(SUM((_xlpm.x="K")*1, (_xlpm.x="A")*1, (_xlpm.x="GK")*1, (_xlpm.x="GA")*1)&gt;0, 3, 1))</f>
        <v>3</v>
      </c>
      <c r="X165" s="25" cm="1">
        <f t="array" ref="X165">_xlfn.LET(_xlpm.x, L165:L167, IF(SUM((_xlpm.x="K")*1, (_xlpm.x="A")*1, (_xlpm.x="GK")*1, (_xlpm.x="GA")*1)&gt;0, 3, 1))</f>
        <v>3</v>
      </c>
      <c r="Y165" s="25" cm="1">
        <f t="array" ref="Y165">_xlfn.LET(_xlpm.x, M165:M167, IF(SUM((_xlpm.x="K")*1, (_xlpm.x="A")*1, (_xlpm.x="GK")*1, (_xlpm.x="GA")*1)&gt;0, 3, 1))</f>
        <v>3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32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 cm="1">
        <f t="array" ref="W166">_xlfn.LET(_xlpm.x, K166:K168, IF(SUM((_xlpm.x="K")*1, (_xlpm.x="A")*1, (_xlpm.x="GK")*1, (_xlpm.x="GA")*1)&gt;0, 3, 1))</f>
        <v>3</v>
      </c>
      <c r="X166" s="25" cm="1">
        <f t="array" ref="X166">_xlfn.LET(_xlpm.x, L166:L168, IF(SUM((_xlpm.x="K")*1, (_xlpm.x="A")*1, (_xlpm.x="GK")*1, (_xlpm.x="GA")*1)&gt;0, 3, 1))</f>
        <v>3</v>
      </c>
      <c r="Y166" s="25" cm="1">
        <f t="array" ref="Y166">_xlfn.LET(_xlpm.x, M166:M168, IF(SUM((_xlpm.x="K")*1, (_xlpm.x="A")*1, (_xlpm.x="GK")*1, (_xlpm.x="GA")*1)&gt;0, 3, 1))</f>
        <v>3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 cm="1">
        <f t="array" ref="W167">_xlfn.LET(_xlpm.x, K167:K169, IF(SUM((_xlpm.x="K")*1, (_xlpm.x="A")*1, (_xlpm.x="GK")*1, (_xlpm.x="GA")*1)&gt;0, 3, 1))</f>
        <v>3</v>
      </c>
      <c r="X167" s="25" cm="1">
        <f t="array" ref="X167">_xlfn.LET(_xlpm.x, L167:L169, IF(SUM((_xlpm.x="K")*1, (_xlpm.x="A")*1, (_xlpm.x="GK")*1, (_xlpm.x="GA")*1)&gt;0, 3, 1))</f>
        <v>3</v>
      </c>
      <c r="Y167" s="25" cm="1">
        <f t="array" ref="Y167">_xlfn.LET(_xlpm.x, M167:M169, IF(SUM((_xlpm.x="K")*1, (_xlpm.x="A")*1, (_xlpm.x="GK")*1, (_xlpm.x="GA")*1)&gt;0, 3, 1))</f>
        <v>3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91</v>
      </c>
      <c r="M168" s="16" t="s">
        <v>112</v>
      </c>
      <c r="N168" s="16" t="s">
        <v>91</v>
      </c>
      <c r="O168" s="16" t="s">
        <v>36</v>
      </c>
      <c r="Q168" s="9">
        <v>5</v>
      </c>
      <c r="R168" s="9">
        <v>14</v>
      </c>
      <c r="S168" s="9">
        <v>17</v>
      </c>
      <c r="T168" s="9">
        <v>14</v>
      </c>
      <c r="U168" s="9">
        <v>10</v>
      </c>
      <c r="W168" s="25" cm="1">
        <f t="array" ref="W168">_xlfn.LET(_xlpm.x, K168:K170, IF(SUM((_xlpm.x="K")*1, (_xlpm.x="A")*1, (_xlpm.x="GK")*1, (_xlpm.x="GA")*1)&gt;0, 3, 1))</f>
        <v>1</v>
      </c>
      <c r="X168" s="25" cm="1">
        <f t="array" ref="X168">_xlfn.LET(_xlpm.x, L168:L170, IF(SUM((_xlpm.x="K")*1, (_xlpm.x="A")*1, (_xlpm.x="GK")*1, (_xlpm.x="GA")*1)&gt;0, 3, 1))</f>
        <v>3</v>
      </c>
      <c r="Y168" s="25" cm="1">
        <f t="array" ref="Y168">_xlfn.LET(_xlpm.x, M168:M170, IF(SUM((_xlpm.x="K")*1, (_xlpm.x="A")*1, (_xlpm.x="GK")*1, (_xlpm.x="GA")*1)&gt;0, 3, 1))</f>
        <v>3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 cm="1">
        <f t="array" ref="W169">_xlfn.LET(_xlpm.x, K169:K171, IF(SUM((_xlpm.x="K")*1, (_xlpm.x="A")*1, (_xlpm.x="GK")*1, (_xlpm.x="GA")*1)&gt;0, 3, 1))</f>
        <v>3</v>
      </c>
      <c r="X169" s="25" cm="1">
        <f t="array" ref="X169">_xlfn.LET(_xlpm.x, L169:L171, IF(SUM((_xlpm.x="K")*1, (_xlpm.x="A")*1, (_xlpm.x="GK")*1, (_xlpm.x="GA")*1)&gt;0, 3, 1))</f>
        <v>3</v>
      </c>
      <c r="Y169" s="25" cm="1">
        <f t="array" ref="Y169">_xlfn.LET(_xlpm.x, M169:M171, IF(SUM((_xlpm.x="K")*1, (_xlpm.x="A")*1, (_xlpm.x="GK")*1, (_xlpm.x="GA")*1)&gt;0, 3, 1))</f>
        <v>3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126</v>
      </c>
      <c r="L170" s="16" t="s">
        <v>112</v>
      </c>
      <c r="M170" s="16" t="s">
        <v>91</v>
      </c>
      <c r="N170" s="16" t="s">
        <v>92</v>
      </c>
      <c r="O170" s="16" t="s">
        <v>126</v>
      </c>
      <c r="Q170" s="9">
        <v>6</v>
      </c>
      <c r="R170" s="9">
        <v>17</v>
      </c>
      <c r="S170" s="9">
        <v>14</v>
      </c>
      <c r="T170" s="9">
        <v>16</v>
      </c>
      <c r="U170" s="9">
        <v>6</v>
      </c>
      <c r="W170" s="25" cm="1">
        <f t="array" ref="W170">_xlfn.LET(_xlpm.x, K170:K172, IF(SUM((_xlpm.x="K")*1, (_xlpm.x="A")*1, (_xlpm.x="GK")*1, (_xlpm.x="GA")*1)&gt;0, 3, 1))</f>
        <v>3</v>
      </c>
      <c r="X170" s="25" cm="1">
        <f t="array" ref="X170">_xlfn.LET(_xlpm.x, L170:L172, IF(SUM((_xlpm.x="K")*1, (_xlpm.x="A")*1, (_xlpm.x="GK")*1, (_xlpm.x="GA")*1)&gt;0, 3, 1))</f>
        <v>3</v>
      </c>
      <c r="Y170" s="25" cm="1">
        <f t="array" ref="Y170">_xlfn.LET(_xlpm.x, M170:M172, IF(SUM((_xlpm.x="K")*1, (_xlpm.x="A")*1, (_xlpm.x="GK")*1, (_xlpm.x="GA")*1)&gt;0, 3, 1))</f>
        <v>3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 cm="1">
        <f t="array" ref="W171">_xlfn.LET(_xlpm.x, K171:K173, IF(SUM((_xlpm.x="K")*1, (_xlpm.x="A")*1, (_xlpm.x="GK")*1, (_xlpm.x="GA")*1)&gt;0, 3, 1))</f>
        <v>3</v>
      </c>
      <c r="X171" s="25" cm="1">
        <f t="array" ref="X171">_xlfn.LET(_xlpm.x, L171:L173, IF(SUM((_xlpm.x="K")*1, (_xlpm.x="A")*1, (_xlpm.x="GK")*1, (_xlpm.x="GA")*1)&gt;0, 3, 1))</f>
        <v>3</v>
      </c>
      <c r="Y171" s="25" cm="1">
        <f t="array" ref="Y171">_xlfn.LET(_xlpm.x, M171:M173, IF(SUM((_xlpm.x="K")*1, (_xlpm.x="A")*1, (_xlpm.x="GK")*1, (_xlpm.x="GA")*1)&gt;0, 3, 1))</f>
        <v>3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126</v>
      </c>
      <c r="L172" s="16" t="s">
        <v>28</v>
      </c>
      <c r="M172" s="16" t="s">
        <v>112</v>
      </c>
      <c r="N172" s="16" t="s">
        <v>21</v>
      </c>
      <c r="O172" s="16" t="s">
        <v>34</v>
      </c>
      <c r="Q172" s="9">
        <v>6</v>
      </c>
      <c r="R172" s="9">
        <v>4</v>
      </c>
      <c r="S172" s="9">
        <v>17</v>
      </c>
      <c r="T172" s="9">
        <v>2</v>
      </c>
      <c r="U172" s="9">
        <v>9</v>
      </c>
      <c r="W172" s="25" cm="1">
        <f t="array" ref="W172">_xlfn.LET(_xlpm.x, K172:K174, IF(SUM((_xlpm.x="K")*1, (_xlpm.x="A")*1, (_xlpm.x="GK")*1, (_xlpm.x="GA")*1)&gt;0, 3, 1))</f>
        <v>3</v>
      </c>
      <c r="X172" s="25" cm="1">
        <f t="array" ref="X172">_xlfn.LET(_xlpm.x, L172:L174, IF(SUM((_xlpm.x="K")*1, (_xlpm.x="A")*1, (_xlpm.x="GK")*1, (_xlpm.x="GA")*1)&gt;0, 3, 1))</f>
        <v>1</v>
      </c>
      <c r="Y172" s="25" cm="1">
        <f t="array" ref="Y172">_xlfn.LET(_xlpm.x, M172:M174, IF(SUM((_xlpm.x="K")*1, (_xlpm.x="A")*1, (_xlpm.x="GK")*1, (_xlpm.x="GA")*1)&gt;0, 3, 1))</f>
        <v>3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126</v>
      </c>
      <c r="M173" s="16" t="s">
        <v>127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 cm="1">
        <f t="array" ref="W173">_xlfn.LET(_xlpm.x, K173:K175, IF(SUM((_xlpm.x="K")*1, (_xlpm.x="A")*1, (_xlpm.x="GK")*1, (_xlpm.x="GA")*1)&gt;0, 3, 1))</f>
        <v>3</v>
      </c>
      <c r="X173" s="25" cm="1">
        <f t="array" ref="X173">_xlfn.LET(_xlpm.x, L173:L175, IF(SUM((_xlpm.x="K")*1, (_xlpm.x="A")*1, (_xlpm.x="GK")*1, (_xlpm.x="GA")*1)&gt;0, 3, 1))</f>
        <v>3</v>
      </c>
      <c r="Y173" s="25" cm="1">
        <f t="array" ref="Y173">_xlfn.LET(_xlpm.x, M173:M175, IF(SUM((_xlpm.x="K")*1, (_xlpm.x="A")*1, (_xlpm.x="GK")*1, (_xlpm.x="GA")*1)&gt;0, 3, 1))</f>
        <v>3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112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 cm="1">
        <f t="array" ref="W174">_xlfn.LET(_xlpm.x, K174:K176, IF(SUM((_xlpm.x="K")*1, (_xlpm.x="A")*1, (_xlpm.x="GK")*1, (_xlpm.x="GA")*1)&gt;0, 3, 1))</f>
        <v>3</v>
      </c>
      <c r="X174" s="25" cm="1">
        <f t="array" ref="X174">_xlfn.LET(_xlpm.x, L174:L176, IF(SUM((_xlpm.x="K")*1, (_xlpm.x="A")*1, (_xlpm.x="GK")*1, (_xlpm.x="GA")*1)&gt;0, 3, 1))</f>
        <v>3</v>
      </c>
      <c r="Y174" s="25" cm="1">
        <f t="array" ref="Y174">_xlfn.LET(_xlpm.x, M174:M176, IF(SUM((_xlpm.x="K")*1, (_xlpm.x="A")*1, (_xlpm.x="GK")*1, (_xlpm.x="GA")*1)&gt;0, 3, 1))</f>
        <v>3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112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 cm="1">
        <f t="array" ref="W175">_xlfn.LET(_xlpm.x, K175:K177, IF(SUM((_xlpm.x="K")*1, (_xlpm.x="A")*1, (_xlpm.x="GK")*1, (_xlpm.x="GA")*1)&gt;0, 3, 1))</f>
        <v>3</v>
      </c>
      <c r="X175" s="25" cm="1">
        <f t="array" ref="X175">_xlfn.LET(_xlpm.x, L175:L177, IF(SUM((_xlpm.x="K")*1, (_xlpm.x="A")*1, (_xlpm.x="GK")*1, (_xlpm.x="GA")*1)&gt;0, 3, 1))</f>
        <v>3</v>
      </c>
      <c r="Y175" s="25" cm="1">
        <f t="array" ref="Y175">_xlfn.LET(_xlpm.x, M175:M177, IF(SUM((_xlpm.x="K")*1, (_xlpm.x="A")*1, (_xlpm.x="GK")*1, (_xlpm.x="GA")*1)&gt;0, 3, 1))</f>
        <v>3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126</v>
      </c>
      <c r="M176" s="16" t="s">
        <v>112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 cm="1">
        <f t="array" ref="W176">_xlfn.LET(_xlpm.x, K176:K178, IF(SUM((_xlpm.x="K")*1, (_xlpm.x="A")*1, (_xlpm.x="GK")*1, (_xlpm.x="GA")*1)&gt;0, 3, 1))</f>
        <v>3</v>
      </c>
      <c r="X176" s="25" cm="1">
        <f t="array" ref="X176">_xlfn.LET(_xlpm.x, L176:L178, IF(SUM((_xlpm.x="K")*1, (_xlpm.x="A")*1, (_xlpm.x="GK")*1, (_xlpm.x="GA")*1)&gt;0, 3, 1))</f>
        <v>1</v>
      </c>
      <c r="Y176" s="25" cm="1">
        <f t="array" ref="Y176">_xlfn.LET(_xlpm.x, M176:M178, IF(SUM((_xlpm.x="K")*1, (_xlpm.x="A")*1, (_xlpm.x="GK")*1, (_xlpm.x="GA")*1)&gt;0, 3, 1))</f>
        <v>3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127</v>
      </c>
      <c r="N177" s="16" t="s">
        <v>22</v>
      </c>
      <c r="O177" s="16" t="s">
        <v>126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 cm="1">
        <f t="array" ref="W177">_xlfn.LET(_xlpm.x, K177:K179, IF(SUM((_xlpm.x="K")*1, (_xlpm.x="A")*1, (_xlpm.x="GK")*1, (_xlpm.x="GA")*1)&gt;0, 3, 1))</f>
        <v>3</v>
      </c>
      <c r="X177" s="25" cm="1">
        <f t="array" ref="X177">_xlfn.LET(_xlpm.x, L177:L179, IF(SUM((_xlpm.x="K")*1, (_xlpm.x="A")*1, (_xlpm.x="GK")*1, (_xlpm.x="GA")*1)&gt;0, 3, 1))</f>
        <v>3</v>
      </c>
      <c r="Y177" s="25" cm="1">
        <f t="array" ref="Y177">_xlfn.LET(_xlpm.x, M177:M179, IF(SUM((_xlpm.x="K")*1, (_xlpm.x="A")*1, (_xlpm.x="GK")*1, (_xlpm.x="GA")*1)&gt;0, 3, 1))</f>
        <v>3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91</v>
      </c>
      <c r="M178" s="16" t="s">
        <v>92</v>
      </c>
      <c r="N178" s="16" t="s">
        <v>34</v>
      </c>
      <c r="O178" s="16" t="s">
        <v>126</v>
      </c>
      <c r="Q178" s="9">
        <v>7</v>
      </c>
      <c r="R178" s="9">
        <v>14</v>
      </c>
      <c r="S178" s="9">
        <v>16</v>
      </c>
      <c r="T178" s="9">
        <v>9</v>
      </c>
      <c r="U178" s="9">
        <v>6</v>
      </c>
      <c r="W178" s="25" cm="1">
        <f t="array" ref="W178">_xlfn.LET(_xlpm.x, K178:K180, IF(SUM((_xlpm.x="K")*1, (_xlpm.x="A")*1, (_xlpm.x="GK")*1, (_xlpm.x="GA")*1)&gt;0, 3, 1))</f>
        <v>3</v>
      </c>
      <c r="X178" s="25" cm="1">
        <f t="array" ref="X178">_xlfn.LET(_xlpm.x, L178:L180, IF(SUM((_xlpm.x="K")*1, (_xlpm.x="A")*1, (_xlpm.x="GK")*1, (_xlpm.x="GA")*1)&gt;0, 3, 1))</f>
        <v>3</v>
      </c>
      <c r="Y178" s="25" cm="1">
        <f t="array" ref="Y178">_xlfn.LET(_xlpm.x, M178:M180, IF(SUM((_xlpm.x="K")*1, (_xlpm.x="A")*1, (_xlpm.x="GK")*1, (_xlpm.x="GA")*1)&gt;0, 3, 1))</f>
        <v>3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126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 cm="1">
        <f t="array" ref="W179">_xlfn.LET(_xlpm.x, K179:K181, IF(SUM((_xlpm.x="K")*1, (_xlpm.x="A")*1, (_xlpm.x="GK")*1, (_xlpm.x="GA")*1)&gt;0, 3, 1))</f>
        <v>1</v>
      </c>
      <c r="X179" s="25" cm="1">
        <f t="array" ref="X179">_xlfn.LET(_xlpm.x, L179:L181, IF(SUM((_xlpm.x="K")*1, (_xlpm.x="A")*1, (_xlpm.x="GK")*1, (_xlpm.x="GA")*1)&gt;0, 3, 1))</f>
        <v>3</v>
      </c>
      <c r="Y179" s="25" cm="1">
        <f t="array" ref="Y179">_xlfn.LET(_xlpm.x, M179:M181, IF(SUM((_xlpm.x="K")*1, (_xlpm.x="A")*1, (_xlpm.x="GK")*1, (_xlpm.x="GA")*1)&gt;0, 3, 1))</f>
        <v>3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126</v>
      </c>
      <c r="L180" s="16" t="s">
        <v>35</v>
      </c>
      <c r="M180" s="16" t="s">
        <v>112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 cm="1">
        <f t="array" ref="W180">_xlfn.LET(_xlpm.x, K180:K182, IF(SUM((_xlpm.x="K")*1, (_xlpm.x="A")*1, (_xlpm.x="GK")*1, (_xlpm.x="GA")*1)&gt;0, 3, 1))</f>
        <v>3</v>
      </c>
      <c r="X180" s="25" cm="1">
        <f t="array" ref="X180">_xlfn.LET(_xlpm.x, L180:L182, IF(SUM((_xlpm.x="K")*1, (_xlpm.x="A")*1, (_xlpm.x="GK")*1, (_xlpm.x="GA")*1)&gt;0, 3, 1))</f>
        <v>3</v>
      </c>
      <c r="Y180" s="25" cm="1">
        <f t="array" ref="Y180">_xlfn.LET(_xlpm.x, M180:M182, IF(SUM((_xlpm.x="K")*1, (_xlpm.x="A")*1, (_xlpm.x="GK")*1, (_xlpm.x="GA")*1)&gt;0, 3, 1))</f>
        <v>3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 cm="1">
        <f t="array" ref="W181">_xlfn.LET(_xlpm.x, K181:K183, IF(SUM((_xlpm.x="K")*1, (_xlpm.x="A")*1, (_xlpm.x="GK")*1, (_xlpm.x="GA")*1)&gt;0, 3, 1))</f>
        <v>3</v>
      </c>
      <c r="X181" s="25" cm="1">
        <f t="array" ref="X181">_xlfn.LET(_xlpm.x, L181:L183, IF(SUM((_xlpm.x="K")*1, (_xlpm.x="A")*1, (_xlpm.x="GK")*1, (_xlpm.x="GA")*1)&gt;0, 3, 1))</f>
        <v>3</v>
      </c>
      <c r="Y181" s="25" cm="1">
        <f t="array" ref="Y181">_xlfn.LET(_xlpm.x, M181:M183, IF(SUM((_xlpm.x="K")*1, (_xlpm.x="A")*1, (_xlpm.x="GK")*1, (_xlpm.x="GA")*1)&gt;0, 3, 1))</f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 cm="1">
        <f t="array" ref="W182">_xlfn.LET(_xlpm.x, K182:K184, IF(SUM((_xlpm.x="K")*1, (_xlpm.x="A")*1, (_xlpm.x="GK")*1, (_xlpm.x="GA")*1)&gt;0, 3, 1))</f>
        <v>3</v>
      </c>
      <c r="X182" s="25" cm="1">
        <f t="array" ref="X182">_xlfn.LET(_xlpm.x, L182:L184, IF(SUM((_xlpm.x="K")*1, (_xlpm.x="A")*1, (_xlpm.x="GK")*1, (_xlpm.x="GA")*1)&gt;0, 3, 1))</f>
        <v>3</v>
      </c>
      <c r="Y182" s="25" cm="1">
        <f t="array" ref="Y182">_xlfn.LET(_xlpm.x, M182:M184, IF(SUM((_xlpm.x="K")*1, (_xlpm.x="A")*1, (_xlpm.x="GK")*1, (_xlpm.x="GA")*1)&gt;0, 3, 1))</f>
        <v>3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126</v>
      </c>
      <c r="L183" s="16" t="s">
        <v>19</v>
      </c>
      <c r="M183" s="16" t="s">
        <v>127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 cm="1">
        <f t="array" ref="W183">_xlfn.LET(_xlpm.x, K183:K185, IF(SUM((_xlpm.x="K")*1, (_xlpm.x="A")*1, (_xlpm.x="GK")*1, (_xlpm.x="GA")*1)&gt;0, 3, 1))</f>
        <v>3</v>
      </c>
      <c r="X183" s="25" cm="1">
        <f t="array" ref="X183">_xlfn.LET(_xlpm.x, L183:L185, IF(SUM((_xlpm.x="K")*1, (_xlpm.x="A")*1, (_xlpm.x="GK")*1, (_xlpm.x="GA")*1)&gt;0, 3, 1))</f>
        <v>3</v>
      </c>
      <c r="Y183" s="25" cm="1">
        <f t="array" ref="Y183">_xlfn.LET(_xlpm.x, M183:M185, IF(SUM((_xlpm.x="K")*1, (_xlpm.x="A")*1, (_xlpm.x="GK")*1, (_xlpm.x="GA")*1)&gt;0, 3, 1))</f>
        <v>3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112</v>
      </c>
      <c r="M184" s="16" t="s">
        <v>112</v>
      </c>
      <c r="N184" s="16" t="s">
        <v>18</v>
      </c>
      <c r="O184" s="16" t="s">
        <v>18</v>
      </c>
      <c r="Q184" s="9">
        <v>7</v>
      </c>
      <c r="R184" s="9">
        <v>17</v>
      </c>
      <c r="S184" s="9">
        <v>17</v>
      </c>
      <c r="T184" s="9">
        <v>4</v>
      </c>
      <c r="U184" s="9">
        <v>4</v>
      </c>
      <c r="W184" s="25" cm="1">
        <f t="array" ref="W184">_xlfn.LET(_xlpm.x, K184:K186, IF(SUM((_xlpm.x="K")*1, (_xlpm.x="A")*1, (_xlpm.x="GK")*1, (_xlpm.x="GA")*1)&gt;0, 3, 1))</f>
        <v>3</v>
      </c>
      <c r="X184" s="25" cm="1">
        <f t="array" ref="X184">_xlfn.LET(_xlpm.x, L184:L186, IF(SUM((_xlpm.x="K")*1, (_xlpm.x="A")*1, (_xlpm.x="GK")*1, (_xlpm.x="GA")*1)&gt;0, 3, 1))</f>
        <v>3</v>
      </c>
      <c r="Y184" s="25" cm="1">
        <f t="array" ref="Y184">_xlfn.LET(_xlpm.x, M184:M186, IF(SUM((_xlpm.x="K")*1, (_xlpm.x="A")*1, (_xlpm.x="GK")*1, (_xlpm.x="GA")*1)&gt;0, 3, 1))</f>
        <v>3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 cm="1">
        <f t="array" ref="W185">_xlfn.LET(_xlpm.x, K185:K187, IF(SUM((_xlpm.x="K")*1, (_xlpm.x="A")*1, (_xlpm.x="GK")*1, (_xlpm.x="GA")*1)&gt;0, 3, 1))</f>
        <v>3</v>
      </c>
      <c r="X185" s="25" cm="1">
        <f t="array" ref="X185">_xlfn.LET(_xlpm.x, L185:L187, IF(SUM((_xlpm.x="K")*1, (_xlpm.x="A")*1, (_xlpm.x="GK")*1, (_xlpm.x="GA")*1)&gt;0, 3, 1))</f>
        <v>1</v>
      </c>
      <c r="Y185" s="25" cm="1">
        <f t="array" ref="Y185">_xlfn.LET(_xlpm.x, M185:M187, IF(SUM((_xlpm.x="K")*1, (_xlpm.x="A")*1, (_xlpm.x="GK")*1, (_xlpm.x="GA")*1)&gt;0, 3, 1))</f>
        <v>3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126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 cm="1">
        <f t="array" ref="W186">_xlfn.LET(_xlpm.x, K186:K188, IF(SUM((_xlpm.x="K")*1, (_xlpm.x="A")*1, (_xlpm.x="GK")*1, (_xlpm.x="GA")*1)&gt;0, 3, 1))</f>
        <v>3</v>
      </c>
      <c r="X186" s="25" cm="1">
        <f t="array" ref="X186">_xlfn.LET(_xlpm.x, L186:L188, IF(SUM((_xlpm.x="K")*1, (_xlpm.x="A")*1, (_xlpm.x="GK")*1, (_xlpm.x="GA")*1)&gt;0, 3, 1))</f>
        <v>1</v>
      </c>
      <c r="Y186" s="25" cm="1">
        <f t="array" ref="Y186">_xlfn.LET(_xlpm.x, M186:M188, IF(SUM((_xlpm.x="K")*1, (_xlpm.x="A")*1, (_xlpm.x="GK")*1, (_xlpm.x="GA")*1)&gt;0, 3, 1))</f>
        <v>3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126</v>
      </c>
      <c r="L187" s="16" t="s">
        <v>21</v>
      </c>
      <c r="M187" s="16" t="s">
        <v>127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 cm="1">
        <f t="array" ref="W187">_xlfn.LET(_xlpm.x, K187:K189, IF(SUM((_xlpm.x="K")*1, (_xlpm.x="A")*1, (_xlpm.x="GK")*1, (_xlpm.x="GA")*1)&gt;0, 3, 1))</f>
        <v>3</v>
      </c>
      <c r="X187" s="25" cm="1">
        <f t="array" ref="X187">_xlfn.LET(_xlpm.x, L187:L189, IF(SUM((_xlpm.x="K")*1, (_xlpm.x="A")*1, (_xlpm.x="GK")*1, (_xlpm.x="GA")*1)&gt;0, 3, 1))</f>
        <v>1</v>
      </c>
      <c r="Y187" s="25" cm="1">
        <f t="array" ref="Y187">_xlfn.LET(_xlpm.x, M187:M189, IF(SUM((_xlpm.x="K")*1, (_xlpm.x="A")*1, (_xlpm.x="GK")*1, (_xlpm.x="GA")*1)&gt;0, 3, 1))</f>
        <v>3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127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15</v>
      </c>
      <c r="S188" s="9">
        <v>16</v>
      </c>
      <c r="T188" s="9">
        <v>4</v>
      </c>
      <c r="U188" s="9">
        <v>10</v>
      </c>
      <c r="W188" s="25" cm="1">
        <f t="array" ref="W188">_xlfn.LET(_xlpm.x, K188:K190, IF(SUM((_xlpm.x="K")*1, (_xlpm.x="A")*1, (_xlpm.x="GK")*1, (_xlpm.x="GA")*1)&gt;0, 3, 1))</f>
        <v>3</v>
      </c>
      <c r="X188" s="25" cm="1">
        <f t="array" ref="X188">_xlfn.LET(_xlpm.x, L188:L190, IF(SUM((_xlpm.x="K")*1, (_xlpm.x="A")*1, (_xlpm.x="GK")*1, (_xlpm.x="GA")*1)&gt;0, 3, 1))</f>
        <v>1</v>
      </c>
      <c r="Y188" s="25" cm="1">
        <f t="array" ref="Y188">_xlfn.LET(_xlpm.x, M188:M190, IF(SUM((_xlpm.x="K")*1, (_xlpm.x="A")*1, (_xlpm.x="GK")*1, (_xlpm.x="GA")*1)&gt;0, 3, 1))</f>
        <v>3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126</v>
      </c>
      <c r="M189" s="16" t="s">
        <v>127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 cm="1">
        <f t="array" ref="W189">_xlfn.LET(_xlpm.x, K189:K191, IF(SUM((_xlpm.x="K")*1, (_xlpm.x="A")*1, (_xlpm.x="GK")*1, (_xlpm.x="GA")*1)&gt;0, 3, 1))</f>
        <v>3</v>
      </c>
      <c r="X189" s="25" cm="1">
        <f t="array" ref="X189">_xlfn.LET(_xlpm.x, L189:L191, IF(SUM((_xlpm.x="K")*1, (_xlpm.x="A")*1, (_xlpm.x="GK")*1, (_xlpm.x="GA")*1)&gt;0, 3, 1))</f>
        <v>3</v>
      </c>
      <c r="Y189" s="25" cm="1">
        <f t="array" ref="Y189">_xlfn.LET(_xlpm.x, M189:M191, IF(SUM((_xlpm.x="K")*1, (_xlpm.x="A")*1, (_xlpm.x="GK")*1, (_xlpm.x="GA")*1)&gt;0, 3, 1))</f>
        <v>3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126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 cm="1">
        <f t="array" ref="W190">_xlfn.LET(_xlpm.x, K190:K192, IF(SUM((_xlpm.x="K")*1, (_xlpm.x="A")*1, (_xlpm.x="GK")*1, (_xlpm.x="GA")*1)&gt;0, 3, 1))</f>
        <v>3</v>
      </c>
      <c r="X190" s="25" cm="1">
        <f t="array" ref="X190">_xlfn.LET(_xlpm.x, L190:L192, IF(SUM((_xlpm.x="K")*1, (_xlpm.x="A")*1, (_xlpm.x="GK")*1, (_xlpm.x="GA")*1)&gt;0, 3, 1))</f>
        <v>3</v>
      </c>
      <c r="Y190" s="25" cm="1">
        <f t="array" ref="Y190">_xlfn.LET(_xlpm.x, M190:M192, IF(SUM((_xlpm.x="K")*1, (_xlpm.x="A")*1, (_xlpm.x="GK")*1, (_xlpm.x="GA")*1)&gt;0, 3, 1))</f>
        <v>3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112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 cm="1">
        <f t="array" ref="W191">_xlfn.LET(_xlpm.x, K191:K193, IF(SUM((_xlpm.x="K")*1, (_xlpm.x="A")*1, (_xlpm.x="GK")*1, (_xlpm.x="GA")*1)&gt;0, 3, 1))</f>
        <v>3</v>
      </c>
      <c r="X191" s="25" cm="1">
        <f t="array" ref="X191">_xlfn.LET(_xlpm.x, L191:L193, IF(SUM((_xlpm.x="K")*1, (_xlpm.x="A")*1, (_xlpm.x="GK")*1, (_xlpm.x="GA")*1)&gt;0, 3, 1))</f>
        <v>3</v>
      </c>
      <c r="Y191" s="25" cm="1">
        <f t="array" ref="Y191">_xlfn.LET(_xlpm.x, M191:M193, IF(SUM((_xlpm.x="K")*1, (_xlpm.x="A")*1, (_xlpm.x="GK")*1, (_xlpm.x="GA")*1)&gt;0, 3, 1))</f>
        <v>3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 cm="1">
        <f t="array" ref="W192">_xlfn.LET(_xlpm.x, K192:K194, IF(SUM((_xlpm.x="K")*1, (_xlpm.x="A")*1, (_xlpm.x="GK")*1, (_xlpm.x="GA")*1)&gt;0, 3, 1))</f>
        <v>3</v>
      </c>
      <c r="X192" s="25" cm="1">
        <f t="array" ref="X192">_xlfn.LET(_xlpm.x, L192:L194, IF(SUM((_xlpm.x="K")*1, (_xlpm.x="A")*1, (_xlpm.x="GK")*1, (_xlpm.x="GA")*1)&gt;0, 3, 1))</f>
        <v>3</v>
      </c>
      <c r="Y192" s="25" cm="1">
        <f t="array" ref="Y192">_xlfn.LET(_xlpm.x, M192:M194, IF(SUM((_xlpm.x="K")*1, (_xlpm.x="A")*1, (_xlpm.x="GK")*1, (_xlpm.x="GA")*1)&gt;0, 3, 1))</f>
        <v>3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31</v>
      </c>
      <c r="M193" s="16" t="s">
        <v>127</v>
      </c>
      <c r="N193" s="16" t="s">
        <v>34</v>
      </c>
      <c r="O193" s="16" t="s">
        <v>18</v>
      </c>
      <c r="Q193" s="9">
        <v>5</v>
      </c>
      <c r="R193" s="9">
        <v>8</v>
      </c>
      <c r="S193" s="9">
        <v>15</v>
      </c>
      <c r="T193" s="9">
        <v>9</v>
      </c>
      <c r="U193" s="9">
        <v>4</v>
      </c>
      <c r="W193" s="25" cm="1">
        <f t="array" ref="W193">_xlfn.LET(_xlpm.x, K193:K195, IF(SUM((_xlpm.x="K")*1, (_xlpm.x="A")*1, (_xlpm.x="GK")*1, (_xlpm.x="GA")*1)&gt;0, 3, 1))</f>
        <v>3</v>
      </c>
      <c r="X193" s="25" cm="1">
        <f t="array" ref="X193">_xlfn.LET(_xlpm.x, L193:L195, IF(SUM((_xlpm.x="K")*1, (_xlpm.x="A")*1, (_xlpm.x="GK")*1, (_xlpm.x="GA")*1)&gt;0, 3, 1))</f>
        <v>3</v>
      </c>
      <c r="Y193" s="25" cm="1">
        <f t="array" ref="Y193">_xlfn.LET(_xlpm.x, M193:M195, IF(SUM((_xlpm.x="K")*1, (_xlpm.x="A")*1, (_xlpm.x="GK")*1, (_xlpm.x="GA")*1)&gt;0, 3, 1))</f>
        <v>3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31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8</v>
      </c>
      <c r="S194" s="9">
        <v>16</v>
      </c>
      <c r="T194" s="9">
        <v>8</v>
      </c>
      <c r="U194" s="9">
        <v>10</v>
      </c>
      <c r="W194" s="25" cm="1">
        <f t="array" ref="W194">_xlfn.LET(_xlpm.x, K194:K196, IF(SUM((_xlpm.x="K")*1, (_xlpm.x="A")*1, (_xlpm.x="GK")*1, (_xlpm.x="GA")*1)&gt;0, 3, 1))</f>
        <v>3</v>
      </c>
      <c r="X194" s="25" cm="1">
        <f t="array" ref="X194">_xlfn.LET(_xlpm.x, L194:L196, IF(SUM((_xlpm.x="K")*1, (_xlpm.x="A")*1, (_xlpm.x="GK")*1, (_xlpm.x="GA")*1)&gt;0, 3, 1))</f>
        <v>3</v>
      </c>
      <c r="Y194" s="25" cm="1">
        <f t="array" ref="Y194">_xlfn.LET(_xlpm.x, M194:M196, IF(SUM((_xlpm.x="K")*1, (_xlpm.x="A")*1, (_xlpm.x="GK")*1, (_xlpm.x="GA")*1)&gt;0, 3, 1))</f>
        <v>3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112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 cm="1">
        <f t="array" ref="W195">_xlfn.LET(_xlpm.x, K195:K197, IF(SUM((_xlpm.x="K")*1, (_xlpm.x="A")*1, (_xlpm.x="GK")*1, (_xlpm.x="GA")*1)&gt;0, 3, 1))</f>
        <v>3</v>
      </c>
      <c r="X195" s="25" cm="1">
        <f t="array" ref="X195">_xlfn.LET(_xlpm.x, L195:L197, IF(SUM((_xlpm.x="K")*1, (_xlpm.x="A")*1, (_xlpm.x="GK")*1, (_xlpm.x="GA")*1)&gt;0, 3, 1))</f>
        <v>3</v>
      </c>
      <c r="Y195" s="25" cm="1">
        <f t="array" ref="Y195">_xlfn.LET(_xlpm.x, M195:M197, IF(SUM((_xlpm.x="K")*1, (_xlpm.x="A")*1, (_xlpm.x="GK")*1, (_xlpm.x="GA")*1)&gt;0, 3, 1))</f>
        <v>3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126</v>
      </c>
      <c r="L196" s="16" t="s">
        <v>89</v>
      </c>
      <c r="M196" s="16" t="s">
        <v>112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 cm="1">
        <f t="array" ref="W196">_xlfn.LET(_xlpm.x, K196:K198, IF(SUM((_xlpm.x="K")*1, (_xlpm.x="A")*1, (_xlpm.x="GK")*1, (_xlpm.x="GA")*1)&gt;0, 3, 1))</f>
        <v>1</v>
      </c>
      <c r="X196" s="25" cm="1">
        <f t="array" ref="X196">_xlfn.LET(_xlpm.x, L196:L198, IF(SUM((_xlpm.x="K")*1, (_xlpm.x="A")*1, (_xlpm.x="GK")*1, (_xlpm.x="GA")*1)&gt;0, 3, 1))</f>
        <v>1</v>
      </c>
      <c r="Y196" s="25" cm="1">
        <f t="array" ref="Y196">_xlfn.LET(_xlpm.x, M196:M198, IF(SUM((_xlpm.x="K")*1, (_xlpm.x="A")*1, (_xlpm.x="GK")*1, (_xlpm.x="GA")*1)&gt;0, 3, 1))</f>
        <v>3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 cm="1">
        <f t="array" ref="W197">_xlfn.LET(_xlpm.x, K197:K199, IF(SUM((_xlpm.x="K")*1, (_xlpm.x="A")*1, (_xlpm.x="GK")*1, (_xlpm.x="GA")*1)&gt;0, 3, 1))</f>
        <v>3</v>
      </c>
      <c r="X197" s="25" cm="1">
        <f t="array" ref="X197">_xlfn.LET(_xlpm.x, L197:L199, IF(SUM((_xlpm.x="K")*1, (_xlpm.x="A")*1, (_xlpm.x="GK")*1, (_xlpm.x="GA")*1)&gt;0, 3, 1))</f>
        <v>1</v>
      </c>
      <c r="Y197" s="25" cm="1">
        <f t="array" ref="Y197">_xlfn.LET(_xlpm.x, M197:M199, IF(SUM((_xlpm.x="K")*1, (_xlpm.x="A")*1, (_xlpm.x="GK")*1, (_xlpm.x="GA")*1)&gt;0, 3, 1))</f>
        <v>3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126</v>
      </c>
      <c r="M198" s="16" t="s">
        <v>127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3, 1))</f>
        <v>3</v>
      </c>
      <c r="X198" s="25" cm="1">
        <f t="array" ref="X198">_xlfn.LET(_xlpm.x, L198:L200, IF(SUM((_xlpm.x="K")*1, (_xlpm.x="A")*1, (_xlpm.x="GK")*1, (_xlpm.x="GA")*1)&gt;0, 3, 1))</f>
        <v>1</v>
      </c>
      <c r="Y198" s="25" cm="1">
        <f t="array" ref="Y198">_xlfn.LET(_xlpm.x, M198:M200, IF(SUM((_xlpm.x="K")*1, (_xlpm.x="A")*1, (_xlpm.x="GK")*1, (_xlpm.x="GA")*1)&gt;0, 3, 1))</f>
        <v>3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91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14</v>
      </c>
      <c r="S199" s="9">
        <v>16</v>
      </c>
      <c r="T199" s="9">
        <v>1</v>
      </c>
      <c r="U199" s="9">
        <v>9</v>
      </c>
      <c r="W199" s="25" cm="1">
        <f t="array" ref="W199">_xlfn.LET(_xlpm.x, K199:K201, IF(SUM((_xlpm.x="K")*1, (_xlpm.x="A")*1, (_xlpm.x="GK")*1, (_xlpm.x="GA")*1)&gt;0, 3, 1))</f>
        <v>3</v>
      </c>
      <c r="X199" s="25" cm="1">
        <f t="array" ref="X199">_xlfn.LET(_xlpm.x, L199:L201, IF(SUM((_xlpm.x="K")*1, (_xlpm.x="A")*1, (_xlpm.x="GK")*1, (_xlpm.x="GA")*1)&gt;0, 3, 1))</f>
        <v>1</v>
      </c>
      <c r="Y199" s="25" cm="1">
        <f t="array" ref="Y199">_xlfn.LET(_xlpm.x, M199:M201, IF(SUM((_xlpm.x="K")*1, (_xlpm.x="A")*1, (_xlpm.x="GK")*1, (_xlpm.x="GA")*1)&gt;0, 3, 1))</f>
        <v>3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127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 cm="1">
        <f t="array" ref="W200">_xlfn.LET(_xlpm.x, K200:K202, IF(SUM((_xlpm.x="K")*1, (_xlpm.x="A")*1, (_xlpm.x="GK")*1, (_xlpm.x="GA")*1)&gt;0, 3, 1))</f>
        <v>3</v>
      </c>
      <c r="X200" s="25" cm="1">
        <f t="array" ref="X200">_xlfn.LET(_xlpm.x, L200:L202, IF(SUM((_xlpm.x="K")*1, (_xlpm.x="A")*1, (_xlpm.x="GK")*1, (_xlpm.x="GA")*1)&gt;0, 3, 1))</f>
        <v>1</v>
      </c>
      <c r="Y200" s="25" cm="1">
        <f t="array" ref="Y200">_xlfn.LET(_xlpm.x, M200:M202, IF(SUM((_xlpm.x="K")*1, (_xlpm.x="A")*1, (_xlpm.x="GK")*1, (_xlpm.x="GA")*1)&gt;0, 3, 1))</f>
        <v>3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 cm="1">
        <f t="array" ref="W201">_xlfn.LET(_xlpm.x, K201:K203, IF(SUM((_xlpm.x="K")*1, (_xlpm.x="A")*1, (_xlpm.x="GK")*1, (_xlpm.x="GA")*1)&gt;0, 3, 1))</f>
        <v>3</v>
      </c>
      <c r="X201" s="25" cm="1">
        <f t="array" ref="X201">_xlfn.LET(_xlpm.x, L201:L203, IF(SUM((_xlpm.x="K")*1, (_xlpm.x="A")*1, (_xlpm.x="GK")*1, (_xlpm.x="GA")*1)&gt;0, 3, 1))</f>
        <v>1</v>
      </c>
      <c r="Y201" s="25" cm="1">
        <f t="array" ref="Y201">_xlfn.LET(_xlpm.x, M201:M203, IF(SUM((_xlpm.x="K")*1, (_xlpm.x="A")*1, (_xlpm.x="GK")*1, (_xlpm.x="GA")*1)&gt;0, 3, 1))</f>
        <v>3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127</v>
      </c>
      <c r="N202" s="16" t="s">
        <v>127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 cm="1">
        <f t="array" ref="W202">_xlfn.LET(_xlpm.x, K202:K204, IF(SUM((_xlpm.x="K")*1, (_xlpm.x="A")*1, (_xlpm.x="GK")*1, (_xlpm.x="GA")*1)&gt;0, 3, 1))</f>
        <v>3</v>
      </c>
      <c r="X202" s="25" cm="1">
        <f t="array" ref="X202">_xlfn.LET(_xlpm.x, L202:L204, IF(SUM((_xlpm.x="K")*1, (_xlpm.x="A")*1, (_xlpm.x="GK")*1, (_xlpm.x="GA")*1)&gt;0, 3, 1))</f>
        <v>1</v>
      </c>
      <c r="Y202" s="25" cm="1">
        <f t="array" ref="Y202">_xlfn.LET(_xlpm.x, M202:M204, IF(SUM((_xlpm.x="K")*1, (_xlpm.x="A")*1, (_xlpm.x="GK")*1, (_xlpm.x="GA")*1)&gt;0, 3, 1))</f>
        <v>3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126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 cm="1">
        <f t="array" ref="W203">_xlfn.LET(_xlpm.x, K203:K205, IF(SUM((_xlpm.x="K")*1, (_xlpm.x="A")*1, (_xlpm.x="GK")*1, (_xlpm.x="GA")*1)&gt;0, 3, 1))</f>
        <v>3</v>
      </c>
      <c r="X203" s="25" cm="1">
        <f t="array" ref="X203">_xlfn.LET(_xlpm.x, L203:L205, IF(SUM((_xlpm.x="K")*1, (_xlpm.x="A")*1, (_xlpm.x="GK")*1, (_xlpm.x="GA")*1)&gt;0, 3, 1))</f>
        <v>1</v>
      </c>
      <c r="Y203" s="25" cm="1">
        <f t="array" ref="Y203">_xlfn.LET(_xlpm.x, M203:M205, IF(SUM((_xlpm.x="K")*1, (_xlpm.x="A")*1, (_xlpm.x="GK")*1, (_xlpm.x="GA")*1)&gt;0, 3, 1))</f>
        <v>3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3" priority="56">
      <formula>_xlfn.LET(_xlpm.x, W4, AND(NOT(_xlfn.ISFORMULA(_xlpm.x)), _xlpm.x&lt;&gt;""))</formula>
    </cfRule>
  </conditionalFormatting>
  <conditionalFormatting sqref="W5:AA203 X4:AA4">
    <cfRule type="expression" dxfId="132" priority="51">
      <formula>_xlfn.LET(_xlpm.x, W4, AND(NOT(_xlfn.ISFORMULA(_xlpm.x)), _xlpm.x&lt;&gt;""))</formula>
    </cfRule>
  </conditionalFormatting>
  <conditionalFormatting sqref="K1:K1048576">
    <cfRule type="cellIs" dxfId="131" priority="35" operator="equal">
      <formula>"C1"</formula>
    </cfRule>
    <cfRule type="cellIs" dxfId="130" priority="36" operator="between">
      <formula>"G1"</formula>
      <formula>"G5"</formula>
    </cfRule>
    <cfRule type="cellIs" dxfId="129" priority="38" operator="between">
      <formula>"M1"</formula>
      <formula>"M5"</formula>
    </cfRule>
  </conditionalFormatting>
  <conditionalFormatting sqref="L1:O1048576">
    <cfRule type="cellIs" dxfId="128" priority="31" operator="equal">
      <formula>"C1"</formula>
    </cfRule>
    <cfRule type="cellIs" dxfId="127" priority="32" operator="between">
      <formula>"G1"</formula>
      <formula>"G5"</formula>
    </cfRule>
    <cfRule type="cellIs" dxfId="126" priority="34" operator="between">
      <formula>"M1"</formula>
      <formula>"M5"</formula>
    </cfRule>
  </conditionalFormatting>
  <conditionalFormatting sqref="C28:G28 D27:G27 C29 C31:G46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{EDA4504F-D820-4308-95F6-297CD50D0C8A}</x14:id>
        </ext>
      </extLst>
    </cfRule>
  </conditionalFormatting>
  <conditionalFormatting sqref="D52:D54">
    <cfRule type="cellIs" dxfId="125" priority="11" operator="equal">
      <formula>"C1"</formula>
    </cfRule>
    <cfRule type="cellIs" dxfId="124" priority="12" operator="between">
      <formula>"G1"</formula>
      <formula>"G4"</formula>
    </cfRule>
    <cfRule type="cellIs" dxfId="123" priority="13" operator="between">
      <formula>"GA"</formula>
      <formula>"GQ"</formula>
    </cfRule>
    <cfRule type="cellIs" dxfId="122" priority="14" operator="between">
      <formula>"M1"</formula>
      <formula>"M4"</formula>
    </cfRule>
  </conditionalFormatting>
  <conditionalFormatting sqref="E52:E54">
    <cfRule type="cellIs" dxfId="121" priority="7" operator="equal">
      <formula>"C1"</formula>
    </cfRule>
    <cfRule type="cellIs" dxfId="120" priority="8" operator="between">
      <formula>"G1"</formula>
      <formula>"G4"</formula>
    </cfRule>
    <cfRule type="cellIs" dxfId="119" priority="9" operator="between">
      <formula>"GA"</formula>
      <formula>"GQ"</formula>
    </cfRule>
    <cfRule type="cellIs" dxfId="118" priority="10" operator="between">
      <formula>"M1"</formula>
      <formula>"M4"</formula>
    </cfRule>
  </conditionalFormatting>
  <conditionalFormatting sqref="F52:F54">
    <cfRule type="cellIs" dxfId="117" priority="3" operator="equal">
      <formula>"C1"</formula>
    </cfRule>
    <cfRule type="cellIs" dxfId="116" priority="4" operator="between">
      <formula>"G1"</formula>
      <formula>"G4"</formula>
    </cfRule>
    <cfRule type="cellIs" dxfId="115" priority="5" operator="between">
      <formula>"GA"</formula>
      <formula>"GQ"</formula>
    </cfRule>
    <cfRule type="cellIs" dxfId="11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{2B6593A0-5BC5-49E4-902A-D44EC86B98D3}</x14:id>
        </ext>
      </extLst>
    </cfRule>
  </conditionalFormatting>
  <conditionalFormatting sqref="W4:AA203">
    <cfRule type="expression" dxfId="11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A4504F-D820-4308-95F6-297CD50D0C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2B6593A0-5BC5-49E4-902A-D44EC86B98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7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33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3, 1))</f>
        <v>1</v>
      </c>
      <c r="X4" s="25" cm="1">
        <f t="array" ref="X4">_xlfn.LET(_xlpm.x, L4:L6, IF(SUM((_xlpm.x="C1")*1)=1, 3, 1))</f>
        <v>1</v>
      </c>
      <c r="Y4" s="25" cm="1">
        <f t="array" ref="Y4">_xlfn.LET(_xlpm.x, M4:M6, IF(SUM((_xlpm.x="C1")*1)=1, 3, 1))</f>
        <v>3</v>
      </c>
      <c r="Z4" s="25" cm="1">
        <f t="array" ref="Z4">_xlfn.LET(_xlpm.x, N4:N6, IF(SUM((_xlpm.x="C1")*1)=1, 3, 1))</f>
        <v>1</v>
      </c>
      <c r="AA4" s="25" cm="1">
        <f t="array" ref="AA4">_xlfn.LET(_xlpm.x, O4:O6, IF(SUM((_xlpm.x="C1")*1)=1, 3, 1))</f>
        <v>3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3, 1))</f>
        <v>1</v>
      </c>
      <c r="X5" s="25" cm="1">
        <f t="array" ref="X5">_xlfn.LET(_xlpm.x, L5:L7, IF(SUM((_xlpm.x="C1")*1)=1, 3, 1))</f>
        <v>1</v>
      </c>
      <c r="Y5" s="25" cm="1">
        <f t="array" ref="Y5">_xlfn.LET(_xlpm.x, M5:M7, IF(SUM((_xlpm.x="C1")*1)=1, 3, 1))</f>
        <v>3</v>
      </c>
      <c r="Z5" s="25" cm="1">
        <f t="array" ref="Z5">_xlfn.LET(_xlpm.x, N5:N7, IF(SUM((_xlpm.x="C1")*1)=1, 3, 1))</f>
        <v>1</v>
      </c>
      <c r="AA5" s="25" cm="1">
        <f t="array" ref="AA5">_xlfn.LET(_xlpm.x, O5:O7, IF(SUM((_xlpm.x="C1")*1)=1, 3, 1))</f>
        <v>3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4</v>
      </c>
      <c r="D6" s="131">
        <f t="shared" si="0"/>
        <v>14</v>
      </c>
      <c r="E6" s="131">
        <f t="shared" si="0"/>
        <v>4</v>
      </c>
      <c r="F6" s="131">
        <f t="shared" si="0"/>
        <v>21</v>
      </c>
      <c r="G6" s="131">
        <f t="shared" si="0"/>
        <v>22</v>
      </c>
      <c r="H6" s="110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3, 1))</f>
        <v>1</v>
      </c>
      <c r="X6" s="25" cm="1">
        <f t="array" ref="X6">_xlfn.LET(_xlpm.x, L6:L8, IF(SUM((_xlpm.x="C1")*1)=1, 3, 1))</f>
        <v>1</v>
      </c>
      <c r="Y6" s="25" cm="1">
        <f t="array" ref="Y6">_xlfn.LET(_xlpm.x, M6:M8, IF(SUM((_xlpm.x="C1")*1)=1, 3, 1))</f>
        <v>3</v>
      </c>
      <c r="Z6" s="25" cm="1">
        <f t="array" ref="Z6">_xlfn.LET(_xlpm.x, N6:N8, IF(SUM((_xlpm.x="C1")*1)=1, 3, 1))</f>
        <v>1</v>
      </c>
      <c r="AA6" s="25" cm="1">
        <f t="array" ref="AA6">_xlfn.LET(_xlpm.x, O6:O8, IF(SUM((_xlpm.x="C1")*1)=1, 3, 1))</f>
        <v>3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4</v>
      </c>
      <c r="D7" s="131">
        <f t="shared" si="0"/>
        <v>13</v>
      </c>
      <c r="E7" s="131">
        <f t="shared" si="0"/>
        <v>4</v>
      </c>
      <c r="F7" s="131">
        <f t="shared" si="0"/>
        <v>20</v>
      </c>
      <c r="G7" s="131">
        <f t="shared" si="0"/>
        <v>22</v>
      </c>
      <c r="H7" s="110">
        <v>3</v>
      </c>
      <c r="I7" s="87"/>
      <c r="J7" s="9">
        <v>3</v>
      </c>
      <c r="K7" s="16" t="s">
        <v>126</v>
      </c>
      <c r="L7" s="26" t="s">
        <v>324</v>
      </c>
      <c r="M7" s="16" t="s">
        <v>35</v>
      </c>
      <c r="N7" s="16" t="s">
        <v>22</v>
      </c>
      <c r="O7" s="16" t="s">
        <v>22</v>
      </c>
      <c r="Q7" s="9">
        <v>6</v>
      </c>
      <c r="R7" s="9">
        <v>6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3, 1))</f>
        <v>1</v>
      </c>
      <c r="X7" s="25" cm="1">
        <f t="array" ref="X7">_xlfn.LET(_xlpm.x, L7:L9, IF(SUM((_xlpm.x="C1")*1)=1, 3, 1))</f>
        <v>1</v>
      </c>
      <c r="Y7" s="25" cm="1">
        <f t="array" ref="Y7">_xlfn.LET(_xlpm.x, M7:M9, IF(SUM((_xlpm.x="C1")*1)=1, 3, 1))</f>
        <v>1</v>
      </c>
      <c r="Z7" s="25" cm="1">
        <f t="array" ref="Z7">_xlfn.LET(_xlpm.x, N7:N9, IF(SUM((_xlpm.x="C1")*1)=1, 3, 1))</f>
        <v>1</v>
      </c>
      <c r="AA7" s="25" cm="1">
        <f t="array" ref="AA7">_xlfn.LET(_xlpm.x, O7:O9, IF(SUM((_xlpm.x="C1")*1)=1, 3, 1))</f>
        <v>1</v>
      </c>
      <c r="AC7" s="136" t="str">
        <v>C1</v>
      </c>
      <c r="AD7" s="136">
        <v>6</v>
      </c>
      <c r="AE7" s="136">
        <v>6</v>
      </c>
      <c r="AF7" s="136">
        <v>6</v>
      </c>
      <c r="AG7" s="136">
        <v>9</v>
      </c>
      <c r="AH7" s="136">
        <v>9</v>
      </c>
      <c r="AI7" s="5"/>
      <c r="AJ7" s="136" t="str">
        <v>C1</v>
      </c>
      <c r="AK7" s="136">
        <v>6</v>
      </c>
      <c r="AL7" s="136">
        <v>6</v>
      </c>
      <c r="AM7" s="136">
        <v>6</v>
      </c>
      <c r="AN7" s="136">
        <v>9</v>
      </c>
      <c r="AO7" s="136">
        <v>9</v>
      </c>
    </row>
    <row r="8" spans="1:41" ht="15.9" customHeight="1">
      <c r="A8" s="131" t="str">
        <v>M3</v>
      </c>
      <c r="B8" s="110" t="str">
        <v>M3</v>
      </c>
      <c r="C8" s="131">
        <f t="shared" si="0"/>
        <v>4</v>
      </c>
      <c r="D8" s="131">
        <f t="shared" si="0"/>
        <v>13</v>
      </c>
      <c r="E8" s="131">
        <f t="shared" si="0"/>
        <v>4</v>
      </c>
      <c r="F8" s="131">
        <f t="shared" si="0"/>
        <v>20</v>
      </c>
      <c r="G8" s="131">
        <f t="shared" si="0"/>
        <v>21</v>
      </c>
      <c r="H8" s="110">
        <v>4</v>
      </c>
      <c r="I8" s="87"/>
      <c r="J8" s="25">
        <v>4</v>
      </c>
      <c r="K8" s="16" t="s">
        <v>35</v>
      </c>
      <c r="L8" s="16" t="s">
        <v>324</v>
      </c>
      <c r="M8" s="16" t="s">
        <v>19</v>
      </c>
      <c r="N8" s="16" t="s">
        <v>90</v>
      </c>
      <c r="O8" s="16" t="s">
        <v>22</v>
      </c>
      <c r="Q8" s="9">
        <v>8</v>
      </c>
      <c r="R8" s="9">
        <v>6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3, 1))</f>
        <v>1</v>
      </c>
      <c r="X8" s="25" cm="1">
        <f t="array" ref="X8">_xlfn.LET(_xlpm.x, L8:L10, IF(SUM((_xlpm.x="C1")*1)=1, 3, 1))</f>
        <v>1</v>
      </c>
      <c r="Y8" s="25" cm="1">
        <f t="array" ref="Y8">_xlfn.LET(_xlpm.x, M8:M10, IF(SUM((_xlpm.x="C1")*1)=1, 3, 1))</f>
        <v>1</v>
      </c>
      <c r="Z8" s="25" cm="1">
        <f t="array" ref="Z8">_xlfn.LET(_xlpm.x, N8:N10, IF(SUM((_xlpm.x="C1")*1)=1, 3, 1))</f>
        <v>1</v>
      </c>
      <c r="AA8" s="25" cm="1">
        <f t="array" ref="AA8">_xlfn.LET(_xlpm.x, O8:O10, IF(SUM((_xlpm.x="C1")*1)=1, 3, 1))</f>
        <v>1</v>
      </c>
      <c r="AC8" s="152" t="str">
        <v>M1</v>
      </c>
      <c r="AD8" s="131">
        <v>4</v>
      </c>
      <c r="AE8" s="131">
        <v>17</v>
      </c>
      <c r="AF8" s="131">
        <v>4</v>
      </c>
      <c r="AG8" s="131">
        <v>21</v>
      </c>
      <c r="AH8" s="131">
        <v>22</v>
      </c>
      <c r="AI8" s="5"/>
      <c r="AJ8" s="152" t="str">
        <v>M1</v>
      </c>
      <c r="AK8" s="131">
        <v>4</v>
      </c>
      <c r="AL8" s="131">
        <v>17</v>
      </c>
      <c r="AM8" s="131">
        <v>4</v>
      </c>
      <c r="AN8" s="131">
        <v>21</v>
      </c>
      <c r="AO8" s="131">
        <v>22</v>
      </c>
    </row>
    <row r="9" spans="1:41" ht="15.9" customHeight="1">
      <c r="A9" s="131" t="str">
        <v>M4</v>
      </c>
      <c r="B9" s="110" t="str">
        <v>M4</v>
      </c>
      <c r="C9" s="131">
        <f t="shared" si="0"/>
        <v>40</v>
      </c>
      <c r="D9" s="131">
        <f t="shared" si="0"/>
        <v>9</v>
      </c>
      <c r="E9" s="131">
        <f t="shared" si="0"/>
        <v>41</v>
      </c>
      <c r="F9" s="131">
        <f t="shared" si="0"/>
        <v>14</v>
      </c>
      <c r="G9" s="131">
        <f t="shared" si="0"/>
        <v>21</v>
      </c>
      <c r="H9" s="110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3, 1))</f>
        <v>1</v>
      </c>
      <c r="X9" s="25" cm="1">
        <f t="array" ref="X9">_xlfn.LET(_xlpm.x, L9:L11, IF(SUM((_xlpm.x="C1")*1)=1, 3, 1))</f>
        <v>1</v>
      </c>
      <c r="Y9" s="25" cm="1">
        <f t="array" ref="Y9">_xlfn.LET(_xlpm.x, M9:M11, IF(SUM((_xlpm.x="C1")*1)=1, 3, 1))</f>
        <v>1</v>
      </c>
      <c r="Z9" s="25" cm="1">
        <f t="array" ref="Z9">_xlfn.LET(_xlpm.x, N9:N11, IF(SUM((_xlpm.x="C1")*1)=1, 3, 1))</f>
        <v>1</v>
      </c>
      <c r="AA9" s="25" cm="1">
        <f t="array" ref="AA9">_xlfn.LET(_xlpm.x, O9:O11, IF(SUM((_xlpm.x="C1")*1)=1, 3, 1))</f>
        <v>1</v>
      </c>
      <c r="AC9" s="152" t="str">
        <v>M2</v>
      </c>
      <c r="AD9" s="131">
        <v>4</v>
      </c>
      <c r="AE9" s="131">
        <v>18</v>
      </c>
      <c r="AF9" s="131">
        <v>4</v>
      </c>
      <c r="AG9" s="131">
        <v>20</v>
      </c>
      <c r="AH9" s="131">
        <v>22</v>
      </c>
      <c r="AI9" s="5"/>
      <c r="AJ9" s="152" t="str">
        <v>M2</v>
      </c>
      <c r="AK9" s="131">
        <v>4</v>
      </c>
      <c r="AL9" s="131">
        <v>18</v>
      </c>
      <c r="AM9" s="131">
        <v>4</v>
      </c>
      <c r="AN9" s="131">
        <v>20</v>
      </c>
      <c r="AO9" s="131">
        <v>22</v>
      </c>
    </row>
    <row r="10" spans="1:41" ht="15.9" customHeight="1">
      <c r="A10" s="131" t="str">
        <v>M5</v>
      </c>
      <c r="B10" s="110" t="str">
        <v>M5</v>
      </c>
      <c r="C10" s="131">
        <f t="shared" si="0"/>
        <v>40</v>
      </c>
      <c r="D10" s="131">
        <f t="shared" si="0"/>
        <v>13</v>
      </c>
      <c r="E10" s="131">
        <f t="shared" si="0"/>
        <v>41</v>
      </c>
      <c r="F10" s="131">
        <f t="shared" si="0"/>
        <v>14</v>
      </c>
      <c r="G10" s="131">
        <f t="shared" si="0"/>
        <v>21</v>
      </c>
      <c r="H10" s="110">
        <v>6</v>
      </c>
      <c r="I10" s="87"/>
      <c r="J10" s="25">
        <v>6</v>
      </c>
      <c r="K10" s="16" t="s">
        <v>126</v>
      </c>
      <c r="L10" s="16" t="s">
        <v>126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3, 1))</f>
        <v>1</v>
      </c>
      <c r="X10" s="25" cm="1">
        <f t="array" ref="X10">_xlfn.LET(_xlpm.x, L10:L12, IF(SUM((_xlpm.x="C1")*1)=1, 3, 1))</f>
        <v>1</v>
      </c>
      <c r="Y10" s="25" cm="1">
        <f t="array" ref="Y10">_xlfn.LET(_xlpm.x, M10:M12, IF(SUM((_xlpm.x="C1")*1)=1, 3, 1))</f>
        <v>1</v>
      </c>
      <c r="Z10" s="25" cm="1">
        <f t="array" ref="Z10">_xlfn.LET(_xlpm.x, N10:N12, IF(SUM((_xlpm.x="C1")*1)=1, 3, 1))</f>
        <v>1</v>
      </c>
      <c r="AA10" s="25" cm="1">
        <f t="array" ref="AA10">_xlfn.LET(_xlpm.x, O10:O12, IF(SUM((_xlpm.x="C1")*1)=1, 3, 1))</f>
        <v>1</v>
      </c>
      <c r="AC10" s="152" t="str">
        <v>M3</v>
      </c>
      <c r="AD10" s="131">
        <v>4</v>
      </c>
      <c r="AE10" s="131">
        <v>18</v>
      </c>
      <c r="AF10" s="131">
        <v>4</v>
      </c>
      <c r="AG10" s="131">
        <v>20</v>
      </c>
      <c r="AH10" s="131">
        <v>21</v>
      </c>
      <c r="AI10" s="5"/>
      <c r="AJ10" s="152" t="str">
        <v>M3</v>
      </c>
      <c r="AK10" s="131">
        <v>4</v>
      </c>
      <c r="AL10" s="131">
        <v>18</v>
      </c>
      <c r="AM10" s="131">
        <v>4</v>
      </c>
      <c r="AN10" s="131">
        <v>20</v>
      </c>
      <c r="AO10" s="131">
        <v>21</v>
      </c>
    </row>
    <row r="11" spans="1:41" ht="15.9" customHeight="1">
      <c r="A11" s="131" t="str">
        <v>A</v>
      </c>
      <c r="B11" s="110" t="str">
        <v>A</v>
      </c>
      <c r="C11" s="131">
        <f t="shared" si="0"/>
        <v>47</v>
      </c>
      <c r="D11" s="131">
        <f t="shared" si="0"/>
        <v>10</v>
      </c>
      <c r="E11" s="131">
        <f t="shared" si="0"/>
        <v>41</v>
      </c>
      <c r="F11" s="131">
        <f t="shared" si="0"/>
        <v>14</v>
      </c>
      <c r="G11" s="131">
        <f t="shared" si="0"/>
        <v>21</v>
      </c>
      <c r="H11" s="110">
        <v>7</v>
      </c>
      <c r="I11" s="87"/>
      <c r="J11" s="9">
        <v>7</v>
      </c>
      <c r="K11" s="16" t="s">
        <v>126</v>
      </c>
      <c r="L11" s="16" t="s">
        <v>126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3, 1))</f>
        <v>1</v>
      </c>
      <c r="X11" s="25" cm="1">
        <f t="array" ref="X11">_xlfn.LET(_xlpm.x, L11:L13, IF(SUM((_xlpm.x="C1")*1)=1, 3, 1))</f>
        <v>3</v>
      </c>
      <c r="Y11" s="25" cm="1">
        <f t="array" ref="Y11">_xlfn.LET(_xlpm.x, M11:M13, IF(SUM((_xlpm.x="C1")*1)=1, 3, 1))</f>
        <v>1</v>
      </c>
      <c r="Z11" s="25" cm="1">
        <f t="array" ref="Z11">_xlfn.LET(_xlpm.x, N11:N13, IF(SUM((_xlpm.x="C1")*1)=1, 3, 1))</f>
        <v>1</v>
      </c>
      <c r="AA11" s="25" cm="1">
        <f t="array" ref="AA11">_xlfn.LET(_xlpm.x, O11:O13, IF(SUM((_xlpm.x="C1")*1)=1, 3, 1))</f>
        <v>1</v>
      </c>
      <c r="AC11" s="152" t="str">
        <v>M4</v>
      </c>
      <c r="AD11" s="131">
        <v>40</v>
      </c>
      <c r="AE11" s="131">
        <v>14</v>
      </c>
      <c r="AF11" s="131">
        <v>41</v>
      </c>
      <c r="AG11" s="131">
        <v>14</v>
      </c>
      <c r="AH11" s="131">
        <v>21</v>
      </c>
      <c r="AI11" s="5"/>
      <c r="AJ11" s="152" t="str">
        <v>M4</v>
      </c>
      <c r="AK11" s="131">
        <v>40</v>
      </c>
      <c r="AL11" s="131">
        <v>14</v>
      </c>
      <c r="AM11" s="131">
        <v>41</v>
      </c>
      <c r="AN11" s="131">
        <v>14</v>
      </c>
      <c r="AO11" s="131">
        <v>21</v>
      </c>
    </row>
    <row r="12" spans="1:41" ht="15.9" customHeight="1">
      <c r="A12" s="131" t="str">
        <v>K</v>
      </c>
      <c r="B12" s="110" t="str">
        <v>K</v>
      </c>
      <c r="C12" s="131">
        <f t="shared" si="0"/>
        <v>47</v>
      </c>
      <c r="D12" s="131">
        <f t="shared" si="0"/>
        <v>10</v>
      </c>
      <c r="E12" s="131">
        <f t="shared" si="0"/>
        <v>41</v>
      </c>
      <c r="F12" s="131">
        <f t="shared" si="0"/>
        <v>14</v>
      </c>
      <c r="G12" s="131">
        <f t="shared" si="0"/>
        <v>21</v>
      </c>
      <c r="H12" s="110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3, 1))</f>
        <v>1</v>
      </c>
      <c r="X12" s="25" cm="1">
        <f t="array" ref="X12">_xlfn.LET(_xlpm.x, L12:L14, IF(SUM((_xlpm.x="C1")*1)=1, 3, 1))</f>
        <v>3</v>
      </c>
      <c r="Y12" s="25" cm="1">
        <f t="array" ref="Y12">_xlfn.LET(_xlpm.x, M12:M14, IF(SUM((_xlpm.x="C1")*1)=1, 3, 1))</f>
        <v>1</v>
      </c>
      <c r="Z12" s="25" cm="1">
        <f t="array" ref="Z12">_xlfn.LET(_xlpm.x, N12:N14, IF(SUM((_xlpm.x="C1")*1)=1, 3, 1))</f>
        <v>1</v>
      </c>
      <c r="AA12" s="25" cm="1">
        <f t="array" ref="AA12">_xlfn.LET(_xlpm.x, O12:O14, IF(SUM((_xlpm.x="C1")*1)=1, 3, 1))</f>
        <v>1</v>
      </c>
      <c r="AC12" s="152" t="str">
        <v>M5</v>
      </c>
      <c r="AD12" s="131">
        <v>40</v>
      </c>
      <c r="AE12" s="131">
        <v>14</v>
      </c>
      <c r="AF12" s="131">
        <v>41</v>
      </c>
      <c r="AG12" s="131">
        <v>14</v>
      </c>
      <c r="AH12" s="131">
        <v>21</v>
      </c>
      <c r="AI12" s="5"/>
      <c r="AJ12" s="152" t="str">
        <v>M5</v>
      </c>
      <c r="AK12" s="131">
        <v>40</v>
      </c>
      <c r="AL12" s="131">
        <v>14</v>
      </c>
      <c r="AM12" s="131">
        <v>41</v>
      </c>
      <c r="AN12" s="131">
        <v>14</v>
      </c>
      <c r="AO12" s="131">
        <v>21</v>
      </c>
    </row>
    <row r="13" spans="1:41" ht="15.9" customHeight="1">
      <c r="A13" s="131" t="str">
        <v>Q</v>
      </c>
      <c r="B13" s="110" t="str">
        <v>Q</v>
      </c>
      <c r="C13" s="131">
        <f t="shared" si="0"/>
        <v>4</v>
      </c>
      <c r="D13" s="131">
        <f t="shared" si="0"/>
        <v>15</v>
      </c>
      <c r="E13" s="131">
        <f t="shared" si="0"/>
        <v>3</v>
      </c>
      <c r="F13" s="131">
        <f t="shared" si="0"/>
        <v>21</v>
      </c>
      <c r="G13" s="131">
        <f t="shared" si="0"/>
        <v>21</v>
      </c>
      <c r="H13" s="110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3, 1))</f>
        <v>1</v>
      </c>
      <c r="X13" s="25" cm="1">
        <f t="array" ref="X13">_xlfn.LET(_xlpm.x, L13:L15, IF(SUM((_xlpm.x="C1")*1)=1, 3, 1))</f>
        <v>3</v>
      </c>
      <c r="Y13" s="25" cm="1">
        <f t="array" ref="Y13">_xlfn.LET(_xlpm.x, M13:M15, IF(SUM((_xlpm.x="C1")*1)=1, 3, 1))</f>
        <v>1</v>
      </c>
      <c r="Z13" s="25" cm="1">
        <f t="array" ref="Z13">_xlfn.LET(_xlpm.x, N13:N15, IF(SUM((_xlpm.x="C1")*1)=1, 3, 1))</f>
        <v>1</v>
      </c>
      <c r="AA13" s="25" cm="1">
        <f t="array" ref="AA13">_xlfn.LET(_xlpm.x, O13:O15, IF(SUM((_xlpm.x="C1")*1)=1, 3, 1))</f>
        <v>1</v>
      </c>
      <c r="AC13" s="152" t="str">
        <v>A</v>
      </c>
      <c r="AD13" s="131">
        <v>47</v>
      </c>
      <c r="AE13" s="131">
        <v>13</v>
      </c>
      <c r="AF13" s="131">
        <v>41</v>
      </c>
      <c r="AG13" s="131">
        <v>14</v>
      </c>
      <c r="AH13" s="131">
        <v>21</v>
      </c>
      <c r="AI13" s="5"/>
      <c r="AJ13" s="152" t="str">
        <v>A</v>
      </c>
      <c r="AK13" s="131">
        <v>47</v>
      </c>
      <c r="AL13" s="131">
        <v>13</v>
      </c>
      <c r="AM13" s="131">
        <v>41</v>
      </c>
      <c r="AN13" s="131">
        <v>14</v>
      </c>
      <c r="AO13" s="131">
        <v>21</v>
      </c>
    </row>
    <row r="14" spans="1:41" ht="15.9" customHeight="1">
      <c r="A14" s="131" t="str">
        <v>J</v>
      </c>
      <c r="B14" s="110" t="str">
        <v>J</v>
      </c>
      <c r="C14" s="131">
        <f t="shared" si="0"/>
        <v>4</v>
      </c>
      <c r="D14" s="131">
        <f t="shared" si="0"/>
        <v>17</v>
      </c>
      <c r="E14" s="131">
        <f t="shared" si="0"/>
        <v>3</v>
      </c>
      <c r="F14" s="131">
        <f t="shared" si="0"/>
        <v>21</v>
      </c>
      <c r="G14" s="131">
        <f t="shared" si="0"/>
        <v>21</v>
      </c>
      <c r="H14" s="110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3, 1))</f>
        <v>1</v>
      </c>
      <c r="X14" s="25" cm="1">
        <f t="array" ref="X14">_xlfn.LET(_xlpm.x, L14:L16, IF(SUM((_xlpm.x="C1")*1)=1, 3, 1))</f>
        <v>1</v>
      </c>
      <c r="Y14" s="25" cm="1">
        <f t="array" ref="Y14">_xlfn.LET(_xlpm.x, M14:M16, IF(SUM((_xlpm.x="C1")*1)=1, 3, 1))</f>
        <v>1</v>
      </c>
      <c r="Z14" s="25" cm="1">
        <f t="array" ref="Z14">_xlfn.LET(_xlpm.x, N14:N16, IF(SUM((_xlpm.x="C1")*1)=1, 3, 1))</f>
        <v>1</v>
      </c>
      <c r="AA14" s="25" cm="1">
        <f t="array" ref="AA14">_xlfn.LET(_xlpm.x, O14:O16, IF(SUM((_xlpm.x="C1")*1)=1, 3, 1))</f>
        <v>1</v>
      </c>
      <c r="AC14" s="152" t="str">
        <v>K</v>
      </c>
      <c r="AD14" s="131">
        <v>47</v>
      </c>
      <c r="AE14" s="131">
        <v>13</v>
      </c>
      <c r="AF14" s="131">
        <v>41</v>
      </c>
      <c r="AG14" s="131">
        <v>14</v>
      </c>
      <c r="AH14" s="131">
        <v>21</v>
      </c>
      <c r="AI14" s="5"/>
      <c r="AJ14" s="152" t="str">
        <v>K</v>
      </c>
      <c r="AK14" s="131">
        <v>47</v>
      </c>
      <c r="AL14" s="131">
        <v>13</v>
      </c>
      <c r="AM14" s="131">
        <v>41</v>
      </c>
      <c r="AN14" s="131">
        <v>14</v>
      </c>
      <c r="AO14" s="131">
        <v>21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10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97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3, 1))</f>
        <v>1</v>
      </c>
      <c r="X15" s="25" cm="1">
        <f t="array" ref="X15">_xlfn.LET(_xlpm.x, L15:L17, IF(SUM((_xlpm.x="C1")*1)=1, 3, 1))</f>
        <v>1</v>
      </c>
      <c r="Y15" s="25" cm="1">
        <f t="array" ref="Y15">_xlfn.LET(_xlpm.x, M15:M17, IF(SUM((_xlpm.x="C1")*1)=1, 3, 1))</f>
        <v>1</v>
      </c>
      <c r="Z15" s="25" cm="1">
        <f t="array" ref="Z15">_xlfn.LET(_xlpm.x, N15:N17, IF(SUM((_xlpm.x="C1")*1)=1, 3, 1))</f>
        <v>1</v>
      </c>
      <c r="AA15" s="25" cm="1">
        <f t="array" ref="AA15">_xlfn.LET(_xlpm.x, O15:O17, IF(SUM((_xlpm.x="C1")*1)=1, 3, 1))</f>
        <v>1</v>
      </c>
      <c r="AC15" s="152" t="str">
        <v>Q</v>
      </c>
      <c r="AD15" s="131">
        <v>4</v>
      </c>
      <c r="AE15" s="131">
        <v>17</v>
      </c>
      <c r="AF15" s="131">
        <v>3</v>
      </c>
      <c r="AG15" s="131">
        <v>21</v>
      </c>
      <c r="AH15" s="131">
        <v>21</v>
      </c>
      <c r="AI15" s="5"/>
      <c r="AJ15" s="152" t="str">
        <v>Q</v>
      </c>
      <c r="AK15" s="131">
        <v>4</v>
      </c>
      <c r="AL15" s="131">
        <v>17</v>
      </c>
      <c r="AM15" s="131">
        <v>3</v>
      </c>
      <c r="AN15" s="131">
        <v>21</v>
      </c>
      <c r="AO15" s="131">
        <v>21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12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3, 1))</f>
        <v>1</v>
      </c>
      <c r="X16" s="25" cm="1">
        <f t="array" ref="X16">_xlfn.LET(_xlpm.x, L16:L18, IF(SUM((_xlpm.x="C1")*1)=1, 3, 1))</f>
        <v>1</v>
      </c>
      <c r="Y16" s="25" cm="1">
        <f t="array" ref="Y16">_xlfn.LET(_xlpm.x, M16:M18, IF(SUM((_xlpm.x="C1")*1)=1, 3, 1))</f>
        <v>1</v>
      </c>
      <c r="Z16" s="25" cm="1">
        <f t="array" ref="Z16">_xlfn.LET(_xlpm.x, N16:N18, IF(SUM((_xlpm.x="C1")*1)=1, 3, 1))</f>
        <v>1</v>
      </c>
      <c r="AA16" s="25" cm="1">
        <f t="array" ref="AA16">_xlfn.LET(_xlpm.x, O16:O18, IF(SUM((_xlpm.x="C1")*1)=1, 3, 1))</f>
        <v>1</v>
      </c>
      <c r="AC16" s="152" t="str">
        <v>J</v>
      </c>
      <c r="AD16" s="131">
        <v>4</v>
      </c>
      <c r="AE16" s="131">
        <v>17</v>
      </c>
      <c r="AF16" s="131">
        <v>3</v>
      </c>
      <c r="AG16" s="131">
        <v>21</v>
      </c>
      <c r="AH16" s="131">
        <v>21</v>
      </c>
      <c r="AI16" s="5"/>
      <c r="AJ16" s="152" t="str">
        <v>J</v>
      </c>
      <c r="AK16" s="131">
        <v>4</v>
      </c>
      <c r="AL16" s="131">
        <v>17</v>
      </c>
      <c r="AM16" s="131">
        <v>3</v>
      </c>
      <c r="AN16" s="131">
        <v>21</v>
      </c>
      <c r="AO16" s="131">
        <v>21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12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3, 1))</f>
        <v>1</v>
      </c>
      <c r="X17" s="25" cm="1">
        <f t="array" ref="X17">_xlfn.LET(_xlpm.x, L17:L19, IF(SUM((_xlpm.x="C1")*1)=1, 3, 1))</f>
        <v>1</v>
      </c>
      <c r="Y17" s="25" cm="1">
        <f t="array" ref="Y17">_xlfn.LET(_xlpm.x, M17:M19, IF(SUM((_xlpm.x="C1")*1)=1, 3, 1))</f>
        <v>1</v>
      </c>
      <c r="Z17" s="25" cm="1">
        <f t="array" ref="Z17">_xlfn.LET(_xlpm.x, N17:N19, IF(SUM((_xlpm.x="C1")*1)=1, 3, 1))</f>
        <v>1</v>
      </c>
      <c r="AA17" s="25" cm="1">
        <f t="array" ref="AA17">_xlfn.LET(_xlpm.x, O17:O19, IF(SUM((_xlpm.x="C1")*1)=1, 3, 1))</f>
        <v>1</v>
      </c>
      <c r="AC17" s="136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6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9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3, 1))</f>
        <v>1</v>
      </c>
      <c r="X18" s="25" cm="1">
        <f t="array" ref="X18">_xlfn.LET(_xlpm.x, L18:L20, IF(SUM((_xlpm.x="C1")*1)=1, 3, 1))</f>
        <v>1</v>
      </c>
      <c r="Y18" s="25" cm="1">
        <f t="array" ref="Y18">_xlfn.LET(_xlpm.x, M18:M20, IF(SUM((_xlpm.x="C1")*1)=1, 3, 1))</f>
        <v>1</v>
      </c>
      <c r="Z18" s="25" cm="1">
        <f t="array" ref="Z18">_xlfn.LET(_xlpm.x, N18:N20, IF(SUM((_xlpm.x="C1")*1)=1, 3, 1))</f>
        <v>1</v>
      </c>
      <c r="AA18" s="25" cm="1">
        <f t="array" ref="AA18">_xlfn.LET(_xlpm.x, O18:O20, IF(SUM((_xlpm.x="C1")*1)=1, 3, 1))</f>
        <v>1</v>
      </c>
      <c r="AC18" s="136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6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3, 1))</f>
        <v>1</v>
      </c>
      <c r="X19" s="25" cm="1">
        <f t="array" ref="X19">_xlfn.LET(_xlpm.x, L19:L21, IF(SUM((_xlpm.x="C1")*1)=1, 3, 1))</f>
        <v>1</v>
      </c>
      <c r="Y19" s="25" cm="1">
        <f t="array" ref="Y19">_xlfn.LET(_xlpm.x, M19:M21, IF(SUM((_xlpm.x="C1")*1)=1, 3, 1))</f>
        <v>1</v>
      </c>
      <c r="Z19" s="25" cm="1">
        <f t="array" ref="Z19">_xlfn.LET(_xlpm.x, N19:N21, IF(SUM((_xlpm.x="C1")*1)=1, 3, 1))</f>
        <v>1</v>
      </c>
      <c r="AA19" s="25" cm="1">
        <f t="array" ref="AA19">_xlfn.LET(_xlpm.x, O19:O21, IF(SUM((_xlpm.x="C1")*1)=1, 3, 1))</f>
        <v>1</v>
      </c>
      <c r="AC19" s="136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6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3, 1))</f>
        <v>1</v>
      </c>
      <c r="X20" s="25" cm="1">
        <f t="array" ref="X20">_xlfn.LET(_xlpm.x, L20:L22, IF(SUM((_xlpm.x="C1")*1)=1, 3, 1))</f>
        <v>1</v>
      </c>
      <c r="Y20" s="25" cm="1">
        <f t="array" ref="Y20">_xlfn.LET(_xlpm.x, M20:M22, IF(SUM((_xlpm.x="C1")*1)=1, 3, 1))</f>
        <v>1</v>
      </c>
      <c r="Z20" s="25" cm="1">
        <f t="array" ref="Z20">_xlfn.LET(_xlpm.x, N20:N22, IF(SUM((_xlpm.x="C1")*1)=1, 3, 1))</f>
        <v>1</v>
      </c>
      <c r="AA20" s="25" cm="1">
        <f t="array" ref="AA20">_xlfn.LET(_xlpm.x, O20:O22, IF(SUM((_xlpm.x="C1")*1)=1, 3, 1))</f>
        <v>1</v>
      </c>
      <c r="AC20" s="136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6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127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15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3, 1))</f>
        <v>1</v>
      </c>
      <c r="X21" s="25" cm="1">
        <f t="array" ref="X21">_xlfn.LET(_xlpm.x, L21:L23, IF(SUM((_xlpm.x="C1")*1)=1, 3, 1))</f>
        <v>1</v>
      </c>
      <c r="Y21" s="25" cm="1">
        <f t="array" ref="Y21">_xlfn.LET(_xlpm.x, M21:M23, IF(SUM((_xlpm.x="C1")*1)=1, 3, 1))</f>
        <v>1</v>
      </c>
      <c r="Z21" s="25" cm="1">
        <f t="array" ref="Z21">_xlfn.LET(_xlpm.x, N21:N23, IF(SUM((_xlpm.x="C1")*1)=1, 3, 1))</f>
        <v>1</v>
      </c>
      <c r="AA21" s="25" cm="1">
        <f t="array" ref="AA21">_xlfn.LET(_xlpm.x, O21:O23, IF(SUM((_xlpm.x="C1")*1)=1, 3, 1))</f>
        <v>1</v>
      </c>
      <c r="AC21" s="136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6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10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3, 1))</f>
        <v>1</v>
      </c>
      <c r="X22" s="25" cm="1">
        <f t="array" ref="X22">_xlfn.LET(_xlpm.x, L22:L24, IF(SUM((_xlpm.x="C1")*1)=1, 3, 1))</f>
        <v>1</v>
      </c>
      <c r="Y22" s="25" cm="1">
        <f t="array" ref="Y22">_xlfn.LET(_xlpm.x, M22:M24, IF(SUM((_xlpm.x="C1")*1)=1, 3, 1))</f>
        <v>1</v>
      </c>
      <c r="Z22" s="25" cm="1">
        <f t="array" ref="Z22">_xlfn.LET(_xlpm.x, N22:N24, IF(SUM((_xlpm.x="C1")*1)=1, 3, 1))</f>
        <v>1</v>
      </c>
      <c r="AA22" s="25" cm="1">
        <f t="array" ref="AA22">_xlfn.LET(_xlpm.x, O22:O24, IF(SUM((_xlpm.x="C1")*1)=1, 3, 1))</f>
        <v>1</v>
      </c>
      <c r="AC22" s="136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6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8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3, 1))</f>
        <v>1</v>
      </c>
      <c r="X23" s="25" cm="1">
        <f t="array" ref="X23">_xlfn.LET(_xlpm.x, L23:L25, IF(SUM((_xlpm.x="C1")*1)=1, 3, 1))</f>
        <v>1</v>
      </c>
      <c r="Y23" s="25" cm="1">
        <f t="array" ref="Y23">_xlfn.LET(_xlpm.x, M23:M25, IF(SUM((_xlpm.x="C1")*1)=1, 3, 1))</f>
        <v>1</v>
      </c>
      <c r="Z23" s="25" cm="1">
        <f t="array" ref="Z23">_xlfn.LET(_xlpm.x, N23:N25, IF(SUM((_xlpm.x="C1")*1)=1, 3, 1))</f>
        <v>1</v>
      </c>
      <c r="AA23" s="25" cm="1">
        <f t="array" ref="AA23">_xlfn.LET(_xlpm.x, O23:O25, IF(SUM((_xlpm.x="C1")*1)=1, 3, 1))</f>
        <v>1</v>
      </c>
      <c r="AC23" s="136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6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3, 1))</f>
        <v>1</v>
      </c>
      <c r="X24" s="25" cm="1">
        <f t="array" ref="X24">_xlfn.LET(_xlpm.x, L24:L26, IF(SUM((_xlpm.x="C1")*1)=1, 3, 1))</f>
        <v>1</v>
      </c>
      <c r="Y24" s="25" cm="1">
        <f t="array" ref="Y24">_xlfn.LET(_xlpm.x, M24:M26, IF(SUM((_xlpm.x="C1")*1)=1, 3, 1))</f>
        <v>1</v>
      </c>
      <c r="Z24" s="25" cm="1">
        <f t="array" ref="Z24">_xlfn.LET(_xlpm.x, N24:N26, IF(SUM((_xlpm.x="C1")*1)=1, 3, 1))</f>
        <v>1</v>
      </c>
      <c r="AA24" s="25" cm="1">
        <f t="array" ref="AA24">_xlfn.LET(_xlpm.x, O24:O26, IF(SUM((_xlpm.x="C1")*1)=1, 3, 1))</f>
        <v>1</v>
      </c>
      <c r="AC24" s="136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6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3, 1))</f>
        <v>1</v>
      </c>
      <c r="X25" s="25" cm="1">
        <f t="array" ref="X25">_xlfn.LET(_xlpm.x, L25:L27, IF(SUM((_xlpm.x="C1")*1)=1, 3, 1))</f>
        <v>1</v>
      </c>
      <c r="Y25" s="25" cm="1">
        <f t="array" ref="Y25">_xlfn.LET(_xlpm.x, M25:M27, IF(SUM((_xlpm.x="C1")*1)=1, 3, 1))</f>
        <v>1</v>
      </c>
      <c r="Z25" s="25" cm="1">
        <f t="array" ref="Z25">_xlfn.LET(_xlpm.x, N25:N27, IF(SUM((_xlpm.x="C1")*1)=1, 3, 1))</f>
        <v>3</v>
      </c>
      <c r="AA25" s="25" cm="1">
        <f t="array" ref="AA25">_xlfn.LET(_xlpm.x, O25:O27, IF(SUM((_xlpm.x="C1")*1)=1, 3, 1))</f>
        <v>1</v>
      </c>
      <c r="AC25" s="136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6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0.6</v>
      </c>
      <c r="E26" s="179">
        <f t="shared" si="1"/>
        <v>0.94</v>
      </c>
      <c r="F26" s="179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3, 1))</f>
        <v>1</v>
      </c>
      <c r="X26" s="25" cm="1">
        <f t="array" ref="X26">_xlfn.LET(_xlpm.x, L26:L28, IF(SUM((_xlpm.x="C1")*1)=1, 3, 1))</f>
        <v>1</v>
      </c>
      <c r="Y26" s="25" cm="1">
        <f t="array" ref="Y26">_xlfn.LET(_xlpm.x, M26:M28, IF(SUM((_xlpm.x="C1")*1)=1, 3, 1))</f>
        <v>1</v>
      </c>
      <c r="Z26" s="25" cm="1">
        <f t="array" ref="Z26">_xlfn.LET(_xlpm.x, N26:N28, IF(SUM((_xlpm.x="C1")*1)=1, 3, 1))</f>
        <v>3</v>
      </c>
      <c r="AA26" s="25" cm="1">
        <f t="array" ref="AA26">_xlfn.LET(_xlpm.x, O26:O28, IF(SUM((_xlpm.x="C1")*1)=1, 3, 1))</f>
        <v>1</v>
      </c>
      <c r="AD26" s="111">
        <f>SUM(AD6:AD25)</f>
        <v>200</v>
      </c>
      <c r="AE26" s="111">
        <f>SUM(AE6:AE25)</f>
        <v>209</v>
      </c>
      <c r="AF26" s="111">
        <f>SUM(AF6:AF25)</f>
        <v>209</v>
      </c>
      <c r="AG26" s="111">
        <f>SUM(AG6:AG25)</f>
        <v>209</v>
      </c>
      <c r="AH26" s="111">
        <f>SUM(AH6:AH25)</f>
        <v>200</v>
      </c>
      <c r="AI26" s="5"/>
      <c r="AK26" s="111">
        <f>SUM(AK6:AK25)</f>
        <v>200</v>
      </c>
      <c r="AL26" s="111">
        <f>SUM(AL6:AL25)</f>
        <v>209</v>
      </c>
      <c r="AM26" s="111">
        <f>SUM(AM6:AM25)</f>
        <v>209</v>
      </c>
      <c r="AN26" s="111">
        <f>SUM(AN6:AN25)</f>
        <v>209</v>
      </c>
      <c r="AO26" s="111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0.4</v>
      </c>
      <c r="E27" s="179">
        <f t="shared" si="2"/>
        <v>0.06</v>
      </c>
      <c r="F27" s="179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3, 1))</f>
        <v>1</v>
      </c>
      <c r="X27" s="25" cm="1">
        <f t="array" ref="X27">_xlfn.LET(_xlpm.x, L27:L29, IF(SUM((_xlpm.x="C1")*1)=1, 3, 1))</f>
        <v>1</v>
      </c>
      <c r="Y27" s="25" cm="1">
        <f t="array" ref="Y27">_xlfn.LET(_xlpm.x, M27:M29, IF(SUM((_xlpm.x="C1")*1)=1, 3, 1))</f>
        <v>1</v>
      </c>
      <c r="Z27" s="25" cm="1">
        <f t="array" ref="Z27">_xlfn.LET(_xlpm.x, N27:N29, IF(SUM((_xlpm.x="C1")*1)=1, 3, 1))</f>
        <v>3</v>
      </c>
      <c r="AA27" s="25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19</v>
      </c>
      <c r="L28" s="16" t="s">
        <v>90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13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3, 1))</f>
        <v>1</v>
      </c>
      <c r="X28" s="25" cm="1">
        <f t="array" ref="X28">_xlfn.LET(_xlpm.x, L28:L30, IF(SUM((_xlpm.x="C1")*1)=1, 3, 1))</f>
        <v>1</v>
      </c>
      <c r="Y28" s="25" cm="1">
        <f t="array" ref="Y28">_xlfn.LET(_xlpm.x, M28:M30, IF(SUM((_xlpm.x="C1")*1)=1, 3, 1))</f>
        <v>1</v>
      </c>
      <c r="Z28" s="25" cm="1">
        <f t="array" ref="Z28">_xlfn.LET(_xlpm.x, N28:N30, IF(SUM((_xlpm.x="C1")*1)=1, 3, 1))</f>
        <v>1</v>
      </c>
      <c r="AA28" s="25" cm="1">
        <f t="array" ref="AA28">_xlfn.LET(_xlpm.x, O28:O30, IF(SUM((_xlpm.x="C1")*1)=1, 3, 1))</f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3, 1))</f>
        <v>1</v>
      </c>
      <c r="X29" s="25" cm="1">
        <f t="array" ref="X29">_xlfn.LET(_xlpm.x, L29:L31, IF(SUM((_xlpm.x="C1")*1)=1, 3, 1))</f>
        <v>1</v>
      </c>
      <c r="Y29" s="25" cm="1">
        <f t="array" ref="Y29">_xlfn.LET(_xlpm.x, M29:M31, IF(SUM((_xlpm.x="C1")*1)=1, 3, 1))</f>
        <v>1</v>
      </c>
      <c r="Z29" s="25" cm="1">
        <f t="array" ref="Z29">_xlfn.LET(_xlpm.x, N29:N31, IF(SUM((_xlpm.x="C1")*1)=1, 3, 1))</f>
        <v>1</v>
      </c>
      <c r="AA29" s="25" cm="1">
        <f t="array" ref="AA29">_xlfn.LET(_xlpm.x, O29:O31, IF(SUM((_xlpm.x="C1")*1)=1, 3, 1))</f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3, 1))</f>
        <v>1</v>
      </c>
      <c r="X30" s="25" cm="1">
        <f t="array" ref="X30">_xlfn.LET(_xlpm.x, L30:L32, IF(SUM((_xlpm.x="C1")*1)=1, 3, 1))</f>
        <v>1</v>
      </c>
      <c r="Y30" s="25" cm="1">
        <f t="array" ref="Y30">_xlfn.LET(_xlpm.x, M30:M32, IF(SUM((_xlpm.x="C1")*1)=1, 3, 1))</f>
        <v>1</v>
      </c>
      <c r="Z30" s="25" cm="1">
        <f t="array" ref="Z30">_xlfn.LET(_xlpm.x, N30:N32, IF(SUM((_xlpm.x="C1")*1)=1, 3, 1))</f>
        <v>1</v>
      </c>
      <c r="AA30" s="25" cm="1">
        <f t="array" ref="AA30">_xlfn.LET(_xlpm.x, O30:O32, IF(SUM((_xlpm.x="C1")*1)=1, 3, 1))</f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3, 1))</f>
        <v>1</v>
      </c>
      <c r="X31" s="25" cm="1">
        <f t="array" ref="X31">_xlfn.LET(_xlpm.x, L31:L33, IF(SUM((_xlpm.x="C1")*1)=1, 3, 1))</f>
        <v>1</v>
      </c>
      <c r="Y31" s="25" cm="1">
        <f t="array" ref="Y31">_xlfn.LET(_xlpm.x, M31:M33, IF(SUM((_xlpm.x="C1")*1)=1, 3, 1))</f>
        <v>1</v>
      </c>
      <c r="Z31" s="25" cm="1">
        <f t="array" ref="Z31">_xlfn.LET(_xlpm.x, N31:N33, IF(SUM((_xlpm.x="C1")*1)=1, 3, 1))</f>
        <v>1</v>
      </c>
      <c r="AA31" s="25" cm="1">
        <f t="array" ref="AA31">_xlfn.LET(_xlpm.x, O31:O33, IF(SUM((_xlpm.x="C1")*1)=1, 3, 1))</f>
        <v>1</v>
      </c>
      <c r="AC31" s="136" t="str">
        <v>C1</v>
      </c>
      <c r="AD31" s="136">
        <v>3</v>
      </c>
      <c r="AE31" s="136">
        <v>3</v>
      </c>
      <c r="AF31" s="136">
        <v>3</v>
      </c>
      <c r="AG31" s="136">
        <v>6</v>
      </c>
      <c r="AH31" s="136">
        <v>6</v>
      </c>
      <c r="AI31" s="5"/>
      <c r="AJ31" s="136" t="str">
        <v>C1</v>
      </c>
      <c r="AK31" s="136">
        <v>3</v>
      </c>
      <c r="AL31" s="136">
        <v>3</v>
      </c>
      <c r="AM31" s="136">
        <v>3</v>
      </c>
      <c r="AN31" s="136">
        <v>6</v>
      </c>
      <c r="AO31" s="136">
        <v>6</v>
      </c>
    </row>
    <row r="32" spans="1:41" ht="16.5" customHeight="1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3, 1))</f>
        <v>1</v>
      </c>
      <c r="X32" s="25" cm="1">
        <f t="array" ref="X32">_xlfn.LET(_xlpm.x, L32:L34, IF(SUM((_xlpm.x="C1")*1)=1, 3, 1))</f>
        <v>1</v>
      </c>
      <c r="Y32" s="25" cm="1">
        <f t="array" ref="Y32">_xlfn.LET(_xlpm.x, M32:M34, IF(SUM((_xlpm.x="C1")*1)=1, 3, 1))</f>
        <v>1</v>
      </c>
      <c r="Z32" s="25" cm="1">
        <f t="array" ref="Z32">_xlfn.LET(_xlpm.x, N32:N34, IF(SUM((_xlpm.x="C1")*1)=1, 3, 1))</f>
        <v>1</v>
      </c>
      <c r="AA32" s="25" cm="1">
        <f t="array" ref="AA32">_xlfn.LET(_xlpm.x, O32:O34, IF(SUM((_xlpm.x="C1")*1)=1, 3, 1))</f>
        <v>1</v>
      </c>
      <c r="AC32" s="152" t="str">
        <v>M1</v>
      </c>
      <c r="AD32" s="131">
        <v>4</v>
      </c>
      <c r="AE32" s="131">
        <v>17</v>
      </c>
      <c r="AF32" s="131">
        <v>4</v>
      </c>
      <c r="AG32" s="131">
        <v>21</v>
      </c>
      <c r="AH32" s="131">
        <v>22</v>
      </c>
      <c r="AI32" s="5"/>
      <c r="AJ32" s="152" t="str">
        <v>M1</v>
      </c>
      <c r="AK32" s="131">
        <v>4</v>
      </c>
      <c r="AL32" s="131">
        <v>17</v>
      </c>
      <c r="AM32" s="131">
        <v>4</v>
      </c>
      <c r="AN32" s="131">
        <v>21</v>
      </c>
      <c r="AO32" s="131">
        <v>22</v>
      </c>
    </row>
    <row r="33" spans="10:41" ht="16.5" customHeight="1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3, 1))</f>
        <v>1</v>
      </c>
      <c r="X33" s="25" cm="1">
        <f t="array" ref="X33">_xlfn.LET(_xlpm.x, L33:L35, IF(SUM((_xlpm.x="C1")*1)=1, 3, 1))</f>
        <v>1</v>
      </c>
      <c r="Y33" s="25" cm="1">
        <f t="array" ref="Y33">_xlfn.LET(_xlpm.x, M33:M35, IF(SUM((_xlpm.x="C1")*1)=1, 3, 1))</f>
        <v>1</v>
      </c>
      <c r="Z33" s="25" cm="1">
        <f t="array" ref="Z33">_xlfn.LET(_xlpm.x, N33:N35, IF(SUM((_xlpm.x="C1")*1)=1, 3, 1))</f>
        <v>1</v>
      </c>
      <c r="AA33" s="25" cm="1">
        <f t="array" ref="AA33">_xlfn.LET(_xlpm.x, O33:O35, IF(SUM((_xlpm.x="C1")*1)=1, 3, 1))</f>
        <v>3</v>
      </c>
      <c r="AC33" s="152" t="str">
        <v>M2</v>
      </c>
      <c r="AD33" s="131">
        <v>4</v>
      </c>
      <c r="AE33" s="131">
        <v>18</v>
      </c>
      <c r="AF33" s="131">
        <v>4</v>
      </c>
      <c r="AG33" s="131">
        <v>20</v>
      </c>
      <c r="AH33" s="131">
        <v>22</v>
      </c>
      <c r="AI33" s="5"/>
      <c r="AJ33" s="152" t="str">
        <v>M2</v>
      </c>
      <c r="AK33" s="131">
        <v>4</v>
      </c>
      <c r="AL33" s="131">
        <v>18</v>
      </c>
      <c r="AM33" s="131">
        <v>4</v>
      </c>
      <c r="AN33" s="131">
        <v>20</v>
      </c>
      <c r="AO33" s="131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3, 1))</f>
        <v>1</v>
      </c>
      <c r="X34" s="25" cm="1">
        <f t="array" ref="X34">_xlfn.LET(_xlpm.x, L34:L36, IF(SUM((_xlpm.x="C1")*1)=1, 3, 1))</f>
        <v>1</v>
      </c>
      <c r="Y34" s="25" cm="1">
        <f t="array" ref="Y34">_xlfn.LET(_xlpm.x, M34:M36, IF(SUM((_xlpm.x="C1")*1)=1, 3, 1))</f>
        <v>1</v>
      </c>
      <c r="Z34" s="25" cm="1">
        <f t="array" ref="Z34">_xlfn.LET(_xlpm.x, N34:N36, IF(SUM((_xlpm.x="C1")*1)=1, 3, 1))</f>
        <v>1</v>
      </c>
      <c r="AA34" s="25" cm="1">
        <f t="array" ref="AA34">_xlfn.LET(_xlpm.x, O34:O36, IF(SUM((_xlpm.x="C1")*1)=1, 3, 1))</f>
        <v>3</v>
      </c>
      <c r="AC34" s="152" t="str">
        <v>M3</v>
      </c>
      <c r="AD34" s="131">
        <v>4</v>
      </c>
      <c r="AE34" s="131">
        <v>18</v>
      </c>
      <c r="AF34" s="131">
        <v>4</v>
      </c>
      <c r="AG34" s="131">
        <v>20</v>
      </c>
      <c r="AH34" s="131">
        <v>21</v>
      </c>
      <c r="AI34" s="5"/>
      <c r="AJ34" s="152" t="str">
        <v>M3</v>
      </c>
      <c r="AK34" s="131">
        <v>4</v>
      </c>
      <c r="AL34" s="131">
        <v>18</v>
      </c>
      <c r="AM34" s="131">
        <v>4</v>
      </c>
      <c r="AN34" s="131">
        <v>20</v>
      </c>
      <c r="AO34" s="131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3, 1))</f>
        <v>1</v>
      </c>
      <c r="X35" s="25" cm="1">
        <f t="array" ref="X35">_xlfn.LET(_xlpm.x, L35:L37, IF(SUM((_xlpm.x="C1")*1)=1, 3, 1))</f>
        <v>1</v>
      </c>
      <c r="Y35" s="25" cm="1">
        <f t="array" ref="Y35">_xlfn.LET(_xlpm.x, M35:M37, IF(SUM((_xlpm.x="C1")*1)=1, 3, 1))</f>
        <v>1</v>
      </c>
      <c r="Z35" s="25" cm="1">
        <f t="array" ref="Z35">_xlfn.LET(_xlpm.x, N35:N37, IF(SUM((_xlpm.x="C1")*1)=1, 3, 1))</f>
        <v>1</v>
      </c>
      <c r="AA35" s="25" cm="1">
        <f t="array" ref="AA35">_xlfn.LET(_xlpm.x, O35:O37, IF(SUM((_xlpm.x="C1")*1)=1, 3, 1))</f>
        <v>3</v>
      </c>
      <c r="AC35" s="152" t="str">
        <v>M4</v>
      </c>
      <c r="AD35" s="131">
        <v>40</v>
      </c>
      <c r="AE35" s="131">
        <v>14</v>
      </c>
      <c r="AF35" s="131">
        <v>41</v>
      </c>
      <c r="AG35" s="131">
        <v>14</v>
      </c>
      <c r="AH35" s="131">
        <v>21</v>
      </c>
      <c r="AI35" s="5"/>
      <c r="AJ35" s="152" t="str">
        <v>M4</v>
      </c>
      <c r="AK35" s="131">
        <v>40</v>
      </c>
      <c r="AL35" s="131">
        <v>14</v>
      </c>
      <c r="AM35" s="131">
        <v>41</v>
      </c>
      <c r="AN35" s="131">
        <v>14</v>
      </c>
      <c r="AO35" s="131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3, 1))</f>
        <v>1</v>
      </c>
      <c r="X36" s="25" cm="1">
        <f t="array" ref="X36">_xlfn.LET(_xlpm.x, L36:L38, IF(SUM((_xlpm.x="C1")*1)=1, 3, 1))</f>
        <v>1</v>
      </c>
      <c r="Y36" s="25" cm="1">
        <f t="array" ref="Y36">_xlfn.LET(_xlpm.x, M36:M38, IF(SUM((_xlpm.x="C1")*1)=1, 3, 1))</f>
        <v>1</v>
      </c>
      <c r="Z36" s="25" cm="1">
        <f t="array" ref="Z36">_xlfn.LET(_xlpm.x, N36:N38, IF(SUM((_xlpm.x="C1")*1)=1, 3, 1))</f>
        <v>1</v>
      </c>
      <c r="AA36" s="25" cm="1">
        <f t="array" ref="AA36">_xlfn.LET(_xlpm.x, O36:O38, IF(SUM((_xlpm.x="C1")*1)=1, 3, 1))</f>
        <v>1</v>
      </c>
      <c r="AC36" s="152" t="str">
        <v>M5</v>
      </c>
      <c r="AD36" s="131">
        <v>40</v>
      </c>
      <c r="AE36" s="131">
        <v>14</v>
      </c>
      <c r="AF36" s="131">
        <v>41</v>
      </c>
      <c r="AG36" s="131">
        <v>14</v>
      </c>
      <c r="AH36" s="131">
        <v>21</v>
      </c>
      <c r="AI36" s="5"/>
      <c r="AJ36" s="152" t="str">
        <v>M5</v>
      </c>
      <c r="AK36" s="131">
        <v>40</v>
      </c>
      <c r="AL36" s="131">
        <v>14</v>
      </c>
      <c r="AM36" s="131">
        <v>41</v>
      </c>
      <c r="AN36" s="131">
        <v>14</v>
      </c>
      <c r="AO36" s="131">
        <v>21</v>
      </c>
    </row>
    <row r="37" spans="10:41" ht="16.5" customHeight="1">
      <c r="J37" s="9">
        <v>33</v>
      </c>
      <c r="K37" s="16" t="s">
        <v>19</v>
      </c>
      <c r="L37" s="16" t="s">
        <v>112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17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3, 1))</f>
        <v>1</v>
      </c>
      <c r="X37" s="25" cm="1">
        <f t="array" ref="X37">_xlfn.LET(_xlpm.x, L37:L39, IF(SUM((_xlpm.x="C1")*1)=1, 3, 1))</f>
        <v>1</v>
      </c>
      <c r="Y37" s="25" cm="1">
        <f t="array" ref="Y37">_xlfn.LET(_xlpm.x, M37:M39, IF(SUM((_xlpm.x="C1")*1)=1, 3, 1))</f>
        <v>1</v>
      </c>
      <c r="Z37" s="25" cm="1">
        <f t="array" ref="Z37">_xlfn.LET(_xlpm.x, N37:N39, IF(SUM((_xlpm.x="C1")*1)=1, 3, 1))</f>
        <v>1</v>
      </c>
      <c r="AA37" s="25" cm="1">
        <f t="array" ref="AA37">_xlfn.LET(_xlpm.x, O37:O39, IF(SUM((_xlpm.x="C1")*1)=1, 3, 1))</f>
        <v>1</v>
      </c>
      <c r="AC37" s="152" t="str">
        <v>A</v>
      </c>
      <c r="AD37" s="131">
        <v>47</v>
      </c>
      <c r="AE37" s="131">
        <v>13</v>
      </c>
      <c r="AF37" s="131">
        <v>41</v>
      </c>
      <c r="AG37" s="131">
        <v>14</v>
      </c>
      <c r="AH37" s="131">
        <v>21</v>
      </c>
      <c r="AI37" s="5"/>
      <c r="AJ37" s="152" t="str">
        <v>A</v>
      </c>
      <c r="AK37" s="131">
        <v>47</v>
      </c>
      <c r="AL37" s="131">
        <v>13</v>
      </c>
      <c r="AM37" s="131">
        <v>41</v>
      </c>
      <c r="AN37" s="131">
        <v>14</v>
      </c>
      <c r="AO37" s="131">
        <v>21</v>
      </c>
    </row>
    <row r="38" spans="10:41" ht="16.5" customHeight="1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3, 1))</f>
        <v>1</v>
      </c>
      <c r="X38" s="25" cm="1">
        <f t="array" ref="X38">_xlfn.LET(_xlpm.x, L38:L40, IF(SUM((_xlpm.x="C1")*1)=1, 3, 1))</f>
        <v>1</v>
      </c>
      <c r="Y38" s="25" cm="1">
        <f t="array" ref="Y38">_xlfn.LET(_xlpm.x, M38:M40, IF(SUM((_xlpm.x="C1")*1)=1, 3, 1))</f>
        <v>1</v>
      </c>
      <c r="Z38" s="25" cm="1">
        <f t="array" ref="Z38">_xlfn.LET(_xlpm.x, N38:N40, IF(SUM((_xlpm.x="C1")*1)=1, 3, 1))</f>
        <v>1</v>
      </c>
      <c r="AA38" s="25" cm="1">
        <f t="array" ref="AA38">_xlfn.LET(_xlpm.x, O38:O40, IF(SUM((_xlpm.x="C1")*1)=1, 3, 1))</f>
        <v>1</v>
      </c>
      <c r="AC38" s="152" t="str">
        <v>K</v>
      </c>
      <c r="AD38" s="131">
        <v>47</v>
      </c>
      <c r="AE38" s="131">
        <v>13</v>
      </c>
      <c r="AF38" s="131">
        <v>41</v>
      </c>
      <c r="AG38" s="131">
        <v>14</v>
      </c>
      <c r="AH38" s="131">
        <v>21</v>
      </c>
      <c r="AI38" s="5"/>
      <c r="AJ38" s="152" t="str">
        <v>K</v>
      </c>
      <c r="AK38" s="131">
        <v>47</v>
      </c>
      <c r="AL38" s="131">
        <v>13</v>
      </c>
      <c r="AM38" s="131">
        <v>41</v>
      </c>
      <c r="AN38" s="131">
        <v>14</v>
      </c>
      <c r="AO38" s="131">
        <v>21</v>
      </c>
    </row>
    <row r="39" spans="10:41" ht="16.5" customHeight="1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3, 1))</f>
        <v>1</v>
      </c>
      <c r="X39" s="25" cm="1">
        <f t="array" ref="X39">_xlfn.LET(_xlpm.x, L39:L41, IF(SUM((_xlpm.x="C1")*1)=1, 3, 1))</f>
        <v>1</v>
      </c>
      <c r="Y39" s="25" cm="1">
        <f t="array" ref="Y39">_xlfn.LET(_xlpm.x, M39:M41, IF(SUM((_xlpm.x="C1")*1)=1, 3, 1))</f>
        <v>1</v>
      </c>
      <c r="Z39" s="25" cm="1">
        <f t="array" ref="Z39">_xlfn.LET(_xlpm.x, N39:N41, IF(SUM((_xlpm.x="C1")*1)=1, 3, 1))</f>
        <v>3</v>
      </c>
      <c r="AA39" s="25" cm="1">
        <f t="array" ref="AA39">_xlfn.LET(_xlpm.x, O39:O41, IF(SUM((_xlpm.x="C1")*1)=1, 3, 1))</f>
        <v>1</v>
      </c>
      <c r="AC39" s="152" t="str">
        <v>Q</v>
      </c>
      <c r="AD39" s="131">
        <v>4</v>
      </c>
      <c r="AE39" s="131">
        <v>17</v>
      </c>
      <c r="AF39" s="131">
        <v>3</v>
      </c>
      <c r="AG39" s="131">
        <v>21</v>
      </c>
      <c r="AH39" s="131">
        <v>21</v>
      </c>
      <c r="AI39" s="5"/>
      <c r="AJ39" s="152" t="str">
        <v>Q</v>
      </c>
      <c r="AK39" s="131">
        <v>4</v>
      </c>
      <c r="AL39" s="131">
        <v>17</v>
      </c>
      <c r="AM39" s="131">
        <v>3</v>
      </c>
      <c r="AN39" s="131">
        <v>21</v>
      </c>
      <c r="AO39" s="131">
        <v>21</v>
      </c>
    </row>
    <row r="40" spans="10:41" ht="16.5" customHeight="1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3, 1))</f>
        <v>1</v>
      </c>
      <c r="X40" s="25" cm="1">
        <f t="array" ref="X40">_xlfn.LET(_xlpm.x, L40:L42, IF(SUM((_xlpm.x="C1")*1)=1, 3, 1))</f>
        <v>1</v>
      </c>
      <c r="Y40" s="25" cm="1">
        <f t="array" ref="Y40">_xlfn.LET(_xlpm.x, M40:M42, IF(SUM((_xlpm.x="C1")*1)=1, 3, 1))</f>
        <v>1</v>
      </c>
      <c r="Z40" s="25" cm="1">
        <f t="array" ref="Z40">_xlfn.LET(_xlpm.x, N40:N42, IF(SUM((_xlpm.x="C1")*1)=1, 3, 1))</f>
        <v>3</v>
      </c>
      <c r="AA40" s="25" cm="1">
        <f t="array" ref="AA40">_xlfn.LET(_xlpm.x, O40:O42, IF(SUM((_xlpm.x="C1")*1)=1, 3, 1))</f>
        <v>1</v>
      </c>
      <c r="AC40" s="152" t="str">
        <v>J</v>
      </c>
      <c r="AD40" s="131">
        <v>4</v>
      </c>
      <c r="AE40" s="131">
        <v>17</v>
      </c>
      <c r="AF40" s="131">
        <v>3</v>
      </c>
      <c r="AG40" s="131">
        <v>21</v>
      </c>
      <c r="AH40" s="131">
        <v>21</v>
      </c>
      <c r="AI40" s="5"/>
      <c r="AJ40" s="152" t="str">
        <v>J</v>
      </c>
      <c r="AK40" s="131">
        <v>4</v>
      </c>
      <c r="AL40" s="131">
        <v>17</v>
      </c>
      <c r="AM40" s="131">
        <v>3</v>
      </c>
      <c r="AN40" s="131">
        <v>21</v>
      </c>
      <c r="AO40" s="131">
        <v>21</v>
      </c>
    </row>
    <row r="41" spans="10:41" ht="16.5" customHeight="1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3, 1))</f>
        <v>1</v>
      </c>
      <c r="X41" s="25" cm="1">
        <f t="array" ref="X41">_xlfn.LET(_xlpm.x, L41:L43, IF(SUM((_xlpm.x="C1")*1)=1, 3, 1))</f>
        <v>1</v>
      </c>
      <c r="Y41" s="25" cm="1">
        <f t="array" ref="Y41">_xlfn.LET(_xlpm.x, M41:M43, IF(SUM((_xlpm.x="C1")*1)=1, 3, 1))</f>
        <v>1</v>
      </c>
      <c r="Z41" s="25" cm="1">
        <f t="array" ref="Z41">_xlfn.LET(_xlpm.x, N41:N43, IF(SUM((_xlpm.x="C1")*1)=1, 3, 1))</f>
        <v>3</v>
      </c>
      <c r="AA41" s="25" cm="1">
        <f t="array" ref="AA41">_xlfn.LET(_xlpm.x, O41:O43, IF(SUM((_xlpm.x="C1")*1)=1, 3, 1))</f>
        <v>1</v>
      </c>
      <c r="AC41" s="136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6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3, 1))</f>
        <v>1</v>
      </c>
      <c r="X42" s="25" cm="1">
        <f t="array" ref="X42">_xlfn.LET(_xlpm.x, L42:L44, IF(SUM((_xlpm.x="C1")*1)=1, 3, 1))</f>
        <v>1</v>
      </c>
      <c r="Y42" s="25" cm="1">
        <f t="array" ref="Y42">_xlfn.LET(_xlpm.x, M42:M44, IF(SUM((_xlpm.x="C1")*1)=1, 3, 1))</f>
        <v>1</v>
      </c>
      <c r="Z42" s="25" cm="1">
        <f t="array" ref="Z42">_xlfn.LET(_xlpm.x, N42:N44, IF(SUM((_xlpm.x="C1")*1)=1, 3, 1))</f>
        <v>1</v>
      </c>
      <c r="AA42" s="25" cm="1">
        <f t="array" ref="AA42">_xlfn.LET(_xlpm.x, O42:O44, IF(SUM((_xlpm.x="C1")*1)=1, 3, 1))</f>
        <v>1</v>
      </c>
      <c r="AC42" s="136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6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3, 1))</f>
        <v>1</v>
      </c>
      <c r="X43" s="25" cm="1">
        <f t="array" ref="X43">_xlfn.LET(_xlpm.x, L43:L45, IF(SUM((_xlpm.x="C1")*1)=1, 3, 1))</f>
        <v>1</v>
      </c>
      <c r="Y43" s="25" cm="1">
        <f t="array" ref="Y43">_xlfn.LET(_xlpm.x, M43:M45, IF(SUM((_xlpm.x="C1")*1)=1, 3, 1))</f>
        <v>1</v>
      </c>
      <c r="Z43" s="25" cm="1">
        <f t="array" ref="Z43">_xlfn.LET(_xlpm.x, N43:N45, IF(SUM((_xlpm.x="C1")*1)=1, 3, 1))</f>
        <v>1</v>
      </c>
      <c r="AA43" s="25" cm="1">
        <f t="array" ref="AA43">_xlfn.LET(_xlpm.x, O43:O45, IF(SUM((_xlpm.x="C1")*1)=1, 3, 1))</f>
        <v>1</v>
      </c>
      <c r="AC43" s="136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6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35</v>
      </c>
      <c r="L44" s="16" t="s">
        <v>89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12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3, 1))</f>
        <v>1</v>
      </c>
      <c r="X44" s="25" cm="1">
        <f t="array" ref="X44">_xlfn.LET(_xlpm.x, L44:L46, IF(SUM((_xlpm.x="C1")*1)=1, 3, 1))</f>
        <v>1</v>
      </c>
      <c r="Y44" s="25" cm="1">
        <f t="array" ref="Y44">_xlfn.LET(_xlpm.x, M44:M46, IF(SUM((_xlpm.x="C1")*1)=1, 3, 1))</f>
        <v>1</v>
      </c>
      <c r="Z44" s="25" cm="1">
        <f t="array" ref="Z44">_xlfn.LET(_xlpm.x, N44:N46, IF(SUM((_xlpm.x="C1")*1)=1, 3, 1))</f>
        <v>1</v>
      </c>
      <c r="AA44" s="25" cm="1">
        <f t="array" ref="AA44">_xlfn.LET(_xlpm.x, O44:O46, IF(SUM((_xlpm.x="C1")*1)=1, 3, 1))</f>
        <v>1</v>
      </c>
      <c r="AC44" s="136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6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3, 1))</f>
        <v>1</v>
      </c>
      <c r="X45" s="25" cm="1">
        <f t="array" ref="X45">_xlfn.LET(_xlpm.x, L45:L47, IF(SUM((_xlpm.x="C1")*1)=1, 3, 1))</f>
        <v>1</v>
      </c>
      <c r="Y45" s="25" cm="1">
        <f t="array" ref="Y45">_xlfn.LET(_xlpm.x, M45:M47, IF(SUM((_xlpm.x="C1")*1)=1, 3, 1))</f>
        <v>1</v>
      </c>
      <c r="Z45" s="25" cm="1">
        <f t="array" ref="Z45">_xlfn.LET(_xlpm.x, N45:N47, IF(SUM((_xlpm.x="C1")*1)=1, 3, 1))</f>
        <v>1</v>
      </c>
      <c r="AA45" s="25" cm="1">
        <f t="array" ref="AA45">_xlfn.LET(_xlpm.x, O45:O47, IF(SUM((_xlpm.x="C1")*1)=1, 3, 1))</f>
        <v>3</v>
      </c>
      <c r="AC45" s="136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6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126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3, 1))</f>
        <v>1</v>
      </c>
      <c r="X46" s="25" cm="1">
        <f t="array" ref="X46">_xlfn.LET(_xlpm.x, L46:L48, IF(SUM((_xlpm.x="C1")*1)=1, 3, 1))</f>
        <v>3</v>
      </c>
      <c r="Y46" s="25" cm="1">
        <f t="array" ref="Y46">_xlfn.LET(_xlpm.x, M46:M48, IF(SUM((_xlpm.x="C1")*1)=1, 3, 1))</f>
        <v>1</v>
      </c>
      <c r="Z46" s="25" cm="1">
        <f t="array" ref="Z46">_xlfn.LET(_xlpm.x, N46:N48, IF(SUM((_xlpm.x="C1")*1)=1, 3, 1))</f>
        <v>1</v>
      </c>
      <c r="AA46" s="25" cm="1">
        <f t="array" ref="AA46">_xlfn.LET(_xlpm.x, O46:O48, IF(SUM((_xlpm.x="C1")*1)=1, 3, 1))</f>
        <v>3</v>
      </c>
      <c r="AC46" s="136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6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3, 1))</f>
        <v>1</v>
      </c>
      <c r="X47" s="25" cm="1">
        <f t="array" ref="X47">_xlfn.LET(_xlpm.x, L47:L49, IF(SUM((_xlpm.x="C1")*1)=1, 3, 1))</f>
        <v>3</v>
      </c>
      <c r="Y47" s="25" cm="1">
        <f t="array" ref="Y47">_xlfn.LET(_xlpm.x, M47:M49, IF(SUM((_xlpm.x="C1")*1)=1, 3, 1))</f>
        <v>1</v>
      </c>
      <c r="Z47" s="25" cm="1">
        <f t="array" ref="Z47">_xlfn.LET(_xlpm.x, N47:N49, IF(SUM((_xlpm.x="C1")*1)=1, 3, 1))</f>
        <v>1</v>
      </c>
      <c r="AA47" s="25" cm="1">
        <f t="array" ref="AA47">_xlfn.LET(_xlpm.x, O47:O49, IF(SUM((_xlpm.x="C1")*1)=1, 3, 1))</f>
        <v>3</v>
      </c>
      <c r="AC47" s="136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6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3, 1))</f>
        <v>1</v>
      </c>
      <c r="X48" s="25" cm="1">
        <f t="array" ref="X48">_xlfn.LET(_xlpm.x, L48:L50, IF(SUM((_xlpm.x="C1")*1)=1, 3, 1))</f>
        <v>3</v>
      </c>
      <c r="Y48" s="25" cm="1">
        <f t="array" ref="Y48">_xlfn.LET(_xlpm.x, M48:M50, IF(SUM((_xlpm.x="C1")*1)=1, 3, 1))</f>
        <v>1</v>
      </c>
      <c r="Z48" s="25" cm="1">
        <f t="array" ref="Z48">_xlfn.LET(_xlpm.x, N48:N50, IF(SUM((_xlpm.x="C1")*1)=1, 3, 1))</f>
        <v>1</v>
      </c>
      <c r="AA48" s="25" cm="1">
        <f t="array" ref="AA48">_xlfn.LET(_xlpm.x, O48:O50, IF(SUM((_xlpm.x="C1")*1)=1, 3, 1))</f>
        <v>1</v>
      </c>
      <c r="AC48" s="136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6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3, 1))</f>
        <v>3</v>
      </c>
      <c r="X49" s="25" cm="1">
        <f t="array" ref="X49">_xlfn.LET(_xlpm.x, L49:L51, IF(SUM((_xlpm.x="C1")*1)=1, 3, 1))</f>
        <v>1</v>
      </c>
      <c r="Y49" s="25" cm="1">
        <f t="array" ref="Y49">_xlfn.LET(_xlpm.x, M49:M51, IF(SUM((_xlpm.x="C1")*1)=1, 3, 1))</f>
        <v>1</v>
      </c>
      <c r="Z49" s="25" cm="1">
        <f t="array" ref="Z49">_xlfn.LET(_xlpm.x, N49:N51, IF(SUM((_xlpm.x="C1")*1)=1, 3, 1))</f>
        <v>1</v>
      </c>
      <c r="AA49" s="25" cm="1">
        <f t="array" ref="AA49">_xlfn.LET(_xlpm.x, O49:O51, IF(SUM((_xlpm.x="C1")*1)=1, 3, 1))</f>
        <v>1</v>
      </c>
      <c r="AC49" s="136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6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3, 1))</f>
        <v>3</v>
      </c>
      <c r="X50" s="25" cm="1">
        <f t="array" ref="X50">_xlfn.LET(_xlpm.x, L50:L52, IF(SUM((_xlpm.x="C1")*1)=1, 3, 1))</f>
        <v>1</v>
      </c>
      <c r="Y50" s="25" cm="1">
        <f t="array" ref="Y50">_xlfn.LET(_xlpm.x, M50:M52, IF(SUM((_xlpm.x="C1")*1)=1, 3, 1))</f>
        <v>1</v>
      </c>
      <c r="Z50" s="25" cm="1">
        <f t="array" ref="Z50">_xlfn.LET(_xlpm.x, N50:N52, IF(SUM((_xlpm.x="C1")*1)=1, 3, 1))</f>
        <v>1</v>
      </c>
      <c r="AA50" s="25" cm="1">
        <f t="array" ref="AA50">_xlfn.LET(_xlpm.x, O50:O52, IF(SUM((_xlpm.x="C1")*1)=1, 3, 1))</f>
        <v>1</v>
      </c>
      <c r="AD50" s="111">
        <f>SUM(AD30:AD49)</f>
        <v>197</v>
      </c>
      <c r="AE50" s="111">
        <f>SUM(AE30:AE49)</f>
        <v>206</v>
      </c>
      <c r="AF50" s="111">
        <f>SUM(AF30:AF49)</f>
        <v>206</v>
      </c>
      <c r="AG50" s="111">
        <f>SUM(AG30:AG49)</f>
        <v>206</v>
      </c>
      <c r="AH50" s="111">
        <f>SUM(AH30:AH49)</f>
        <v>197</v>
      </c>
      <c r="AI50" s="5"/>
      <c r="AK50" s="111">
        <f>SUM(AK30:AK49)</f>
        <v>197</v>
      </c>
      <c r="AL50" s="111">
        <f>SUM(AL30:AL49)</f>
        <v>206</v>
      </c>
      <c r="AM50" s="111">
        <f>SUM(AM30:AM49)</f>
        <v>206</v>
      </c>
      <c r="AN50" s="111">
        <f>SUM(AN30:AN49)</f>
        <v>206</v>
      </c>
      <c r="AO50" s="111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88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11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3, 1))</f>
        <v>3</v>
      </c>
      <c r="X51" s="25" cm="1">
        <f t="array" ref="X51">_xlfn.LET(_xlpm.x, L51:L53, IF(SUM((_xlpm.x="C1")*1)=1, 3, 1))</f>
        <v>1</v>
      </c>
      <c r="Y51" s="25" cm="1">
        <f t="array" ref="Y51">_xlfn.LET(_xlpm.x, M51:M53, IF(SUM((_xlpm.x="C1")*1)=1, 3, 1))</f>
        <v>1</v>
      </c>
      <c r="Z51" s="25" cm="1">
        <f t="array" ref="Z51">_xlfn.LET(_xlpm.x, N51:N53, IF(SUM((_xlpm.x="C1")*1)=1, 3, 1))</f>
        <v>1</v>
      </c>
      <c r="AA51" s="25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91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14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3, 1))</f>
        <v>1</v>
      </c>
      <c r="X52" s="25" cm="1">
        <f t="array" ref="X52">_xlfn.LET(_xlpm.x, L52:L54, IF(SUM((_xlpm.x="C1")*1)=1, 3, 1))</f>
        <v>1</v>
      </c>
      <c r="Y52" s="25" cm="1">
        <f t="array" ref="Y52">_xlfn.LET(_xlpm.x, M52:M54, IF(SUM((_xlpm.x="C1")*1)=1, 3, 1))</f>
        <v>1</v>
      </c>
      <c r="Z52" s="25" cm="1">
        <f t="array" ref="Z52">_xlfn.LET(_xlpm.x, N52:N54, IF(SUM((_xlpm.x="C1")*1)=1, 3, 1))</f>
        <v>1</v>
      </c>
      <c r="AA52" s="25" cm="1">
        <f t="array" ref="AA52">_xlfn.LET(_xlpm.x, O52:O54, IF(SUM((_xlpm.x="C1")*1)=1, 3, 1))</f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3, 1))</f>
        <v>1</v>
      </c>
      <c r="X53" s="25" cm="1">
        <f t="array" ref="X53">_xlfn.LET(_xlpm.x, L53:L55, IF(SUM((_xlpm.x="C1")*1)=1, 3, 1))</f>
        <v>1</v>
      </c>
      <c r="Y53" s="25" cm="1">
        <f t="array" ref="Y53">_xlfn.LET(_xlpm.x, M53:M55, IF(SUM((_xlpm.x="C1")*1)=1, 3, 1))</f>
        <v>1</v>
      </c>
      <c r="Z53" s="25" cm="1">
        <f t="array" ref="Z53">_xlfn.LET(_xlpm.x, N53:N55, IF(SUM((_xlpm.x="C1")*1)=1, 3, 1))</f>
        <v>1</v>
      </c>
      <c r="AA53" s="25" cm="1">
        <f t="array" ref="AA53">_xlfn.LET(_xlpm.x, O53:O55, IF(SUM((_xlpm.x="C1")*1)=1, 3, 1))</f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3, 1))</f>
        <v>1</v>
      </c>
      <c r="X54" s="25" cm="1">
        <f t="array" ref="X54">_xlfn.LET(_xlpm.x, L54:L56, IF(SUM((_xlpm.x="C1")*1)=1, 3, 1))</f>
        <v>1</v>
      </c>
      <c r="Y54" s="25" cm="1">
        <f t="array" ref="Y54">_xlfn.LET(_xlpm.x, M54:M56, IF(SUM((_xlpm.x="C1")*1)=1, 3, 1))</f>
        <v>1</v>
      </c>
      <c r="Z54" s="25" cm="1">
        <f t="array" ref="Z54">_xlfn.LET(_xlpm.x, N54:N56, IF(SUM((_xlpm.x="C1")*1)=1, 3, 1))</f>
        <v>1</v>
      </c>
      <c r="AA54" s="25" cm="1">
        <f t="array" ref="AA54">_xlfn.LET(_xlpm.x, O54:O56, IF(SUM((_xlpm.x="C1")*1)=1, 3, 1))</f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126</v>
      </c>
      <c r="L55" s="16" t="s">
        <v>112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17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3, 1))</f>
        <v>1</v>
      </c>
      <c r="X55" s="25" cm="1">
        <f t="array" ref="X55">_xlfn.LET(_xlpm.x, L55:L57, IF(SUM((_xlpm.x="C1")*1)=1, 3, 1))</f>
        <v>1</v>
      </c>
      <c r="Y55" s="25" cm="1">
        <f t="array" ref="Y55">_xlfn.LET(_xlpm.x, M55:M57, IF(SUM((_xlpm.x="C1")*1)=1, 3, 1))</f>
        <v>1</v>
      </c>
      <c r="Z55" s="25" cm="1">
        <f t="array" ref="Z55">_xlfn.LET(_xlpm.x, N55:N57, IF(SUM((_xlpm.x="C1")*1)=1, 3, 1))</f>
        <v>1</v>
      </c>
      <c r="AA55" s="25" cm="1">
        <f t="array" ref="AA55">_xlfn.LET(_xlpm.x, O55:O57, IF(SUM((_xlpm.x="C1")*1)=1, 3, 1))</f>
        <v>1</v>
      </c>
      <c r="AC55" s="136" t="str">
        <v>C1</v>
      </c>
      <c r="AD55" s="136">
        <v>1</v>
      </c>
      <c r="AE55" s="136">
        <v>1</v>
      </c>
      <c r="AF55" s="136">
        <v>1</v>
      </c>
      <c r="AG55" s="136">
        <v>3</v>
      </c>
      <c r="AH55" s="136">
        <v>3</v>
      </c>
      <c r="AI55" s="5"/>
      <c r="AJ55" s="136" t="str">
        <v>C1</v>
      </c>
      <c r="AK55" s="136">
        <v>1</v>
      </c>
      <c r="AL55" s="136">
        <v>1</v>
      </c>
      <c r="AM55" s="136">
        <v>1</v>
      </c>
      <c r="AN55" s="136">
        <v>3</v>
      </c>
      <c r="AO55" s="136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3, 1))</f>
        <v>1</v>
      </c>
      <c r="X56" s="25" cm="1">
        <f t="array" ref="X56">_xlfn.LET(_xlpm.x, L56:L58, IF(SUM((_xlpm.x="C1")*1)=1, 3, 1))</f>
        <v>1</v>
      </c>
      <c r="Y56" s="25" cm="1">
        <f t="array" ref="Y56">_xlfn.LET(_xlpm.x, M56:M58, IF(SUM((_xlpm.x="C1")*1)=1, 3, 1))</f>
        <v>1</v>
      </c>
      <c r="Z56" s="25" cm="1">
        <f t="array" ref="Z56">_xlfn.LET(_xlpm.x, N56:N58, IF(SUM((_xlpm.x="C1")*1)=1, 3, 1))</f>
        <v>1</v>
      </c>
      <c r="AA56" s="25" cm="1">
        <f t="array" ref="AA56">_xlfn.LET(_xlpm.x, O56:O58, IF(SUM((_xlpm.x="C1")*1)=1, 3, 1))</f>
        <v>1</v>
      </c>
      <c r="AC56" s="152" t="str">
        <v>M1</v>
      </c>
      <c r="AD56" s="131">
        <v>4</v>
      </c>
      <c r="AE56" s="131">
        <v>17</v>
      </c>
      <c r="AF56" s="131">
        <v>4</v>
      </c>
      <c r="AG56" s="131">
        <v>21</v>
      </c>
      <c r="AH56" s="131">
        <v>22</v>
      </c>
      <c r="AI56" s="5"/>
      <c r="AJ56" s="152" t="str">
        <v>M1</v>
      </c>
      <c r="AK56" s="131">
        <v>4</v>
      </c>
      <c r="AL56" s="131">
        <v>17</v>
      </c>
      <c r="AM56" s="131">
        <v>4</v>
      </c>
      <c r="AN56" s="131">
        <v>21</v>
      </c>
      <c r="AO56" s="131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3, 1))</f>
        <v>1</v>
      </c>
      <c r="X57" s="25" cm="1">
        <f t="array" ref="X57">_xlfn.LET(_xlpm.x, L57:L59, IF(SUM((_xlpm.x="C1")*1)=1, 3, 1))</f>
        <v>1</v>
      </c>
      <c r="Y57" s="25" cm="1">
        <f t="array" ref="Y57">_xlfn.LET(_xlpm.x, M57:M59, IF(SUM((_xlpm.x="C1")*1)=1, 3, 1))</f>
        <v>1</v>
      </c>
      <c r="Z57" s="25" cm="1">
        <f t="array" ref="Z57">_xlfn.LET(_xlpm.x, N57:N59, IF(SUM((_xlpm.x="C1")*1)=1, 3, 1))</f>
        <v>1</v>
      </c>
      <c r="AA57" s="25" cm="1">
        <f t="array" ref="AA57">_xlfn.LET(_xlpm.x, O57:O59, IF(SUM((_xlpm.x="C1")*1)=1, 3, 1))</f>
        <v>1</v>
      </c>
      <c r="AC57" s="152" t="str">
        <v>M2</v>
      </c>
      <c r="AD57" s="131">
        <v>4</v>
      </c>
      <c r="AE57" s="131">
        <v>18</v>
      </c>
      <c r="AF57" s="131">
        <v>4</v>
      </c>
      <c r="AG57" s="131">
        <v>20</v>
      </c>
      <c r="AH57" s="131">
        <v>22</v>
      </c>
      <c r="AI57" s="5"/>
      <c r="AJ57" s="152" t="str">
        <v>M2</v>
      </c>
      <c r="AK57" s="131">
        <v>4</v>
      </c>
      <c r="AL57" s="131">
        <v>18</v>
      </c>
      <c r="AM57" s="131">
        <v>4</v>
      </c>
      <c r="AN57" s="131">
        <v>20</v>
      </c>
      <c r="AO57" s="131">
        <v>22</v>
      </c>
    </row>
    <row r="58" spans="10:41" ht="16.5" customHeight="1">
      <c r="J58" s="25">
        <v>54</v>
      </c>
      <c r="K58" s="16" t="s">
        <v>37</v>
      </c>
      <c r="L58" s="16" t="s">
        <v>90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13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3, 1))</f>
        <v>1</v>
      </c>
      <c r="X58" s="25" cm="1">
        <f t="array" ref="X58">_xlfn.LET(_xlpm.x, L58:L60, IF(SUM((_xlpm.x="C1")*1)=1, 3, 1))</f>
        <v>1</v>
      </c>
      <c r="Y58" s="25" cm="1">
        <f t="array" ref="Y58">_xlfn.LET(_xlpm.x, M58:M60, IF(SUM((_xlpm.x="C1")*1)=1, 3, 1))</f>
        <v>1</v>
      </c>
      <c r="Z58" s="25" cm="1">
        <f t="array" ref="Z58">_xlfn.LET(_xlpm.x, N58:N60, IF(SUM((_xlpm.x="C1")*1)=1, 3, 1))</f>
        <v>1</v>
      </c>
      <c r="AA58" s="25" cm="1">
        <f t="array" ref="AA58">_xlfn.LET(_xlpm.x, O58:O60, IF(SUM((_xlpm.x="C1")*1)=1, 3, 1))</f>
        <v>1</v>
      </c>
      <c r="AC58" s="152" t="str">
        <v>M3</v>
      </c>
      <c r="AD58" s="131">
        <v>4</v>
      </c>
      <c r="AE58" s="131">
        <v>18</v>
      </c>
      <c r="AF58" s="131">
        <v>4</v>
      </c>
      <c r="AG58" s="131">
        <v>20</v>
      </c>
      <c r="AH58" s="131">
        <v>21</v>
      </c>
      <c r="AI58" s="5"/>
      <c r="AJ58" s="152" t="str">
        <v>M3</v>
      </c>
      <c r="AK58" s="131">
        <v>4</v>
      </c>
      <c r="AL58" s="131">
        <v>18</v>
      </c>
      <c r="AM58" s="131">
        <v>4</v>
      </c>
      <c r="AN58" s="131">
        <v>20</v>
      </c>
      <c r="AO58" s="131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3, 1))</f>
        <v>1</v>
      </c>
      <c r="X59" s="25" cm="1">
        <f t="array" ref="X59">_xlfn.LET(_xlpm.x, L59:L61, IF(SUM((_xlpm.x="C1")*1)=1, 3, 1))</f>
        <v>1</v>
      </c>
      <c r="Y59" s="25" cm="1">
        <f t="array" ref="Y59">_xlfn.LET(_xlpm.x, M59:M61, IF(SUM((_xlpm.x="C1")*1)=1, 3, 1))</f>
        <v>1</v>
      </c>
      <c r="Z59" s="25" cm="1">
        <f t="array" ref="Z59">_xlfn.LET(_xlpm.x, N59:N61, IF(SUM((_xlpm.x="C1")*1)=1, 3, 1))</f>
        <v>1</v>
      </c>
      <c r="AA59" s="25" cm="1">
        <f t="array" ref="AA59">_xlfn.LET(_xlpm.x, O59:O61, IF(SUM((_xlpm.x="C1")*1)=1, 3, 1))</f>
        <v>1</v>
      </c>
      <c r="AC59" s="152" t="str">
        <v>M4</v>
      </c>
      <c r="AD59" s="131">
        <v>40</v>
      </c>
      <c r="AE59" s="131">
        <v>14</v>
      </c>
      <c r="AF59" s="131">
        <v>41</v>
      </c>
      <c r="AG59" s="131">
        <v>14</v>
      </c>
      <c r="AH59" s="131">
        <v>21</v>
      </c>
      <c r="AI59" s="5"/>
      <c r="AJ59" s="152" t="str">
        <v>M4</v>
      </c>
      <c r="AK59" s="131">
        <v>40</v>
      </c>
      <c r="AL59" s="131">
        <v>14</v>
      </c>
      <c r="AM59" s="131">
        <v>41</v>
      </c>
      <c r="AN59" s="131">
        <v>14</v>
      </c>
      <c r="AO59" s="131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3, 1))</f>
        <v>1</v>
      </c>
      <c r="X60" s="25" cm="1">
        <f t="array" ref="X60">_xlfn.LET(_xlpm.x, L60:L62, IF(SUM((_xlpm.x="C1")*1)=1, 3, 1))</f>
        <v>1</v>
      </c>
      <c r="Y60" s="25" cm="1">
        <f t="array" ref="Y60">_xlfn.LET(_xlpm.x, M60:M62, IF(SUM((_xlpm.x="C1")*1)=1, 3, 1))</f>
        <v>1</v>
      </c>
      <c r="Z60" s="25" cm="1">
        <f t="array" ref="Z60">_xlfn.LET(_xlpm.x, N60:N62, IF(SUM((_xlpm.x="C1")*1)=1, 3, 1))</f>
        <v>1</v>
      </c>
      <c r="AA60" s="25" cm="1">
        <f t="array" ref="AA60">_xlfn.LET(_xlpm.x, O60:O62, IF(SUM((_xlpm.x="C1")*1)=1, 3, 1))</f>
        <v>1</v>
      </c>
      <c r="AC60" s="152" t="str">
        <v>M5</v>
      </c>
      <c r="AD60" s="131">
        <v>40</v>
      </c>
      <c r="AE60" s="131">
        <v>14</v>
      </c>
      <c r="AF60" s="131">
        <v>41</v>
      </c>
      <c r="AG60" s="131">
        <v>14</v>
      </c>
      <c r="AH60" s="131">
        <v>21</v>
      </c>
      <c r="AI60" s="5"/>
      <c r="AJ60" s="152" t="str">
        <v>M5</v>
      </c>
      <c r="AK60" s="131">
        <v>40</v>
      </c>
      <c r="AL60" s="131">
        <v>14</v>
      </c>
      <c r="AM60" s="131">
        <v>41</v>
      </c>
      <c r="AN60" s="131">
        <v>14</v>
      </c>
      <c r="AO60" s="131">
        <v>21</v>
      </c>
    </row>
    <row r="61" spans="10:41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3, 1))</f>
        <v>1</v>
      </c>
      <c r="X61" s="25" cm="1">
        <f t="array" ref="X61">_xlfn.LET(_xlpm.x, L61:L63, IF(SUM((_xlpm.x="C1")*1)=1, 3, 1))</f>
        <v>1</v>
      </c>
      <c r="Y61" s="25" cm="1">
        <f t="array" ref="Y61">_xlfn.LET(_xlpm.x, M61:M63, IF(SUM((_xlpm.x="C1")*1)=1, 3, 1))</f>
        <v>3</v>
      </c>
      <c r="Z61" s="25" cm="1">
        <f t="array" ref="Z61">_xlfn.LET(_xlpm.x, N61:N63, IF(SUM((_xlpm.x="C1")*1)=1, 3, 1))</f>
        <v>1</v>
      </c>
      <c r="AA61" s="25" cm="1">
        <f t="array" ref="AA61">_xlfn.LET(_xlpm.x, O61:O63, IF(SUM((_xlpm.x="C1")*1)=1, 3, 1))</f>
        <v>1</v>
      </c>
      <c r="AC61" s="152" t="str">
        <v>A</v>
      </c>
      <c r="AD61" s="131">
        <v>47</v>
      </c>
      <c r="AE61" s="131">
        <v>13</v>
      </c>
      <c r="AF61" s="131">
        <v>41</v>
      </c>
      <c r="AG61" s="131">
        <v>14</v>
      </c>
      <c r="AH61" s="131">
        <v>21</v>
      </c>
      <c r="AI61" s="5"/>
      <c r="AJ61" s="152" t="str">
        <v>A</v>
      </c>
      <c r="AK61" s="131">
        <v>47</v>
      </c>
      <c r="AL61" s="131">
        <v>13</v>
      </c>
      <c r="AM61" s="131">
        <v>41</v>
      </c>
      <c r="AN61" s="131">
        <v>14</v>
      </c>
      <c r="AO61" s="131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3, 1))</f>
        <v>1</v>
      </c>
      <c r="X62" s="25" cm="1">
        <f t="array" ref="X62">_xlfn.LET(_xlpm.x, L62:L64, IF(SUM((_xlpm.x="C1")*1)=1, 3, 1))</f>
        <v>1</v>
      </c>
      <c r="Y62" s="25" cm="1">
        <f t="array" ref="Y62">_xlfn.LET(_xlpm.x, M62:M64, IF(SUM((_xlpm.x="C1")*1)=1, 3, 1))</f>
        <v>3</v>
      </c>
      <c r="Z62" s="25" cm="1">
        <f t="array" ref="Z62">_xlfn.LET(_xlpm.x, N62:N64, IF(SUM((_xlpm.x="C1")*1)=1, 3, 1))</f>
        <v>1</v>
      </c>
      <c r="AA62" s="25" cm="1">
        <f t="array" ref="AA62">_xlfn.LET(_xlpm.x, O62:O64, IF(SUM((_xlpm.x="C1")*1)=1, 3, 1))</f>
        <v>1</v>
      </c>
      <c r="AC62" s="152" t="str">
        <v>K</v>
      </c>
      <c r="AD62" s="131">
        <v>47</v>
      </c>
      <c r="AE62" s="131">
        <v>13</v>
      </c>
      <c r="AF62" s="131">
        <v>41</v>
      </c>
      <c r="AG62" s="131">
        <v>14</v>
      </c>
      <c r="AH62" s="131">
        <v>21</v>
      </c>
      <c r="AI62" s="5"/>
      <c r="AJ62" s="152" t="str">
        <v>K</v>
      </c>
      <c r="AK62" s="131">
        <v>47</v>
      </c>
      <c r="AL62" s="131">
        <v>13</v>
      </c>
      <c r="AM62" s="131">
        <v>41</v>
      </c>
      <c r="AN62" s="131">
        <v>14</v>
      </c>
      <c r="AO62" s="131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3, 1))</f>
        <v>1</v>
      </c>
      <c r="X63" s="25" cm="1">
        <f t="array" ref="X63">_xlfn.LET(_xlpm.x, L63:L65, IF(SUM((_xlpm.x="C1")*1)=1, 3, 1))</f>
        <v>1</v>
      </c>
      <c r="Y63" s="25" cm="1">
        <f t="array" ref="Y63">_xlfn.LET(_xlpm.x, M63:M65, IF(SUM((_xlpm.x="C1")*1)=1, 3, 1))</f>
        <v>3</v>
      </c>
      <c r="Z63" s="25" cm="1">
        <f t="array" ref="Z63">_xlfn.LET(_xlpm.x, N63:N65, IF(SUM((_xlpm.x="C1")*1)=1, 3, 1))</f>
        <v>1</v>
      </c>
      <c r="AA63" s="25" cm="1">
        <f t="array" ref="AA63">_xlfn.LET(_xlpm.x, O63:O65, IF(SUM((_xlpm.x="C1")*1)=1, 3, 1))</f>
        <v>1</v>
      </c>
      <c r="AC63" s="152" t="str">
        <v>Q</v>
      </c>
      <c r="AD63" s="131">
        <v>4</v>
      </c>
      <c r="AE63" s="131">
        <v>17</v>
      </c>
      <c r="AF63" s="131">
        <v>3</v>
      </c>
      <c r="AG63" s="131">
        <v>21</v>
      </c>
      <c r="AH63" s="131">
        <v>21</v>
      </c>
      <c r="AI63" s="5"/>
      <c r="AJ63" s="152" t="str">
        <v>Q</v>
      </c>
      <c r="AK63" s="131">
        <v>4</v>
      </c>
      <c r="AL63" s="131">
        <v>17</v>
      </c>
      <c r="AM63" s="131">
        <v>3</v>
      </c>
      <c r="AN63" s="131">
        <v>21</v>
      </c>
      <c r="AO63" s="131">
        <v>21</v>
      </c>
    </row>
    <row r="64" spans="10:41" ht="16.5" customHeight="1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3, 1))</f>
        <v>1</v>
      </c>
      <c r="X64" s="25" cm="1">
        <f t="array" ref="X64">_xlfn.LET(_xlpm.x, L64:L66, IF(SUM((_xlpm.x="C1")*1)=1, 3, 1))</f>
        <v>1</v>
      </c>
      <c r="Y64" s="25" cm="1">
        <f t="array" ref="Y64">_xlfn.LET(_xlpm.x, M64:M66, IF(SUM((_xlpm.x="C1")*1)=1, 3, 1))</f>
        <v>1</v>
      </c>
      <c r="Z64" s="25" cm="1">
        <f t="array" ref="Z64">_xlfn.LET(_xlpm.x, N64:N66, IF(SUM((_xlpm.x="C1")*1)=1, 3, 1))</f>
        <v>1</v>
      </c>
      <c r="AA64" s="25" cm="1">
        <f t="array" ref="AA64">_xlfn.LET(_xlpm.x, O64:O66, IF(SUM((_xlpm.x="C1")*1)=1, 3, 1))</f>
        <v>1</v>
      </c>
      <c r="AC64" s="152" t="str">
        <v>J</v>
      </c>
      <c r="AD64" s="131">
        <v>4</v>
      </c>
      <c r="AE64" s="131">
        <v>17</v>
      </c>
      <c r="AF64" s="131">
        <v>3</v>
      </c>
      <c r="AG64" s="131">
        <v>21</v>
      </c>
      <c r="AH64" s="131">
        <v>21</v>
      </c>
      <c r="AI64" s="5"/>
      <c r="AJ64" s="152" t="str">
        <v>J</v>
      </c>
      <c r="AK64" s="131">
        <v>4</v>
      </c>
      <c r="AL64" s="131">
        <v>17</v>
      </c>
      <c r="AM64" s="131">
        <v>3</v>
      </c>
      <c r="AN64" s="131">
        <v>21</v>
      </c>
      <c r="AO64" s="131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3, 1))</f>
        <v>1</v>
      </c>
      <c r="X65" s="25" cm="1">
        <f t="array" ref="X65">_xlfn.LET(_xlpm.x, L65:L67, IF(SUM((_xlpm.x="C1")*1)=1, 3, 1))</f>
        <v>1</v>
      </c>
      <c r="Y65" s="25" cm="1">
        <f t="array" ref="Y65">_xlfn.LET(_xlpm.x, M65:M67, IF(SUM((_xlpm.x="C1")*1)=1, 3, 1))</f>
        <v>1</v>
      </c>
      <c r="Z65" s="25" cm="1">
        <f t="array" ref="Z65">_xlfn.LET(_xlpm.x, N65:N67, IF(SUM((_xlpm.x="C1")*1)=1, 3, 1))</f>
        <v>1</v>
      </c>
      <c r="AA65" s="25" cm="1">
        <f t="array" ref="AA65">_xlfn.LET(_xlpm.x, O65:O67, IF(SUM((_xlpm.x="C1")*1)=1, 3, 1))</f>
        <v>1</v>
      </c>
      <c r="AC65" s="136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6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21</v>
      </c>
      <c r="L66" s="16" t="s">
        <v>89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12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3, 1))</f>
        <v>1</v>
      </c>
      <c r="X66" s="25" cm="1">
        <f t="array" ref="X66">_xlfn.LET(_xlpm.x, L66:L68, IF(SUM((_xlpm.x="C1")*1)=1, 3, 1))</f>
        <v>1</v>
      </c>
      <c r="Y66" s="25" cm="1">
        <f t="array" ref="Y66">_xlfn.LET(_xlpm.x, M66:M68, IF(SUM((_xlpm.x="C1")*1)=1, 3, 1))</f>
        <v>1</v>
      </c>
      <c r="Z66" s="25" cm="1">
        <f t="array" ref="Z66">_xlfn.LET(_xlpm.x, N66:N68, IF(SUM((_xlpm.x="C1")*1)=1, 3, 1))</f>
        <v>1</v>
      </c>
      <c r="AA66" s="25" cm="1">
        <f t="array" ref="AA66">_xlfn.LET(_xlpm.x, O66:O68, IF(SUM((_xlpm.x="C1")*1)=1, 3, 1))</f>
        <v>1</v>
      </c>
      <c r="AC66" s="136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6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3, 1))</f>
        <v>3</v>
      </c>
      <c r="X67" s="25" cm="1">
        <f t="array" ref="X67">_xlfn.LET(_xlpm.x, L67:L69, IF(SUM((_xlpm.x="C1")*1)=1, 3, 1))</f>
        <v>1</v>
      </c>
      <c r="Y67" s="25" cm="1">
        <f t="array" ref="Y67">_xlfn.LET(_xlpm.x, M67:M69, IF(SUM((_xlpm.x="C1")*1)=1, 3, 1))</f>
        <v>1</v>
      </c>
      <c r="Z67" s="25" cm="1">
        <f t="array" ref="Z67">_xlfn.LET(_xlpm.x, N67:N69, IF(SUM((_xlpm.x="C1")*1)=1, 3, 1))</f>
        <v>1</v>
      </c>
      <c r="AA67" s="25" cm="1">
        <f t="array" ref="AA67">_xlfn.LET(_xlpm.x, O67:O69, IF(SUM((_xlpm.x="C1")*1)=1, 3, 1))</f>
        <v>1</v>
      </c>
      <c r="AC67" s="136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6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3, 1))</f>
        <v>3</v>
      </c>
      <c r="X68" s="25" cm="1">
        <f t="array" ref="X68">_xlfn.LET(_xlpm.x, L68:L70, IF(SUM((_xlpm.x="C1")*1)=1, 3, 1))</f>
        <v>1</v>
      </c>
      <c r="Y68" s="25" cm="1">
        <f t="array" ref="Y68">_xlfn.LET(_xlpm.x, M68:M70, IF(SUM((_xlpm.x="C1")*1)=1, 3, 1))</f>
        <v>1</v>
      </c>
      <c r="Z68" s="25" cm="1">
        <f t="array" ref="Z68">_xlfn.LET(_xlpm.x, N68:N70, IF(SUM((_xlpm.x="C1")*1)=1, 3, 1))</f>
        <v>1</v>
      </c>
      <c r="AA68" s="25" cm="1">
        <f t="array" ref="AA68">_xlfn.LET(_xlpm.x, O68:O70, IF(SUM((_xlpm.x="C1")*1)=1, 3, 1))</f>
        <v>1</v>
      </c>
      <c r="AC68" s="136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6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3, 1))</f>
        <v>3</v>
      </c>
      <c r="X69" s="25" cm="1">
        <f t="array" ref="X69">_xlfn.LET(_xlpm.x, L69:L71, IF(SUM((_xlpm.x="C1")*1)=1, 3, 1))</f>
        <v>1</v>
      </c>
      <c r="Y69" s="25" cm="1">
        <f t="array" ref="Y69">_xlfn.LET(_xlpm.x, M69:M71, IF(SUM((_xlpm.x="C1")*1)=1, 3, 1))</f>
        <v>1</v>
      </c>
      <c r="Z69" s="25" cm="1">
        <f t="array" ref="Z69">_xlfn.LET(_xlpm.x, N69:N71, IF(SUM((_xlpm.x="C1")*1)=1, 3, 1))</f>
        <v>1</v>
      </c>
      <c r="AA69" s="25" cm="1">
        <f t="array" ref="AA69">_xlfn.LET(_xlpm.x, O69:O71, IF(SUM((_xlpm.x="C1")*1)=1, 3, 1))</f>
        <v>1</v>
      </c>
      <c r="AC69" s="136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6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3, 1))</f>
        <v>1</v>
      </c>
      <c r="X70" s="25" cm="1">
        <f t="array" ref="X70">_xlfn.LET(_xlpm.x, L70:L72, IF(SUM((_xlpm.x="C1")*1)=1, 3, 1))</f>
        <v>3</v>
      </c>
      <c r="Y70" s="25" cm="1">
        <f t="array" ref="Y70">_xlfn.LET(_xlpm.x, M70:M72, IF(SUM((_xlpm.x="C1")*1)=1, 3, 1))</f>
        <v>1</v>
      </c>
      <c r="Z70" s="25" cm="1">
        <f t="array" ref="Z70">_xlfn.LET(_xlpm.x, N70:N72, IF(SUM((_xlpm.x="C1")*1)=1, 3, 1))</f>
        <v>1</v>
      </c>
      <c r="AA70" s="25" cm="1">
        <f t="array" ref="AA70">_xlfn.LET(_xlpm.x, O70:O72, IF(SUM((_xlpm.x="C1")*1)=1, 3, 1))</f>
        <v>1</v>
      </c>
      <c r="AC70" s="136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6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3, 1))</f>
        <v>1</v>
      </c>
      <c r="X71" s="25" cm="1">
        <f t="array" ref="X71">_xlfn.LET(_xlpm.x, L71:L73, IF(SUM((_xlpm.x="C1")*1)=1, 3, 1))</f>
        <v>3</v>
      </c>
      <c r="Y71" s="25" cm="1">
        <f t="array" ref="Y71">_xlfn.LET(_xlpm.x, M71:M73, IF(SUM((_xlpm.x="C1")*1)=1, 3, 1))</f>
        <v>1</v>
      </c>
      <c r="Z71" s="25" cm="1">
        <f t="array" ref="Z71">_xlfn.LET(_xlpm.x, N71:N73, IF(SUM((_xlpm.x="C1")*1)=1, 3, 1))</f>
        <v>1</v>
      </c>
      <c r="AA71" s="25" cm="1">
        <f t="array" ref="AA71">_xlfn.LET(_xlpm.x, O71:O73, IF(SUM((_xlpm.x="C1")*1)=1, 3, 1))</f>
        <v>1</v>
      </c>
      <c r="AC71" s="136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6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3, 1))</f>
        <v>1</v>
      </c>
      <c r="X72" s="25" cm="1">
        <f t="array" ref="X72">_xlfn.LET(_xlpm.x, L72:L74, IF(SUM((_xlpm.x="C1")*1)=1, 3, 1))</f>
        <v>3</v>
      </c>
      <c r="Y72" s="25" cm="1">
        <f t="array" ref="Y72">_xlfn.LET(_xlpm.x, M72:M74, IF(SUM((_xlpm.x="C1")*1)=1, 3, 1))</f>
        <v>1</v>
      </c>
      <c r="Z72" s="25" cm="1">
        <f t="array" ref="Z72">_xlfn.LET(_xlpm.x, N72:N74, IF(SUM((_xlpm.x="C1")*1)=1, 3, 1))</f>
        <v>1</v>
      </c>
      <c r="AA72" s="25" cm="1">
        <f t="array" ref="AA72">_xlfn.LET(_xlpm.x, O72:O74, IF(SUM((_xlpm.x="C1")*1)=1, 3, 1))</f>
        <v>1</v>
      </c>
      <c r="AC72" s="136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6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3, 1))</f>
        <v>1</v>
      </c>
      <c r="X73" s="25" cm="1">
        <f t="array" ref="X73">_xlfn.LET(_xlpm.x, L73:L75, IF(SUM((_xlpm.x="C1")*1)=1, 3, 1))</f>
        <v>1</v>
      </c>
      <c r="Y73" s="25" cm="1">
        <f t="array" ref="Y73">_xlfn.LET(_xlpm.x, M73:M75, IF(SUM((_xlpm.x="C1")*1)=1, 3, 1))</f>
        <v>1</v>
      </c>
      <c r="Z73" s="25" cm="1">
        <f t="array" ref="Z73">_xlfn.LET(_xlpm.x, N73:N75, IF(SUM((_xlpm.x="C1")*1)=1, 3, 1))</f>
        <v>3</v>
      </c>
      <c r="AA73" s="25" cm="1">
        <f t="array" ref="AA73">_xlfn.LET(_xlpm.x, O73:O75, IF(SUM((_xlpm.x="C1")*1)=1, 3, 1))</f>
        <v>1</v>
      </c>
      <c r="AC73" s="136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6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3, 1))</f>
        <v>1</v>
      </c>
      <c r="X74" s="25" cm="1">
        <f t="array" ref="X74">_xlfn.LET(_xlpm.x, L74:L76, IF(SUM((_xlpm.x="C1")*1)=1, 3, 1))</f>
        <v>1</v>
      </c>
      <c r="Y74" s="25" cm="1">
        <f t="array" ref="Y74">_xlfn.LET(_xlpm.x, M74:M76, IF(SUM((_xlpm.x="C1")*1)=1, 3, 1))</f>
        <v>1</v>
      </c>
      <c r="Z74" s="25" cm="1">
        <f t="array" ref="Z74">_xlfn.LET(_xlpm.x, N74:N76, IF(SUM((_xlpm.x="C1")*1)=1, 3, 1))</f>
        <v>3</v>
      </c>
      <c r="AA74" s="25" cm="1">
        <f t="array" ref="AA74">_xlfn.LET(_xlpm.x, O74:O76, IF(SUM((_xlpm.x="C1")*1)=1, 3, 1))</f>
        <v>1</v>
      </c>
      <c r="AD74" s="111">
        <f>SUM(AD54:AD73)</f>
        <v>195</v>
      </c>
      <c r="AE74" s="111">
        <f>SUM(AE54:AE73)</f>
        <v>204</v>
      </c>
      <c r="AF74" s="111">
        <f>SUM(AF54:AF73)</f>
        <v>204</v>
      </c>
      <c r="AG74" s="111">
        <f>SUM(AG54:AG73)</f>
        <v>203</v>
      </c>
      <c r="AH74" s="111">
        <f>SUM(AH54:AH73)</f>
        <v>194</v>
      </c>
      <c r="AI74" s="5"/>
      <c r="AK74" s="111">
        <f>SUM(AK54:AK73)</f>
        <v>195</v>
      </c>
      <c r="AL74" s="111">
        <f>SUM(AL54:AL73)</f>
        <v>204</v>
      </c>
      <c r="AM74" s="111">
        <f>SUM(AM54:AM73)</f>
        <v>204</v>
      </c>
      <c r="AN74" s="111">
        <f>SUM(AN54:AN73)</f>
        <v>203</v>
      </c>
      <c r="AO74" s="111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3, 1))</f>
        <v>1</v>
      </c>
      <c r="X75" s="25" cm="1">
        <f t="array" ref="X75">_xlfn.LET(_xlpm.x, L75:L77, IF(SUM((_xlpm.x="C1")*1)=1, 3, 1))</f>
        <v>1</v>
      </c>
      <c r="Y75" s="25" cm="1">
        <f t="array" ref="Y75">_xlfn.LET(_xlpm.x, M75:M77, IF(SUM((_xlpm.x="C1")*1)=1, 3, 1))</f>
        <v>1</v>
      </c>
      <c r="Z75" s="25" cm="1">
        <f t="array" ref="Z75">_xlfn.LET(_xlpm.x, N75:N77, IF(SUM((_xlpm.x="C1")*1)=1, 3, 1))</f>
        <v>3</v>
      </c>
      <c r="AA75" s="25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89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12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3, 1))</f>
        <v>1</v>
      </c>
      <c r="X76" s="25" cm="1">
        <f t="array" ref="X76">_xlfn.LET(_xlpm.x, L76:L78, IF(SUM((_xlpm.x="C1")*1)=1, 3, 1))</f>
        <v>1</v>
      </c>
      <c r="Y76" s="25" cm="1">
        <f t="array" ref="Y76">_xlfn.LET(_xlpm.x, M76:M78, IF(SUM((_xlpm.x="C1")*1)=1, 3, 1))</f>
        <v>1</v>
      </c>
      <c r="Z76" s="25" cm="1">
        <f t="array" ref="Z76">_xlfn.LET(_xlpm.x, N76:N78, IF(SUM((_xlpm.x="C1")*1)=1, 3, 1))</f>
        <v>1</v>
      </c>
      <c r="AA76" s="25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3, 1))</f>
        <v>1</v>
      </c>
      <c r="X77" s="25" cm="1">
        <f t="array" ref="X77">_xlfn.LET(_xlpm.x, L77:L79, IF(SUM((_xlpm.x="C1")*1)=1, 3, 1))</f>
        <v>1</v>
      </c>
      <c r="Y77" s="25" cm="1">
        <f t="array" ref="Y77">_xlfn.LET(_xlpm.x, M77:M79, IF(SUM((_xlpm.x="C1")*1)=1, 3, 1))</f>
        <v>1</v>
      </c>
      <c r="Z77" s="25" cm="1">
        <f t="array" ref="Z77">_xlfn.LET(_xlpm.x, N77:N79, IF(SUM((_xlpm.x="C1")*1)=1, 3, 1))</f>
        <v>1</v>
      </c>
      <c r="AA77" s="25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3, 1))</f>
        <v>1</v>
      </c>
      <c r="X78" s="25" cm="1">
        <f t="array" ref="X78">_xlfn.LET(_xlpm.x, L78:L80, IF(SUM((_xlpm.x="C1")*1)=1, 3, 1))</f>
        <v>1</v>
      </c>
      <c r="Y78" s="25" cm="1">
        <f t="array" ref="Y78">_xlfn.LET(_xlpm.x, M78:M80, IF(SUM((_xlpm.x="C1")*1)=1, 3, 1))</f>
        <v>1</v>
      </c>
      <c r="Z78" s="25" cm="1">
        <f t="array" ref="Z78">_xlfn.LET(_xlpm.x, N78:N80, IF(SUM((_xlpm.x="C1")*1)=1, 3, 1))</f>
        <v>1</v>
      </c>
      <c r="AA78" s="25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3, 1))</f>
        <v>1</v>
      </c>
      <c r="X79" s="25" cm="1">
        <f t="array" ref="X79">_xlfn.LET(_xlpm.x, L79:L81, IF(SUM((_xlpm.x="C1")*1)=1, 3, 1))</f>
        <v>1</v>
      </c>
      <c r="Y79" s="25" cm="1">
        <f t="array" ref="Y79">_xlfn.LET(_xlpm.x, M79:M81, IF(SUM((_xlpm.x="C1")*1)=1, 3, 1))</f>
        <v>1</v>
      </c>
      <c r="Z79" s="25" cm="1">
        <f t="array" ref="Z79">_xlfn.LET(_xlpm.x, N79:N81, IF(SUM((_xlpm.x="C1")*1)=1, 3, 1))</f>
        <v>1</v>
      </c>
      <c r="AA79" s="25" cm="1">
        <f t="array" ref="AA79">_xlfn.LET(_xlpm.x, O79:O81, IF(SUM((_xlpm.x="C1")*1)=1, 3, 1))</f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88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11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3, 1))</f>
        <v>1</v>
      </c>
      <c r="X80" s="25" cm="1">
        <f t="array" ref="X80">_xlfn.LET(_xlpm.x, L80:L82, IF(SUM((_xlpm.x="C1")*1)=1, 3, 1))</f>
        <v>1</v>
      </c>
      <c r="Y80" s="25" cm="1">
        <f t="array" ref="Y80">_xlfn.LET(_xlpm.x, M80:M82, IF(SUM((_xlpm.x="C1")*1)=1, 3, 1))</f>
        <v>1</v>
      </c>
      <c r="Z80" s="25" cm="1">
        <f t="array" ref="Z80">_xlfn.LET(_xlpm.x, N80:N82, IF(SUM((_xlpm.x="C1")*1)=1, 3, 1))</f>
        <v>1</v>
      </c>
      <c r="AA80" s="25" cm="1">
        <f t="array" ref="AA80">_xlfn.LET(_xlpm.x, O80:O82, IF(SUM((_xlpm.x="C1")*1)=1, 3, 1))</f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3, 1))</f>
        <v>1</v>
      </c>
      <c r="X81" s="25" cm="1">
        <f t="array" ref="X81">_xlfn.LET(_xlpm.x, L81:L83, IF(SUM((_xlpm.x="C1")*1)=1, 3, 1))</f>
        <v>1</v>
      </c>
      <c r="Y81" s="25" cm="1">
        <f t="array" ref="Y81">_xlfn.LET(_xlpm.x, M81:M83, IF(SUM((_xlpm.x="C1")*1)=1, 3, 1))</f>
        <v>1</v>
      </c>
      <c r="Z81" s="25" cm="1">
        <f t="array" ref="Z81">_xlfn.LET(_xlpm.x, N81:N83, IF(SUM((_xlpm.x="C1")*1)=1, 3, 1))</f>
        <v>1</v>
      </c>
      <c r="AA81" s="25" cm="1">
        <f t="array" ref="AA81">_xlfn.LET(_xlpm.x, O81:O83, IF(SUM((_xlpm.x="C1")*1)=1, 3, 1))</f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3, 1))</f>
        <v>1</v>
      </c>
      <c r="X82" s="25" cm="1">
        <f t="array" ref="X82">_xlfn.LET(_xlpm.x, L82:L84, IF(SUM((_xlpm.x="C1")*1)=1, 3, 1))</f>
        <v>1</v>
      </c>
      <c r="Y82" s="25" cm="1">
        <f t="array" ref="Y82">_xlfn.LET(_xlpm.x, M82:M84, IF(SUM((_xlpm.x="C1")*1)=1, 3, 1))</f>
        <v>1</v>
      </c>
      <c r="Z82" s="25" cm="1">
        <f t="array" ref="Z82">_xlfn.LET(_xlpm.x, N82:N84, IF(SUM((_xlpm.x="C1")*1)=1, 3, 1))</f>
        <v>3</v>
      </c>
      <c r="AA82" s="25" cm="1">
        <f t="array" ref="AA82">_xlfn.LET(_xlpm.x, O82:O84, IF(SUM((_xlpm.x="C1")*1)=1, 3, 1))</f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3, 1))</f>
        <v>1</v>
      </c>
      <c r="X83" s="25" cm="1">
        <f t="array" ref="X83">_xlfn.LET(_xlpm.x, L83:L85, IF(SUM((_xlpm.x="C1")*1)=1, 3, 1))</f>
        <v>1</v>
      </c>
      <c r="Y83" s="25" cm="1">
        <f t="array" ref="Y83">_xlfn.LET(_xlpm.x, M83:M85, IF(SUM((_xlpm.x="C1")*1)=1, 3, 1))</f>
        <v>1</v>
      </c>
      <c r="Z83" s="25" cm="1">
        <f t="array" ref="Z83">_xlfn.LET(_xlpm.x, N83:N85, IF(SUM((_xlpm.x="C1")*1)=1, 3, 1))</f>
        <v>3</v>
      </c>
      <c r="AA83" s="25" cm="1">
        <f t="array" ref="AA83">_xlfn.LET(_xlpm.x, O83:O85, IF(SUM((_xlpm.x="C1")*1)=1, 3, 1))</f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3, 1))</f>
        <v>1</v>
      </c>
      <c r="X84" s="25" cm="1">
        <f t="array" ref="X84">_xlfn.LET(_xlpm.x, L84:L86, IF(SUM((_xlpm.x="C1")*1)=1, 3, 1))</f>
        <v>1</v>
      </c>
      <c r="Y84" s="25" cm="1">
        <f t="array" ref="Y84">_xlfn.LET(_xlpm.x, M84:M86, IF(SUM((_xlpm.x="C1")*1)=1, 3, 1))</f>
        <v>1</v>
      </c>
      <c r="Z84" s="25" cm="1">
        <f t="array" ref="Z84">_xlfn.LET(_xlpm.x, N84:N86, IF(SUM((_xlpm.x="C1")*1)=1, 3, 1))</f>
        <v>3</v>
      </c>
      <c r="AA84" s="25" cm="1">
        <f t="array" ref="AA84">_xlfn.LET(_xlpm.x, O84:O86, IF(SUM((_xlpm.x="C1")*1)=1, 3, 1))</f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92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16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3, 1))</f>
        <v>1</v>
      </c>
      <c r="X85" s="25" cm="1">
        <f t="array" ref="X85">_xlfn.LET(_xlpm.x, L85:L87, IF(SUM((_xlpm.x="C1")*1)=1, 3, 1))</f>
        <v>1</v>
      </c>
      <c r="Y85" s="25" cm="1">
        <f t="array" ref="Y85">_xlfn.LET(_xlpm.x, M85:M87, IF(SUM((_xlpm.x="C1")*1)=1, 3, 1))</f>
        <v>1</v>
      </c>
      <c r="Z85" s="25" cm="1">
        <f t="array" ref="Z85">_xlfn.LET(_xlpm.x, N85:N87, IF(SUM((_xlpm.x="C1")*1)=1, 3, 1))</f>
        <v>1</v>
      </c>
      <c r="AA85" s="25" cm="1">
        <f t="array" ref="AA85">_xlfn.LET(_xlpm.x, O85:O87, IF(SUM((_xlpm.x="C1")*1)=1, 3, 1))</f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91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14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3, 1))</f>
        <v>1</v>
      </c>
      <c r="X86" s="25" cm="1">
        <f t="array" ref="X86">_xlfn.LET(_xlpm.x, L86:L88, IF(SUM((_xlpm.x="C1")*1)=1, 3, 1))</f>
        <v>1</v>
      </c>
      <c r="Y86" s="25" cm="1">
        <f t="array" ref="Y86">_xlfn.LET(_xlpm.x, M86:M88, IF(SUM((_xlpm.x="C1")*1)=1, 3, 1))</f>
        <v>1</v>
      </c>
      <c r="Z86" s="25" cm="1">
        <f t="array" ref="Z86">_xlfn.LET(_xlpm.x, N86:N88, IF(SUM((_xlpm.x="C1")*1)=1, 3, 1))</f>
        <v>1</v>
      </c>
      <c r="AA86" s="25" cm="1">
        <f t="array" ref="AA86">_xlfn.LET(_xlpm.x, O86:O88, IF(SUM((_xlpm.x="C1")*1)=1, 3, 1))</f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3, 1))</f>
        <v>3</v>
      </c>
      <c r="X87" s="25" cm="1">
        <f t="array" ref="X87">_xlfn.LET(_xlpm.x, L87:L89, IF(SUM((_xlpm.x="C1")*1)=1, 3, 1))</f>
        <v>1</v>
      </c>
      <c r="Y87" s="25" cm="1">
        <f t="array" ref="Y87">_xlfn.LET(_xlpm.x, M87:M89, IF(SUM((_xlpm.x="C1")*1)=1, 3, 1))</f>
        <v>1</v>
      </c>
      <c r="Z87" s="25" cm="1">
        <f t="array" ref="Z87">_xlfn.LET(_xlpm.x, N87:N89, IF(SUM((_xlpm.x="C1")*1)=1, 3, 1))</f>
        <v>1</v>
      </c>
      <c r="AA87" s="25" cm="1">
        <f t="array" ref="AA87">_xlfn.LET(_xlpm.x, O87:O89, IF(SUM((_xlpm.x="C1")*1)=1, 3, 1))</f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3, 1))</f>
        <v>3</v>
      </c>
      <c r="X88" s="25" cm="1">
        <f t="array" ref="X88">_xlfn.LET(_xlpm.x, L88:L90, IF(SUM((_xlpm.x="C1")*1)=1, 3, 1))</f>
        <v>1</v>
      </c>
      <c r="Y88" s="25" cm="1">
        <f t="array" ref="Y88">_xlfn.LET(_xlpm.x, M88:M90, IF(SUM((_xlpm.x="C1")*1)=1, 3, 1))</f>
        <v>1</v>
      </c>
      <c r="Z88" s="25" cm="1">
        <f t="array" ref="Z88">_xlfn.LET(_xlpm.x, N88:N90, IF(SUM((_xlpm.x="C1")*1)=1, 3, 1))</f>
        <v>1</v>
      </c>
      <c r="AA88" s="25" cm="1">
        <f t="array" ref="AA88">_xlfn.LET(_xlpm.x, O88:O90, IF(SUM((_xlpm.x="C1")*1)=1, 3, 1))</f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3, 1))</f>
        <v>3</v>
      </c>
      <c r="X89" s="25" cm="1">
        <f t="array" ref="X89">_xlfn.LET(_xlpm.x, L89:L91, IF(SUM((_xlpm.x="C1")*1)=1, 3, 1))</f>
        <v>3</v>
      </c>
      <c r="Y89" s="25" cm="1">
        <f t="array" ref="Y89">_xlfn.LET(_xlpm.x, M89:M91, IF(SUM((_xlpm.x="C1")*1)=1, 3, 1))</f>
        <v>1</v>
      </c>
      <c r="Z89" s="25" cm="1">
        <f t="array" ref="Z89">_xlfn.LET(_xlpm.x, N89:N91, IF(SUM((_xlpm.x="C1")*1)=1, 3, 1))</f>
        <v>1</v>
      </c>
      <c r="AA89" s="25" cm="1">
        <f t="array" ref="AA89">_xlfn.LET(_xlpm.x, O89:O91, IF(SUM((_xlpm.x="C1")*1)=1, 3, 1))</f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3, 1))</f>
        <v>1</v>
      </c>
      <c r="X90" s="25" cm="1">
        <f t="array" ref="X90">_xlfn.LET(_xlpm.x, L90:L92, IF(SUM((_xlpm.x="C1")*1)=1, 3, 1))</f>
        <v>3</v>
      </c>
      <c r="Y90" s="25" cm="1">
        <f t="array" ref="Y90">_xlfn.LET(_xlpm.x, M90:M92, IF(SUM((_xlpm.x="C1")*1)=1, 3, 1))</f>
        <v>1</v>
      </c>
      <c r="Z90" s="25" cm="1">
        <f t="array" ref="Z90">_xlfn.LET(_xlpm.x, N90:N92, IF(SUM((_xlpm.x="C1")*1)=1, 3, 1))</f>
        <v>1</v>
      </c>
      <c r="AA90" s="25" cm="1">
        <f t="array" ref="AA90">_xlfn.LET(_xlpm.x, O90:O92, IF(SUM((_xlpm.x="C1")*1)=1, 3, 1))</f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3, 1))</f>
        <v>1</v>
      </c>
      <c r="X91" s="25" cm="1">
        <f t="array" ref="X91">_xlfn.LET(_xlpm.x, L91:L93, IF(SUM((_xlpm.x="C1")*1)=1, 3, 1))</f>
        <v>3</v>
      </c>
      <c r="Y91" s="25" cm="1">
        <f t="array" ref="Y91">_xlfn.LET(_xlpm.x, M91:M93, IF(SUM((_xlpm.x="C1")*1)=1, 3, 1))</f>
        <v>3</v>
      </c>
      <c r="Z91" s="25" cm="1">
        <f t="array" ref="Z91">_xlfn.LET(_xlpm.x, N91:N93, IF(SUM((_xlpm.x="C1")*1)=1, 3, 1))</f>
        <v>1</v>
      </c>
      <c r="AA91" s="25" cm="1">
        <f t="array" ref="AA91">_xlfn.LET(_xlpm.x, O91:O93, IF(SUM((_xlpm.x="C1")*1)=1, 3, 1))</f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14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3, 1))</f>
        <v>1</v>
      </c>
      <c r="X92" s="25" cm="1">
        <f t="array" ref="X92">_xlfn.LET(_xlpm.x, L92:L94, IF(SUM((_xlpm.x="C1")*1)=1, 3, 1))</f>
        <v>1</v>
      </c>
      <c r="Y92" s="25" cm="1">
        <f t="array" ref="Y92">_xlfn.LET(_xlpm.x, M92:M94, IF(SUM((_xlpm.x="C1")*1)=1, 3, 1))</f>
        <v>3</v>
      </c>
      <c r="Z92" s="25" cm="1">
        <f t="array" ref="Z92">_xlfn.LET(_xlpm.x, N92:N94, IF(SUM((_xlpm.x="C1")*1)=1, 3, 1))</f>
        <v>1</v>
      </c>
      <c r="AA92" s="25" cm="1">
        <f t="array" ref="AA92">_xlfn.LET(_xlpm.x, O92:O94, IF(SUM((_xlpm.x="C1")*1)=1, 3, 1))</f>
        <v>3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3, 1))</f>
        <v>1</v>
      </c>
      <c r="X93" s="25" cm="1">
        <f t="array" ref="X93">_xlfn.LET(_xlpm.x, L93:L95, IF(SUM((_xlpm.x="C1")*1)=1, 3, 1))</f>
        <v>1</v>
      </c>
      <c r="Y93" s="25" cm="1">
        <f t="array" ref="Y93">_xlfn.LET(_xlpm.x, M93:M95, IF(SUM((_xlpm.x="C1")*1)=1, 3, 1))</f>
        <v>3</v>
      </c>
      <c r="Z93" s="25" cm="1">
        <f t="array" ref="Z93">_xlfn.LET(_xlpm.x, N93:N95, IF(SUM((_xlpm.x="C1")*1)=1, 3, 1))</f>
        <v>1</v>
      </c>
      <c r="AA93" s="25" cm="1">
        <f t="array" ref="AA93">_xlfn.LET(_xlpm.x, O93:O95, IF(SUM((_xlpm.x="C1")*1)=1, 3, 1))</f>
        <v>3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3, 1))</f>
        <v>1</v>
      </c>
      <c r="X94" s="25" cm="1">
        <f t="array" ref="X94">_xlfn.LET(_xlpm.x, L94:L96, IF(SUM((_xlpm.x="C1")*1)=1, 3, 1))</f>
        <v>1</v>
      </c>
      <c r="Y94" s="25" cm="1">
        <f t="array" ref="Y94">_xlfn.LET(_xlpm.x, M94:M96, IF(SUM((_xlpm.x="C1")*1)=1, 3, 1))</f>
        <v>1</v>
      </c>
      <c r="Z94" s="25" cm="1">
        <f t="array" ref="Z94">_xlfn.LET(_xlpm.x, N94:N96, IF(SUM((_xlpm.x="C1")*1)=1, 3, 1))</f>
        <v>1</v>
      </c>
      <c r="AA94" s="25" cm="1">
        <f t="array" ref="AA94">_xlfn.LET(_xlpm.x, O94:O96, IF(SUM((_xlpm.x="C1")*1)=1, 3, 1))</f>
        <v>3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3, 1))</f>
        <v>1</v>
      </c>
      <c r="X95" s="25" cm="1">
        <f t="array" ref="X95">_xlfn.LET(_xlpm.x, L95:L97, IF(SUM((_xlpm.x="C1")*1)=1, 3, 1))</f>
        <v>1</v>
      </c>
      <c r="Y95" s="25" cm="1">
        <f t="array" ref="Y95">_xlfn.LET(_xlpm.x, M95:M97, IF(SUM((_xlpm.x="C1")*1)=1, 3, 1))</f>
        <v>1</v>
      </c>
      <c r="Z95" s="25" cm="1">
        <f t="array" ref="Z95">_xlfn.LET(_xlpm.x, N95:N97, IF(SUM((_xlpm.x="C1")*1)=1, 3, 1))</f>
        <v>1</v>
      </c>
      <c r="AA95" s="25" cm="1">
        <f t="array" ref="AA95">_xlfn.LET(_xlpm.x, O95:O97, IF(SUM((_xlpm.x="C1")*1)=1, 3, 1))</f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3, 1))</f>
        <v>1</v>
      </c>
      <c r="X96" s="25" cm="1">
        <f t="array" ref="X96">_xlfn.LET(_xlpm.x, L96:L98, IF(SUM((_xlpm.x="C1")*1)=1, 3, 1))</f>
        <v>1</v>
      </c>
      <c r="Y96" s="25" cm="1">
        <f t="array" ref="Y96">_xlfn.LET(_xlpm.x, M96:M98, IF(SUM((_xlpm.x="C1")*1)=1, 3, 1))</f>
        <v>1</v>
      </c>
      <c r="Z96" s="25" cm="1">
        <f t="array" ref="Z96">_xlfn.LET(_xlpm.x, N96:N98, IF(SUM((_xlpm.x="C1")*1)=1, 3, 1))</f>
        <v>1</v>
      </c>
      <c r="AA96" s="25" cm="1">
        <f t="array" ref="AA96">_xlfn.LET(_xlpm.x, O96:O98, IF(SUM((_xlpm.x="C1")*1)=1, 3, 1))</f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3, 1))</f>
        <v>1</v>
      </c>
      <c r="X97" s="25" cm="1">
        <f t="array" ref="X97">_xlfn.LET(_xlpm.x, L97:L99, IF(SUM((_xlpm.x="C1")*1)=1, 3, 1))</f>
        <v>1</v>
      </c>
      <c r="Y97" s="25" cm="1">
        <f t="array" ref="Y97">_xlfn.LET(_xlpm.x, M97:M99, IF(SUM((_xlpm.x="C1")*1)=1, 3, 1))</f>
        <v>1</v>
      </c>
      <c r="Z97" s="25" cm="1">
        <f t="array" ref="Z97">_xlfn.LET(_xlpm.x, N97:N99, IF(SUM((_xlpm.x="C1")*1)=1, 3, 1))</f>
        <v>1</v>
      </c>
      <c r="AA97" s="25" cm="1">
        <f t="array" ref="AA97">_xlfn.LET(_xlpm.x, O97:O99, IF(SUM((_xlpm.x="C1")*1)=1, 3, 1))</f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3, 1))</f>
        <v>1</v>
      </c>
      <c r="X98" s="25" cm="1">
        <f t="array" ref="X98">_xlfn.LET(_xlpm.x, L98:L100, IF(SUM((_xlpm.x="C1")*1)=1, 3, 1))</f>
        <v>1</v>
      </c>
      <c r="Y98" s="25" cm="1">
        <f t="array" ref="Y98">_xlfn.LET(_xlpm.x, M98:M100, IF(SUM((_xlpm.x="C1")*1)=1, 3, 1))</f>
        <v>1</v>
      </c>
      <c r="Z98" s="25" cm="1">
        <f t="array" ref="Z98">_xlfn.LET(_xlpm.x, N98:N100, IF(SUM((_xlpm.x="C1")*1)=1, 3, 1))</f>
        <v>1</v>
      </c>
      <c r="AA98" s="25" cm="1">
        <f t="array" ref="AA98">_xlfn.LET(_xlpm.x, O98:O100, IF(SUM((_xlpm.x="C1")*1)=1, 3, 1))</f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3, 1))</f>
        <v>1</v>
      </c>
      <c r="X99" s="25" cm="1">
        <f t="array" ref="X99">_xlfn.LET(_xlpm.x, L99:L101, IF(SUM((_xlpm.x="C1")*1)=1, 3, 1))</f>
        <v>1</v>
      </c>
      <c r="Y99" s="25" cm="1">
        <f t="array" ref="Y99">_xlfn.LET(_xlpm.x, M99:M101, IF(SUM((_xlpm.x="C1")*1)=1, 3, 1))</f>
        <v>1</v>
      </c>
      <c r="Z99" s="25" cm="1">
        <f t="array" ref="Z99">_xlfn.LET(_xlpm.x, N99:N101, IF(SUM((_xlpm.x="C1")*1)=1, 3, 1))</f>
        <v>1</v>
      </c>
      <c r="AA99" s="25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3, 1))</f>
        <v>3</v>
      </c>
      <c r="X100" s="25" cm="1">
        <f t="array" ref="X100">_xlfn.LET(_xlpm.x, L100:L102, IF(SUM((_xlpm.x="C1")*1)=1, 3, 1))</f>
        <v>1</v>
      </c>
      <c r="Y100" s="25" cm="1">
        <f t="array" ref="Y100">_xlfn.LET(_xlpm.x, M100:M102, IF(SUM((_xlpm.x="C1")*1)=1, 3, 1))</f>
        <v>1</v>
      </c>
      <c r="Z100" s="25" cm="1">
        <f t="array" ref="Z100">_xlfn.LET(_xlpm.x, N100:N102, IF(SUM((_xlpm.x="C1")*1)=1, 3, 1))</f>
        <v>1</v>
      </c>
      <c r="AA100" s="25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3, 1))</f>
        <v>3</v>
      </c>
      <c r="X101" s="25" cm="1">
        <f t="array" ref="X101">_xlfn.LET(_xlpm.x, L101:L103, IF(SUM((_xlpm.x="C1")*1)=1, 3, 1))</f>
        <v>1</v>
      </c>
      <c r="Y101" s="25" cm="1">
        <f t="array" ref="Y101">_xlfn.LET(_xlpm.x, M101:M103, IF(SUM((_xlpm.x="C1")*1)=1, 3, 1))</f>
        <v>1</v>
      </c>
      <c r="Z101" s="25" cm="1">
        <f t="array" ref="Z101">_xlfn.LET(_xlpm.x, N101:N103, IF(SUM((_xlpm.x="C1")*1)=1, 3, 1))</f>
        <v>1</v>
      </c>
      <c r="AA101" s="25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3, 1))</f>
        <v>3</v>
      </c>
      <c r="X102" s="25" cm="1">
        <f t="array" ref="X102">_xlfn.LET(_xlpm.x, L102:L104, IF(SUM((_xlpm.x="C1")*1)=1, 3, 1))</f>
        <v>1</v>
      </c>
      <c r="Y102" s="25" cm="1">
        <f t="array" ref="Y102">_xlfn.LET(_xlpm.x, M102:M104, IF(SUM((_xlpm.x="C1")*1)=1, 3, 1))</f>
        <v>1</v>
      </c>
      <c r="Z102" s="25" cm="1">
        <f t="array" ref="Z102">_xlfn.LET(_xlpm.x, N102:N104, IF(SUM((_xlpm.x="C1")*1)=1, 3, 1))</f>
        <v>1</v>
      </c>
      <c r="AA102" s="25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3, 1))</f>
        <v>1</v>
      </c>
      <c r="X103" s="25" cm="1">
        <f t="array" ref="X103">_xlfn.LET(_xlpm.x, L103:L105, IF(SUM((_xlpm.x="C1")*1)=1, 3, 1))</f>
        <v>1</v>
      </c>
      <c r="Y103" s="25" cm="1">
        <f t="array" ref="Y103">_xlfn.LET(_xlpm.x, M103:M105, IF(SUM((_xlpm.x="C1")*1)=1, 3, 1))</f>
        <v>1</v>
      </c>
      <c r="Z103" s="25" cm="1">
        <f t="array" ref="Z103">_xlfn.LET(_xlpm.x, N103:N105, IF(SUM((_xlpm.x="C1")*1)=1, 3, 1))</f>
        <v>1</v>
      </c>
      <c r="AA103" s="25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3, 1))</f>
        <v>1</v>
      </c>
      <c r="X104" s="25" cm="1">
        <f t="array" ref="X104">_xlfn.LET(_xlpm.x, L104:L106, IF(SUM((_xlpm.x="C1")*1)=1, 3, 1))</f>
        <v>1</v>
      </c>
      <c r="Y104" s="25" cm="1">
        <f t="array" ref="Y104">_xlfn.LET(_xlpm.x, M104:M106, IF(SUM((_xlpm.x="C1")*1)=1, 3, 1))</f>
        <v>1</v>
      </c>
      <c r="Z104" s="25" cm="1">
        <f t="array" ref="Z104">_xlfn.LET(_xlpm.x, N104:N106, IF(SUM((_xlpm.x="C1")*1)=1, 3, 1))</f>
        <v>1</v>
      </c>
      <c r="AA104" s="25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3, 1))</f>
        <v>1</v>
      </c>
      <c r="X105" s="25" cm="1">
        <f t="array" ref="X105">_xlfn.LET(_xlpm.x, L105:L107, IF(SUM((_xlpm.x="C1")*1)=1, 3, 1))</f>
        <v>1</v>
      </c>
      <c r="Y105" s="25" cm="1">
        <f t="array" ref="Y105">_xlfn.LET(_xlpm.x, M105:M107, IF(SUM((_xlpm.x="C1")*1)=1, 3, 1))</f>
        <v>1</v>
      </c>
      <c r="Z105" s="25" cm="1">
        <f t="array" ref="Z105">_xlfn.LET(_xlpm.x, N105:N107, IF(SUM((_xlpm.x="C1")*1)=1, 3, 1))</f>
        <v>1</v>
      </c>
      <c r="AA105" s="25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3, 1))</f>
        <v>1</v>
      </c>
      <c r="X106" s="25" cm="1">
        <f t="array" ref="X106">_xlfn.LET(_xlpm.x, L106:L108, IF(SUM((_xlpm.x="C1")*1)=1, 3, 1))</f>
        <v>1</v>
      </c>
      <c r="Y106" s="25" cm="1">
        <f t="array" ref="Y106">_xlfn.LET(_xlpm.x, M106:M108, IF(SUM((_xlpm.x="C1")*1)=1, 3, 1))</f>
        <v>1</v>
      </c>
      <c r="Z106" s="25" cm="1">
        <f t="array" ref="Z106">_xlfn.LET(_xlpm.x, N106:N108, IF(SUM((_xlpm.x="C1")*1)=1, 3, 1))</f>
        <v>1</v>
      </c>
      <c r="AA106" s="25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127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15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3, 1))</f>
        <v>1</v>
      </c>
      <c r="X107" s="25" cm="1">
        <f t="array" ref="X107">_xlfn.LET(_xlpm.x, L107:L109, IF(SUM((_xlpm.x="C1")*1)=1, 3, 1))</f>
        <v>1</v>
      </c>
      <c r="Y107" s="25" cm="1">
        <f t="array" ref="Y107">_xlfn.LET(_xlpm.x, M107:M109, IF(SUM((_xlpm.x="C1")*1)=1, 3, 1))</f>
        <v>1</v>
      </c>
      <c r="Z107" s="25" cm="1">
        <f t="array" ref="Z107">_xlfn.LET(_xlpm.x, N107:N109, IF(SUM((_xlpm.x="C1")*1)=1, 3, 1))</f>
        <v>1</v>
      </c>
      <c r="AA107" s="25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3, 1))</f>
        <v>1</v>
      </c>
      <c r="X108" s="25" cm="1">
        <f t="array" ref="X108">_xlfn.LET(_xlpm.x, L108:L110, IF(SUM((_xlpm.x="C1")*1)=1, 3, 1))</f>
        <v>1</v>
      </c>
      <c r="Y108" s="25" cm="1">
        <f t="array" ref="Y108">_xlfn.LET(_xlpm.x, M108:M110, IF(SUM((_xlpm.x="C1")*1)=1, 3, 1))</f>
        <v>1</v>
      </c>
      <c r="Z108" s="25" cm="1">
        <f t="array" ref="Z108">_xlfn.LET(_xlpm.x, N108:N110, IF(SUM((_xlpm.x="C1")*1)=1, 3, 1))</f>
        <v>3</v>
      </c>
      <c r="AA108" s="25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89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12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3, 1))</f>
        <v>1</v>
      </c>
      <c r="X109" s="25" cm="1">
        <f t="array" ref="X109">_xlfn.LET(_xlpm.x, L109:L111, IF(SUM((_xlpm.x="C1")*1)=1, 3, 1))</f>
        <v>1</v>
      </c>
      <c r="Y109" s="25" cm="1">
        <f t="array" ref="Y109">_xlfn.LET(_xlpm.x, M109:M111, IF(SUM((_xlpm.x="C1")*1)=1, 3, 1))</f>
        <v>3</v>
      </c>
      <c r="Z109" s="25" cm="1">
        <f t="array" ref="Z109">_xlfn.LET(_xlpm.x, N109:N111, IF(SUM((_xlpm.x="C1")*1)=1, 3, 1))</f>
        <v>3</v>
      </c>
      <c r="AA109" s="25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3, 1))</f>
        <v>1</v>
      </c>
      <c r="X110" s="25" cm="1">
        <f t="array" ref="X110">_xlfn.LET(_xlpm.x, L110:L112, IF(SUM((_xlpm.x="C1")*1)=1, 3, 1))</f>
        <v>1</v>
      </c>
      <c r="Y110" s="25" cm="1">
        <f t="array" ref="Y110">_xlfn.LET(_xlpm.x, M110:M112, IF(SUM((_xlpm.x="C1")*1)=1, 3, 1))</f>
        <v>3</v>
      </c>
      <c r="Z110" s="25" cm="1">
        <f t="array" ref="Z110">_xlfn.LET(_xlpm.x, N110:N112, IF(SUM((_xlpm.x="C1")*1)=1, 3, 1))</f>
        <v>3</v>
      </c>
      <c r="AA110" s="25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3, 1))</f>
        <v>1</v>
      </c>
      <c r="X111" s="25" cm="1">
        <f t="array" ref="X111">_xlfn.LET(_xlpm.x, L111:L113, IF(SUM((_xlpm.x="C1")*1)=1, 3, 1))</f>
        <v>1</v>
      </c>
      <c r="Y111" s="25" cm="1">
        <f t="array" ref="Y111">_xlfn.LET(_xlpm.x, M111:M113, IF(SUM((_xlpm.x="C1")*1)=1, 3, 1))</f>
        <v>3</v>
      </c>
      <c r="Z111" s="25" cm="1">
        <f t="array" ref="Z111">_xlfn.LET(_xlpm.x, N111:N113, IF(SUM((_xlpm.x="C1")*1)=1, 3, 1))</f>
        <v>1</v>
      </c>
      <c r="AA111" s="25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3, 1))</f>
        <v>1</v>
      </c>
      <c r="X112" s="25" cm="1">
        <f t="array" ref="X112">_xlfn.LET(_xlpm.x, L112:L114, IF(SUM((_xlpm.x="C1")*1)=1, 3, 1))</f>
        <v>1</v>
      </c>
      <c r="Y112" s="25" cm="1">
        <f t="array" ref="Y112">_xlfn.LET(_xlpm.x, M112:M114, IF(SUM((_xlpm.x="C1")*1)=1, 3, 1))</f>
        <v>1</v>
      </c>
      <c r="Z112" s="25" cm="1">
        <f t="array" ref="Z112">_xlfn.LET(_xlpm.x, N112:N114, IF(SUM((_xlpm.x="C1")*1)=1, 3, 1))</f>
        <v>1</v>
      </c>
      <c r="AA112" s="25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3, 1))</f>
        <v>1</v>
      </c>
      <c r="X113" s="25" cm="1">
        <f t="array" ref="X113">_xlfn.LET(_xlpm.x, L113:L115, IF(SUM((_xlpm.x="C1")*1)=1, 3, 1))</f>
        <v>1</v>
      </c>
      <c r="Y113" s="25" cm="1">
        <f t="array" ref="Y113">_xlfn.LET(_xlpm.x, M113:M115, IF(SUM((_xlpm.x="C1")*1)=1, 3, 1))</f>
        <v>1</v>
      </c>
      <c r="Z113" s="25" cm="1">
        <f t="array" ref="Z113">_xlfn.LET(_xlpm.x, N113:N115, IF(SUM((_xlpm.x="C1")*1)=1, 3, 1))</f>
        <v>1</v>
      </c>
      <c r="AA113" s="25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3, 1))</f>
        <v>1</v>
      </c>
      <c r="X114" s="25" cm="1">
        <f t="array" ref="X114">_xlfn.LET(_xlpm.x, L114:L116, IF(SUM((_xlpm.x="C1")*1)=1, 3, 1))</f>
        <v>1</v>
      </c>
      <c r="Y114" s="25" cm="1">
        <f t="array" ref="Y114">_xlfn.LET(_xlpm.x, M114:M116, IF(SUM((_xlpm.x="C1")*1)=1, 3, 1))</f>
        <v>1</v>
      </c>
      <c r="Z114" s="25" cm="1">
        <f t="array" ref="Z114">_xlfn.LET(_xlpm.x, N114:N116, IF(SUM((_xlpm.x="C1")*1)=1, 3, 1))</f>
        <v>1</v>
      </c>
      <c r="AA114" s="25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3, 1))</f>
        <v>1</v>
      </c>
      <c r="X115" s="25" cm="1">
        <f t="array" ref="X115">_xlfn.LET(_xlpm.x, L115:L117, IF(SUM((_xlpm.x="C1")*1)=1, 3, 1))</f>
        <v>1</v>
      </c>
      <c r="Y115" s="25" cm="1">
        <f t="array" ref="Y115">_xlfn.LET(_xlpm.x, M115:M117, IF(SUM((_xlpm.x="C1")*1)=1, 3, 1))</f>
        <v>1</v>
      </c>
      <c r="Z115" s="25" cm="1">
        <f t="array" ref="Z115">_xlfn.LET(_xlpm.x, N115:N117, IF(SUM((_xlpm.x="C1")*1)=1, 3, 1))</f>
        <v>1</v>
      </c>
      <c r="AA115" s="25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3, 1))</f>
        <v>1</v>
      </c>
      <c r="X116" s="25" cm="1">
        <f t="array" ref="X116">_xlfn.LET(_xlpm.x, L116:L118, IF(SUM((_xlpm.x="C1")*1)=1, 3, 1))</f>
        <v>1</v>
      </c>
      <c r="Y116" s="25" cm="1">
        <f t="array" ref="Y116">_xlfn.LET(_xlpm.x, M116:M118, IF(SUM((_xlpm.x="C1")*1)=1, 3, 1))</f>
        <v>1</v>
      </c>
      <c r="Z116" s="25" cm="1">
        <f t="array" ref="Z116">_xlfn.LET(_xlpm.x, N116:N118, IF(SUM((_xlpm.x="C1")*1)=1, 3, 1))</f>
        <v>1</v>
      </c>
      <c r="AA116" s="25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5">
        <v>113</v>
      </c>
      <c r="K117" s="16" t="s">
        <v>126</v>
      </c>
      <c r="L117" s="16" t="s">
        <v>95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18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3, 1))</f>
        <v>1</v>
      </c>
      <c r="X117" s="25" cm="1">
        <f t="array" ref="X117">_xlfn.LET(_xlpm.x, L117:L119, IF(SUM((_xlpm.x="C1")*1)=1, 3, 1))</f>
        <v>1</v>
      </c>
      <c r="Y117" s="25" cm="1">
        <f t="array" ref="Y117">_xlfn.LET(_xlpm.x, M117:M119, IF(SUM((_xlpm.x="C1")*1)=1, 3, 1))</f>
        <v>1</v>
      </c>
      <c r="Z117" s="25" cm="1">
        <f t="array" ref="Z117">_xlfn.LET(_xlpm.x, N117:N119, IF(SUM((_xlpm.x="C1")*1)=1, 3, 1))</f>
        <v>1</v>
      </c>
      <c r="AA117" s="25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3, 1))</f>
        <v>1</v>
      </c>
      <c r="X118" s="25" cm="1">
        <f t="array" ref="X118">_xlfn.LET(_xlpm.x, L118:L120, IF(SUM((_xlpm.x="C1")*1)=1, 3, 1))</f>
        <v>1</v>
      </c>
      <c r="Y118" s="25" cm="1">
        <f t="array" ref="Y118">_xlfn.LET(_xlpm.x, M118:M120, IF(SUM((_xlpm.x="C1")*1)=1, 3, 1))</f>
        <v>1</v>
      </c>
      <c r="Z118" s="25" cm="1">
        <f t="array" ref="Z118">_xlfn.LET(_xlpm.x, N118:N120, IF(SUM((_xlpm.x="C1")*1)=1, 3, 1))</f>
        <v>3</v>
      </c>
      <c r="AA118" s="25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3, 1))</f>
        <v>1</v>
      </c>
      <c r="X119" s="25" cm="1">
        <f t="array" ref="X119">_xlfn.LET(_xlpm.x, L119:L121, IF(SUM((_xlpm.x="C1")*1)=1, 3, 1))</f>
        <v>1</v>
      </c>
      <c r="Y119" s="25" cm="1">
        <f t="array" ref="Y119">_xlfn.LET(_xlpm.x, M119:M121, IF(SUM((_xlpm.x="C1")*1)=1, 3, 1))</f>
        <v>1</v>
      </c>
      <c r="Z119" s="25" cm="1">
        <f t="array" ref="Z119">_xlfn.LET(_xlpm.x, N119:N121, IF(SUM((_xlpm.x="C1")*1)=1, 3, 1))</f>
        <v>3</v>
      </c>
      <c r="AA119" s="25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3, 1))</f>
        <v>1</v>
      </c>
      <c r="X120" s="25" cm="1">
        <f t="array" ref="X120">_xlfn.LET(_xlpm.x, L120:L122, IF(SUM((_xlpm.x="C1")*1)=1, 3, 1))</f>
        <v>1</v>
      </c>
      <c r="Y120" s="25" cm="1">
        <f t="array" ref="Y120">_xlfn.LET(_xlpm.x, M120:M122, IF(SUM((_xlpm.x="C1")*1)=1, 3, 1))</f>
        <v>1</v>
      </c>
      <c r="Z120" s="25" cm="1">
        <f t="array" ref="Z120">_xlfn.LET(_xlpm.x, N120:N122, IF(SUM((_xlpm.x="C1")*1)=1, 3, 1))</f>
        <v>3</v>
      </c>
      <c r="AA120" s="25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3, 1))</f>
        <v>1</v>
      </c>
      <c r="X121" s="25" cm="1">
        <f t="array" ref="X121">_xlfn.LET(_xlpm.x, L121:L123, IF(SUM((_xlpm.x="C1")*1)=1, 3, 1))</f>
        <v>1</v>
      </c>
      <c r="Y121" s="25" cm="1">
        <f t="array" ref="Y121">_xlfn.LET(_xlpm.x, M121:M123, IF(SUM((_xlpm.x="C1")*1)=1, 3, 1))</f>
        <v>1</v>
      </c>
      <c r="Z121" s="25" cm="1">
        <f t="array" ref="Z121">_xlfn.LET(_xlpm.x, N121:N123, IF(SUM((_xlpm.x="C1")*1)=1, 3, 1))</f>
        <v>1</v>
      </c>
      <c r="AA121" s="25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91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14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3, 1))</f>
        <v>1</v>
      </c>
      <c r="X122" s="25" cm="1">
        <f t="array" ref="X122">_xlfn.LET(_xlpm.x, L122:L124, IF(SUM((_xlpm.x="C1")*1)=1, 3, 1))</f>
        <v>1</v>
      </c>
      <c r="Y122" s="25" cm="1">
        <f t="array" ref="Y122">_xlfn.LET(_xlpm.x, M122:M124, IF(SUM((_xlpm.x="C1")*1)=1, 3, 1))</f>
        <v>1</v>
      </c>
      <c r="Z122" s="25" cm="1">
        <f t="array" ref="Z122">_xlfn.LET(_xlpm.x, N122:N124, IF(SUM((_xlpm.x="C1")*1)=1, 3, 1))</f>
        <v>1</v>
      </c>
      <c r="AA122" s="25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3, 1))</f>
        <v>1</v>
      </c>
      <c r="X123" s="25" cm="1">
        <f t="array" ref="X123">_xlfn.LET(_xlpm.x, L123:L125, IF(SUM((_xlpm.x="C1")*1)=1, 3, 1))</f>
        <v>1</v>
      </c>
      <c r="Y123" s="25" cm="1">
        <f t="array" ref="Y123">_xlfn.LET(_xlpm.x, M123:M125, IF(SUM((_xlpm.x="C1")*1)=1, 3, 1))</f>
        <v>1</v>
      </c>
      <c r="Z123" s="25" cm="1">
        <f t="array" ref="Z123">_xlfn.LET(_xlpm.x, N123:N125, IF(SUM((_xlpm.x="C1")*1)=1, 3, 1))</f>
        <v>1</v>
      </c>
      <c r="AA123" s="25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3, 1))</f>
        <v>1</v>
      </c>
      <c r="X124" s="25" cm="1">
        <f t="array" ref="X124">_xlfn.LET(_xlpm.x, L124:L126, IF(SUM((_xlpm.x="C1")*1)=1, 3, 1))</f>
        <v>1</v>
      </c>
      <c r="Y124" s="25" cm="1">
        <f t="array" ref="Y124">_xlfn.LET(_xlpm.x, M124:M126, IF(SUM((_xlpm.x="C1")*1)=1, 3, 1))</f>
        <v>3</v>
      </c>
      <c r="Z124" s="25" cm="1">
        <f t="array" ref="Z124">_xlfn.LET(_xlpm.x, N124:N126, IF(SUM((_xlpm.x="C1")*1)=1, 3, 1))</f>
        <v>1</v>
      </c>
      <c r="AA124" s="25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3, 1))</f>
        <v>1</v>
      </c>
      <c r="X125" s="25" cm="1">
        <f t="array" ref="X125">_xlfn.LET(_xlpm.x, L125:L127, IF(SUM((_xlpm.x="C1")*1)=1, 3, 1))</f>
        <v>1</v>
      </c>
      <c r="Y125" s="25" cm="1">
        <f t="array" ref="Y125">_xlfn.LET(_xlpm.x, M125:M127, IF(SUM((_xlpm.x="C1")*1)=1, 3, 1))</f>
        <v>3</v>
      </c>
      <c r="Z125" s="25" cm="1">
        <f t="array" ref="Z125">_xlfn.LET(_xlpm.x, N125:N127, IF(SUM((_xlpm.x="C1")*1)=1, 3, 1))</f>
        <v>1</v>
      </c>
      <c r="AA125" s="25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95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18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3, 1))</f>
        <v>1</v>
      </c>
      <c r="X126" s="25" cm="1">
        <f t="array" ref="X126">_xlfn.LET(_xlpm.x, L126:L128, IF(SUM((_xlpm.x="C1")*1)=1, 3, 1))</f>
        <v>1</v>
      </c>
      <c r="Y126" s="25" cm="1">
        <f t="array" ref="Y126">_xlfn.LET(_xlpm.x, M126:M128, IF(SUM((_xlpm.x="C1")*1)=1, 3, 1))</f>
        <v>3</v>
      </c>
      <c r="Z126" s="25" cm="1">
        <f t="array" ref="Z126">_xlfn.LET(_xlpm.x, N126:N128, IF(SUM((_xlpm.x="C1")*1)=1, 3, 1))</f>
        <v>1</v>
      </c>
      <c r="AA126" s="25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3, 1))</f>
        <v>1</v>
      </c>
      <c r="X127" s="25" cm="1">
        <f t="array" ref="X127">_xlfn.LET(_xlpm.x, L127:L129, IF(SUM((_xlpm.x="C1")*1)=1, 3, 1))</f>
        <v>1</v>
      </c>
      <c r="Y127" s="25" cm="1">
        <f t="array" ref="Y127">_xlfn.LET(_xlpm.x, M127:M129, IF(SUM((_xlpm.x="C1")*1)=1, 3, 1))</f>
        <v>1</v>
      </c>
      <c r="Z127" s="25" cm="1">
        <f t="array" ref="Z127">_xlfn.LET(_xlpm.x, N127:N129, IF(SUM((_xlpm.x="C1")*1)=1, 3, 1))</f>
        <v>1</v>
      </c>
      <c r="AA127" s="25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3, 1))</f>
        <v>1</v>
      </c>
      <c r="X128" s="25" cm="1">
        <f t="array" ref="X128">_xlfn.LET(_xlpm.x, L128:L130, IF(SUM((_xlpm.x="C1")*1)=1, 3, 1))</f>
        <v>1</v>
      </c>
      <c r="Y128" s="25" cm="1">
        <f t="array" ref="Y128">_xlfn.LET(_xlpm.x, M128:M130, IF(SUM((_xlpm.x="C1")*1)=1, 3, 1))</f>
        <v>1</v>
      </c>
      <c r="Z128" s="25" cm="1">
        <f t="array" ref="Z128">_xlfn.LET(_xlpm.x, N128:N130, IF(SUM((_xlpm.x="C1")*1)=1, 3, 1))</f>
        <v>1</v>
      </c>
      <c r="AA128" s="25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3, 1))</f>
        <v>1</v>
      </c>
      <c r="X129" s="25" cm="1">
        <f t="array" ref="X129">_xlfn.LET(_xlpm.x, L129:L131, IF(SUM((_xlpm.x="C1")*1)=1, 3, 1))</f>
        <v>1</v>
      </c>
      <c r="Y129" s="25" cm="1">
        <f t="array" ref="Y129">_xlfn.LET(_xlpm.x, M129:M131, IF(SUM((_xlpm.x="C1")*1)=1, 3, 1))</f>
        <v>1</v>
      </c>
      <c r="Z129" s="25" cm="1">
        <f t="array" ref="Z129">_xlfn.LET(_xlpm.x, N129:N131, IF(SUM((_xlpm.x="C1")*1)=1, 3, 1))</f>
        <v>1</v>
      </c>
      <c r="AA129" s="25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3, 1))</f>
        <v>1</v>
      </c>
      <c r="X130" s="25" cm="1">
        <f t="array" ref="X130">_xlfn.LET(_xlpm.x, L130:L132, IF(SUM((_xlpm.x="C1")*1)=1, 3, 1))</f>
        <v>1</v>
      </c>
      <c r="Y130" s="25" cm="1">
        <f t="array" ref="Y130">_xlfn.LET(_xlpm.x, M130:M132, IF(SUM((_xlpm.x="C1")*1)=1, 3, 1))</f>
        <v>1</v>
      </c>
      <c r="Z130" s="25" cm="1">
        <f t="array" ref="Z130">_xlfn.LET(_xlpm.x, N130:N132, IF(SUM((_xlpm.x="C1")*1)=1, 3, 1))</f>
        <v>1</v>
      </c>
      <c r="AA130" s="25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3, 1))</f>
        <v>1</v>
      </c>
      <c r="X131" s="25" cm="1">
        <f t="array" ref="X131">_xlfn.LET(_xlpm.x, L131:L133, IF(SUM((_xlpm.x="C1")*1)=1, 3, 1))</f>
        <v>1</v>
      </c>
      <c r="Y131" s="25" cm="1">
        <f t="array" ref="Y131">_xlfn.LET(_xlpm.x, M131:M133, IF(SUM((_xlpm.x="C1")*1)=1, 3, 1))</f>
        <v>1</v>
      </c>
      <c r="Z131" s="25" cm="1">
        <f t="array" ref="Z131">_xlfn.LET(_xlpm.x, N131:N133, IF(SUM((_xlpm.x="C1")*1)=1, 3, 1))</f>
        <v>1</v>
      </c>
      <c r="AA131" s="25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3, 1))</f>
        <v>1</v>
      </c>
      <c r="X132" s="25" cm="1">
        <f t="array" ref="X132">_xlfn.LET(_xlpm.x, L132:L134, IF(SUM((_xlpm.x="C1")*1)=1, 3, 1))</f>
        <v>1</v>
      </c>
      <c r="Y132" s="25" cm="1">
        <f t="array" ref="Y132">_xlfn.LET(_xlpm.x, M132:M134, IF(SUM((_xlpm.x="C1")*1)=1, 3, 1))</f>
        <v>1</v>
      </c>
      <c r="Z132" s="25" cm="1">
        <f t="array" ref="Z132">_xlfn.LET(_xlpm.x, N132:N134, IF(SUM((_xlpm.x="C1")*1)=1, 3, 1))</f>
        <v>1</v>
      </c>
      <c r="AA132" s="25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3, 1))</f>
        <v>1</v>
      </c>
      <c r="X133" s="25" cm="1">
        <f t="array" ref="X133">_xlfn.LET(_xlpm.x, L133:L135, IF(SUM((_xlpm.x="C1")*1)=1, 3, 1))</f>
        <v>1</v>
      </c>
      <c r="Y133" s="25" cm="1">
        <f t="array" ref="Y133">_xlfn.LET(_xlpm.x, M133:M135, IF(SUM((_xlpm.x="C1")*1)=1, 3, 1))</f>
        <v>1</v>
      </c>
      <c r="Z133" s="25" cm="1">
        <f t="array" ref="Z133">_xlfn.LET(_xlpm.x, N133:N135, IF(SUM((_xlpm.x="C1")*1)=1, 3, 1))</f>
        <v>1</v>
      </c>
      <c r="AA133" s="25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3, 1))</f>
        <v>1</v>
      </c>
      <c r="X134" s="25" cm="1">
        <f t="array" ref="X134">_xlfn.LET(_xlpm.x, L134:L136, IF(SUM((_xlpm.x="C1")*1)=1, 3, 1))</f>
        <v>1</v>
      </c>
      <c r="Y134" s="25" cm="1">
        <f t="array" ref="Y134">_xlfn.LET(_xlpm.x, M134:M136, IF(SUM((_xlpm.x="C1")*1)=1, 3, 1))</f>
        <v>1</v>
      </c>
      <c r="Z134" s="25" cm="1">
        <f t="array" ref="Z134">_xlfn.LET(_xlpm.x, N134:N136, IF(SUM((_xlpm.x="C1")*1)=1, 3, 1))</f>
        <v>1</v>
      </c>
      <c r="AA134" s="25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3, 1))</f>
        <v>1</v>
      </c>
      <c r="X135" s="25" cm="1">
        <f t="array" ref="X135">_xlfn.LET(_xlpm.x, L135:L137, IF(SUM((_xlpm.x="C1")*1)=1, 3, 1))</f>
        <v>1</v>
      </c>
      <c r="Y135" s="25" cm="1">
        <f t="array" ref="Y135">_xlfn.LET(_xlpm.x, M135:M137, IF(SUM((_xlpm.x="C1")*1)=1, 3, 1))</f>
        <v>1</v>
      </c>
      <c r="Z135" s="25" cm="1">
        <f t="array" ref="Z135">_xlfn.LET(_xlpm.x, N135:N137, IF(SUM((_xlpm.x="C1")*1)=1, 3, 1))</f>
        <v>1</v>
      </c>
      <c r="AA135" s="25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3, 1))</f>
        <v>1</v>
      </c>
      <c r="X136" s="25" cm="1">
        <f t="array" ref="X136">_xlfn.LET(_xlpm.x, L136:L138, IF(SUM((_xlpm.x="C1")*1)=1, 3, 1))</f>
        <v>1</v>
      </c>
      <c r="Y136" s="25" cm="1">
        <f t="array" ref="Y136">_xlfn.LET(_xlpm.x, M136:M138, IF(SUM((_xlpm.x="C1")*1)=1, 3, 1))</f>
        <v>1</v>
      </c>
      <c r="Z136" s="25" cm="1">
        <f t="array" ref="Z136">_xlfn.LET(_xlpm.x, N136:N138, IF(SUM((_xlpm.x="C1")*1)=1, 3, 1))</f>
        <v>1</v>
      </c>
      <c r="AA136" s="25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3, 1))</f>
        <v>1</v>
      </c>
      <c r="X137" s="25" cm="1">
        <f t="array" ref="X137">_xlfn.LET(_xlpm.x, L137:L139, IF(SUM((_xlpm.x="C1")*1)=1, 3, 1))</f>
        <v>1</v>
      </c>
      <c r="Y137" s="25" cm="1">
        <f t="array" ref="Y137">_xlfn.LET(_xlpm.x, M137:M139, IF(SUM((_xlpm.x="C1")*1)=1, 3, 1))</f>
        <v>1</v>
      </c>
      <c r="Z137" s="25" cm="1">
        <f t="array" ref="Z137">_xlfn.LET(_xlpm.x, N137:N139, IF(SUM((_xlpm.x="C1")*1)=1, 3, 1))</f>
        <v>1</v>
      </c>
      <c r="AA137" s="25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91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14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3, 1))</f>
        <v>1</v>
      </c>
      <c r="X138" s="25" cm="1">
        <f t="array" ref="X138">_xlfn.LET(_xlpm.x, L138:L140, IF(SUM((_xlpm.x="C1")*1)=1, 3, 1))</f>
        <v>1</v>
      </c>
      <c r="Y138" s="25" cm="1">
        <f t="array" ref="Y138">_xlfn.LET(_xlpm.x, M138:M140, IF(SUM((_xlpm.x="C1")*1)=1, 3, 1))</f>
        <v>1</v>
      </c>
      <c r="Z138" s="25" cm="1">
        <f t="array" ref="Z138">_xlfn.LET(_xlpm.x, N138:N140, IF(SUM((_xlpm.x="C1")*1)=1, 3, 1))</f>
        <v>1</v>
      </c>
      <c r="AA138" s="25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3, 1))</f>
        <v>1</v>
      </c>
      <c r="X139" s="25" cm="1">
        <f t="array" ref="X139">_xlfn.LET(_xlpm.x, L139:L141, IF(SUM((_xlpm.x="C1")*1)=1, 3, 1))</f>
        <v>1</v>
      </c>
      <c r="Y139" s="25" cm="1">
        <f t="array" ref="Y139">_xlfn.LET(_xlpm.x, M139:M141, IF(SUM((_xlpm.x="C1")*1)=1, 3, 1))</f>
        <v>1</v>
      </c>
      <c r="Z139" s="25" cm="1">
        <f t="array" ref="Z139">_xlfn.LET(_xlpm.x, N139:N141, IF(SUM((_xlpm.x="C1")*1)=1, 3, 1))</f>
        <v>1</v>
      </c>
      <c r="AA139" s="25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3, 1))</f>
        <v>1</v>
      </c>
      <c r="X140" s="25" cm="1">
        <f t="array" ref="X140">_xlfn.LET(_xlpm.x, L140:L142, IF(SUM((_xlpm.x="C1")*1)=1, 3, 1))</f>
        <v>1</v>
      </c>
      <c r="Y140" s="25" cm="1">
        <f t="array" ref="Y140">_xlfn.LET(_xlpm.x, M140:M142, IF(SUM((_xlpm.x="C1")*1)=1, 3, 1))</f>
        <v>1</v>
      </c>
      <c r="Z140" s="25" cm="1">
        <f t="array" ref="Z140">_xlfn.LET(_xlpm.x, N140:N142, IF(SUM((_xlpm.x="C1")*1)=1, 3, 1))</f>
        <v>1</v>
      </c>
      <c r="AA140" s="25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92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16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3, 1))</f>
        <v>1</v>
      </c>
      <c r="X141" s="25" cm="1">
        <f t="array" ref="X141">_xlfn.LET(_xlpm.x, L141:L143, IF(SUM((_xlpm.x="C1")*1)=1, 3, 1))</f>
        <v>1</v>
      </c>
      <c r="Y141" s="25" cm="1">
        <f t="array" ref="Y141">_xlfn.LET(_xlpm.x, M141:M143, IF(SUM((_xlpm.x="C1")*1)=1, 3, 1))</f>
        <v>1</v>
      </c>
      <c r="Z141" s="25" cm="1">
        <f t="array" ref="Z141">_xlfn.LET(_xlpm.x, N141:N143, IF(SUM((_xlpm.x="C1")*1)=1, 3, 1))</f>
        <v>1</v>
      </c>
      <c r="AA141" s="25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3, 1))</f>
        <v>1</v>
      </c>
      <c r="X142" s="25" cm="1">
        <f t="array" ref="X142">_xlfn.LET(_xlpm.x, L142:L144, IF(SUM((_xlpm.x="C1")*1)=1, 3, 1))</f>
        <v>1</v>
      </c>
      <c r="Y142" s="25" cm="1">
        <f t="array" ref="Y142">_xlfn.LET(_xlpm.x, M142:M144, IF(SUM((_xlpm.x="C1")*1)=1, 3, 1))</f>
        <v>1</v>
      </c>
      <c r="Z142" s="25" cm="1">
        <f t="array" ref="Z142">_xlfn.LET(_xlpm.x, N142:N144, IF(SUM((_xlpm.x="C1")*1)=1, 3, 1))</f>
        <v>1</v>
      </c>
      <c r="AA142" s="25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3, 1))</f>
        <v>1</v>
      </c>
      <c r="X143" s="25" cm="1">
        <f t="array" ref="X143">_xlfn.LET(_xlpm.x, L143:L145, IF(SUM((_xlpm.x="C1")*1)=1, 3, 1))</f>
        <v>1</v>
      </c>
      <c r="Y143" s="25" cm="1">
        <f t="array" ref="Y143">_xlfn.LET(_xlpm.x, M143:M145, IF(SUM((_xlpm.x="C1")*1)=1, 3, 1))</f>
        <v>1</v>
      </c>
      <c r="Z143" s="25" cm="1">
        <f t="array" ref="Z143">_xlfn.LET(_xlpm.x, N143:N145, IF(SUM((_xlpm.x="C1")*1)=1, 3, 1))</f>
        <v>1</v>
      </c>
      <c r="AA143" s="25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92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16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3, 1))</f>
        <v>1</v>
      </c>
      <c r="X144" s="25" cm="1">
        <f t="array" ref="X144">_xlfn.LET(_xlpm.x, L144:L146, IF(SUM((_xlpm.x="C1")*1)=1, 3, 1))</f>
        <v>1</v>
      </c>
      <c r="Y144" s="25" cm="1">
        <f t="array" ref="Y144">_xlfn.LET(_xlpm.x, M144:M146, IF(SUM((_xlpm.x="C1")*1)=1, 3, 1))</f>
        <v>1</v>
      </c>
      <c r="Z144" s="25" cm="1">
        <f t="array" ref="Z144">_xlfn.LET(_xlpm.x, N144:N146, IF(SUM((_xlpm.x="C1")*1)=1, 3, 1))</f>
        <v>1</v>
      </c>
      <c r="AA144" s="25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3, 1))</f>
        <v>1</v>
      </c>
      <c r="X145" s="25" cm="1">
        <f t="array" ref="X145">_xlfn.LET(_xlpm.x, L145:L147, IF(SUM((_xlpm.x="C1")*1)=1, 3, 1))</f>
        <v>1</v>
      </c>
      <c r="Y145" s="25" cm="1">
        <f t="array" ref="Y145">_xlfn.LET(_xlpm.x, M145:M147, IF(SUM((_xlpm.x="C1")*1)=1, 3, 1))</f>
        <v>1</v>
      </c>
      <c r="Z145" s="25" cm="1">
        <f t="array" ref="Z145">_xlfn.LET(_xlpm.x, N145:N147, IF(SUM((_xlpm.x="C1")*1)=1, 3, 1))</f>
        <v>1</v>
      </c>
      <c r="AA145" s="25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3, 1))</f>
        <v>1</v>
      </c>
      <c r="X146" s="25" cm="1">
        <f t="array" ref="X146">_xlfn.LET(_xlpm.x, L146:L148, IF(SUM((_xlpm.x="C1")*1)=1, 3, 1))</f>
        <v>1</v>
      </c>
      <c r="Y146" s="25" cm="1">
        <f t="array" ref="Y146">_xlfn.LET(_xlpm.x, M146:M148, IF(SUM((_xlpm.x="C1")*1)=1, 3, 1))</f>
        <v>1</v>
      </c>
      <c r="Z146" s="25" cm="1">
        <f t="array" ref="Z146">_xlfn.LET(_xlpm.x, N146:N148, IF(SUM((_xlpm.x="C1")*1)=1, 3, 1))</f>
        <v>1</v>
      </c>
      <c r="AA146" s="25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3, 1))</f>
        <v>1</v>
      </c>
      <c r="X147" s="25" cm="1">
        <f t="array" ref="X147">_xlfn.LET(_xlpm.x, L147:L149, IF(SUM((_xlpm.x="C1")*1)=1, 3, 1))</f>
        <v>3</v>
      </c>
      <c r="Y147" s="25" cm="1">
        <f t="array" ref="Y147">_xlfn.LET(_xlpm.x, M147:M149, IF(SUM((_xlpm.x="C1")*1)=1, 3, 1))</f>
        <v>1</v>
      </c>
      <c r="Z147" s="25" cm="1">
        <f t="array" ref="Z147">_xlfn.LET(_xlpm.x, N147:N149, IF(SUM((_xlpm.x="C1")*1)=1, 3, 1))</f>
        <v>1</v>
      </c>
      <c r="AA147" s="25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3, 1))</f>
        <v>1</v>
      </c>
      <c r="X148" s="25" cm="1">
        <f t="array" ref="X148">_xlfn.LET(_xlpm.x, L148:L150, IF(SUM((_xlpm.x="C1")*1)=1, 3, 1))</f>
        <v>3</v>
      </c>
      <c r="Y148" s="25" cm="1">
        <f t="array" ref="Y148">_xlfn.LET(_xlpm.x, M148:M150, IF(SUM((_xlpm.x="C1")*1)=1, 3, 1))</f>
        <v>1</v>
      </c>
      <c r="Z148" s="25" cm="1">
        <f t="array" ref="Z148">_xlfn.LET(_xlpm.x, N148:N150, IF(SUM((_xlpm.x="C1")*1)=1, 3, 1))</f>
        <v>1</v>
      </c>
      <c r="AA148" s="25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3, 1))</f>
        <v>1</v>
      </c>
      <c r="X149" s="25" cm="1">
        <f t="array" ref="X149">_xlfn.LET(_xlpm.x, L149:L151, IF(SUM((_xlpm.x="C1")*1)=1, 3, 1))</f>
        <v>3</v>
      </c>
      <c r="Y149" s="25" cm="1">
        <f t="array" ref="Y149">_xlfn.LET(_xlpm.x, M149:M151, IF(SUM((_xlpm.x="C1")*1)=1, 3, 1))</f>
        <v>1</v>
      </c>
      <c r="Z149" s="25" cm="1">
        <f t="array" ref="Z149">_xlfn.LET(_xlpm.x, N149:N151, IF(SUM((_xlpm.x="C1")*1)=1, 3, 1))</f>
        <v>1</v>
      </c>
      <c r="AA149" s="25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3, 1))</f>
        <v>1</v>
      </c>
      <c r="X150" s="25" cm="1">
        <f t="array" ref="X150">_xlfn.LET(_xlpm.x, L150:L152, IF(SUM((_xlpm.x="C1")*1)=1, 3, 1))</f>
        <v>1</v>
      </c>
      <c r="Y150" s="25" cm="1">
        <f t="array" ref="Y150">_xlfn.LET(_xlpm.x, M150:M152, IF(SUM((_xlpm.x="C1")*1)=1, 3, 1))</f>
        <v>1</v>
      </c>
      <c r="Z150" s="25" cm="1">
        <f t="array" ref="Z150">_xlfn.LET(_xlpm.x, N150:N152, IF(SUM((_xlpm.x="C1")*1)=1, 3, 1))</f>
        <v>1</v>
      </c>
      <c r="AA150" s="25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97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3, 1))</f>
        <v>1</v>
      </c>
      <c r="X151" s="25" cm="1">
        <f t="array" ref="X151">_xlfn.LET(_xlpm.x, L151:L153, IF(SUM((_xlpm.x="C1")*1)=1, 3, 1))</f>
        <v>1</v>
      </c>
      <c r="Y151" s="25" cm="1">
        <f t="array" ref="Y151">_xlfn.LET(_xlpm.x, M151:M153, IF(SUM((_xlpm.x="C1")*1)=1, 3, 1))</f>
        <v>1</v>
      </c>
      <c r="Z151" s="25" cm="1">
        <f t="array" ref="Z151">_xlfn.LET(_xlpm.x, N151:N153, IF(SUM((_xlpm.x="C1")*1)=1, 3, 1))</f>
        <v>1</v>
      </c>
      <c r="AA151" s="25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3, 1))</f>
        <v>1</v>
      </c>
      <c r="X152" s="25" cm="1">
        <f t="array" ref="X152">_xlfn.LET(_xlpm.x, L152:L154, IF(SUM((_xlpm.x="C1")*1)=1, 3, 1))</f>
        <v>1</v>
      </c>
      <c r="Y152" s="25" cm="1">
        <f t="array" ref="Y152">_xlfn.LET(_xlpm.x, M152:M154, IF(SUM((_xlpm.x="C1")*1)=1, 3, 1))</f>
        <v>1</v>
      </c>
      <c r="Z152" s="25" cm="1">
        <f t="array" ref="Z152">_xlfn.LET(_xlpm.x, N152:N154, IF(SUM((_xlpm.x="C1")*1)=1, 3, 1))</f>
        <v>1</v>
      </c>
      <c r="AA152" s="25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3, 1))</f>
        <v>1</v>
      </c>
      <c r="X153" s="25" cm="1">
        <f t="array" ref="X153">_xlfn.LET(_xlpm.x, L153:L155, IF(SUM((_xlpm.x="C1")*1)=1, 3, 1))</f>
        <v>1</v>
      </c>
      <c r="Y153" s="25" cm="1">
        <f t="array" ref="Y153">_xlfn.LET(_xlpm.x, M153:M155, IF(SUM((_xlpm.x="C1")*1)=1, 3, 1))</f>
        <v>1</v>
      </c>
      <c r="Z153" s="25" cm="1">
        <f t="array" ref="Z153">_xlfn.LET(_xlpm.x, N153:N155, IF(SUM((_xlpm.x="C1")*1)=1, 3, 1))</f>
        <v>1</v>
      </c>
      <c r="AA153" s="25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3, 1))</f>
        <v>1</v>
      </c>
      <c r="X154" s="25" cm="1">
        <f t="array" ref="X154">_xlfn.LET(_xlpm.x, L154:L156, IF(SUM((_xlpm.x="C1")*1)=1, 3, 1))</f>
        <v>1</v>
      </c>
      <c r="Y154" s="25" cm="1">
        <f t="array" ref="Y154">_xlfn.LET(_xlpm.x, M154:M156, IF(SUM((_xlpm.x="C1")*1)=1, 3, 1))</f>
        <v>1</v>
      </c>
      <c r="Z154" s="25" cm="1">
        <f t="array" ref="Z154">_xlfn.LET(_xlpm.x, N154:N156, IF(SUM((_xlpm.x="C1")*1)=1, 3, 1))</f>
        <v>1</v>
      </c>
      <c r="AA154" s="25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3, 1))</f>
        <v>1</v>
      </c>
      <c r="X155" s="25" cm="1">
        <f t="array" ref="X155">_xlfn.LET(_xlpm.x, L155:L157, IF(SUM((_xlpm.x="C1")*1)=1, 3, 1))</f>
        <v>1</v>
      </c>
      <c r="Y155" s="25" cm="1">
        <f t="array" ref="Y155">_xlfn.LET(_xlpm.x, M155:M157, IF(SUM((_xlpm.x="C1")*1)=1, 3, 1))</f>
        <v>1</v>
      </c>
      <c r="Z155" s="25" cm="1">
        <f t="array" ref="Z155">_xlfn.LET(_xlpm.x, N155:N157, IF(SUM((_xlpm.x="C1")*1)=1, 3, 1))</f>
        <v>1</v>
      </c>
      <c r="AA155" s="25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3, 1))</f>
        <v>1</v>
      </c>
      <c r="X156" s="25" cm="1">
        <f t="array" ref="X156">_xlfn.LET(_xlpm.x, L156:L158, IF(SUM((_xlpm.x="C1")*1)=1, 3, 1))</f>
        <v>1</v>
      </c>
      <c r="Y156" s="25" cm="1">
        <f t="array" ref="Y156">_xlfn.LET(_xlpm.x, M156:M158, IF(SUM((_xlpm.x="C1")*1)=1, 3, 1))</f>
        <v>1</v>
      </c>
      <c r="Z156" s="25" cm="1">
        <f t="array" ref="Z156">_xlfn.LET(_xlpm.x, N156:N158, IF(SUM((_xlpm.x="C1")*1)=1, 3, 1))</f>
        <v>1</v>
      </c>
      <c r="AA156" s="25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3, 1))</f>
        <v>1</v>
      </c>
      <c r="X157" s="25" cm="1">
        <f t="array" ref="X157">_xlfn.LET(_xlpm.x, L157:L159, IF(SUM((_xlpm.x="C1")*1)=1, 3, 1))</f>
        <v>1</v>
      </c>
      <c r="Y157" s="25" cm="1">
        <f t="array" ref="Y157">_xlfn.LET(_xlpm.x, M157:M159, IF(SUM((_xlpm.x="C1")*1)=1, 3, 1))</f>
        <v>1</v>
      </c>
      <c r="Z157" s="25" cm="1">
        <f t="array" ref="Z157">_xlfn.LET(_xlpm.x, N157:N159, IF(SUM((_xlpm.x="C1")*1)=1, 3, 1))</f>
        <v>3</v>
      </c>
      <c r="AA157" s="25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90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13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3, 1))</f>
        <v>3</v>
      </c>
      <c r="X158" s="25" cm="1">
        <f t="array" ref="X158">_xlfn.LET(_xlpm.x, L158:L160, IF(SUM((_xlpm.x="C1")*1)=1, 3, 1))</f>
        <v>1</v>
      </c>
      <c r="Y158" s="25" cm="1">
        <f t="array" ref="Y158">_xlfn.LET(_xlpm.x, M158:M160, IF(SUM((_xlpm.x="C1")*1)=1, 3, 1))</f>
        <v>1</v>
      </c>
      <c r="Z158" s="25" cm="1">
        <f t="array" ref="Z158">_xlfn.LET(_xlpm.x, N158:N160, IF(SUM((_xlpm.x="C1")*1)=1, 3, 1))</f>
        <v>3</v>
      </c>
      <c r="AA158" s="25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3, 1))</f>
        <v>3</v>
      </c>
      <c r="X159" s="25" cm="1">
        <f t="array" ref="X159">_xlfn.LET(_xlpm.x, L159:L161, IF(SUM((_xlpm.x="C1")*1)=1, 3, 1))</f>
        <v>1</v>
      </c>
      <c r="Y159" s="25" cm="1">
        <f t="array" ref="Y159">_xlfn.LET(_xlpm.x, M159:M161, IF(SUM((_xlpm.x="C1")*1)=1, 3, 1))</f>
        <v>1</v>
      </c>
      <c r="Z159" s="25" cm="1">
        <f t="array" ref="Z159">_xlfn.LET(_xlpm.x, N159:N161, IF(SUM((_xlpm.x="C1")*1)=1, 3, 1))</f>
        <v>3</v>
      </c>
      <c r="AA159" s="25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127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15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3, 1))</f>
        <v>3</v>
      </c>
      <c r="X160" s="25" cm="1">
        <f t="array" ref="X160">_xlfn.LET(_xlpm.x, L160:L162, IF(SUM((_xlpm.x="C1")*1)=1, 3, 1))</f>
        <v>1</v>
      </c>
      <c r="Y160" s="25" cm="1">
        <f t="array" ref="Y160">_xlfn.LET(_xlpm.x, M160:M162, IF(SUM((_xlpm.x="C1")*1)=1, 3, 1))</f>
        <v>1</v>
      </c>
      <c r="Z160" s="25" cm="1">
        <f t="array" ref="Z160">_xlfn.LET(_xlpm.x, N160:N162, IF(SUM((_xlpm.x="C1")*1)=1, 3, 1))</f>
        <v>1</v>
      </c>
      <c r="AA160" s="25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3, 1))</f>
        <v>1</v>
      </c>
      <c r="X161" s="25" cm="1">
        <f t="array" ref="X161">_xlfn.LET(_xlpm.x, L161:L163, IF(SUM((_xlpm.x="C1")*1)=1, 3, 1))</f>
        <v>1</v>
      </c>
      <c r="Y161" s="25" cm="1">
        <f t="array" ref="Y161">_xlfn.LET(_xlpm.x, M161:M163, IF(SUM((_xlpm.x="C1")*1)=1, 3, 1))</f>
        <v>1</v>
      </c>
      <c r="Z161" s="25" cm="1">
        <f t="array" ref="Z161">_xlfn.LET(_xlpm.x, N161:N163, IF(SUM((_xlpm.x="C1")*1)=1, 3, 1))</f>
        <v>1</v>
      </c>
      <c r="AA161" s="25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3, 1))</f>
        <v>1</v>
      </c>
      <c r="X162" s="25" cm="1">
        <f t="array" ref="X162">_xlfn.LET(_xlpm.x, L162:L164, IF(SUM((_xlpm.x="C1")*1)=1, 3, 1))</f>
        <v>1</v>
      </c>
      <c r="Y162" s="25" cm="1">
        <f t="array" ref="Y162">_xlfn.LET(_xlpm.x, M162:M164, IF(SUM((_xlpm.x="C1")*1)=1, 3, 1))</f>
        <v>1</v>
      </c>
      <c r="Z162" s="25" cm="1">
        <f t="array" ref="Z162">_xlfn.LET(_xlpm.x, N162:N164, IF(SUM((_xlpm.x="C1")*1)=1, 3, 1))</f>
        <v>1</v>
      </c>
      <c r="AA162" s="25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90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13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3, 1))</f>
        <v>1</v>
      </c>
      <c r="X163" s="25" cm="1">
        <f t="array" ref="X163">_xlfn.LET(_xlpm.x, L163:L165, IF(SUM((_xlpm.x="C1")*1)=1, 3, 1))</f>
        <v>1</v>
      </c>
      <c r="Y163" s="25" cm="1">
        <f t="array" ref="Y163">_xlfn.LET(_xlpm.x, M163:M165, IF(SUM((_xlpm.x="C1")*1)=1, 3, 1))</f>
        <v>1</v>
      </c>
      <c r="Z163" s="25" cm="1">
        <f t="array" ref="Z163">_xlfn.LET(_xlpm.x, N163:N165, IF(SUM((_xlpm.x="C1")*1)=1, 3, 1))</f>
        <v>1</v>
      </c>
      <c r="AA163" s="25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3, 1))</f>
        <v>1</v>
      </c>
      <c r="X164" s="25" cm="1">
        <f t="array" ref="X164">_xlfn.LET(_xlpm.x, L164:L166, IF(SUM((_xlpm.x="C1")*1)=1, 3, 1))</f>
        <v>1</v>
      </c>
      <c r="Y164" s="25" cm="1">
        <f t="array" ref="Y164">_xlfn.LET(_xlpm.x, M164:M166, IF(SUM((_xlpm.x="C1")*1)=1, 3, 1))</f>
        <v>1</v>
      </c>
      <c r="Z164" s="25" cm="1">
        <f t="array" ref="Z164">_xlfn.LET(_xlpm.x, N164:N166, IF(SUM((_xlpm.x="C1")*1)=1, 3, 1))</f>
        <v>1</v>
      </c>
      <c r="AA164" s="25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3, 1))</f>
        <v>1</v>
      </c>
      <c r="X165" s="25" cm="1">
        <f t="array" ref="X165">_xlfn.LET(_xlpm.x, L165:L167, IF(SUM((_xlpm.x="C1")*1)=1, 3, 1))</f>
        <v>1</v>
      </c>
      <c r="Y165" s="25" cm="1">
        <f t="array" ref="Y165">_xlfn.LET(_xlpm.x, M165:M167, IF(SUM((_xlpm.x="C1")*1)=1, 3, 1))</f>
        <v>1</v>
      </c>
      <c r="Z165" s="25" cm="1">
        <f t="array" ref="Z165">_xlfn.LET(_xlpm.x, N165:N167, IF(SUM((_xlpm.x="C1")*1)=1, 3, 1))</f>
        <v>1</v>
      </c>
      <c r="AA165" s="25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3, 1))</f>
        <v>1</v>
      </c>
      <c r="X166" s="25" cm="1">
        <f t="array" ref="X166">_xlfn.LET(_xlpm.x, L166:L168, IF(SUM((_xlpm.x="C1")*1)=1, 3, 1))</f>
        <v>1</v>
      </c>
      <c r="Y166" s="25" cm="1">
        <f t="array" ref="Y166">_xlfn.LET(_xlpm.x, M166:M168, IF(SUM((_xlpm.x="C1")*1)=1, 3, 1))</f>
        <v>1</v>
      </c>
      <c r="Z166" s="25" cm="1">
        <f t="array" ref="Z166">_xlfn.LET(_xlpm.x, N166:N168, IF(SUM((_xlpm.x="C1")*1)=1, 3, 1))</f>
        <v>1</v>
      </c>
      <c r="AA166" s="25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3, 1))</f>
        <v>1</v>
      </c>
      <c r="X167" s="25" cm="1">
        <f t="array" ref="X167">_xlfn.LET(_xlpm.x, L167:L169, IF(SUM((_xlpm.x="C1")*1)=1, 3, 1))</f>
        <v>1</v>
      </c>
      <c r="Y167" s="25" cm="1">
        <f t="array" ref="Y167">_xlfn.LET(_xlpm.x, M167:M169, IF(SUM((_xlpm.x="C1")*1)=1, 3, 1))</f>
        <v>1</v>
      </c>
      <c r="Z167" s="25" cm="1">
        <f t="array" ref="Z167">_xlfn.LET(_xlpm.x, N167:N169, IF(SUM((_xlpm.x="C1")*1)=1, 3, 1))</f>
        <v>1</v>
      </c>
      <c r="AA167" s="25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3, 1))</f>
        <v>1</v>
      </c>
      <c r="X168" s="25" cm="1">
        <f t="array" ref="X168">_xlfn.LET(_xlpm.x, L168:L170, IF(SUM((_xlpm.x="C1")*1)=1, 3, 1))</f>
        <v>1</v>
      </c>
      <c r="Y168" s="25" cm="1">
        <f t="array" ref="Y168">_xlfn.LET(_xlpm.x, M168:M170, IF(SUM((_xlpm.x="C1")*1)=1, 3, 1))</f>
        <v>1</v>
      </c>
      <c r="Z168" s="25" cm="1">
        <f t="array" ref="Z168">_xlfn.LET(_xlpm.x, N168:N170, IF(SUM((_xlpm.x="C1")*1)=1, 3, 1))</f>
        <v>1</v>
      </c>
      <c r="AA168" s="25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3, 1))</f>
        <v>1</v>
      </c>
      <c r="X169" s="25" cm="1">
        <f t="array" ref="X169">_xlfn.LET(_xlpm.x, L169:L171, IF(SUM((_xlpm.x="C1")*1)=1, 3, 1))</f>
        <v>1</v>
      </c>
      <c r="Y169" s="25" cm="1">
        <f t="array" ref="Y169">_xlfn.LET(_xlpm.x, M169:M171, IF(SUM((_xlpm.x="C1")*1)=1, 3, 1))</f>
        <v>1</v>
      </c>
      <c r="Z169" s="25" cm="1">
        <f t="array" ref="Z169">_xlfn.LET(_xlpm.x, N169:N171, IF(SUM((_xlpm.x="C1")*1)=1, 3, 1))</f>
        <v>1</v>
      </c>
      <c r="AA169" s="25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3, 1))</f>
        <v>1</v>
      </c>
      <c r="X170" s="25" cm="1">
        <f t="array" ref="X170">_xlfn.LET(_xlpm.x, L170:L172, IF(SUM((_xlpm.x="C1")*1)=1, 3, 1))</f>
        <v>1</v>
      </c>
      <c r="Y170" s="25" cm="1">
        <f t="array" ref="Y170">_xlfn.LET(_xlpm.x, M170:M172, IF(SUM((_xlpm.x="C1")*1)=1, 3, 1))</f>
        <v>1</v>
      </c>
      <c r="Z170" s="25" cm="1">
        <f t="array" ref="Z170">_xlfn.LET(_xlpm.x, N170:N172, IF(SUM((_xlpm.x="C1")*1)=1, 3, 1))</f>
        <v>1</v>
      </c>
      <c r="AA170" s="25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3, 1))</f>
        <v>1</v>
      </c>
      <c r="X171" s="25" cm="1">
        <f t="array" ref="X171">_xlfn.LET(_xlpm.x, L171:L173, IF(SUM((_xlpm.x="C1")*1)=1, 3, 1))</f>
        <v>1</v>
      </c>
      <c r="Y171" s="25" cm="1">
        <f t="array" ref="Y171">_xlfn.LET(_xlpm.x, M171:M173, IF(SUM((_xlpm.x="C1")*1)=1, 3, 1))</f>
        <v>1</v>
      </c>
      <c r="Z171" s="25" cm="1">
        <f t="array" ref="Z171">_xlfn.LET(_xlpm.x, N171:N173, IF(SUM((_xlpm.x="C1")*1)=1, 3, 1))</f>
        <v>1</v>
      </c>
      <c r="AA171" s="25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89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12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3, 1))</f>
        <v>1</v>
      </c>
      <c r="X172" s="25" cm="1">
        <f t="array" ref="X172">_xlfn.LET(_xlpm.x, L172:L174, IF(SUM((_xlpm.x="C1")*1)=1, 3, 1))</f>
        <v>1</v>
      </c>
      <c r="Y172" s="25" cm="1">
        <f t="array" ref="Y172">_xlfn.LET(_xlpm.x, M172:M174, IF(SUM((_xlpm.x="C1")*1)=1, 3, 1))</f>
        <v>3</v>
      </c>
      <c r="Z172" s="25" cm="1">
        <f t="array" ref="Z172">_xlfn.LET(_xlpm.x, N172:N174, IF(SUM((_xlpm.x="C1")*1)=1, 3, 1))</f>
        <v>1</v>
      </c>
      <c r="AA172" s="25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3, 1))</f>
        <v>1</v>
      </c>
      <c r="X173" s="25" cm="1">
        <f t="array" ref="X173">_xlfn.LET(_xlpm.x, L173:L175, IF(SUM((_xlpm.x="C1")*1)=1, 3, 1))</f>
        <v>1</v>
      </c>
      <c r="Y173" s="25" cm="1">
        <f t="array" ref="Y173">_xlfn.LET(_xlpm.x, M173:M175, IF(SUM((_xlpm.x="C1")*1)=1, 3, 1))</f>
        <v>3</v>
      </c>
      <c r="Z173" s="25" cm="1">
        <f t="array" ref="Z173">_xlfn.LET(_xlpm.x, N173:N175, IF(SUM((_xlpm.x="C1")*1)=1, 3, 1))</f>
        <v>1</v>
      </c>
      <c r="AA173" s="25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3, 1))</f>
        <v>1</v>
      </c>
      <c r="X174" s="25" cm="1">
        <f t="array" ref="X174">_xlfn.LET(_xlpm.x, L174:L176, IF(SUM((_xlpm.x="C1")*1)=1, 3, 1))</f>
        <v>1</v>
      </c>
      <c r="Y174" s="25" cm="1">
        <f t="array" ref="Y174">_xlfn.LET(_xlpm.x, M174:M176, IF(SUM((_xlpm.x="C1")*1)=1, 3, 1))</f>
        <v>3</v>
      </c>
      <c r="Z174" s="25" cm="1">
        <f t="array" ref="Z174">_xlfn.LET(_xlpm.x, N174:N176, IF(SUM((_xlpm.x="C1")*1)=1, 3, 1))</f>
        <v>1</v>
      </c>
      <c r="AA174" s="25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3, 1))</f>
        <v>1</v>
      </c>
      <c r="X175" s="25" cm="1">
        <f t="array" ref="X175">_xlfn.LET(_xlpm.x, L175:L177, IF(SUM((_xlpm.x="C1")*1)=1, 3, 1))</f>
        <v>1</v>
      </c>
      <c r="Y175" s="25" cm="1">
        <f t="array" ref="Y175">_xlfn.LET(_xlpm.x, M175:M177, IF(SUM((_xlpm.x="C1")*1)=1, 3, 1))</f>
        <v>1</v>
      </c>
      <c r="Z175" s="25" cm="1">
        <f t="array" ref="Z175">_xlfn.LET(_xlpm.x, N175:N177, IF(SUM((_xlpm.x="C1")*1)=1, 3, 1))</f>
        <v>1</v>
      </c>
      <c r="AA175" s="25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3, 1))</f>
        <v>1</v>
      </c>
      <c r="X176" s="25" cm="1">
        <f t="array" ref="X176">_xlfn.LET(_xlpm.x, L176:L178, IF(SUM((_xlpm.x="C1")*1)=1, 3, 1))</f>
        <v>1</v>
      </c>
      <c r="Y176" s="25" cm="1">
        <f t="array" ref="Y176">_xlfn.LET(_xlpm.x, M176:M178, IF(SUM((_xlpm.x="C1")*1)=1, 3, 1))</f>
        <v>1</v>
      </c>
      <c r="Z176" s="25" cm="1">
        <f t="array" ref="Z176">_xlfn.LET(_xlpm.x, N176:N178, IF(SUM((_xlpm.x="C1")*1)=1, 3, 1))</f>
        <v>1</v>
      </c>
      <c r="AA176" s="25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3, 1))</f>
        <v>3</v>
      </c>
      <c r="X177" s="25" cm="1">
        <f t="array" ref="X177">_xlfn.LET(_xlpm.x, L177:L179, IF(SUM((_xlpm.x="C1")*1)=1, 3, 1))</f>
        <v>1</v>
      </c>
      <c r="Y177" s="25" cm="1">
        <f t="array" ref="Y177">_xlfn.LET(_xlpm.x, M177:M179, IF(SUM((_xlpm.x="C1")*1)=1, 3, 1))</f>
        <v>1</v>
      </c>
      <c r="Z177" s="25" cm="1">
        <f t="array" ref="Z177">_xlfn.LET(_xlpm.x, N177:N179, IF(SUM((_xlpm.x="C1")*1)=1, 3, 1))</f>
        <v>1</v>
      </c>
      <c r="AA177" s="25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3, 1))</f>
        <v>3</v>
      </c>
      <c r="X178" s="25" cm="1">
        <f t="array" ref="X178">_xlfn.LET(_xlpm.x, L178:L180, IF(SUM((_xlpm.x="C1")*1)=1, 3, 1))</f>
        <v>1</v>
      </c>
      <c r="Y178" s="25" cm="1">
        <f t="array" ref="Y178">_xlfn.LET(_xlpm.x, M178:M180, IF(SUM((_xlpm.x="C1")*1)=1, 3, 1))</f>
        <v>1</v>
      </c>
      <c r="Z178" s="25" cm="1">
        <f t="array" ref="Z178">_xlfn.LET(_xlpm.x, N178:N180, IF(SUM((_xlpm.x="C1")*1)=1, 3, 1))</f>
        <v>1</v>
      </c>
      <c r="AA178" s="25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3, 1))</f>
        <v>3</v>
      </c>
      <c r="X179" s="25" cm="1">
        <f t="array" ref="X179">_xlfn.LET(_xlpm.x, L179:L181, IF(SUM((_xlpm.x="C1")*1)=1, 3, 1))</f>
        <v>1</v>
      </c>
      <c r="Y179" s="25" cm="1">
        <f t="array" ref="Y179">_xlfn.LET(_xlpm.x, M179:M181, IF(SUM((_xlpm.x="C1")*1)=1, 3, 1))</f>
        <v>1</v>
      </c>
      <c r="Z179" s="25" cm="1">
        <f t="array" ref="Z179">_xlfn.LET(_xlpm.x, N179:N181, IF(SUM((_xlpm.x="C1")*1)=1, 3, 1))</f>
        <v>1</v>
      </c>
      <c r="AA179" s="25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3, 1))</f>
        <v>1</v>
      </c>
      <c r="X180" s="25" cm="1">
        <f t="array" ref="X180">_xlfn.LET(_xlpm.x, L180:L182, IF(SUM((_xlpm.x="C1")*1)=1, 3, 1))</f>
        <v>1</v>
      </c>
      <c r="Y180" s="25" cm="1">
        <f t="array" ref="Y180">_xlfn.LET(_xlpm.x, M180:M182, IF(SUM((_xlpm.x="C1")*1)=1, 3, 1))</f>
        <v>1</v>
      </c>
      <c r="Z180" s="25" cm="1">
        <f t="array" ref="Z180">_xlfn.LET(_xlpm.x, N180:N182, IF(SUM((_xlpm.x="C1")*1)=1, 3, 1))</f>
        <v>3</v>
      </c>
      <c r="AA180" s="25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88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11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3, 1))</f>
        <v>1</v>
      </c>
      <c r="X181" s="25" cm="1">
        <f t="array" ref="X181">_xlfn.LET(_xlpm.x, L181:L183, IF(SUM((_xlpm.x="C1")*1)=1, 3, 1))</f>
        <v>1</v>
      </c>
      <c r="Y181" s="25" cm="1">
        <f t="array" ref="Y181">_xlfn.LET(_xlpm.x, M181:M183, IF(SUM((_xlpm.x="C1")*1)=1, 3, 1))</f>
        <v>1</v>
      </c>
      <c r="Z181" s="25" cm="1">
        <f t="array" ref="Z181">_xlfn.LET(_xlpm.x, N181:N183, IF(SUM((_xlpm.x="C1")*1)=1, 3, 1))</f>
        <v>3</v>
      </c>
      <c r="AA181" s="25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3, 1))</f>
        <v>1</v>
      </c>
      <c r="X182" s="25" cm="1">
        <f t="array" ref="X182">_xlfn.LET(_xlpm.x, L182:L184, IF(SUM((_xlpm.x="C1")*1)=1, 3, 1))</f>
        <v>1</v>
      </c>
      <c r="Y182" s="25" cm="1">
        <f t="array" ref="Y182">_xlfn.LET(_xlpm.x, M182:M184, IF(SUM((_xlpm.x="C1")*1)=1, 3, 1))</f>
        <v>1</v>
      </c>
      <c r="Z182" s="25" cm="1">
        <f t="array" ref="Z182">_xlfn.LET(_xlpm.x, N182:N184, IF(SUM((_xlpm.x="C1")*1)=1, 3, 1))</f>
        <v>3</v>
      </c>
      <c r="AA182" s="25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3, 1))</f>
        <v>1</v>
      </c>
      <c r="X183" s="25" cm="1">
        <f t="array" ref="X183">_xlfn.LET(_xlpm.x, L183:L185, IF(SUM((_xlpm.x="C1")*1)=1, 3, 1))</f>
        <v>1</v>
      </c>
      <c r="Y183" s="25" cm="1">
        <f t="array" ref="Y183">_xlfn.LET(_xlpm.x, M183:M185, IF(SUM((_xlpm.x="C1")*1)=1, 3, 1))</f>
        <v>1</v>
      </c>
      <c r="Z183" s="25" cm="1">
        <f t="array" ref="Z183">_xlfn.LET(_xlpm.x, N183:N185, IF(SUM((_xlpm.x="C1")*1)=1, 3, 1))</f>
        <v>1</v>
      </c>
      <c r="AA183" s="25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3, 1))</f>
        <v>1</v>
      </c>
      <c r="X184" s="25" cm="1">
        <f t="array" ref="X184">_xlfn.LET(_xlpm.x, L184:L186, IF(SUM((_xlpm.x="C1")*1)=1, 3, 1))</f>
        <v>1</v>
      </c>
      <c r="Y184" s="25" cm="1">
        <f t="array" ref="Y184">_xlfn.LET(_xlpm.x, M184:M186, IF(SUM((_xlpm.x="C1")*1)=1, 3, 1))</f>
        <v>1</v>
      </c>
      <c r="Z184" s="25" cm="1">
        <f t="array" ref="Z184">_xlfn.LET(_xlpm.x, N184:N186, IF(SUM((_xlpm.x="C1")*1)=1, 3, 1))</f>
        <v>1</v>
      </c>
      <c r="AA184" s="25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112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17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3, 1))</f>
        <v>1</v>
      </c>
      <c r="X185" s="25" cm="1">
        <f t="array" ref="X185">_xlfn.LET(_xlpm.x, L185:L187, IF(SUM((_xlpm.x="C1")*1)=1, 3, 1))</f>
        <v>1</v>
      </c>
      <c r="Y185" s="25" cm="1">
        <f t="array" ref="Y185">_xlfn.LET(_xlpm.x, M185:M187, IF(SUM((_xlpm.x="C1")*1)=1, 3, 1))</f>
        <v>1</v>
      </c>
      <c r="Z185" s="25" cm="1">
        <f t="array" ref="Z185">_xlfn.LET(_xlpm.x, N185:N187, IF(SUM((_xlpm.x="C1")*1)=1, 3, 1))</f>
        <v>1</v>
      </c>
      <c r="AA185" s="25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3, 1))</f>
        <v>1</v>
      </c>
      <c r="X186" s="25" cm="1">
        <f t="array" ref="X186">_xlfn.LET(_xlpm.x, L186:L188, IF(SUM((_xlpm.x="C1")*1)=1, 3, 1))</f>
        <v>1</v>
      </c>
      <c r="Y186" s="25" cm="1">
        <f t="array" ref="Y186">_xlfn.LET(_xlpm.x, M186:M188, IF(SUM((_xlpm.x="C1")*1)=1, 3, 1))</f>
        <v>1</v>
      </c>
      <c r="Z186" s="25" cm="1">
        <f t="array" ref="Z186">_xlfn.LET(_xlpm.x, N186:N188, IF(SUM((_xlpm.x="C1")*1)=1, 3, 1))</f>
        <v>1</v>
      </c>
      <c r="AA186" s="25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3, 1))</f>
        <v>1</v>
      </c>
      <c r="X187" s="25" cm="1">
        <f t="array" ref="X187">_xlfn.LET(_xlpm.x, L187:L189, IF(SUM((_xlpm.x="C1")*1)=1, 3, 1))</f>
        <v>3</v>
      </c>
      <c r="Y187" s="25" cm="1">
        <f t="array" ref="Y187">_xlfn.LET(_xlpm.x, M187:M189, IF(SUM((_xlpm.x="C1")*1)=1, 3, 1))</f>
        <v>1</v>
      </c>
      <c r="Z187" s="25" cm="1">
        <f t="array" ref="Z187">_xlfn.LET(_xlpm.x, N187:N189, IF(SUM((_xlpm.x="C1")*1)=1, 3, 1))</f>
        <v>1</v>
      </c>
      <c r="AA187" s="25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3, 1))</f>
        <v>1</v>
      </c>
      <c r="X188" s="25" cm="1">
        <f t="array" ref="X188">_xlfn.LET(_xlpm.x, L188:L190, IF(SUM((_xlpm.x="C1")*1)=1, 3, 1))</f>
        <v>3</v>
      </c>
      <c r="Y188" s="25" cm="1">
        <f t="array" ref="Y188">_xlfn.LET(_xlpm.x, M188:M190, IF(SUM((_xlpm.x="C1")*1)=1, 3, 1))</f>
        <v>1</v>
      </c>
      <c r="Z188" s="25" cm="1">
        <f t="array" ref="Z188">_xlfn.LET(_xlpm.x, N188:N190, IF(SUM((_xlpm.x="C1")*1)=1, 3, 1))</f>
        <v>3</v>
      </c>
      <c r="AA188" s="25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3, 1))</f>
        <v>1</v>
      </c>
      <c r="X189" s="25" cm="1">
        <f t="array" ref="X189">_xlfn.LET(_xlpm.x, L189:L191, IF(SUM((_xlpm.x="C1")*1)=1, 3, 1))</f>
        <v>3</v>
      </c>
      <c r="Y189" s="25" cm="1">
        <f t="array" ref="Y189">_xlfn.LET(_xlpm.x, M189:M191, IF(SUM((_xlpm.x="C1")*1)=1, 3, 1))</f>
        <v>1</v>
      </c>
      <c r="Z189" s="25" cm="1">
        <f t="array" ref="Z189">_xlfn.LET(_xlpm.x, N189:N191, IF(SUM((_xlpm.x="C1")*1)=1, 3, 1))</f>
        <v>3</v>
      </c>
      <c r="AA189" s="25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3, 1))</f>
        <v>1</v>
      </c>
      <c r="X190" s="25" cm="1">
        <f t="array" ref="X190">_xlfn.LET(_xlpm.x, L190:L192, IF(SUM((_xlpm.x="C1")*1)=1, 3, 1))</f>
        <v>1</v>
      </c>
      <c r="Y190" s="25" cm="1">
        <f t="array" ref="Y190">_xlfn.LET(_xlpm.x, M190:M192, IF(SUM((_xlpm.x="C1")*1)=1, 3, 1))</f>
        <v>1</v>
      </c>
      <c r="Z190" s="25" cm="1">
        <f t="array" ref="Z190">_xlfn.LET(_xlpm.x, N190:N192, IF(SUM((_xlpm.x="C1")*1)=1, 3, 1))</f>
        <v>3</v>
      </c>
      <c r="AA190" s="25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3, 1))</f>
        <v>1</v>
      </c>
      <c r="X191" s="25" cm="1">
        <f t="array" ref="X191">_xlfn.LET(_xlpm.x, L191:L193, IF(SUM((_xlpm.x="C1")*1)=1, 3, 1))</f>
        <v>1</v>
      </c>
      <c r="Y191" s="25" cm="1">
        <f t="array" ref="Y191">_xlfn.LET(_xlpm.x, M191:M193, IF(SUM((_xlpm.x="C1")*1)=1, 3, 1))</f>
        <v>1</v>
      </c>
      <c r="Z191" s="25" cm="1">
        <f t="array" ref="Z191">_xlfn.LET(_xlpm.x, N191:N193, IF(SUM((_xlpm.x="C1")*1)=1, 3, 1))</f>
        <v>1</v>
      </c>
      <c r="AA191" s="25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3, 1))</f>
        <v>1</v>
      </c>
      <c r="X192" s="25" cm="1">
        <f t="array" ref="X192">_xlfn.LET(_xlpm.x, L192:L194, IF(SUM((_xlpm.x="C1")*1)=1, 3, 1))</f>
        <v>1</v>
      </c>
      <c r="Y192" s="25" cm="1">
        <f t="array" ref="Y192">_xlfn.LET(_xlpm.x, M192:M194, IF(SUM((_xlpm.x="C1")*1)=1, 3, 1))</f>
        <v>1</v>
      </c>
      <c r="Z192" s="25" cm="1">
        <f t="array" ref="Z192">_xlfn.LET(_xlpm.x, N192:N194, IF(SUM((_xlpm.x="C1")*1)=1, 3, 1))</f>
        <v>1</v>
      </c>
      <c r="AA192" s="25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3, 1))</f>
        <v>1</v>
      </c>
      <c r="X193" s="25" cm="1">
        <f t="array" ref="X193">_xlfn.LET(_xlpm.x, L193:L195, IF(SUM((_xlpm.x="C1")*1)=1, 3, 1))</f>
        <v>1</v>
      </c>
      <c r="Y193" s="25" cm="1">
        <f t="array" ref="Y193">_xlfn.LET(_xlpm.x, M193:M195, IF(SUM((_xlpm.x="C1")*1)=1, 3, 1))</f>
        <v>1</v>
      </c>
      <c r="Z193" s="25" cm="1">
        <f t="array" ref="Z193">_xlfn.LET(_xlpm.x, N193:N195, IF(SUM((_xlpm.x="C1")*1)=1, 3, 1))</f>
        <v>1</v>
      </c>
      <c r="AA193" s="25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13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3, 1))</f>
        <v>1</v>
      </c>
      <c r="X194" s="25" cm="1">
        <f t="array" ref="X194">_xlfn.LET(_xlpm.x, L194:L196, IF(SUM((_xlpm.x="C1")*1)=1, 3, 1))</f>
        <v>1</v>
      </c>
      <c r="Y194" s="25" cm="1">
        <f t="array" ref="Y194">_xlfn.LET(_xlpm.x, M194:M196, IF(SUM((_xlpm.x="C1")*1)=1, 3, 1))</f>
        <v>1</v>
      </c>
      <c r="Z194" s="25" cm="1">
        <f t="array" ref="Z194">_xlfn.LET(_xlpm.x, N194:N196, IF(SUM((_xlpm.x="C1")*1)=1, 3, 1))</f>
        <v>1</v>
      </c>
      <c r="AA194" s="25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3, 1))</f>
        <v>1</v>
      </c>
      <c r="X195" s="25" cm="1">
        <f t="array" ref="X195">_xlfn.LET(_xlpm.x, L195:L197, IF(SUM((_xlpm.x="C1")*1)=1, 3, 1))</f>
        <v>1</v>
      </c>
      <c r="Y195" s="25" cm="1">
        <f t="array" ref="Y195">_xlfn.LET(_xlpm.x, M195:M197, IF(SUM((_xlpm.x="C1")*1)=1, 3, 1))</f>
        <v>1</v>
      </c>
      <c r="Z195" s="25" cm="1">
        <f t="array" ref="Z195">_xlfn.LET(_xlpm.x, N195:N197, IF(SUM((_xlpm.x="C1")*1)=1, 3, 1))</f>
        <v>1</v>
      </c>
      <c r="AA195" s="25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3, 1))</f>
        <v>1</v>
      </c>
      <c r="X196" s="25" cm="1">
        <f t="array" ref="X196">_xlfn.LET(_xlpm.x, L196:L198, IF(SUM((_xlpm.x="C1")*1)=1, 3, 1))</f>
        <v>1</v>
      </c>
      <c r="Y196" s="25" cm="1">
        <f t="array" ref="Y196">_xlfn.LET(_xlpm.x, M196:M198, IF(SUM((_xlpm.x="C1")*1)=1, 3, 1))</f>
        <v>1</v>
      </c>
      <c r="Z196" s="25" cm="1">
        <f t="array" ref="Z196">_xlfn.LET(_xlpm.x, N196:N198, IF(SUM((_xlpm.x="C1")*1)=1, 3, 1))</f>
        <v>1</v>
      </c>
      <c r="AA196" s="25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3, 1))</f>
        <v>1</v>
      </c>
      <c r="X197" s="25" cm="1">
        <f t="array" ref="X197">_xlfn.LET(_xlpm.x, L197:L199, IF(SUM((_xlpm.x="C1")*1)=1, 3, 1))</f>
        <v>1</v>
      </c>
      <c r="Y197" s="25" cm="1">
        <f t="array" ref="Y197">_xlfn.LET(_xlpm.x, M197:M199, IF(SUM((_xlpm.x="C1")*1)=1, 3, 1))</f>
        <v>1</v>
      </c>
      <c r="Z197" s="25" cm="1">
        <f t="array" ref="Z197">_xlfn.LET(_xlpm.x, N197:N199, IF(SUM((_xlpm.x="C1")*1)=1, 3, 1))</f>
        <v>1</v>
      </c>
      <c r="AA197" s="25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3, 1))</f>
        <v>1</v>
      </c>
      <c r="X198" s="25" cm="1">
        <f t="array" ref="X198">_xlfn.LET(_xlpm.x, L198:L200, IF(SUM((_xlpm.x="C1")*1)=1, 3, 1))</f>
        <v>1</v>
      </c>
      <c r="Y198" s="25" cm="1">
        <f t="array" ref="Y198">_xlfn.LET(_xlpm.x, M198:M200, IF(SUM((_xlpm.x="C1")*1)=1, 3, 1))</f>
        <v>1</v>
      </c>
      <c r="Z198" s="25" cm="1">
        <f t="array" ref="Z198">_xlfn.LET(_xlpm.x, N198:N200, IF(SUM((_xlpm.x="C1")*1)=1, 3, 1))</f>
        <v>1</v>
      </c>
      <c r="AA198" s="25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3, 1))</f>
        <v>1</v>
      </c>
      <c r="X199" s="25" cm="1">
        <f t="array" ref="X199">_xlfn.LET(_xlpm.x, L199:L201, IF(SUM((_xlpm.x="C1")*1)=1, 3, 1))</f>
        <v>1</v>
      </c>
      <c r="Y199" s="25" cm="1">
        <f t="array" ref="Y199">_xlfn.LET(_xlpm.x, M199:M201, IF(SUM((_xlpm.x="C1")*1)=1, 3, 1))</f>
        <v>1</v>
      </c>
      <c r="Z199" s="25" cm="1">
        <f t="array" ref="Z199">_xlfn.LET(_xlpm.x, N199:N201, IF(SUM((_xlpm.x="C1")*1)=1, 3, 1))</f>
        <v>1</v>
      </c>
      <c r="AA199" s="25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3, 1))</f>
        <v>1</v>
      </c>
      <c r="X200" s="25" cm="1">
        <f t="array" ref="X200">_xlfn.LET(_xlpm.x, L200:L202, IF(SUM((_xlpm.x="C1")*1)=1, 3, 1))</f>
        <v>1</v>
      </c>
      <c r="Y200" s="25" cm="1">
        <f t="array" ref="Y200">_xlfn.LET(_xlpm.x, M200:M202, IF(SUM((_xlpm.x="C1")*1)=1, 3, 1))</f>
        <v>1</v>
      </c>
      <c r="Z200" s="25" cm="1">
        <f t="array" ref="Z200">_xlfn.LET(_xlpm.x, N200:N202, IF(SUM((_xlpm.x="C1")*1)=1, 3, 1))</f>
        <v>1</v>
      </c>
      <c r="AA200" s="25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3, 1))</f>
        <v>1</v>
      </c>
      <c r="X201" s="25" cm="1">
        <f t="array" ref="X201">_xlfn.LET(_xlpm.x, L201:L203, IF(SUM((_xlpm.x="C1")*1)=1, 3, 1))</f>
        <v>1</v>
      </c>
      <c r="Y201" s="25" cm="1">
        <f t="array" ref="Y201">_xlfn.LET(_xlpm.x, M201:M203, IF(SUM((_xlpm.x="C1")*1)=1, 3, 1))</f>
        <v>1</v>
      </c>
      <c r="Z201" s="25" cm="1">
        <f t="array" ref="Z201">_xlfn.LET(_xlpm.x, N201:N203, IF(SUM((_xlpm.x="C1")*1)=1, 3, 1))</f>
        <v>1</v>
      </c>
      <c r="AA201" s="25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3, 1))</f>
        <v>1</v>
      </c>
      <c r="X202" s="25" cm="1">
        <f t="array" ref="X202">_xlfn.LET(_xlpm.x, L202:L204, IF(SUM((_xlpm.x="C1")*1)=1, 3, 1))</f>
        <v>1</v>
      </c>
      <c r="Y202" s="25" cm="1">
        <f t="array" ref="Y202">_xlfn.LET(_xlpm.x, M202:M204, IF(SUM((_xlpm.x="C1")*1)=1, 3, 1))</f>
        <v>1</v>
      </c>
      <c r="Z202" s="25" cm="1">
        <f t="array" ref="Z202">_xlfn.LET(_xlpm.x, N202:N204, IF(SUM((_xlpm.x="C1")*1)=1, 3, 1))</f>
        <v>1</v>
      </c>
      <c r="AA202" s="25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3, 1))</f>
        <v>1</v>
      </c>
      <c r="X203" s="25" cm="1">
        <f t="array" ref="X203">_xlfn.LET(_xlpm.x, L203:L205, IF(SUM((_xlpm.x="C1")*1)=1, 3, 1))</f>
        <v>1</v>
      </c>
      <c r="Y203" s="25" cm="1">
        <f t="array" ref="Y203">_xlfn.LET(_xlpm.x, M203:M205, IF(SUM((_xlpm.x="C1")*1)=1, 3, 1))</f>
        <v>1</v>
      </c>
      <c r="Z203" s="25" cm="1">
        <f t="array" ref="Z203">_xlfn.LET(_xlpm.x, N203:N205, IF(SUM((_xlpm.x="C1")*1)=1, 3, 1))</f>
        <v>1</v>
      </c>
      <c r="AA203" s="25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0" priority="47">
      <formula>_xlfn.LET(_xlpm.x, W4, AND(NOT(_xlfn.ISFORMULA(_xlpm.x)), _xlpm.x&lt;&gt;""))</formula>
    </cfRule>
  </conditionalFormatting>
  <conditionalFormatting sqref="W5:AA203 X4:AA4">
    <cfRule type="expression" dxfId="109" priority="42">
      <formula>_xlfn.LET(_xlpm.x, W4, AND(NOT(_xlfn.ISFORMULA(_xlpm.x)), _xlpm.x&lt;&gt;""))</formula>
    </cfRule>
  </conditionalFormatting>
  <conditionalFormatting sqref="K1:O1048576">
    <cfRule type="cellIs" dxfId="108" priority="30" operator="equal">
      <formula>"C1"</formula>
    </cfRule>
    <cfRule type="cellIs" dxfId="107" priority="31" operator="between">
      <formula>"G1"</formula>
      <formula>"G5"</formula>
    </cfRule>
    <cfRule type="cellIs" dxfId="106" priority="33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{D078B51E-3844-4995-BE04-BA0353961508}</x14:id>
        </ext>
      </extLst>
    </cfRule>
  </conditionalFormatting>
  <conditionalFormatting sqref="D52:D54">
    <cfRule type="cellIs" dxfId="105" priority="11" operator="equal">
      <formula>"C1"</formula>
    </cfRule>
    <cfRule type="cellIs" dxfId="104" priority="12" operator="between">
      <formula>"G1"</formula>
      <formula>"G4"</formula>
    </cfRule>
    <cfRule type="cellIs" dxfId="103" priority="13" operator="between">
      <formula>"GA"</formula>
      <formula>"GQ"</formula>
    </cfRule>
    <cfRule type="cellIs" dxfId="102" priority="14" operator="between">
      <formula>"M1"</formula>
      <formula>"M4"</formula>
    </cfRule>
  </conditionalFormatting>
  <conditionalFormatting sqref="E52:E54">
    <cfRule type="cellIs" dxfId="101" priority="7" operator="equal">
      <formula>"C1"</formula>
    </cfRule>
    <cfRule type="cellIs" dxfId="100" priority="8" operator="between">
      <formula>"G1"</formula>
      <formula>"G4"</formula>
    </cfRule>
    <cfRule type="cellIs" dxfId="99" priority="9" operator="between">
      <formula>"GA"</formula>
      <formula>"GQ"</formula>
    </cfRule>
    <cfRule type="cellIs" dxfId="98" priority="10" operator="between">
      <formula>"M1"</formula>
      <formula>"M4"</formula>
    </cfRule>
  </conditionalFormatting>
  <conditionalFormatting sqref="F52:F54">
    <cfRule type="cellIs" dxfId="97" priority="3" operator="equal">
      <formula>"C1"</formula>
    </cfRule>
    <cfRule type="cellIs" dxfId="96" priority="4" operator="between">
      <formula>"G1"</formula>
      <formula>"G4"</formula>
    </cfRule>
    <cfRule type="cellIs" dxfId="95" priority="5" operator="between">
      <formula>"GA"</formula>
      <formula>"GQ"</formula>
    </cfRule>
    <cfRule type="cellIs" dxfId="9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{50A3F2C0-8997-4FBB-884E-5E9E40508366}</x14:id>
        </ext>
      </extLst>
    </cfRule>
  </conditionalFormatting>
  <conditionalFormatting sqref="W4:AA203">
    <cfRule type="expression" dxfId="9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8B51E-3844-4995-BE04-BA03539615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50A3F2C0-8997-4FBB-884E-5E9E405083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2</v>
      </c>
      <c r="D5" s="99">
        <f t="shared" si="0"/>
        <v>2</v>
      </c>
      <c r="E5" s="99">
        <f t="shared" si="0"/>
        <v>0</v>
      </c>
      <c r="F5" s="99">
        <f t="shared" si="0"/>
        <v>3</v>
      </c>
      <c r="G5" s="99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127</v>
      </c>
      <c r="M5" s="16" t="s">
        <v>127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3</v>
      </c>
      <c r="D6" s="131">
        <f t="shared" si="0"/>
        <v>10</v>
      </c>
      <c r="E6" s="131">
        <f t="shared" si="0"/>
        <v>0</v>
      </c>
      <c r="F6" s="131">
        <f t="shared" si="0"/>
        <v>3</v>
      </c>
      <c r="G6" s="131">
        <f t="shared" si="0"/>
        <v>9</v>
      </c>
      <c r="H6" s="110">
        <v>2</v>
      </c>
      <c r="I6" s="87"/>
      <c r="J6" s="25">
        <v>2</v>
      </c>
      <c r="K6" s="16" t="s">
        <v>126</v>
      </c>
      <c r="L6" s="16" t="s">
        <v>19</v>
      </c>
      <c r="M6" s="16" t="s">
        <v>112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3</v>
      </c>
      <c r="D7" s="131">
        <f t="shared" si="0"/>
        <v>12</v>
      </c>
      <c r="E7" s="131">
        <f t="shared" si="0"/>
        <v>0</v>
      </c>
      <c r="F7" s="131">
        <f t="shared" si="0"/>
        <v>3</v>
      </c>
      <c r="G7" s="131">
        <f t="shared" si="0"/>
        <v>8</v>
      </c>
      <c r="H7" s="110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126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6" t="str">
        <v>C1</v>
      </c>
      <c r="AD7" s="136">
        <v>1</v>
      </c>
      <c r="AE7" s="136">
        <v>1</v>
      </c>
      <c r="AF7" s="136">
        <v>0</v>
      </c>
      <c r="AG7" s="136">
        <v>1</v>
      </c>
      <c r="AH7" s="136">
        <v>1</v>
      </c>
      <c r="AI7" s="5"/>
      <c r="AJ7" s="136" t="str">
        <v>C1</v>
      </c>
      <c r="AK7" s="136">
        <v>1</v>
      </c>
      <c r="AL7" s="136">
        <v>1</v>
      </c>
      <c r="AM7" s="136">
        <v>0</v>
      </c>
      <c r="AN7" s="136">
        <v>1</v>
      </c>
      <c r="AO7" s="136">
        <v>1</v>
      </c>
    </row>
    <row r="8" spans="1:41" ht="15.9" customHeight="1">
      <c r="A8" s="131" t="str">
        <v>M3</v>
      </c>
      <c r="B8" s="110" t="str">
        <v>M3</v>
      </c>
      <c r="C8" s="131">
        <f t="shared" si="0"/>
        <v>7</v>
      </c>
      <c r="D8" s="131">
        <f t="shared" si="0"/>
        <v>13</v>
      </c>
      <c r="E8" s="131">
        <f t="shared" si="0"/>
        <v>0</v>
      </c>
      <c r="F8" s="131">
        <f t="shared" si="0"/>
        <v>7</v>
      </c>
      <c r="G8" s="131">
        <f t="shared" si="0"/>
        <v>14</v>
      </c>
      <c r="H8" s="110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2" t="str">
        <v>M1</v>
      </c>
      <c r="AD8" s="131">
        <v>3</v>
      </c>
      <c r="AE8" s="131">
        <v>10</v>
      </c>
      <c r="AF8" s="131">
        <v>0</v>
      </c>
      <c r="AG8" s="131">
        <v>3</v>
      </c>
      <c r="AH8" s="131">
        <v>9</v>
      </c>
      <c r="AI8" s="5"/>
      <c r="AJ8" s="152" t="str">
        <v>M1</v>
      </c>
      <c r="AK8" s="131">
        <v>3</v>
      </c>
      <c r="AL8" s="131">
        <v>10</v>
      </c>
      <c r="AM8" s="131">
        <v>0</v>
      </c>
      <c r="AN8" s="131">
        <v>3</v>
      </c>
      <c r="AO8" s="131">
        <v>9</v>
      </c>
    </row>
    <row r="9" spans="1:41" ht="15.9" customHeight="1">
      <c r="A9" s="131" t="str">
        <v>M4</v>
      </c>
      <c r="B9" s="110" t="str">
        <v>M4</v>
      </c>
      <c r="C9" s="131">
        <f t="shared" si="0"/>
        <v>43</v>
      </c>
      <c r="D9" s="131">
        <f t="shared" si="0"/>
        <v>22</v>
      </c>
      <c r="E9" s="131">
        <f t="shared" si="0"/>
        <v>0</v>
      </c>
      <c r="F9" s="131">
        <f t="shared" si="0"/>
        <v>31</v>
      </c>
      <c r="G9" s="131">
        <f t="shared" si="0"/>
        <v>36</v>
      </c>
      <c r="H9" s="110">
        <v>5</v>
      </c>
      <c r="I9" s="87"/>
      <c r="J9" s="9">
        <v>5</v>
      </c>
      <c r="K9" s="16" t="s">
        <v>35</v>
      </c>
      <c r="L9" s="16" t="s">
        <v>37</v>
      </c>
      <c r="M9" s="16" t="s">
        <v>112</v>
      </c>
      <c r="N9" s="16" t="s">
        <v>35</v>
      </c>
      <c r="O9" s="16" t="s">
        <v>126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2" t="str">
        <v>M2</v>
      </c>
      <c r="AD9" s="131">
        <v>3</v>
      </c>
      <c r="AE9" s="131">
        <v>12</v>
      </c>
      <c r="AF9" s="131">
        <v>0</v>
      </c>
      <c r="AG9" s="131">
        <v>3</v>
      </c>
      <c r="AH9" s="131">
        <v>8</v>
      </c>
      <c r="AI9" s="5"/>
      <c r="AJ9" s="152" t="str">
        <v>M2</v>
      </c>
      <c r="AK9" s="131">
        <v>3</v>
      </c>
      <c r="AL9" s="131">
        <v>12</v>
      </c>
      <c r="AM9" s="131">
        <v>0</v>
      </c>
      <c r="AN9" s="131">
        <v>3</v>
      </c>
      <c r="AO9" s="131">
        <v>8</v>
      </c>
    </row>
    <row r="10" spans="1:41" ht="15.9" customHeight="1">
      <c r="A10" s="131" t="str">
        <v>M5</v>
      </c>
      <c r="B10" s="110" t="str">
        <v>M5</v>
      </c>
      <c r="C10" s="131">
        <f t="shared" si="0"/>
        <v>42</v>
      </c>
      <c r="D10" s="131">
        <f t="shared" si="0"/>
        <v>22</v>
      </c>
      <c r="E10" s="131">
        <f t="shared" si="0"/>
        <v>0</v>
      </c>
      <c r="F10" s="131">
        <f t="shared" si="0"/>
        <v>27</v>
      </c>
      <c r="G10" s="131">
        <f t="shared" si="0"/>
        <v>34</v>
      </c>
      <c r="H10" s="110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2" t="str">
        <v>M3</v>
      </c>
      <c r="AD10" s="131">
        <v>7</v>
      </c>
      <c r="AE10" s="131">
        <v>13</v>
      </c>
      <c r="AF10" s="131">
        <v>0</v>
      </c>
      <c r="AG10" s="131">
        <v>7</v>
      </c>
      <c r="AH10" s="131">
        <v>14</v>
      </c>
      <c r="AI10" s="5"/>
      <c r="AJ10" s="152" t="str">
        <v>M3</v>
      </c>
      <c r="AK10" s="131">
        <v>7</v>
      </c>
      <c r="AL10" s="131">
        <v>13</v>
      </c>
      <c r="AM10" s="131">
        <v>0</v>
      </c>
      <c r="AN10" s="131">
        <v>7</v>
      </c>
      <c r="AO10" s="131">
        <v>14</v>
      </c>
    </row>
    <row r="11" spans="1:41" ht="15.9" customHeight="1">
      <c r="A11" s="131" t="str">
        <v>A</v>
      </c>
      <c r="B11" s="110" t="str">
        <v>A</v>
      </c>
      <c r="C11" s="131">
        <f t="shared" si="0"/>
        <v>43</v>
      </c>
      <c r="D11" s="131">
        <f t="shared" si="0"/>
        <v>27</v>
      </c>
      <c r="E11" s="131">
        <f t="shared" si="0"/>
        <v>0</v>
      </c>
      <c r="F11" s="131">
        <f t="shared" si="0"/>
        <v>31</v>
      </c>
      <c r="G11" s="131">
        <f t="shared" si="0"/>
        <v>35</v>
      </c>
      <c r="H11" s="110">
        <v>7</v>
      </c>
      <c r="I11" s="87"/>
      <c r="J11" s="9">
        <v>7</v>
      </c>
      <c r="K11" s="16" t="s">
        <v>126</v>
      </c>
      <c r="L11" s="16" t="s">
        <v>95</v>
      </c>
      <c r="M11" s="16" t="s">
        <v>112</v>
      </c>
      <c r="N11" s="16" t="s">
        <v>112</v>
      </c>
      <c r="O11" s="16" t="s">
        <v>126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2" t="str">
        <v>M4</v>
      </c>
      <c r="AD11" s="131">
        <v>43</v>
      </c>
      <c r="AE11" s="131">
        <v>22</v>
      </c>
      <c r="AF11" s="131">
        <v>0</v>
      </c>
      <c r="AG11" s="131">
        <v>31</v>
      </c>
      <c r="AH11" s="131">
        <v>36</v>
      </c>
      <c r="AI11" s="5"/>
      <c r="AJ11" s="152" t="str">
        <v>M4</v>
      </c>
      <c r="AK11" s="131">
        <v>43</v>
      </c>
      <c r="AL11" s="131">
        <v>22</v>
      </c>
      <c r="AM11" s="131">
        <v>0</v>
      </c>
      <c r="AN11" s="131">
        <v>31</v>
      </c>
      <c r="AO11" s="131">
        <v>36</v>
      </c>
    </row>
    <row r="12" spans="1:41" ht="15.9" customHeight="1">
      <c r="A12" s="131" t="str">
        <v>K</v>
      </c>
      <c r="B12" s="110" t="str">
        <v>K</v>
      </c>
      <c r="C12" s="131">
        <f t="shared" si="0"/>
        <v>43</v>
      </c>
      <c r="D12" s="131">
        <f t="shared" si="0"/>
        <v>24</v>
      </c>
      <c r="E12" s="131">
        <f t="shared" si="0"/>
        <v>0</v>
      </c>
      <c r="F12" s="131">
        <f t="shared" si="0"/>
        <v>32</v>
      </c>
      <c r="G12" s="131">
        <f t="shared" si="0"/>
        <v>34</v>
      </c>
      <c r="H12" s="110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2" t="str">
        <v>M5</v>
      </c>
      <c r="AD12" s="131">
        <v>42</v>
      </c>
      <c r="AE12" s="131">
        <v>22</v>
      </c>
      <c r="AF12" s="131">
        <v>0</v>
      </c>
      <c r="AG12" s="131">
        <v>27</v>
      </c>
      <c r="AH12" s="131">
        <v>34</v>
      </c>
      <c r="AI12" s="5"/>
      <c r="AJ12" s="152" t="str">
        <v>M5</v>
      </c>
      <c r="AK12" s="131">
        <v>42</v>
      </c>
      <c r="AL12" s="131">
        <v>22</v>
      </c>
      <c r="AM12" s="131">
        <v>0</v>
      </c>
      <c r="AN12" s="131">
        <v>27</v>
      </c>
      <c r="AO12" s="131">
        <v>34</v>
      </c>
    </row>
    <row r="13" spans="1:41" ht="15.9" customHeight="1">
      <c r="A13" s="131" t="str">
        <v>Q</v>
      </c>
      <c r="B13" s="110" t="str">
        <v>Q</v>
      </c>
      <c r="C13" s="131">
        <f t="shared" si="0"/>
        <v>7</v>
      </c>
      <c r="D13" s="131">
        <f t="shared" si="0"/>
        <v>12</v>
      </c>
      <c r="E13" s="131">
        <f t="shared" si="0"/>
        <v>0</v>
      </c>
      <c r="F13" s="131">
        <f t="shared" si="0"/>
        <v>6</v>
      </c>
      <c r="G13" s="131">
        <f t="shared" si="0"/>
        <v>13</v>
      </c>
      <c r="H13" s="110">
        <v>9</v>
      </c>
      <c r="I13" s="87"/>
      <c r="J13" s="9">
        <v>9</v>
      </c>
      <c r="K13" s="16" t="s">
        <v>21</v>
      </c>
      <c r="L13" s="16" t="s">
        <v>92</v>
      </c>
      <c r="M13" s="16" t="s">
        <v>127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2" t="str">
        <v>A</v>
      </c>
      <c r="AD13" s="131">
        <v>43</v>
      </c>
      <c r="AE13" s="131">
        <v>27</v>
      </c>
      <c r="AF13" s="131">
        <v>0</v>
      </c>
      <c r="AG13" s="131">
        <v>31</v>
      </c>
      <c r="AH13" s="131">
        <v>35</v>
      </c>
      <c r="AI13" s="5"/>
      <c r="AJ13" s="152" t="str">
        <v>A</v>
      </c>
      <c r="AK13" s="131">
        <v>43</v>
      </c>
      <c r="AL13" s="131">
        <v>27</v>
      </c>
      <c r="AM13" s="131">
        <v>0</v>
      </c>
      <c r="AN13" s="131">
        <v>31</v>
      </c>
      <c r="AO13" s="131">
        <v>35</v>
      </c>
    </row>
    <row r="14" spans="1:41" ht="15.9" customHeight="1">
      <c r="A14" s="131" t="str">
        <v>J</v>
      </c>
      <c r="B14" s="110" t="str">
        <v>J</v>
      </c>
      <c r="C14" s="131">
        <f t="shared" si="0"/>
        <v>7</v>
      </c>
      <c r="D14" s="131">
        <f t="shared" si="0"/>
        <v>8</v>
      </c>
      <c r="E14" s="131">
        <f t="shared" si="0"/>
        <v>0</v>
      </c>
      <c r="F14" s="131">
        <f t="shared" si="0"/>
        <v>7</v>
      </c>
      <c r="G14" s="131">
        <f t="shared" si="0"/>
        <v>14</v>
      </c>
      <c r="H14" s="110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2" t="str">
        <v>K</v>
      </c>
      <c r="AD14" s="131">
        <v>43</v>
      </c>
      <c r="AE14" s="131">
        <v>24</v>
      </c>
      <c r="AF14" s="131">
        <v>0</v>
      </c>
      <c r="AG14" s="131">
        <v>32</v>
      </c>
      <c r="AH14" s="131">
        <v>34</v>
      </c>
      <c r="AI14" s="5"/>
      <c r="AJ14" s="152" t="str">
        <v>K</v>
      </c>
      <c r="AK14" s="131">
        <v>43</v>
      </c>
      <c r="AL14" s="131">
        <v>24</v>
      </c>
      <c r="AM14" s="131">
        <v>0</v>
      </c>
      <c r="AN14" s="131">
        <v>32</v>
      </c>
      <c r="AO14" s="131">
        <v>34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112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2" t="str">
        <v>Q</v>
      </c>
      <c r="AD15" s="131">
        <v>7</v>
      </c>
      <c r="AE15" s="131">
        <v>12</v>
      </c>
      <c r="AF15" s="131">
        <v>0</v>
      </c>
      <c r="AG15" s="131">
        <v>6</v>
      </c>
      <c r="AH15" s="131">
        <v>13</v>
      </c>
      <c r="AI15" s="5"/>
      <c r="AJ15" s="152" t="str">
        <v>Q</v>
      </c>
      <c r="AK15" s="131">
        <v>7</v>
      </c>
      <c r="AL15" s="131">
        <v>12</v>
      </c>
      <c r="AM15" s="131">
        <v>0</v>
      </c>
      <c r="AN15" s="131">
        <v>6</v>
      </c>
      <c r="AO15" s="131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3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126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2" t="str">
        <v>J</v>
      </c>
      <c r="AD16" s="131">
        <v>7</v>
      </c>
      <c r="AE16" s="131">
        <v>8</v>
      </c>
      <c r="AF16" s="131">
        <v>0</v>
      </c>
      <c r="AG16" s="131">
        <v>7</v>
      </c>
      <c r="AH16" s="131">
        <v>14</v>
      </c>
      <c r="AI16" s="5"/>
      <c r="AJ16" s="152" t="str">
        <v>J</v>
      </c>
      <c r="AK16" s="131">
        <v>7</v>
      </c>
      <c r="AL16" s="131">
        <v>8</v>
      </c>
      <c r="AM16" s="131">
        <v>0</v>
      </c>
      <c r="AN16" s="131">
        <v>7</v>
      </c>
      <c r="AO16" s="131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6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6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8</v>
      </c>
      <c r="E18" s="99">
        <f t="shared" si="0"/>
        <v>43</v>
      </c>
      <c r="F18" s="99">
        <f t="shared" si="0"/>
        <v>11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6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6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8</v>
      </c>
      <c r="E19" s="99">
        <f t="shared" si="0"/>
        <v>42</v>
      </c>
      <c r="F19" s="99">
        <f t="shared" si="0"/>
        <v>12</v>
      </c>
      <c r="G19" s="99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126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6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6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10</v>
      </c>
      <c r="G20" s="99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126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6" t="str">
        <v>G4</v>
      </c>
      <c r="AD20" s="99">
        <v>0</v>
      </c>
      <c r="AE20" s="99">
        <v>9</v>
      </c>
      <c r="AF20" s="99">
        <v>43</v>
      </c>
      <c r="AG20" s="99">
        <v>12</v>
      </c>
      <c r="AH20" s="99">
        <v>0</v>
      </c>
      <c r="AI20" s="5"/>
      <c r="AJ20" s="136" t="str">
        <v>G4</v>
      </c>
      <c r="AK20" s="99">
        <v>0</v>
      </c>
      <c r="AL20" s="99">
        <v>9</v>
      </c>
      <c r="AM20" s="99">
        <v>43</v>
      </c>
      <c r="AN20" s="99">
        <v>12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9</v>
      </c>
      <c r="E21" s="99">
        <f t="shared" si="0"/>
        <v>44</v>
      </c>
      <c r="F21" s="99">
        <f t="shared" si="0"/>
        <v>10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92</v>
      </c>
      <c r="N21" s="16" t="s">
        <v>127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6" t="str">
        <v>G5</v>
      </c>
      <c r="AD21" s="99">
        <v>0</v>
      </c>
      <c r="AE21" s="99">
        <v>9</v>
      </c>
      <c r="AF21" s="99">
        <v>42</v>
      </c>
      <c r="AG21" s="99">
        <v>13</v>
      </c>
      <c r="AH21" s="99">
        <v>0</v>
      </c>
      <c r="AI21" s="5"/>
      <c r="AJ21" s="136" t="str">
        <v>G5</v>
      </c>
      <c r="AK21" s="99">
        <v>0</v>
      </c>
      <c r="AL21" s="99">
        <v>9</v>
      </c>
      <c r="AM21" s="99">
        <v>42</v>
      </c>
      <c r="AN21" s="99">
        <v>13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112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6" t="str">
        <v>GA</v>
      </c>
      <c r="AD22" s="99">
        <v>0</v>
      </c>
      <c r="AE22" s="99">
        <v>11</v>
      </c>
      <c r="AF22" s="99">
        <v>42</v>
      </c>
      <c r="AG22" s="99">
        <v>11</v>
      </c>
      <c r="AH22" s="99">
        <v>0</v>
      </c>
      <c r="AI22" s="5"/>
      <c r="AJ22" s="136" t="str">
        <v>GA</v>
      </c>
      <c r="AK22" s="99">
        <v>0</v>
      </c>
      <c r="AL22" s="99">
        <v>11</v>
      </c>
      <c r="AM22" s="99">
        <v>42</v>
      </c>
      <c r="AN22" s="99">
        <v>11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6" t="str">
        <v>GK</v>
      </c>
      <c r="AD23" s="99">
        <v>0</v>
      </c>
      <c r="AE23" s="99">
        <v>10</v>
      </c>
      <c r="AF23" s="99">
        <v>44</v>
      </c>
      <c r="AG23" s="99">
        <v>11</v>
      </c>
      <c r="AH23" s="99">
        <v>0</v>
      </c>
      <c r="AI23" s="5"/>
      <c r="AJ23" s="136" t="str">
        <v>GK</v>
      </c>
      <c r="AK23" s="99">
        <v>0</v>
      </c>
      <c r="AL23" s="99">
        <v>10</v>
      </c>
      <c r="AM23" s="99">
        <v>44</v>
      </c>
      <c r="AN23" s="99">
        <v>11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126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6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6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112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6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6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0.76</v>
      </c>
      <c r="E26" s="179">
        <f t="shared" si="1"/>
        <v>0</v>
      </c>
      <c r="F26" s="179">
        <f t="shared" si="1"/>
        <v>0.75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126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1">
        <f>SUM(AD6:AD25)</f>
        <v>199</v>
      </c>
      <c r="AE26" s="111">
        <f>SUM(AE6:AE25)</f>
        <v>208</v>
      </c>
      <c r="AF26" s="111">
        <f>SUM(AF6:AF25)</f>
        <v>198</v>
      </c>
      <c r="AG26" s="111">
        <f>SUM(AG6:AG25)</f>
        <v>207</v>
      </c>
      <c r="AH26" s="111">
        <f>SUM(AH6:AH25)</f>
        <v>198</v>
      </c>
      <c r="AI26" s="5"/>
      <c r="AK26" s="111">
        <f>SUM(AK6:AK25)</f>
        <v>199</v>
      </c>
      <c r="AL26" s="111">
        <f>SUM(AL6:AL25)</f>
        <v>208</v>
      </c>
      <c r="AM26" s="111">
        <f>SUM(AM6:AM25)</f>
        <v>198</v>
      </c>
      <c r="AN26" s="111">
        <f>SUM(AN6:AN25)</f>
        <v>207</v>
      </c>
      <c r="AO26" s="111">
        <f>SUM(AO6:AO25)</f>
        <v>198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0.24</v>
      </c>
      <c r="E27" s="179">
        <f t="shared" si="2"/>
        <v>1</v>
      </c>
      <c r="F27" s="179">
        <f t="shared" si="2"/>
        <v>0.25</v>
      </c>
      <c r="G27" s="5">
        <f t="shared" si="2"/>
        <v>0</v>
      </c>
      <c r="I27" s="87"/>
      <c r="J27" s="9">
        <v>23</v>
      </c>
      <c r="K27" s="16" t="s">
        <v>37</v>
      </c>
      <c r="L27" s="16" t="s">
        <v>34</v>
      </c>
      <c r="M27" s="16" t="s">
        <v>112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126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126</v>
      </c>
      <c r="L31" s="16" t="s">
        <v>22</v>
      </c>
      <c r="M31" s="16" t="s">
        <v>112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6" t="str">
        <v>C1</v>
      </c>
      <c r="AD31" s="136">
        <v>1</v>
      </c>
      <c r="AE31" s="136">
        <v>1</v>
      </c>
      <c r="AF31" s="136">
        <v>0</v>
      </c>
      <c r="AG31" s="136">
        <v>1</v>
      </c>
      <c r="AH31" s="136">
        <v>1</v>
      </c>
      <c r="AI31" s="5"/>
      <c r="AJ31" s="136" t="str">
        <v>C1</v>
      </c>
      <c r="AK31" s="136">
        <v>1</v>
      </c>
      <c r="AL31" s="136">
        <v>1</v>
      </c>
      <c r="AM31" s="136">
        <v>0</v>
      </c>
      <c r="AN31" s="136">
        <v>1</v>
      </c>
      <c r="AO31" s="136">
        <v>1</v>
      </c>
    </row>
    <row r="32" spans="1:41" ht="16.5" customHeight="1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126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2" t="str">
        <v>M1</v>
      </c>
      <c r="AD32" s="131">
        <v>3</v>
      </c>
      <c r="AE32" s="131">
        <v>10</v>
      </c>
      <c r="AF32" s="131">
        <v>0</v>
      </c>
      <c r="AG32" s="131">
        <v>3</v>
      </c>
      <c r="AH32" s="131">
        <v>9</v>
      </c>
      <c r="AI32" s="5"/>
      <c r="AJ32" s="152" t="str">
        <v>M1</v>
      </c>
      <c r="AK32" s="131">
        <v>3</v>
      </c>
      <c r="AL32" s="131">
        <v>10</v>
      </c>
      <c r="AM32" s="131">
        <v>0</v>
      </c>
      <c r="AN32" s="131">
        <v>3</v>
      </c>
      <c r="AO32" s="131">
        <v>9</v>
      </c>
    </row>
    <row r="33" spans="10:41" ht="16.5" customHeight="1">
      <c r="J33" s="9">
        <v>29</v>
      </c>
      <c r="K33" s="16" t="s">
        <v>19</v>
      </c>
      <c r="L33" s="16" t="s">
        <v>35</v>
      </c>
      <c r="M33" s="16" t="s">
        <v>112</v>
      </c>
      <c r="N33" s="16" t="s">
        <v>127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2" t="str">
        <v>M2</v>
      </c>
      <c r="AD33" s="131">
        <v>3</v>
      </c>
      <c r="AE33" s="131">
        <v>12</v>
      </c>
      <c r="AF33" s="131">
        <v>0</v>
      </c>
      <c r="AG33" s="131">
        <v>3</v>
      </c>
      <c r="AH33" s="131">
        <v>8</v>
      </c>
      <c r="AI33" s="5"/>
      <c r="AJ33" s="152" t="str">
        <v>M2</v>
      </c>
      <c r="AK33" s="131">
        <v>3</v>
      </c>
      <c r="AL33" s="131">
        <v>12</v>
      </c>
      <c r="AM33" s="131">
        <v>0</v>
      </c>
      <c r="AN33" s="131">
        <v>3</v>
      </c>
      <c r="AO33" s="131">
        <v>8</v>
      </c>
    </row>
    <row r="34" spans="10:41" ht="16.5" customHeight="1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2" t="str">
        <v>M3</v>
      </c>
      <c r="AD34" s="131">
        <v>7</v>
      </c>
      <c r="AE34" s="131">
        <v>13</v>
      </c>
      <c r="AF34" s="131">
        <v>0</v>
      </c>
      <c r="AG34" s="131">
        <v>7</v>
      </c>
      <c r="AH34" s="131">
        <v>14</v>
      </c>
      <c r="AI34" s="5"/>
      <c r="AJ34" s="152" t="str">
        <v>M3</v>
      </c>
      <c r="AK34" s="131">
        <v>7</v>
      </c>
      <c r="AL34" s="131">
        <v>13</v>
      </c>
      <c r="AM34" s="131">
        <v>0</v>
      </c>
      <c r="AN34" s="131">
        <v>7</v>
      </c>
      <c r="AO34" s="131">
        <v>14</v>
      </c>
    </row>
    <row r="35" spans="10:41" ht="16.5" customHeight="1">
      <c r="J35" s="9">
        <v>31</v>
      </c>
      <c r="K35" s="16" t="s">
        <v>19</v>
      </c>
      <c r="L35" s="16" t="s">
        <v>126</v>
      </c>
      <c r="M35" s="16" t="s">
        <v>112</v>
      </c>
      <c r="N35" s="16" t="s">
        <v>126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2" t="str">
        <v>M4</v>
      </c>
      <c r="AD35" s="131">
        <v>43</v>
      </c>
      <c r="AE35" s="131">
        <v>22</v>
      </c>
      <c r="AF35" s="131">
        <v>0</v>
      </c>
      <c r="AG35" s="131">
        <v>31</v>
      </c>
      <c r="AH35" s="131">
        <v>36</v>
      </c>
      <c r="AI35" s="5"/>
      <c r="AJ35" s="152" t="str">
        <v>M4</v>
      </c>
      <c r="AK35" s="131">
        <v>43</v>
      </c>
      <c r="AL35" s="131">
        <v>22</v>
      </c>
      <c r="AM35" s="131">
        <v>0</v>
      </c>
      <c r="AN35" s="131">
        <v>31</v>
      </c>
      <c r="AO35" s="131">
        <v>36</v>
      </c>
    </row>
    <row r="36" spans="10:41" ht="16.5" customHeight="1">
      <c r="J36" s="25">
        <v>32</v>
      </c>
      <c r="K36" s="16" t="s">
        <v>126</v>
      </c>
      <c r="L36" s="16" t="s">
        <v>18</v>
      </c>
      <c r="M36" s="16" t="s">
        <v>90</v>
      </c>
      <c r="N36" s="16" t="s">
        <v>127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2" t="str">
        <v>M5</v>
      </c>
      <c r="AD36" s="131">
        <v>42</v>
      </c>
      <c r="AE36" s="131">
        <v>22</v>
      </c>
      <c r="AF36" s="131">
        <v>0</v>
      </c>
      <c r="AG36" s="131">
        <v>27</v>
      </c>
      <c r="AH36" s="131">
        <v>34</v>
      </c>
      <c r="AI36" s="5"/>
      <c r="AJ36" s="152" t="str">
        <v>M5</v>
      </c>
      <c r="AK36" s="131">
        <v>42</v>
      </c>
      <c r="AL36" s="131">
        <v>22</v>
      </c>
      <c r="AM36" s="131">
        <v>0</v>
      </c>
      <c r="AN36" s="131">
        <v>27</v>
      </c>
      <c r="AO36" s="131">
        <v>34</v>
      </c>
    </row>
    <row r="37" spans="10:41" ht="16.5" customHeight="1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2" t="str">
        <v>A</v>
      </c>
      <c r="AD37" s="131">
        <v>43</v>
      </c>
      <c r="AE37" s="131">
        <v>27</v>
      </c>
      <c r="AF37" s="131">
        <v>0</v>
      </c>
      <c r="AG37" s="131">
        <v>31</v>
      </c>
      <c r="AH37" s="131">
        <v>35</v>
      </c>
      <c r="AI37" s="5"/>
      <c r="AJ37" s="152" t="str">
        <v>A</v>
      </c>
      <c r="AK37" s="131">
        <v>43</v>
      </c>
      <c r="AL37" s="131">
        <v>27</v>
      </c>
      <c r="AM37" s="131">
        <v>0</v>
      </c>
      <c r="AN37" s="131">
        <v>31</v>
      </c>
      <c r="AO37" s="131">
        <v>35</v>
      </c>
    </row>
    <row r="38" spans="10:41" ht="16.5" customHeight="1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112</v>
      </c>
      <c r="O38" s="16" t="s">
        <v>126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2" t="str">
        <v>K</v>
      </c>
      <c r="AD38" s="131">
        <v>43</v>
      </c>
      <c r="AE38" s="131">
        <v>24</v>
      </c>
      <c r="AF38" s="131">
        <v>0</v>
      </c>
      <c r="AG38" s="131">
        <v>32</v>
      </c>
      <c r="AH38" s="131">
        <v>34</v>
      </c>
      <c r="AI38" s="5"/>
      <c r="AJ38" s="152" t="str">
        <v>K</v>
      </c>
      <c r="AK38" s="131">
        <v>43</v>
      </c>
      <c r="AL38" s="131">
        <v>24</v>
      </c>
      <c r="AM38" s="131">
        <v>0</v>
      </c>
      <c r="AN38" s="131">
        <v>32</v>
      </c>
      <c r="AO38" s="131">
        <v>34</v>
      </c>
    </row>
    <row r="39" spans="10:41" ht="16.5" customHeight="1">
      <c r="J39" s="9">
        <v>35</v>
      </c>
      <c r="K39" s="16" t="s">
        <v>126</v>
      </c>
      <c r="L39" s="16" t="s">
        <v>18</v>
      </c>
      <c r="M39" s="16" t="s">
        <v>127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2" t="str">
        <v>Q</v>
      </c>
      <c r="AD39" s="131">
        <v>7</v>
      </c>
      <c r="AE39" s="131">
        <v>12</v>
      </c>
      <c r="AF39" s="131">
        <v>0</v>
      </c>
      <c r="AG39" s="131">
        <v>6</v>
      </c>
      <c r="AH39" s="131">
        <v>13</v>
      </c>
      <c r="AI39" s="5"/>
      <c r="AJ39" s="152" t="str">
        <v>Q</v>
      </c>
      <c r="AK39" s="131">
        <v>7</v>
      </c>
      <c r="AL39" s="131">
        <v>12</v>
      </c>
      <c r="AM39" s="131">
        <v>0</v>
      </c>
      <c r="AN39" s="131">
        <v>6</v>
      </c>
      <c r="AO39" s="131">
        <v>13</v>
      </c>
    </row>
    <row r="40" spans="10:41" ht="16.5" customHeight="1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2" t="str">
        <v>J</v>
      </c>
      <c r="AD40" s="131">
        <v>7</v>
      </c>
      <c r="AE40" s="131">
        <v>8</v>
      </c>
      <c r="AF40" s="131">
        <v>0</v>
      </c>
      <c r="AG40" s="131">
        <v>7</v>
      </c>
      <c r="AH40" s="131">
        <v>14</v>
      </c>
      <c r="AI40" s="5"/>
      <c r="AJ40" s="152" t="str">
        <v>J</v>
      </c>
      <c r="AK40" s="131">
        <v>7</v>
      </c>
      <c r="AL40" s="131">
        <v>8</v>
      </c>
      <c r="AM40" s="131">
        <v>0</v>
      </c>
      <c r="AN40" s="131">
        <v>7</v>
      </c>
      <c r="AO40" s="131">
        <v>14</v>
      </c>
    </row>
    <row r="41" spans="10:41" ht="16.5" customHeight="1">
      <c r="J41" s="9">
        <v>37</v>
      </c>
      <c r="K41" s="16" t="s">
        <v>126</v>
      </c>
      <c r="L41" s="16" t="s">
        <v>126</v>
      </c>
      <c r="M41" s="16" t="s">
        <v>97</v>
      </c>
      <c r="N41" s="16" t="s">
        <v>88</v>
      </c>
      <c r="O41" s="16" t="s">
        <v>126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6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6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6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6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37</v>
      </c>
      <c r="L43" s="16" t="s">
        <v>126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6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6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6" t="str">
        <v>G4</v>
      </c>
      <c r="AD44" s="99">
        <v>0</v>
      </c>
      <c r="AE44" s="99">
        <v>9</v>
      </c>
      <c r="AF44" s="99">
        <v>43</v>
      </c>
      <c r="AG44" s="99">
        <v>12</v>
      </c>
      <c r="AH44" s="99">
        <v>0</v>
      </c>
      <c r="AI44" s="5"/>
      <c r="AJ44" s="136" t="str">
        <v>G4</v>
      </c>
      <c r="AK44" s="99">
        <v>0</v>
      </c>
      <c r="AL44" s="99">
        <v>9</v>
      </c>
      <c r="AM44" s="99">
        <v>43</v>
      </c>
      <c r="AN44" s="99">
        <v>12</v>
      </c>
      <c r="AO44" s="99">
        <v>0</v>
      </c>
    </row>
    <row r="45" spans="10:41" ht="16.5" customHeight="1">
      <c r="J45" s="9">
        <v>41</v>
      </c>
      <c r="K45" s="16" t="s">
        <v>37</v>
      </c>
      <c r="L45" s="16" t="s">
        <v>126</v>
      </c>
      <c r="M45" s="16" t="s">
        <v>127</v>
      </c>
      <c r="N45" s="16" t="s">
        <v>126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6" t="str">
        <v>G5</v>
      </c>
      <c r="AD45" s="99">
        <v>0</v>
      </c>
      <c r="AE45" s="99">
        <v>9</v>
      </c>
      <c r="AF45" s="99">
        <v>42</v>
      </c>
      <c r="AG45" s="99">
        <v>13</v>
      </c>
      <c r="AH45" s="99">
        <v>0</v>
      </c>
      <c r="AI45" s="5"/>
      <c r="AJ45" s="136" t="str">
        <v>G5</v>
      </c>
      <c r="AK45" s="99">
        <v>0</v>
      </c>
      <c r="AL45" s="99">
        <v>9</v>
      </c>
      <c r="AM45" s="99">
        <v>42</v>
      </c>
      <c r="AN45" s="99">
        <v>13</v>
      </c>
      <c r="AO45" s="99">
        <v>0</v>
      </c>
    </row>
    <row r="46" spans="10:41" ht="16.5" customHeight="1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6" t="str">
        <v>GA</v>
      </c>
      <c r="AD46" s="99">
        <v>0</v>
      </c>
      <c r="AE46" s="99">
        <v>11</v>
      </c>
      <c r="AF46" s="99">
        <v>42</v>
      </c>
      <c r="AG46" s="99">
        <v>11</v>
      </c>
      <c r="AH46" s="99">
        <v>0</v>
      </c>
      <c r="AI46" s="5"/>
      <c r="AJ46" s="136" t="str">
        <v>GA</v>
      </c>
      <c r="AK46" s="99">
        <v>0</v>
      </c>
      <c r="AL46" s="99">
        <v>11</v>
      </c>
      <c r="AM46" s="99">
        <v>42</v>
      </c>
      <c r="AN46" s="99">
        <v>11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18</v>
      </c>
      <c r="M47" s="16" t="s">
        <v>127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6" t="str">
        <v>GK</v>
      </c>
      <c r="AD47" s="99">
        <v>0</v>
      </c>
      <c r="AE47" s="99">
        <v>10</v>
      </c>
      <c r="AF47" s="99">
        <v>44</v>
      </c>
      <c r="AG47" s="99">
        <v>11</v>
      </c>
      <c r="AH47" s="99">
        <v>0</v>
      </c>
      <c r="AI47" s="5"/>
      <c r="AJ47" s="136" t="str">
        <v>GK</v>
      </c>
      <c r="AK47" s="99">
        <v>0</v>
      </c>
      <c r="AL47" s="99">
        <v>10</v>
      </c>
      <c r="AM47" s="99">
        <v>44</v>
      </c>
      <c r="AN47" s="99">
        <v>11</v>
      </c>
      <c r="AO47" s="99">
        <v>0</v>
      </c>
    </row>
    <row r="48" spans="10:41" ht="16.5" customHeight="1">
      <c r="J48" s="25">
        <v>44</v>
      </c>
      <c r="K48" s="16" t="s">
        <v>22</v>
      </c>
      <c r="L48" s="16" t="s">
        <v>37</v>
      </c>
      <c r="M48" s="16" t="s">
        <v>112</v>
      </c>
      <c r="N48" s="16" t="s">
        <v>37</v>
      </c>
      <c r="O48" s="16" t="s">
        <v>126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6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6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37</v>
      </c>
      <c r="L49" s="16" t="s">
        <v>126</v>
      </c>
      <c r="M49" s="16" t="s">
        <v>92</v>
      </c>
      <c r="N49" s="16" t="s">
        <v>127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6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6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126</v>
      </c>
      <c r="L50" s="16" t="s">
        <v>127</v>
      </c>
      <c r="M50" s="16" t="s">
        <v>127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1">
        <f>SUM(AD30:AD49)</f>
        <v>199</v>
      </c>
      <c r="AE50" s="111">
        <f>SUM(AE30:AE49)</f>
        <v>208</v>
      </c>
      <c r="AF50" s="111">
        <f>SUM(AF30:AF49)</f>
        <v>198</v>
      </c>
      <c r="AG50" s="111">
        <f>SUM(AG30:AG49)</f>
        <v>207</v>
      </c>
      <c r="AH50" s="111">
        <f>SUM(AH30:AH49)</f>
        <v>198</v>
      </c>
      <c r="AI50" s="5"/>
      <c r="AK50" s="111">
        <f>SUM(AK30:AK49)</f>
        <v>199</v>
      </c>
      <c r="AL50" s="111">
        <f>SUM(AL30:AL49)</f>
        <v>208</v>
      </c>
      <c r="AM50" s="111">
        <f>SUM(AM30:AM49)</f>
        <v>198</v>
      </c>
      <c r="AN50" s="111">
        <f>SUM(AN30:AN49)</f>
        <v>207</v>
      </c>
      <c r="AO50" s="111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126</v>
      </c>
      <c r="M52" s="16" t="s">
        <v>112</v>
      </c>
      <c r="N52" s="16" t="s">
        <v>112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126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112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6" t="str">
        <v>C1</v>
      </c>
      <c r="AD55" s="136">
        <v>1</v>
      </c>
      <c r="AE55" s="136">
        <v>1</v>
      </c>
      <c r="AF55" s="136">
        <v>0</v>
      </c>
      <c r="AG55" s="136">
        <v>1</v>
      </c>
      <c r="AH55" s="136">
        <v>1</v>
      </c>
      <c r="AI55" s="5"/>
      <c r="AJ55" s="136" t="str">
        <v>C1</v>
      </c>
      <c r="AK55" s="136">
        <v>1</v>
      </c>
      <c r="AL55" s="136">
        <v>1</v>
      </c>
      <c r="AM55" s="136">
        <v>0</v>
      </c>
      <c r="AN55" s="136">
        <v>1</v>
      </c>
      <c r="AO55" s="136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126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2" t="str">
        <v>M1</v>
      </c>
      <c r="AD56" s="131">
        <v>3</v>
      </c>
      <c r="AE56" s="131">
        <v>10</v>
      </c>
      <c r="AF56" s="131">
        <v>0</v>
      </c>
      <c r="AG56" s="131">
        <v>3</v>
      </c>
      <c r="AH56" s="131">
        <v>9</v>
      </c>
      <c r="AI56" s="5"/>
      <c r="AJ56" s="152" t="str">
        <v>M1</v>
      </c>
      <c r="AK56" s="131">
        <v>3</v>
      </c>
      <c r="AL56" s="131">
        <v>10</v>
      </c>
      <c r="AM56" s="131">
        <v>0</v>
      </c>
      <c r="AN56" s="131">
        <v>3</v>
      </c>
      <c r="AO56" s="131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89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2" t="str">
        <v>M2</v>
      </c>
      <c r="AD57" s="131">
        <v>3</v>
      </c>
      <c r="AE57" s="131">
        <v>12</v>
      </c>
      <c r="AF57" s="131">
        <v>0</v>
      </c>
      <c r="AG57" s="131">
        <v>3</v>
      </c>
      <c r="AH57" s="131">
        <v>8</v>
      </c>
      <c r="AI57" s="5"/>
      <c r="AJ57" s="152" t="str">
        <v>M2</v>
      </c>
      <c r="AK57" s="131">
        <v>3</v>
      </c>
      <c r="AL57" s="131">
        <v>12</v>
      </c>
      <c r="AM57" s="131">
        <v>0</v>
      </c>
      <c r="AN57" s="131">
        <v>3</v>
      </c>
      <c r="AO57" s="131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112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2" t="str">
        <v>M3</v>
      </c>
      <c r="AD58" s="131">
        <v>7</v>
      </c>
      <c r="AE58" s="131">
        <v>13</v>
      </c>
      <c r="AF58" s="131">
        <v>0</v>
      </c>
      <c r="AG58" s="131">
        <v>7</v>
      </c>
      <c r="AH58" s="131">
        <v>14</v>
      </c>
      <c r="AI58" s="5"/>
      <c r="AJ58" s="152" t="str">
        <v>M3</v>
      </c>
      <c r="AK58" s="131">
        <v>7</v>
      </c>
      <c r="AL58" s="131">
        <v>13</v>
      </c>
      <c r="AM58" s="131">
        <v>0</v>
      </c>
      <c r="AN58" s="131">
        <v>7</v>
      </c>
      <c r="AO58" s="131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2" t="str">
        <v>M4</v>
      </c>
      <c r="AD59" s="131">
        <v>43</v>
      </c>
      <c r="AE59" s="131">
        <v>22</v>
      </c>
      <c r="AF59" s="131">
        <v>0</v>
      </c>
      <c r="AG59" s="131">
        <v>31</v>
      </c>
      <c r="AH59" s="131">
        <v>36</v>
      </c>
      <c r="AI59" s="5"/>
      <c r="AJ59" s="152" t="str">
        <v>M4</v>
      </c>
      <c r="AK59" s="131">
        <v>43</v>
      </c>
      <c r="AL59" s="131">
        <v>22</v>
      </c>
      <c r="AM59" s="131">
        <v>0</v>
      </c>
      <c r="AN59" s="131">
        <v>31</v>
      </c>
      <c r="AO59" s="131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126</v>
      </c>
      <c r="O60" s="16" t="s">
        <v>126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2" t="str">
        <v>M5</v>
      </c>
      <c r="AD60" s="131">
        <v>42</v>
      </c>
      <c r="AE60" s="131">
        <v>22</v>
      </c>
      <c r="AF60" s="131">
        <v>0</v>
      </c>
      <c r="AG60" s="131">
        <v>27</v>
      </c>
      <c r="AH60" s="131">
        <v>34</v>
      </c>
      <c r="AI60" s="5"/>
      <c r="AJ60" s="152" t="str">
        <v>M5</v>
      </c>
      <c r="AK60" s="131">
        <v>42</v>
      </c>
      <c r="AL60" s="131">
        <v>22</v>
      </c>
      <c r="AM60" s="131">
        <v>0</v>
      </c>
      <c r="AN60" s="131">
        <v>27</v>
      </c>
      <c r="AO60" s="131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2" t="str">
        <v>A</v>
      </c>
      <c r="AD61" s="131">
        <v>43</v>
      </c>
      <c r="AE61" s="131">
        <v>27</v>
      </c>
      <c r="AF61" s="131">
        <v>0</v>
      </c>
      <c r="AG61" s="131">
        <v>31</v>
      </c>
      <c r="AH61" s="131">
        <v>35</v>
      </c>
      <c r="AI61" s="5"/>
      <c r="AJ61" s="152" t="str">
        <v>A</v>
      </c>
      <c r="AK61" s="131">
        <v>43</v>
      </c>
      <c r="AL61" s="131">
        <v>27</v>
      </c>
      <c r="AM61" s="131">
        <v>0</v>
      </c>
      <c r="AN61" s="131">
        <v>31</v>
      </c>
      <c r="AO61" s="131">
        <v>35</v>
      </c>
    </row>
    <row r="62" spans="10:41">
      <c r="J62" s="25">
        <v>58</v>
      </c>
      <c r="K62" s="16" t="s">
        <v>126</v>
      </c>
      <c r="L62" s="16" t="s">
        <v>20</v>
      </c>
      <c r="M62" s="16" t="s">
        <v>127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2" t="str">
        <v>K</v>
      </c>
      <c r="AD62" s="131">
        <v>43</v>
      </c>
      <c r="AE62" s="131">
        <v>24</v>
      </c>
      <c r="AF62" s="131">
        <v>0</v>
      </c>
      <c r="AG62" s="131">
        <v>32</v>
      </c>
      <c r="AH62" s="131">
        <v>34</v>
      </c>
      <c r="AI62" s="5"/>
      <c r="AJ62" s="152" t="str">
        <v>K</v>
      </c>
      <c r="AK62" s="131">
        <v>43</v>
      </c>
      <c r="AL62" s="131">
        <v>24</v>
      </c>
      <c r="AM62" s="131">
        <v>0</v>
      </c>
      <c r="AN62" s="131">
        <v>32</v>
      </c>
      <c r="AO62" s="131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2" t="str">
        <v>Q</v>
      </c>
      <c r="AD63" s="131">
        <v>7</v>
      </c>
      <c r="AE63" s="131">
        <v>12</v>
      </c>
      <c r="AF63" s="131">
        <v>0</v>
      </c>
      <c r="AG63" s="131">
        <v>6</v>
      </c>
      <c r="AH63" s="131">
        <v>13</v>
      </c>
      <c r="AI63" s="5"/>
      <c r="AJ63" s="152" t="str">
        <v>Q</v>
      </c>
      <c r="AK63" s="131">
        <v>7</v>
      </c>
      <c r="AL63" s="131">
        <v>12</v>
      </c>
      <c r="AM63" s="131">
        <v>0</v>
      </c>
      <c r="AN63" s="131">
        <v>6</v>
      </c>
      <c r="AO63" s="131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112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2" t="str">
        <v>J</v>
      </c>
      <c r="AD64" s="131">
        <v>7</v>
      </c>
      <c r="AE64" s="131">
        <v>8</v>
      </c>
      <c r="AF64" s="131">
        <v>0</v>
      </c>
      <c r="AG64" s="131">
        <v>7</v>
      </c>
      <c r="AH64" s="131">
        <v>14</v>
      </c>
      <c r="AI64" s="5"/>
      <c r="AJ64" s="152" t="str">
        <v>J</v>
      </c>
      <c r="AK64" s="131">
        <v>7</v>
      </c>
      <c r="AL64" s="131">
        <v>8</v>
      </c>
      <c r="AM64" s="131">
        <v>0</v>
      </c>
      <c r="AN64" s="131">
        <v>7</v>
      </c>
      <c r="AO64" s="131">
        <v>14</v>
      </c>
    </row>
    <row r="65" spans="10:41" ht="16.5" customHeight="1">
      <c r="J65" s="9">
        <v>61</v>
      </c>
      <c r="K65" s="16" t="s">
        <v>126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6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6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126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6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6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112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6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6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89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6" t="str">
        <v>G4</v>
      </c>
      <c r="AD68" s="99">
        <v>0</v>
      </c>
      <c r="AE68" s="99">
        <v>9</v>
      </c>
      <c r="AF68" s="99">
        <v>43</v>
      </c>
      <c r="AG68" s="99">
        <v>12</v>
      </c>
      <c r="AH68" s="99">
        <v>0</v>
      </c>
      <c r="AI68" s="5"/>
      <c r="AJ68" s="136" t="str">
        <v>G4</v>
      </c>
      <c r="AK68" s="99">
        <v>0</v>
      </c>
      <c r="AL68" s="99">
        <v>9</v>
      </c>
      <c r="AM68" s="99">
        <v>43</v>
      </c>
      <c r="AN68" s="99">
        <v>12</v>
      </c>
      <c r="AO68" s="99">
        <v>0</v>
      </c>
    </row>
    <row r="69" spans="10:41" ht="16.5" customHeight="1">
      <c r="J69" s="9">
        <v>65</v>
      </c>
      <c r="K69" s="16" t="s">
        <v>126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6" t="str">
        <v>G5</v>
      </c>
      <c r="AD69" s="99">
        <v>0</v>
      </c>
      <c r="AE69" s="99">
        <v>9</v>
      </c>
      <c r="AF69" s="99">
        <v>42</v>
      </c>
      <c r="AG69" s="99">
        <v>13</v>
      </c>
      <c r="AH69" s="99">
        <v>0</v>
      </c>
      <c r="AI69" s="5"/>
      <c r="AJ69" s="136" t="str">
        <v>G5</v>
      </c>
      <c r="AK69" s="99">
        <v>0</v>
      </c>
      <c r="AL69" s="99">
        <v>9</v>
      </c>
      <c r="AM69" s="99">
        <v>42</v>
      </c>
      <c r="AN69" s="99">
        <v>13</v>
      </c>
      <c r="AO69" s="99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127</v>
      </c>
      <c r="N70" s="16" t="s">
        <v>126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6" t="str">
        <v>GA</v>
      </c>
      <c r="AD70" s="99">
        <v>0</v>
      </c>
      <c r="AE70" s="99">
        <v>11</v>
      </c>
      <c r="AF70" s="99">
        <v>42</v>
      </c>
      <c r="AG70" s="99">
        <v>11</v>
      </c>
      <c r="AH70" s="99">
        <v>0</v>
      </c>
      <c r="AI70" s="5"/>
      <c r="AJ70" s="136" t="str">
        <v>GA</v>
      </c>
      <c r="AK70" s="99">
        <v>0</v>
      </c>
      <c r="AL70" s="99">
        <v>11</v>
      </c>
      <c r="AM70" s="99">
        <v>42</v>
      </c>
      <c r="AN70" s="99">
        <v>11</v>
      </c>
      <c r="AO70" s="99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6" t="str">
        <v>GK</v>
      </c>
      <c r="AD71" s="99">
        <v>0</v>
      </c>
      <c r="AE71" s="99">
        <v>10</v>
      </c>
      <c r="AF71" s="99">
        <v>44</v>
      </c>
      <c r="AG71" s="99">
        <v>11</v>
      </c>
      <c r="AH71" s="99">
        <v>0</v>
      </c>
      <c r="AI71" s="5"/>
      <c r="AJ71" s="136" t="str">
        <v>GK</v>
      </c>
      <c r="AK71" s="99">
        <v>0</v>
      </c>
      <c r="AL71" s="99">
        <v>10</v>
      </c>
      <c r="AM71" s="99">
        <v>44</v>
      </c>
      <c r="AN71" s="99">
        <v>11</v>
      </c>
      <c r="AO71" s="99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6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6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126</v>
      </c>
      <c r="L73" s="16" t="s">
        <v>34</v>
      </c>
      <c r="M73" s="16" t="s">
        <v>112</v>
      </c>
      <c r="N73" s="16" t="s">
        <v>36</v>
      </c>
      <c r="O73" s="16" t="s">
        <v>126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6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6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127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1">
        <f>SUM(AD54:AD73)</f>
        <v>199</v>
      </c>
      <c r="AE74" s="111">
        <f>SUM(AE54:AE73)</f>
        <v>208</v>
      </c>
      <c r="AF74" s="111">
        <f>SUM(AF54:AF73)</f>
        <v>198</v>
      </c>
      <c r="AG74" s="111">
        <f>SUM(AG54:AG73)</f>
        <v>207</v>
      </c>
      <c r="AH74" s="111">
        <f>SUM(AH54:AH73)</f>
        <v>198</v>
      </c>
      <c r="AI74" s="5"/>
      <c r="AK74" s="111">
        <f>SUM(AK54:AK73)</f>
        <v>199</v>
      </c>
      <c r="AL74" s="111">
        <f>SUM(AL54:AL73)</f>
        <v>208</v>
      </c>
      <c r="AM74" s="111">
        <f>SUM(AM54:AM73)</f>
        <v>198</v>
      </c>
      <c r="AN74" s="111">
        <f>SUM(AN54:AN73)</f>
        <v>207</v>
      </c>
      <c r="AO74" s="111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126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127</v>
      </c>
      <c r="N76" s="16" t="s">
        <v>35</v>
      </c>
      <c r="O76" s="16" t="s">
        <v>126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126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127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126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126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127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112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126</v>
      </c>
      <c r="O87" s="16" t="s">
        <v>126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127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112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127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126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112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126</v>
      </c>
      <c r="M93" s="16" t="s">
        <v>91</v>
      </c>
      <c r="N93" s="16" t="s">
        <v>126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112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126</v>
      </c>
      <c r="L95" s="16" t="s">
        <v>112</v>
      </c>
      <c r="M95" s="16" t="s">
        <v>88</v>
      </c>
      <c r="N95" s="16" t="s">
        <v>127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126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112</v>
      </c>
      <c r="M97" s="16" t="s">
        <v>127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126</v>
      </c>
      <c r="L99" s="16" t="s">
        <v>19</v>
      </c>
      <c r="M99" s="16" t="s">
        <v>127</v>
      </c>
      <c r="N99" s="16" t="s">
        <v>127</v>
      </c>
      <c r="O99" s="16" t="s">
        <v>126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112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112</v>
      </c>
      <c r="M101" s="16" t="s">
        <v>91</v>
      </c>
      <c r="N101" s="16" t="s">
        <v>112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112</v>
      </c>
      <c r="N104" s="16" t="s">
        <v>92</v>
      </c>
      <c r="O104" s="16" t="s">
        <v>126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126</v>
      </c>
      <c r="L105" s="16" t="s">
        <v>20</v>
      </c>
      <c r="M105" s="16" t="s">
        <v>91</v>
      </c>
      <c r="N105" s="16" t="s">
        <v>127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127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112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126</v>
      </c>
      <c r="L108" s="16" t="s">
        <v>37</v>
      </c>
      <c r="M108" s="16" t="s">
        <v>127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112</v>
      </c>
      <c r="N111" s="16" t="s">
        <v>127</v>
      </c>
      <c r="O111" s="16" t="s">
        <v>126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127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112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112</v>
      </c>
      <c r="N117" s="16" t="s">
        <v>126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127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127</v>
      </c>
      <c r="N120" s="16" t="s">
        <v>35</v>
      </c>
      <c r="O120" s="16" t="s">
        <v>126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126</v>
      </c>
      <c r="M121" s="16" t="s">
        <v>112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126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112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127</v>
      </c>
      <c r="N124" s="16" t="s">
        <v>92</v>
      </c>
      <c r="O124" s="16" t="s">
        <v>126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126</v>
      </c>
      <c r="M125" s="16" t="s">
        <v>89</v>
      </c>
      <c r="N125" s="16" t="s">
        <v>126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127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126</v>
      </c>
      <c r="L127" s="16" t="s">
        <v>90</v>
      </c>
      <c r="M127" s="16" t="s">
        <v>92</v>
      </c>
      <c r="N127" s="16" t="s">
        <v>126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127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126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127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126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112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126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126</v>
      </c>
      <c r="L136" s="16" t="s">
        <v>127</v>
      </c>
      <c r="M136" s="16" t="s">
        <v>127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126</v>
      </c>
      <c r="M138" s="16" t="s">
        <v>112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126</v>
      </c>
      <c r="L139" s="16" t="s">
        <v>88</v>
      </c>
      <c r="M139" s="16" t="s">
        <v>92</v>
      </c>
      <c r="N139" s="16" t="s">
        <v>126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126</v>
      </c>
      <c r="L141" s="16" t="s">
        <v>19</v>
      </c>
      <c r="M141" s="16" t="s">
        <v>127</v>
      </c>
      <c r="N141" s="16" t="s">
        <v>112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112</v>
      </c>
      <c r="N142" s="16" t="s">
        <v>37</v>
      </c>
      <c r="O142" s="16" t="s">
        <v>126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127</v>
      </c>
      <c r="N143" s="16" t="s">
        <v>126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35</v>
      </c>
      <c r="M144" s="16" t="s">
        <v>95</v>
      </c>
      <c r="N144" s="16" t="s">
        <v>127</v>
      </c>
      <c r="O144" s="16" t="s">
        <v>126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112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97</v>
      </c>
      <c r="M146" s="16" t="s">
        <v>91</v>
      </c>
      <c r="N146" s="16" t="s">
        <v>34</v>
      </c>
      <c r="O146" s="16" t="s">
        <v>126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126</v>
      </c>
      <c r="M147" s="16" t="s">
        <v>127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126</v>
      </c>
      <c r="L148" s="16" t="s">
        <v>22</v>
      </c>
      <c r="M148" s="16" t="s">
        <v>92</v>
      </c>
      <c r="N148" s="16" t="s">
        <v>19</v>
      </c>
      <c r="O148" s="16" t="s">
        <v>126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112</v>
      </c>
      <c r="M149" s="16" t="s">
        <v>112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35</v>
      </c>
      <c r="M150" s="16" t="s">
        <v>91</v>
      </c>
      <c r="N150" s="16" t="s">
        <v>126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126</v>
      </c>
      <c r="M151" s="16" t="s">
        <v>127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112</v>
      </c>
      <c r="M152" s="16" t="s">
        <v>90</v>
      </c>
      <c r="N152" s="16" t="s">
        <v>19</v>
      </c>
      <c r="O152" s="16" t="s">
        <v>126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18</v>
      </c>
      <c r="M153" s="16" t="s">
        <v>91</v>
      </c>
      <c r="N153" s="16" t="s">
        <v>126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127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126</v>
      </c>
      <c r="M155" s="16" t="s">
        <v>112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127</v>
      </c>
      <c r="N157" s="16" t="s">
        <v>126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112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126</v>
      </c>
      <c r="M159" s="16" t="s">
        <v>90</v>
      </c>
      <c r="N159" s="16" t="s">
        <v>112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127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89</v>
      </c>
      <c r="O161" s="16" t="s">
        <v>126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127</v>
      </c>
      <c r="N162" s="16" t="s">
        <v>127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112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127</v>
      </c>
      <c r="N165" s="16" t="s">
        <v>127</v>
      </c>
      <c r="O165" s="16" t="s">
        <v>126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112</v>
      </c>
      <c r="N166" s="16" t="s">
        <v>126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126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127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112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126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126</v>
      </c>
      <c r="L171" s="16" t="s">
        <v>92</v>
      </c>
      <c r="M171" s="16" t="s">
        <v>127</v>
      </c>
      <c r="N171" s="16" t="s">
        <v>112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112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127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112</v>
      </c>
      <c r="N177" s="16" t="s">
        <v>35</v>
      </c>
      <c r="O177" s="16" t="s">
        <v>126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127</v>
      </c>
      <c r="M178" s="16" t="s">
        <v>127</v>
      </c>
      <c r="N178" s="16" t="s">
        <v>112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126</v>
      </c>
      <c r="L180" s="16" t="s">
        <v>34</v>
      </c>
      <c r="M180" s="16" t="s">
        <v>127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126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112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126</v>
      </c>
      <c r="L183" s="16" t="s">
        <v>126</v>
      </c>
      <c r="M183" s="16" t="s">
        <v>91</v>
      </c>
      <c r="N183" s="16" t="s">
        <v>126</v>
      </c>
      <c r="O183" s="16" t="s">
        <v>126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127</v>
      </c>
      <c r="N185" s="16" t="s">
        <v>127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126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127</v>
      </c>
      <c r="N188" s="16" t="s">
        <v>126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112</v>
      </c>
      <c r="N189" s="16" t="s">
        <v>19</v>
      </c>
      <c r="O189" s="16" t="s">
        <v>126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127</v>
      </c>
      <c r="M190" s="16" t="s">
        <v>127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126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112</v>
      </c>
      <c r="N192" s="16" t="s">
        <v>126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126</v>
      </c>
      <c r="L193" s="16" t="s">
        <v>35</v>
      </c>
      <c r="M193" s="16" t="s">
        <v>92</v>
      </c>
      <c r="N193" s="16" t="s">
        <v>18</v>
      </c>
      <c r="O193" s="16" t="s">
        <v>126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127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126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112</v>
      </c>
      <c r="M196" s="16" t="s">
        <v>112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126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112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126</v>
      </c>
      <c r="L199" s="16" t="s">
        <v>92</v>
      </c>
      <c r="M199" s="16" t="s">
        <v>90</v>
      </c>
      <c r="N199" s="16" t="s">
        <v>126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112</v>
      </c>
      <c r="N200" s="16" t="s">
        <v>36</v>
      </c>
      <c r="O200" s="16" t="s">
        <v>126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127</v>
      </c>
      <c r="N202" s="16" t="s">
        <v>91</v>
      </c>
      <c r="O202" s="16" t="s">
        <v>126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1" priority="42">
      <formula>_xlfn.LET(_xlpm.x, W4, AND(NOT(_xlfn.ISFORMULA(_xlpm.x)), _xlpm.x&lt;&gt;""))</formula>
    </cfRule>
  </conditionalFormatting>
  <conditionalFormatting sqref="W4:AA203">
    <cfRule type="expression" dxfId="90" priority="37">
      <formula>_xlfn.LET(_xlpm.x, W4, AND(NOT(_xlfn.ISFORMULA(_xlpm.x)), _xlpm.x&lt;&gt;""))</formula>
    </cfRule>
  </conditionalFormatting>
  <conditionalFormatting sqref="K1:O1048576">
    <cfRule type="cellIs" dxfId="89" priority="29" operator="equal">
      <formula>"C1"</formula>
    </cfRule>
    <cfRule type="cellIs" dxfId="88" priority="30" operator="between">
      <formula>"G1"</formula>
      <formula>"G5"</formula>
    </cfRule>
    <cfRule type="cellIs" dxfId="87" priority="32" operator="between">
      <formula>"M1"</formula>
      <formula>"M5"</formula>
    </cfRule>
  </conditionalFormatting>
  <conditionalFormatting sqref="D52:D54">
    <cfRule type="cellIs" dxfId="86" priority="10" operator="equal">
      <formula>"C1"</formula>
    </cfRule>
    <cfRule type="cellIs" dxfId="85" priority="11" operator="between">
      <formula>"G1"</formula>
      <formula>"G4"</formula>
    </cfRule>
    <cfRule type="cellIs" dxfId="84" priority="12" operator="between">
      <formula>"GA"</formula>
      <formula>"GQ"</formula>
    </cfRule>
    <cfRule type="cellIs" dxfId="83" priority="13" operator="between">
      <formula>"M1"</formula>
      <formula>"M4"</formula>
    </cfRule>
  </conditionalFormatting>
  <conditionalFormatting sqref="E52:E54">
    <cfRule type="cellIs" dxfId="82" priority="6" operator="equal">
      <formula>"C1"</formula>
    </cfRule>
    <cfRule type="cellIs" dxfId="81" priority="7" operator="between">
      <formula>"G1"</formula>
      <formula>"G4"</formula>
    </cfRule>
    <cfRule type="cellIs" dxfId="80" priority="8" operator="between">
      <formula>"GA"</formula>
      <formula>"GQ"</formula>
    </cfRule>
    <cfRule type="cellIs" dxfId="79" priority="9" operator="between">
      <formula>"M1"</formula>
      <formula>"M4"</formula>
    </cfRule>
  </conditionalFormatting>
  <conditionalFormatting sqref="F52:F54">
    <cfRule type="cellIs" dxfId="78" priority="2" operator="equal">
      <formula>"C1"</formula>
    </cfRule>
    <cfRule type="cellIs" dxfId="77" priority="3" operator="between">
      <formula>"G1"</formula>
      <formula>"G4"</formula>
    </cfRule>
    <cfRule type="cellIs" dxfId="76" priority="4" operator="between">
      <formula>"GA"</formula>
      <formula>"GQ"</formula>
    </cfRule>
    <cfRule type="cellIs" dxfId="75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{DF92903A-1506-41C5-BF4F-D8F252C54B09}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{31AA54AA-4DBD-43DA-A742-F7B1BB0B4D18}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92903A-1506-41C5-BF4F-D8F252C54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AA54AA-4DBD-43DA-A742-F7B1BB0B4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44943C3D-9A38-463F-A154-1F9B83B1F61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126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3</v>
      </c>
      <c r="D5" s="99">
        <f t="shared" si="0"/>
        <v>3</v>
      </c>
      <c r="E5" s="99">
        <f t="shared" si="0"/>
        <v>0</v>
      </c>
      <c r="F5" s="99">
        <f t="shared" si="0"/>
        <v>5</v>
      </c>
      <c r="G5" s="99">
        <f t="shared" si="0"/>
        <v>5</v>
      </c>
      <c r="H5" s="8">
        <v>1</v>
      </c>
      <c r="I5" s="87"/>
      <c r="J5" s="9">
        <v>1</v>
      </c>
      <c r="K5" s="16" t="s">
        <v>126</v>
      </c>
      <c r="L5" s="16" t="s">
        <v>97</v>
      </c>
      <c r="M5" s="16" t="s">
        <v>112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3</v>
      </c>
      <c r="D6" s="131">
        <f t="shared" si="0"/>
        <v>10</v>
      </c>
      <c r="E6" s="131">
        <f t="shared" si="0"/>
        <v>0</v>
      </c>
      <c r="F6" s="131">
        <f t="shared" si="0"/>
        <v>3</v>
      </c>
      <c r="G6" s="131">
        <f t="shared" si="0"/>
        <v>9</v>
      </c>
      <c r="H6" s="110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3</v>
      </c>
      <c r="D7" s="131">
        <f t="shared" si="0"/>
        <v>12</v>
      </c>
      <c r="E7" s="131">
        <f t="shared" si="0"/>
        <v>0</v>
      </c>
      <c r="F7" s="131">
        <f t="shared" si="0"/>
        <v>3</v>
      </c>
      <c r="G7" s="131">
        <f t="shared" si="0"/>
        <v>8</v>
      </c>
      <c r="H7" s="110">
        <v>3</v>
      </c>
      <c r="I7" s="87"/>
      <c r="J7" s="9">
        <v>3</v>
      </c>
      <c r="K7" s="16" t="s">
        <v>35</v>
      </c>
      <c r="L7" s="26" t="s">
        <v>126</v>
      </c>
      <c r="M7" s="16" t="s">
        <v>127</v>
      </c>
      <c r="N7" s="16" t="s">
        <v>37</v>
      </c>
      <c r="O7" s="16" t="s">
        <v>126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6" t="str">
        <v>C1</v>
      </c>
      <c r="AD7" s="136">
        <v>1</v>
      </c>
      <c r="AE7" s="136">
        <v>1</v>
      </c>
      <c r="AF7" s="136">
        <v>0</v>
      </c>
      <c r="AG7" s="136">
        <v>1</v>
      </c>
      <c r="AH7" s="136">
        <v>1</v>
      </c>
      <c r="AI7" s="5"/>
      <c r="AJ7" s="136" t="str">
        <v>C1</v>
      </c>
      <c r="AK7" s="136">
        <v>1</v>
      </c>
      <c r="AL7" s="136">
        <v>1</v>
      </c>
      <c r="AM7" s="136">
        <v>0</v>
      </c>
      <c r="AN7" s="136">
        <v>1</v>
      </c>
      <c r="AO7" s="136">
        <v>1</v>
      </c>
    </row>
    <row r="8" spans="1:41" ht="15.9" customHeight="1">
      <c r="A8" s="131" t="str">
        <v>M3</v>
      </c>
      <c r="B8" s="110" t="str">
        <v>M3</v>
      </c>
      <c r="C8" s="131">
        <f t="shared" si="0"/>
        <v>7</v>
      </c>
      <c r="D8" s="131">
        <f t="shared" si="0"/>
        <v>13</v>
      </c>
      <c r="E8" s="131">
        <f t="shared" si="0"/>
        <v>0</v>
      </c>
      <c r="F8" s="131">
        <f t="shared" si="0"/>
        <v>7</v>
      </c>
      <c r="G8" s="131">
        <f t="shared" si="0"/>
        <v>14</v>
      </c>
      <c r="H8" s="110">
        <v>4</v>
      </c>
      <c r="I8" s="87"/>
      <c r="J8" s="25">
        <v>4</v>
      </c>
      <c r="K8" s="16" t="s">
        <v>126</v>
      </c>
      <c r="L8" s="16" t="s">
        <v>127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2" t="str">
        <v>M1</v>
      </c>
      <c r="AD8" s="131">
        <v>3</v>
      </c>
      <c r="AE8" s="131">
        <v>10</v>
      </c>
      <c r="AF8" s="131">
        <v>0</v>
      </c>
      <c r="AG8" s="131">
        <v>3</v>
      </c>
      <c r="AH8" s="131">
        <v>9</v>
      </c>
      <c r="AI8" s="5"/>
      <c r="AJ8" s="152" t="str">
        <v>M1</v>
      </c>
      <c r="AK8" s="131">
        <v>3</v>
      </c>
      <c r="AL8" s="131">
        <v>10</v>
      </c>
      <c r="AM8" s="131">
        <v>0</v>
      </c>
      <c r="AN8" s="131">
        <v>3</v>
      </c>
      <c r="AO8" s="131">
        <v>9</v>
      </c>
    </row>
    <row r="9" spans="1:41" ht="15.9" customHeight="1">
      <c r="A9" s="131" t="str">
        <v>M4</v>
      </c>
      <c r="B9" s="110" t="str">
        <v>M4</v>
      </c>
      <c r="C9" s="131">
        <f t="shared" si="0"/>
        <v>43</v>
      </c>
      <c r="D9" s="131">
        <f t="shared" si="0"/>
        <v>23</v>
      </c>
      <c r="E9" s="131">
        <f t="shared" si="0"/>
        <v>0</v>
      </c>
      <c r="F9" s="131">
        <f t="shared" si="0"/>
        <v>33</v>
      </c>
      <c r="G9" s="131">
        <f t="shared" si="0"/>
        <v>35</v>
      </c>
      <c r="H9" s="110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127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2" t="str">
        <v>M2</v>
      </c>
      <c r="AD9" s="131">
        <v>3</v>
      </c>
      <c r="AE9" s="131">
        <v>12</v>
      </c>
      <c r="AF9" s="131">
        <v>0</v>
      </c>
      <c r="AG9" s="131">
        <v>3</v>
      </c>
      <c r="AH9" s="131">
        <v>8</v>
      </c>
      <c r="AI9" s="5"/>
      <c r="AJ9" s="152" t="str">
        <v>M2</v>
      </c>
      <c r="AK9" s="131">
        <v>3</v>
      </c>
      <c r="AL9" s="131">
        <v>12</v>
      </c>
      <c r="AM9" s="131">
        <v>0</v>
      </c>
      <c r="AN9" s="131">
        <v>3</v>
      </c>
      <c r="AO9" s="131">
        <v>8</v>
      </c>
    </row>
    <row r="10" spans="1:41" ht="15.9" customHeight="1">
      <c r="A10" s="131" t="str">
        <v>M5</v>
      </c>
      <c r="B10" s="110" t="str">
        <v>M5</v>
      </c>
      <c r="C10" s="131">
        <f t="shared" si="0"/>
        <v>42</v>
      </c>
      <c r="D10" s="131">
        <f t="shared" si="0"/>
        <v>23</v>
      </c>
      <c r="E10" s="131">
        <f t="shared" si="0"/>
        <v>0</v>
      </c>
      <c r="F10" s="131">
        <f t="shared" si="0"/>
        <v>33</v>
      </c>
      <c r="G10" s="131">
        <f t="shared" si="0"/>
        <v>34</v>
      </c>
      <c r="H10" s="110">
        <v>6</v>
      </c>
      <c r="I10" s="87"/>
      <c r="J10" s="25">
        <v>6</v>
      </c>
      <c r="K10" s="16" t="s">
        <v>37</v>
      </c>
      <c r="L10" s="16" t="s">
        <v>21</v>
      </c>
      <c r="M10" s="16" t="s">
        <v>127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2" t="str">
        <v>M3</v>
      </c>
      <c r="AD10" s="131">
        <v>7</v>
      </c>
      <c r="AE10" s="131">
        <v>13</v>
      </c>
      <c r="AF10" s="131">
        <v>0</v>
      </c>
      <c r="AG10" s="131">
        <v>7</v>
      </c>
      <c r="AH10" s="131">
        <v>14</v>
      </c>
      <c r="AI10" s="5"/>
      <c r="AJ10" s="152" t="str">
        <v>M3</v>
      </c>
      <c r="AK10" s="131">
        <v>7</v>
      </c>
      <c r="AL10" s="131">
        <v>13</v>
      </c>
      <c r="AM10" s="131">
        <v>0</v>
      </c>
      <c r="AN10" s="131">
        <v>7</v>
      </c>
      <c r="AO10" s="131">
        <v>14</v>
      </c>
    </row>
    <row r="11" spans="1:41" ht="15.9" customHeight="1">
      <c r="A11" s="131" t="str">
        <v>A</v>
      </c>
      <c r="B11" s="110" t="str">
        <v>A</v>
      </c>
      <c r="C11" s="131">
        <f t="shared" si="0"/>
        <v>43</v>
      </c>
      <c r="D11" s="131">
        <f t="shared" si="0"/>
        <v>27</v>
      </c>
      <c r="E11" s="131">
        <f t="shared" si="0"/>
        <v>0</v>
      </c>
      <c r="F11" s="131">
        <f t="shared" si="0"/>
        <v>33</v>
      </c>
      <c r="G11" s="131">
        <f t="shared" si="0"/>
        <v>34</v>
      </c>
      <c r="H11" s="110">
        <v>7</v>
      </c>
      <c r="I11" s="87"/>
      <c r="J11" s="9">
        <v>7</v>
      </c>
      <c r="K11" s="16" t="s">
        <v>35</v>
      </c>
      <c r="L11" s="16" t="s">
        <v>91</v>
      </c>
      <c r="M11" s="16" t="s">
        <v>112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2" t="str">
        <v>M4</v>
      </c>
      <c r="AD11" s="131">
        <v>43</v>
      </c>
      <c r="AE11" s="131">
        <v>23</v>
      </c>
      <c r="AF11" s="131">
        <v>0</v>
      </c>
      <c r="AG11" s="131">
        <v>33</v>
      </c>
      <c r="AH11" s="131">
        <v>35</v>
      </c>
      <c r="AI11" s="5"/>
      <c r="AJ11" s="152" t="str">
        <v>M4</v>
      </c>
      <c r="AK11" s="131">
        <v>43</v>
      </c>
      <c r="AL11" s="131">
        <v>23</v>
      </c>
      <c r="AM11" s="131">
        <v>0</v>
      </c>
      <c r="AN11" s="131">
        <v>33</v>
      </c>
      <c r="AO11" s="131">
        <v>35</v>
      </c>
    </row>
    <row r="12" spans="1:41" ht="15.9" customHeight="1">
      <c r="A12" s="131" t="str">
        <v>K</v>
      </c>
      <c r="B12" s="110" t="str">
        <v>K</v>
      </c>
      <c r="C12" s="131">
        <f t="shared" si="0"/>
        <v>43</v>
      </c>
      <c r="D12" s="131">
        <f t="shared" si="0"/>
        <v>25</v>
      </c>
      <c r="E12" s="131">
        <f t="shared" si="0"/>
        <v>0</v>
      </c>
      <c r="F12" s="131">
        <f t="shared" si="0"/>
        <v>34</v>
      </c>
      <c r="G12" s="131">
        <f t="shared" si="0"/>
        <v>34</v>
      </c>
      <c r="H12" s="110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127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2" t="str">
        <v>M5</v>
      </c>
      <c r="AD12" s="131">
        <v>42</v>
      </c>
      <c r="AE12" s="131">
        <v>23</v>
      </c>
      <c r="AF12" s="131">
        <v>0</v>
      </c>
      <c r="AG12" s="131">
        <v>33</v>
      </c>
      <c r="AH12" s="131">
        <v>34</v>
      </c>
      <c r="AI12" s="5"/>
      <c r="AJ12" s="152" t="str">
        <v>M5</v>
      </c>
      <c r="AK12" s="131">
        <v>42</v>
      </c>
      <c r="AL12" s="131">
        <v>23</v>
      </c>
      <c r="AM12" s="131">
        <v>0</v>
      </c>
      <c r="AN12" s="131">
        <v>33</v>
      </c>
      <c r="AO12" s="131">
        <v>34</v>
      </c>
    </row>
    <row r="13" spans="1:41" ht="15.9" customHeight="1">
      <c r="A13" s="131" t="str">
        <v>Q</v>
      </c>
      <c r="B13" s="110" t="str">
        <v>Q</v>
      </c>
      <c r="C13" s="131">
        <f t="shared" si="0"/>
        <v>7</v>
      </c>
      <c r="D13" s="131">
        <f t="shared" si="0"/>
        <v>12</v>
      </c>
      <c r="E13" s="131">
        <f t="shared" si="0"/>
        <v>0</v>
      </c>
      <c r="F13" s="131">
        <f t="shared" si="0"/>
        <v>6</v>
      </c>
      <c r="G13" s="131">
        <f t="shared" si="0"/>
        <v>13</v>
      </c>
      <c r="H13" s="110">
        <v>9</v>
      </c>
      <c r="I13" s="87"/>
      <c r="J13" s="9">
        <v>9</v>
      </c>
      <c r="K13" s="16" t="s">
        <v>36</v>
      </c>
      <c r="L13" s="16" t="s">
        <v>21</v>
      </c>
      <c r="M13" s="16" t="s">
        <v>127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2" t="str">
        <v>A</v>
      </c>
      <c r="AD13" s="131">
        <v>43</v>
      </c>
      <c r="AE13" s="131">
        <v>27</v>
      </c>
      <c r="AF13" s="131">
        <v>0</v>
      </c>
      <c r="AG13" s="131">
        <v>33</v>
      </c>
      <c r="AH13" s="131">
        <v>34</v>
      </c>
      <c r="AI13" s="5"/>
      <c r="AJ13" s="152" t="str">
        <v>A</v>
      </c>
      <c r="AK13" s="131">
        <v>43</v>
      </c>
      <c r="AL13" s="131">
        <v>27</v>
      </c>
      <c r="AM13" s="131">
        <v>0</v>
      </c>
      <c r="AN13" s="131">
        <v>33</v>
      </c>
      <c r="AO13" s="131">
        <v>34</v>
      </c>
    </row>
    <row r="14" spans="1:41" ht="15.9" customHeight="1">
      <c r="A14" s="131" t="str">
        <v>J</v>
      </c>
      <c r="B14" s="110" t="str">
        <v>J</v>
      </c>
      <c r="C14" s="131">
        <f t="shared" si="0"/>
        <v>6</v>
      </c>
      <c r="D14" s="131">
        <f t="shared" si="0"/>
        <v>8</v>
      </c>
      <c r="E14" s="131">
        <f t="shared" si="0"/>
        <v>0</v>
      </c>
      <c r="F14" s="131">
        <f t="shared" si="0"/>
        <v>7</v>
      </c>
      <c r="G14" s="131">
        <f t="shared" si="0"/>
        <v>14</v>
      </c>
      <c r="H14" s="110">
        <v>10</v>
      </c>
      <c r="I14" s="87"/>
      <c r="J14" s="25">
        <v>10</v>
      </c>
      <c r="K14" s="16" t="s">
        <v>19</v>
      </c>
      <c r="L14" s="16" t="s">
        <v>126</v>
      </c>
      <c r="M14" s="16" t="s">
        <v>92</v>
      </c>
      <c r="N14" s="16" t="s">
        <v>127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2" t="str">
        <v>K</v>
      </c>
      <c r="AD14" s="131">
        <v>43</v>
      </c>
      <c r="AE14" s="131">
        <v>25</v>
      </c>
      <c r="AF14" s="131">
        <v>0</v>
      </c>
      <c r="AG14" s="131">
        <v>34</v>
      </c>
      <c r="AH14" s="131">
        <v>34</v>
      </c>
      <c r="AI14" s="5"/>
      <c r="AJ14" s="152" t="str">
        <v>K</v>
      </c>
      <c r="AK14" s="131">
        <v>43</v>
      </c>
      <c r="AL14" s="131">
        <v>25</v>
      </c>
      <c r="AM14" s="131">
        <v>0</v>
      </c>
      <c r="AN14" s="131">
        <v>34</v>
      </c>
      <c r="AO14" s="131">
        <v>34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2" t="str">
        <v>Q</v>
      </c>
      <c r="AD15" s="131">
        <v>7</v>
      </c>
      <c r="AE15" s="131">
        <v>12</v>
      </c>
      <c r="AF15" s="131">
        <v>0</v>
      </c>
      <c r="AG15" s="131">
        <v>6</v>
      </c>
      <c r="AH15" s="131">
        <v>13</v>
      </c>
      <c r="AI15" s="5"/>
      <c r="AJ15" s="152" t="str">
        <v>Q</v>
      </c>
      <c r="AK15" s="131">
        <v>7</v>
      </c>
      <c r="AL15" s="131">
        <v>12</v>
      </c>
      <c r="AM15" s="131">
        <v>0</v>
      </c>
      <c r="AN15" s="131">
        <v>6</v>
      </c>
      <c r="AO15" s="131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4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112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2" t="str">
        <v>J</v>
      </c>
      <c r="AD16" s="131">
        <v>6</v>
      </c>
      <c r="AE16" s="131">
        <v>8</v>
      </c>
      <c r="AF16" s="131">
        <v>0</v>
      </c>
      <c r="AG16" s="131">
        <v>7</v>
      </c>
      <c r="AH16" s="131">
        <v>14</v>
      </c>
      <c r="AI16" s="5"/>
      <c r="AJ16" s="152" t="str">
        <v>J</v>
      </c>
      <c r="AK16" s="131">
        <v>6</v>
      </c>
      <c r="AL16" s="131">
        <v>8</v>
      </c>
      <c r="AM16" s="131">
        <v>0</v>
      </c>
      <c r="AN16" s="131">
        <v>7</v>
      </c>
      <c r="AO16" s="131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126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6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6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7</v>
      </c>
      <c r="E18" s="99">
        <f t="shared" si="0"/>
        <v>43</v>
      </c>
      <c r="F18" s="99">
        <f t="shared" si="0"/>
        <v>8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126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6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6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7</v>
      </c>
      <c r="E19" s="99">
        <f t="shared" si="0"/>
        <v>42</v>
      </c>
      <c r="F19" s="99">
        <f t="shared" si="0"/>
        <v>9</v>
      </c>
      <c r="G19" s="99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126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6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6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126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6" t="str">
        <v>G4</v>
      </c>
      <c r="AD20" s="99">
        <v>0</v>
      </c>
      <c r="AE20" s="99">
        <v>8</v>
      </c>
      <c r="AF20" s="99">
        <v>43</v>
      </c>
      <c r="AG20" s="99">
        <v>9</v>
      </c>
      <c r="AH20" s="99">
        <v>0</v>
      </c>
      <c r="AI20" s="5"/>
      <c r="AJ20" s="136" t="str">
        <v>G4</v>
      </c>
      <c r="AK20" s="99">
        <v>0</v>
      </c>
      <c r="AL20" s="99">
        <v>8</v>
      </c>
      <c r="AM20" s="99">
        <v>43</v>
      </c>
      <c r="AN20" s="99">
        <v>9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43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6" t="str">
        <v>G5</v>
      </c>
      <c r="AD21" s="99">
        <v>0</v>
      </c>
      <c r="AE21" s="99">
        <v>8</v>
      </c>
      <c r="AF21" s="99">
        <v>42</v>
      </c>
      <c r="AG21" s="99">
        <v>10</v>
      </c>
      <c r="AH21" s="99">
        <v>0</v>
      </c>
      <c r="AI21" s="5"/>
      <c r="AJ21" s="136" t="str">
        <v>G5</v>
      </c>
      <c r="AK21" s="99">
        <v>0</v>
      </c>
      <c r="AL21" s="99">
        <v>8</v>
      </c>
      <c r="AM21" s="99">
        <v>42</v>
      </c>
      <c r="AN21" s="99">
        <v>10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126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6" t="str">
        <v>GA</v>
      </c>
      <c r="AD22" s="99">
        <v>0</v>
      </c>
      <c r="AE22" s="99">
        <v>11</v>
      </c>
      <c r="AF22" s="99">
        <v>42</v>
      </c>
      <c r="AG22" s="99">
        <v>7</v>
      </c>
      <c r="AH22" s="99">
        <v>0</v>
      </c>
      <c r="AI22" s="5"/>
      <c r="AJ22" s="136" t="str">
        <v>GA</v>
      </c>
      <c r="AK22" s="99">
        <v>0</v>
      </c>
      <c r="AL22" s="99">
        <v>11</v>
      </c>
      <c r="AM22" s="99">
        <v>42</v>
      </c>
      <c r="AN22" s="99">
        <v>7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126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6" t="str">
        <v>GK</v>
      </c>
      <c r="AD23" s="99">
        <v>0</v>
      </c>
      <c r="AE23" s="99">
        <v>8</v>
      </c>
      <c r="AF23" s="99">
        <v>43</v>
      </c>
      <c r="AG23" s="99">
        <v>7</v>
      </c>
      <c r="AH23" s="99">
        <v>0</v>
      </c>
      <c r="AI23" s="5"/>
      <c r="AJ23" s="136" t="str">
        <v>GK</v>
      </c>
      <c r="AK23" s="99">
        <v>0</v>
      </c>
      <c r="AL23" s="99">
        <v>8</v>
      </c>
      <c r="AM23" s="99">
        <v>43</v>
      </c>
      <c r="AN23" s="99">
        <v>7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127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6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6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126</v>
      </c>
      <c r="L25" s="16" t="s">
        <v>89</v>
      </c>
      <c r="M25" s="16" t="s">
        <v>92</v>
      </c>
      <c r="N25" s="16" t="s">
        <v>126</v>
      </c>
      <c r="O25" s="16" t="s">
        <v>126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6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6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0.78</v>
      </c>
      <c r="E26" s="179">
        <f t="shared" si="1"/>
        <v>0</v>
      </c>
      <c r="F26" s="179">
        <f t="shared" si="1"/>
        <v>0.82</v>
      </c>
      <c r="G26" s="5">
        <f t="shared" si="1"/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1">
        <f>SUM(AD6:AD25)</f>
        <v>198</v>
      </c>
      <c r="AE26" s="111">
        <f>SUM(AE6:AE25)</f>
        <v>207</v>
      </c>
      <c r="AF26" s="111">
        <f>SUM(AF6:AF25)</f>
        <v>197</v>
      </c>
      <c r="AG26" s="111">
        <f>SUM(AG6:AG25)</f>
        <v>205</v>
      </c>
      <c r="AH26" s="111">
        <f>SUM(AH6:AH25)</f>
        <v>196</v>
      </c>
      <c r="AI26" s="5"/>
      <c r="AK26" s="111">
        <f>SUM(AK6:AK25)</f>
        <v>198</v>
      </c>
      <c r="AL26" s="111">
        <f>SUM(AL6:AL25)</f>
        <v>207</v>
      </c>
      <c r="AM26" s="111">
        <f>SUM(AM6:AM25)</f>
        <v>197</v>
      </c>
      <c r="AN26" s="111">
        <f>SUM(AN6:AN25)</f>
        <v>205</v>
      </c>
      <c r="AO26" s="111">
        <f>SUM(AO6:AO25)</f>
        <v>196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0.22</v>
      </c>
      <c r="E27" s="179">
        <f t="shared" si="2"/>
        <v>1</v>
      </c>
      <c r="F27" s="179">
        <f t="shared" si="2"/>
        <v>0.18</v>
      </c>
      <c r="G27" s="5">
        <f t="shared" si="2"/>
        <v>0</v>
      </c>
      <c r="I27" s="87"/>
      <c r="J27" s="9">
        <v>23</v>
      </c>
      <c r="K27" s="16" t="s">
        <v>126</v>
      </c>
      <c r="L27" s="16" t="s">
        <v>126</v>
      </c>
      <c r="M27" s="16" t="s">
        <v>127</v>
      </c>
      <c r="N27" s="16" t="s">
        <v>112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126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35</v>
      </c>
      <c r="M30" s="16" t="s">
        <v>127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126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6" t="str">
        <v>C1</v>
      </c>
      <c r="AD31" s="136">
        <v>1</v>
      </c>
      <c r="AE31" s="136">
        <v>1</v>
      </c>
      <c r="AF31" s="136">
        <v>0</v>
      </c>
      <c r="AG31" s="136">
        <v>1</v>
      </c>
      <c r="AH31" s="136">
        <v>1</v>
      </c>
      <c r="AI31" s="5"/>
      <c r="AJ31" s="136" t="str">
        <v>C1</v>
      </c>
      <c r="AK31" s="136">
        <v>1</v>
      </c>
      <c r="AL31" s="136">
        <v>1</v>
      </c>
      <c r="AM31" s="136">
        <v>0</v>
      </c>
      <c r="AN31" s="136">
        <v>1</v>
      </c>
      <c r="AO31" s="136">
        <v>1</v>
      </c>
    </row>
    <row r="32" spans="1:41" ht="16.5" customHeight="1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126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2" t="str">
        <v>M1</v>
      </c>
      <c r="AD32" s="131">
        <v>3</v>
      </c>
      <c r="AE32" s="131">
        <v>10</v>
      </c>
      <c r="AF32" s="131">
        <v>0</v>
      </c>
      <c r="AG32" s="131">
        <v>3</v>
      </c>
      <c r="AH32" s="131">
        <v>9</v>
      </c>
      <c r="AI32" s="5"/>
      <c r="AJ32" s="152" t="str">
        <v>M1</v>
      </c>
      <c r="AK32" s="131">
        <v>3</v>
      </c>
      <c r="AL32" s="131">
        <v>10</v>
      </c>
      <c r="AM32" s="131">
        <v>0</v>
      </c>
      <c r="AN32" s="131">
        <v>3</v>
      </c>
      <c r="AO32" s="131">
        <v>9</v>
      </c>
    </row>
    <row r="33" spans="10:41" ht="16.5" customHeight="1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2" t="str">
        <v>M2</v>
      </c>
      <c r="AD33" s="131">
        <v>3</v>
      </c>
      <c r="AE33" s="131">
        <v>12</v>
      </c>
      <c r="AF33" s="131">
        <v>0</v>
      </c>
      <c r="AG33" s="131">
        <v>3</v>
      </c>
      <c r="AH33" s="131">
        <v>8</v>
      </c>
      <c r="AI33" s="5"/>
      <c r="AJ33" s="152" t="str">
        <v>M2</v>
      </c>
      <c r="AK33" s="131">
        <v>3</v>
      </c>
      <c r="AL33" s="131">
        <v>12</v>
      </c>
      <c r="AM33" s="131">
        <v>0</v>
      </c>
      <c r="AN33" s="131">
        <v>3</v>
      </c>
      <c r="AO33" s="131">
        <v>8</v>
      </c>
    </row>
    <row r="34" spans="10:41" ht="16.5" customHeight="1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126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2" t="str">
        <v>M3</v>
      </c>
      <c r="AD34" s="131">
        <v>7</v>
      </c>
      <c r="AE34" s="131">
        <v>13</v>
      </c>
      <c r="AF34" s="131">
        <v>0</v>
      </c>
      <c r="AG34" s="131">
        <v>7</v>
      </c>
      <c r="AH34" s="131">
        <v>14</v>
      </c>
      <c r="AI34" s="5"/>
      <c r="AJ34" s="152" t="str">
        <v>M3</v>
      </c>
      <c r="AK34" s="131">
        <v>7</v>
      </c>
      <c r="AL34" s="131">
        <v>13</v>
      </c>
      <c r="AM34" s="131">
        <v>0</v>
      </c>
      <c r="AN34" s="131">
        <v>7</v>
      </c>
      <c r="AO34" s="131">
        <v>14</v>
      </c>
    </row>
    <row r="35" spans="10:41" ht="16.5" customHeight="1">
      <c r="J35" s="9">
        <v>31</v>
      </c>
      <c r="K35" s="16" t="s">
        <v>35</v>
      </c>
      <c r="L35" s="16" t="s">
        <v>112</v>
      </c>
      <c r="M35" s="16" t="s">
        <v>127</v>
      </c>
      <c r="N35" s="16" t="s">
        <v>127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2" t="str">
        <v>M4</v>
      </c>
      <c r="AD35" s="131">
        <v>43</v>
      </c>
      <c r="AE35" s="131">
        <v>23</v>
      </c>
      <c r="AF35" s="131">
        <v>0</v>
      </c>
      <c r="AG35" s="131">
        <v>33</v>
      </c>
      <c r="AH35" s="131">
        <v>35</v>
      </c>
      <c r="AI35" s="5"/>
      <c r="AJ35" s="152" t="str">
        <v>M4</v>
      </c>
      <c r="AK35" s="131">
        <v>43</v>
      </c>
      <c r="AL35" s="131">
        <v>23</v>
      </c>
      <c r="AM35" s="131">
        <v>0</v>
      </c>
      <c r="AN35" s="131">
        <v>33</v>
      </c>
      <c r="AO35" s="131">
        <v>35</v>
      </c>
    </row>
    <row r="36" spans="10:41" ht="16.5" customHeight="1">
      <c r="J36" s="25">
        <v>32</v>
      </c>
      <c r="K36" s="16" t="s">
        <v>37</v>
      </c>
      <c r="L36" s="16" t="s">
        <v>37</v>
      </c>
      <c r="M36" s="16" t="s">
        <v>112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2" t="str">
        <v>M5</v>
      </c>
      <c r="AD36" s="131">
        <v>42</v>
      </c>
      <c r="AE36" s="131">
        <v>23</v>
      </c>
      <c r="AF36" s="131">
        <v>0</v>
      </c>
      <c r="AG36" s="131">
        <v>33</v>
      </c>
      <c r="AH36" s="131">
        <v>34</v>
      </c>
      <c r="AI36" s="5"/>
      <c r="AJ36" s="152" t="str">
        <v>M5</v>
      </c>
      <c r="AK36" s="131">
        <v>42</v>
      </c>
      <c r="AL36" s="131">
        <v>23</v>
      </c>
      <c r="AM36" s="131">
        <v>0</v>
      </c>
      <c r="AN36" s="131">
        <v>33</v>
      </c>
      <c r="AO36" s="131">
        <v>34</v>
      </c>
    </row>
    <row r="37" spans="10:41" ht="16.5" customHeight="1">
      <c r="J37" s="9">
        <v>33</v>
      </c>
      <c r="K37" s="16" t="s">
        <v>126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2" t="str">
        <v>A</v>
      </c>
      <c r="AD37" s="131">
        <v>43</v>
      </c>
      <c r="AE37" s="131">
        <v>27</v>
      </c>
      <c r="AF37" s="131">
        <v>0</v>
      </c>
      <c r="AG37" s="131">
        <v>33</v>
      </c>
      <c r="AH37" s="131">
        <v>34</v>
      </c>
      <c r="AI37" s="5"/>
      <c r="AJ37" s="152" t="str">
        <v>A</v>
      </c>
      <c r="AK37" s="131">
        <v>43</v>
      </c>
      <c r="AL37" s="131">
        <v>27</v>
      </c>
      <c r="AM37" s="131">
        <v>0</v>
      </c>
      <c r="AN37" s="131">
        <v>33</v>
      </c>
      <c r="AO37" s="131">
        <v>34</v>
      </c>
    </row>
    <row r="38" spans="10:41" ht="16.5" customHeight="1">
      <c r="J38" s="25">
        <v>34</v>
      </c>
      <c r="K38" s="16" t="s">
        <v>19</v>
      </c>
      <c r="L38" s="16" t="s">
        <v>18</v>
      </c>
      <c r="M38" s="16" t="s">
        <v>127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2" t="str">
        <v>K</v>
      </c>
      <c r="AD38" s="131">
        <v>43</v>
      </c>
      <c r="AE38" s="131">
        <v>25</v>
      </c>
      <c r="AF38" s="131">
        <v>0</v>
      </c>
      <c r="AG38" s="131">
        <v>34</v>
      </c>
      <c r="AH38" s="131">
        <v>34</v>
      </c>
      <c r="AI38" s="5"/>
      <c r="AJ38" s="152" t="str">
        <v>K</v>
      </c>
      <c r="AK38" s="131">
        <v>43</v>
      </c>
      <c r="AL38" s="131">
        <v>25</v>
      </c>
      <c r="AM38" s="131">
        <v>0</v>
      </c>
      <c r="AN38" s="131">
        <v>34</v>
      </c>
      <c r="AO38" s="131">
        <v>34</v>
      </c>
    </row>
    <row r="39" spans="10:41" ht="16.5" customHeight="1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112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2" t="str">
        <v>Q</v>
      </c>
      <c r="AD39" s="131">
        <v>7</v>
      </c>
      <c r="AE39" s="131">
        <v>12</v>
      </c>
      <c r="AF39" s="131">
        <v>0</v>
      </c>
      <c r="AG39" s="131">
        <v>6</v>
      </c>
      <c r="AH39" s="131">
        <v>13</v>
      </c>
      <c r="AI39" s="5"/>
      <c r="AJ39" s="152" t="str">
        <v>Q</v>
      </c>
      <c r="AK39" s="131">
        <v>7</v>
      </c>
      <c r="AL39" s="131">
        <v>12</v>
      </c>
      <c r="AM39" s="131">
        <v>0</v>
      </c>
      <c r="AN39" s="131">
        <v>6</v>
      </c>
      <c r="AO39" s="131">
        <v>13</v>
      </c>
    </row>
    <row r="40" spans="10:41" ht="16.5" customHeight="1">
      <c r="J40" s="25">
        <v>36</v>
      </c>
      <c r="K40" s="16" t="s">
        <v>126</v>
      </c>
      <c r="L40" s="16" t="s">
        <v>20</v>
      </c>
      <c r="M40" s="16" t="s">
        <v>112</v>
      </c>
      <c r="N40" s="16" t="s">
        <v>36</v>
      </c>
      <c r="O40" s="16" t="s">
        <v>126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2" t="str">
        <v>J</v>
      </c>
      <c r="AD40" s="131">
        <v>6</v>
      </c>
      <c r="AE40" s="131">
        <v>8</v>
      </c>
      <c r="AF40" s="131">
        <v>0</v>
      </c>
      <c r="AG40" s="131">
        <v>7</v>
      </c>
      <c r="AH40" s="131">
        <v>14</v>
      </c>
      <c r="AI40" s="5"/>
      <c r="AJ40" s="152" t="str">
        <v>J</v>
      </c>
      <c r="AK40" s="131">
        <v>6</v>
      </c>
      <c r="AL40" s="131">
        <v>8</v>
      </c>
      <c r="AM40" s="131">
        <v>0</v>
      </c>
      <c r="AN40" s="131">
        <v>7</v>
      </c>
      <c r="AO40" s="131">
        <v>14</v>
      </c>
    </row>
    <row r="41" spans="10:41" ht="16.5" customHeight="1">
      <c r="J41" s="9">
        <v>37</v>
      </c>
      <c r="K41" s="16" t="s">
        <v>35</v>
      </c>
      <c r="L41" s="16" t="s">
        <v>127</v>
      </c>
      <c r="M41" s="16" t="s">
        <v>127</v>
      </c>
      <c r="N41" s="16" t="s">
        <v>126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6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6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6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6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35</v>
      </c>
      <c r="L43" s="16" t="s">
        <v>126</v>
      </c>
      <c r="M43" s="16" t="s">
        <v>88</v>
      </c>
      <c r="N43" s="16" t="s">
        <v>126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6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6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126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6" t="str">
        <v>G4</v>
      </c>
      <c r="AD44" s="99">
        <v>0</v>
      </c>
      <c r="AE44" s="99">
        <v>8</v>
      </c>
      <c r="AF44" s="99">
        <v>43</v>
      </c>
      <c r="AG44" s="99">
        <v>9</v>
      </c>
      <c r="AH44" s="99">
        <v>0</v>
      </c>
      <c r="AI44" s="5"/>
      <c r="AJ44" s="136" t="str">
        <v>G4</v>
      </c>
      <c r="AK44" s="99">
        <v>0</v>
      </c>
      <c r="AL44" s="99">
        <v>8</v>
      </c>
      <c r="AM44" s="99">
        <v>43</v>
      </c>
      <c r="AN44" s="99">
        <v>9</v>
      </c>
      <c r="AO44" s="99">
        <v>0</v>
      </c>
    </row>
    <row r="45" spans="10:41" ht="16.5" customHeight="1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6" t="str">
        <v>G5</v>
      </c>
      <c r="AD45" s="99">
        <v>0</v>
      </c>
      <c r="AE45" s="99">
        <v>8</v>
      </c>
      <c r="AF45" s="99">
        <v>42</v>
      </c>
      <c r="AG45" s="99">
        <v>10</v>
      </c>
      <c r="AH45" s="99">
        <v>0</v>
      </c>
      <c r="AI45" s="5"/>
      <c r="AJ45" s="136" t="str">
        <v>G5</v>
      </c>
      <c r="AK45" s="99">
        <v>0</v>
      </c>
      <c r="AL45" s="99">
        <v>8</v>
      </c>
      <c r="AM45" s="99">
        <v>42</v>
      </c>
      <c r="AN45" s="99">
        <v>10</v>
      </c>
      <c r="AO45" s="99">
        <v>0</v>
      </c>
    </row>
    <row r="46" spans="10:41" ht="16.5" customHeight="1">
      <c r="J46" s="25">
        <v>42</v>
      </c>
      <c r="K46" s="16" t="s">
        <v>19</v>
      </c>
      <c r="L46" s="16" t="s">
        <v>37</v>
      </c>
      <c r="M46" s="16" t="s">
        <v>112</v>
      </c>
      <c r="N46" s="16" t="s">
        <v>126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6" t="str">
        <v>GA</v>
      </c>
      <c r="AD46" s="99">
        <v>0</v>
      </c>
      <c r="AE46" s="99">
        <v>11</v>
      </c>
      <c r="AF46" s="99">
        <v>42</v>
      </c>
      <c r="AG46" s="99">
        <v>7</v>
      </c>
      <c r="AH46" s="99">
        <v>0</v>
      </c>
      <c r="AI46" s="5"/>
      <c r="AJ46" s="136" t="str">
        <v>GA</v>
      </c>
      <c r="AK46" s="99">
        <v>0</v>
      </c>
      <c r="AL46" s="99">
        <v>11</v>
      </c>
      <c r="AM46" s="99">
        <v>42</v>
      </c>
      <c r="AN46" s="99">
        <v>7</v>
      </c>
      <c r="AO46" s="99">
        <v>0</v>
      </c>
    </row>
    <row r="47" spans="10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6" t="str">
        <v>GK</v>
      </c>
      <c r="AD47" s="99">
        <v>0</v>
      </c>
      <c r="AE47" s="99">
        <v>8</v>
      </c>
      <c r="AF47" s="99">
        <v>43</v>
      </c>
      <c r="AG47" s="99">
        <v>7</v>
      </c>
      <c r="AH47" s="99">
        <v>0</v>
      </c>
      <c r="AI47" s="5"/>
      <c r="AJ47" s="136" t="str">
        <v>GK</v>
      </c>
      <c r="AK47" s="99">
        <v>0</v>
      </c>
      <c r="AL47" s="99">
        <v>8</v>
      </c>
      <c r="AM47" s="99">
        <v>43</v>
      </c>
      <c r="AN47" s="99">
        <v>7</v>
      </c>
      <c r="AO47" s="99">
        <v>0</v>
      </c>
    </row>
    <row r="48" spans="10:41" ht="16.5" customHeight="1">
      <c r="J48" s="25">
        <v>44</v>
      </c>
      <c r="K48" s="16" t="s">
        <v>37</v>
      </c>
      <c r="L48" s="16" t="s">
        <v>126</v>
      </c>
      <c r="M48" s="16" t="s">
        <v>127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6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6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126</v>
      </c>
      <c r="L49" s="16" t="s">
        <v>19</v>
      </c>
      <c r="M49" s="16" t="s">
        <v>91</v>
      </c>
      <c r="N49" s="16" t="s">
        <v>126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6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6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1">
        <f>SUM(AD30:AD49)</f>
        <v>198</v>
      </c>
      <c r="AE50" s="111">
        <f>SUM(AE30:AE49)</f>
        <v>207</v>
      </c>
      <c r="AF50" s="111">
        <f>SUM(AF30:AF49)</f>
        <v>197</v>
      </c>
      <c r="AG50" s="111">
        <f>SUM(AG30:AG49)</f>
        <v>205</v>
      </c>
      <c r="AH50" s="111">
        <f>SUM(AH30:AH49)</f>
        <v>196</v>
      </c>
      <c r="AI50" s="5"/>
      <c r="AK50" s="111">
        <f>SUM(AK30:AK49)</f>
        <v>198</v>
      </c>
      <c r="AL50" s="111">
        <f>SUM(AL30:AL49)</f>
        <v>207</v>
      </c>
      <c r="AM50" s="111">
        <f>SUM(AM30:AM49)</f>
        <v>197</v>
      </c>
      <c r="AN50" s="111">
        <f>SUM(AN30:AN49)</f>
        <v>205</v>
      </c>
      <c r="AO50" s="111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126</v>
      </c>
      <c r="M51" s="16" t="s">
        <v>92</v>
      </c>
      <c r="N51" s="16" t="s">
        <v>35</v>
      </c>
      <c r="O51" s="16" t="s">
        <v>126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112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127</v>
      </c>
      <c r="N53" s="16" t="s">
        <v>127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34</v>
      </c>
      <c r="L54" s="16" t="s">
        <v>127</v>
      </c>
      <c r="M54" s="16" t="s">
        <v>90</v>
      </c>
      <c r="N54" s="16" t="s">
        <v>112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126</v>
      </c>
      <c r="O55" s="16" t="s">
        <v>126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6" t="str">
        <v>C1</v>
      </c>
      <c r="AD55" s="136">
        <v>1</v>
      </c>
      <c r="AE55" s="136">
        <v>1</v>
      </c>
      <c r="AF55" s="136">
        <v>0</v>
      </c>
      <c r="AG55" s="136">
        <v>1</v>
      </c>
      <c r="AH55" s="136">
        <v>1</v>
      </c>
      <c r="AI55" s="5"/>
      <c r="AJ55" s="136" t="str">
        <v>C1</v>
      </c>
      <c r="AK55" s="136">
        <v>1</v>
      </c>
      <c r="AL55" s="136">
        <v>1</v>
      </c>
      <c r="AM55" s="136">
        <v>0</v>
      </c>
      <c r="AN55" s="136">
        <v>1</v>
      </c>
      <c r="AO55" s="136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2" t="str">
        <v>M1</v>
      </c>
      <c r="AD56" s="131">
        <v>3</v>
      </c>
      <c r="AE56" s="131">
        <v>10</v>
      </c>
      <c r="AF56" s="131">
        <v>0</v>
      </c>
      <c r="AG56" s="131">
        <v>3</v>
      </c>
      <c r="AH56" s="131">
        <v>9</v>
      </c>
      <c r="AI56" s="5"/>
      <c r="AJ56" s="152" t="str">
        <v>M1</v>
      </c>
      <c r="AK56" s="131">
        <v>3</v>
      </c>
      <c r="AL56" s="131">
        <v>10</v>
      </c>
      <c r="AM56" s="131">
        <v>0</v>
      </c>
      <c r="AN56" s="131">
        <v>3</v>
      </c>
      <c r="AO56" s="131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112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2" t="str">
        <v>M2</v>
      </c>
      <c r="AD57" s="131">
        <v>3</v>
      </c>
      <c r="AE57" s="131">
        <v>12</v>
      </c>
      <c r="AF57" s="131">
        <v>0</v>
      </c>
      <c r="AG57" s="131">
        <v>3</v>
      </c>
      <c r="AH57" s="131">
        <v>8</v>
      </c>
      <c r="AI57" s="5"/>
      <c r="AJ57" s="152" t="str">
        <v>M2</v>
      </c>
      <c r="AK57" s="131">
        <v>3</v>
      </c>
      <c r="AL57" s="131">
        <v>12</v>
      </c>
      <c r="AM57" s="131">
        <v>0</v>
      </c>
      <c r="AN57" s="131">
        <v>3</v>
      </c>
      <c r="AO57" s="131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112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2" t="str">
        <v>M3</v>
      </c>
      <c r="AD58" s="131">
        <v>7</v>
      </c>
      <c r="AE58" s="131">
        <v>13</v>
      </c>
      <c r="AF58" s="131">
        <v>0</v>
      </c>
      <c r="AG58" s="131">
        <v>7</v>
      </c>
      <c r="AH58" s="131">
        <v>14</v>
      </c>
      <c r="AI58" s="5"/>
      <c r="AJ58" s="152" t="str">
        <v>M3</v>
      </c>
      <c r="AK58" s="131">
        <v>7</v>
      </c>
      <c r="AL58" s="131">
        <v>13</v>
      </c>
      <c r="AM58" s="131">
        <v>0</v>
      </c>
      <c r="AN58" s="131">
        <v>7</v>
      </c>
      <c r="AO58" s="131">
        <v>14</v>
      </c>
    </row>
    <row r="59" spans="10:41" ht="16.5" customHeight="1">
      <c r="J59" s="9">
        <v>55</v>
      </c>
      <c r="K59" s="16" t="s">
        <v>126</v>
      </c>
      <c r="L59" s="16" t="s">
        <v>92</v>
      </c>
      <c r="M59" s="16" t="s">
        <v>127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2" t="str">
        <v>M4</v>
      </c>
      <c r="AD59" s="131">
        <v>43</v>
      </c>
      <c r="AE59" s="131">
        <v>23</v>
      </c>
      <c r="AF59" s="131">
        <v>0</v>
      </c>
      <c r="AG59" s="131">
        <v>33</v>
      </c>
      <c r="AH59" s="131">
        <v>35</v>
      </c>
      <c r="AI59" s="5"/>
      <c r="AJ59" s="152" t="str">
        <v>M4</v>
      </c>
      <c r="AK59" s="131">
        <v>43</v>
      </c>
      <c r="AL59" s="131">
        <v>23</v>
      </c>
      <c r="AM59" s="131">
        <v>0</v>
      </c>
      <c r="AN59" s="131">
        <v>33</v>
      </c>
      <c r="AO59" s="131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112</v>
      </c>
      <c r="N60" s="16" t="s">
        <v>126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2" t="str">
        <v>M5</v>
      </c>
      <c r="AD60" s="131">
        <v>42</v>
      </c>
      <c r="AE60" s="131">
        <v>23</v>
      </c>
      <c r="AF60" s="131">
        <v>0</v>
      </c>
      <c r="AG60" s="131">
        <v>33</v>
      </c>
      <c r="AH60" s="131">
        <v>34</v>
      </c>
      <c r="AI60" s="5"/>
      <c r="AJ60" s="152" t="str">
        <v>M5</v>
      </c>
      <c r="AK60" s="131">
        <v>42</v>
      </c>
      <c r="AL60" s="131">
        <v>23</v>
      </c>
      <c r="AM60" s="131">
        <v>0</v>
      </c>
      <c r="AN60" s="131">
        <v>33</v>
      </c>
      <c r="AO60" s="131">
        <v>34</v>
      </c>
    </row>
    <row r="61" spans="10:41">
      <c r="J61" s="9">
        <v>57</v>
      </c>
      <c r="K61" s="16" t="s">
        <v>35</v>
      </c>
      <c r="L61" s="16" t="s">
        <v>126</v>
      </c>
      <c r="M61" s="16" t="s">
        <v>127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2" t="str">
        <v>A</v>
      </c>
      <c r="AD61" s="131">
        <v>43</v>
      </c>
      <c r="AE61" s="131">
        <v>27</v>
      </c>
      <c r="AF61" s="131">
        <v>0</v>
      </c>
      <c r="AG61" s="131">
        <v>33</v>
      </c>
      <c r="AH61" s="131">
        <v>34</v>
      </c>
      <c r="AI61" s="5"/>
      <c r="AJ61" s="152" t="str">
        <v>A</v>
      </c>
      <c r="AK61" s="131">
        <v>43</v>
      </c>
      <c r="AL61" s="131">
        <v>27</v>
      </c>
      <c r="AM61" s="131">
        <v>0</v>
      </c>
      <c r="AN61" s="131">
        <v>33</v>
      </c>
      <c r="AO61" s="131">
        <v>34</v>
      </c>
    </row>
    <row r="62" spans="10:41">
      <c r="J62" s="25">
        <v>58</v>
      </c>
      <c r="K62" s="16" t="s">
        <v>126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2" t="str">
        <v>K</v>
      </c>
      <c r="AD62" s="131">
        <v>43</v>
      </c>
      <c r="AE62" s="131">
        <v>25</v>
      </c>
      <c r="AF62" s="131">
        <v>0</v>
      </c>
      <c r="AG62" s="131">
        <v>34</v>
      </c>
      <c r="AH62" s="131">
        <v>34</v>
      </c>
      <c r="AI62" s="5"/>
      <c r="AJ62" s="152" t="str">
        <v>K</v>
      </c>
      <c r="AK62" s="131">
        <v>43</v>
      </c>
      <c r="AL62" s="131">
        <v>25</v>
      </c>
      <c r="AM62" s="131">
        <v>0</v>
      </c>
      <c r="AN62" s="131">
        <v>34</v>
      </c>
      <c r="AO62" s="131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127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2" t="str">
        <v>Q</v>
      </c>
      <c r="AD63" s="131">
        <v>7</v>
      </c>
      <c r="AE63" s="131">
        <v>12</v>
      </c>
      <c r="AF63" s="131">
        <v>0</v>
      </c>
      <c r="AG63" s="131">
        <v>6</v>
      </c>
      <c r="AH63" s="131">
        <v>13</v>
      </c>
      <c r="AI63" s="5"/>
      <c r="AJ63" s="152" t="str">
        <v>Q</v>
      </c>
      <c r="AK63" s="131">
        <v>7</v>
      </c>
      <c r="AL63" s="131">
        <v>12</v>
      </c>
      <c r="AM63" s="131">
        <v>0</v>
      </c>
      <c r="AN63" s="131">
        <v>6</v>
      </c>
      <c r="AO63" s="131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112</v>
      </c>
      <c r="N64" s="16" t="s">
        <v>126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2" t="str">
        <v>J</v>
      </c>
      <c r="AD64" s="131">
        <v>6</v>
      </c>
      <c r="AE64" s="131">
        <v>8</v>
      </c>
      <c r="AF64" s="131">
        <v>0</v>
      </c>
      <c r="AG64" s="131">
        <v>7</v>
      </c>
      <c r="AH64" s="131">
        <v>14</v>
      </c>
      <c r="AI64" s="5"/>
      <c r="AJ64" s="152" t="str">
        <v>J</v>
      </c>
      <c r="AK64" s="131">
        <v>6</v>
      </c>
      <c r="AL64" s="131">
        <v>8</v>
      </c>
      <c r="AM64" s="131">
        <v>0</v>
      </c>
      <c r="AN64" s="131">
        <v>7</v>
      </c>
      <c r="AO64" s="131">
        <v>14</v>
      </c>
    </row>
    <row r="65" spans="10:41" ht="16.5" customHeight="1">
      <c r="J65" s="9">
        <v>61</v>
      </c>
      <c r="K65" s="16" t="s">
        <v>126</v>
      </c>
      <c r="L65" s="16" t="s">
        <v>126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6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6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112</v>
      </c>
      <c r="N66" s="16" t="s">
        <v>126</v>
      </c>
      <c r="O66" s="16" t="s">
        <v>126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6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6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6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6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6" t="str">
        <v>G4</v>
      </c>
      <c r="AD68" s="99">
        <v>0</v>
      </c>
      <c r="AE68" s="99">
        <v>8</v>
      </c>
      <c r="AF68" s="99">
        <v>43</v>
      </c>
      <c r="AG68" s="99">
        <v>9</v>
      </c>
      <c r="AH68" s="99">
        <v>0</v>
      </c>
      <c r="AI68" s="5"/>
      <c r="AJ68" s="136" t="str">
        <v>G4</v>
      </c>
      <c r="AK68" s="99">
        <v>0</v>
      </c>
      <c r="AL68" s="99">
        <v>8</v>
      </c>
      <c r="AM68" s="99">
        <v>43</v>
      </c>
      <c r="AN68" s="99">
        <v>9</v>
      </c>
      <c r="AO68" s="99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127</v>
      </c>
      <c r="N69" s="16" t="s">
        <v>126</v>
      </c>
      <c r="O69" s="16" t="s">
        <v>126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6" t="str">
        <v>G5</v>
      </c>
      <c r="AD69" s="99">
        <v>0</v>
      </c>
      <c r="AE69" s="99">
        <v>8</v>
      </c>
      <c r="AF69" s="99">
        <v>42</v>
      </c>
      <c r="AG69" s="99">
        <v>10</v>
      </c>
      <c r="AH69" s="99">
        <v>0</v>
      </c>
      <c r="AI69" s="5"/>
      <c r="AJ69" s="136" t="str">
        <v>G5</v>
      </c>
      <c r="AK69" s="99">
        <v>0</v>
      </c>
      <c r="AL69" s="99">
        <v>8</v>
      </c>
      <c r="AM69" s="99">
        <v>42</v>
      </c>
      <c r="AN69" s="99">
        <v>10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112</v>
      </c>
      <c r="M70" s="16" t="s">
        <v>112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6" t="str">
        <v>GA</v>
      </c>
      <c r="AD70" s="99">
        <v>0</v>
      </c>
      <c r="AE70" s="99">
        <v>11</v>
      </c>
      <c r="AF70" s="99">
        <v>42</v>
      </c>
      <c r="AG70" s="99">
        <v>7</v>
      </c>
      <c r="AH70" s="99">
        <v>0</v>
      </c>
      <c r="AI70" s="5"/>
      <c r="AJ70" s="136" t="str">
        <v>GA</v>
      </c>
      <c r="AK70" s="99">
        <v>0</v>
      </c>
      <c r="AL70" s="99">
        <v>11</v>
      </c>
      <c r="AM70" s="99">
        <v>42</v>
      </c>
      <c r="AN70" s="99">
        <v>7</v>
      </c>
      <c r="AO70" s="99">
        <v>0</v>
      </c>
    </row>
    <row r="71" spans="10:41" ht="16.5" customHeight="1">
      <c r="J71" s="9">
        <v>67</v>
      </c>
      <c r="K71" s="16" t="s">
        <v>126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6" t="str">
        <v>GK</v>
      </c>
      <c r="AD71" s="99">
        <v>0</v>
      </c>
      <c r="AE71" s="99">
        <v>8</v>
      </c>
      <c r="AF71" s="99">
        <v>43</v>
      </c>
      <c r="AG71" s="99">
        <v>7</v>
      </c>
      <c r="AH71" s="99">
        <v>0</v>
      </c>
      <c r="AI71" s="5"/>
      <c r="AJ71" s="136" t="str">
        <v>GK</v>
      </c>
      <c r="AK71" s="99">
        <v>0</v>
      </c>
      <c r="AL71" s="99">
        <v>8</v>
      </c>
      <c r="AM71" s="99">
        <v>43</v>
      </c>
      <c r="AN71" s="99">
        <v>7</v>
      </c>
      <c r="AO71" s="99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112</v>
      </c>
      <c r="N72" s="16" t="s">
        <v>126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6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6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127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6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6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19</v>
      </c>
      <c r="L74" s="16" t="s">
        <v>126</v>
      </c>
      <c r="M74" s="16" t="s">
        <v>112</v>
      </c>
      <c r="N74" s="16" t="s">
        <v>126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1">
        <f>SUM(AD54:AD73)</f>
        <v>198</v>
      </c>
      <c r="AE74" s="111">
        <f>SUM(AE54:AE73)</f>
        <v>207</v>
      </c>
      <c r="AF74" s="111">
        <f>SUM(AF54:AF73)</f>
        <v>197</v>
      </c>
      <c r="AG74" s="111">
        <f>SUM(AG54:AG73)</f>
        <v>205</v>
      </c>
      <c r="AH74" s="111">
        <f>SUM(AH54:AH73)</f>
        <v>196</v>
      </c>
      <c r="AI74" s="5"/>
      <c r="AK74" s="111">
        <f>SUM(AK54:AK73)</f>
        <v>198</v>
      </c>
      <c r="AL74" s="111">
        <f>SUM(AL54:AL73)</f>
        <v>207</v>
      </c>
      <c r="AM74" s="111">
        <f>SUM(AM54:AM73)</f>
        <v>197</v>
      </c>
      <c r="AN74" s="111">
        <f>SUM(AN54:AN73)</f>
        <v>205</v>
      </c>
      <c r="AO74" s="111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112</v>
      </c>
      <c r="M76" s="16" t="s">
        <v>112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126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126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126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126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126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112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126</v>
      </c>
      <c r="M85" s="16" t="s">
        <v>127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127</v>
      </c>
      <c r="M87" s="16" t="s">
        <v>127</v>
      </c>
      <c r="N87" s="16" t="s">
        <v>127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112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127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126</v>
      </c>
      <c r="L91" s="16" t="s">
        <v>126</v>
      </c>
      <c r="M91" s="16" t="s">
        <v>91</v>
      </c>
      <c r="N91" s="16" t="s">
        <v>126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126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35</v>
      </c>
      <c r="M94" s="16" t="s">
        <v>112</v>
      </c>
      <c r="N94" s="16" t="s">
        <v>126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126</v>
      </c>
      <c r="L96" s="16" t="s">
        <v>126</v>
      </c>
      <c r="M96" s="16" t="s">
        <v>112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112</v>
      </c>
      <c r="N99" s="16" t="s">
        <v>91</v>
      </c>
      <c r="O99" s="16" t="s">
        <v>126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127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126</v>
      </c>
      <c r="L101" s="16" t="s">
        <v>34</v>
      </c>
      <c r="M101" s="16" t="s">
        <v>112</v>
      </c>
      <c r="N101" s="16" t="s">
        <v>37</v>
      </c>
      <c r="O101" s="16" t="s">
        <v>126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127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112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126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127</v>
      </c>
      <c r="N105" s="16" t="s">
        <v>126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126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112</v>
      </c>
      <c r="N107" s="16" t="s">
        <v>127</v>
      </c>
      <c r="O107" s="16" t="s">
        <v>126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127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112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127</v>
      </c>
      <c r="N112" s="16" t="s">
        <v>126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126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126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127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126</v>
      </c>
      <c r="L116" s="16" t="s">
        <v>92</v>
      </c>
      <c r="M116" s="16" t="s">
        <v>89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126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126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127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126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127</v>
      </c>
      <c r="M122" s="16" t="s">
        <v>112</v>
      </c>
      <c r="N122" s="16" t="s">
        <v>126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126</v>
      </c>
      <c r="L123" s="16" t="s">
        <v>126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35</v>
      </c>
      <c r="M126" s="16" t="s">
        <v>112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92</v>
      </c>
      <c r="M128" s="16" t="s">
        <v>127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35</v>
      </c>
      <c r="M131" s="16" t="s">
        <v>91</v>
      </c>
      <c r="N131" s="16" t="s">
        <v>126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126</v>
      </c>
      <c r="M132" s="16" t="s">
        <v>127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126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112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127</v>
      </c>
      <c r="N137" s="16" t="s">
        <v>126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127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126</v>
      </c>
      <c r="L140" s="16" t="s">
        <v>22</v>
      </c>
      <c r="M140" s="16" t="s">
        <v>112</v>
      </c>
      <c r="N140" s="16" t="s">
        <v>127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112</v>
      </c>
      <c r="M142" s="16" t="s">
        <v>112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34</v>
      </c>
      <c r="M144" s="16" t="s">
        <v>127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127</v>
      </c>
      <c r="N147" s="16" t="s">
        <v>127</v>
      </c>
      <c r="O147" s="16" t="s">
        <v>126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126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112</v>
      </c>
      <c r="N149" s="16" t="s">
        <v>90</v>
      </c>
      <c r="O149" s="16" t="s">
        <v>126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126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21</v>
      </c>
      <c r="M151" s="16" t="s">
        <v>112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127</v>
      </c>
      <c r="N152" s="16" t="s">
        <v>126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126</v>
      </c>
      <c r="L153" s="16" t="s">
        <v>35</v>
      </c>
      <c r="M153" s="16" t="s">
        <v>91</v>
      </c>
      <c r="N153" s="16" t="s">
        <v>37</v>
      </c>
      <c r="O153" s="16" t="s">
        <v>126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126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112</v>
      </c>
      <c r="N157" s="16" t="s">
        <v>112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126</v>
      </c>
      <c r="M159" s="16" t="s">
        <v>112</v>
      </c>
      <c r="N159" s="16" t="s">
        <v>126</v>
      </c>
      <c r="O159" s="16" t="s">
        <v>126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89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126</v>
      </c>
      <c r="L162" s="16" t="s">
        <v>127</v>
      </c>
      <c r="M162" s="16" t="s">
        <v>127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112</v>
      </c>
      <c r="N163" s="16" t="s">
        <v>37</v>
      </c>
      <c r="O163" s="16" t="s">
        <v>126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126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127</v>
      </c>
      <c r="M166" s="16" t="s">
        <v>112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126</v>
      </c>
      <c r="L168" s="16" t="s">
        <v>35</v>
      </c>
      <c r="M168" s="16" t="s">
        <v>91</v>
      </c>
      <c r="N168" s="16" t="s">
        <v>91</v>
      </c>
      <c r="O168" s="16" t="s">
        <v>126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127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112</v>
      </c>
      <c r="N171" s="16" t="s">
        <v>35</v>
      </c>
      <c r="O171" s="16" t="s">
        <v>126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89</v>
      </c>
      <c r="N172" s="16" t="s">
        <v>126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112</v>
      </c>
      <c r="N173" s="16" t="s">
        <v>35</v>
      </c>
      <c r="O173" s="16" t="s">
        <v>126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126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127</v>
      </c>
      <c r="N175" s="16" t="s">
        <v>19</v>
      </c>
      <c r="O175" s="16" t="s">
        <v>126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126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112</v>
      </c>
      <c r="N177" s="16" t="s">
        <v>35</v>
      </c>
      <c r="O177" s="16" t="s">
        <v>126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126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112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127</v>
      </c>
      <c r="N181" s="16" t="s">
        <v>112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112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126</v>
      </c>
      <c r="M183" s="16" t="s">
        <v>127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112</v>
      </c>
      <c r="N184" s="16" t="s">
        <v>126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112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126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126</v>
      </c>
      <c r="M188" s="16" t="s">
        <v>127</v>
      </c>
      <c r="N188" s="16" t="s">
        <v>126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126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112</v>
      </c>
      <c r="M190" s="16" t="s">
        <v>112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35</v>
      </c>
      <c r="M192" s="16" t="s">
        <v>127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112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126</v>
      </c>
      <c r="L194" s="16" t="s">
        <v>37</v>
      </c>
      <c r="M194" s="16" t="s">
        <v>92</v>
      </c>
      <c r="N194" s="16" t="s">
        <v>20</v>
      </c>
      <c r="O194" s="16" t="s">
        <v>126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127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126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22</v>
      </c>
      <c r="M200" s="16" t="s">
        <v>127</v>
      </c>
      <c r="N200" s="16" t="s">
        <v>92</v>
      </c>
      <c r="O200" s="16" t="s">
        <v>126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126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112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3" priority="42">
      <formula>_xlfn.LET(_xlpm.x, W4, AND(NOT(_xlfn.ISFORMULA(_xlpm.x)), _xlpm.x&lt;&gt;""))</formula>
    </cfRule>
  </conditionalFormatting>
  <conditionalFormatting sqref="W4:AA203">
    <cfRule type="expression" dxfId="72" priority="37">
      <formula>_xlfn.LET(_xlpm.x, W4, AND(NOT(_xlfn.ISFORMULA(_xlpm.x)), _xlpm.x&lt;&gt;""))</formula>
    </cfRule>
  </conditionalFormatting>
  <conditionalFormatting sqref="K1:O1048576">
    <cfRule type="cellIs" dxfId="71" priority="29" operator="equal">
      <formula>"C1"</formula>
    </cfRule>
    <cfRule type="cellIs" dxfId="70" priority="30" operator="between">
      <formula>"G1"</formula>
      <formula>"G5"</formula>
    </cfRule>
    <cfRule type="cellIs" dxfId="69" priority="32" operator="between">
      <formula>"M1"</formula>
      <formula>"M5"</formula>
    </cfRule>
  </conditionalFormatting>
  <conditionalFormatting sqref="D52:D54">
    <cfRule type="cellIs" dxfId="68" priority="10" operator="equal">
      <formula>"C1"</formula>
    </cfRule>
    <cfRule type="cellIs" dxfId="67" priority="11" operator="between">
      <formula>"G1"</formula>
      <formula>"G4"</formula>
    </cfRule>
    <cfRule type="cellIs" dxfId="66" priority="12" operator="between">
      <formula>"GA"</formula>
      <formula>"GQ"</formula>
    </cfRule>
    <cfRule type="cellIs" dxfId="65" priority="13" operator="between">
      <formula>"M1"</formula>
      <formula>"M4"</formula>
    </cfRule>
  </conditionalFormatting>
  <conditionalFormatting sqref="E52:E54">
    <cfRule type="cellIs" dxfId="64" priority="6" operator="equal">
      <formula>"C1"</formula>
    </cfRule>
    <cfRule type="cellIs" dxfId="63" priority="7" operator="between">
      <formula>"G1"</formula>
      <formula>"G4"</formula>
    </cfRule>
    <cfRule type="cellIs" dxfId="62" priority="8" operator="between">
      <formula>"GA"</formula>
      <formula>"GQ"</formula>
    </cfRule>
    <cfRule type="cellIs" dxfId="61" priority="9" operator="between">
      <formula>"M1"</formula>
      <formula>"M4"</formula>
    </cfRule>
  </conditionalFormatting>
  <conditionalFormatting sqref="F52:F54">
    <cfRule type="cellIs" dxfId="60" priority="2" operator="equal">
      <formula>"C1"</formula>
    </cfRule>
    <cfRule type="cellIs" dxfId="59" priority="3" operator="between">
      <formula>"G1"</formula>
      <formula>"G4"</formula>
    </cfRule>
    <cfRule type="cellIs" dxfId="58" priority="4" operator="between">
      <formula>"GA"</formula>
      <formula>"GQ"</formula>
    </cfRule>
    <cfRule type="cellIs" dxfId="57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{AF24A4CC-2208-40AA-8A1B-06328FF9B097}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{668B989A-80FD-4E32-9780-2D27EE29E6D4}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24A4CC-2208-40AA-8A1B-06328FF9B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68B989A-80FD-4E32-9780-2D27EE29E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A92EDE66-5047-4AC0-BF85-77C2DC95FA81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126</v>
      </c>
      <c r="M4" s="26" t="s">
        <v>127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5</v>
      </c>
      <c r="D5" s="99">
        <f t="shared" si="0"/>
        <v>5</v>
      </c>
      <c r="E5" s="99">
        <f t="shared" si="0"/>
        <v>0</v>
      </c>
      <c r="F5" s="99">
        <f t="shared" si="0"/>
        <v>8</v>
      </c>
      <c r="G5" s="99">
        <f t="shared" si="0"/>
        <v>8</v>
      </c>
      <c r="H5" s="8">
        <v>1</v>
      </c>
      <c r="I5" s="87"/>
      <c r="J5" s="9">
        <v>1</v>
      </c>
      <c r="K5" s="16" t="s">
        <v>126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3</v>
      </c>
      <c r="D6" s="131">
        <f t="shared" si="0"/>
        <v>10</v>
      </c>
      <c r="E6" s="131">
        <f t="shared" si="0"/>
        <v>0</v>
      </c>
      <c r="F6" s="131">
        <f t="shared" si="0"/>
        <v>3</v>
      </c>
      <c r="G6" s="131">
        <f t="shared" si="0"/>
        <v>9</v>
      </c>
      <c r="H6" s="110">
        <v>2</v>
      </c>
      <c r="I6" s="87"/>
      <c r="J6" s="25">
        <v>2</v>
      </c>
      <c r="K6" s="16" t="s">
        <v>19</v>
      </c>
      <c r="L6" s="16" t="s">
        <v>126</v>
      </c>
      <c r="M6" s="16" t="s">
        <v>127</v>
      </c>
      <c r="N6" s="16" t="s">
        <v>35</v>
      </c>
      <c r="O6" s="16" t="s">
        <v>126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3</v>
      </c>
      <c r="D7" s="131">
        <f t="shared" si="0"/>
        <v>13</v>
      </c>
      <c r="E7" s="131">
        <f t="shared" si="0"/>
        <v>0</v>
      </c>
      <c r="F7" s="131">
        <f t="shared" si="0"/>
        <v>3</v>
      </c>
      <c r="G7" s="131">
        <f t="shared" si="0"/>
        <v>8</v>
      </c>
      <c r="H7" s="110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6" t="str">
        <v>C1</v>
      </c>
      <c r="AD7" s="136">
        <v>1</v>
      </c>
      <c r="AE7" s="136">
        <v>1</v>
      </c>
      <c r="AF7" s="136">
        <v>0</v>
      </c>
      <c r="AG7" s="136">
        <v>1</v>
      </c>
      <c r="AH7" s="136">
        <v>1</v>
      </c>
      <c r="AI7" s="5"/>
      <c r="AJ7" s="136" t="str">
        <v>C1</v>
      </c>
      <c r="AK7" s="136">
        <v>1</v>
      </c>
      <c r="AL7" s="136">
        <v>1</v>
      </c>
      <c r="AM7" s="136">
        <v>0</v>
      </c>
      <c r="AN7" s="136">
        <v>1</v>
      </c>
      <c r="AO7" s="136">
        <v>1</v>
      </c>
    </row>
    <row r="8" spans="1:41" ht="15.9" customHeight="1">
      <c r="A8" s="131" t="str">
        <v>M3</v>
      </c>
      <c r="B8" s="110" t="str">
        <v>M3</v>
      </c>
      <c r="C8" s="131">
        <f t="shared" si="0"/>
        <v>7</v>
      </c>
      <c r="D8" s="131">
        <f t="shared" si="0"/>
        <v>14</v>
      </c>
      <c r="E8" s="131">
        <f t="shared" si="0"/>
        <v>0</v>
      </c>
      <c r="F8" s="131">
        <f t="shared" si="0"/>
        <v>7</v>
      </c>
      <c r="G8" s="131">
        <f t="shared" si="0"/>
        <v>14</v>
      </c>
      <c r="H8" s="110">
        <v>4</v>
      </c>
      <c r="I8" s="87"/>
      <c r="J8" s="25">
        <v>4</v>
      </c>
      <c r="K8" s="16" t="s">
        <v>126</v>
      </c>
      <c r="L8" s="16" t="s">
        <v>37</v>
      </c>
      <c r="M8" s="16" t="s">
        <v>112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2" t="str">
        <v>M1</v>
      </c>
      <c r="AD8" s="131">
        <v>3</v>
      </c>
      <c r="AE8" s="131">
        <v>10</v>
      </c>
      <c r="AF8" s="131">
        <v>0</v>
      </c>
      <c r="AG8" s="131">
        <v>3</v>
      </c>
      <c r="AH8" s="131">
        <v>9</v>
      </c>
      <c r="AI8" s="5"/>
      <c r="AJ8" s="152" t="str">
        <v>M1</v>
      </c>
      <c r="AK8" s="131">
        <v>3</v>
      </c>
      <c r="AL8" s="131">
        <v>10</v>
      </c>
      <c r="AM8" s="131">
        <v>0</v>
      </c>
      <c r="AN8" s="131">
        <v>3</v>
      </c>
      <c r="AO8" s="131">
        <v>9</v>
      </c>
    </row>
    <row r="9" spans="1:41" ht="15.9" customHeight="1">
      <c r="A9" s="131" t="str">
        <v>M4</v>
      </c>
      <c r="B9" s="110" t="str">
        <v>M4</v>
      </c>
      <c r="C9" s="131">
        <f t="shared" si="0"/>
        <v>42</v>
      </c>
      <c r="D9" s="131">
        <f t="shared" si="0"/>
        <v>25</v>
      </c>
      <c r="E9" s="131">
        <f t="shared" si="0"/>
        <v>0</v>
      </c>
      <c r="F9" s="131">
        <f t="shared" si="0"/>
        <v>33</v>
      </c>
      <c r="G9" s="131">
        <f t="shared" si="0"/>
        <v>34</v>
      </c>
      <c r="H9" s="110">
        <v>5</v>
      </c>
      <c r="I9" s="87"/>
      <c r="J9" s="9">
        <v>5</v>
      </c>
      <c r="K9" s="16" t="s">
        <v>19</v>
      </c>
      <c r="L9" s="16" t="s">
        <v>34</v>
      </c>
      <c r="M9" s="16" t="s">
        <v>89</v>
      </c>
      <c r="N9" s="16" t="s">
        <v>127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2" t="str">
        <v>M2</v>
      </c>
      <c r="AD9" s="131">
        <v>3</v>
      </c>
      <c r="AE9" s="131">
        <v>13</v>
      </c>
      <c r="AF9" s="131">
        <v>0</v>
      </c>
      <c r="AG9" s="131">
        <v>3</v>
      </c>
      <c r="AH9" s="131">
        <v>8</v>
      </c>
      <c r="AI9" s="5"/>
      <c r="AJ9" s="152" t="str">
        <v>M2</v>
      </c>
      <c r="AK9" s="131">
        <v>3</v>
      </c>
      <c r="AL9" s="131">
        <v>13</v>
      </c>
      <c r="AM9" s="131">
        <v>0</v>
      </c>
      <c r="AN9" s="131">
        <v>3</v>
      </c>
      <c r="AO9" s="131">
        <v>8</v>
      </c>
    </row>
    <row r="10" spans="1:41" ht="15.9" customHeight="1">
      <c r="A10" s="131" t="str">
        <v>M5</v>
      </c>
      <c r="B10" s="110" t="str">
        <v>M5</v>
      </c>
      <c r="C10" s="131">
        <f t="shared" si="0"/>
        <v>42</v>
      </c>
      <c r="D10" s="131">
        <f t="shared" si="0"/>
        <v>25</v>
      </c>
      <c r="E10" s="131">
        <f t="shared" si="0"/>
        <v>0</v>
      </c>
      <c r="F10" s="131">
        <f t="shared" si="0"/>
        <v>34</v>
      </c>
      <c r="G10" s="131">
        <f t="shared" si="0"/>
        <v>34</v>
      </c>
      <c r="H10" s="110">
        <v>6</v>
      </c>
      <c r="I10" s="87"/>
      <c r="J10" s="25">
        <v>6</v>
      </c>
      <c r="K10" s="16" t="s">
        <v>37</v>
      </c>
      <c r="L10" s="16" t="s">
        <v>97</v>
      </c>
      <c r="M10" s="16" t="s">
        <v>112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2" t="str">
        <v>M3</v>
      </c>
      <c r="AD10" s="131">
        <v>7</v>
      </c>
      <c r="AE10" s="131">
        <v>14</v>
      </c>
      <c r="AF10" s="131">
        <v>0</v>
      </c>
      <c r="AG10" s="131">
        <v>7</v>
      </c>
      <c r="AH10" s="131">
        <v>14</v>
      </c>
      <c r="AI10" s="5"/>
      <c r="AJ10" s="152" t="str">
        <v>M3</v>
      </c>
      <c r="AK10" s="131">
        <v>7</v>
      </c>
      <c r="AL10" s="131">
        <v>14</v>
      </c>
      <c r="AM10" s="131">
        <v>0</v>
      </c>
      <c r="AN10" s="131">
        <v>7</v>
      </c>
      <c r="AO10" s="131">
        <v>14</v>
      </c>
    </row>
    <row r="11" spans="1:41" ht="15.9" customHeight="1">
      <c r="A11" s="131" t="str">
        <v>A</v>
      </c>
      <c r="B11" s="110" t="str">
        <v>A</v>
      </c>
      <c r="C11" s="131">
        <f t="shared" si="0"/>
        <v>42</v>
      </c>
      <c r="D11" s="131">
        <f t="shared" si="0"/>
        <v>29</v>
      </c>
      <c r="E11" s="131">
        <f t="shared" si="0"/>
        <v>0</v>
      </c>
      <c r="F11" s="131">
        <f t="shared" si="0"/>
        <v>33</v>
      </c>
      <c r="G11" s="131">
        <f t="shared" si="0"/>
        <v>33</v>
      </c>
      <c r="H11" s="110">
        <v>7</v>
      </c>
      <c r="I11" s="87"/>
      <c r="J11" s="9">
        <v>7</v>
      </c>
      <c r="K11" s="16" t="s">
        <v>19</v>
      </c>
      <c r="L11" s="16" t="s">
        <v>19</v>
      </c>
      <c r="M11" s="16" t="s">
        <v>127</v>
      </c>
      <c r="N11" s="16" t="s">
        <v>126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2" t="str">
        <v>M4</v>
      </c>
      <c r="AD11" s="131">
        <v>42</v>
      </c>
      <c r="AE11" s="131">
        <v>25</v>
      </c>
      <c r="AF11" s="131">
        <v>0</v>
      </c>
      <c r="AG11" s="131">
        <v>33</v>
      </c>
      <c r="AH11" s="131">
        <v>34</v>
      </c>
      <c r="AI11" s="5"/>
      <c r="AJ11" s="152" t="str">
        <v>M4</v>
      </c>
      <c r="AK11" s="131">
        <v>42</v>
      </c>
      <c r="AL11" s="131">
        <v>25</v>
      </c>
      <c r="AM11" s="131">
        <v>0</v>
      </c>
      <c r="AN11" s="131">
        <v>33</v>
      </c>
      <c r="AO11" s="131">
        <v>34</v>
      </c>
    </row>
    <row r="12" spans="1:41" ht="15.9" customHeight="1">
      <c r="A12" s="131" t="str">
        <v>K</v>
      </c>
      <c r="B12" s="110" t="str">
        <v>K</v>
      </c>
      <c r="C12" s="131">
        <f t="shared" si="0"/>
        <v>43</v>
      </c>
      <c r="D12" s="131">
        <f t="shared" si="0"/>
        <v>26</v>
      </c>
      <c r="E12" s="131">
        <f t="shared" si="0"/>
        <v>0</v>
      </c>
      <c r="F12" s="131">
        <f t="shared" si="0"/>
        <v>34</v>
      </c>
      <c r="G12" s="131">
        <f t="shared" si="0"/>
        <v>33</v>
      </c>
      <c r="H12" s="110">
        <v>8</v>
      </c>
      <c r="I12" s="87"/>
      <c r="J12" s="25">
        <v>8</v>
      </c>
      <c r="K12" s="16" t="s">
        <v>126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2" t="str">
        <v>M5</v>
      </c>
      <c r="AD12" s="131">
        <v>42</v>
      </c>
      <c r="AE12" s="131">
        <v>25</v>
      </c>
      <c r="AF12" s="131">
        <v>0</v>
      </c>
      <c r="AG12" s="131">
        <v>34</v>
      </c>
      <c r="AH12" s="131">
        <v>34</v>
      </c>
      <c r="AI12" s="5"/>
      <c r="AJ12" s="152" t="str">
        <v>M5</v>
      </c>
      <c r="AK12" s="131">
        <v>42</v>
      </c>
      <c r="AL12" s="131">
        <v>25</v>
      </c>
      <c r="AM12" s="131">
        <v>0</v>
      </c>
      <c r="AN12" s="131">
        <v>34</v>
      </c>
      <c r="AO12" s="131">
        <v>34</v>
      </c>
    </row>
    <row r="13" spans="1:41" ht="15.9" customHeight="1">
      <c r="A13" s="131" t="str">
        <v>Q</v>
      </c>
      <c r="B13" s="110" t="str">
        <v>Q</v>
      </c>
      <c r="C13" s="131">
        <f t="shared" si="0"/>
        <v>7</v>
      </c>
      <c r="D13" s="131">
        <f t="shared" si="0"/>
        <v>13</v>
      </c>
      <c r="E13" s="131">
        <f t="shared" si="0"/>
        <v>0</v>
      </c>
      <c r="F13" s="131">
        <f t="shared" si="0"/>
        <v>6</v>
      </c>
      <c r="G13" s="131">
        <f t="shared" si="0"/>
        <v>13</v>
      </c>
      <c r="H13" s="110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126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2" t="str">
        <v>A</v>
      </c>
      <c r="AD13" s="131">
        <v>42</v>
      </c>
      <c r="AE13" s="131">
        <v>29</v>
      </c>
      <c r="AF13" s="131">
        <v>0</v>
      </c>
      <c r="AG13" s="131">
        <v>33</v>
      </c>
      <c r="AH13" s="131">
        <v>33</v>
      </c>
      <c r="AI13" s="5"/>
      <c r="AJ13" s="152" t="str">
        <v>A</v>
      </c>
      <c r="AK13" s="131">
        <v>42</v>
      </c>
      <c r="AL13" s="131">
        <v>29</v>
      </c>
      <c r="AM13" s="131">
        <v>0</v>
      </c>
      <c r="AN13" s="131">
        <v>33</v>
      </c>
      <c r="AO13" s="131">
        <v>33</v>
      </c>
    </row>
    <row r="14" spans="1:41" ht="15.9" customHeight="1">
      <c r="A14" s="131" t="str">
        <v>J</v>
      </c>
      <c r="B14" s="110" t="str">
        <v>J</v>
      </c>
      <c r="C14" s="131">
        <f t="shared" si="0"/>
        <v>6</v>
      </c>
      <c r="D14" s="131">
        <f t="shared" si="0"/>
        <v>8</v>
      </c>
      <c r="E14" s="131">
        <f t="shared" si="0"/>
        <v>0</v>
      </c>
      <c r="F14" s="131">
        <f t="shared" si="0"/>
        <v>7</v>
      </c>
      <c r="G14" s="131">
        <f t="shared" si="0"/>
        <v>14</v>
      </c>
      <c r="H14" s="110">
        <v>10</v>
      </c>
      <c r="I14" s="87"/>
      <c r="J14" s="25">
        <v>10</v>
      </c>
      <c r="K14" s="16" t="s">
        <v>19</v>
      </c>
      <c r="L14" s="16" t="s">
        <v>20</v>
      </c>
      <c r="M14" s="16" t="s">
        <v>112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2" t="str">
        <v>K</v>
      </c>
      <c r="AD14" s="131">
        <v>43</v>
      </c>
      <c r="AE14" s="131">
        <v>26</v>
      </c>
      <c r="AF14" s="131">
        <v>0</v>
      </c>
      <c r="AG14" s="131">
        <v>34</v>
      </c>
      <c r="AH14" s="131">
        <v>33</v>
      </c>
      <c r="AI14" s="5"/>
      <c r="AJ14" s="152" t="str">
        <v>K</v>
      </c>
      <c r="AK14" s="131">
        <v>43</v>
      </c>
      <c r="AL14" s="131">
        <v>26</v>
      </c>
      <c r="AM14" s="131">
        <v>0</v>
      </c>
      <c r="AN14" s="131">
        <v>34</v>
      </c>
      <c r="AO14" s="131">
        <v>33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2" t="str">
        <v>Q</v>
      </c>
      <c r="AD15" s="131">
        <v>7</v>
      </c>
      <c r="AE15" s="131">
        <v>13</v>
      </c>
      <c r="AF15" s="131">
        <v>0</v>
      </c>
      <c r="AG15" s="131">
        <v>6</v>
      </c>
      <c r="AH15" s="131">
        <v>13</v>
      </c>
      <c r="AI15" s="5"/>
      <c r="AJ15" s="152" t="str">
        <v>Q</v>
      </c>
      <c r="AK15" s="131">
        <v>7</v>
      </c>
      <c r="AL15" s="131">
        <v>13</v>
      </c>
      <c r="AM15" s="131">
        <v>0</v>
      </c>
      <c r="AN15" s="131">
        <v>6</v>
      </c>
      <c r="AO15" s="131">
        <v>13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2</v>
      </c>
      <c r="E16" s="99">
        <f t="shared" si="0"/>
        <v>6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126</v>
      </c>
      <c r="M16" s="16" t="s">
        <v>112</v>
      </c>
      <c r="N16" s="16" t="s">
        <v>127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2" t="str">
        <v>J</v>
      </c>
      <c r="AD16" s="131">
        <v>6</v>
      </c>
      <c r="AE16" s="131">
        <v>8</v>
      </c>
      <c r="AF16" s="131">
        <v>0</v>
      </c>
      <c r="AG16" s="131">
        <v>7</v>
      </c>
      <c r="AH16" s="131">
        <v>14</v>
      </c>
      <c r="AI16" s="5"/>
      <c r="AJ16" s="152" t="str">
        <v>J</v>
      </c>
      <c r="AK16" s="131">
        <v>6</v>
      </c>
      <c r="AL16" s="131">
        <v>8</v>
      </c>
      <c r="AM16" s="131">
        <v>0</v>
      </c>
      <c r="AN16" s="131">
        <v>7</v>
      </c>
      <c r="AO16" s="131">
        <v>14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2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127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6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6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5</v>
      </c>
      <c r="E18" s="99">
        <f t="shared" si="0"/>
        <v>42</v>
      </c>
      <c r="F18" s="99">
        <f t="shared" si="0"/>
        <v>7</v>
      </c>
      <c r="G18" s="99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127</v>
      </c>
      <c r="O18" s="16" t="s">
        <v>126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6" t="str">
        <v>G2</v>
      </c>
      <c r="AD18" s="99">
        <v>0</v>
      </c>
      <c r="AE18" s="99">
        <v>3</v>
      </c>
      <c r="AF18" s="99">
        <v>1</v>
      </c>
      <c r="AG18" s="99">
        <v>2</v>
      </c>
      <c r="AH18" s="99">
        <v>0</v>
      </c>
      <c r="AI18" s="5"/>
      <c r="AJ18" s="136" t="str">
        <v>G2</v>
      </c>
      <c r="AK18" s="99">
        <v>0</v>
      </c>
      <c r="AL18" s="99">
        <v>3</v>
      </c>
      <c r="AM18" s="99">
        <v>1</v>
      </c>
      <c r="AN18" s="99">
        <v>2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42</v>
      </c>
      <c r="F19" s="99">
        <f t="shared" si="0"/>
        <v>6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112</v>
      </c>
      <c r="M19" s="16" t="s">
        <v>112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6" t="str">
        <v>G3</v>
      </c>
      <c r="AD19" s="99">
        <v>0</v>
      </c>
      <c r="AE19" s="99">
        <v>3</v>
      </c>
      <c r="AF19" s="99">
        <v>8</v>
      </c>
      <c r="AG19" s="99">
        <v>3</v>
      </c>
      <c r="AH19" s="99">
        <v>0</v>
      </c>
      <c r="AI19" s="5"/>
      <c r="AJ19" s="136" t="str">
        <v>G3</v>
      </c>
      <c r="AK19" s="99">
        <v>0</v>
      </c>
      <c r="AL19" s="99">
        <v>3</v>
      </c>
      <c r="AM19" s="99">
        <v>8</v>
      </c>
      <c r="AN19" s="99">
        <v>3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126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6" t="str">
        <v>G4</v>
      </c>
      <c r="AD20" s="99">
        <v>0</v>
      </c>
      <c r="AE20" s="99">
        <v>6</v>
      </c>
      <c r="AF20" s="99">
        <v>42</v>
      </c>
      <c r="AG20" s="99">
        <v>8</v>
      </c>
      <c r="AH20" s="99">
        <v>0</v>
      </c>
      <c r="AI20" s="5"/>
      <c r="AJ20" s="136" t="str">
        <v>G4</v>
      </c>
      <c r="AK20" s="99">
        <v>0</v>
      </c>
      <c r="AL20" s="99">
        <v>6</v>
      </c>
      <c r="AM20" s="99">
        <v>42</v>
      </c>
      <c r="AN20" s="99">
        <v>8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5</v>
      </c>
      <c r="E21" s="99">
        <f t="shared" si="0"/>
        <v>42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112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6" t="str">
        <v>G5</v>
      </c>
      <c r="AD21" s="99">
        <v>0</v>
      </c>
      <c r="AE21" s="99">
        <v>6</v>
      </c>
      <c r="AF21" s="99">
        <v>42</v>
      </c>
      <c r="AG21" s="99">
        <v>7</v>
      </c>
      <c r="AH21" s="99">
        <v>0</v>
      </c>
      <c r="AI21" s="5"/>
      <c r="AJ21" s="136" t="str">
        <v>G5</v>
      </c>
      <c r="AK21" s="99">
        <v>0</v>
      </c>
      <c r="AL21" s="99">
        <v>6</v>
      </c>
      <c r="AM21" s="99">
        <v>42</v>
      </c>
      <c r="AN21" s="99">
        <v>7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2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126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6" t="str">
        <v>GA</v>
      </c>
      <c r="AD22" s="99">
        <v>0</v>
      </c>
      <c r="AE22" s="99">
        <v>8</v>
      </c>
      <c r="AF22" s="99">
        <v>42</v>
      </c>
      <c r="AG22" s="99">
        <v>7</v>
      </c>
      <c r="AH22" s="99">
        <v>0</v>
      </c>
      <c r="AI22" s="5"/>
      <c r="AJ22" s="136" t="str">
        <v>GA</v>
      </c>
      <c r="AK22" s="99">
        <v>0</v>
      </c>
      <c r="AL22" s="99">
        <v>8</v>
      </c>
      <c r="AM22" s="99">
        <v>42</v>
      </c>
      <c r="AN22" s="99">
        <v>7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126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6" t="str">
        <v>GK</v>
      </c>
      <c r="AD23" s="99">
        <v>0</v>
      </c>
      <c r="AE23" s="99">
        <v>6</v>
      </c>
      <c r="AF23" s="99">
        <v>42</v>
      </c>
      <c r="AG23" s="99">
        <v>7</v>
      </c>
      <c r="AH23" s="99">
        <v>0</v>
      </c>
      <c r="AI23" s="5"/>
      <c r="AJ23" s="136" t="str">
        <v>GK</v>
      </c>
      <c r="AK23" s="99">
        <v>0</v>
      </c>
      <c r="AL23" s="99">
        <v>6</v>
      </c>
      <c r="AM23" s="99">
        <v>42</v>
      </c>
      <c r="AN23" s="99">
        <v>7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6" t="str">
        <v>GQ</v>
      </c>
      <c r="AD24" s="99">
        <v>0</v>
      </c>
      <c r="AE24" s="99">
        <v>3</v>
      </c>
      <c r="AF24" s="99">
        <v>6</v>
      </c>
      <c r="AG24" s="99">
        <v>2</v>
      </c>
      <c r="AH24" s="99">
        <v>0</v>
      </c>
      <c r="AI24" s="5"/>
      <c r="AJ24" s="136" t="str">
        <v>GQ</v>
      </c>
      <c r="AK24" s="99">
        <v>0</v>
      </c>
      <c r="AL24" s="99">
        <v>3</v>
      </c>
      <c r="AM24" s="99">
        <v>6</v>
      </c>
      <c r="AN24" s="99">
        <v>2</v>
      </c>
      <c r="AO24" s="99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127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6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6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0.84</v>
      </c>
      <c r="E26" s="179">
        <f t="shared" si="1"/>
        <v>0</v>
      </c>
      <c r="F26" s="179">
        <f t="shared" si="1"/>
        <v>0.84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36</v>
      </c>
      <c r="M26" s="16" t="s">
        <v>88</v>
      </c>
      <c r="N26" s="16" t="s">
        <v>126</v>
      </c>
      <c r="O26" s="16" t="s">
        <v>126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1">
        <f>SUM(AD6:AD25)</f>
        <v>196</v>
      </c>
      <c r="AE26" s="111">
        <f>SUM(AE6:AE25)</f>
        <v>205</v>
      </c>
      <c r="AF26" s="111">
        <f>SUM(AF6:AF25)</f>
        <v>195</v>
      </c>
      <c r="AG26" s="111">
        <f>SUM(AG6:AG25)</f>
        <v>202</v>
      </c>
      <c r="AH26" s="111">
        <f>SUM(AH6:AH25)</f>
        <v>193</v>
      </c>
      <c r="AI26" s="5"/>
      <c r="AK26" s="111">
        <f>SUM(AK6:AK25)</f>
        <v>196</v>
      </c>
      <c r="AL26" s="111">
        <f>SUM(AL6:AL25)</f>
        <v>205</v>
      </c>
      <c r="AM26" s="111">
        <f>SUM(AM6:AM25)</f>
        <v>195</v>
      </c>
      <c r="AN26" s="111">
        <f>SUM(AN6:AN25)</f>
        <v>202</v>
      </c>
      <c r="AO26" s="111">
        <f>SUM(AO6:AO25)</f>
        <v>193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0.16</v>
      </c>
      <c r="E27" s="179">
        <f t="shared" si="2"/>
        <v>1</v>
      </c>
      <c r="F27" s="179">
        <f t="shared" si="2"/>
        <v>0.16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19</v>
      </c>
      <c r="M27" s="16" t="s">
        <v>127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37</v>
      </c>
      <c r="L29" s="16" t="s">
        <v>35</v>
      </c>
      <c r="M29" s="16" t="s">
        <v>127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126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6" t="str">
        <v>C1</v>
      </c>
      <c r="AD31" s="136">
        <v>1</v>
      </c>
      <c r="AE31" s="136">
        <v>1</v>
      </c>
      <c r="AF31" s="136">
        <v>0</v>
      </c>
      <c r="AG31" s="136">
        <v>1</v>
      </c>
      <c r="AH31" s="136">
        <v>1</v>
      </c>
      <c r="AI31" s="5"/>
      <c r="AJ31" s="136" t="str">
        <v>C1</v>
      </c>
      <c r="AK31" s="136">
        <v>1</v>
      </c>
      <c r="AL31" s="136">
        <v>1</v>
      </c>
      <c r="AM31" s="136">
        <v>0</v>
      </c>
      <c r="AN31" s="136">
        <v>1</v>
      </c>
      <c r="AO31" s="136">
        <v>1</v>
      </c>
    </row>
    <row r="32" spans="1:41" ht="16.5" customHeight="1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126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2" t="str">
        <v>M1</v>
      </c>
      <c r="AD32" s="131">
        <v>3</v>
      </c>
      <c r="AE32" s="131">
        <v>10</v>
      </c>
      <c r="AF32" s="131">
        <v>0</v>
      </c>
      <c r="AG32" s="131">
        <v>3</v>
      </c>
      <c r="AH32" s="131">
        <v>9</v>
      </c>
      <c r="AI32" s="5"/>
      <c r="AJ32" s="152" t="str">
        <v>M1</v>
      </c>
      <c r="AK32" s="131">
        <v>3</v>
      </c>
      <c r="AL32" s="131">
        <v>10</v>
      </c>
      <c r="AM32" s="131">
        <v>0</v>
      </c>
      <c r="AN32" s="131">
        <v>3</v>
      </c>
      <c r="AO32" s="131">
        <v>9</v>
      </c>
    </row>
    <row r="33" spans="10:41" ht="16.5" customHeight="1">
      <c r="J33" s="9">
        <v>29</v>
      </c>
      <c r="K33" s="16" t="s">
        <v>126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2" t="str">
        <v>M2</v>
      </c>
      <c r="AD33" s="131">
        <v>3</v>
      </c>
      <c r="AE33" s="131">
        <v>13</v>
      </c>
      <c r="AF33" s="131">
        <v>0</v>
      </c>
      <c r="AG33" s="131">
        <v>3</v>
      </c>
      <c r="AH33" s="131">
        <v>8</v>
      </c>
      <c r="AI33" s="5"/>
      <c r="AJ33" s="152" t="str">
        <v>M2</v>
      </c>
      <c r="AK33" s="131">
        <v>3</v>
      </c>
      <c r="AL33" s="131">
        <v>13</v>
      </c>
      <c r="AM33" s="131">
        <v>0</v>
      </c>
      <c r="AN33" s="131">
        <v>3</v>
      </c>
      <c r="AO33" s="131">
        <v>8</v>
      </c>
    </row>
    <row r="34" spans="10:41" ht="16.5" customHeight="1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2" t="str">
        <v>M3</v>
      </c>
      <c r="AD34" s="131">
        <v>7</v>
      </c>
      <c r="AE34" s="131">
        <v>14</v>
      </c>
      <c r="AF34" s="131">
        <v>0</v>
      </c>
      <c r="AG34" s="131">
        <v>7</v>
      </c>
      <c r="AH34" s="131">
        <v>14</v>
      </c>
      <c r="AI34" s="5"/>
      <c r="AJ34" s="152" t="str">
        <v>M3</v>
      </c>
      <c r="AK34" s="131">
        <v>7</v>
      </c>
      <c r="AL34" s="131">
        <v>14</v>
      </c>
      <c r="AM34" s="131">
        <v>0</v>
      </c>
      <c r="AN34" s="131">
        <v>7</v>
      </c>
      <c r="AO34" s="131">
        <v>14</v>
      </c>
    </row>
    <row r="35" spans="10:41" ht="16.5" customHeight="1">
      <c r="J35" s="9">
        <v>31</v>
      </c>
      <c r="K35" s="16" t="s">
        <v>126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2" t="str">
        <v>M4</v>
      </c>
      <c r="AD35" s="131">
        <v>42</v>
      </c>
      <c r="AE35" s="131">
        <v>25</v>
      </c>
      <c r="AF35" s="131">
        <v>0</v>
      </c>
      <c r="AG35" s="131">
        <v>33</v>
      </c>
      <c r="AH35" s="131">
        <v>34</v>
      </c>
      <c r="AI35" s="5"/>
      <c r="AJ35" s="152" t="str">
        <v>M4</v>
      </c>
      <c r="AK35" s="131">
        <v>42</v>
      </c>
      <c r="AL35" s="131">
        <v>25</v>
      </c>
      <c r="AM35" s="131">
        <v>0</v>
      </c>
      <c r="AN35" s="131">
        <v>33</v>
      </c>
      <c r="AO35" s="131">
        <v>34</v>
      </c>
    </row>
    <row r="36" spans="10:41" ht="16.5" customHeight="1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126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2" t="str">
        <v>M5</v>
      </c>
      <c r="AD36" s="131">
        <v>42</v>
      </c>
      <c r="AE36" s="131">
        <v>25</v>
      </c>
      <c r="AF36" s="131">
        <v>0</v>
      </c>
      <c r="AG36" s="131">
        <v>34</v>
      </c>
      <c r="AH36" s="131">
        <v>34</v>
      </c>
      <c r="AI36" s="5"/>
      <c r="AJ36" s="152" t="str">
        <v>M5</v>
      </c>
      <c r="AK36" s="131">
        <v>42</v>
      </c>
      <c r="AL36" s="131">
        <v>25</v>
      </c>
      <c r="AM36" s="131">
        <v>0</v>
      </c>
      <c r="AN36" s="131">
        <v>34</v>
      </c>
      <c r="AO36" s="131">
        <v>34</v>
      </c>
    </row>
    <row r="37" spans="10:41" ht="16.5" customHeight="1">
      <c r="J37" s="9">
        <v>33</v>
      </c>
      <c r="K37" s="16" t="s">
        <v>35</v>
      </c>
      <c r="L37" s="16" t="s">
        <v>35</v>
      </c>
      <c r="M37" s="16" t="s">
        <v>112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2" t="str">
        <v>A</v>
      </c>
      <c r="AD37" s="131">
        <v>42</v>
      </c>
      <c r="AE37" s="131">
        <v>29</v>
      </c>
      <c r="AF37" s="131">
        <v>0</v>
      </c>
      <c r="AG37" s="131">
        <v>33</v>
      </c>
      <c r="AH37" s="131">
        <v>33</v>
      </c>
      <c r="AI37" s="5"/>
      <c r="AJ37" s="152" t="str">
        <v>A</v>
      </c>
      <c r="AK37" s="131">
        <v>42</v>
      </c>
      <c r="AL37" s="131">
        <v>29</v>
      </c>
      <c r="AM37" s="131">
        <v>0</v>
      </c>
      <c r="AN37" s="131">
        <v>33</v>
      </c>
      <c r="AO37" s="131">
        <v>33</v>
      </c>
    </row>
    <row r="38" spans="10:41" ht="16.5" customHeight="1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2" t="str">
        <v>K</v>
      </c>
      <c r="AD38" s="131">
        <v>43</v>
      </c>
      <c r="AE38" s="131">
        <v>26</v>
      </c>
      <c r="AF38" s="131">
        <v>0</v>
      </c>
      <c r="AG38" s="131">
        <v>34</v>
      </c>
      <c r="AH38" s="131">
        <v>33</v>
      </c>
      <c r="AI38" s="5"/>
      <c r="AJ38" s="152" t="str">
        <v>K</v>
      </c>
      <c r="AK38" s="131">
        <v>43</v>
      </c>
      <c r="AL38" s="131">
        <v>26</v>
      </c>
      <c r="AM38" s="131">
        <v>0</v>
      </c>
      <c r="AN38" s="131">
        <v>34</v>
      </c>
      <c r="AO38" s="131">
        <v>33</v>
      </c>
    </row>
    <row r="39" spans="10:41" ht="16.5" customHeight="1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2" t="str">
        <v>Q</v>
      </c>
      <c r="AD39" s="131">
        <v>7</v>
      </c>
      <c r="AE39" s="131">
        <v>13</v>
      </c>
      <c r="AF39" s="131">
        <v>0</v>
      </c>
      <c r="AG39" s="131">
        <v>6</v>
      </c>
      <c r="AH39" s="131">
        <v>13</v>
      </c>
      <c r="AI39" s="5"/>
      <c r="AJ39" s="152" t="str">
        <v>Q</v>
      </c>
      <c r="AK39" s="131">
        <v>7</v>
      </c>
      <c r="AL39" s="131">
        <v>13</v>
      </c>
      <c r="AM39" s="131">
        <v>0</v>
      </c>
      <c r="AN39" s="131">
        <v>6</v>
      </c>
      <c r="AO39" s="131">
        <v>13</v>
      </c>
    </row>
    <row r="40" spans="10:41" ht="16.5" customHeight="1">
      <c r="J40" s="25">
        <v>36</v>
      </c>
      <c r="K40" s="16" t="s">
        <v>37</v>
      </c>
      <c r="L40" s="16" t="s">
        <v>35</v>
      </c>
      <c r="M40" s="16" t="s">
        <v>89</v>
      </c>
      <c r="N40" s="16" t="s">
        <v>126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2" t="str">
        <v>J</v>
      </c>
      <c r="AD40" s="131">
        <v>6</v>
      </c>
      <c r="AE40" s="131">
        <v>8</v>
      </c>
      <c r="AF40" s="131">
        <v>0</v>
      </c>
      <c r="AG40" s="131">
        <v>7</v>
      </c>
      <c r="AH40" s="131">
        <v>14</v>
      </c>
      <c r="AI40" s="5"/>
      <c r="AJ40" s="152" t="str">
        <v>J</v>
      </c>
      <c r="AK40" s="131">
        <v>6</v>
      </c>
      <c r="AL40" s="131">
        <v>8</v>
      </c>
      <c r="AM40" s="131">
        <v>0</v>
      </c>
      <c r="AN40" s="131">
        <v>7</v>
      </c>
      <c r="AO40" s="131">
        <v>14</v>
      </c>
    </row>
    <row r="41" spans="10:41" ht="16.5" customHeight="1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6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6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6" t="str">
        <v>G2</v>
      </c>
      <c r="AD42" s="99">
        <v>0</v>
      </c>
      <c r="AE42" s="99">
        <v>3</v>
      </c>
      <c r="AF42" s="99">
        <v>1</v>
      </c>
      <c r="AG42" s="99">
        <v>2</v>
      </c>
      <c r="AH42" s="99">
        <v>0</v>
      </c>
      <c r="AI42" s="5"/>
      <c r="AJ42" s="136" t="str">
        <v>G2</v>
      </c>
      <c r="AK42" s="99">
        <v>0</v>
      </c>
      <c r="AL42" s="99">
        <v>3</v>
      </c>
      <c r="AM42" s="99">
        <v>1</v>
      </c>
      <c r="AN42" s="99">
        <v>2</v>
      </c>
      <c r="AO42" s="99">
        <v>0</v>
      </c>
    </row>
    <row r="43" spans="10:41" ht="16.5" customHeight="1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6" t="str">
        <v>G3</v>
      </c>
      <c r="AD43" s="99">
        <v>0</v>
      </c>
      <c r="AE43" s="99">
        <v>3</v>
      </c>
      <c r="AF43" s="99">
        <v>8</v>
      </c>
      <c r="AG43" s="99">
        <v>3</v>
      </c>
      <c r="AH43" s="99">
        <v>0</v>
      </c>
      <c r="AI43" s="5"/>
      <c r="AJ43" s="136" t="str">
        <v>G3</v>
      </c>
      <c r="AK43" s="99">
        <v>0</v>
      </c>
      <c r="AL43" s="99">
        <v>3</v>
      </c>
      <c r="AM43" s="99">
        <v>8</v>
      </c>
      <c r="AN43" s="99">
        <v>3</v>
      </c>
      <c r="AO43" s="99">
        <v>0</v>
      </c>
    </row>
    <row r="44" spans="10:41" ht="16.5" customHeight="1">
      <c r="J44" s="25">
        <v>40</v>
      </c>
      <c r="K44" s="16" t="s">
        <v>19</v>
      </c>
      <c r="L44" s="16" t="s">
        <v>19</v>
      </c>
      <c r="M44" s="16" t="s">
        <v>112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6" t="str">
        <v>G4</v>
      </c>
      <c r="AD44" s="99">
        <v>0</v>
      </c>
      <c r="AE44" s="99">
        <v>6</v>
      </c>
      <c r="AF44" s="99">
        <v>42</v>
      </c>
      <c r="AG44" s="99">
        <v>8</v>
      </c>
      <c r="AH44" s="99">
        <v>0</v>
      </c>
      <c r="AI44" s="5"/>
      <c r="AJ44" s="136" t="str">
        <v>G4</v>
      </c>
      <c r="AK44" s="99">
        <v>0</v>
      </c>
      <c r="AL44" s="99">
        <v>6</v>
      </c>
      <c r="AM44" s="99">
        <v>42</v>
      </c>
      <c r="AN44" s="99">
        <v>8</v>
      </c>
      <c r="AO44" s="99">
        <v>0</v>
      </c>
    </row>
    <row r="45" spans="10:41" ht="16.5" customHeight="1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6" t="str">
        <v>G5</v>
      </c>
      <c r="AD45" s="99">
        <v>0</v>
      </c>
      <c r="AE45" s="99">
        <v>6</v>
      </c>
      <c r="AF45" s="99">
        <v>42</v>
      </c>
      <c r="AG45" s="99">
        <v>7</v>
      </c>
      <c r="AH45" s="99">
        <v>0</v>
      </c>
      <c r="AI45" s="5"/>
      <c r="AJ45" s="136" t="str">
        <v>G5</v>
      </c>
      <c r="AK45" s="99">
        <v>0</v>
      </c>
      <c r="AL45" s="99">
        <v>6</v>
      </c>
      <c r="AM45" s="99">
        <v>42</v>
      </c>
      <c r="AN45" s="99">
        <v>7</v>
      </c>
      <c r="AO45" s="99">
        <v>0</v>
      </c>
    </row>
    <row r="46" spans="10:41" ht="16.5" customHeight="1">
      <c r="J46" s="25">
        <v>42</v>
      </c>
      <c r="K46" s="16" t="s">
        <v>19</v>
      </c>
      <c r="L46" s="16" t="s">
        <v>126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6" t="str">
        <v>GA</v>
      </c>
      <c r="AD46" s="99">
        <v>0</v>
      </c>
      <c r="AE46" s="99">
        <v>8</v>
      </c>
      <c r="AF46" s="99">
        <v>42</v>
      </c>
      <c r="AG46" s="99">
        <v>7</v>
      </c>
      <c r="AH46" s="99">
        <v>0</v>
      </c>
      <c r="AI46" s="5"/>
      <c r="AJ46" s="136" t="str">
        <v>GA</v>
      </c>
      <c r="AK46" s="99">
        <v>0</v>
      </c>
      <c r="AL46" s="99">
        <v>8</v>
      </c>
      <c r="AM46" s="99">
        <v>42</v>
      </c>
      <c r="AN46" s="99">
        <v>7</v>
      </c>
      <c r="AO46" s="99">
        <v>0</v>
      </c>
    </row>
    <row r="47" spans="10:41" ht="16.5" customHeight="1">
      <c r="J47" s="9">
        <v>43</v>
      </c>
      <c r="K47" s="16" t="s">
        <v>18</v>
      </c>
      <c r="L47" s="16" t="s">
        <v>35</v>
      </c>
      <c r="M47" s="16" t="s">
        <v>112</v>
      </c>
      <c r="N47" s="16" t="s">
        <v>37</v>
      </c>
      <c r="O47" s="16" t="s">
        <v>126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6" t="str">
        <v>GK</v>
      </c>
      <c r="AD47" s="99">
        <v>0</v>
      </c>
      <c r="AE47" s="99">
        <v>6</v>
      </c>
      <c r="AF47" s="99">
        <v>42</v>
      </c>
      <c r="AG47" s="99">
        <v>7</v>
      </c>
      <c r="AH47" s="99">
        <v>0</v>
      </c>
      <c r="AI47" s="5"/>
      <c r="AJ47" s="136" t="str">
        <v>GK</v>
      </c>
      <c r="AK47" s="99">
        <v>0</v>
      </c>
      <c r="AL47" s="99">
        <v>6</v>
      </c>
      <c r="AM47" s="99">
        <v>42</v>
      </c>
      <c r="AN47" s="99">
        <v>7</v>
      </c>
      <c r="AO47" s="99">
        <v>0</v>
      </c>
    </row>
    <row r="48" spans="10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126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6" t="str">
        <v>GQ</v>
      </c>
      <c r="AD48" s="99">
        <v>0</v>
      </c>
      <c r="AE48" s="99">
        <v>3</v>
      </c>
      <c r="AF48" s="99">
        <v>6</v>
      </c>
      <c r="AG48" s="99">
        <v>2</v>
      </c>
      <c r="AH48" s="99">
        <v>0</v>
      </c>
      <c r="AI48" s="5"/>
      <c r="AJ48" s="136" t="str">
        <v>GQ</v>
      </c>
      <c r="AK48" s="99">
        <v>0</v>
      </c>
      <c r="AL48" s="99">
        <v>3</v>
      </c>
      <c r="AM48" s="99">
        <v>6</v>
      </c>
      <c r="AN48" s="99">
        <v>2</v>
      </c>
      <c r="AO48" s="99">
        <v>0</v>
      </c>
    </row>
    <row r="49" spans="10:41" ht="16.5" customHeight="1">
      <c r="J49" s="9">
        <v>45</v>
      </c>
      <c r="K49" s="16" t="s">
        <v>126</v>
      </c>
      <c r="L49" s="16" t="s">
        <v>91</v>
      </c>
      <c r="M49" s="16" t="s">
        <v>112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6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6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1">
        <f>SUM(AD30:AD49)</f>
        <v>196</v>
      </c>
      <c r="AE50" s="111">
        <f>SUM(AE30:AE49)</f>
        <v>205</v>
      </c>
      <c r="AF50" s="111">
        <f>SUM(AF30:AF49)</f>
        <v>195</v>
      </c>
      <c r="AG50" s="111">
        <f>SUM(AG30:AG49)</f>
        <v>202</v>
      </c>
      <c r="AH50" s="111">
        <f>SUM(AH30:AH49)</f>
        <v>193</v>
      </c>
      <c r="AI50" s="5"/>
      <c r="AK50" s="111">
        <f>SUM(AK30:AK49)</f>
        <v>196</v>
      </c>
      <c r="AL50" s="111">
        <f>SUM(AL30:AL49)</f>
        <v>205</v>
      </c>
      <c r="AM50" s="111">
        <f>SUM(AM30:AM49)</f>
        <v>195</v>
      </c>
      <c r="AN50" s="111">
        <f>SUM(AN30:AN49)</f>
        <v>202</v>
      </c>
      <c r="AO50" s="111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126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112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127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126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35</v>
      </c>
      <c r="L55" s="16" t="s">
        <v>126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6" t="str">
        <v>C1</v>
      </c>
      <c r="AD55" s="136">
        <v>1</v>
      </c>
      <c r="AE55" s="136">
        <v>1</v>
      </c>
      <c r="AF55" s="136">
        <v>0</v>
      </c>
      <c r="AG55" s="136">
        <v>1</v>
      </c>
      <c r="AH55" s="136">
        <v>1</v>
      </c>
      <c r="AI55" s="5"/>
      <c r="AJ55" s="136" t="str">
        <v>C1</v>
      </c>
      <c r="AK55" s="136">
        <v>1</v>
      </c>
      <c r="AL55" s="136">
        <v>1</v>
      </c>
      <c r="AM55" s="136">
        <v>0</v>
      </c>
      <c r="AN55" s="136">
        <v>1</v>
      </c>
      <c r="AO55" s="136">
        <v>1</v>
      </c>
    </row>
    <row r="56" spans="10:41" ht="16.5" customHeight="1">
      <c r="J56" s="25">
        <v>52</v>
      </c>
      <c r="K56" s="16" t="s">
        <v>126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2" t="str">
        <v>M1</v>
      </c>
      <c r="AD56" s="131">
        <v>3</v>
      </c>
      <c r="AE56" s="131">
        <v>10</v>
      </c>
      <c r="AF56" s="131">
        <v>0</v>
      </c>
      <c r="AG56" s="131">
        <v>3</v>
      </c>
      <c r="AH56" s="131">
        <v>9</v>
      </c>
      <c r="AI56" s="5"/>
      <c r="AJ56" s="152" t="str">
        <v>M1</v>
      </c>
      <c r="AK56" s="131">
        <v>3</v>
      </c>
      <c r="AL56" s="131">
        <v>10</v>
      </c>
      <c r="AM56" s="131">
        <v>0</v>
      </c>
      <c r="AN56" s="131">
        <v>3</v>
      </c>
      <c r="AO56" s="131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126</v>
      </c>
      <c r="O57" s="16" t="s">
        <v>126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2" t="str">
        <v>M2</v>
      </c>
      <c r="AD57" s="131">
        <v>3</v>
      </c>
      <c r="AE57" s="131">
        <v>13</v>
      </c>
      <c r="AF57" s="131">
        <v>0</v>
      </c>
      <c r="AG57" s="131">
        <v>3</v>
      </c>
      <c r="AH57" s="131">
        <v>8</v>
      </c>
      <c r="AI57" s="5"/>
      <c r="AJ57" s="152" t="str">
        <v>M2</v>
      </c>
      <c r="AK57" s="131">
        <v>3</v>
      </c>
      <c r="AL57" s="131">
        <v>13</v>
      </c>
      <c r="AM57" s="131">
        <v>0</v>
      </c>
      <c r="AN57" s="131">
        <v>3</v>
      </c>
      <c r="AO57" s="131">
        <v>8</v>
      </c>
    </row>
    <row r="58" spans="10:41" ht="16.5" customHeight="1">
      <c r="J58" s="25">
        <v>54</v>
      </c>
      <c r="K58" s="16" t="s">
        <v>126</v>
      </c>
      <c r="L58" s="16" t="s">
        <v>36</v>
      </c>
      <c r="M58" s="16" t="s">
        <v>127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2" t="str">
        <v>M3</v>
      </c>
      <c r="AD58" s="131">
        <v>7</v>
      </c>
      <c r="AE58" s="131">
        <v>14</v>
      </c>
      <c r="AF58" s="131">
        <v>0</v>
      </c>
      <c r="AG58" s="131">
        <v>7</v>
      </c>
      <c r="AH58" s="131">
        <v>14</v>
      </c>
      <c r="AI58" s="5"/>
      <c r="AJ58" s="152" t="str">
        <v>M3</v>
      </c>
      <c r="AK58" s="131">
        <v>7</v>
      </c>
      <c r="AL58" s="131">
        <v>14</v>
      </c>
      <c r="AM58" s="131">
        <v>0</v>
      </c>
      <c r="AN58" s="131">
        <v>7</v>
      </c>
      <c r="AO58" s="131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2" t="str">
        <v>M4</v>
      </c>
      <c r="AD59" s="131">
        <v>42</v>
      </c>
      <c r="AE59" s="131">
        <v>25</v>
      </c>
      <c r="AF59" s="131">
        <v>0</v>
      </c>
      <c r="AG59" s="131">
        <v>33</v>
      </c>
      <c r="AH59" s="131">
        <v>34</v>
      </c>
      <c r="AI59" s="5"/>
      <c r="AJ59" s="152" t="str">
        <v>M4</v>
      </c>
      <c r="AK59" s="131">
        <v>42</v>
      </c>
      <c r="AL59" s="131">
        <v>25</v>
      </c>
      <c r="AM59" s="131">
        <v>0</v>
      </c>
      <c r="AN59" s="131">
        <v>33</v>
      </c>
      <c r="AO59" s="131">
        <v>34</v>
      </c>
    </row>
    <row r="60" spans="10:41" ht="16.5" customHeight="1">
      <c r="J60" s="25">
        <v>56</v>
      </c>
      <c r="K60" s="16" t="s">
        <v>126</v>
      </c>
      <c r="L60" s="16" t="s">
        <v>127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2" t="str">
        <v>M5</v>
      </c>
      <c r="AD60" s="131">
        <v>42</v>
      </c>
      <c r="AE60" s="131">
        <v>25</v>
      </c>
      <c r="AF60" s="131">
        <v>0</v>
      </c>
      <c r="AG60" s="131">
        <v>34</v>
      </c>
      <c r="AH60" s="131">
        <v>34</v>
      </c>
      <c r="AI60" s="5"/>
      <c r="AJ60" s="152" t="str">
        <v>M5</v>
      </c>
      <c r="AK60" s="131">
        <v>42</v>
      </c>
      <c r="AL60" s="131">
        <v>25</v>
      </c>
      <c r="AM60" s="131">
        <v>0</v>
      </c>
      <c r="AN60" s="131">
        <v>34</v>
      </c>
      <c r="AO60" s="131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127</v>
      </c>
      <c r="N61" s="16" t="s">
        <v>126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2" t="str">
        <v>A</v>
      </c>
      <c r="AD61" s="131">
        <v>42</v>
      </c>
      <c r="AE61" s="131">
        <v>29</v>
      </c>
      <c r="AF61" s="131">
        <v>0</v>
      </c>
      <c r="AG61" s="131">
        <v>33</v>
      </c>
      <c r="AH61" s="131">
        <v>33</v>
      </c>
      <c r="AI61" s="5"/>
      <c r="AJ61" s="152" t="str">
        <v>A</v>
      </c>
      <c r="AK61" s="131">
        <v>42</v>
      </c>
      <c r="AL61" s="131">
        <v>29</v>
      </c>
      <c r="AM61" s="131">
        <v>0</v>
      </c>
      <c r="AN61" s="131">
        <v>33</v>
      </c>
      <c r="AO61" s="131">
        <v>33</v>
      </c>
    </row>
    <row r="62" spans="10:41">
      <c r="J62" s="25">
        <v>58</v>
      </c>
      <c r="K62" s="16" t="s">
        <v>126</v>
      </c>
      <c r="L62" s="16" t="s">
        <v>35</v>
      </c>
      <c r="M62" s="16" t="s">
        <v>112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2" t="str">
        <v>K</v>
      </c>
      <c r="AD62" s="131">
        <v>43</v>
      </c>
      <c r="AE62" s="131">
        <v>26</v>
      </c>
      <c r="AF62" s="131">
        <v>0</v>
      </c>
      <c r="AG62" s="131">
        <v>34</v>
      </c>
      <c r="AH62" s="131">
        <v>33</v>
      </c>
      <c r="AI62" s="5"/>
      <c r="AJ62" s="152" t="str">
        <v>K</v>
      </c>
      <c r="AK62" s="131">
        <v>43</v>
      </c>
      <c r="AL62" s="131">
        <v>26</v>
      </c>
      <c r="AM62" s="131">
        <v>0</v>
      </c>
      <c r="AN62" s="131">
        <v>34</v>
      </c>
      <c r="AO62" s="131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2" t="str">
        <v>Q</v>
      </c>
      <c r="AD63" s="131">
        <v>7</v>
      </c>
      <c r="AE63" s="131">
        <v>13</v>
      </c>
      <c r="AF63" s="131">
        <v>0</v>
      </c>
      <c r="AG63" s="131">
        <v>6</v>
      </c>
      <c r="AH63" s="131">
        <v>13</v>
      </c>
      <c r="AI63" s="5"/>
      <c r="AJ63" s="152" t="str">
        <v>Q</v>
      </c>
      <c r="AK63" s="131">
        <v>7</v>
      </c>
      <c r="AL63" s="131">
        <v>13</v>
      </c>
      <c r="AM63" s="131">
        <v>0</v>
      </c>
      <c r="AN63" s="131">
        <v>6</v>
      </c>
      <c r="AO63" s="131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127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2" t="str">
        <v>J</v>
      </c>
      <c r="AD64" s="131">
        <v>6</v>
      </c>
      <c r="AE64" s="131">
        <v>8</v>
      </c>
      <c r="AF64" s="131">
        <v>0</v>
      </c>
      <c r="AG64" s="131">
        <v>7</v>
      </c>
      <c r="AH64" s="131">
        <v>14</v>
      </c>
      <c r="AI64" s="5"/>
      <c r="AJ64" s="152" t="str">
        <v>J</v>
      </c>
      <c r="AK64" s="131">
        <v>6</v>
      </c>
      <c r="AL64" s="131">
        <v>8</v>
      </c>
      <c r="AM64" s="131">
        <v>0</v>
      </c>
      <c r="AN64" s="131">
        <v>7</v>
      </c>
      <c r="AO64" s="131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6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6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127</v>
      </c>
      <c r="N66" s="16" t="s">
        <v>37</v>
      </c>
      <c r="O66" s="16" t="s">
        <v>126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6" t="str">
        <v>G2</v>
      </c>
      <c r="AD66" s="99">
        <v>0</v>
      </c>
      <c r="AE66" s="99">
        <v>3</v>
      </c>
      <c r="AF66" s="99">
        <v>1</v>
      </c>
      <c r="AG66" s="99">
        <v>2</v>
      </c>
      <c r="AH66" s="99">
        <v>0</v>
      </c>
      <c r="AI66" s="5"/>
      <c r="AJ66" s="136" t="str">
        <v>G2</v>
      </c>
      <c r="AK66" s="99">
        <v>0</v>
      </c>
      <c r="AL66" s="99">
        <v>3</v>
      </c>
      <c r="AM66" s="99">
        <v>1</v>
      </c>
      <c r="AN66" s="99">
        <v>2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6" t="str">
        <v>G3</v>
      </c>
      <c r="AD67" s="99">
        <v>0</v>
      </c>
      <c r="AE67" s="99">
        <v>3</v>
      </c>
      <c r="AF67" s="99">
        <v>8</v>
      </c>
      <c r="AG67" s="99">
        <v>3</v>
      </c>
      <c r="AH67" s="99">
        <v>0</v>
      </c>
      <c r="AI67" s="5"/>
      <c r="AJ67" s="136" t="str">
        <v>G3</v>
      </c>
      <c r="AK67" s="99">
        <v>0</v>
      </c>
      <c r="AL67" s="99">
        <v>3</v>
      </c>
      <c r="AM67" s="99">
        <v>8</v>
      </c>
      <c r="AN67" s="99">
        <v>3</v>
      </c>
      <c r="AO67" s="99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127</v>
      </c>
      <c r="N68" s="16" t="s">
        <v>37</v>
      </c>
      <c r="O68" s="16" t="s">
        <v>126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6" t="str">
        <v>G4</v>
      </c>
      <c r="AD68" s="99">
        <v>0</v>
      </c>
      <c r="AE68" s="99">
        <v>6</v>
      </c>
      <c r="AF68" s="99">
        <v>42</v>
      </c>
      <c r="AG68" s="99">
        <v>8</v>
      </c>
      <c r="AH68" s="99">
        <v>0</v>
      </c>
      <c r="AI68" s="5"/>
      <c r="AJ68" s="136" t="str">
        <v>G4</v>
      </c>
      <c r="AK68" s="99">
        <v>0</v>
      </c>
      <c r="AL68" s="99">
        <v>6</v>
      </c>
      <c r="AM68" s="99">
        <v>42</v>
      </c>
      <c r="AN68" s="99">
        <v>8</v>
      </c>
      <c r="AO68" s="99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6" t="str">
        <v>G5</v>
      </c>
      <c r="AD69" s="99">
        <v>0</v>
      </c>
      <c r="AE69" s="99">
        <v>6</v>
      </c>
      <c r="AF69" s="99">
        <v>42</v>
      </c>
      <c r="AG69" s="99">
        <v>7</v>
      </c>
      <c r="AH69" s="99">
        <v>0</v>
      </c>
      <c r="AI69" s="5"/>
      <c r="AJ69" s="136" t="str">
        <v>G5</v>
      </c>
      <c r="AK69" s="99">
        <v>0</v>
      </c>
      <c r="AL69" s="99">
        <v>6</v>
      </c>
      <c r="AM69" s="99">
        <v>42</v>
      </c>
      <c r="AN69" s="99">
        <v>7</v>
      </c>
      <c r="AO69" s="99">
        <v>0</v>
      </c>
    </row>
    <row r="70" spans="10:41" ht="16.5" customHeight="1">
      <c r="J70" s="25">
        <v>66</v>
      </c>
      <c r="K70" s="16" t="s">
        <v>126</v>
      </c>
      <c r="L70" s="16" t="s">
        <v>21</v>
      </c>
      <c r="M70" s="16" t="s">
        <v>112</v>
      </c>
      <c r="N70" s="16" t="s">
        <v>91</v>
      </c>
      <c r="O70" s="16" t="s">
        <v>126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6" t="str">
        <v>GA</v>
      </c>
      <c r="AD70" s="99">
        <v>0</v>
      </c>
      <c r="AE70" s="99">
        <v>8</v>
      </c>
      <c r="AF70" s="99">
        <v>42</v>
      </c>
      <c r="AG70" s="99">
        <v>7</v>
      </c>
      <c r="AH70" s="99">
        <v>0</v>
      </c>
      <c r="AI70" s="5"/>
      <c r="AJ70" s="136" t="str">
        <v>GA</v>
      </c>
      <c r="AK70" s="99">
        <v>0</v>
      </c>
      <c r="AL70" s="99">
        <v>8</v>
      </c>
      <c r="AM70" s="99">
        <v>42</v>
      </c>
      <c r="AN70" s="99">
        <v>7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6" t="str">
        <v>GK</v>
      </c>
      <c r="AD71" s="99">
        <v>0</v>
      </c>
      <c r="AE71" s="99">
        <v>6</v>
      </c>
      <c r="AF71" s="99">
        <v>42</v>
      </c>
      <c r="AG71" s="99">
        <v>7</v>
      </c>
      <c r="AH71" s="99">
        <v>0</v>
      </c>
      <c r="AI71" s="5"/>
      <c r="AJ71" s="136" t="str">
        <v>GK</v>
      </c>
      <c r="AK71" s="99">
        <v>0</v>
      </c>
      <c r="AL71" s="99">
        <v>6</v>
      </c>
      <c r="AM71" s="99">
        <v>42</v>
      </c>
      <c r="AN71" s="99">
        <v>7</v>
      </c>
      <c r="AO71" s="99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127</v>
      </c>
      <c r="N72" s="16" t="s">
        <v>126</v>
      </c>
      <c r="O72" s="16" t="s">
        <v>126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6" t="str">
        <v>GQ</v>
      </c>
      <c r="AD72" s="99">
        <v>0</v>
      </c>
      <c r="AE72" s="99">
        <v>3</v>
      </c>
      <c r="AF72" s="99">
        <v>6</v>
      </c>
      <c r="AG72" s="99">
        <v>2</v>
      </c>
      <c r="AH72" s="99">
        <v>0</v>
      </c>
      <c r="AI72" s="5"/>
      <c r="AJ72" s="136" t="str">
        <v>GQ</v>
      </c>
      <c r="AK72" s="99">
        <v>0</v>
      </c>
      <c r="AL72" s="99">
        <v>3</v>
      </c>
      <c r="AM72" s="99">
        <v>6</v>
      </c>
      <c r="AN72" s="99">
        <v>2</v>
      </c>
      <c r="AO72" s="99">
        <v>0</v>
      </c>
    </row>
    <row r="73" spans="10:41" ht="16.5" customHeight="1">
      <c r="J73" s="9">
        <v>69</v>
      </c>
      <c r="K73" s="16" t="s">
        <v>19</v>
      </c>
      <c r="L73" s="16" t="s">
        <v>127</v>
      </c>
      <c r="M73" s="16" t="s">
        <v>112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6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6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126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1">
        <f>SUM(AD54:AD73)</f>
        <v>196</v>
      </c>
      <c r="AE74" s="111">
        <f>SUM(AE54:AE73)</f>
        <v>205</v>
      </c>
      <c r="AF74" s="111">
        <f>SUM(AF54:AF73)</f>
        <v>195</v>
      </c>
      <c r="AG74" s="111">
        <f>SUM(AG54:AG73)</f>
        <v>202</v>
      </c>
      <c r="AH74" s="111">
        <f>SUM(AH54:AH73)</f>
        <v>193</v>
      </c>
      <c r="AI74" s="5"/>
      <c r="AK74" s="111">
        <f>SUM(AK54:AK73)</f>
        <v>196</v>
      </c>
      <c r="AL74" s="111">
        <f>SUM(AL54:AL73)</f>
        <v>205</v>
      </c>
      <c r="AM74" s="111">
        <f>SUM(AM54:AM73)</f>
        <v>195</v>
      </c>
      <c r="AN74" s="111">
        <f>SUM(AN54:AN73)</f>
        <v>202</v>
      </c>
      <c r="AO74" s="111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112</v>
      </c>
      <c r="N75" s="16" t="s">
        <v>126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126</v>
      </c>
      <c r="L76" s="16" t="s">
        <v>126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127</v>
      </c>
      <c r="N77" s="16" t="s">
        <v>126</v>
      </c>
      <c r="O77" s="16" t="s">
        <v>126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127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126</v>
      </c>
      <c r="L81" s="16" t="s">
        <v>126</v>
      </c>
      <c r="M81" s="16" t="s">
        <v>127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126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126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126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127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36</v>
      </c>
      <c r="M88" s="16" t="s">
        <v>112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126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126</v>
      </c>
      <c r="L90" s="16" t="s">
        <v>21</v>
      </c>
      <c r="M90" s="16" t="s">
        <v>127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89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126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127</v>
      </c>
      <c r="N93" s="16" t="s">
        <v>112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126</v>
      </c>
      <c r="M94" s="16" t="s">
        <v>112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126</v>
      </c>
      <c r="L97" s="16" t="s">
        <v>36</v>
      </c>
      <c r="M97" s="16" t="s">
        <v>127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126</v>
      </c>
      <c r="M98" s="16" t="s">
        <v>112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126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112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126</v>
      </c>
      <c r="L101" s="16" t="s">
        <v>126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126</v>
      </c>
      <c r="M103" s="16" t="s">
        <v>89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12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112</v>
      </c>
      <c r="M104" s="16" t="s">
        <v>92</v>
      </c>
      <c r="N104" s="16" t="s">
        <v>127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126</v>
      </c>
      <c r="L105" s="16" t="s">
        <v>20</v>
      </c>
      <c r="M105" s="16" t="s">
        <v>112</v>
      </c>
      <c r="N105" s="16" t="s">
        <v>19</v>
      </c>
      <c r="O105" s="16" t="s">
        <v>126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127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112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126</v>
      </c>
      <c r="M108" s="16" t="s">
        <v>92</v>
      </c>
      <c r="N108" s="16" t="s">
        <v>37</v>
      </c>
      <c r="O108" s="16" t="s">
        <v>126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126</v>
      </c>
      <c r="L110" s="16" t="s">
        <v>127</v>
      </c>
      <c r="M110" s="16" t="s">
        <v>112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126</v>
      </c>
      <c r="L112" s="16" t="s">
        <v>112</v>
      </c>
      <c r="M112" s="16" t="s">
        <v>112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127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112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126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126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112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126</v>
      </c>
      <c r="M118" s="16" t="s">
        <v>91</v>
      </c>
      <c r="N118" s="16" t="s">
        <v>37</v>
      </c>
      <c r="O118" s="16" t="s">
        <v>126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127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112</v>
      </c>
      <c r="N120" s="16" t="s">
        <v>126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126</v>
      </c>
      <c r="L121" s="16" t="s">
        <v>126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127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126</v>
      </c>
      <c r="L125" s="16" t="s">
        <v>36</v>
      </c>
      <c r="M125" s="16" t="s">
        <v>127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127</v>
      </c>
      <c r="O126" s="16" t="s">
        <v>126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126</v>
      </c>
      <c r="M127" s="16" t="s">
        <v>127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126</v>
      </c>
      <c r="L128" s="16" t="s">
        <v>37</v>
      </c>
      <c r="M128" s="16" t="s">
        <v>112</v>
      </c>
      <c r="N128" s="16" t="s">
        <v>112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112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126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112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126</v>
      </c>
      <c r="L133" s="16" t="s">
        <v>126</v>
      </c>
      <c r="M133" s="16" t="s">
        <v>127</v>
      </c>
      <c r="N133" s="16" t="s">
        <v>112</v>
      </c>
      <c r="O133" s="16" t="s">
        <v>126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112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126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112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126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89</v>
      </c>
      <c r="N140" s="16" t="s">
        <v>126</v>
      </c>
      <c r="O140" s="16" t="s">
        <v>37</v>
      </c>
      <c r="Q140" s="9">
        <v>5</v>
      </c>
      <c r="R140" s="9">
        <v>5</v>
      </c>
      <c r="S140" s="9">
        <v>12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127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127</v>
      </c>
      <c r="N144" s="16" t="s">
        <v>126</v>
      </c>
      <c r="O144" s="16" t="s">
        <v>126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126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112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126</v>
      </c>
      <c r="O147" s="16" t="s">
        <v>126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112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126</v>
      </c>
      <c r="L150" s="16" t="s">
        <v>19</v>
      </c>
      <c r="M150" s="16" t="s">
        <v>91</v>
      </c>
      <c r="N150" s="16" t="s">
        <v>126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126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127</v>
      </c>
      <c r="N153" s="16" t="s">
        <v>126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112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126</v>
      </c>
      <c r="M156" s="16" t="s">
        <v>127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126</v>
      </c>
      <c r="M159" s="16" t="s">
        <v>91</v>
      </c>
      <c r="N159" s="16" t="s">
        <v>126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127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112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127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126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127</v>
      </c>
      <c r="N164" s="16" t="s">
        <v>92</v>
      </c>
      <c r="O164" s="16" t="s">
        <v>126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112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126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126</v>
      </c>
      <c r="L167" s="16" t="s">
        <v>21</v>
      </c>
      <c r="M167" s="16" t="s">
        <v>127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112</v>
      </c>
      <c r="N169" s="16" t="s">
        <v>19</v>
      </c>
      <c r="O169" s="16" t="s">
        <v>126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126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126</v>
      </c>
      <c r="L173" s="16" t="s">
        <v>18</v>
      </c>
      <c r="M173" s="16" t="s">
        <v>127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112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92</v>
      </c>
      <c r="M176" s="16" t="s">
        <v>92</v>
      </c>
      <c r="N176" s="16" t="s">
        <v>126</v>
      </c>
      <c r="O176" s="16" t="s">
        <v>126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127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112</v>
      </c>
      <c r="N178" s="16" t="s">
        <v>126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127</v>
      </c>
      <c r="N180" s="16" t="s">
        <v>37</v>
      </c>
      <c r="O180" s="16" t="s">
        <v>126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126</v>
      </c>
      <c r="L181" s="16" t="s">
        <v>126</v>
      </c>
      <c r="M181" s="16" t="s">
        <v>112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127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112</v>
      </c>
      <c r="N183" s="16" t="s">
        <v>37</v>
      </c>
      <c r="O183" s="16" t="s">
        <v>126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126</v>
      </c>
      <c r="L184" s="16" t="s">
        <v>126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127</v>
      </c>
      <c r="N185" s="16" t="s">
        <v>112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126</v>
      </c>
      <c r="L186" s="16" t="s">
        <v>34</v>
      </c>
      <c r="M186" s="16" t="s">
        <v>91</v>
      </c>
      <c r="N186" s="16" t="s">
        <v>35</v>
      </c>
      <c r="O186" s="16" t="s">
        <v>126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127</v>
      </c>
      <c r="M187" s="16" t="s">
        <v>112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126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112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127</v>
      </c>
      <c r="M190" s="16" t="s">
        <v>127</v>
      </c>
      <c r="N190" s="16" t="s">
        <v>126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126</v>
      </c>
      <c r="M191" s="16" t="s">
        <v>91</v>
      </c>
      <c r="N191" s="16" t="s">
        <v>37</v>
      </c>
      <c r="O191" s="16" t="s">
        <v>126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126</v>
      </c>
      <c r="L193" s="16" t="s">
        <v>35</v>
      </c>
      <c r="M193" s="16" t="s">
        <v>91</v>
      </c>
      <c r="N193" s="16" t="s">
        <v>19</v>
      </c>
      <c r="O193" s="16" t="s">
        <v>126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126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126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112</v>
      </c>
      <c r="N197" s="16" t="s">
        <v>126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126</v>
      </c>
      <c r="L198" s="16" t="s">
        <v>34</v>
      </c>
      <c r="M198" s="16" t="s">
        <v>92</v>
      </c>
      <c r="N198" s="16" t="s">
        <v>35</v>
      </c>
      <c r="O198" s="16" t="s">
        <v>126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112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126</v>
      </c>
      <c r="M200" s="16" t="s">
        <v>97</v>
      </c>
      <c r="N200" s="16" t="s">
        <v>126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126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112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127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5" priority="29">
      <formula>_xlfn.LET(_xlpm.x, W4, AND(NOT(_xlfn.ISFORMULA(_xlpm.x)), _xlpm.x&lt;&gt;""))</formula>
    </cfRule>
  </conditionalFormatting>
  <conditionalFormatting sqref="W4:AA203">
    <cfRule type="expression" dxfId="54" priority="24">
      <formula>_xlfn.LET(_xlpm.x, W4, AND(NOT(_xlfn.ISFORMULA(_xlpm.x)), _xlpm.x&lt;&gt;""))</formula>
    </cfRule>
  </conditionalFormatting>
  <conditionalFormatting sqref="K1:O1048576">
    <cfRule type="cellIs" dxfId="53" priority="17" operator="equal">
      <formula>"C1"</formula>
    </cfRule>
    <cfRule type="cellIs" dxfId="52" priority="17" operator="between">
      <formula>"G1"</formula>
      <formula>"G5"</formula>
    </cfRule>
    <cfRule type="cellIs" dxfId="51" priority="19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50" priority="11" operator="equal">
      <formula>"C1"</formula>
    </cfRule>
    <cfRule type="cellIs" dxfId="49" priority="12" operator="between">
      <formula>"G1"</formula>
      <formula>"G4"</formula>
    </cfRule>
    <cfRule type="cellIs" dxfId="48" priority="13" operator="between">
      <formula>"GA"</formula>
      <formula>"GQ"</formula>
    </cfRule>
    <cfRule type="cellIs" dxfId="47" priority="14" operator="between">
      <formula>"M1"</formula>
      <formula>"M4"</formula>
    </cfRule>
  </conditionalFormatting>
  <conditionalFormatting sqref="E52:E54">
    <cfRule type="cellIs" dxfId="46" priority="7" operator="equal">
      <formula>"C1"</formula>
    </cfRule>
    <cfRule type="cellIs" dxfId="45" priority="8" operator="between">
      <formula>"G1"</formula>
      <formula>"G4"</formula>
    </cfRule>
    <cfRule type="cellIs" dxfId="44" priority="9" operator="between">
      <formula>"GA"</formula>
      <formula>"GQ"</formula>
    </cfRule>
    <cfRule type="cellIs" dxfId="43" priority="10" operator="between">
      <formula>"M1"</formula>
      <formula>"M4"</formula>
    </cfRule>
  </conditionalFormatting>
  <conditionalFormatting sqref="F52:F54">
    <cfRule type="cellIs" dxfId="42" priority="3" operator="equal">
      <formula>"C1"</formula>
    </cfRule>
    <cfRule type="cellIs" dxfId="41" priority="4" operator="between">
      <formula>"G1"</formula>
      <formula>"G4"</formula>
    </cfRule>
    <cfRule type="cellIs" dxfId="40" priority="5" operator="between">
      <formula>"GA"</formula>
      <formula>"GQ"</formula>
    </cfRule>
    <cfRule type="cellIs" dxfId="39" priority="6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{A9A76519-133E-4138-9656-78090B0A2F8B}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9A76519-133E-4138-9656-78090B0A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8" operator="containsText" id="{61DEA912-D582-4791-AC7F-9224E18056E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3" t="s">
        <v>42</v>
      </c>
      <c r="AD5" s="133" t="s">
        <v>13</v>
      </c>
      <c r="AE5" s="133" t="s">
        <v>14</v>
      </c>
      <c r="AF5" s="133" t="s">
        <v>15</v>
      </c>
      <c r="AG5" s="133" t="s">
        <v>16</v>
      </c>
      <c r="AH5" s="133" t="s">
        <v>17</v>
      </c>
      <c r="AI5" s="5"/>
      <c r="AJ5" s="133" t="s">
        <v>42</v>
      </c>
      <c r="AK5" s="133" t="s">
        <v>13</v>
      </c>
      <c r="AL5" s="133" t="s">
        <v>14</v>
      </c>
      <c r="AM5" s="133" t="s">
        <v>15</v>
      </c>
      <c r="AN5" s="133" t="s">
        <v>16</v>
      </c>
      <c r="AO5" s="133" t="s">
        <v>17</v>
      </c>
    </row>
    <row r="6" spans="1:41" ht="15.9" customHeight="1">
      <c r="A6" s="131" t="str">
        <v>M1</v>
      </c>
      <c r="B6" s="110" t="str">
        <v>M1</v>
      </c>
      <c r="C6" s="131">
        <f t="shared" si="0"/>
        <v>3</v>
      </c>
      <c r="D6" s="131">
        <f t="shared" si="0"/>
        <v>20</v>
      </c>
      <c r="E6" s="131">
        <f t="shared" si="0"/>
        <v>4</v>
      </c>
      <c r="F6" s="131">
        <f t="shared" si="0"/>
        <v>21</v>
      </c>
      <c r="G6" s="131">
        <f t="shared" si="0"/>
        <v>22</v>
      </c>
      <c r="H6" s="110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 cm="1">
        <f t="array" ref="Y6">_xlfn.LET(_xlpm.x, M6:M8, IF(SUM((_xlpm.x="C1")*1)=1, 1, 0))</f>
        <v>1</v>
      </c>
      <c r="Z6" s="25">
        <v>1</v>
      </c>
      <c r="AA6" s="25">
        <v>1</v>
      </c>
      <c r="AC6" s="136" t="str" cm="1">
        <f t="array" ref="AC6:AC25">$A$4:$A$23</f>
        <v>WW</v>
      </c>
      <c r="AD6" s="137">
        <v>0</v>
      </c>
      <c r="AE6" s="137">
        <v>0</v>
      </c>
      <c r="AF6" s="137">
        <v>0</v>
      </c>
      <c r="AG6" s="137">
        <v>0</v>
      </c>
      <c r="AH6" s="137">
        <v>0</v>
      </c>
      <c r="AI6" s="5"/>
      <c r="AJ6" s="136" t="str" cm="1">
        <f t="array" ref="AJ6:AJ25">$A$4:$A$23</f>
        <v>WW</v>
      </c>
      <c r="AK6" s="137">
        <v>0</v>
      </c>
      <c r="AL6" s="137">
        <v>0</v>
      </c>
      <c r="AM6" s="137">
        <v>0</v>
      </c>
      <c r="AN6" s="137">
        <v>0</v>
      </c>
      <c r="AO6" s="137">
        <v>0</v>
      </c>
    </row>
    <row r="7" spans="1:41" ht="15.9" customHeight="1">
      <c r="A7" s="131" t="str">
        <v>M2</v>
      </c>
      <c r="B7" s="110" t="str">
        <v>M2</v>
      </c>
      <c r="C7" s="131">
        <f t="shared" si="0"/>
        <v>2</v>
      </c>
      <c r="D7" s="131">
        <f t="shared" si="0"/>
        <v>18</v>
      </c>
      <c r="E7" s="131">
        <f t="shared" si="0"/>
        <v>4</v>
      </c>
      <c r="F7" s="131">
        <f t="shared" si="0"/>
        <v>20</v>
      </c>
      <c r="G7" s="131">
        <f t="shared" si="0"/>
        <v>22</v>
      </c>
      <c r="H7" s="110">
        <v>3</v>
      </c>
      <c r="I7" s="87"/>
      <c r="J7" s="9">
        <v>3</v>
      </c>
      <c r="K7" s="16" t="s">
        <v>126</v>
      </c>
      <c r="L7" s="26" t="s">
        <v>127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6" t="str">
        <v>C1</v>
      </c>
      <c r="AD7" s="136">
        <v>6</v>
      </c>
      <c r="AE7" s="136">
        <v>6</v>
      </c>
      <c r="AF7" s="136">
        <v>6</v>
      </c>
      <c r="AG7" s="136">
        <v>9</v>
      </c>
      <c r="AH7" s="136">
        <v>9</v>
      </c>
      <c r="AI7" s="5"/>
      <c r="AJ7" s="136" t="str">
        <v>C1</v>
      </c>
      <c r="AK7" s="136">
        <v>6</v>
      </c>
      <c r="AL7" s="136">
        <v>6</v>
      </c>
      <c r="AM7" s="136">
        <v>6</v>
      </c>
      <c r="AN7" s="136">
        <v>9</v>
      </c>
      <c r="AO7" s="136">
        <v>9</v>
      </c>
    </row>
    <row r="8" spans="1:41" ht="15.9" customHeight="1">
      <c r="A8" s="131" t="str">
        <v>M3</v>
      </c>
      <c r="B8" s="110" t="str">
        <v>M3</v>
      </c>
      <c r="C8" s="131">
        <f t="shared" si="0"/>
        <v>4</v>
      </c>
      <c r="D8" s="131">
        <f t="shared" si="0"/>
        <v>18</v>
      </c>
      <c r="E8" s="131">
        <f t="shared" si="0"/>
        <v>4</v>
      </c>
      <c r="F8" s="131">
        <f t="shared" si="0"/>
        <v>20</v>
      </c>
      <c r="G8" s="131">
        <f t="shared" si="0"/>
        <v>21</v>
      </c>
      <c r="H8" s="110">
        <v>4</v>
      </c>
      <c r="I8" s="87"/>
      <c r="J8" s="25">
        <v>4</v>
      </c>
      <c r="K8" s="16" t="s">
        <v>35</v>
      </c>
      <c r="L8" s="16" t="s">
        <v>127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52" t="str">
        <v>M1</v>
      </c>
      <c r="AD8" s="131">
        <v>4</v>
      </c>
      <c r="AE8" s="131">
        <v>17</v>
      </c>
      <c r="AF8" s="131">
        <v>4</v>
      </c>
      <c r="AG8" s="131">
        <v>21</v>
      </c>
      <c r="AH8" s="131">
        <v>22</v>
      </c>
      <c r="AI8" s="5"/>
      <c r="AJ8" s="152" t="str">
        <v>M1</v>
      </c>
      <c r="AK8" s="131">
        <v>4</v>
      </c>
      <c r="AL8" s="131">
        <v>17</v>
      </c>
      <c r="AM8" s="131">
        <v>4</v>
      </c>
      <c r="AN8" s="131">
        <v>21</v>
      </c>
      <c r="AO8" s="131">
        <v>22</v>
      </c>
    </row>
    <row r="9" spans="1:41" ht="15.9" customHeight="1">
      <c r="A9" s="131" t="str">
        <v>M4</v>
      </c>
      <c r="B9" s="110" t="str">
        <v>M4</v>
      </c>
      <c r="C9" s="131">
        <f t="shared" si="0"/>
        <v>40</v>
      </c>
      <c r="D9" s="131">
        <f t="shared" si="0"/>
        <v>17</v>
      </c>
      <c r="E9" s="131">
        <f t="shared" si="0"/>
        <v>41</v>
      </c>
      <c r="F9" s="131">
        <f t="shared" si="0"/>
        <v>14</v>
      </c>
      <c r="G9" s="131">
        <f t="shared" si="0"/>
        <v>21</v>
      </c>
      <c r="H9" s="110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52" t="str">
        <v>M2</v>
      </c>
      <c r="AD9" s="131">
        <v>4</v>
      </c>
      <c r="AE9" s="131">
        <v>18</v>
      </c>
      <c r="AF9" s="131">
        <v>4</v>
      </c>
      <c r="AG9" s="131">
        <v>20</v>
      </c>
      <c r="AH9" s="131">
        <v>22</v>
      </c>
      <c r="AI9" s="5"/>
      <c r="AJ9" s="152" t="str">
        <v>M2</v>
      </c>
      <c r="AK9" s="131">
        <v>4</v>
      </c>
      <c r="AL9" s="131">
        <v>18</v>
      </c>
      <c r="AM9" s="131">
        <v>4</v>
      </c>
      <c r="AN9" s="131">
        <v>20</v>
      </c>
      <c r="AO9" s="131">
        <v>22</v>
      </c>
    </row>
    <row r="10" spans="1:41" ht="15.9" customHeight="1">
      <c r="A10" s="131" t="str">
        <v>M5</v>
      </c>
      <c r="B10" s="110" t="str">
        <v>M5</v>
      </c>
      <c r="C10" s="131">
        <f t="shared" si="0"/>
        <v>43</v>
      </c>
      <c r="D10" s="131">
        <f t="shared" si="0"/>
        <v>11</v>
      </c>
      <c r="E10" s="131">
        <f t="shared" si="0"/>
        <v>41</v>
      </c>
      <c r="F10" s="131">
        <f t="shared" si="0"/>
        <v>14</v>
      </c>
      <c r="G10" s="131">
        <f t="shared" si="0"/>
        <v>21</v>
      </c>
      <c r="H10" s="110">
        <v>6</v>
      </c>
      <c r="I10" s="87"/>
      <c r="J10" s="25">
        <v>6</v>
      </c>
      <c r="K10" s="16" t="s">
        <v>126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 cm="1">
        <f t="array" ref="X10">_xlfn.LET(_xlpm.x, L10:L12, IF(SUM((_xlpm.x="C1")*1)=1, 1, 0))</f>
        <v>0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52" t="str">
        <v>M3</v>
      </c>
      <c r="AD10" s="131">
        <v>4</v>
      </c>
      <c r="AE10" s="131">
        <v>18</v>
      </c>
      <c r="AF10" s="131">
        <v>4</v>
      </c>
      <c r="AG10" s="131">
        <v>20</v>
      </c>
      <c r="AH10" s="131">
        <v>21</v>
      </c>
      <c r="AI10" s="5"/>
      <c r="AJ10" s="152" t="str">
        <v>M3</v>
      </c>
      <c r="AK10" s="131">
        <v>4</v>
      </c>
      <c r="AL10" s="131">
        <v>18</v>
      </c>
      <c r="AM10" s="131">
        <v>4</v>
      </c>
      <c r="AN10" s="131">
        <v>20</v>
      </c>
      <c r="AO10" s="131">
        <v>21</v>
      </c>
    </row>
    <row r="11" spans="1:41" ht="15.9" customHeight="1">
      <c r="A11" s="131" t="str">
        <v>A</v>
      </c>
      <c r="B11" s="110" t="str">
        <v>A</v>
      </c>
      <c r="C11" s="131">
        <f t="shared" si="0"/>
        <v>48</v>
      </c>
      <c r="D11" s="131">
        <f t="shared" si="0"/>
        <v>12</v>
      </c>
      <c r="E11" s="131">
        <f t="shared" si="0"/>
        <v>41</v>
      </c>
      <c r="F11" s="131">
        <f t="shared" si="0"/>
        <v>14</v>
      </c>
      <c r="G11" s="131">
        <f t="shared" si="0"/>
        <v>21</v>
      </c>
      <c r="H11" s="110">
        <v>7</v>
      </c>
      <c r="I11" s="87"/>
      <c r="J11" s="9">
        <v>7</v>
      </c>
      <c r="K11" s="16" t="s">
        <v>126</v>
      </c>
      <c r="L11" s="16" t="s">
        <v>29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52" t="str">
        <v>M4</v>
      </c>
      <c r="AD11" s="131">
        <v>40</v>
      </c>
      <c r="AE11" s="131">
        <v>14</v>
      </c>
      <c r="AF11" s="131">
        <v>41</v>
      </c>
      <c r="AG11" s="131">
        <v>14</v>
      </c>
      <c r="AH11" s="131">
        <v>21</v>
      </c>
      <c r="AI11" s="5"/>
      <c r="AJ11" s="152" t="str">
        <v>M4</v>
      </c>
      <c r="AK11" s="131">
        <v>40</v>
      </c>
      <c r="AL11" s="131">
        <v>14</v>
      </c>
      <c r="AM11" s="131">
        <v>41</v>
      </c>
      <c r="AN11" s="131">
        <v>14</v>
      </c>
      <c r="AO11" s="131">
        <v>21</v>
      </c>
    </row>
    <row r="12" spans="1:41" ht="15.9" customHeight="1">
      <c r="A12" s="131" t="str">
        <v>K</v>
      </c>
      <c r="B12" s="110" t="str">
        <v>K</v>
      </c>
      <c r="C12" s="131">
        <f t="shared" si="0"/>
        <v>47</v>
      </c>
      <c r="D12" s="131">
        <f t="shared" si="0"/>
        <v>12</v>
      </c>
      <c r="E12" s="131">
        <f t="shared" si="0"/>
        <v>41</v>
      </c>
      <c r="F12" s="131">
        <f t="shared" si="0"/>
        <v>14</v>
      </c>
      <c r="G12" s="131">
        <f t="shared" si="0"/>
        <v>21</v>
      </c>
      <c r="H12" s="110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52" t="str">
        <v>M5</v>
      </c>
      <c r="AD12" s="131">
        <v>40</v>
      </c>
      <c r="AE12" s="131">
        <v>14</v>
      </c>
      <c r="AF12" s="131">
        <v>41</v>
      </c>
      <c r="AG12" s="131">
        <v>14</v>
      </c>
      <c r="AH12" s="131">
        <v>21</v>
      </c>
      <c r="AI12" s="5"/>
      <c r="AJ12" s="152" t="str">
        <v>M5</v>
      </c>
      <c r="AK12" s="131">
        <v>40</v>
      </c>
      <c r="AL12" s="131">
        <v>14</v>
      </c>
      <c r="AM12" s="131">
        <v>41</v>
      </c>
      <c r="AN12" s="131">
        <v>14</v>
      </c>
      <c r="AO12" s="131">
        <v>21</v>
      </c>
    </row>
    <row r="13" spans="1:41" ht="15.9" customHeight="1">
      <c r="A13" s="131" t="str">
        <v>Q</v>
      </c>
      <c r="B13" s="110" t="str">
        <v>Q</v>
      </c>
      <c r="C13" s="131">
        <f t="shared" si="0"/>
        <v>3</v>
      </c>
      <c r="D13" s="131">
        <f t="shared" si="0"/>
        <v>19</v>
      </c>
      <c r="E13" s="131">
        <f t="shared" si="0"/>
        <v>3</v>
      </c>
      <c r="F13" s="131">
        <f t="shared" si="0"/>
        <v>21</v>
      </c>
      <c r="G13" s="131">
        <f t="shared" si="0"/>
        <v>21</v>
      </c>
      <c r="H13" s="110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 cm="1">
        <f t="array" ref="X13">_xlfn.LET(_xlpm.x, L13:L15, IF(SUM((_xlpm.x="C1")*1)=1, 1, 0))</f>
        <v>1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52" t="str">
        <v>A</v>
      </c>
      <c r="AD13" s="131">
        <v>47</v>
      </c>
      <c r="AE13" s="131">
        <v>13</v>
      </c>
      <c r="AF13" s="131">
        <v>41</v>
      </c>
      <c r="AG13" s="131">
        <v>14</v>
      </c>
      <c r="AH13" s="131">
        <v>21</v>
      </c>
      <c r="AI13" s="5"/>
      <c r="AJ13" s="152" t="str">
        <v>A</v>
      </c>
      <c r="AK13" s="131">
        <v>47</v>
      </c>
      <c r="AL13" s="131">
        <v>13</v>
      </c>
      <c r="AM13" s="131">
        <v>41</v>
      </c>
      <c r="AN13" s="131">
        <v>14</v>
      </c>
      <c r="AO13" s="131">
        <v>21</v>
      </c>
    </row>
    <row r="14" spans="1:41" ht="15.9" customHeight="1">
      <c r="A14" s="131" t="str">
        <v>J</v>
      </c>
      <c r="B14" s="110" t="str">
        <v>J</v>
      </c>
      <c r="C14" s="131">
        <f t="shared" si="0"/>
        <v>4</v>
      </c>
      <c r="D14" s="131">
        <f t="shared" si="0"/>
        <v>16</v>
      </c>
      <c r="E14" s="131">
        <f t="shared" si="0"/>
        <v>3</v>
      </c>
      <c r="F14" s="131">
        <f t="shared" si="0"/>
        <v>21</v>
      </c>
      <c r="G14" s="131">
        <f t="shared" si="0"/>
        <v>21</v>
      </c>
      <c r="H14" s="110">
        <v>10</v>
      </c>
      <c r="I14" s="87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52" t="str">
        <v>K</v>
      </c>
      <c r="AD14" s="131">
        <v>47</v>
      </c>
      <c r="AE14" s="131">
        <v>13</v>
      </c>
      <c r="AF14" s="131">
        <v>41</v>
      </c>
      <c r="AG14" s="131">
        <v>14</v>
      </c>
      <c r="AH14" s="131">
        <v>21</v>
      </c>
      <c r="AI14" s="5"/>
      <c r="AJ14" s="152" t="str">
        <v>K</v>
      </c>
      <c r="AK14" s="131">
        <v>47</v>
      </c>
      <c r="AL14" s="131">
        <v>13</v>
      </c>
      <c r="AM14" s="131">
        <v>41</v>
      </c>
      <c r="AN14" s="131">
        <v>14</v>
      </c>
      <c r="AO14" s="131">
        <v>21</v>
      </c>
    </row>
    <row r="15" spans="1:41" ht="15.9" customHeight="1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8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26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52" t="str">
        <v>Q</v>
      </c>
      <c r="AD15" s="131">
        <v>4</v>
      </c>
      <c r="AE15" s="131">
        <v>17</v>
      </c>
      <c r="AF15" s="131">
        <v>3</v>
      </c>
      <c r="AG15" s="131">
        <v>21</v>
      </c>
      <c r="AH15" s="131">
        <v>21</v>
      </c>
      <c r="AI15" s="5"/>
      <c r="AJ15" s="152" t="str">
        <v>Q</v>
      </c>
      <c r="AK15" s="131">
        <v>4</v>
      </c>
      <c r="AL15" s="131">
        <v>17</v>
      </c>
      <c r="AM15" s="131">
        <v>3</v>
      </c>
      <c r="AN15" s="131">
        <v>21</v>
      </c>
      <c r="AO15" s="131">
        <v>21</v>
      </c>
    </row>
    <row r="16" spans="1:41" ht="15.9" customHeight="1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7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52" t="str">
        <v>J</v>
      </c>
      <c r="AD16" s="131">
        <v>4</v>
      </c>
      <c r="AE16" s="131">
        <v>17</v>
      </c>
      <c r="AF16" s="131">
        <v>3</v>
      </c>
      <c r="AG16" s="131">
        <v>21</v>
      </c>
      <c r="AH16" s="131">
        <v>21</v>
      </c>
      <c r="AI16" s="5"/>
      <c r="AJ16" s="152" t="str">
        <v>J</v>
      </c>
      <c r="AK16" s="131">
        <v>4</v>
      </c>
      <c r="AL16" s="131">
        <v>17</v>
      </c>
      <c r="AM16" s="131">
        <v>3</v>
      </c>
      <c r="AN16" s="131">
        <v>21</v>
      </c>
      <c r="AO16" s="131">
        <v>21</v>
      </c>
    </row>
    <row r="17" spans="1:41" ht="15.9" customHeight="1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7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6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6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4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6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6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4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6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6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4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6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6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4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6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6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8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6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6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5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6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6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6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6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6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6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>
      <c r="B26" s="5" t="s">
        <v>245</v>
      </c>
      <c r="C26" s="5">
        <f>SUM(C4:C14)/C24</f>
        <v>1</v>
      </c>
      <c r="D26" s="179">
        <f t="shared" ref="D26:G26" si="1">SUM(D4:D14)/D24</f>
        <v>0.745</v>
      </c>
      <c r="E26" s="179">
        <f t="shared" si="1"/>
        <v>0.94</v>
      </c>
      <c r="F26" s="179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11">
        <f>SUM(AD6:AD25)</f>
        <v>200</v>
      </c>
      <c r="AE26" s="111">
        <f>SUM(AE6:AE25)</f>
        <v>209</v>
      </c>
      <c r="AF26" s="111">
        <f>SUM(AF6:AF25)</f>
        <v>209</v>
      </c>
      <c r="AG26" s="111">
        <f>SUM(AG6:AG25)</f>
        <v>209</v>
      </c>
      <c r="AH26" s="111">
        <f>SUM(AH6:AH25)</f>
        <v>200</v>
      </c>
      <c r="AI26" s="5"/>
      <c r="AK26" s="111">
        <f>SUM(AK6:AK25)</f>
        <v>200</v>
      </c>
      <c r="AL26" s="111">
        <f>SUM(AL6:AL25)</f>
        <v>209</v>
      </c>
      <c r="AM26" s="111">
        <f>SUM(AM6:AM25)</f>
        <v>209</v>
      </c>
      <c r="AN26" s="111">
        <f>SUM(AN6:AN25)</f>
        <v>209</v>
      </c>
      <c r="AO26" s="111">
        <f>SUM(AO6:AO25)</f>
        <v>200</v>
      </c>
    </row>
    <row r="27" spans="1:41" ht="16.5" customHeight="1">
      <c r="B27" s="5" t="s">
        <v>246</v>
      </c>
      <c r="C27" s="5">
        <f>SUM(C15:C23)/C24</f>
        <v>0</v>
      </c>
      <c r="D27" s="179">
        <f t="shared" ref="D27:G27" si="2">SUM(D15:D23)/D24</f>
        <v>0.255</v>
      </c>
      <c r="E27" s="179">
        <f t="shared" si="2"/>
        <v>0.06</v>
      </c>
      <c r="F27" s="179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3" t="s">
        <v>42</v>
      </c>
      <c r="AD29" s="133" t="s">
        <v>13</v>
      </c>
      <c r="AE29" s="133" t="s">
        <v>14</v>
      </c>
      <c r="AF29" s="133" t="s">
        <v>15</v>
      </c>
      <c r="AG29" s="133" t="s">
        <v>16</v>
      </c>
      <c r="AH29" s="133" t="s">
        <v>17</v>
      </c>
      <c r="AI29" s="5"/>
      <c r="AJ29" s="133" t="s">
        <v>42</v>
      </c>
      <c r="AK29" s="133" t="s">
        <v>13</v>
      </c>
      <c r="AL29" s="133" t="s">
        <v>14</v>
      </c>
      <c r="AM29" s="133" t="s">
        <v>15</v>
      </c>
      <c r="AN29" s="133" t="s">
        <v>16</v>
      </c>
      <c r="AO29" s="133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6" t="str" cm="1">
        <f t="array" ref="AC30:AC49">$A$4:$A$23</f>
        <v>WW</v>
      </c>
      <c r="AD30" s="137">
        <v>0</v>
      </c>
      <c r="AE30" s="137">
        <v>0</v>
      </c>
      <c r="AF30" s="137">
        <v>0</v>
      </c>
      <c r="AG30" s="137">
        <v>0</v>
      </c>
      <c r="AH30" s="137">
        <v>0</v>
      </c>
      <c r="AI30" s="5"/>
      <c r="AJ30" s="136" t="str" cm="1">
        <f t="array" ref="AJ30:AJ49">$A$4:$A$23</f>
        <v>WW</v>
      </c>
      <c r="AK30" s="137">
        <v>0</v>
      </c>
      <c r="AL30" s="137">
        <v>0</v>
      </c>
      <c r="AM30" s="137">
        <v>0</v>
      </c>
      <c r="AN30" s="137">
        <v>0</v>
      </c>
      <c r="AO30" s="137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6" t="str">
        <v>C1</v>
      </c>
      <c r="AD31" s="136">
        <v>3</v>
      </c>
      <c r="AE31" s="136">
        <v>3</v>
      </c>
      <c r="AF31" s="136">
        <v>3</v>
      </c>
      <c r="AG31" s="136">
        <v>6</v>
      </c>
      <c r="AH31" s="136">
        <v>6</v>
      </c>
      <c r="AI31" s="5"/>
      <c r="AJ31" s="136" t="str">
        <v>C1</v>
      </c>
      <c r="AK31" s="136">
        <v>3</v>
      </c>
      <c r="AL31" s="136">
        <v>3</v>
      </c>
      <c r="AM31" s="136">
        <v>3</v>
      </c>
      <c r="AN31" s="136">
        <v>6</v>
      </c>
      <c r="AO31" s="136">
        <v>6</v>
      </c>
    </row>
    <row r="32" spans="1:41" ht="16.5" customHeight="1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52" t="str">
        <v>M1</v>
      </c>
      <c r="AD32" s="131">
        <v>4</v>
      </c>
      <c r="AE32" s="131">
        <v>17</v>
      </c>
      <c r="AF32" s="131">
        <v>4</v>
      </c>
      <c r="AG32" s="131">
        <v>21</v>
      </c>
      <c r="AH32" s="131">
        <v>22</v>
      </c>
      <c r="AI32" s="5"/>
      <c r="AJ32" s="152" t="str">
        <v>M1</v>
      </c>
      <c r="AK32" s="131">
        <v>4</v>
      </c>
      <c r="AL32" s="131">
        <v>17</v>
      </c>
      <c r="AM32" s="131">
        <v>4</v>
      </c>
      <c r="AN32" s="131">
        <v>21</v>
      </c>
      <c r="AO32" s="131">
        <v>22</v>
      </c>
    </row>
    <row r="33" spans="10:41" ht="16.5" customHeight="1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52" t="str">
        <v>M2</v>
      </c>
      <c r="AD33" s="131">
        <v>4</v>
      </c>
      <c r="AE33" s="131">
        <v>18</v>
      </c>
      <c r="AF33" s="131">
        <v>4</v>
      </c>
      <c r="AG33" s="131">
        <v>20</v>
      </c>
      <c r="AH33" s="131">
        <v>22</v>
      </c>
      <c r="AI33" s="5"/>
      <c r="AJ33" s="152" t="str">
        <v>M2</v>
      </c>
      <c r="AK33" s="131">
        <v>4</v>
      </c>
      <c r="AL33" s="131">
        <v>18</v>
      </c>
      <c r="AM33" s="131">
        <v>4</v>
      </c>
      <c r="AN33" s="131">
        <v>20</v>
      </c>
      <c r="AO33" s="131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52" t="str">
        <v>M3</v>
      </c>
      <c r="AD34" s="131">
        <v>4</v>
      </c>
      <c r="AE34" s="131">
        <v>18</v>
      </c>
      <c r="AF34" s="131">
        <v>4</v>
      </c>
      <c r="AG34" s="131">
        <v>20</v>
      </c>
      <c r="AH34" s="131">
        <v>21</v>
      </c>
      <c r="AI34" s="5"/>
      <c r="AJ34" s="152" t="str">
        <v>M3</v>
      </c>
      <c r="AK34" s="131">
        <v>4</v>
      </c>
      <c r="AL34" s="131">
        <v>18</v>
      </c>
      <c r="AM34" s="131">
        <v>4</v>
      </c>
      <c r="AN34" s="131">
        <v>20</v>
      </c>
      <c r="AO34" s="131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52" t="str">
        <v>M4</v>
      </c>
      <c r="AD35" s="131">
        <v>40</v>
      </c>
      <c r="AE35" s="131">
        <v>14</v>
      </c>
      <c r="AF35" s="131">
        <v>41</v>
      </c>
      <c r="AG35" s="131">
        <v>14</v>
      </c>
      <c r="AH35" s="131">
        <v>21</v>
      </c>
      <c r="AI35" s="5"/>
      <c r="AJ35" s="152" t="str">
        <v>M4</v>
      </c>
      <c r="AK35" s="131">
        <v>40</v>
      </c>
      <c r="AL35" s="131">
        <v>14</v>
      </c>
      <c r="AM35" s="131">
        <v>41</v>
      </c>
      <c r="AN35" s="131">
        <v>14</v>
      </c>
      <c r="AO35" s="131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52" t="str">
        <v>M5</v>
      </c>
      <c r="AD36" s="131">
        <v>40</v>
      </c>
      <c r="AE36" s="131">
        <v>14</v>
      </c>
      <c r="AF36" s="131">
        <v>41</v>
      </c>
      <c r="AG36" s="131">
        <v>14</v>
      </c>
      <c r="AH36" s="131">
        <v>21</v>
      </c>
      <c r="AI36" s="5"/>
      <c r="AJ36" s="152" t="str">
        <v>M5</v>
      </c>
      <c r="AK36" s="131">
        <v>40</v>
      </c>
      <c r="AL36" s="131">
        <v>14</v>
      </c>
      <c r="AM36" s="131">
        <v>41</v>
      </c>
      <c r="AN36" s="131">
        <v>14</v>
      </c>
      <c r="AO36" s="131">
        <v>21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52" t="str">
        <v>A</v>
      </c>
      <c r="AD37" s="131">
        <v>47</v>
      </c>
      <c r="AE37" s="131">
        <v>13</v>
      </c>
      <c r="AF37" s="131">
        <v>41</v>
      </c>
      <c r="AG37" s="131">
        <v>14</v>
      </c>
      <c r="AH37" s="131">
        <v>21</v>
      </c>
      <c r="AI37" s="5"/>
      <c r="AJ37" s="152" t="str">
        <v>A</v>
      </c>
      <c r="AK37" s="131">
        <v>47</v>
      </c>
      <c r="AL37" s="131">
        <v>13</v>
      </c>
      <c r="AM37" s="131">
        <v>41</v>
      </c>
      <c r="AN37" s="131">
        <v>14</v>
      </c>
      <c r="AO37" s="131">
        <v>21</v>
      </c>
    </row>
    <row r="38" spans="10:41" ht="16.5" customHeight="1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52" t="str">
        <v>K</v>
      </c>
      <c r="AD38" s="131">
        <v>47</v>
      </c>
      <c r="AE38" s="131">
        <v>13</v>
      </c>
      <c r="AF38" s="131">
        <v>41</v>
      </c>
      <c r="AG38" s="131">
        <v>14</v>
      </c>
      <c r="AH38" s="131">
        <v>21</v>
      </c>
      <c r="AI38" s="5"/>
      <c r="AJ38" s="152" t="str">
        <v>K</v>
      </c>
      <c r="AK38" s="131">
        <v>47</v>
      </c>
      <c r="AL38" s="131">
        <v>13</v>
      </c>
      <c r="AM38" s="131">
        <v>41</v>
      </c>
      <c r="AN38" s="131">
        <v>14</v>
      </c>
      <c r="AO38" s="131">
        <v>21</v>
      </c>
    </row>
    <row r="39" spans="10:41" ht="16.5" customHeight="1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52" t="str">
        <v>Q</v>
      </c>
      <c r="AD39" s="131">
        <v>4</v>
      </c>
      <c r="AE39" s="131">
        <v>17</v>
      </c>
      <c r="AF39" s="131">
        <v>3</v>
      </c>
      <c r="AG39" s="131">
        <v>21</v>
      </c>
      <c r="AH39" s="131">
        <v>21</v>
      </c>
      <c r="AI39" s="5"/>
      <c r="AJ39" s="152" t="str">
        <v>Q</v>
      </c>
      <c r="AK39" s="131">
        <v>4</v>
      </c>
      <c r="AL39" s="131">
        <v>17</v>
      </c>
      <c r="AM39" s="131">
        <v>3</v>
      </c>
      <c r="AN39" s="131">
        <v>21</v>
      </c>
      <c r="AO39" s="131">
        <v>21</v>
      </c>
    </row>
    <row r="40" spans="10:41" ht="16.5" customHeight="1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52" t="str">
        <v>J</v>
      </c>
      <c r="AD40" s="131">
        <v>4</v>
      </c>
      <c r="AE40" s="131">
        <v>17</v>
      </c>
      <c r="AF40" s="131">
        <v>3</v>
      </c>
      <c r="AG40" s="131">
        <v>21</v>
      </c>
      <c r="AH40" s="131">
        <v>21</v>
      </c>
      <c r="AI40" s="5"/>
      <c r="AJ40" s="152" t="str">
        <v>J</v>
      </c>
      <c r="AK40" s="131">
        <v>4</v>
      </c>
      <c r="AL40" s="131">
        <v>17</v>
      </c>
      <c r="AM40" s="131">
        <v>3</v>
      </c>
      <c r="AN40" s="131">
        <v>21</v>
      </c>
      <c r="AO40" s="131">
        <v>21</v>
      </c>
    </row>
    <row r="41" spans="10:41" ht="16.5" customHeight="1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6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6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6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6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6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6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6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6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 cm="1">
        <f t="array" ref="X45">_xlfn.LET(_xlpm.x, L45:L47, IF(SUM((_xlpm.x="C1")*1)=1, 1, 0))</f>
        <v>0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6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6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>
      <c r="J46" s="25">
        <v>42</v>
      </c>
      <c r="K46" s="16" t="s">
        <v>126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6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6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6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6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1, 0))</f>
        <v>0</v>
      </c>
      <c r="X48" s="25" cm="1">
        <f t="array" ref="X48">_xlfn.LET(_xlpm.x, L48:L50, IF(SUM((_xlpm.x="C1")*1)=1, 1, 0))</f>
        <v>1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6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6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6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6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11">
        <f>SUM(AD30:AD49)</f>
        <v>197</v>
      </c>
      <c r="AE50" s="111">
        <f>SUM(AE30:AE49)</f>
        <v>206</v>
      </c>
      <c r="AF50" s="111">
        <f>SUM(AF30:AF49)</f>
        <v>206</v>
      </c>
      <c r="AG50" s="111">
        <f>SUM(AG30:AG49)</f>
        <v>206</v>
      </c>
      <c r="AH50" s="111">
        <f>SUM(AH30:AH49)</f>
        <v>197</v>
      </c>
      <c r="AI50" s="5"/>
      <c r="AK50" s="111">
        <f>SUM(AK30:AK49)</f>
        <v>197</v>
      </c>
      <c r="AL50" s="111">
        <f>SUM(AL30:AL49)</f>
        <v>206</v>
      </c>
      <c r="AM50" s="111">
        <f>SUM(AM30:AM49)</f>
        <v>206</v>
      </c>
      <c r="AN50" s="111">
        <f>SUM(AN30:AN49)</f>
        <v>206</v>
      </c>
      <c r="AO50" s="111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1, 0))</f>
        <v>1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3" t="s">
        <v>42</v>
      </c>
      <c r="AD53" s="133" t="s">
        <v>13</v>
      </c>
      <c r="AE53" s="133" t="s">
        <v>14</v>
      </c>
      <c r="AF53" s="133" t="s">
        <v>15</v>
      </c>
      <c r="AG53" s="133" t="s">
        <v>16</v>
      </c>
      <c r="AH53" s="133" t="s">
        <v>17</v>
      </c>
      <c r="AI53" s="5"/>
      <c r="AJ53" s="133" t="s">
        <v>42</v>
      </c>
      <c r="AK53" s="133" t="s">
        <v>13</v>
      </c>
      <c r="AL53" s="133" t="s">
        <v>14</v>
      </c>
      <c r="AM53" s="133" t="s">
        <v>15</v>
      </c>
      <c r="AN53" s="133" t="s">
        <v>16</v>
      </c>
      <c r="AO53" s="133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6" t="str" cm="1">
        <f t="array" ref="AC54:AC73">$A$4:$A$23</f>
        <v>WW</v>
      </c>
      <c r="AD54" s="137">
        <v>0</v>
      </c>
      <c r="AE54" s="137">
        <v>0</v>
      </c>
      <c r="AF54" s="137">
        <v>0</v>
      </c>
      <c r="AG54" s="137">
        <v>0</v>
      </c>
      <c r="AH54" s="137">
        <v>0</v>
      </c>
      <c r="AI54" s="5"/>
      <c r="AJ54" s="136" t="str" cm="1">
        <f t="array" ref="AJ54:AJ73">$A$4:$A$23</f>
        <v>WW</v>
      </c>
      <c r="AK54" s="137">
        <v>0</v>
      </c>
      <c r="AL54" s="137">
        <v>0</v>
      </c>
      <c r="AM54" s="137">
        <v>0</v>
      </c>
      <c r="AN54" s="137">
        <v>0</v>
      </c>
      <c r="AO54" s="137">
        <v>0</v>
      </c>
    </row>
    <row r="55" spans="10:41" ht="16.5" customHeight="1">
      <c r="J55" s="9">
        <v>51</v>
      </c>
      <c r="K55" s="16" t="s">
        <v>126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6" t="str">
        <v>C1</v>
      </c>
      <c r="AD55" s="136">
        <v>1</v>
      </c>
      <c r="AE55" s="136">
        <v>1</v>
      </c>
      <c r="AF55" s="136">
        <v>1</v>
      </c>
      <c r="AG55" s="136">
        <v>3</v>
      </c>
      <c r="AH55" s="136">
        <v>3</v>
      </c>
      <c r="AI55" s="5"/>
      <c r="AJ55" s="136" t="str">
        <v>C1</v>
      </c>
      <c r="AK55" s="136">
        <v>1</v>
      </c>
      <c r="AL55" s="136">
        <v>1</v>
      </c>
      <c r="AM55" s="136">
        <v>1</v>
      </c>
      <c r="AN55" s="136">
        <v>3</v>
      </c>
      <c r="AO55" s="136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52" t="str">
        <v>M1</v>
      </c>
      <c r="AD56" s="131">
        <v>4</v>
      </c>
      <c r="AE56" s="131">
        <v>17</v>
      </c>
      <c r="AF56" s="131">
        <v>4</v>
      </c>
      <c r="AG56" s="131">
        <v>21</v>
      </c>
      <c r="AH56" s="131">
        <v>22</v>
      </c>
      <c r="AI56" s="5"/>
      <c r="AJ56" s="152" t="str">
        <v>M1</v>
      </c>
      <c r="AK56" s="131">
        <v>4</v>
      </c>
      <c r="AL56" s="131">
        <v>17</v>
      </c>
      <c r="AM56" s="131">
        <v>4</v>
      </c>
      <c r="AN56" s="131">
        <v>21</v>
      </c>
      <c r="AO56" s="131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52" t="str">
        <v>M2</v>
      </c>
      <c r="AD57" s="131">
        <v>4</v>
      </c>
      <c r="AE57" s="131">
        <v>18</v>
      </c>
      <c r="AF57" s="131">
        <v>4</v>
      </c>
      <c r="AG57" s="131">
        <v>20</v>
      </c>
      <c r="AH57" s="131">
        <v>22</v>
      </c>
      <c r="AI57" s="5"/>
      <c r="AJ57" s="152" t="str">
        <v>M2</v>
      </c>
      <c r="AK57" s="131">
        <v>4</v>
      </c>
      <c r="AL57" s="131">
        <v>18</v>
      </c>
      <c r="AM57" s="131">
        <v>4</v>
      </c>
      <c r="AN57" s="131">
        <v>20</v>
      </c>
      <c r="AO57" s="131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52" t="str">
        <v>M3</v>
      </c>
      <c r="AD58" s="131">
        <v>4</v>
      </c>
      <c r="AE58" s="131">
        <v>18</v>
      </c>
      <c r="AF58" s="131">
        <v>4</v>
      </c>
      <c r="AG58" s="131">
        <v>20</v>
      </c>
      <c r="AH58" s="131">
        <v>21</v>
      </c>
      <c r="AI58" s="5"/>
      <c r="AJ58" s="152" t="str">
        <v>M3</v>
      </c>
      <c r="AK58" s="131">
        <v>4</v>
      </c>
      <c r="AL58" s="131">
        <v>18</v>
      </c>
      <c r="AM58" s="131">
        <v>4</v>
      </c>
      <c r="AN58" s="131">
        <v>20</v>
      </c>
      <c r="AO58" s="131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52" t="str">
        <v>M4</v>
      </c>
      <c r="AD59" s="131">
        <v>40</v>
      </c>
      <c r="AE59" s="131">
        <v>14</v>
      </c>
      <c r="AF59" s="131">
        <v>41</v>
      </c>
      <c r="AG59" s="131">
        <v>14</v>
      </c>
      <c r="AH59" s="131">
        <v>21</v>
      </c>
      <c r="AI59" s="5"/>
      <c r="AJ59" s="152" t="str">
        <v>M4</v>
      </c>
      <c r="AK59" s="131">
        <v>40</v>
      </c>
      <c r="AL59" s="131">
        <v>14</v>
      </c>
      <c r="AM59" s="131">
        <v>41</v>
      </c>
      <c r="AN59" s="131">
        <v>14</v>
      </c>
      <c r="AO59" s="131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 cm="1">
        <f t="array" ref="Y60">_xlfn.LET(_xlpm.x, M60:M62, IF(SUM((_xlpm.x="C1")*1)=1, 1, 0))</f>
        <v>0</v>
      </c>
      <c r="Z60" s="25">
        <v>1</v>
      </c>
      <c r="AA60" s="25">
        <v>1</v>
      </c>
      <c r="AC60" s="152" t="str">
        <v>M5</v>
      </c>
      <c r="AD60" s="131">
        <v>40</v>
      </c>
      <c r="AE60" s="131">
        <v>14</v>
      </c>
      <c r="AF60" s="131">
        <v>41</v>
      </c>
      <c r="AG60" s="131">
        <v>14</v>
      </c>
      <c r="AH60" s="131">
        <v>21</v>
      </c>
      <c r="AI60" s="5"/>
      <c r="AJ60" s="152" t="str">
        <v>M5</v>
      </c>
      <c r="AK60" s="131">
        <v>40</v>
      </c>
      <c r="AL60" s="131">
        <v>14</v>
      </c>
      <c r="AM60" s="131">
        <v>41</v>
      </c>
      <c r="AN60" s="131">
        <v>14</v>
      </c>
      <c r="AO60" s="131">
        <v>21</v>
      </c>
    </row>
    <row r="61" spans="10:41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52" t="str">
        <v>A</v>
      </c>
      <c r="AD61" s="131">
        <v>47</v>
      </c>
      <c r="AE61" s="131">
        <v>13</v>
      </c>
      <c r="AF61" s="131">
        <v>41</v>
      </c>
      <c r="AG61" s="131">
        <v>14</v>
      </c>
      <c r="AH61" s="131">
        <v>21</v>
      </c>
      <c r="AI61" s="5"/>
      <c r="AJ61" s="152" t="str">
        <v>A</v>
      </c>
      <c r="AK61" s="131">
        <v>47</v>
      </c>
      <c r="AL61" s="131">
        <v>13</v>
      </c>
      <c r="AM61" s="131">
        <v>41</v>
      </c>
      <c r="AN61" s="131">
        <v>14</v>
      </c>
      <c r="AO61" s="131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52" t="str">
        <v>K</v>
      </c>
      <c r="AD62" s="131">
        <v>47</v>
      </c>
      <c r="AE62" s="131">
        <v>13</v>
      </c>
      <c r="AF62" s="131">
        <v>41</v>
      </c>
      <c r="AG62" s="131">
        <v>14</v>
      </c>
      <c r="AH62" s="131">
        <v>21</v>
      </c>
      <c r="AI62" s="5"/>
      <c r="AJ62" s="152" t="str">
        <v>K</v>
      </c>
      <c r="AK62" s="131">
        <v>47</v>
      </c>
      <c r="AL62" s="131">
        <v>13</v>
      </c>
      <c r="AM62" s="131">
        <v>41</v>
      </c>
      <c r="AN62" s="131">
        <v>14</v>
      </c>
      <c r="AO62" s="131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 cm="1">
        <f t="array" ref="Y63">_xlfn.LET(_xlpm.x, M63:M65, IF(SUM((_xlpm.x="C1")*1)=1, 1, 0))</f>
        <v>1</v>
      </c>
      <c r="Z63" s="25">
        <v>1</v>
      </c>
      <c r="AA63" s="25">
        <v>1</v>
      </c>
      <c r="AC63" s="152" t="str">
        <v>Q</v>
      </c>
      <c r="AD63" s="131">
        <v>4</v>
      </c>
      <c r="AE63" s="131">
        <v>17</v>
      </c>
      <c r="AF63" s="131">
        <v>3</v>
      </c>
      <c r="AG63" s="131">
        <v>21</v>
      </c>
      <c r="AH63" s="131">
        <v>21</v>
      </c>
      <c r="AI63" s="5"/>
      <c r="AJ63" s="152" t="str">
        <v>Q</v>
      </c>
      <c r="AK63" s="131">
        <v>4</v>
      </c>
      <c r="AL63" s="131">
        <v>17</v>
      </c>
      <c r="AM63" s="131">
        <v>3</v>
      </c>
      <c r="AN63" s="131">
        <v>21</v>
      </c>
      <c r="AO63" s="131">
        <v>21</v>
      </c>
    </row>
    <row r="64" spans="10:41" ht="16.5" customHeight="1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52" t="str">
        <v>J</v>
      </c>
      <c r="AD64" s="131">
        <v>4</v>
      </c>
      <c r="AE64" s="131">
        <v>17</v>
      </c>
      <c r="AF64" s="131">
        <v>3</v>
      </c>
      <c r="AG64" s="131">
        <v>21</v>
      </c>
      <c r="AH64" s="131">
        <v>21</v>
      </c>
      <c r="AI64" s="5"/>
      <c r="AJ64" s="152" t="str">
        <v>J</v>
      </c>
      <c r="AK64" s="131">
        <v>4</v>
      </c>
      <c r="AL64" s="131">
        <v>17</v>
      </c>
      <c r="AM64" s="131">
        <v>3</v>
      </c>
      <c r="AN64" s="131">
        <v>21</v>
      </c>
      <c r="AO64" s="131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6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6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1, 0))</f>
        <v>0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6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6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6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6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6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6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1, 0))</f>
        <v>1</v>
      </c>
      <c r="X69" s="25" cm="1">
        <f t="array" ref="X69">_xlfn.LET(_xlpm.x, L69:L71, IF(SUM((_xlpm.x="C1")*1)=1, 1, 0))</f>
        <v>0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6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6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>
      <c r="J70" s="25">
        <v>66</v>
      </c>
      <c r="K70" s="16" t="s">
        <v>37</v>
      </c>
      <c r="L70" s="16" t="s">
        <v>325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6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6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6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6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 cm="1">
        <f t="array" ref="X72">_xlfn.LET(_xlpm.x, L72:L74, IF(SUM((_xlpm.x="C1")*1)=1, 1, 0))</f>
        <v>1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6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6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>
      <c r="J73" s="9">
        <v>69</v>
      </c>
      <c r="K73" s="16" t="s">
        <v>36</v>
      </c>
      <c r="L73" s="16" t="s">
        <v>32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6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6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11">
        <f>SUM(AD54:AD73)</f>
        <v>195</v>
      </c>
      <c r="AE74" s="111">
        <f>SUM(AE54:AE73)</f>
        <v>204</v>
      </c>
      <c r="AF74" s="111">
        <f>SUM(AF54:AF73)</f>
        <v>204</v>
      </c>
      <c r="AG74" s="111">
        <f>SUM(AG54:AG73)</f>
        <v>203</v>
      </c>
      <c r="AH74" s="111">
        <f>SUM(AH54:AH73)</f>
        <v>194</v>
      </c>
      <c r="AI74" s="5"/>
      <c r="AK74" s="111">
        <f>SUM(AK54:AK73)</f>
        <v>195</v>
      </c>
      <c r="AL74" s="111">
        <f>SUM(AL54:AL73)</f>
        <v>204</v>
      </c>
      <c r="AM74" s="111">
        <f>SUM(AM54:AM73)</f>
        <v>204</v>
      </c>
      <c r="AN74" s="111">
        <f>SUM(AN54:AN73)</f>
        <v>203</v>
      </c>
      <c r="AO74" s="111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1, 0))</f>
        <v>0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 cm="1">
        <f t="array" ref="X88">_xlfn.LET(_xlpm.x, L88:L90, IF(SUM((_xlpm.x="C1")*1)=1, 1, 0))</f>
        <v>0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1, 0))</f>
        <v>1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 cm="1">
        <f t="array" ref="Y90">_xlfn.LET(_xlpm.x, M90:M92, IF(SUM((_xlpm.x="C1")*1)=1, 1, 0))</f>
        <v>0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 cm="1">
        <f t="array" ref="X91">_xlfn.LET(_xlpm.x, L91:L93, IF(SUM((_xlpm.x="C1")*1)=1, 1, 0))</f>
        <v>1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 cm="1">
        <f t="array" ref="Y93">_xlfn.LET(_xlpm.x, M93:M95, IF(SUM((_xlpm.x="C1")*1)=1, 1, 0))</f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1, 0))</f>
        <v>0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1, 0))</f>
        <v>1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324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324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126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 cm="1">
        <f t="array" ref="Y108">_xlfn.LET(_xlpm.x, M108:M110, IF(SUM((_xlpm.x="C1")*1)=1, 1, 0))</f>
        <v>0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 cm="1">
        <f t="array" ref="Y111">_xlfn.LET(_xlpm.x, M111:M113, IF(SUM((_xlpm.x="C1")*1)=1, 1, 0))</f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126</v>
      </c>
      <c r="L117" s="16" t="s">
        <v>34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 cm="1">
        <f t="array" ref="Y123">_xlfn.LET(_xlpm.x, M123:M125, IF(SUM((_xlpm.x="C1")*1)=1, 1, 0))</f>
        <v>0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126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 cm="1">
        <f t="array" ref="Y126">_xlfn.LET(_xlpm.x, M126:M128, IF(SUM((_xlpm.x="C1")*1)=1, 1, 0))</f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126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 cm="1">
        <f t="array" ref="X146">_xlfn.LET(_xlpm.x, L146:L148, IF(SUM((_xlpm.x="C1")*1)=1, 1, 0))</f>
        <v>0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 cm="1">
        <f t="array" ref="X149">_xlfn.LET(_xlpm.x, L149:L151, IF(SUM((_xlpm.x="C1")*1)=1, 1, 0))</f>
        <v>1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126</v>
      </c>
      <c r="L151" s="16" t="s">
        <v>26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1, 0))</f>
        <v>0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126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1, 0))</f>
        <v>1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23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 cm="1">
        <f t="array" ref="Y171">_xlfn.LET(_xlpm.x, M171:M173, IF(SUM((_xlpm.x="C1")*1)=1, 1, 0))</f>
        <v>0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 cm="1">
        <f t="array" ref="Y174">_xlfn.LET(_xlpm.x, M174:M176, IF(SUM((_xlpm.x="C1")*1)=1, 1, 0))</f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1, 0))</f>
        <v>0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1, 0))</f>
        <v>1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324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 cm="1">
        <f t="array" ref="X186">_xlfn.LET(_xlpm.x, L186:L188, IF(SUM((_xlpm.x="C1")*1)=1, 1, 0))</f>
        <v>0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 cm="1">
        <f t="array" ref="X189">_xlfn.LET(_xlpm.x, L189:L191, IF(SUM((_xlpm.x="C1")*1)=1, 1, 0))</f>
        <v>1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45">
      <formula>_xlfn.LET(_xlpm.x, W4, AND(NOT(_xlfn.ISFORMULA(_xlpm.x)), _xlpm.x&lt;&gt;""))</formula>
    </cfRule>
  </conditionalFormatting>
  <conditionalFormatting sqref="W4:AA203">
    <cfRule type="expression" dxfId="36" priority="40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{D2474962-EDC7-4688-963E-132EFE7A6C1F}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{6C8F4B8E-1F6A-46F3-965C-D29110784093}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74962-EDC7-4688-963E-132EFE7A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C8F4B8E-1F6A-46F3-965C-D29110784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>
      <c r="B2" s="17" t="s">
        <v>171</v>
      </c>
      <c r="F2" s="166">
        <f>Parameter!L5+Parameter!L7</f>
        <v>0.89999999999999991</v>
      </c>
      <c r="G2" s="166">
        <f>Parameter!L6</f>
        <v>0.1</v>
      </c>
      <c r="M2" s="17" t="s">
        <v>170</v>
      </c>
      <c r="S2" s="17" t="s">
        <v>249</v>
      </c>
    </row>
    <row r="3" spans="2:31">
      <c r="B3" s="133" t="s">
        <v>71</v>
      </c>
      <c r="C3" s="133" t="s">
        <v>170</v>
      </c>
      <c r="D3" s="133" t="s">
        <v>237</v>
      </c>
      <c r="E3" s="133" t="s">
        <v>238</v>
      </c>
      <c r="M3" s="141" t="s">
        <v>242</v>
      </c>
      <c r="N3" s="141" t="s">
        <v>109</v>
      </c>
      <c r="O3" s="141" t="s">
        <v>110</v>
      </c>
      <c r="P3" s="141" t="s">
        <v>240</v>
      </c>
      <c r="Q3" s="141" t="s">
        <v>241</v>
      </c>
      <c r="S3" s="141" t="s">
        <v>242</v>
      </c>
      <c r="T3" s="141" t="s">
        <v>109</v>
      </c>
      <c r="U3" s="141" t="s">
        <v>110</v>
      </c>
      <c r="V3" s="141" t="s">
        <v>240</v>
      </c>
      <c r="W3" s="141" t="s">
        <v>241</v>
      </c>
      <c r="Y3" s="17" t="s">
        <v>250</v>
      </c>
      <c r="Z3" s="17" t="s">
        <v>251</v>
      </c>
      <c r="AA3" s="17" t="s">
        <v>110</v>
      </c>
    </row>
    <row r="4" spans="2:31">
      <c r="B4" s="122">
        <v>0</v>
      </c>
      <c r="C4" s="167">
        <v>0.12890728185260192</v>
      </c>
      <c r="D4" s="170">
        <v>0.17979999999999999</v>
      </c>
      <c r="E4" s="170">
        <v>0</v>
      </c>
      <c r="F4" s="161" cm="1">
        <f t="array" ref="F4:F13">D4:D13*F2+E4:E13*G2</f>
        <v>0.16181999999999996</v>
      </c>
      <c r="G4" s="17">
        <v>0</v>
      </c>
      <c r="H4" s="161" cm="1">
        <f t="array" ref="H4:H13">G4:G13/10000</f>
        <v>0</v>
      </c>
      <c r="M4" s="177">
        <v>0</v>
      </c>
      <c r="N4" s="176">
        <v>0.12890728185260192</v>
      </c>
      <c r="O4" s="176">
        <v>5.6827150749802685E-2</v>
      </c>
      <c r="P4" s="176">
        <v>0.1214574898785425</v>
      </c>
      <c r="Q4" s="176">
        <v>0.14634146341463414</v>
      </c>
      <c r="S4" s="177">
        <v>0</v>
      </c>
      <c r="T4" s="176">
        <v>0.14598406999999999</v>
      </c>
      <c r="U4" s="176">
        <v>0</v>
      </c>
      <c r="V4" s="176">
        <v>0</v>
      </c>
      <c r="W4" s="176">
        <v>0</v>
      </c>
    </row>
    <row r="5" spans="2:31">
      <c r="B5" s="122">
        <v>1</v>
      </c>
      <c r="C5" s="167">
        <v>0.30351325173901561</v>
      </c>
      <c r="D5" s="170">
        <v>0.35339999999999999</v>
      </c>
      <c r="E5" s="170">
        <v>0</v>
      </c>
      <c r="F5" s="161">
        <v>0.31805999999999995</v>
      </c>
      <c r="G5" s="17" cm="1">
        <f t="array" ref="G5:G13">TRANSPOSE(Parameter!AD5:AL5)</f>
        <v>300</v>
      </c>
      <c r="H5" s="161">
        <v>0.03</v>
      </c>
      <c r="M5" s="178">
        <v>1</v>
      </c>
      <c r="N5" s="160">
        <v>0.30351325173901561</v>
      </c>
      <c r="O5" s="160">
        <v>0.14601420678768745</v>
      </c>
      <c r="P5" s="160">
        <v>0.22672064777327935</v>
      </c>
      <c r="Q5" s="160">
        <v>0.3902439024390244</v>
      </c>
      <c r="S5" s="178">
        <v>1</v>
      </c>
      <c r="T5" s="160">
        <v>0.28520793999999999</v>
      </c>
      <c r="U5" s="160">
        <v>0</v>
      </c>
      <c r="V5" s="160">
        <v>0</v>
      </c>
      <c r="W5" s="160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61" cm="1">
        <f t="array" ref="AC5:AC13">_xlfn.ANCHORARRAY(Y5)/10000</f>
        <v>0.03</v>
      </c>
      <c r="AD5" s="161" cm="1">
        <f t="array" ref="AD5:AD13">_xlfn.ANCHORARRAY(Z5)/10000</f>
        <v>0</v>
      </c>
      <c r="AE5" s="161" cm="1">
        <f t="array" ref="AE5:AE13">_xlfn.ANCHORARRAY(AA5)/10000</f>
        <v>0</v>
      </c>
    </row>
    <row r="6" spans="2:31">
      <c r="B6" s="122">
        <v>2</v>
      </c>
      <c r="C6" s="167">
        <v>0.30338117460596986</v>
      </c>
      <c r="D6" s="170">
        <v>0.29630000000000001</v>
      </c>
      <c r="E6" s="170">
        <v>0</v>
      </c>
      <c r="F6" s="161">
        <v>0.26666999999999996</v>
      </c>
      <c r="G6" s="17">
        <v>600</v>
      </c>
      <c r="H6" s="161">
        <v>0.06</v>
      </c>
      <c r="M6" s="178">
        <v>2</v>
      </c>
      <c r="N6" s="160">
        <v>0.30338117460596986</v>
      </c>
      <c r="O6" s="160">
        <v>0.23993685872138912</v>
      </c>
      <c r="P6" s="160">
        <v>0.25506072874493929</v>
      </c>
      <c r="Q6" s="160">
        <v>0.26829268292682928</v>
      </c>
      <c r="S6" s="178">
        <v>2</v>
      </c>
      <c r="T6" s="160">
        <v>0.23496146000000001</v>
      </c>
      <c r="U6" s="160">
        <v>0</v>
      </c>
      <c r="V6" s="160">
        <v>0</v>
      </c>
      <c r="W6" s="160">
        <v>0</v>
      </c>
      <c r="Y6" s="17">
        <v>600</v>
      </c>
      <c r="Z6" s="17">
        <v>0</v>
      </c>
      <c r="AA6" s="17">
        <v>0</v>
      </c>
      <c r="AC6" s="161">
        <v>0.06</v>
      </c>
      <c r="AD6" s="161">
        <v>0</v>
      </c>
      <c r="AE6" s="161">
        <v>0</v>
      </c>
    </row>
    <row r="7" spans="2:31">
      <c r="B7" s="122">
        <v>3</v>
      </c>
      <c r="C7" s="167">
        <v>0.18173813507088141</v>
      </c>
      <c r="D7" s="170">
        <v>0.13270000000000001</v>
      </c>
      <c r="E7" s="170">
        <v>0.17960000000000001</v>
      </c>
      <c r="F7" s="161">
        <v>0.13738999999999998</v>
      </c>
      <c r="G7" s="17">
        <v>1080</v>
      </c>
      <c r="H7" s="161">
        <v>0.108</v>
      </c>
      <c r="M7" s="178">
        <v>3</v>
      </c>
      <c r="N7" s="160">
        <v>0.18173813507088141</v>
      </c>
      <c r="O7" s="160">
        <v>0.24072612470402527</v>
      </c>
      <c r="P7" s="160">
        <v>0.20647773279352227</v>
      </c>
      <c r="Q7" s="160">
        <v>0.12195121951219512</v>
      </c>
      <c r="S7" s="178">
        <v>3</v>
      </c>
      <c r="T7" s="160">
        <v>0.1397775</v>
      </c>
      <c r="U7" s="160">
        <v>0.15779349005216739</v>
      </c>
      <c r="V7" s="160">
        <v>0.25674906076030962</v>
      </c>
      <c r="W7" s="160">
        <v>0.33335772101950278</v>
      </c>
      <c r="Y7" s="17">
        <v>1080</v>
      </c>
      <c r="Z7" s="17">
        <v>1050</v>
      </c>
      <c r="AA7" s="17">
        <v>525</v>
      </c>
      <c r="AC7" s="161">
        <v>0.108</v>
      </c>
      <c r="AD7" s="161">
        <v>0.105</v>
      </c>
      <c r="AE7" s="161">
        <v>5.2499999999999998E-2</v>
      </c>
    </row>
    <row r="8" spans="2:31">
      <c r="B8" s="122">
        <v>4</v>
      </c>
      <c r="C8" s="167">
        <v>6.3705203839042004E-2</v>
      </c>
      <c r="D8" s="170">
        <v>3.3300000000000003E-2</v>
      </c>
      <c r="E8" s="170">
        <v>0.38219999999999998</v>
      </c>
      <c r="F8" s="161">
        <v>6.8190000000000001E-2</v>
      </c>
      <c r="G8" s="17">
        <v>1440</v>
      </c>
      <c r="H8" s="161">
        <v>0.14399999999999999</v>
      </c>
      <c r="M8" s="178">
        <v>4</v>
      </c>
      <c r="N8" s="160">
        <v>6.3705203839042004E-2</v>
      </c>
      <c r="O8" s="160">
        <v>0.17363851617995266</v>
      </c>
      <c r="P8" s="160">
        <v>8.9068825910931168E-2</v>
      </c>
      <c r="Q8" s="160">
        <v>2.4390243902439025E-2</v>
      </c>
      <c r="S8" s="178">
        <v>4</v>
      </c>
      <c r="T8" s="160">
        <v>0.10258886</v>
      </c>
      <c r="U8" s="160">
        <v>0.38443020890818519</v>
      </c>
      <c r="V8" s="160">
        <v>0.40096742056011497</v>
      </c>
      <c r="W8" s="160">
        <v>0.4249225081271964</v>
      </c>
      <c r="Y8" s="17">
        <v>1440</v>
      </c>
      <c r="Z8" s="17">
        <v>1400</v>
      </c>
      <c r="AA8" s="17">
        <v>700</v>
      </c>
      <c r="AC8" s="161">
        <v>0.14399999999999999</v>
      </c>
      <c r="AD8" s="161">
        <v>0.14000000000000001</v>
      </c>
      <c r="AE8" s="161">
        <v>7.0000000000000007E-2</v>
      </c>
    </row>
    <row r="9" spans="2:31">
      <c r="B9" s="122">
        <v>5</v>
      </c>
      <c r="C9" s="167">
        <v>1.4748613190103021E-2</v>
      </c>
      <c r="D9" s="170">
        <v>4.4000000000000003E-3</v>
      </c>
      <c r="E9" s="170">
        <v>0.29920000000000002</v>
      </c>
      <c r="F9" s="161">
        <v>3.388E-2</v>
      </c>
      <c r="G9" s="17">
        <v>2250</v>
      </c>
      <c r="H9" s="161">
        <v>0.22500000000000001</v>
      </c>
      <c r="M9" s="178">
        <v>5</v>
      </c>
      <c r="N9" s="160">
        <v>1.4748613190103021E-2</v>
      </c>
      <c r="O9" s="160">
        <v>0.10023677979479084</v>
      </c>
      <c r="P9" s="160">
        <v>7.6923076923076927E-2</v>
      </c>
      <c r="Q9" s="160">
        <v>4.878048780487805E-2</v>
      </c>
      <c r="S9" s="178">
        <v>5</v>
      </c>
      <c r="T9" s="160">
        <v>6.3491859999999997E-2</v>
      </c>
      <c r="U9" s="160">
        <v>0.31827882881141678</v>
      </c>
      <c r="V9" s="160">
        <v>0.24644354481494071</v>
      </c>
      <c r="W9" s="160">
        <v>0.1950649078267401</v>
      </c>
      <c r="Y9" s="17">
        <v>2250</v>
      </c>
      <c r="Z9" s="17">
        <v>1750</v>
      </c>
      <c r="AA9" s="17">
        <v>1750</v>
      </c>
      <c r="AC9" s="161">
        <v>0.22500000000000001</v>
      </c>
      <c r="AD9" s="161">
        <v>0.17499999999999999</v>
      </c>
      <c r="AE9" s="161">
        <v>0.17499999999999999</v>
      </c>
    </row>
    <row r="10" spans="2:31">
      <c r="B10" s="122">
        <v>6</v>
      </c>
      <c r="C10" s="167">
        <v>3.6101083032490976E-3</v>
      </c>
      <c r="D10" s="170">
        <v>2.0000000000000001E-4</v>
      </c>
      <c r="E10" s="170">
        <v>0.1134</v>
      </c>
      <c r="F10" s="161">
        <v>1.1520000000000001E-2</v>
      </c>
      <c r="G10" s="17">
        <v>2700</v>
      </c>
      <c r="H10" s="161">
        <v>0.27</v>
      </c>
      <c r="M10" s="178">
        <v>6</v>
      </c>
      <c r="N10" s="160">
        <v>3.6101083032490976E-3</v>
      </c>
      <c r="O10" s="160">
        <v>3.1570639305445937E-2</v>
      </c>
      <c r="P10" s="160">
        <v>1.2145748987854251E-2</v>
      </c>
      <c r="Q10" s="160">
        <v>0</v>
      </c>
      <c r="S10" s="178">
        <v>6</v>
      </c>
      <c r="T10" s="160">
        <v>2.2896389999999999E-2</v>
      </c>
      <c r="U10" s="160">
        <v>0.1131686752041504</v>
      </c>
      <c r="V10" s="160">
        <v>7.8840213733133782E-2</v>
      </c>
      <c r="W10" s="160">
        <v>4.2010228195579487E-2</v>
      </c>
      <c r="Y10" s="17">
        <v>2700</v>
      </c>
      <c r="Z10" s="17">
        <v>2100</v>
      </c>
      <c r="AA10" s="17">
        <v>2100</v>
      </c>
      <c r="AC10" s="161">
        <v>0.27</v>
      </c>
      <c r="AD10" s="161">
        <v>0.21</v>
      </c>
      <c r="AE10" s="161">
        <v>0.21</v>
      </c>
    </row>
    <row r="11" spans="2:31">
      <c r="B11" s="122">
        <v>7</v>
      </c>
      <c r="C11" s="167">
        <v>3.9623139913709608E-4</v>
      </c>
      <c r="D11" s="170">
        <v>0</v>
      </c>
      <c r="E11" s="170">
        <v>2.3E-2</v>
      </c>
      <c r="F11" s="161">
        <v>2.3E-3</v>
      </c>
      <c r="G11" s="17">
        <v>3150</v>
      </c>
      <c r="H11" s="161">
        <v>0.315</v>
      </c>
      <c r="M11" s="178">
        <v>7</v>
      </c>
      <c r="N11" s="160">
        <v>3.9623139913709608E-4</v>
      </c>
      <c r="O11" s="160">
        <v>1.0260457774269928E-2</v>
      </c>
      <c r="P11" s="160">
        <v>1.2145748987854251E-2</v>
      </c>
      <c r="Q11" s="160">
        <v>0</v>
      </c>
      <c r="S11" s="178">
        <v>7</v>
      </c>
      <c r="T11" s="160">
        <v>4.5844500000000003E-3</v>
      </c>
      <c r="U11" s="160">
        <v>2.3555526678745581E-2</v>
      </c>
      <c r="V11" s="160">
        <v>1.5353055527350159E-2</v>
      </c>
      <c r="W11" s="160">
        <v>4.321497989235275E-3</v>
      </c>
      <c r="Y11" s="17">
        <v>3150</v>
      </c>
      <c r="Z11" s="17">
        <v>3675</v>
      </c>
      <c r="AA11" s="17">
        <v>3675</v>
      </c>
      <c r="AC11" s="161">
        <v>0.315</v>
      </c>
      <c r="AD11" s="161">
        <v>0.36749999999999999</v>
      </c>
      <c r="AE11" s="161">
        <v>0.36749999999999999</v>
      </c>
    </row>
    <row r="12" spans="2:31">
      <c r="B12" s="122">
        <v>8</v>
      </c>
      <c r="C12" s="167">
        <v>0</v>
      </c>
      <c r="D12" s="170">
        <v>0</v>
      </c>
      <c r="E12" s="170">
        <v>2.3999999999999998E-3</v>
      </c>
      <c r="F12" s="161">
        <v>2.3999999999999998E-4</v>
      </c>
      <c r="G12" s="17">
        <v>3600</v>
      </c>
      <c r="H12" s="161">
        <v>0.36</v>
      </c>
      <c r="M12" s="178">
        <v>8</v>
      </c>
      <c r="N12" s="160">
        <v>0</v>
      </c>
      <c r="O12" s="160">
        <v>7.8926598263614838E-4</v>
      </c>
      <c r="P12" s="160">
        <v>0</v>
      </c>
      <c r="Q12" s="160">
        <v>0</v>
      </c>
      <c r="S12" s="178">
        <v>8</v>
      </c>
      <c r="T12" s="160">
        <v>4.8207000000000002E-4</v>
      </c>
      <c r="U12" s="160">
        <v>2.640034937284777E-3</v>
      </c>
      <c r="V12" s="160">
        <v>1.646704604150755E-3</v>
      </c>
      <c r="W12" s="160">
        <v>3.2313684174586568E-4</v>
      </c>
      <c r="Y12" s="17">
        <v>3600</v>
      </c>
      <c r="Z12" s="17">
        <v>4200</v>
      </c>
      <c r="AA12" s="17">
        <v>4200</v>
      </c>
      <c r="AC12" s="161">
        <v>0.36</v>
      </c>
      <c r="AD12" s="161">
        <v>0.42</v>
      </c>
      <c r="AE12" s="161">
        <v>0.42</v>
      </c>
    </row>
    <row r="13" spans="2:31">
      <c r="B13" s="122">
        <v>9</v>
      </c>
      <c r="C13" s="167">
        <v>0</v>
      </c>
      <c r="D13" s="170">
        <v>0</v>
      </c>
      <c r="E13" s="170">
        <v>1E-4</v>
      </c>
      <c r="F13" s="161">
        <v>1.0000000000000001E-5</v>
      </c>
      <c r="G13" s="17">
        <v>4050</v>
      </c>
      <c r="H13" s="161">
        <v>0.40500000000000003</v>
      </c>
      <c r="M13" s="178">
        <v>9</v>
      </c>
      <c r="N13" s="160">
        <v>0</v>
      </c>
      <c r="O13" s="160">
        <v>0</v>
      </c>
      <c r="P13" s="160">
        <v>0</v>
      </c>
      <c r="Q13" s="160">
        <v>0</v>
      </c>
      <c r="S13" s="178">
        <v>9</v>
      </c>
      <c r="T13" s="160">
        <v>2.5400000000000001E-5</v>
      </c>
      <c r="U13" s="160">
        <v>1.33235408049886E-4</v>
      </c>
      <c r="V13" s="160">
        <v>0</v>
      </c>
      <c r="W13" s="160">
        <v>0</v>
      </c>
      <c r="Y13" s="17">
        <v>4050</v>
      </c>
      <c r="Z13" s="17">
        <v>4725</v>
      </c>
      <c r="AA13" s="17">
        <v>4725</v>
      </c>
      <c r="AC13" s="161">
        <v>0.40500000000000003</v>
      </c>
      <c r="AD13" s="161">
        <v>0.47249999999999998</v>
      </c>
      <c r="AE13" s="161">
        <v>0.47249999999999998</v>
      </c>
    </row>
    <row r="14" spans="2:31">
      <c r="M14" s="178" t="s">
        <v>243</v>
      </c>
      <c r="N14" s="175">
        <f>SUMPRODUCT($M$4:$M$13,N4:N13)</f>
        <v>1.808488157083737</v>
      </c>
      <c r="O14" s="175">
        <f t="shared" ref="O14:Q14" si="0">SUMPRODUCT($M$4:$M$13,O4:O13)</f>
        <v>2.8113654301499604</v>
      </c>
      <c r="P14" s="175">
        <f t="shared" si="0"/>
        <v>2.2550607287449393</v>
      </c>
      <c r="Q14" s="175">
        <f t="shared" si="0"/>
        <v>1.6341463414634148</v>
      </c>
      <c r="S14" s="178" t="s">
        <v>243</v>
      </c>
      <c r="T14" s="175">
        <f>SUMPRODUCT($M$4:$M$13,T4:T13)</f>
        <v>2.0758327499999996</v>
      </c>
      <c r="U14" s="175">
        <f t="shared" ref="U14" si="1">SUMPRODUCT($M$4:$M$13,U4:U13)</f>
        <v>4.4687155859931762</v>
      </c>
      <c r="V14" s="175">
        <f t="shared" ref="V14" si="2">SUMPRODUCT($M$4:$M$13,V4:V13)</f>
        <v>4.2000208965195513</v>
      </c>
      <c r="W14" s="175">
        <f t="shared" ref="W14" si="3">SUMPRODUCT($M$4:$M$13,W4:W13)</f>
        <v>3.9599846845330848</v>
      </c>
    </row>
    <row r="15" spans="2:31">
      <c r="G15" s="17" t="s">
        <v>239</v>
      </c>
      <c r="T15" s="174" cm="1">
        <f t="array" ref="T15:W15">T14:W14/N14:Q14</f>
        <v>1.1478276713447584</v>
      </c>
      <c r="U15" s="174">
        <v>1.5895178684596727</v>
      </c>
      <c r="V15" s="174">
        <v>1.8624868248479878</v>
      </c>
      <c r="W15" s="174">
        <v>2.4232742099381563</v>
      </c>
      <c r="AB15" s="17" t="s">
        <v>252</v>
      </c>
      <c r="AC15" s="161">
        <f>SUMPRODUCT(T5:T13,AC5:AC13)</f>
        <v>7.4618319389999993E-2</v>
      </c>
      <c r="AD15" s="161">
        <f>SUMPRODUCT(U5:U13,AD5:AD13)</f>
        <v>0.1596811869958952</v>
      </c>
      <c r="AE15" s="161">
        <f>SUMPRODUCT(U5:U13,AE5:AE13)</f>
        <v>0.12448691414458345</v>
      </c>
    </row>
    <row r="16" spans="2:31">
      <c r="G16" s="161">
        <f>SUMPRODUCT(H4:H13,D4:D13)</f>
        <v>4.8550799999999991E-2</v>
      </c>
      <c r="H16" s="174">
        <f>1/G16</f>
        <v>20.596982953936912</v>
      </c>
      <c r="AC16" s="161" cm="1">
        <f t="array" ref="AC16:AE16">1-AC15:AE15</f>
        <v>0.92538168061000003</v>
      </c>
      <c r="AD16" s="161">
        <v>0.84031881300410483</v>
      </c>
      <c r="AE16" s="161">
        <v>0.87551308585541654</v>
      </c>
    </row>
    <row r="17" spans="2:49">
      <c r="B17" s="17" t="s">
        <v>244</v>
      </c>
      <c r="M17" s="17" t="s">
        <v>170</v>
      </c>
      <c r="S17" s="17" t="s">
        <v>169</v>
      </c>
      <c r="Y17" s="17" t="s">
        <v>250</v>
      </c>
      <c r="AC17" s="17" t="s">
        <v>251</v>
      </c>
      <c r="AG17" s="17" t="s">
        <v>110</v>
      </c>
    </row>
    <row r="18" spans="2:49">
      <c r="B18" s="133"/>
      <c r="C18" s="133" t="s">
        <v>170</v>
      </c>
      <c r="D18" s="133" t="s">
        <v>237</v>
      </c>
      <c r="E18" s="133" t="s">
        <v>238</v>
      </c>
      <c r="G18" s="17" t="s">
        <v>235</v>
      </c>
      <c r="H18" s="17" t="s">
        <v>236</v>
      </c>
      <c r="M18" s="141" t="s">
        <v>247</v>
      </c>
      <c r="N18" s="141" t="s">
        <v>109</v>
      </c>
      <c r="O18" s="141" t="s">
        <v>110</v>
      </c>
      <c r="S18" s="141" t="s">
        <v>247</v>
      </c>
      <c r="T18" s="141" t="s">
        <v>109</v>
      </c>
      <c r="U18" s="141" t="s">
        <v>250</v>
      </c>
      <c r="V18" s="141" t="s">
        <v>251</v>
      </c>
      <c r="W18" s="141" t="s">
        <v>110</v>
      </c>
      <c r="Y18" s="133" t="s">
        <v>235</v>
      </c>
      <c r="Z18" s="133" t="s">
        <v>236</v>
      </c>
      <c r="AA18" s="133"/>
      <c r="AC18" s="133" t="s">
        <v>235</v>
      </c>
      <c r="AD18" s="133" t="s">
        <v>236</v>
      </c>
      <c r="AE18" s="133"/>
      <c r="AG18" s="133" t="s">
        <v>235</v>
      </c>
      <c r="AH18" s="133" t="s">
        <v>236</v>
      </c>
      <c r="AI18" s="133"/>
    </row>
    <row r="19" spans="2:49">
      <c r="B19" s="162">
        <v>0</v>
      </c>
      <c r="C19" s="168">
        <v>0.86973562490871026</v>
      </c>
      <c r="D19" s="163" cm="1">
        <f t="array" ref="D19:D31">K19:K31</f>
        <v>0</v>
      </c>
      <c r="E19" s="163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61" cm="1">
        <f t="array" ref="I19:I31">_xlfn.ANCHORARRAY(G19)/SUM(_xlfn.ANCHORARRAY(G19))*G16</f>
        <v>0</v>
      </c>
      <c r="J19" s="161" cm="1">
        <f t="array" ref="J19:J31">_xlfn.ANCHORARRAY(H19)/SUM(_xlfn.ANCHORARRAY(H19))*(1-G16)</f>
        <v>0</v>
      </c>
      <c r="K19" s="161" cm="1">
        <f t="array" ref="K19:K23">J19:J23</f>
        <v>0</v>
      </c>
      <c r="M19" s="177">
        <v>0</v>
      </c>
      <c r="N19" s="176">
        <v>0.86973562490871026</v>
      </c>
      <c r="O19" s="176">
        <v>0.64345873104997198</v>
      </c>
      <c r="P19" s="183"/>
      <c r="Q19" s="161"/>
      <c r="R19" s="161"/>
      <c r="S19" s="177">
        <v>0</v>
      </c>
      <c r="T19" s="176" cm="1">
        <f t="array" ref="T19:T31">_xlfn.ANCHORARRAY(U19)*U33+_xlfn.ANCHORARRAY(V19)*V33</f>
        <v>0.68825262495368755</v>
      </c>
      <c r="U19" s="176" cm="1">
        <f t="array" ref="U19:U31">_xlfn.ANCHORARRAY(AA19)</f>
        <v>0.78657442851850001</v>
      </c>
      <c r="V19" s="176" cm="1">
        <f t="array" ref="V19:V31">_xlfn.ANCHORARRAY(AE19)</f>
        <v>0</v>
      </c>
      <c r="W19" s="176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61" cm="1">
        <f t="array" ref="AA19:AA31">_xlfn.ANCHORARRAY(Y19)*AC15/SUM(_xlfn.ANCHORARRAY(Y19))+_xlfn.ANCHORARRAY(Z19)*AC16/SUM(_xlfn.ANCHORARRAY(Z19))</f>
        <v>0.78657442851850001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61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61" cm="1">
        <f t="array" ref="AI19:AI31">_xlfn.ANCHORARRAY(AG19)*AE15/SUM(_xlfn.ANCHORARRAY(AG19))+_xlfn.ANCHORARRAY(AH19)*AE16/SUM(_xlfn.ANCHORARRAY(AH19))</f>
        <v>0</v>
      </c>
      <c r="AN19" s="112"/>
      <c r="AO19" s="181">
        <v>50</v>
      </c>
      <c r="AP19" s="181">
        <v>50</v>
      </c>
      <c r="AQ19" s="181">
        <v>250</v>
      </c>
      <c r="AR19" s="181">
        <v>1500</v>
      </c>
      <c r="AS19" s="181">
        <v>4000</v>
      </c>
      <c r="AT19" s="181">
        <v>4000</v>
      </c>
      <c r="AU19" s="181">
        <v>4000</v>
      </c>
      <c r="AV19" s="181">
        <v>4000</v>
      </c>
      <c r="AW19" s="181">
        <v>4000</v>
      </c>
    </row>
    <row r="20" spans="2:49">
      <c r="B20" s="164">
        <v>2</v>
      </c>
      <c r="C20" s="169">
        <v>3.4690101757631819E-2</v>
      </c>
      <c r="D20" s="165">
        <v>0.34252171199999998</v>
      </c>
      <c r="E20" s="165">
        <v>0</v>
      </c>
      <c r="G20" s="17">
        <v>0</v>
      </c>
      <c r="H20" s="17">
        <v>3600</v>
      </c>
      <c r="I20" s="161">
        <v>0</v>
      </c>
      <c r="J20" s="161">
        <v>0.34252171199999998</v>
      </c>
      <c r="K20" s="161">
        <v>0.34252171199999998</v>
      </c>
      <c r="M20" s="178">
        <v>2</v>
      </c>
      <c r="N20" s="160">
        <v>3.4690101757631819E-2</v>
      </c>
      <c r="O20" s="160">
        <v>0.21617069062324537</v>
      </c>
      <c r="P20" s="161"/>
      <c r="Q20" s="161"/>
      <c r="R20" s="161"/>
      <c r="S20" s="178">
        <v>2</v>
      </c>
      <c r="T20" s="160">
        <v>7.8299795111872211E-2</v>
      </c>
      <c r="U20" s="160">
        <v>4.62690840305E-2</v>
      </c>
      <c r="V20" s="160">
        <v>0.30251477268147775</v>
      </c>
      <c r="W20" s="160">
        <v>0.55157324408891251</v>
      </c>
      <c r="X20" s="161"/>
      <c r="Y20" s="17">
        <v>0</v>
      </c>
      <c r="Z20" s="17">
        <v>500</v>
      </c>
      <c r="AA20" s="161">
        <v>4.62690840305E-2</v>
      </c>
      <c r="AC20" s="17">
        <v>0</v>
      </c>
      <c r="AD20" s="17">
        <v>3600</v>
      </c>
      <c r="AE20" s="161">
        <v>0.30251477268147775</v>
      </c>
      <c r="AG20" s="17">
        <v>0</v>
      </c>
      <c r="AH20" s="17">
        <v>6300</v>
      </c>
      <c r="AI20" s="161">
        <v>0.55157324408891251</v>
      </c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</row>
    <row r="21" spans="2:49">
      <c r="B21" s="164">
        <v>3</v>
      </c>
      <c r="C21" s="169">
        <v>2.8506743268903064E-2</v>
      </c>
      <c r="D21" s="165">
        <v>0.32349272800000001</v>
      </c>
      <c r="E21" s="165">
        <v>0</v>
      </c>
      <c r="G21" s="17">
        <v>0</v>
      </c>
      <c r="H21" s="17">
        <v>3400</v>
      </c>
      <c r="I21" s="161">
        <v>0</v>
      </c>
      <c r="J21" s="161">
        <v>0.32349272800000001</v>
      </c>
      <c r="K21" s="161">
        <v>0.32349272800000001</v>
      </c>
      <c r="M21" s="178">
        <v>3</v>
      </c>
      <c r="N21" s="160">
        <v>2.8506743268903064E-2</v>
      </c>
      <c r="O21" s="160">
        <v>8.5906793935991016E-2</v>
      </c>
      <c r="P21" s="161"/>
      <c r="Q21" s="161"/>
      <c r="R21" s="161"/>
      <c r="S21" s="178">
        <v>3</v>
      </c>
      <c r="T21" s="160">
        <v>6.8101908374024453E-2</v>
      </c>
      <c r="U21" s="160">
        <v>3.7015267224400003E-2</v>
      </c>
      <c r="V21" s="160">
        <v>0.28570839642139562</v>
      </c>
      <c r="W21" s="160">
        <v>0.24514366403951662</v>
      </c>
      <c r="X21" s="161"/>
      <c r="Y21" s="17">
        <v>0</v>
      </c>
      <c r="Z21" s="17">
        <v>400</v>
      </c>
      <c r="AA21" s="161">
        <v>3.7015267224400003E-2</v>
      </c>
      <c r="AC21" s="17">
        <v>0</v>
      </c>
      <c r="AD21" s="17">
        <v>3400</v>
      </c>
      <c r="AE21" s="161">
        <v>0.28570839642139562</v>
      </c>
      <c r="AG21" s="17">
        <v>0</v>
      </c>
      <c r="AH21" s="17">
        <v>2800</v>
      </c>
      <c r="AI21" s="161">
        <v>0.24514366403951662</v>
      </c>
      <c r="AN21" s="112">
        <v>300</v>
      </c>
      <c r="AO21" s="181" cm="1">
        <f t="array" ref="AO21:AW21">Parameter!AD4:AL4*AN21</f>
        <v>300</v>
      </c>
      <c r="AP21" s="181">
        <v>600</v>
      </c>
      <c r="AQ21" s="181">
        <v>900</v>
      </c>
      <c r="AR21" s="181">
        <v>1200</v>
      </c>
      <c r="AS21" s="181">
        <v>1500</v>
      </c>
      <c r="AT21" s="181">
        <v>1800</v>
      </c>
      <c r="AU21" s="181">
        <v>2100</v>
      </c>
      <c r="AV21" s="181">
        <v>2400</v>
      </c>
      <c r="AW21" s="181">
        <v>2700</v>
      </c>
    </row>
    <row r="22" spans="2:49">
      <c r="B22" s="164">
        <v>5</v>
      </c>
      <c r="C22" s="169">
        <v>1.9109985880519986E-2</v>
      </c>
      <c r="D22" s="165">
        <v>0.14271738</v>
      </c>
      <c r="E22" s="165">
        <v>0</v>
      </c>
      <c r="G22" s="17">
        <v>0</v>
      </c>
      <c r="H22" s="17">
        <v>1500</v>
      </c>
      <c r="I22" s="161">
        <v>0</v>
      </c>
      <c r="J22" s="161">
        <v>0.14271738</v>
      </c>
      <c r="K22" s="161">
        <v>0.14271738</v>
      </c>
      <c r="M22" s="178">
        <v>5</v>
      </c>
      <c r="N22" s="160">
        <v>1.9109985880519986E-2</v>
      </c>
      <c r="O22" s="160">
        <v>2.1897810218978103E-2</v>
      </c>
      <c r="P22" s="161"/>
      <c r="Q22" s="161"/>
      <c r="R22" s="161"/>
      <c r="S22" s="178">
        <v>5</v>
      </c>
      <c r="T22" s="160">
        <v>4.0047246859839472E-2</v>
      </c>
      <c r="U22" s="160">
        <v>2.7761450418300002E-2</v>
      </c>
      <c r="V22" s="160">
        <v>0.12604782195061573</v>
      </c>
      <c r="W22" s="160">
        <v>5.2530785151324998E-2</v>
      </c>
      <c r="X22" s="161"/>
      <c r="Y22" s="17">
        <v>0</v>
      </c>
      <c r="Z22" s="17">
        <v>300</v>
      </c>
      <c r="AA22" s="161">
        <v>2.7761450418300002E-2</v>
      </c>
      <c r="AC22" s="17">
        <v>0</v>
      </c>
      <c r="AD22" s="17">
        <v>1500</v>
      </c>
      <c r="AE22" s="161">
        <v>0.12604782195061573</v>
      </c>
      <c r="AG22" s="17">
        <v>0</v>
      </c>
      <c r="AH22" s="17">
        <v>600</v>
      </c>
      <c r="AI22" s="161">
        <v>5.2530785151324998E-2</v>
      </c>
      <c r="AN22" s="112"/>
      <c r="AO22" s="182">
        <v>1</v>
      </c>
      <c r="AP22" s="182">
        <v>1</v>
      </c>
      <c r="AQ22" s="182">
        <v>1.2</v>
      </c>
      <c r="AR22" s="182">
        <v>1.2</v>
      </c>
      <c r="AS22" s="182">
        <v>1.5</v>
      </c>
      <c r="AT22" s="182">
        <v>1.5</v>
      </c>
      <c r="AU22" s="182">
        <v>1.5</v>
      </c>
      <c r="AV22" s="182">
        <v>1.5</v>
      </c>
      <c r="AW22" s="182">
        <v>1.5</v>
      </c>
    </row>
    <row r="23" spans="2:49">
      <c r="B23" s="164">
        <v>8</v>
      </c>
      <c r="C23" s="169">
        <v>1.8111884707142509E-2</v>
      </c>
      <c r="D23" s="165">
        <v>0.14271738</v>
      </c>
      <c r="E23" s="165">
        <v>0</v>
      </c>
      <c r="G23" s="17">
        <v>0</v>
      </c>
      <c r="H23" s="17">
        <v>1500</v>
      </c>
      <c r="I23" s="161">
        <v>0</v>
      </c>
      <c r="J23" s="161">
        <v>0.14271738</v>
      </c>
      <c r="K23" s="161">
        <v>0.14271738</v>
      </c>
      <c r="M23" s="178">
        <v>8</v>
      </c>
      <c r="N23" s="160">
        <v>1.8111884707142509E-2</v>
      </c>
      <c r="O23" s="160">
        <v>1.0668163952835485E-2</v>
      </c>
      <c r="P23" s="161"/>
      <c r="Q23" s="161"/>
      <c r="R23" s="161"/>
      <c r="S23" s="178">
        <v>8</v>
      </c>
      <c r="T23" s="160">
        <v>4.0047246859839472E-2</v>
      </c>
      <c r="U23" s="160">
        <v>2.7761450418300002E-2</v>
      </c>
      <c r="V23" s="160">
        <v>0.12604782195061573</v>
      </c>
      <c r="W23" s="160">
        <v>2.6265392575662499E-2</v>
      </c>
      <c r="X23" s="161"/>
      <c r="Y23" s="17">
        <v>0</v>
      </c>
      <c r="Z23" s="17">
        <v>300</v>
      </c>
      <c r="AA23" s="161">
        <v>2.7761450418300002E-2</v>
      </c>
      <c r="AC23" s="17">
        <v>0</v>
      </c>
      <c r="AD23" s="17">
        <v>1500</v>
      </c>
      <c r="AE23" s="161">
        <v>0.12604782195061573</v>
      </c>
      <c r="AG23" s="17">
        <v>0</v>
      </c>
      <c r="AH23" s="17">
        <v>300</v>
      </c>
      <c r="AI23" s="161">
        <v>2.6265392575662499E-2</v>
      </c>
      <c r="AN23" s="112"/>
      <c r="AO23" s="112" cm="1">
        <f t="array" ref="AO23:AW23">INT(AO21:AW21*AO22:AW22)</f>
        <v>300</v>
      </c>
      <c r="AP23" s="112">
        <v>600</v>
      </c>
      <c r="AQ23" s="112">
        <v>1080</v>
      </c>
      <c r="AR23" s="112">
        <v>1440</v>
      </c>
      <c r="AS23" s="112">
        <v>2250</v>
      </c>
      <c r="AT23" s="112">
        <v>2700</v>
      </c>
      <c r="AU23" s="112">
        <v>3150</v>
      </c>
      <c r="AV23" s="112">
        <v>3600</v>
      </c>
      <c r="AW23" s="112">
        <v>4050</v>
      </c>
    </row>
    <row r="24" spans="2:49">
      <c r="B24" s="164">
        <v>10</v>
      </c>
      <c r="C24" s="169">
        <v>1.4849797945372219E-2</v>
      </c>
      <c r="D24" s="165">
        <v>1.8934811999999999E-2</v>
      </c>
      <c r="E24" s="165">
        <v>0</v>
      </c>
      <c r="G24" s="17">
        <v>3900</v>
      </c>
      <c r="H24" s="17">
        <v>0</v>
      </c>
      <c r="I24" s="161">
        <v>1.8934811999999999E-2</v>
      </c>
      <c r="J24" s="161">
        <v>0</v>
      </c>
      <c r="K24" s="161" cm="1">
        <f t="array" ref="K24:K31">I24:I31</f>
        <v>1.8934811999999999E-2</v>
      </c>
      <c r="M24" s="178">
        <v>10</v>
      </c>
      <c r="N24" s="160">
        <v>1.4849797945372219E-2</v>
      </c>
      <c r="O24" s="160">
        <v>1.0106681639528355E-2</v>
      </c>
      <c r="P24" s="161"/>
      <c r="Q24" s="161"/>
      <c r="R24" s="161"/>
      <c r="S24" s="178">
        <v>10</v>
      </c>
      <c r="T24" s="160">
        <v>3.5243974195336078E-2</v>
      </c>
      <c r="U24" s="160">
        <v>2.9101144562099994E-2</v>
      </c>
      <c r="V24" s="160">
        <v>7.8243781627988659E-2</v>
      </c>
      <c r="W24" s="160">
        <v>5.9131284218677138E-2</v>
      </c>
      <c r="X24" s="161"/>
      <c r="Y24" s="17">
        <v>3900</v>
      </c>
      <c r="Z24" s="17">
        <v>0</v>
      </c>
      <c r="AA24" s="161">
        <v>2.9101144562099994E-2</v>
      </c>
      <c r="AC24" s="17">
        <v>4900</v>
      </c>
      <c r="AD24" s="17">
        <v>0</v>
      </c>
      <c r="AE24" s="161">
        <v>7.8243781627988659E-2</v>
      </c>
      <c r="AG24" s="17">
        <v>4750</v>
      </c>
      <c r="AH24" s="17">
        <v>0</v>
      </c>
      <c r="AI24" s="161">
        <v>5.9131284218677138E-2</v>
      </c>
      <c r="AN24" s="112"/>
      <c r="AO24" s="112"/>
      <c r="AP24" s="112"/>
      <c r="AQ24" s="112"/>
      <c r="AR24" s="112"/>
      <c r="AS24" s="112"/>
      <c r="AT24" s="112"/>
      <c r="AU24" s="112"/>
      <c r="AV24" s="112"/>
      <c r="AW24" s="112"/>
    </row>
    <row r="25" spans="2:49">
      <c r="B25" s="164">
        <v>15</v>
      </c>
      <c r="C25" s="169">
        <v>8.7881591119333951E-3</v>
      </c>
      <c r="D25" s="165">
        <v>1.4565239999999997E-2</v>
      </c>
      <c r="E25" s="165">
        <v>0</v>
      </c>
      <c r="G25" s="17">
        <v>3000</v>
      </c>
      <c r="H25" s="17">
        <v>0</v>
      </c>
      <c r="I25" s="161">
        <v>1.4565239999999997E-2</v>
      </c>
      <c r="J25" s="161">
        <v>0</v>
      </c>
      <c r="K25" s="161">
        <v>1.4565239999999997E-2</v>
      </c>
      <c r="M25" s="178">
        <v>15</v>
      </c>
      <c r="N25" s="160">
        <v>8.7881591119333951E-3</v>
      </c>
      <c r="O25" s="160">
        <v>5.8955642897248733E-3</v>
      </c>
      <c r="P25" s="161"/>
      <c r="Q25" s="161"/>
      <c r="R25" s="161"/>
      <c r="S25" s="178">
        <v>15</v>
      </c>
      <c r="T25" s="160">
        <v>2.5575353352221067E-2</v>
      </c>
      <c r="U25" s="160">
        <v>2.2385495816999997E-2</v>
      </c>
      <c r="V25" s="160">
        <v>4.7904356098768565E-2</v>
      </c>
      <c r="W25" s="160">
        <v>3.3611466819037532E-2</v>
      </c>
      <c r="X25" s="161"/>
      <c r="Y25" s="17">
        <v>3000</v>
      </c>
      <c r="Z25" s="17">
        <v>0</v>
      </c>
      <c r="AA25" s="161">
        <v>2.2385495816999997E-2</v>
      </c>
      <c r="AC25" s="17">
        <v>3000</v>
      </c>
      <c r="AD25" s="17">
        <v>0</v>
      </c>
      <c r="AE25" s="161">
        <v>4.7904356098768565E-2</v>
      </c>
      <c r="AG25" s="17">
        <v>2700</v>
      </c>
      <c r="AH25" s="17">
        <v>0</v>
      </c>
      <c r="AI25" s="161">
        <v>3.3611466819037532E-2</v>
      </c>
      <c r="AN25" s="112"/>
      <c r="AO25" s="112"/>
      <c r="AP25" s="112"/>
      <c r="AQ25" s="112"/>
      <c r="AR25" s="112"/>
      <c r="AS25" s="112"/>
      <c r="AT25" s="112"/>
      <c r="AU25" s="112"/>
      <c r="AV25" s="112"/>
      <c r="AW25" s="112"/>
    </row>
    <row r="26" spans="2:49">
      <c r="B26" s="164">
        <v>20</v>
      </c>
      <c r="C26" s="169">
        <v>4.5523151078436146E-3</v>
      </c>
      <c r="D26" s="165">
        <v>9.7101599999999989E-3</v>
      </c>
      <c r="E26" s="165">
        <v>0</v>
      </c>
      <c r="G26" s="17">
        <v>2000</v>
      </c>
      <c r="H26" s="17">
        <v>0</v>
      </c>
      <c r="I26" s="161">
        <v>9.7101599999999989E-3</v>
      </c>
      <c r="J26" s="161">
        <v>0</v>
      </c>
      <c r="K26" s="161">
        <v>9.7101599999999989E-3</v>
      </c>
      <c r="M26" s="178">
        <v>20</v>
      </c>
      <c r="N26" s="160">
        <v>4.5523151078436146E-3</v>
      </c>
      <c r="O26" s="160">
        <v>2.807411566535654E-3</v>
      </c>
      <c r="P26" s="161"/>
      <c r="Q26" s="161"/>
      <c r="R26" s="161"/>
      <c r="S26" s="178">
        <v>20</v>
      </c>
      <c r="T26" s="160">
        <v>1.5752825923805731E-2</v>
      </c>
      <c r="U26" s="160">
        <v>1.4923663877999999E-2</v>
      </c>
      <c r="V26" s="160">
        <v>2.1556960244445852E-2</v>
      </c>
      <c r="W26" s="160">
        <v>1.7428167980241681E-2</v>
      </c>
      <c r="X26" s="161"/>
      <c r="Y26" s="17">
        <v>2000</v>
      </c>
      <c r="Z26" s="17">
        <v>0</v>
      </c>
      <c r="AA26" s="161">
        <v>1.4923663877999999E-2</v>
      </c>
      <c r="AC26" s="17">
        <v>1350</v>
      </c>
      <c r="AD26" s="17">
        <v>0</v>
      </c>
      <c r="AE26" s="161">
        <v>2.1556960244445852E-2</v>
      </c>
      <c r="AG26" s="17">
        <v>1400</v>
      </c>
      <c r="AH26" s="17">
        <v>0</v>
      </c>
      <c r="AI26" s="161">
        <v>1.7428167980241681E-2</v>
      </c>
      <c r="AN26" s="112">
        <v>350</v>
      </c>
      <c r="AO26" s="181" cm="1">
        <f t="array" ref="AO26:AW26">Parameter!AD4:AL4*AN26</f>
        <v>350</v>
      </c>
      <c r="AP26" s="181">
        <v>700</v>
      </c>
      <c r="AQ26" s="181">
        <v>1050</v>
      </c>
      <c r="AR26" s="181">
        <v>1400</v>
      </c>
      <c r="AS26" s="181">
        <v>1750</v>
      </c>
      <c r="AT26" s="181">
        <v>2100</v>
      </c>
      <c r="AU26" s="181">
        <v>2450</v>
      </c>
      <c r="AV26" s="181">
        <v>2800</v>
      </c>
      <c r="AW26" s="181">
        <v>3150</v>
      </c>
    </row>
    <row r="27" spans="2:49">
      <c r="B27" s="164">
        <v>25</v>
      </c>
      <c r="C27" s="169">
        <v>1.3876040703052729E-3</v>
      </c>
      <c r="D27" s="165">
        <v>2.4275399999999997E-3</v>
      </c>
      <c r="E27" s="165">
        <v>0</v>
      </c>
      <c r="G27" s="17">
        <v>500</v>
      </c>
      <c r="H27" s="17">
        <v>0</v>
      </c>
      <c r="I27" s="161">
        <v>2.4275399999999997E-3</v>
      </c>
      <c r="J27" s="161">
        <v>0</v>
      </c>
      <c r="K27" s="161">
        <v>2.4275399999999997E-3</v>
      </c>
      <c r="M27" s="178">
        <v>25</v>
      </c>
      <c r="N27" s="160">
        <v>1.3876040703052729E-3</v>
      </c>
      <c r="O27" s="160">
        <v>5.6148231330713087E-4</v>
      </c>
      <c r="P27" s="161"/>
      <c r="Q27" s="161"/>
      <c r="R27" s="161"/>
      <c r="S27" s="178">
        <v>25</v>
      </c>
      <c r="T27" s="160">
        <v>4.2625588920368451E-3</v>
      </c>
      <c r="U27" s="160">
        <v>3.7309159694999998E-3</v>
      </c>
      <c r="V27" s="160">
        <v>7.9840593497947591E-3</v>
      </c>
      <c r="W27" s="160">
        <v>3.1121728536145864E-3</v>
      </c>
      <c r="X27" s="161"/>
      <c r="Y27" s="17">
        <v>500</v>
      </c>
      <c r="Z27" s="17">
        <v>0</v>
      </c>
      <c r="AA27" s="161">
        <v>3.7309159694999998E-3</v>
      </c>
      <c r="AC27" s="17">
        <v>500</v>
      </c>
      <c r="AD27" s="17">
        <v>0</v>
      </c>
      <c r="AE27" s="161">
        <v>7.9840593497947591E-3</v>
      </c>
      <c r="AG27" s="17">
        <v>250</v>
      </c>
      <c r="AH27" s="17">
        <v>0</v>
      </c>
      <c r="AI27" s="161">
        <v>3.1121728536145864E-3</v>
      </c>
      <c r="AN27" s="112"/>
      <c r="AO27" s="182">
        <v>0</v>
      </c>
      <c r="AP27" s="182">
        <v>0</v>
      </c>
      <c r="AQ27" s="182">
        <v>1</v>
      </c>
      <c r="AR27" s="182">
        <v>1</v>
      </c>
      <c r="AS27" s="182">
        <v>1</v>
      </c>
      <c r="AT27" s="182">
        <v>1</v>
      </c>
      <c r="AU27" s="182">
        <v>1.5</v>
      </c>
      <c r="AV27" s="182">
        <v>1.5</v>
      </c>
      <c r="AW27" s="182">
        <v>1.5</v>
      </c>
    </row>
    <row r="28" spans="2:49">
      <c r="B28" s="164">
        <v>35</v>
      </c>
      <c r="C28" s="169">
        <v>1.9475144846389794E-4</v>
      </c>
      <c r="D28" s="165">
        <v>9.7101599999999989E-4</v>
      </c>
      <c r="E28" s="165">
        <v>0</v>
      </c>
      <c r="G28" s="17">
        <v>200</v>
      </c>
      <c r="H28" s="17">
        <v>0</v>
      </c>
      <c r="I28" s="161">
        <v>9.7101599999999989E-4</v>
      </c>
      <c r="J28" s="161">
        <v>0</v>
      </c>
      <c r="K28" s="161">
        <v>9.7101599999999989E-4</v>
      </c>
      <c r="M28" s="178">
        <v>35</v>
      </c>
      <c r="N28" s="160">
        <v>1.9475144846389794E-4</v>
      </c>
      <c r="O28" s="160">
        <v>5.6148231330713087E-4</v>
      </c>
      <c r="P28" s="161"/>
      <c r="Q28" s="161"/>
      <c r="R28" s="161"/>
      <c r="S28" s="178">
        <v>35</v>
      </c>
      <c r="T28" s="160">
        <v>1.4555217021336516E-3</v>
      </c>
      <c r="U28" s="160">
        <v>1.4923663878E-3</v>
      </c>
      <c r="V28" s="160">
        <v>1.1976089024692139E-3</v>
      </c>
      <c r="W28" s="160">
        <v>3.7346074243375035E-3</v>
      </c>
      <c r="X28" s="161"/>
      <c r="Y28" s="17">
        <v>200</v>
      </c>
      <c r="Z28" s="17">
        <v>0</v>
      </c>
      <c r="AA28" s="161">
        <v>1.4923663878E-3</v>
      </c>
      <c r="AC28" s="17">
        <v>75</v>
      </c>
      <c r="AD28" s="17">
        <v>0</v>
      </c>
      <c r="AE28" s="161">
        <v>1.1976089024692139E-3</v>
      </c>
      <c r="AG28" s="17">
        <v>300</v>
      </c>
      <c r="AH28" s="17">
        <v>0</v>
      </c>
      <c r="AI28" s="161">
        <v>3.7346074243375035E-3</v>
      </c>
      <c r="AN28" s="112"/>
      <c r="AO28" s="112" cm="1">
        <f t="array" ref="AO28:AW28">INT(_xlfn.ANCHORARRAY(AO26)*AO27:AW27)</f>
        <v>0</v>
      </c>
      <c r="AP28" s="112">
        <v>0</v>
      </c>
      <c r="AQ28" s="112">
        <v>1050</v>
      </c>
      <c r="AR28" s="112">
        <v>1400</v>
      </c>
      <c r="AS28" s="112">
        <v>1750</v>
      </c>
      <c r="AT28" s="112">
        <v>2100</v>
      </c>
      <c r="AU28" s="112">
        <v>3675</v>
      </c>
      <c r="AV28" s="112">
        <v>4200</v>
      </c>
      <c r="AW28" s="112">
        <v>4725</v>
      </c>
    </row>
    <row r="29" spans="2:49">
      <c r="B29" s="164">
        <v>50</v>
      </c>
      <c r="C29" s="169">
        <v>2.4343931057987243E-5</v>
      </c>
      <c r="D29" s="165">
        <v>9.7101599999999989E-4</v>
      </c>
      <c r="E29" s="165">
        <v>0</v>
      </c>
      <c r="G29" s="17">
        <v>200</v>
      </c>
      <c r="H29" s="17">
        <v>0</v>
      </c>
      <c r="I29" s="161">
        <v>9.7101599999999989E-4</v>
      </c>
      <c r="J29" s="161">
        <v>0</v>
      </c>
      <c r="K29" s="161">
        <v>9.7101599999999989E-4</v>
      </c>
      <c r="M29" s="178">
        <v>50</v>
      </c>
      <c r="N29" s="160">
        <v>2.4343931057987243E-5</v>
      </c>
      <c r="O29" s="160">
        <v>8.4222346996069624E-4</v>
      </c>
      <c r="P29" s="161"/>
      <c r="Q29" s="161"/>
      <c r="R29" s="161"/>
      <c r="S29" s="178">
        <v>50</v>
      </c>
      <c r="T29" s="160">
        <v>1.4555217021336516E-3</v>
      </c>
      <c r="U29" s="160">
        <v>1.4923663878E-3</v>
      </c>
      <c r="V29" s="160">
        <v>1.1976089024692139E-3</v>
      </c>
      <c r="W29" s="160">
        <v>3.7346074243375035E-3</v>
      </c>
      <c r="X29" s="161"/>
      <c r="Y29" s="17">
        <v>200</v>
      </c>
      <c r="Z29" s="17">
        <v>0</v>
      </c>
      <c r="AA29" s="161">
        <v>1.4923663878E-3</v>
      </c>
      <c r="AC29" s="17">
        <v>75</v>
      </c>
      <c r="AD29" s="17">
        <v>0</v>
      </c>
      <c r="AE29" s="161">
        <v>1.1976089024692139E-3</v>
      </c>
      <c r="AG29" s="17">
        <v>300</v>
      </c>
      <c r="AH29" s="17">
        <v>0</v>
      </c>
      <c r="AI29" s="161">
        <v>3.7346074243375035E-3</v>
      </c>
    </row>
    <row r="30" spans="2:49">
      <c r="B30" s="164">
        <v>80</v>
      </c>
      <c r="C30" s="169">
        <v>4.8687862115974485E-5</v>
      </c>
      <c r="D30" s="165">
        <v>4.8550799999999995E-4</v>
      </c>
      <c r="E30" s="165">
        <v>0</v>
      </c>
      <c r="G30" s="17">
        <v>100</v>
      </c>
      <c r="H30" s="17">
        <v>0</v>
      </c>
      <c r="I30" s="161">
        <v>4.8550799999999995E-4</v>
      </c>
      <c r="J30" s="161">
        <v>0</v>
      </c>
      <c r="K30" s="161">
        <v>4.8550799999999995E-4</v>
      </c>
      <c r="M30" s="178">
        <v>80</v>
      </c>
      <c r="N30" s="160">
        <v>4.8687862115974485E-5</v>
      </c>
      <c r="O30" s="160">
        <v>8.4222346996069624E-4</v>
      </c>
      <c r="P30" s="161"/>
      <c r="Q30" s="161"/>
      <c r="R30" s="161"/>
      <c r="S30" s="178">
        <v>80</v>
      </c>
      <c r="T30" s="160">
        <v>7.5271103653493446E-4</v>
      </c>
      <c r="U30" s="160">
        <v>7.4618319389999999E-4</v>
      </c>
      <c r="V30" s="160">
        <v>7.9840593497947608E-4</v>
      </c>
      <c r="W30" s="160">
        <v>1.8673037121687518E-3</v>
      </c>
      <c r="X30" s="161"/>
      <c r="Y30" s="17">
        <v>100</v>
      </c>
      <c r="Z30" s="17">
        <v>0</v>
      </c>
      <c r="AA30" s="161">
        <v>7.4618319389999999E-4</v>
      </c>
      <c r="AC30" s="17">
        <v>50</v>
      </c>
      <c r="AD30" s="17">
        <v>0</v>
      </c>
      <c r="AE30" s="161">
        <v>7.9840593497947608E-4</v>
      </c>
      <c r="AG30" s="17">
        <v>150</v>
      </c>
      <c r="AH30" s="17">
        <v>0</v>
      </c>
      <c r="AI30" s="161">
        <v>1.8673037121687518E-3</v>
      </c>
    </row>
    <row r="31" spans="2:49">
      <c r="B31" s="164">
        <v>100</v>
      </c>
      <c r="C31" s="169">
        <v>0</v>
      </c>
      <c r="D31" s="165">
        <v>4.8550799999999995E-4</v>
      </c>
      <c r="E31" s="165">
        <v>0</v>
      </c>
      <c r="G31" s="17">
        <v>100</v>
      </c>
      <c r="H31" s="17">
        <v>0</v>
      </c>
      <c r="I31" s="161">
        <v>4.8550799999999995E-4</v>
      </c>
      <c r="J31" s="161">
        <v>0</v>
      </c>
      <c r="K31" s="161">
        <v>4.8550799999999995E-4</v>
      </c>
      <c r="M31" s="178">
        <v>100</v>
      </c>
      <c r="N31" s="160">
        <v>0</v>
      </c>
      <c r="O31" s="160">
        <v>2.8074115665356543E-4</v>
      </c>
      <c r="P31" s="161"/>
      <c r="Q31" s="161"/>
      <c r="R31" s="161"/>
      <c r="S31" s="178">
        <v>100</v>
      </c>
      <c r="T31" s="160">
        <v>7.5271103653493446E-4</v>
      </c>
      <c r="U31" s="160">
        <v>7.4618319389999999E-4</v>
      </c>
      <c r="V31" s="160">
        <v>7.9840593497947608E-4</v>
      </c>
      <c r="W31" s="160">
        <v>1.8673037121687518E-3</v>
      </c>
      <c r="X31" s="161"/>
      <c r="Y31" s="17">
        <v>100</v>
      </c>
      <c r="Z31" s="17">
        <v>0</v>
      </c>
      <c r="AA31" s="161">
        <v>7.4618319389999999E-4</v>
      </c>
      <c r="AC31" s="17">
        <v>50</v>
      </c>
      <c r="AD31" s="17">
        <v>0</v>
      </c>
      <c r="AE31" s="161">
        <v>7.9840593497947608E-4</v>
      </c>
      <c r="AG31" s="17">
        <v>150</v>
      </c>
      <c r="AH31" s="17">
        <v>0</v>
      </c>
      <c r="AI31" s="161">
        <v>1.8673037121687518E-3</v>
      </c>
    </row>
    <row r="32" spans="2:49">
      <c r="C32" s="17">
        <f>SUMPRODUCT(C19:C31,B19:B31)</f>
        <v>0.81333073664735367</v>
      </c>
      <c r="D32" s="17">
        <f>SUMPRODUCT(D19:D31,B19:B31)</f>
        <v>4.3434937680000001</v>
      </c>
      <c r="M32" s="178" t="s">
        <v>248</v>
      </c>
      <c r="N32" s="175">
        <f>SUMPRODUCT($M$19:$M$31, N19:N31)</f>
        <v>0.81333073664735367</v>
      </c>
      <c r="O32" s="175">
        <f>SUMPRODUCT($M$19:$M$31, O19:O31)</f>
        <v>1.301796743402583</v>
      </c>
      <c r="S32" s="178" t="s">
        <v>248</v>
      </c>
      <c r="T32" s="175"/>
      <c r="U32" s="175">
        <f>SUMPRODUCT($M$20:$M$31, U20:U31)</f>
        <v>1.8441870027106</v>
      </c>
      <c r="V32" s="175">
        <f>SUMPRODUCT($M$20:$M$31, V20:V31)</f>
        <v>5.4780300913865361</v>
      </c>
      <c r="W32" s="175">
        <f>SUMPRODUCT($M$19:$M$31, W19:W31)</f>
        <v>4.4867633713348951</v>
      </c>
    </row>
    <row r="33" spans="3:29">
      <c r="U33" s="17">
        <f>Parameter!J5/SUM(Parameter!J5:J6)</f>
        <v>0.875</v>
      </c>
      <c r="V33" s="17">
        <f>Parameter!J6/SUM(Parameter!J5:J6)</f>
        <v>0.125</v>
      </c>
    </row>
    <row r="34" spans="3:29">
      <c r="C34" s="17">
        <f>1/SUM(C24:C31)</f>
        <v>33.50570962479609</v>
      </c>
      <c r="D34" s="17">
        <f>1/SUM(D24:D31)</f>
        <v>20.596982953936909</v>
      </c>
    </row>
    <row r="37" spans="3:29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>
      <c r="B67" s="17" t="s">
        <v>172</v>
      </c>
    </row>
    <row r="68" spans="2:8">
      <c r="B68" s="133" t="s">
        <v>71</v>
      </c>
      <c r="C68" s="133" t="s">
        <v>170</v>
      </c>
      <c r="D68" s="133" t="s">
        <v>169</v>
      </c>
      <c r="E68" s="171"/>
    </row>
    <row r="69" spans="2:8">
      <c r="B69" s="122">
        <v>0</v>
      </c>
      <c r="C69" s="160">
        <v>5.6827150749802685E-2</v>
      </c>
      <c r="D69" s="160">
        <v>0</v>
      </c>
      <c r="E69" s="173"/>
      <c r="H69" s="17">
        <v>0</v>
      </c>
    </row>
    <row r="70" spans="2:8">
      <c r="B70" s="122">
        <v>1</v>
      </c>
      <c r="C70" s="160">
        <v>0.14601420678768745</v>
      </c>
      <c r="D70" s="160">
        <v>0</v>
      </c>
      <c r="E70" s="173"/>
      <c r="H70" s="17" cm="1">
        <f t="array" ref="H70:H78">TRANSPOSE(Parameter!AD8:AL8)</f>
        <v>0</v>
      </c>
    </row>
    <row r="71" spans="2:8">
      <c r="B71" s="122">
        <v>2</v>
      </c>
      <c r="C71" s="160">
        <v>0.23993685872138912</v>
      </c>
      <c r="D71" s="160">
        <v>1.18E-2</v>
      </c>
      <c r="E71" s="173"/>
      <c r="H71" s="17">
        <v>0</v>
      </c>
    </row>
    <row r="72" spans="2:8">
      <c r="B72" s="122">
        <v>3</v>
      </c>
      <c r="C72" s="160">
        <v>0.24072612470402527</v>
      </c>
      <c r="D72" s="160">
        <v>0.23769999999999999</v>
      </c>
      <c r="E72" s="173"/>
      <c r="H72" s="17">
        <v>525</v>
      </c>
    </row>
    <row r="73" spans="2:8">
      <c r="B73" s="122">
        <v>4</v>
      </c>
      <c r="C73" s="160">
        <v>0.17363851617995266</v>
      </c>
      <c r="D73" s="160">
        <v>0.39269999999999999</v>
      </c>
      <c r="E73" s="173"/>
      <c r="H73" s="17">
        <v>700</v>
      </c>
    </row>
    <row r="74" spans="2:8">
      <c r="B74" s="122">
        <v>5</v>
      </c>
      <c r="C74" s="160">
        <v>0.10023677979479084</v>
      </c>
      <c r="D74" s="160">
        <v>0.25750000000000001</v>
      </c>
      <c r="E74" s="173"/>
      <c r="H74" s="17">
        <v>1750</v>
      </c>
    </row>
    <row r="75" spans="2:8">
      <c r="B75" s="122">
        <v>6</v>
      </c>
      <c r="C75" s="160">
        <v>3.1570639305445937E-2</v>
      </c>
      <c r="D75" s="160">
        <v>8.2699999999999996E-2</v>
      </c>
      <c r="E75" s="173"/>
      <c r="H75" s="17">
        <v>2100</v>
      </c>
    </row>
    <row r="76" spans="2:8">
      <c r="B76" s="122">
        <v>7</v>
      </c>
      <c r="C76" s="160">
        <v>1.0260457774269928E-2</v>
      </c>
      <c r="D76" s="160">
        <v>1.5800000000000002E-2</v>
      </c>
      <c r="E76" s="173"/>
      <c r="H76" s="17">
        <v>3675</v>
      </c>
    </row>
    <row r="77" spans="2:8">
      <c r="B77" s="122">
        <v>8</v>
      </c>
      <c r="C77" s="160">
        <v>7.8926598263614838E-4</v>
      </c>
      <c r="D77" s="160">
        <v>1.6999999999999999E-3</v>
      </c>
      <c r="E77" s="173"/>
      <c r="H77" s="17">
        <v>4200</v>
      </c>
    </row>
    <row r="78" spans="2:8">
      <c r="B78" s="122">
        <v>9</v>
      </c>
      <c r="C78" s="160">
        <v>0</v>
      </c>
      <c r="D78" s="160">
        <v>1E-4</v>
      </c>
      <c r="E78" s="173"/>
      <c r="H78" s="17">
        <v>4725</v>
      </c>
    </row>
    <row r="81" spans="2:12">
      <c r="B81" s="17" t="s">
        <v>244</v>
      </c>
      <c r="I81" s="17" t="e">
        <f>1/I82</f>
        <v>#REF!</v>
      </c>
    </row>
    <row r="82" spans="2:12">
      <c r="B82" s="133"/>
      <c r="C82" s="133" t="s">
        <v>170</v>
      </c>
      <c r="D82" s="133" t="s">
        <v>169</v>
      </c>
      <c r="E82" s="171"/>
      <c r="I82" s="161" t="e">
        <f>SUMPRODUCT(#REF!,D69:D78)</f>
        <v>#REF!</v>
      </c>
    </row>
    <row r="83" spans="2:12">
      <c r="B83" s="162">
        <v>0</v>
      </c>
      <c r="C83" s="163">
        <v>0.64345873104997198</v>
      </c>
      <c r="D83" s="163" t="e" cm="1">
        <f t="array" ref="D83:D95">J83:J95</f>
        <v>#REF!</v>
      </c>
      <c r="E83" s="172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61" t="e" cm="1">
        <f t="array" ref="I83:I95">_xlfn.ANCHORARRAY(H83)/SUM(_xlfn.ANCHORARRAY(H83))*I82</f>
        <v>#REF!</v>
      </c>
      <c r="J83" s="161" t="e" cm="1">
        <f t="array" ref="J83">#REF!</f>
        <v>#REF!</v>
      </c>
      <c r="K83" s="161"/>
      <c r="L83" s="166"/>
    </row>
    <row r="84" spans="2:12">
      <c r="B84" s="164">
        <v>2</v>
      </c>
      <c r="C84" s="165">
        <v>0.21617069062324537</v>
      </c>
      <c r="D84" s="165">
        <v>0</v>
      </c>
      <c r="E84" s="172"/>
      <c r="G84" s="17">
        <v>6300</v>
      </c>
      <c r="H84" s="17">
        <v>0</v>
      </c>
      <c r="I84" s="161" t="e">
        <v>#REF!</v>
      </c>
      <c r="J84" s="161"/>
      <c r="K84" s="161"/>
      <c r="L84" s="161"/>
    </row>
    <row r="85" spans="2:12">
      <c r="B85" s="164">
        <v>3</v>
      </c>
      <c r="C85" s="165">
        <v>8.5906793935991016E-2</v>
      </c>
      <c r="D85" s="165">
        <v>0</v>
      </c>
      <c r="E85" s="172"/>
      <c r="G85" s="17">
        <v>2800</v>
      </c>
      <c r="H85" s="17">
        <v>0</v>
      </c>
      <c r="I85" s="161" t="e">
        <v>#REF!</v>
      </c>
      <c r="J85" s="161"/>
      <c r="K85" s="161"/>
      <c r="L85" s="161"/>
    </row>
    <row r="86" spans="2:12">
      <c r="B86" s="164">
        <v>5</v>
      </c>
      <c r="C86" s="165">
        <v>2.1897810218978103E-2</v>
      </c>
      <c r="D86" s="165">
        <v>0</v>
      </c>
      <c r="E86" s="172"/>
      <c r="G86" s="17">
        <v>600</v>
      </c>
      <c r="H86" s="17">
        <v>0</v>
      </c>
      <c r="I86" s="161" t="e">
        <v>#REF!</v>
      </c>
      <c r="J86" s="161"/>
      <c r="K86" s="161"/>
      <c r="L86" s="161"/>
    </row>
    <row r="87" spans="2:12">
      <c r="B87" s="164">
        <v>8</v>
      </c>
      <c r="C87" s="165">
        <v>1.0668163952835485E-2</v>
      </c>
      <c r="D87" s="165">
        <v>0</v>
      </c>
      <c r="E87" s="172"/>
      <c r="G87" s="17">
        <v>300</v>
      </c>
      <c r="H87" s="17">
        <v>0</v>
      </c>
      <c r="I87" s="161" t="e">
        <v>#REF!</v>
      </c>
      <c r="J87" s="161"/>
      <c r="K87" s="161"/>
      <c r="L87" s="161"/>
    </row>
    <row r="88" spans="2:12">
      <c r="B88" s="164">
        <v>10</v>
      </c>
      <c r="C88" s="165">
        <v>1.0106681639528355E-2</v>
      </c>
      <c r="D88" s="165" t="e">
        <v>#REF!</v>
      </c>
      <c r="E88" s="172"/>
      <c r="G88" s="17">
        <v>0</v>
      </c>
      <c r="H88" s="17">
        <v>4750</v>
      </c>
      <c r="I88" s="161" t="e">
        <v>#REF!</v>
      </c>
      <c r="J88" s="161" t="e" cm="1">
        <f t="array" ref="J88:J95">I88:I95</f>
        <v>#REF!</v>
      </c>
      <c r="K88" s="161"/>
      <c r="L88" s="161"/>
    </row>
    <row r="89" spans="2:12">
      <c r="B89" s="164">
        <v>15</v>
      </c>
      <c r="C89" s="165">
        <v>5.8955642897248733E-3</v>
      </c>
      <c r="D89" s="165" t="e">
        <v>#REF!</v>
      </c>
      <c r="E89" s="172"/>
      <c r="G89" s="17">
        <v>0</v>
      </c>
      <c r="H89" s="17">
        <v>2700</v>
      </c>
      <c r="I89" s="161" t="e">
        <v>#REF!</v>
      </c>
      <c r="J89" s="161" t="e">
        <v>#REF!</v>
      </c>
      <c r="K89" s="161"/>
      <c r="L89" s="161"/>
    </row>
    <row r="90" spans="2:12">
      <c r="B90" s="164">
        <v>20</v>
      </c>
      <c r="C90" s="165">
        <v>2.807411566535654E-3</v>
      </c>
      <c r="D90" s="165" t="e">
        <v>#REF!</v>
      </c>
      <c r="E90" s="172"/>
      <c r="G90" s="17">
        <v>0</v>
      </c>
      <c r="H90" s="17">
        <v>1400</v>
      </c>
      <c r="I90" s="161" t="e">
        <v>#REF!</v>
      </c>
      <c r="J90" s="161" t="e">
        <v>#REF!</v>
      </c>
      <c r="K90" s="161"/>
      <c r="L90" s="161"/>
    </row>
    <row r="91" spans="2:12">
      <c r="B91" s="164">
        <v>25</v>
      </c>
      <c r="C91" s="165">
        <v>5.6148231330713087E-4</v>
      </c>
      <c r="D91" s="165" t="e">
        <v>#REF!</v>
      </c>
      <c r="E91" s="172"/>
      <c r="G91" s="17">
        <v>0</v>
      </c>
      <c r="H91" s="17">
        <v>250</v>
      </c>
      <c r="I91" s="161" t="e">
        <v>#REF!</v>
      </c>
      <c r="J91" s="161" t="e">
        <v>#REF!</v>
      </c>
      <c r="K91" s="161"/>
      <c r="L91" s="161"/>
    </row>
    <row r="92" spans="2:12">
      <c r="B92" s="164">
        <v>35</v>
      </c>
      <c r="C92" s="165">
        <v>5.6148231330713087E-4</v>
      </c>
      <c r="D92" s="165" t="e">
        <v>#REF!</v>
      </c>
      <c r="E92" s="172"/>
      <c r="G92" s="17">
        <v>0</v>
      </c>
      <c r="H92" s="17">
        <v>300</v>
      </c>
      <c r="I92" s="161" t="e">
        <v>#REF!</v>
      </c>
      <c r="J92" s="161" t="e">
        <v>#REF!</v>
      </c>
      <c r="K92" s="161"/>
      <c r="L92" s="161"/>
    </row>
    <row r="93" spans="2:12">
      <c r="B93" s="164">
        <v>50</v>
      </c>
      <c r="C93" s="165">
        <v>8.4222346996069624E-4</v>
      </c>
      <c r="D93" s="165" t="e">
        <v>#REF!</v>
      </c>
      <c r="E93" s="172"/>
      <c r="G93" s="17">
        <v>0</v>
      </c>
      <c r="H93" s="17">
        <v>300</v>
      </c>
      <c r="I93" s="161" t="e">
        <v>#REF!</v>
      </c>
      <c r="J93" s="161" t="e">
        <v>#REF!</v>
      </c>
      <c r="K93" s="161"/>
      <c r="L93" s="161"/>
    </row>
    <row r="94" spans="2:12">
      <c r="B94" s="164">
        <v>80</v>
      </c>
      <c r="C94" s="165">
        <v>8.4222346996069624E-4</v>
      </c>
      <c r="D94" s="165" t="e">
        <v>#REF!</v>
      </c>
      <c r="E94" s="172"/>
      <c r="G94" s="17">
        <v>0</v>
      </c>
      <c r="H94" s="17">
        <v>150</v>
      </c>
      <c r="I94" s="161" t="e">
        <v>#REF!</v>
      </c>
      <c r="J94" s="161" t="e">
        <v>#REF!</v>
      </c>
      <c r="K94" s="161"/>
      <c r="L94" s="161"/>
    </row>
    <row r="95" spans="2:12">
      <c r="B95" s="164">
        <v>100</v>
      </c>
      <c r="C95" s="165">
        <v>2.8074115665356543E-4</v>
      </c>
      <c r="D95" s="165" t="e">
        <v>#REF!</v>
      </c>
      <c r="E95" s="172"/>
      <c r="G95" s="17">
        <v>0</v>
      </c>
      <c r="H95" s="17">
        <v>150</v>
      </c>
      <c r="I95" s="161" t="e">
        <v>#REF!</v>
      </c>
      <c r="J95" s="161" t="e">
        <v>#REF!</v>
      </c>
      <c r="K95" s="161"/>
      <c r="L95" s="161"/>
    </row>
    <row r="96" spans="2:12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2026-06-15T09:29:14Z</dcterms:modified>
</cp:coreProperties>
</file>