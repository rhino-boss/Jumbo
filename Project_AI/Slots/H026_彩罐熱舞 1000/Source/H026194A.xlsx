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DBE34804-42A8-4F33-99E4-E9BB0E60C021}" xr6:coauthVersionLast="47" xr6:coauthVersionMax="47" xr10:uidLastSave="{00000000-0000-0000-0000-000000000000}"/>
  <bookViews>
    <workbookView xWindow="-108" yWindow="-108" windowWidth="23256" windowHeight="12456" tabRatio="742" xr2:uid="{9B98D3CB-61CD-4B6C-B23B-95ADD37DB253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  <sheet name="工作表1" sheetId="7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53" l="1"/>
  <c r="G5" i="53"/>
  <c r="E13" i="53" l="1"/>
  <c r="G161" i="77" l="1"/>
  <c r="I178" i="77" s="1" a="1"/>
  <c r="I178" i="77" s="1"/>
  <c r="G18" i="48"/>
  <c r="G231" i="48" l="1"/>
  <c r="I248" i="48" s="1" a="1"/>
  <c r="I248" i="48" s="1"/>
  <c r="I152" i="48"/>
  <c r="G161" i="48"/>
  <c r="I178" i="48" s="1" a="1"/>
  <c r="I178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W43" i="72" a="1"/>
  <c r="W43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G90" i="77"/>
  <c r="I94" i="77" s="1" a="1"/>
  <c r="I94" i="77" s="1"/>
  <c r="G18" i="77"/>
  <c r="I22" i="77" s="1" a="1"/>
  <c r="I22" i="77" s="1"/>
  <c r="B14" i="77"/>
  <c r="E80" i="77"/>
  <c r="C159" i="77" a="1"/>
  <c r="C159" i="77" s="1"/>
  <c r="D80" i="77" a="1"/>
  <c r="D80" i="77" s="1"/>
  <c r="C16" i="77" a="1"/>
  <c r="C16" i="77" s="1"/>
  <c r="B7" i="77" l="1" a="1"/>
  <c r="B7" i="77" s="1"/>
  <c r="H222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H159" i="77"/>
  <c r="E159" i="77" a="1"/>
  <c r="E159" i="77" s="1"/>
  <c r="B157" i="77"/>
  <c r="D152" i="77" a="1"/>
  <c r="C152" i="77" s="1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H89" i="77"/>
  <c r="H88" i="77"/>
  <c r="C88" i="77" a="1"/>
  <c r="M81" i="77"/>
  <c r="C80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H17" i="77"/>
  <c r="H16" i="77"/>
  <c r="E16" i="77" a="1"/>
  <c r="E16" i="77" s="1"/>
  <c r="B3" i="77"/>
  <c r="F159" i="77" s="1" a="1"/>
  <c r="F159" i="77" s="1"/>
  <c r="G11" i="53"/>
  <c r="J16" i="77" l="1" a="1"/>
  <c r="K80" i="77" s="1"/>
  <c r="F16" i="77" a="1"/>
  <c r="F16" i="77" s="1"/>
  <c r="J159" i="77" a="1"/>
  <c r="J159" i="77" s="1"/>
  <c r="K159" i="77" s="1" a="1"/>
  <c r="K159" i="77" s="1"/>
  <c r="L159" i="77" s="1" a="1"/>
  <c r="L159" i="77" s="1"/>
  <c r="J7" i="77" s="1" a="1"/>
  <c r="J7" i="77" s="1"/>
  <c r="D152" i="77"/>
  <c r="C88" i="77"/>
  <c r="E88" i="77" s="1" a="1"/>
  <c r="E88" i="77" s="1"/>
  <c r="J88" i="77" s="1" a="1"/>
  <c r="G13" i="53"/>
  <c r="G9" i="53"/>
  <c r="N81" i="77" l="1"/>
  <c r="J16" i="77"/>
  <c r="K16" i="77" s="1" a="1"/>
  <c r="K16" i="77" s="1"/>
  <c r="L16" i="77" s="1" a="1"/>
  <c r="L16" i="77" s="1"/>
  <c r="I7" i="77" s="1" a="1"/>
  <c r="I7" i="77" s="1"/>
  <c r="M159" i="77" a="1"/>
  <c r="M159" i="77" s="1"/>
  <c r="N159" i="77" s="1" a="1"/>
  <c r="N159" i="77" s="1"/>
  <c r="F4" i="76" a="1"/>
  <c r="F4" i="76" s="1"/>
  <c r="D4" i="76" a="1"/>
  <c r="D4" i="76" s="1"/>
  <c r="F88" i="77" a="1"/>
  <c r="F88" i="77" s="1"/>
  <c r="J88" i="77"/>
  <c r="K88" i="77" s="1" a="1"/>
  <c r="K88" i="77" s="1"/>
  <c r="K152" i="77"/>
  <c r="G90" i="48"/>
  <c r="I94" i="48" s="1" a="1"/>
  <c r="I94" i="48" s="1"/>
  <c r="I22" i="48" a="1"/>
  <c r="I22" i="48" s="1"/>
  <c r="M16" i="77" l="1" a="1"/>
  <c r="F7" i="77" s="1"/>
  <c r="D7" i="77" s="1"/>
  <c r="S159" i="77" a="1"/>
  <c r="S159" i="77" s="1"/>
  <c r="P159" i="77" a="1"/>
  <c r="P159" i="77" s="1"/>
  <c r="C4" i="76" a="1"/>
  <c r="C4" i="76" s="1"/>
  <c r="L88" i="77" a="1"/>
  <c r="L88" i="77" s="1"/>
  <c r="I8" i="77" s="1" a="1"/>
  <c r="I8" i="77" s="1"/>
  <c r="A22" i="4"/>
  <c r="D152" i="48" a="1"/>
  <c r="D152" i="48" s="1"/>
  <c r="C88" i="48" a="1"/>
  <c r="C88" i="48" s="1"/>
  <c r="E88" i="48" s="1" a="1"/>
  <c r="E88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B157" i="48"/>
  <c r="M16" i="77" l="1"/>
  <c r="N16" i="77" s="1" a="1"/>
  <c r="N16" i="77" s="1"/>
  <c r="C7" i="77" s="1"/>
  <c r="E7" i="77" s="1"/>
  <c r="G7" i="77"/>
  <c r="H7" i="77" s="1"/>
  <c r="M88" i="77" a="1"/>
  <c r="E4" i="76" a="1"/>
  <c r="E4" i="76" s="1"/>
  <c r="C152" i="48"/>
  <c r="J88" i="48" a="1"/>
  <c r="J88" i="48" s="1"/>
  <c r="K88" i="48" s="1" a="1"/>
  <c r="K88" i="48" s="1"/>
  <c r="C80" i="48"/>
  <c r="P16" i="77" l="1" a="1"/>
  <c r="P16" i="77" s="1"/>
  <c r="S16" i="77" a="1"/>
  <c r="S16" i="77" s="1"/>
  <c r="F8" i="77"/>
  <c r="M88" i="77"/>
  <c r="K152" i="48"/>
  <c r="L88" i="48" s="1" a="1"/>
  <c r="L88" i="48" s="1"/>
  <c r="I8" i="48" s="1" a="1"/>
  <c r="I8" i="48" s="1"/>
  <c r="AO21" i="75" a="1"/>
  <c r="AO21" i="75" s="1"/>
  <c r="AO23" i="75" s="1" a="1"/>
  <c r="AO23" i="75" s="1"/>
  <c r="AO26" i="75" a="1"/>
  <c r="AO26" i="75" s="1"/>
  <c r="AO28" i="75" s="1" a="1"/>
  <c r="AO28" i="75" s="1"/>
  <c r="AG19" i="75" a="1"/>
  <c r="AG19" i="75" s="1"/>
  <c r="AH19" i="75" a="1"/>
  <c r="AH19" i="75" s="1"/>
  <c r="AA5" i="75" a="1"/>
  <c r="AA5" i="75" s="1"/>
  <c r="AE5" i="75" s="1" a="1"/>
  <c r="AE5" i="75" s="1"/>
  <c r="AE15" i="75" s="1"/>
  <c r="Q37" i="75" a="1"/>
  <c r="Q37" i="75" s="1"/>
  <c r="Z5" i="75" a="1"/>
  <c r="Z5" i="75" s="1"/>
  <c r="AD5" i="75" s="1" a="1"/>
  <c r="AD5" i="75" s="1"/>
  <c r="AD15" i="75" s="1"/>
  <c r="Y5" i="75" a="1"/>
  <c r="Y5" i="75" s="1"/>
  <c r="AC5" i="75" s="1" a="1"/>
  <c r="AC5" i="75" s="1"/>
  <c r="AC15" i="75" s="1"/>
  <c r="W14" i="75"/>
  <c r="V14" i="75"/>
  <c r="U14" i="75"/>
  <c r="T14" i="75"/>
  <c r="O32" i="75"/>
  <c r="N32" i="75"/>
  <c r="Q14" i="75"/>
  <c r="P14" i="75"/>
  <c r="O14" i="75"/>
  <c r="N14" i="75"/>
  <c r="T15" i="75" l="1" a="1"/>
  <c r="T15" i="75" s="1"/>
  <c r="P88" i="77" a="1"/>
  <c r="P88" i="77" s="1"/>
  <c r="S88" i="77" a="1"/>
  <c r="S88" i="77" s="1"/>
  <c r="N88" i="77" a="1"/>
  <c r="N88" i="77" s="1"/>
  <c r="C8" i="77" s="1"/>
  <c r="D8" i="77"/>
  <c r="G8" i="77"/>
  <c r="M88" i="48" a="1"/>
  <c r="I4" i="76" a="1"/>
  <c r="I4" i="76" s="1"/>
  <c r="Q38" i="75" a="1"/>
  <c r="Q38" i="75" s="1"/>
  <c r="Q42" i="75" a="1"/>
  <c r="Q42" i="75" s="1"/>
  <c r="AC16" i="75" a="1"/>
  <c r="AC16" i="75" s="1"/>
  <c r="H8" i="77" l="1"/>
  <c r="E8" i="77"/>
  <c r="F8" i="48"/>
  <c r="G8" i="48" s="1"/>
  <c r="D22" i="4" s="1"/>
  <c r="C22" i="4" s="1"/>
  <c r="M88" i="48"/>
  <c r="AI19" i="75" a="1"/>
  <c r="AI19" i="75" s="1"/>
  <c r="W19" i="75" s="1" a="1"/>
  <c r="W19" i="75" s="1"/>
  <c r="W32" i="75" s="1"/>
  <c r="S88" i="48" l="1" a="1"/>
  <c r="S88" i="48" s="1"/>
  <c r="P88" i="48" a="1"/>
  <c r="P88" i="48" s="1"/>
  <c r="C34" i="75"/>
  <c r="E19" i="75" a="1"/>
  <c r="E19" i="75" s="1"/>
  <c r="G5" i="75" a="1"/>
  <c r="G5" i="75" s="1"/>
  <c r="H4" i="75" s="1" a="1"/>
  <c r="H4" i="75" s="1"/>
  <c r="G16" i="75" s="1"/>
  <c r="H16" i="75" s="1"/>
  <c r="H70" i="75" a="1"/>
  <c r="H70" i="75" s="1"/>
  <c r="I82" i="75" s="1"/>
  <c r="I81" i="75" s="1"/>
  <c r="AC19" i="75" a="1"/>
  <c r="AC19" i="75" s="1"/>
  <c r="Y19" i="75" a="1"/>
  <c r="Y19" i="75" s="1"/>
  <c r="C96" i="75"/>
  <c r="Z19" i="75" a="1"/>
  <c r="Z19" i="75" s="1"/>
  <c r="AA19" i="75" s="1" a="1"/>
  <c r="AA19" i="75" s="1"/>
  <c r="U19" i="75" l="1" a="1"/>
  <c r="H83" i="75" a="1"/>
  <c r="H83" i="75" s="1"/>
  <c r="I83" i="75" s="1" a="1"/>
  <c r="G19" i="75" a="1"/>
  <c r="G19" i="75" s="1"/>
  <c r="I19" i="75" s="1" a="1"/>
  <c r="G83" i="75" a="1"/>
  <c r="G83" i="75" s="1"/>
  <c r="J83" i="75" a="1"/>
  <c r="J83" i="75" s="1"/>
  <c r="C32" i="75"/>
  <c r="U19" i="75" l="1"/>
  <c r="U32" i="75"/>
  <c r="I83" i="75"/>
  <c r="J88" i="75" a="1"/>
  <c r="J88" i="75" s="1"/>
  <c r="D83" i="75" s="1" a="1"/>
  <c r="D83" i="75" s="1"/>
  <c r="D96" i="75" s="1"/>
  <c r="I19" i="75"/>
  <c r="K24" i="75" a="1"/>
  <c r="K24" i="75" s="1"/>
  <c r="H19" i="75" l="1" a="1"/>
  <c r="H19" i="75" s="1"/>
  <c r="J19" i="75" s="1" a="1"/>
  <c r="J19" i="75" s="1"/>
  <c r="K19" i="75" s="1" a="1"/>
  <c r="K19" i="75" s="1"/>
  <c r="AD19" i="75" a="1"/>
  <c r="AD19" i="75" s="1"/>
  <c r="AE19" i="75" s="1" a="1"/>
  <c r="AE19" i="75" s="1"/>
  <c r="V19" i="75" s="1" a="1"/>
  <c r="V19" i="75" l="1"/>
  <c r="V32" i="75"/>
  <c r="V33" i="75" l="1"/>
  <c r="U33" i="75"/>
  <c r="D19" i="75" a="1"/>
  <c r="T19" i="75" l="1" a="1"/>
  <c r="T19" i="75" s="1"/>
  <c r="D19" i="75"/>
  <c r="D32" i="75" s="1"/>
  <c r="D34" i="75"/>
  <c r="G2" i="75" l="1"/>
  <c r="H250" i="48"/>
  <c r="H29" i="48"/>
  <c r="F2" i="75" l="1"/>
  <c r="F4" i="75" s="1" a="1"/>
  <c r="F4" i="75" s="1"/>
  <c r="B7" i="48" l="1" a="1"/>
  <c r="B7" i="48" s="1"/>
  <c r="B3" i="48"/>
  <c r="F16" i="48" l="1" a="1"/>
  <c r="F16" i="48" s="1"/>
  <c r="F88" i="48" a="1"/>
  <c r="F88" i="48" s="1"/>
  <c r="N88" i="48" s="1" a="1"/>
  <c r="N88" i="48" s="1"/>
  <c r="C8" i="48" s="1"/>
  <c r="B22" i="4" s="1"/>
  <c r="B41" i="4" l="1"/>
  <c r="A18" i="4" l="1"/>
  <c r="A11" i="4" a="1"/>
  <c r="A11" i="4" s="1"/>
  <c r="M81" i="48" l="1"/>
  <c r="C229" i="48" l="1" a="1"/>
  <c r="C229" i="48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E229" i="48" l="1" a="1"/>
  <c r="E229" i="48" s="1"/>
  <c r="J229" i="48" s="1" a="1"/>
  <c r="J229" i="48" s="1"/>
  <c r="K229" i="48" s="1" a="1"/>
  <c r="K229" i="48" l="1"/>
  <c r="L229" i="48" s="1" a="1"/>
  <c r="L229" i="48" s="1"/>
  <c r="K4" i="76" l="1" a="1"/>
  <c r="K4" i="76" s="1"/>
  <c r="J9" i="48" a="1"/>
  <c r="J9" i="48" s="1"/>
  <c r="M229" i="48" a="1"/>
  <c r="M229" i="48" l="1"/>
  <c r="S229" i="48" l="1" a="1"/>
  <c r="S229" i="48" s="1"/>
  <c r="P229" i="48" a="1"/>
  <c r="P229" i="48" s="1"/>
  <c r="F9" i="48" l="1"/>
  <c r="G9" i="48" s="1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E159" i="48" a="1"/>
  <c r="E159" i="48" s="1"/>
  <c r="J159" i="48" s="1" a="1"/>
  <c r="J159" i="48" s="1"/>
  <c r="E16" i="48" a="1"/>
  <c r="E16" i="48" s="1"/>
  <c r="J16" i="48" s="1" a="1"/>
  <c r="J16" i="48" s="1"/>
  <c r="K159" i="48" l="1" a="1"/>
  <c r="K16" i="48" a="1"/>
  <c r="K159" i="48" l="1"/>
  <c r="L159" i="48" s="1" a="1"/>
  <c r="L159" i="48" s="1"/>
  <c r="J7" i="48" s="1" a="1"/>
  <c r="J7" i="48" s="1"/>
  <c r="J8" i="48" s="1"/>
  <c r="K16" i="48"/>
  <c r="H4" i="76" l="1" a="1"/>
  <c r="H4" i="76" s="1"/>
  <c r="J4" i="76" a="1"/>
  <c r="J4" i="76" s="1"/>
  <c r="M159" i="48" a="1"/>
  <c r="H79" i="48"/>
  <c r="H73" i="48"/>
  <c r="H74" i="48"/>
  <c r="H75" i="48"/>
  <c r="H76" i="48"/>
  <c r="H77" i="48"/>
  <c r="H78" i="48"/>
  <c r="M159" i="48" l="1"/>
  <c r="S159" i="48" s="1" a="1"/>
  <c r="S15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P159" i="48" l="1" a="1"/>
  <c r="P159" i="48" s="1"/>
  <c r="K80" i="48"/>
  <c r="K8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159" i="48" l="1" a="1"/>
  <c r="F159" i="48" s="1"/>
  <c r="N159" i="48" s="1" a="1"/>
  <c r="N159" i="48" s="1"/>
  <c r="F229" i="48" a="1"/>
  <c r="F229" i="48" s="1"/>
  <c r="N229" i="48" s="1" a="1"/>
  <c r="N229" i="48" s="1"/>
  <c r="D8" i="48" l="1"/>
  <c r="D7" i="48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<sst xmlns="http://schemas.openxmlformats.org/spreadsheetml/2006/main" count="9218" uniqueCount="322">
  <si>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</si>
  <si>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</si>
  <si>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</si>
  <si>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</si>
  <si>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</si>
  <si>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</si>
  <si>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</si>
  <si>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</si>
  <si>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</si>
  <si>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</si>
  <si>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</si>
  <si>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</si>
  <si>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</si>
  <si>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</si>
  <si>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</si>
  <si>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</si>
  <si>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</si>
  <si>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</si>
  <si>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</si>
  <si>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</si>
  <si>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</si>
  <si>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</si>
  <si>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</si>
  <si>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</si>
  <si>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</si>
  <si>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</si>
  <si>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</si>
  <si>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</si>
  <si>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</si>
  <si>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</si>
  <si>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</si>
  <si>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</si>
  <si>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</si>
  <si>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</si>
  <si>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</si>
  <si>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</si>
  <si>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</si>
  <si>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</si>
  <si>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</si>
  <si>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</si>
  <si>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</si>
  <si>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</si>
  <si>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</si>
  <si>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</si>
  <si>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</si>
  <si>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</si>
  <si>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</si>
  <si>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</si>
  <si>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</si>
  <si>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</si>
  <si>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</si>
  <si>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</si>
  <si>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</si>
  <si>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</si>
  <si>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</si>
  <si>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</si>
  <si>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</si>
  <si>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</si>
  <si>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</si>
  <si>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</si>
  <si>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</si>
  <si>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</si>
  <si>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</si>
  <si>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</si>
  <si>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</si>
  <si>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</si>
  <si>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</si>
  <si>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</si>
  <si>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</si>
  <si>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</si>
  <si>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</si>
  <si>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</si>
  <si>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</si>
  <si>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</si>
  <si>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</si>
  <si>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</si>
  <si>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</si>
  <si>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</si>
  <si>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</si>
  <si>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</si>
  <si>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</si>
  <si>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</si>
  <si>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</si>
  <si>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</si>
  <si>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</si>
  <si>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</si>
  <si>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</si>
  <si>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</si>
  <si>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</si>
  <si>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</si>
  <si>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</si>
  <si>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</si>
  <si>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</si>
  <si>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</si>
  <si>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</si>
  <si>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</si>
  <si>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</si>
  <si>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</si>
  <si>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</si>
  <si>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</si>
  <si>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</si>
  <si>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</si>
  <si>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</si>
  <si>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</si>
  <si>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</si>
  <si>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</si>
  <si>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</si>
  <si>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</si>
  <si>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</si>
  <si>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Free Game (Weight/Total)</t>
    <phoneticPr fontId="20" type="noConversion"/>
  </si>
  <si>
    <t>Table Selection Weight - Base Game (Weight/Total)</t>
    <phoneticPr fontId="20" type="noConversion"/>
  </si>
  <si>
    <t>Table Selection Weight - Buy Feature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</si>
  <si>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</si>
  <si>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</si>
  <si>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</si>
  <si>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</si>
  <si>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</si>
  <si>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</si>
  <si>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</si>
  <si>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</si>
  <si>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</si>
  <si>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</si>
  <si>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</si>
  <si>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</si>
  <si>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</si>
  <si>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>OP</t>
    <phoneticPr fontId="20" type="noConversion"/>
  </si>
  <si>
    <t>PG</t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</si>
  <si>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(B1)</t>
    </r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</si>
  <si>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(F2)</t>
    </r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</si>
  <si>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</si>
  <si>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</si>
  <si>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</si>
  <si>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</si>
  <si>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</si>
  <si>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</si>
  <si>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</si>
  <si>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</si>
  <si>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</si>
  <si>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</si>
  <si>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</si>
  <si>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</si>
  <si>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</si>
  <si>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</si>
  <si>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</si>
  <si>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</si>
  <si>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</si>
  <si>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</si>
  <si>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</si>
  <si>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</si>
  <si>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</si>
  <si>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</si>
  <si>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</si>
  <si>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</si>
  <si>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</si>
  <si>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</si>
  <si>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</si>
  <si>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</si>
  <si>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</si>
  <si>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</si>
  <si>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</si>
  <si>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</si>
  <si>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</si>
  <si>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</si>
  <si>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</si>
  <si>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</si>
  <si>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</si>
  <si>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</si>
  <si>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</si>
  <si>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</si>
  <si>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</si>
  <si>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</si>
  <si>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</si>
  <si>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</si>
  <si>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</si>
  <si>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</si>
  <si>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</si>
  <si>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</si>
  <si>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</si>
  <si>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</si>
  <si>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Special</t>
    <phoneticPr fontId="20" type="noConversion"/>
  </si>
  <si>
    <t>Normal</t>
    <phoneticPr fontId="20" type="noConversion"/>
  </si>
  <si>
    <t>OP B1</t>
    <phoneticPr fontId="20" type="noConversion"/>
  </si>
  <si>
    <t>OP B2</t>
    <phoneticPr fontId="20" type="noConversion"/>
  </si>
  <si>
    <t>Special Appear</t>
    <phoneticPr fontId="20" type="noConversion"/>
  </si>
  <si>
    <t>FG10</t>
  </si>
  <si>
    <t>FG20</t>
  </si>
  <si>
    <r>
      <rPr>
        <sz val="12"/>
        <rFont val="微軟正黑體"/>
        <family val="2"/>
        <charset val="136"/>
      </rPr>
      <t>金框分布</t>
    </r>
    <phoneticPr fontId="20" type="noConversion"/>
  </si>
  <si>
    <r>
      <rPr>
        <sz val="12"/>
        <rFont val="微軟正黑體"/>
        <family val="2"/>
        <charset val="136"/>
      </rPr>
      <t>平均數量</t>
    </r>
    <phoneticPr fontId="20" type="noConversion"/>
  </si>
  <si>
    <r>
      <rPr>
        <sz val="12"/>
        <rFont val="微軟正黑體"/>
        <family val="2"/>
        <charset val="136"/>
      </rPr>
      <t>倍數出現率</t>
    </r>
    <phoneticPr fontId="20" type="noConversion"/>
  </si>
  <si>
    <r>
      <rPr>
        <sz val="12"/>
        <rFont val="微軟正黑體"/>
        <family val="2"/>
        <charset val="136"/>
      </rPr>
      <t>倍數分布</t>
    </r>
    <phoneticPr fontId="20" type="noConversion"/>
  </si>
  <si>
    <r>
      <rPr>
        <sz val="12"/>
        <rFont val="微軟正黑體"/>
        <family val="2"/>
        <charset val="136"/>
      </rPr>
      <t>平均倍數</t>
    </r>
    <phoneticPr fontId="20" type="noConversion"/>
  </si>
  <si>
    <t>OP (Simulator)</t>
    <phoneticPr fontId="20" type="noConversion"/>
  </si>
  <si>
    <t>B1</t>
    <phoneticPr fontId="20" type="noConversion"/>
  </si>
  <si>
    <t>B2</t>
    <phoneticPr fontId="20" type="noConversion"/>
  </si>
  <si>
    <t>Special Trigger Rate</t>
    <phoneticPr fontId="20" type="noConversion"/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</si>
  <si>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</si>
  <si>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</si>
  <si>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</si>
  <si>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</si>
  <si>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</si>
  <si>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</si>
  <si>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</si>
  <si>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</si>
  <si>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</si>
  <si>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</si>
  <si>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</si>
  <si>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</si>
  <si>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</si>
  <si>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</si>
  <si>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</si>
  <si>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</si>
  <si>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</si>
  <si>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</si>
  <si>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</si>
  <si>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</si>
  <si>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</si>
  <si>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</si>
  <si>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</si>
  <si>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</si>
  <si>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</si>
  <si>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</si>
  <si>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</si>
  <si>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</si>
  <si>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</si>
  <si>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</si>
  <si>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</si>
  <si>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</si>
  <si>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</si>
  <si>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</si>
  <si>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</si>
  <si>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</si>
  <si>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</si>
  <si>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</si>
  <si>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</si>
  <si>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</si>
  <si>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</si>
  <si>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</si>
  <si>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</si>
  <si>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</si>
  <si>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</si>
  <si>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</si>
  <si>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</si>
  <si>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</si>
  <si>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</si>
  <si>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</si>
  <si>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</si>
  <si>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</si>
  <si>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</si>
  <si>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</si>
  <si>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</si>
  <si>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</si>
  <si>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</si>
  <si>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</si>
  <si>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</si>
  <si>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</si>
  <si>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</si>
  <si>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</si>
  <si>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</si>
  <si>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</si>
  <si>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</si>
  <si>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</si>
  <si>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</si>
  <si>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</si>
  <si>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</si>
  <si>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</si>
  <si>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</si>
  <si>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</si>
  <si>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</si>
  <si>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</si>
  <si>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</si>
  <si>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</si>
  <si>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</si>
  <si>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</si>
  <si>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</si>
  <si>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</si>
  <si>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</si>
  <si>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</si>
  <si>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</si>
  <si>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</si>
  <si>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</si>
  <si>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</si>
  <si>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</si>
  <si>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</si>
  <si>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</si>
  <si>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</si>
  <si>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</si>
  <si>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</si>
  <si>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</si>
  <si>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</si>
  <si>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</si>
  <si>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</si>
  <si>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</si>
  <si>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</si>
  <si>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</si>
  <si>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</si>
  <si>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</si>
  <si>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</si>
  <si>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</si>
  <si>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</si>
  <si>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</si>
  <si>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</si>
  <si>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</si>
  <si>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</si>
  <si>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</si>
  <si>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H026194A</t>
    <phoneticPr fontId="22" type="noConversion"/>
  </si>
  <si>
    <t>目前</t>
  </si>
  <si>
    <t>H026194A_2004_2607010001_betmode0_108_9402_oldhand_card.xlsx</t>
    <phoneticPr fontId="20" type="noConversion"/>
  </si>
  <si>
    <t>H026194A_2004_2607010103_betmode1_108_9393_oldhand_card.xlsx</t>
    <phoneticPr fontId="20" type="noConversion"/>
  </si>
  <si>
    <t>H026194A_2004_2607010454_betmode2_107_9260_card.xlsx</t>
    <phoneticPr fontId="20" type="noConversion"/>
  </si>
  <si>
    <t>H026192A_2004_2607012157_betmode0_108_9305_newbie_card.xlsx</t>
    <phoneticPr fontId="20" type="noConversion"/>
  </si>
  <si>
    <t>H026192A_2004_2607020003_betmode1_108_9296_newbie_card.xlsx</t>
    <phoneticPr fontId="20" type="noConversion"/>
  </si>
  <si>
    <t>2.0.1.6</t>
    <phoneticPr fontId="20" type="noConversion"/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</si>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</sst>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33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5" fillId="33" borderId="11" xfId="0" applyFont="1" applyFill="1" applyBorder="1" applyAlignment="1">
      <alignment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39" borderId="11" xfId="1" quotePrefix="1" applyNumberFormat="1" applyFont="1" applyFill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33" borderId="11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0" fontId="25" fillId="0" borderId="11" xfId="0" applyFont="1" applyFill="1" applyBorder="1" applyAlignment="1">
      <alignment vertical="center"/>
    </xf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34" borderId="15" xfId="0" applyNumberFormat="1" applyFont="1" applyFill="1" applyBorder="1" applyAlignment="1">
      <alignment horizontal="center" vertical="center"/>
    </xf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10" fontId="19" fillId="0" borderId="15" xfId="1" applyNumberFormat="1" applyFont="1" applyBorder="1" applyAlignment="1"/>
    <xf numFmtId="10" fontId="19" fillId="0" borderId="0" xfId="1" applyNumberFormat="1" applyFont="1" applyAlignment="1"/>
    <xf numFmtId="0" fontId="19" fillId="0" borderId="10" xfId="0" applyFont="1" applyBorder="1" applyAlignment="1">
      <alignment vertical="center"/>
    </xf>
    <xf numFmtId="10" fontId="19" fillId="0" borderId="10" xfId="1" applyNumberFormat="1" applyFont="1" applyBorder="1">
      <alignment vertical="center"/>
    </xf>
    <xf numFmtId="0" fontId="19" fillId="0" borderId="15" xfId="0" applyFont="1" applyBorder="1" applyAlignment="1">
      <alignment vertical="center"/>
    </xf>
    <xf numFmtId="10" fontId="19" fillId="0" borderId="15" xfId="1" applyNumberFormat="1" applyFont="1" applyBorder="1">
      <alignment vertical="center"/>
    </xf>
    <xf numFmtId="10" fontId="19" fillId="0" borderId="0" xfId="0" applyNumberFormat="1" applyFont="1"/>
    <xf numFmtId="10" fontId="19" fillId="43" borderId="15" xfId="1" applyNumberFormat="1" applyFont="1" applyFill="1" applyBorder="1" applyAlignment="1"/>
    <xf numFmtId="10" fontId="19" fillId="43" borderId="10" xfId="1" applyNumberFormat="1" applyFont="1" applyFill="1" applyBorder="1">
      <alignment vertical="center"/>
    </xf>
    <xf numFmtId="10" fontId="19" fillId="43" borderId="15" xfId="1" applyNumberFormat="1" applyFont="1" applyFill="1" applyBorder="1">
      <alignment vertical="center"/>
    </xf>
    <xf numFmtId="10" fontId="19" fillId="39" borderId="15" xfId="1" applyNumberFormat="1" applyFont="1" applyFill="1" applyBorder="1" applyAlignment="1"/>
    <xf numFmtId="0" fontId="19" fillId="34" borderId="0" xfId="0" applyFont="1" applyFill="1" applyBorder="1" applyAlignment="1">
      <alignment horizontal="center" vertical="center"/>
    </xf>
    <xf numFmtId="10" fontId="19" fillId="0" borderId="0" xfId="1" applyNumberFormat="1" applyFont="1" applyBorder="1">
      <alignment vertical="center"/>
    </xf>
    <xf numFmtId="10" fontId="19" fillId="0" borderId="0" xfId="1" applyNumberFormat="1" applyFont="1" applyBorder="1" applyAlignment="1"/>
    <xf numFmtId="2" fontId="19" fillId="0" borderId="0" xfId="0" applyNumberFormat="1" applyFont="1"/>
    <xf numFmtId="2" fontId="19" fillId="0" borderId="15" xfId="0" applyNumberFormat="1" applyFont="1" applyBorder="1"/>
    <xf numFmtId="10" fontId="19" fillId="0" borderId="10" xfId="1" applyNumberFormat="1" applyFont="1" applyBorder="1" applyAlignment="1"/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 applyFill="1" applyBorder="1"/>
    <xf numFmtId="183" fontId="19" fillId="35" borderId="0" xfId="0" applyNumberFormat="1" applyFont="1" applyFill="1" applyBorder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5" fillId="33" borderId="11" xfId="1" applyNumberFormat="1" applyFont="1" applyFill="1" applyBorder="1">
      <alignment vertical="center"/>
    </xf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181" fontId="25" fillId="33" borderId="11" xfId="0" applyNumberFormat="1" applyFont="1" applyFill="1" applyBorder="1" applyAlignment="1">
      <alignment vertical="center"/>
    </xf>
    <xf numFmtId="181" fontId="19" fillId="33" borderId="11" xfId="0" applyNumberFormat="1" applyFont="1" applyFill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25" fillId="33" borderId="15" xfId="0" applyFont="1" applyFill="1" applyBorder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5" borderId="0" xfId="0" applyFont="1" applyFill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  <xf numFmtId="0" fontId="25" fillId="35" borderId="14" xfId="0" applyFont="1" applyFill="1" applyBorder="1" applyAlignment="1">
      <alignment horizontal="center"/>
    </xf>
    <xf numFmtId="0" fontId="25" fillId="35" borderId="10" xfId="0" applyFont="1" applyFill="1" applyBorder="1" applyAlignment="1">
      <alignment horizont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60"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zoomScale="85" zoomScaleNormal="85" workbookViewId="0">
      <selection activeCell="F8" sqref="F8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304</v>
      </c>
      <c r="C2" s="5"/>
    </row>
    <row r="3" spans="1:9">
      <c r="A3" s="16" t="s">
        <v>34</v>
      </c>
      <c r="B3" s="36" t="s">
        <v>311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7">
        <f>SUM(B18:B19)</f>
        <v>0.94000021117836896</v>
      </c>
      <c r="D11" s="97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80">
        <f>B22+B23</f>
        <v>0.94000039643441136</v>
      </c>
      <c r="D12" s="180" t="s">
        <v>262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0.92500031791134818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100"/>
      <c r="G17" s="7"/>
      <c r="H17" s="7"/>
      <c r="I17" s="11"/>
    </row>
    <row r="18" spans="1:9">
      <c r="A18" s="211" t="str">
        <f>D11</f>
        <v>Normal Bet</v>
      </c>
      <c r="B18" s="39">
        <f>Multiplier_Weight_Oldhand!C7</f>
        <v>0.6999998150421699</v>
      </c>
      <c r="C18" s="212">
        <f>1/D18</f>
        <v>4.1955920723702666E-3</v>
      </c>
      <c r="D18" s="214">
        <f>Multiplier_Weight_Oldhand!G7</f>
        <v>238.34538314280346</v>
      </c>
      <c r="E18" s="27" t="s">
        <v>43</v>
      </c>
      <c r="F18" s="100"/>
      <c r="G18" s="7"/>
      <c r="H18" s="7"/>
      <c r="I18" s="11"/>
    </row>
    <row r="19" spans="1:9">
      <c r="A19" s="211"/>
      <c r="B19" s="39">
        <f>Multiplier_Weight_Oldhand!D7</f>
        <v>0.24000039613619903</v>
      </c>
      <c r="C19" s="213"/>
      <c r="D19" s="215"/>
      <c r="E19" s="27" t="s">
        <v>51</v>
      </c>
      <c r="F19" s="100"/>
      <c r="G19" s="7"/>
      <c r="H19" s="7"/>
      <c r="I19" s="11"/>
    </row>
    <row r="20" spans="1:9">
      <c r="A20" s="42"/>
      <c r="B20" s="43"/>
      <c r="C20" s="44"/>
      <c r="D20" s="41"/>
      <c r="E20" s="7"/>
      <c r="F20" s="100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100"/>
      <c r="G21" s="7"/>
      <c r="H21" s="7"/>
      <c r="I21" s="11"/>
    </row>
    <row r="22" spans="1:9">
      <c r="A22" s="211" t="str">
        <f>D12</f>
        <v>Extra Bet</v>
      </c>
      <c r="B22" s="39">
        <f>Multiplier_Weight_Oldhand!C8</f>
        <v>0.34024087210571241</v>
      </c>
      <c r="C22" s="212">
        <f>1/D22</f>
        <v>2.0969517935079052E-2</v>
      </c>
      <c r="D22" s="214">
        <f>Multiplier_Weight_Oldhand!G8</f>
        <v>47.68826842352636</v>
      </c>
      <c r="E22" s="27" t="s">
        <v>43</v>
      </c>
      <c r="F22" s="100"/>
      <c r="G22" s="7"/>
      <c r="H22" s="7"/>
      <c r="I22" s="11"/>
    </row>
    <row r="23" spans="1:9">
      <c r="A23" s="211"/>
      <c r="B23" s="39">
        <f>Multiplier_Weight_Oldhand!D8</f>
        <v>0.59975952432869895</v>
      </c>
      <c r="C23" s="213"/>
      <c r="D23" s="215"/>
      <c r="E23" s="27" t="s">
        <v>51</v>
      </c>
      <c r="F23" s="100"/>
      <c r="G23" s="7"/>
      <c r="H23" s="7"/>
      <c r="I23" s="11"/>
    </row>
    <row r="24" spans="1:9">
      <c r="A24" s="42"/>
      <c r="B24" s="43"/>
      <c r="C24" s="44"/>
      <c r="D24" s="41"/>
      <c r="E24" s="7"/>
      <c r="F24" s="100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100"/>
      <c r="G25" s="7"/>
      <c r="H25" s="7"/>
      <c r="I25" s="11"/>
    </row>
    <row r="26" spans="1:9">
      <c r="A26" s="211" t="str">
        <f>D13</f>
        <v>Buy Feature</v>
      </c>
      <c r="B26" s="39">
        <f>Multiplier_Weight_Oldhand!C9</f>
        <v>0</v>
      </c>
      <c r="C26" s="212">
        <f>1/D26</f>
        <v>1</v>
      </c>
      <c r="D26" s="216">
        <v>1</v>
      </c>
      <c r="E26" s="27" t="s">
        <v>43</v>
      </c>
      <c r="F26" s="100"/>
      <c r="G26" s="7"/>
      <c r="H26" s="7"/>
      <c r="I26" s="11"/>
    </row>
    <row r="27" spans="1:9">
      <c r="A27" s="211"/>
      <c r="B27" s="39">
        <f>Multiplier_Weight_Oldhand!D9</f>
        <v>0.92500031791134818</v>
      </c>
      <c r="C27" s="213"/>
      <c r="D27" s="217"/>
      <c r="E27" s="27" t="s">
        <v>51</v>
      </c>
      <c r="F27" s="100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15</v>
      </c>
      <c r="C36" s="37">
        <v>15</v>
      </c>
    </row>
    <row r="37" spans="1:7">
      <c r="A37" s="20">
        <v>4</v>
      </c>
      <c r="B37" s="37">
        <v>17</v>
      </c>
      <c r="C37" s="37">
        <v>17</v>
      </c>
    </row>
    <row r="38" spans="1:7">
      <c r="A38" s="8">
        <v>5</v>
      </c>
      <c r="B38" s="38">
        <v>19</v>
      </c>
      <c r="C38" s="38">
        <v>19</v>
      </c>
    </row>
    <row r="39" spans="1:7">
      <c r="A39" s="135" t="s">
        <v>124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7" t="s">
        <v>20</v>
      </c>
      <c r="B45" s="127" t="s">
        <v>20</v>
      </c>
      <c r="C45" s="127">
        <v>250</v>
      </c>
      <c r="D45" s="127">
        <v>1250</v>
      </c>
      <c r="E45" s="127">
        <v>5000</v>
      </c>
      <c r="F45" s="128">
        <v>2</v>
      </c>
    </row>
    <row r="46" spans="1:7">
      <c r="A46" s="127" t="s">
        <v>21</v>
      </c>
      <c r="B46" s="127" t="s">
        <v>21</v>
      </c>
      <c r="C46" s="127">
        <v>100</v>
      </c>
      <c r="D46" s="127">
        <v>500</v>
      </c>
      <c r="E46" s="127">
        <v>2000</v>
      </c>
      <c r="F46" s="129">
        <v>3</v>
      </c>
    </row>
    <row r="47" spans="1:7">
      <c r="A47" s="127" t="s">
        <v>22</v>
      </c>
      <c r="B47" s="127" t="s">
        <v>22</v>
      </c>
      <c r="C47" s="127">
        <v>75</v>
      </c>
      <c r="D47" s="127">
        <v>250</v>
      </c>
      <c r="E47" s="127">
        <v>1000</v>
      </c>
      <c r="F47" s="128">
        <v>4</v>
      </c>
    </row>
    <row r="48" spans="1:7">
      <c r="A48" s="127" t="s">
        <v>23</v>
      </c>
      <c r="B48" s="127" t="s">
        <v>23</v>
      </c>
      <c r="C48" s="127">
        <v>50</v>
      </c>
      <c r="D48" s="127">
        <v>200</v>
      </c>
      <c r="E48" s="127">
        <v>750</v>
      </c>
      <c r="F48" s="129">
        <v>5</v>
      </c>
    </row>
    <row r="49" spans="1:9">
      <c r="A49" s="127" t="s">
        <v>95</v>
      </c>
      <c r="B49" s="127" t="s">
        <v>95</v>
      </c>
      <c r="C49" s="130">
        <v>25</v>
      </c>
      <c r="D49" s="130">
        <v>100</v>
      </c>
      <c r="E49" s="130">
        <v>500</v>
      </c>
      <c r="F49" s="128">
        <v>6</v>
      </c>
    </row>
    <row r="50" spans="1:9">
      <c r="A50" s="127" t="s">
        <v>17</v>
      </c>
      <c r="B50" s="127" t="s">
        <v>17</v>
      </c>
      <c r="C50" s="127">
        <v>10</v>
      </c>
      <c r="D50" s="127">
        <v>50</v>
      </c>
      <c r="E50" s="127">
        <v>250</v>
      </c>
      <c r="F50" s="129">
        <v>7</v>
      </c>
    </row>
    <row r="51" spans="1:9">
      <c r="A51" s="127" t="s">
        <v>25</v>
      </c>
      <c r="B51" s="127" t="s">
        <v>25</v>
      </c>
      <c r="C51" s="127">
        <v>10</v>
      </c>
      <c r="D51" s="127">
        <v>50</v>
      </c>
      <c r="E51" s="127">
        <v>250</v>
      </c>
      <c r="F51" s="128">
        <v>8</v>
      </c>
    </row>
    <row r="52" spans="1:9">
      <c r="A52" s="127" t="s">
        <v>26</v>
      </c>
      <c r="B52" s="127" t="s">
        <v>26</v>
      </c>
      <c r="C52" s="127">
        <v>10</v>
      </c>
      <c r="D52" s="127">
        <v>50</v>
      </c>
      <c r="E52" s="127">
        <v>250</v>
      </c>
      <c r="F52" s="129">
        <v>9</v>
      </c>
    </row>
    <row r="53" spans="1:9">
      <c r="A53" s="127" t="s">
        <v>27</v>
      </c>
      <c r="B53" s="127" t="s">
        <v>27</v>
      </c>
      <c r="C53" s="127">
        <v>10</v>
      </c>
      <c r="D53" s="127">
        <v>50</v>
      </c>
      <c r="E53" s="127">
        <v>250</v>
      </c>
      <c r="F53" s="128">
        <v>10</v>
      </c>
    </row>
    <row r="54" spans="1:9">
      <c r="A54" s="8" t="s">
        <v>78</v>
      </c>
      <c r="B54" s="8" t="s">
        <v>312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313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314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315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316</v>
      </c>
      <c r="C58" s="119">
        <v>25</v>
      </c>
      <c r="D58" s="119">
        <v>100</v>
      </c>
      <c r="E58" s="119">
        <v>500</v>
      </c>
      <c r="F58" s="34">
        <v>15</v>
      </c>
    </row>
    <row r="59" spans="1:9">
      <c r="A59" s="8" t="s">
        <v>83</v>
      </c>
      <c r="B59" s="8" t="s">
        <v>317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318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319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320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130</v>
      </c>
    </row>
    <row r="5" spans="2:2">
      <c r="B5" s="22" t="s">
        <v>131</v>
      </c>
    </row>
    <row r="7" spans="2:2">
      <c r="B7" s="22" t="s">
        <v>132</v>
      </c>
    </row>
    <row r="8" spans="2:2">
      <c r="B8" s="22" t="s">
        <v>133</v>
      </c>
    </row>
    <row r="9" spans="2:2">
      <c r="B9" s="22" t="s">
        <v>134</v>
      </c>
    </row>
    <row r="10" spans="2:2">
      <c r="B10" s="22" t="s">
        <v>135</v>
      </c>
    </row>
    <row r="11" spans="2:2">
      <c r="B11" s="22" t="s">
        <v>275</v>
      </c>
    </row>
    <row r="12" spans="2:2">
      <c r="B12" s="22" t="s">
        <v>276</v>
      </c>
    </row>
    <row r="13" spans="2:2">
      <c r="B13" s="22" t="s">
        <v>136</v>
      </c>
    </row>
    <row r="14" spans="2:2">
      <c r="B14" s="22" t="s">
        <v>277</v>
      </c>
    </row>
    <row r="15" spans="2:2">
      <c r="B15" s="22" t="s">
        <v>278</v>
      </c>
    </row>
    <row r="16" spans="2:2">
      <c r="B16" s="22" t="s">
        <v>137</v>
      </c>
    </row>
    <row r="18" spans="2:2">
      <c r="B18" s="22" t="s">
        <v>138</v>
      </c>
    </row>
    <row r="19" spans="2:2">
      <c r="B19" s="22" t="s">
        <v>129</v>
      </c>
    </row>
    <row r="20" spans="2:2">
      <c r="B20" s="22" t="s">
        <v>139</v>
      </c>
    </row>
    <row r="21" spans="2:2">
      <c r="B21" s="22" t="s">
        <v>140</v>
      </c>
    </row>
    <row r="22" spans="2:2">
      <c r="B22" s="22" t="s">
        <v>279</v>
      </c>
    </row>
    <row r="23" spans="2:2">
      <c r="B23" s="22" t="s">
        <v>141</v>
      </c>
    </row>
    <row r="24" spans="2:2">
      <c r="B24" s="22" t="s">
        <v>280</v>
      </c>
    </row>
    <row r="25" spans="2:2">
      <c r="B25" s="22" t="s">
        <v>142</v>
      </c>
    </row>
    <row r="26" spans="2:2">
      <c r="B26" s="22" t="s">
        <v>143</v>
      </c>
    </row>
    <row r="28" spans="2:2">
      <c r="B28" s="22" t="s">
        <v>144</v>
      </c>
    </row>
    <row r="30" spans="2:2">
      <c r="B30" s="22" t="s">
        <v>145</v>
      </c>
    </row>
    <row r="31" spans="2:2">
      <c r="B31" s="22" t="s">
        <v>146</v>
      </c>
    </row>
    <row r="33" spans="2:2">
      <c r="B33" s="22" t="s">
        <v>147</v>
      </c>
    </row>
    <row r="35" spans="2:2">
      <c r="B35" s="22" t="s">
        <v>148</v>
      </c>
    </row>
    <row r="37" spans="2:2">
      <c r="B37" s="22" t="s">
        <v>149</v>
      </c>
    </row>
    <row r="38" spans="2:2">
      <c r="B38" s="22" t="s">
        <v>150</v>
      </c>
    </row>
    <row r="39" spans="2:2">
      <c r="B39" s="22" t="s">
        <v>151</v>
      </c>
    </row>
    <row r="40" spans="2:2">
      <c r="B40" s="22" t="s">
        <v>152</v>
      </c>
    </row>
    <row r="42" spans="2:2">
      <c r="B42" s="22" t="s">
        <v>153</v>
      </c>
    </row>
    <row r="43" spans="2:2">
      <c r="B43" s="22" t="s">
        <v>129</v>
      </c>
    </row>
    <row r="44" spans="2:2">
      <c r="B44" s="22" t="s">
        <v>154</v>
      </c>
    </row>
    <row r="46" spans="2:2">
      <c r="B46" s="22" t="s">
        <v>155</v>
      </c>
    </row>
    <row r="47" spans="2:2">
      <c r="B47" s="22" t="s">
        <v>156</v>
      </c>
    </row>
    <row r="48" spans="2:2">
      <c r="B48" s="22" t="s">
        <v>281</v>
      </c>
    </row>
    <row r="49" spans="2:2">
      <c r="B49" s="22" t="s">
        <v>157</v>
      </c>
    </row>
    <row r="50" spans="2:2">
      <c r="B50" s="22" t="s">
        <v>158</v>
      </c>
    </row>
    <row r="51" spans="2:2">
      <c r="B51" s="22" t="s">
        <v>159</v>
      </c>
    </row>
    <row r="53" spans="2:2">
      <c r="B53" s="22" t="s">
        <v>160</v>
      </c>
    </row>
    <row r="55" spans="2:2">
      <c r="B55" s="22" t="s">
        <v>161</v>
      </c>
    </row>
    <row r="56" spans="2:2">
      <c r="B56" s="22" t="s">
        <v>282</v>
      </c>
    </row>
    <row r="57" spans="2:2">
      <c r="B57" s="22" t="s">
        <v>162</v>
      </c>
    </row>
    <row r="58" spans="2:2">
      <c r="B58" s="22" t="s">
        <v>283</v>
      </c>
    </row>
    <row r="59" spans="2:2">
      <c r="B59" s="22" t="s">
        <v>163</v>
      </c>
    </row>
    <row r="60" spans="2:2">
      <c r="B60" s="22" t="s">
        <v>164</v>
      </c>
    </row>
    <row r="62" spans="2:2">
      <c r="B62" s="22" t="s">
        <v>165</v>
      </c>
    </row>
    <row r="64" spans="2:2">
      <c r="B64" s="22" t="s">
        <v>166</v>
      </c>
    </row>
    <row r="65" spans="2:2">
      <c r="B65" s="22" t="s">
        <v>167</v>
      </c>
    </row>
    <row r="67" spans="2:2">
      <c r="B67" s="22" t="s">
        <v>168</v>
      </c>
    </row>
    <row r="69" spans="2:2">
      <c r="B69" s="22" t="s">
        <v>169</v>
      </c>
    </row>
    <row r="70" spans="2:2">
      <c r="B70" s="22" t="s">
        <v>170</v>
      </c>
    </row>
    <row r="71" spans="2:2">
      <c r="B71" s="22" t="s">
        <v>284</v>
      </c>
    </row>
    <row r="72" spans="2:2">
      <c r="B72" s="22" t="s">
        <v>171</v>
      </c>
    </row>
    <row r="73" spans="2:2">
      <c r="B73" s="22" t="s">
        <v>285</v>
      </c>
    </row>
    <row r="74" spans="2:2">
      <c r="B74" s="22" t="s">
        <v>172</v>
      </c>
    </row>
    <row r="75" spans="2:2">
      <c r="B75" s="22" t="s">
        <v>173</v>
      </c>
    </row>
    <row r="77" spans="2:2">
      <c r="B77" s="22" t="s">
        <v>174</v>
      </c>
    </row>
    <row r="79" spans="2:2">
      <c r="B79" s="22" t="s">
        <v>175</v>
      </c>
    </row>
    <row r="80" spans="2:2">
      <c r="B80" s="22" t="s">
        <v>176</v>
      </c>
    </row>
    <row r="81" spans="2:2">
      <c r="B81" s="22" t="s">
        <v>177</v>
      </c>
    </row>
    <row r="82" spans="2:2">
      <c r="B82" s="22" t="s">
        <v>286</v>
      </c>
    </row>
    <row r="83" spans="2:2">
      <c r="B83" s="22" t="s">
        <v>178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zoomScale="70" zoomScaleNormal="70" workbookViewId="0">
      <selection activeCell="M30" sqref="M30"/>
    </sheetView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4"/>
  </cols>
  <sheetData>
    <row r="3" spans="2:38">
      <c r="B3" s="15" t="s">
        <v>119</v>
      </c>
      <c r="I3" s="15" t="s">
        <v>110</v>
      </c>
      <c r="N3" s="15" t="s">
        <v>106</v>
      </c>
      <c r="Y3" s="15">
        <v>4.7619047619047619</v>
      </c>
      <c r="AA3" s="15">
        <v>10</v>
      </c>
      <c r="AC3" s="15" t="s">
        <v>105</v>
      </c>
    </row>
    <row r="4" spans="2:38">
      <c r="B4" s="121" t="s">
        <v>114</v>
      </c>
      <c r="C4" s="121" t="s">
        <v>118</v>
      </c>
      <c r="D4" s="121" t="s">
        <v>299</v>
      </c>
      <c r="E4" s="121" t="s">
        <v>300</v>
      </c>
      <c r="F4" s="121" t="s">
        <v>301</v>
      </c>
      <c r="G4" s="121" t="s">
        <v>302</v>
      </c>
      <c r="I4" s="120" t="s">
        <v>103</v>
      </c>
      <c r="J4" s="121" t="s">
        <v>90</v>
      </c>
      <c r="K4" s="121" t="s">
        <v>115</v>
      </c>
      <c r="N4" s="121" t="s">
        <v>104</v>
      </c>
      <c r="O4" s="121">
        <v>0</v>
      </c>
      <c r="P4" s="121">
        <v>2</v>
      </c>
      <c r="Q4" s="121">
        <v>3</v>
      </c>
      <c r="R4" s="121">
        <v>5</v>
      </c>
      <c r="S4" s="121">
        <v>8</v>
      </c>
      <c r="T4" s="121">
        <v>10</v>
      </c>
      <c r="U4" s="121">
        <v>15</v>
      </c>
      <c r="V4" s="121">
        <v>20</v>
      </c>
      <c r="W4" s="121">
        <v>25</v>
      </c>
      <c r="X4" s="121">
        <v>50</v>
      </c>
      <c r="Y4" s="121">
        <v>100</v>
      </c>
      <c r="Z4" s="121">
        <v>500</v>
      </c>
      <c r="AA4" s="121">
        <v>1000</v>
      </c>
      <c r="AC4" s="121" t="s">
        <v>104</v>
      </c>
      <c r="AD4" s="121">
        <v>1</v>
      </c>
      <c r="AE4" s="121">
        <v>2</v>
      </c>
      <c r="AF4" s="121">
        <v>3</v>
      </c>
      <c r="AG4" s="121">
        <v>4</v>
      </c>
      <c r="AH4" s="121">
        <v>5</v>
      </c>
      <c r="AI4" s="121">
        <v>6</v>
      </c>
      <c r="AJ4" s="121">
        <v>7</v>
      </c>
      <c r="AK4" s="121">
        <v>8</v>
      </c>
      <c r="AL4" s="121">
        <v>9</v>
      </c>
    </row>
    <row r="5" spans="2:38">
      <c r="B5" s="113">
        <v>0</v>
      </c>
      <c r="C5" s="133">
        <v>1</v>
      </c>
      <c r="D5" s="133">
        <v>1</v>
      </c>
      <c r="E5" s="133">
        <v>1</v>
      </c>
      <c r="F5" s="133">
        <v>1</v>
      </c>
      <c r="G5" s="133">
        <v>1</v>
      </c>
      <c r="I5" s="113" t="s">
        <v>97</v>
      </c>
      <c r="J5" s="122">
        <v>7000</v>
      </c>
      <c r="K5" s="202"/>
      <c r="L5" s="125">
        <v>0.7</v>
      </c>
      <c r="N5" s="113" t="s">
        <v>97</v>
      </c>
      <c r="O5" s="191">
        <v>0</v>
      </c>
      <c r="P5" s="192">
        <v>0</v>
      </c>
      <c r="Q5" s="192">
        <v>0</v>
      </c>
      <c r="R5" s="192">
        <v>0</v>
      </c>
      <c r="S5" s="192">
        <v>0</v>
      </c>
      <c r="T5" s="123">
        <v>2680</v>
      </c>
      <c r="U5" s="123">
        <v>3000</v>
      </c>
      <c r="V5" s="123">
        <v>2000</v>
      </c>
      <c r="W5" s="123">
        <v>500</v>
      </c>
      <c r="X5" s="123">
        <v>100</v>
      </c>
      <c r="Y5" s="123">
        <v>1200</v>
      </c>
      <c r="Z5" s="123">
        <v>20</v>
      </c>
      <c r="AA5" s="123">
        <v>500</v>
      </c>
      <c r="AB5" s="136">
        <v>75.930000000000007</v>
      </c>
      <c r="AC5" s="113" t="s">
        <v>97</v>
      </c>
      <c r="AD5" s="123">
        <v>300</v>
      </c>
      <c r="AE5" s="123">
        <v>600</v>
      </c>
      <c r="AF5" s="123">
        <v>1080</v>
      </c>
      <c r="AG5" s="123">
        <v>1440</v>
      </c>
      <c r="AH5" s="123">
        <v>2250</v>
      </c>
      <c r="AI5" s="123">
        <v>2700</v>
      </c>
      <c r="AJ5" s="123">
        <v>3150</v>
      </c>
      <c r="AK5" s="123">
        <v>3600</v>
      </c>
      <c r="AL5" s="123">
        <v>4050</v>
      </c>
    </row>
    <row r="6" spans="2:38">
      <c r="B6" s="113">
        <v>1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I6" s="113" t="s">
        <v>98</v>
      </c>
      <c r="J6" s="123">
        <v>1000</v>
      </c>
      <c r="K6" s="113"/>
      <c r="L6" s="125">
        <v>0.1</v>
      </c>
      <c r="N6" s="113" t="s">
        <v>98</v>
      </c>
      <c r="O6" s="191">
        <v>0</v>
      </c>
      <c r="P6" s="192">
        <v>0</v>
      </c>
      <c r="Q6" s="192">
        <v>0</v>
      </c>
      <c r="R6" s="192">
        <v>0</v>
      </c>
      <c r="S6" s="192">
        <v>0</v>
      </c>
      <c r="T6" s="123">
        <v>2680</v>
      </c>
      <c r="U6" s="123">
        <v>3000</v>
      </c>
      <c r="V6" s="123">
        <v>2000</v>
      </c>
      <c r="W6" s="123">
        <v>500</v>
      </c>
      <c r="X6" s="123">
        <v>100</v>
      </c>
      <c r="Y6" s="123">
        <v>1200</v>
      </c>
      <c r="Z6" s="123">
        <v>20</v>
      </c>
      <c r="AA6" s="123">
        <v>500</v>
      </c>
      <c r="AB6" s="136">
        <v>75.930000000000007</v>
      </c>
      <c r="AC6" s="113" t="s">
        <v>98</v>
      </c>
      <c r="AD6" s="192">
        <v>0</v>
      </c>
      <c r="AE6" s="192">
        <v>0</v>
      </c>
      <c r="AF6" s="123">
        <v>525</v>
      </c>
      <c r="AG6" s="123">
        <v>700</v>
      </c>
      <c r="AH6" s="123">
        <v>1750</v>
      </c>
      <c r="AI6" s="123">
        <v>2100</v>
      </c>
      <c r="AJ6" s="123">
        <v>3675</v>
      </c>
      <c r="AK6" s="123">
        <v>4200</v>
      </c>
      <c r="AL6" s="123">
        <v>4725</v>
      </c>
    </row>
    <row r="7" spans="2:38">
      <c r="B7" s="113">
        <v>2</v>
      </c>
      <c r="C7" s="133">
        <v>2</v>
      </c>
      <c r="D7" s="133">
        <v>2</v>
      </c>
      <c r="E7" s="133">
        <v>2</v>
      </c>
      <c r="F7" s="133">
        <v>2</v>
      </c>
      <c r="G7" s="133">
        <v>2</v>
      </c>
      <c r="I7" s="113" t="s">
        <v>113</v>
      </c>
      <c r="J7" s="123">
        <v>2000</v>
      </c>
      <c r="K7" s="113"/>
      <c r="L7" s="125">
        <v>0.2</v>
      </c>
      <c r="N7" s="113" t="s">
        <v>113</v>
      </c>
      <c r="O7" s="191">
        <v>10000</v>
      </c>
      <c r="P7" s="192">
        <v>0</v>
      </c>
      <c r="Q7" s="192">
        <v>0</v>
      </c>
      <c r="R7" s="192">
        <v>0</v>
      </c>
      <c r="S7" s="192">
        <v>0</v>
      </c>
      <c r="T7" s="192">
        <v>0</v>
      </c>
      <c r="U7" s="192">
        <v>0</v>
      </c>
      <c r="V7" s="192">
        <v>0</v>
      </c>
      <c r="W7" s="192">
        <v>0</v>
      </c>
      <c r="X7" s="192">
        <v>0</v>
      </c>
      <c r="Y7" s="192">
        <v>0</v>
      </c>
      <c r="Z7" s="192">
        <v>0</v>
      </c>
      <c r="AA7" s="192">
        <v>0</v>
      </c>
      <c r="AB7" s="136">
        <v>0</v>
      </c>
      <c r="AC7" s="113" t="s">
        <v>113</v>
      </c>
      <c r="AD7" s="192">
        <v>0</v>
      </c>
      <c r="AE7" s="192">
        <v>0</v>
      </c>
      <c r="AF7" s="192">
        <v>0</v>
      </c>
      <c r="AG7" s="192">
        <v>0</v>
      </c>
      <c r="AH7" s="192">
        <v>0</v>
      </c>
      <c r="AI7" s="192">
        <v>0</v>
      </c>
      <c r="AJ7" s="192">
        <v>0</v>
      </c>
      <c r="AK7" s="192">
        <v>0</v>
      </c>
      <c r="AL7" s="192">
        <v>0</v>
      </c>
    </row>
    <row r="8" spans="2:38">
      <c r="B8" s="113">
        <v>3</v>
      </c>
      <c r="C8" s="133">
        <v>0</v>
      </c>
      <c r="D8" s="133">
        <v>1</v>
      </c>
      <c r="E8" s="133">
        <v>2</v>
      </c>
      <c r="F8" s="133">
        <v>1</v>
      </c>
      <c r="G8" s="133">
        <v>0</v>
      </c>
      <c r="J8" s="47">
        <v>10000</v>
      </c>
      <c r="K8" s="47">
        <v>0</v>
      </c>
      <c r="L8" s="47"/>
      <c r="N8" s="113" t="s">
        <v>100</v>
      </c>
      <c r="O8" s="191">
        <v>0</v>
      </c>
      <c r="P8" s="192">
        <v>0</v>
      </c>
      <c r="Q8" s="192">
        <v>0</v>
      </c>
      <c r="R8" s="192">
        <v>0</v>
      </c>
      <c r="S8" s="192">
        <v>0</v>
      </c>
      <c r="T8" s="123">
        <v>3600</v>
      </c>
      <c r="U8" s="123">
        <v>2500</v>
      </c>
      <c r="V8" s="123">
        <v>1500</v>
      </c>
      <c r="W8" s="123">
        <v>250</v>
      </c>
      <c r="X8" s="123">
        <v>50</v>
      </c>
      <c r="Y8" s="123">
        <v>1000</v>
      </c>
      <c r="Z8" s="123">
        <v>100</v>
      </c>
      <c r="AA8" s="123">
        <v>1000</v>
      </c>
      <c r="AB8" s="136">
        <v>126.22499999999999</v>
      </c>
      <c r="AC8" s="113" t="s">
        <v>100</v>
      </c>
      <c r="AD8" s="192">
        <v>0</v>
      </c>
      <c r="AE8" s="192">
        <v>0</v>
      </c>
      <c r="AF8" s="123">
        <v>525</v>
      </c>
      <c r="AG8" s="123">
        <v>700</v>
      </c>
      <c r="AH8" s="123">
        <v>1750</v>
      </c>
      <c r="AI8" s="123">
        <v>2100</v>
      </c>
      <c r="AJ8" s="123">
        <v>3675</v>
      </c>
      <c r="AK8" s="123">
        <v>4200</v>
      </c>
      <c r="AL8" s="123">
        <v>4725</v>
      </c>
    </row>
    <row r="9" spans="2:38">
      <c r="B9" s="113">
        <v>4</v>
      </c>
      <c r="C9" s="133">
        <v>2</v>
      </c>
      <c r="D9" s="133">
        <v>1</v>
      </c>
      <c r="E9" s="133">
        <v>0</v>
      </c>
      <c r="F9" s="133">
        <v>1</v>
      </c>
      <c r="G9" s="133">
        <v>2</v>
      </c>
      <c r="L9" s="47"/>
      <c r="N9" s="113" t="s">
        <v>101</v>
      </c>
      <c r="O9" s="191">
        <v>0</v>
      </c>
      <c r="P9" s="192">
        <v>0</v>
      </c>
      <c r="Q9" s="192">
        <v>0</v>
      </c>
      <c r="R9" s="192">
        <v>0</v>
      </c>
      <c r="S9" s="192">
        <v>0</v>
      </c>
      <c r="T9" s="123">
        <v>3430</v>
      </c>
      <c r="U9" s="123">
        <v>2500</v>
      </c>
      <c r="V9" s="123">
        <v>2000</v>
      </c>
      <c r="W9" s="123">
        <v>500</v>
      </c>
      <c r="X9" s="123">
        <v>100</v>
      </c>
      <c r="Y9" s="123">
        <v>700</v>
      </c>
      <c r="Z9" s="123">
        <v>70</v>
      </c>
      <c r="AA9" s="123">
        <v>700</v>
      </c>
      <c r="AB9" s="136">
        <v>93.43</v>
      </c>
      <c r="AC9" s="113" t="s">
        <v>101</v>
      </c>
      <c r="AD9" s="192">
        <v>0</v>
      </c>
      <c r="AE9" s="192">
        <v>0</v>
      </c>
      <c r="AF9" s="123">
        <v>525</v>
      </c>
      <c r="AG9" s="123">
        <v>700</v>
      </c>
      <c r="AH9" s="123">
        <v>1750</v>
      </c>
      <c r="AI9" s="123">
        <v>2100</v>
      </c>
      <c r="AJ9" s="123">
        <v>3675</v>
      </c>
      <c r="AK9" s="123">
        <v>4200</v>
      </c>
      <c r="AL9" s="123">
        <v>4725</v>
      </c>
    </row>
    <row r="10" spans="2:38">
      <c r="B10" s="113">
        <v>5</v>
      </c>
      <c r="C10" s="133">
        <v>0</v>
      </c>
      <c r="D10" s="133">
        <v>0</v>
      </c>
      <c r="E10" s="133">
        <v>1</v>
      </c>
      <c r="F10" s="133">
        <v>0</v>
      </c>
      <c r="G10" s="133">
        <v>0</v>
      </c>
      <c r="I10" s="15" t="s">
        <v>109</v>
      </c>
      <c r="L10" s="47"/>
      <c r="N10" s="113" t="s">
        <v>102</v>
      </c>
      <c r="O10" s="191">
        <v>0</v>
      </c>
      <c r="P10" s="192">
        <v>0</v>
      </c>
      <c r="Q10" s="192">
        <v>0</v>
      </c>
      <c r="R10" s="192">
        <v>0</v>
      </c>
      <c r="S10" s="192">
        <v>0</v>
      </c>
      <c r="T10" s="123">
        <v>4480</v>
      </c>
      <c r="U10" s="123">
        <v>2500</v>
      </c>
      <c r="V10" s="123">
        <v>2000</v>
      </c>
      <c r="W10" s="123">
        <v>500</v>
      </c>
      <c r="X10" s="123">
        <v>100</v>
      </c>
      <c r="Y10" s="123">
        <v>200</v>
      </c>
      <c r="Z10" s="123">
        <v>20</v>
      </c>
      <c r="AA10" s="123">
        <v>200</v>
      </c>
      <c r="AB10" s="136">
        <v>36.980000000000004</v>
      </c>
      <c r="AC10" s="113" t="s">
        <v>102</v>
      </c>
      <c r="AD10" s="192">
        <v>0</v>
      </c>
      <c r="AE10" s="192">
        <v>0</v>
      </c>
      <c r="AF10" s="123">
        <v>525</v>
      </c>
      <c r="AG10" s="123">
        <v>700</v>
      </c>
      <c r="AH10" s="123">
        <v>1750</v>
      </c>
      <c r="AI10" s="123">
        <v>2100</v>
      </c>
      <c r="AJ10" s="123">
        <v>3675</v>
      </c>
      <c r="AK10" s="123">
        <v>4200</v>
      </c>
      <c r="AL10" s="123">
        <v>4725</v>
      </c>
    </row>
    <row r="11" spans="2:38" ht="15.6" customHeight="1">
      <c r="B11" s="113">
        <v>6</v>
      </c>
      <c r="C11" s="133">
        <v>2</v>
      </c>
      <c r="D11" s="133">
        <v>2</v>
      </c>
      <c r="E11" s="133">
        <v>1</v>
      </c>
      <c r="F11" s="133">
        <v>2</v>
      </c>
      <c r="G11" s="133">
        <v>2</v>
      </c>
      <c r="I11" s="120" t="s">
        <v>103</v>
      </c>
      <c r="J11" s="121" t="s">
        <v>90</v>
      </c>
      <c r="K11" s="121" t="s">
        <v>115</v>
      </c>
      <c r="N11" s="113" t="s">
        <v>112</v>
      </c>
      <c r="O11" s="191">
        <v>10000</v>
      </c>
      <c r="P11" s="192">
        <v>0</v>
      </c>
      <c r="Q11" s="192">
        <v>0</v>
      </c>
      <c r="R11" s="192">
        <v>0</v>
      </c>
      <c r="S11" s="192">
        <v>0</v>
      </c>
      <c r="T11" s="192">
        <v>0</v>
      </c>
      <c r="U11" s="192">
        <v>0</v>
      </c>
      <c r="V11" s="192">
        <v>0</v>
      </c>
      <c r="W11" s="192">
        <v>0</v>
      </c>
      <c r="X11" s="192">
        <v>0</v>
      </c>
      <c r="Y11" s="192">
        <v>0</v>
      </c>
      <c r="Z11" s="192">
        <v>0</v>
      </c>
      <c r="AA11" s="192">
        <v>0</v>
      </c>
      <c r="AB11" s="136">
        <v>0</v>
      </c>
      <c r="AC11" s="113" t="s">
        <v>112</v>
      </c>
      <c r="AD11" s="192">
        <v>0</v>
      </c>
      <c r="AE11" s="192">
        <v>0</v>
      </c>
      <c r="AF11" s="192">
        <v>0</v>
      </c>
      <c r="AG11" s="192">
        <v>0</v>
      </c>
      <c r="AH11" s="192">
        <v>0</v>
      </c>
      <c r="AI11" s="192">
        <v>0</v>
      </c>
      <c r="AJ11" s="192">
        <v>0</v>
      </c>
      <c r="AK11" s="192">
        <v>0</v>
      </c>
      <c r="AL11" s="192">
        <v>0</v>
      </c>
    </row>
    <row r="12" spans="2:38" ht="15.6" customHeight="1">
      <c r="B12" s="113">
        <v>7</v>
      </c>
      <c r="C12" s="133">
        <v>1</v>
      </c>
      <c r="D12" s="133">
        <v>2</v>
      </c>
      <c r="E12" s="133">
        <v>2</v>
      </c>
      <c r="F12" s="133">
        <v>2</v>
      </c>
      <c r="G12" s="133">
        <v>1</v>
      </c>
      <c r="I12" s="113" t="s">
        <v>100</v>
      </c>
      <c r="J12" s="122">
        <v>10000</v>
      </c>
      <c r="K12" s="202"/>
      <c r="L12" s="125">
        <v>1</v>
      </c>
    </row>
    <row r="13" spans="2:38" ht="15.6" customHeight="1">
      <c r="B13" s="113">
        <v>8</v>
      </c>
      <c r="C13" s="133">
        <v>1</v>
      </c>
      <c r="D13" s="133">
        <v>0</v>
      </c>
      <c r="E13" s="133">
        <v>0</v>
      </c>
      <c r="F13" s="133">
        <v>0</v>
      </c>
      <c r="G13" s="133">
        <v>1</v>
      </c>
      <c r="I13" s="113" t="s">
        <v>101</v>
      </c>
      <c r="J13" s="123">
        <v>0</v>
      </c>
      <c r="K13" s="113"/>
      <c r="L13" s="125">
        <v>0</v>
      </c>
    </row>
    <row r="14" spans="2:38" ht="15.6" customHeight="1">
      <c r="B14" s="113">
        <v>9</v>
      </c>
      <c r="C14" s="133">
        <v>0</v>
      </c>
      <c r="D14" s="133">
        <v>1</v>
      </c>
      <c r="E14" s="133">
        <v>1</v>
      </c>
      <c r="F14" s="133">
        <v>1</v>
      </c>
      <c r="G14" s="133">
        <v>0</v>
      </c>
      <c r="I14" s="113" t="s">
        <v>102</v>
      </c>
      <c r="J14" s="123">
        <v>0</v>
      </c>
      <c r="K14" s="113"/>
      <c r="L14" s="125">
        <v>0</v>
      </c>
      <c r="N14" s="15" t="s">
        <v>122</v>
      </c>
      <c r="AD14" s="157"/>
      <c r="AE14" s="157"/>
      <c r="AF14" s="157"/>
      <c r="AG14" s="157"/>
      <c r="AH14" s="157"/>
      <c r="AI14" s="157"/>
      <c r="AJ14" s="157"/>
      <c r="AK14" s="157"/>
      <c r="AL14" s="157"/>
    </row>
    <row r="15" spans="2:38" ht="15.6" customHeight="1">
      <c r="B15" s="113">
        <v>10</v>
      </c>
      <c r="C15" s="133">
        <v>2</v>
      </c>
      <c r="D15" s="133">
        <v>1</v>
      </c>
      <c r="E15" s="133">
        <v>1</v>
      </c>
      <c r="F15" s="133">
        <v>1</v>
      </c>
      <c r="G15" s="133">
        <v>2</v>
      </c>
      <c r="J15" s="47">
        <v>10000</v>
      </c>
      <c r="K15" s="47">
        <v>0</v>
      </c>
      <c r="L15" s="47"/>
      <c r="N15" s="121" t="s">
        <v>104</v>
      </c>
      <c r="O15" s="121">
        <v>0</v>
      </c>
      <c r="P15" s="121">
        <v>2</v>
      </c>
      <c r="Q15" s="121">
        <v>3</v>
      </c>
      <c r="R15" s="121">
        <v>5</v>
      </c>
      <c r="S15" s="121">
        <v>8</v>
      </c>
      <c r="T15" s="121">
        <v>10</v>
      </c>
      <c r="U15" s="121">
        <v>15</v>
      </c>
      <c r="V15" s="121">
        <v>20</v>
      </c>
      <c r="W15" s="121">
        <v>25</v>
      </c>
      <c r="X15" s="121">
        <v>50</v>
      </c>
      <c r="Y15" s="121">
        <v>100</v>
      </c>
      <c r="Z15" s="121">
        <v>500</v>
      </c>
      <c r="AA15" s="121">
        <v>1000</v>
      </c>
    </row>
    <row r="16" spans="2:38" ht="15.6" customHeight="1">
      <c r="B16" s="113">
        <v>11</v>
      </c>
      <c r="C16" s="133">
        <v>1</v>
      </c>
      <c r="D16" s="133">
        <v>1</v>
      </c>
      <c r="E16" s="133">
        <v>0</v>
      </c>
      <c r="F16" s="133">
        <v>1</v>
      </c>
      <c r="G16" s="133">
        <v>1</v>
      </c>
      <c r="L16" s="47"/>
      <c r="N16" s="202" t="s">
        <v>97</v>
      </c>
      <c r="O16" s="191">
        <v>10000</v>
      </c>
      <c r="P16" s="191">
        <v>0</v>
      </c>
      <c r="Q16" s="191">
        <v>0</v>
      </c>
      <c r="R16" s="191">
        <v>0</v>
      </c>
      <c r="S16" s="191">
        <v>0</v>
      </c>
      <c r="T16" s="191">
        <v>0</v>
      </c>
      <c r="U16" s="191">
        <v>0</v>
      </c>
      <c r="V16" s="191">
        <v>0</v>
      </c>
      <c r="W16" s="191">
        <v>0</v>
      </c>
      <c r="X16" s="191">
        <v>0</v>
      </c>
      <c r="Y16" s="191">
        <v>0</v>
      </c>
      <c r="Z16" s="191">
        <v>0</v>
      </c>
      <c r="AA16" s="191">
        <v>0</v>
      </c>
      <c r="AB16" s="136">
        <v>0</v>
      </c>
      <c r="AD16" s="151"/>
      <c r="AE16" s="151"/>
    </row>
    <row r="17" spans="2:31" ht="15.6" customHeight="1">
      <c r="B17" s="113">
        <v>12</v>
      </c>
      <c r="C17" s="133">
        <v>1</v>
      </c>
      <c r="D17" s="133">
        <v>1</v>
      </c>
      <c r="E17" s="133">
        <v>2</v>
      </c>
      <c r="F17" s="133">
        <v>1</v>
      </c>
      <c r="G17" s="133">
        <v>1</v>
      </c>
      <c r="I17" s="15" t="s">
        <v>111</v>
      </c>
      <c r="L17" s="47"/>
      <c r="N17" s="113" t="s">
        <v>98</v>
      </c>
      <c r="O17" s="192">
        <v>0</v>
      </c>
      <c r="P17" s="122">
        <v>3600</v>
      </c>
      <c r="Q17" s="122">
        <v>3400</v>
      </c>
      <c r="R17" s="122">
        <v>1500</v>
      </c>
      <c r="S17" s="122">
        <v>1500</v>
      </c>
      <c r="T17" s="191">
        <v>0</v>
      </c>
      <c r="U17" s="191">
        <v>0</v>
      </c>
      <c r="V17" s="191">
        <v>0</v>
      </c>
      <c r="W17" s="191">
        <v>0</v>
      </c>
      <c r="X17" s="191">
        <v>0</v>
      </c>
      <c r="Y17" s="191">
        <v>0</v>
      </c>
      <c r="Z17" s="191">
        <v>0</v>
      </c>
      <c r="AA17" s="191">
        <v>0</v>
      </c>
      <c r="AB17" s="136">
        <v>3.6900000000000004</v>
      </c>
      <c r="AD17" s="151"/>
      <c r="AE17" s="151"/>
    </row>
    <row r="18" spans="2:31" ht="15.6" customHeight="1">
      <c r="B18" s="113">
        <v>13</v>
      </c>
      <c r="C18" s="133">
        <v>1</v>
      </c>
      <c r="D18" s="133">
        <v>0</v>
      </c>
      <c r="E18" s="133">
        <v>1</v>
      </c>
      <c r="F18" s="133">
        <v>0</v>
      </c>
      <c r="G18" s="133">
        <v>1</v>
      </c>
      <c r="I18" s="120" t="s">
        <v>103</v>
      </c>
      <c r="J18" s="121" t="s">
        <v>90</v>
      </c>
      <c r="K18" s="121" t="s">
        <v>115</v>
      </c>
      <c r="N18" s="113" t="s">
        <v>113</v>
      </c>
      <c r="O18" s="192">
        <v>10000</v>
      </c>
      <c r="P18" s="191">
        <v>0</v>
      </c>
      <c r="Q18" s="191">
        <v>0</v>
      </c>
      <c r="R18" s="191">
        <v>0</v>
      </c>
      <c r="S18" s="191">
        <v>0</v>
      </c>
      <c r="T18" s="191">
        <v>0</v>
      </c>
      <c r="U18" s="191">
        <v>0</v>
      </c>
      <c r="V18" s="191">
        <v>0</v>
      </c>
      <c r="W18" s="191">
        <v>0</v>
      </c>
      <c r="X18" s="191">
        <v>0</v>
      </c>
      <c r="Y18" s="191">
        <v>0</v>
      </c>
      <c r="Z18" s="191">
        <v>0</v>
      </c>
      <c r="AA18" s="191">
        <v>0</v>
      </c>
      <c r="AB18" s="136">
        <v>0</v>
      </c>
      <c r="AD18" s="151"/>
      <c r="AE18" s="151"/>
    </row>
    <row r="19" spans="2:31" ht="15.6" customHeight="1">
      <c r="B19" s="113">
        <v>14</v>
      </c>
      <c r="C19" s="133">
        <v>1</v>
      </c>
      <c r="D19" s="133">
        <v>2</v>
      </c>
      <c r="E19" s="133">
        <v>1</v>
      </c>
      <c r="F19" s="133">
        <v>2</v>
      </c>
      <c r="G19" s="133">
        <v>1</v>
      </c>
      <c r="I19" s="113" t="s">
        <v>100</v>
      </c>
      <c r="J19" s="122">
        <v>10000</v>
      </c>
      <c r="K19" s="202"/>
      <c r="L19" s="125">
        <v>1</v>
      </c>
      <c r="N19" s="113" t="s">
        <v>100</v>
      </c>
      <c r="O19" s="192">
        <v>0</v>
      </c>
      <c r="P19" s="122">
        <v>6000</v>
      </c>
      <c r="Q19" s="123">
        <v>2800</v>
      </c>
      <c r="R19" s="123">
        <v>900</v>
      </c>
      <c r="S19" s="123">
        <v>300</v>
      </c>
      <c r="T19" s="192">
        <v>0</v>
      </c>
      <c r="U19" s="192">
        <v>0</v>
      </c>
      <c r="V19" s="192">
        <v>0</v>
      </c>
      <c r="W19" s="192">
        <v>0</v>
      </c>
      <c r="X19" s="192">
        <v>0</v>
      </c>
      <c r="Y19" s="192">
        <v>0</v>
      </c>
      <c r="Z19" s="192">
        <v>0</v>
      </c>
      <c r="AA19" s="192">
        <v>0</v>
      </c>
      <c r="AB19" s="136">
        <v>2.7300000000000004</v>
      </c>
    </row>
    <row r="20" spans="2:31" ht="15.6" customHeight="1">
      <c r="B20" s="113">
        <v>15</v>
      </c>
      <c r="C20" s="133">
        <v>0</v>
      </c>
      <c r="D20" s="133">
        <v>1</v>
      </c>
      <c r="E20" s="133">
        <v>0</v>
      </c>
      <c r="F20" s="133">
        <v>1</v>
      </c>
      <c r="G20" s="133">
        <v>0</v>
      </c>
      <c r="I20" s="113" t="s">
        <v>101</v>
      </c>
      <c r="J20" s="123">
        <v>0</v>
      </c>
      <c r="K20" s="113"/>
      <c r="L20" s="125">
        <v>0</v>
      </c>
      <c r="N20" s="113" t="s">
        <v>101</v>
      </c>
      <c r="O20" s="192">
        <v>0</v>
      </c>
      <c r="P20" s="122">
        <v>6000</v>
      </c>
      <c r="Q20" s="123">
        <v>2800</v>
      </c>
      <c r="R20" s="123">
        <v>900</v>
      </c>
      <c r="S20" s="123">
        <v>300</v>
      </c>
      <c r="T20" s="192">
        <v>0</v>
      </c>
      <c r="U20" s="192">
        <v>0</v>
      </c>
      <c r="V20" s="192">
        <v>0</v>
      </c>
      <c r="W20" s="192">
        <v>0</v>
      </c>
      <c r="X20" s="192">
        <v>0</v>
      </c>
      <c r="Y20" s="192">
        <v>0</v>
      </c>
      <c r="Z20" s="192">
        <v>0</v>
      </c>
      <c r="AA20" s="192">
        <v>0</v>
      </c>
      <c r="AB20" s="136">
        <v>2.7300000000000004</v>
      </c>
    </row>
    <row r="21" spans="2:31" ht="15.6" customHeight="1">
      <c r="B21" s="113">
        <v>16</v>
      </c>
      <c r="C21" s="133">
        <v>2</v>
      </c>
      <c r="D21" s="133">
        <v>1</v>
      </c>
      <c r="E21" s="133">
        <v>2</v>
      </c>
      <c r="F21" s="133">
        <v>1</v>
      </c>
      <c r="G21" s="133">
        <v>2</v>
      </c>
      <c r="I21" s="113" t="s">
        <v>102</v>
      </c>
      <c r="J21" s="123">
        <v>0</v>
      </c>
      <c r="K21" s="113"/>
      <c r="L21" s="125">
        <v>0</v>
      </c>
      <c r="N21" s="113" t="s">
        <v>102</v>
      </c>
      <c r="O21" s="192">
        <v>0</v>
      </c>
      <c r="P21" s="122">
        <v>6000</v>
      </c>
      <c r="Q21" s="123">
        <v>2800</v>
      </c>
      <c r="R21" s="123">
        <v>900</v>
      </c>
      <c r="S21" s="123">
        <v>300</v>
      </c>
      <c r="T21" s="192">
        <v>0</v>
      </c>
      <c r="U21" s="192">
        <v>0</v>
      </c>
      <c r="V21" s="192">
        <v>0</v>
      </c>
      <c r="W21" s="192">
        <v>0</v>
      </c>
      <c r="X21" s="192">
        <v>0</v>
      </c>
      <c r="Y21" s="192">
        <v>0</v>
      </c>
      <c r="Z21" s="192">
        <v>0</v>
      </c>
      <c r="AA21" s="192">
        <v>0</v>
      </c>
      <c r="AB21" s="136">
        <v>2.7300000000000004</v>
      </c>
    </row>
    <row r="22" spans="2:31" ht="15.6" customHeight="1">
      <c r="B22" s="113">
        <v>17</v>
      </c>
      <c r="C22" s="133">
        <v>0</v>
      </c>
      <c r="D22" s="133">
        <v>0</v>
      </c>
      <c r="E22" s="133">
        <v>1</v>
      </c>
      <c r="F22" s="133">
        <v>2</v>
      </c>
      <c r="G22" s="133">
        <v>2</v>
      </c>
      <c r="J22" s="47">
        <v>10000</v>
      </c>
      <c r="K22" s="47">
        <v>0</v>
      </c>
      <c r="N22" s="113" t="s">
        <v>112</v>
      </c>
      <c r="O22" s="192">
        <v>10000</v>
      </c>
      <c r="P22" s="191">
        <v>0</v>
      </c>
      <c r="Q22" s="191">
        <v>0</v>
      </c>
      <c r="R22" s="191">
        <v>0</v>
      </c>
      <c r="S22" s="191">
        <v>0</v>
      </c>
      <c r="T22" s="191">
        <v>0</v>
      </c>
      <c r="U22" s="191">
        <v>0</v>
      </c>
      <c r="V22" s="191">
        <v>0</v>
      </c>
      <c r="W22" s="191">
        <v>0</v>
      </c>
      <c r="X22" s="191">
        <v>0</v>
      </c>
      <c r="Y22" s="191">
        <v>0</v>
      </c>
      <c r="Z22" s="191">
        <v>0</v>
      </c>
      <c r="AA22" s="191">
        <v>0</v>
      </c>
      <c r="AB22" s="136">
        <v>0</v>
      </c>
    </row>
    <row r="23" spans="2:31" ht="15.6" customHeight="1">
      <c r="B23" s="113">
        <v>18</v>
      </c>
      <c r="C23" s="133">
        <v>2</v>
      </c>
      <c r="D23" s="133">
        <v>2</v>
      </c>
      <c r="E23" s="133">
        <v>1</v>
      </c>
      <c r="F23" s="133">
        <v>0</v>
      </c>
      <c r="G23" s="133">
        <v>0</v>
      </c>
      <c r="P23" s="157"/>
      <c r="Q23" s="157"/>
      <c r="R23" s="157"/>
      <c r="S23" s="157"/>
    </row>
    <row r="24" spans="2:31" ht="15.6" customHeight="1">
      <c r="B24" s="113">
        <v>19</v>
      </c>
      <c r="C24" s="133">
        <v>0</v>
      </c>
      <c r="D24" s="133">
        <v>2</v>
      </c>
      <c r="E24" s="133">
        <v>0</v>
      </c>
      <c r="F24" s="133">
        <v>2</v>
      </c>
      <c r="G24" s="133">
        <v>0</v>
      </c>
      <c r="I24" s="15" t="s">
        <v>117</v>
      </c>
    </row>
    <row r="25" spans="2:31" ht="15.6" customHeight="1">
      <c r="I25" s="121" t="s">
        <v>116</v>
      </c>
      <c r="N25" s="15" t="s">
        <v>123</v>
      </c>
    </row>
    <row r="26" spans="2:31" ht="15.6" customHeight="1">
      <c r="I26" s="132">
        <v>0</v>
      </c>
      <c r="N26" s="121" t="s">
        <v>104</v>
      </c>
      <c r="O26" s="121">
        <v>0</v>
      </c>
      <c r="P26" s="121">
        <v>2</v>
      </c>
      <c r="Q26" s="121">
        <v>3</v>
      </c>
      <c r="R26" s="121">
        <v>5</v>
      </c>
      <c r="S26" s="121">
        <v>8</v>
      </c>
      <c r="T26" s="121">
        <v>10</v>
      </c>
      <c r="U26" s="121">
        <v>15</v>
      </c>
      <c r="V26" s="121">
        <v>20</v>
      </c>
      <c r="W26" s="121">
        <v>25</v>
      </c>
      <c r="X26" s="121">
        <v>50</v>
      </c>
      <c r="Y26" s="121">
        <v>100</v>
      </c>
      <c r="Z26" s="121">
        <v>500</v>
      </c>
      <c r="AA26" s="121">
        <v>1000</v>
      </c>
    </row>
    <row r="27" spans="2:31" ht="15.6" customHeight="1">
      <c r="I27" s="133">
        <v>2</v>
      </c>
      <c r="N27" s="202" t="s">
        <v>97</v>
      </c>
      <c r="O27" s="191">
        <v>10000</v>
      </c>
      <c r="P27" s="191">
        <v>0</v>
      </c>
      <c r="Q27" s="191">
        <v>0</v>
      </c>
      <c r="R27" s="191">
        <v>0</v>
      </c>
      <c r="S27" s="191">
        <v>0</v>
      </c>
      <c r="T27" s="191">
        <v>0</v>
      </c>
      <c r="U27" s="191">
        <v>0</v>
      </c>
      <c r="V27" s="191">
        <v>0</v>
      </c>
      <c r="W27" s="191">
        <v>0</v>
      </c>
      <c r="X27" s="191">
        <v>0</v>
      </c>
      <c r="Y27" s="191">
        <v>0</v>
      </c>
      <c r="Z27" s="191">
        <v>0</v>
      </c>
      <c r="AA27" s="191">
        <v>0</v>
      </c>
      <c r="AB27" s="136">
        <v>0</v>
      </c>
    </row>
    <row r="28" spans="2:31">
      <c r="I28" s="133">
        <v>3</v>
      </c>
      <c r="N28" s="113" t="s">
        <v>98</v>
      </c>
      <c r="O28" s="191">
        <v>0</v>
      </c>
      <c r="P28" s="122">
        <v>3500</v>
      </c>
      <c r="Q28" s="122">
        <v>3400</v>
      </c>
      <c r="R28" s="122">
        <v>1500</v>
      </c>
      <c r="S28" s="122">
        <v>1500</v>
      </c>
      <c r="T28" s="123">
        <v>20</v>
      </c>
      <c r="U28" s="123">
        <v>20</v>
      </c>
      <c r="V28" s="123">
        <v>5</v>
      </c>
      <c r="W28" s="123">
        <v>5</v>
      </c>
      <c r="X28" s="123">
        <v>5</v>
      </c>
      <c r="Y28" s="123">
        <v>20</v>
      </c>
      <c r="Z28" s="123">
        <v>5</v>
      </c>
      <c r="AA28" s="123">
        <v>20</v>
      </c>
      <c r="AB28" s="136">
        <v>6.2174999999999994</v>
      </c>
    </row>
    <row r="29" spans="2:31">
      <c r="I29" s="133">
        <v>5</v>
      </c>
      <c r="N29" s="113" t="s">
        <v>113</v>
      </c>
      <c r="O29" s="191">
        <v>10000</v>
      </c>
      <c r="P29" s="191">
        <v>0</v>
      </c>
      <c r="Q29" s="191">
        <v>0</v>
      </c>
      <c r="R29" s="191">
        <v>0</v>
      </c>
      <c r="S29" s="191">
        <v>0</v>
      </c>
      <c r="T29" s="191">
        <v>0</v>
      </c>
      <c r="U29" s="191">
        <v>0</v>
      </c>
      <c r="V29" s="191">
        <v>0</v>
      </c>
      <c r="W29" s="191">
        <v>0</v>
      </c>
      <c r="X29" s="191">
        <v>0</v>
      </c>
      <c r="Y29" s="191">
        <v>0</v>
      </c>
      <c r="Z29" s="191">
        <v>0</v>
      </c>
      <c r="AA29" s="191">
        <v>0</v>
      </c>
      <c r="AB29" s="136">
        <v>0</v>
      </c>
      <c r="AD29" s="151"/>
      <c r="AE29" s="151"/>
    </row>
    <row r="30" spans="2:31">
      <c r="I30" s="133">
        <v>8</v>
      </c>
      <c r="N30" s="113" t="s">
        <v>100</v>
      </c>
      <c r="O30" s="191">
        <v>0</v>
      </c>
      <c r="P30" s="122">
        <v>5800</v>
      </c>
      <c r="Q30" s="123">
        <v>2800</v>
      </c>
      <c r="R30" s="123">
        <v>900</v>
      </c>
      <c r="S30" s="123">
        <v>300</v>
      </c>
      <c r="T30" s="123">
        <v>20</v>
      </c>
      <c r="U30" s="123">
        <v>20</v>
      </c>
      <c r="V30" s="123">
        <v>5</v>
      </c>
      <c r="W30" s="123">
        <v>5</v>
      </c>
      <c r="X30" s="123">
        <v>5</v>
      </c>
      <c r="Y30" s="123">
        <v>70</v>
      </c>
      <c r="Z30" s="123">
        <v>5</v>
      </c>
      <c r="AA30" s="123">
        <v>70</v>
      </c>
      <c r="AB30" s="136">
        <v>10.737500000000001</v>
      </c>
    </row>
    <row r="31" spans="2:31">
      <c r="I31" s="133">
        <v>10</v>
      </c>
      <c r="N31" s="113" t="s">
        <v>101</v>
      </c>
      <c r="O31" s="191">
        <v>0</v>
      </c>
      <c r="P31" s="122">
        <v>5880</v>
      </c>
      <c r="Q31" s="123">
        <v>2800</v>
      </c>
      <c r="R31" s="123">
        <v>900</v>
      </c>
      <c r="S31" s="123">
        <v>300</v>
      </c>
      <c r="T31" s="123">
        <v>20</v>
      </c>
      <c r="U31" s="123">
        <v>20</v>
      </c>
      <c r="V31" s="123">
        <v>5</v>
      </c>
      <c r="W31" s="123">
        <v>5</v>
      </c>
      <c r="X31" s="123">
        <v>5</v>
      </c>
      <c r="Y31" s="123">
        <v>30</v>
      </c>
      <c r="Z31" s="123">
        <v>5</v>
      </c>
      <c r="AA31" s="123">
        <v>30</v>
      </c>
      <c r="AB31" s="136">
        <v>6.3535000000000004</v>
      </c>
      <c r="AD31" s="151"/>
      <c r="AE31" s="151"/>
    </row>
    <row r="32" spans="2:31">
      <c r="I32" s="133">
        <v>15</v>
      </c>
      <c r="N32" s="113" t="s">
        <v>102</v>
      </c>
      <c r="O32" s="191">
        <v>0</v>
      </c>
      <c r="P32" s="122">
        <v>5900</v>
      </c>
      <c r="Q32" s="123">
        <v>2800</v>
      </c>
      <c r="R32" s="123">
        <v>900</v>
      </c>
      <c r="S32" s="123">
        <v>300</v>
      </c>
      <c r="T32" s="123">
        <v>20</v>
      </c>
      <c r="U32" s="123">
        <v>20</v>
      </c>
      <c r="V32" s="123">
        <v>5</v>
      </c>
      <c r="W32" s="123">
        <v>5</v>
      </c>
      <c r="X32" s="123">
        <v>5</v>
      </c>
      <c r="Y32" s="123">
        <v>20</v>
      </c>
      <c r="Z32" s="123">
        <v>5</v>
      </c>
      <c r="AA32" s="123">
        <v>20</v>
      </c>
      <c r="AB32" s="136">
        <v>5.2575000000000003</v>
      </c>
      <c r="AD32" s="151"/>
      <c r="AE32" s="151"/>
    </row>
    <row r="33" spans="9:31">
      <c r="I33" s="133">
        <v>20</v>
      </c>
      <c r="N33" s="113" t="s">
        <v>112</v>
      </c>
      <c r="O33" s="191">
        <v>10000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  <c r="V33" s="191">
        <v>0</v>
      </c>
      <c r="W33" s="191">
        <v>0</v>
      </c>
      <c r="X33" s="191">
        <v>0</v>
      </c>
      <c r="Y33" s="191">
        <v>0</v>
      </c>
      <c r="Z33" s="191">
        <v>0</v>
      </c>
      <c r="AA33" s="191">
        <v>0</v>
      </c>
      <c r="AB33" s="136">
        <v>0</v>
      </c>
      <c r="AD33" s="151"/>
      <c r="AE33" s="151"/>
    </row>
    <row r="34" spans="9:31">
      <c r="I34" s="133">
        <v>25</v>
      </c>
    </row>
    <row r="35" spans="9:31">
      <c r="I35" s="133">
        <v>50</v>
      </c>
    </row>
    <row r="36" spans="9:31">
      <c r="I36" s="133">
        <v>100</v>
      </c>
      <c r="N36" s="15" t="s">
        <v>108</v>
      </c>
    </row>
    <row r="37" spans="9:31">
      <c r="I37" s="133">
        <v>500</v>
      </c>
      <c r="N37" s="121" t="s">
        <v>104</v>
      </c>
      <c r="O37" s="121">
        <v>0</v>
      </c>
      <c r="P37" s="121">
        <v>2</v>
      </c>
      <c r="Q37" s="121">
        <v>3</v>
      </c>
      <c r="R37" s="121">
        <v>5</v>
      </c>
      <c r="S37" s="121">
        <v>8</v>
      </c>
      <c r="T37" s="121">
        <v>10</v>
      </c>
      <c r="U37" s="121">
        <v>15</v>
      </c>
      <c r="V37" s="121">
        <v>20</v>
      </c>
      <c r="W37" s="121">
        <v>25</v>
      </c>
      <c r="X37" s="121">
        <v>50</v>
      </c>
      <c r="Y37" s="121">
        <v>100</v>
      </c>
      <c r="Z37" s="121">
        <v>500</v>
      </c>
      <c r="AA37" s="121">
        <v>1000</v>
      </c>
    </row>
    <row r="38" spans="9:31">
      <c r="I38" s="133">
        <v>1000</v>
      </c>
      <c r="N38" s="113" t="s">
        <v>97</v>
      </c>
      <c r="O38" s="122">
        <v>8500</v>
      </c>
      <c r="P38" s="122">
        <v>500</v>
      </c>
      <c r="Q38" s="122">
        <v>400</v>
      </c>
      <c r="R38" s="122">
        <v>300</v>
      </c>
      <c r="S38" s="122">
        <v>300</v>
      </c>
      <c r="T38" s="191">
        <v>0</v>
      </c>
      <c r="U38" s="191">
        <v>0</v>
      </c>
      <c r="V38" s="191">
        <v>0</v>
      </c>
      <c r="W38" s="191">
        <v>0</v>
      </c>
      <c r="X38" s="191">
        <v>0</v>
      </c>
      <c r="Y38" s="191">
        <v>0</v>
      </c>
      <c r="Z38" s="191">
        <v>0</v>
      </c>
      <c r="AA38" s="191">
        <v>0</v>
      </c>
      <c r="AB38" s="136">
        <v>4.0666666666666664</v>
      </c>
      <c r="AC38" s="136"/>
      <c r="AD38" s="151"/>
      <c r="AE38" s="151"/>
    </row>
    <row r="39" spans="9:31">
      <c r="N39" s="113" t="s">
        <v>98</v>
      </c>
      <c r="O39" s="122">
        <v>8500</v>
      </c>
      <c r="P39" s="122">
        <v>500</v>
      </c>
      <c r="Q39" s="122">
        <v>400</v>
      </c>
      <c r="R39" s="122">
        <v>300</v>
      </c>
      <c r="S39" s="122">
        <v>300</v>
      </c>
      <c r="T39" s="191">
        <v>0</v>
      </c>
      <c r="U39" s="191">
        <v>0</v>
      </c>
      <c r="V39" s="191">
        <v>0</v>
      </c>
      <c r="W39" s="191">
        <v>0</v>
      </c>
      <c r="X39" s="191">
        <v>0</v>
      </c>
      <c r="Y39" s="191">
        <v>0</v>
      </c>
      <c r="Z39" s="191">
        <v>0</v>
      </c>
      <c r="AA39" s="191">
        <v>0</v>
      </c>
      <c r="AB39" s="136">
        <v>4.0666666666666664</v>
      </c>
      <c r="AC39" s="136"/>
      <c r="AD39" s="151"/>
      <c r="AE39" s="151"/>
    </row>
    <row r="40" spans="9:31">
      <c r="N40" s="113" t="s">
        <v>113</v>
      </c>
      <c r="O40" s="123">
        <v>8500</v>
      </c>
      <c r="P40" s="122">
        <v>500</v>
      </c>
      <c r="Q40" s="122">
        <v>400</v>
      </c>
      <c r="R40" s="122">
        <v>300</v>
      </c>
      <c r="S40" s="122">
        <v>300</v>
      </c>
      <c r="T40" s="191">
        <v>0</v>
      </c>
      <c r="U40" s="191">
        <v>0</v>
      </c>
      <c r="V40" s="191">
        <v>0</v>
      </c>
      <c r="W40" s="191">
        <v>0</v>
      </c>
      <c r="X40" s="191">
        <v>0</v>
      </c>
      <c r="Y40" s="191">
        <v>0</v>
      </c>
      <c r="Z40" s="191">
        <v>0</v>
      </c>
      <c r="AA40" s="191">
        <v>0</v>
      </c>
      <c r="AB40" s="136">
        <v>4.0666666666666664</v>
      </c>
      <c r="AC40" s="136"/>
      <c r="AD40" s="151"/>
      <c r="AE40" s="151"/>
    </row>
    <row r="41" spans="9:31">
      <c r="I41" s="15" t="s">
        <v>120</v>
      </c>
      <c r="N41" s="113" t="s">
        <v>100</v>
      </c>
      <c r="O41" s="123">
        <v>6710</v>
      </c>
      <c r="P41" s="122">
        <v>2100</v>
      </c>
      <c r="Q41" s="122">
        <v>860</v>
      </c>
      <c r="R41" s="123">
        <v>220</v>
      </c>
      <c r="S41" s="123">
        <v>110</v>
      </c>
      <c r="T41" s="192">
        <v>0</v>
      </c>
      <c r="U41" s="192">
        <v>0</v>
      </c>
      <c r="V41" s="192">
        <v>0</v>
      </c>
      <c r="W41" s="192">
        <v>0</v>
      </c>
      <c r="X41" s="192">
        <v>0</v>
      </c>
      <c r="Y41" s="192">
        <v>0</v>
      </c>
      <c r="Z41" s="192">
        <v>0</v>
      </c>
      <c r="AA41" s="192">
        <v>0</v>
      </c>
      <c r="AB41" s="136">
        <v>2.6626139817629175</v>
      </c>
      <c r="AC41" s="136"/>
      <c r="AD41" s="151"/>
      <c r="AE41" s="151"/>
    </row>
    <row r="42" spans="9:31">
      <c r="I42" s="120"/>
      <c r="J42" s="121" t="s">
        <v>121</v>
      </c>
      <c r="K42" s="121" t="s">
        <v>89</v>
      </c>
      <c r="N42" s="113" t="s">
        <v>101</v>
      </c>
      <c r="O42" s="123">
        <v>6710</v>
      </c>
      <c r="P42" s="122">
        <v>2100</v>
      </c>
      <c r="Q42" s="122">
        <v>860</v>
      </c>
      <c r="R42" s="123">
        <v>220</v>
      </c>
      <c r="S42" s="123">
        <v>110</v>
      </c>
      <c r="T42" s="192">
        <v>0</v>
      </c>
      <c r="U42" s="192">
        <v>0</v>
      </c>
      <c r="V42" s="192">
        <v>0</v>
      </c>
      <c r="W42" s="192">
        <v>0</v>
      </c>
      <c r="X42" s="192">
        <v>0</v>
      </c>
      <c r="Y42" s="192">
        <v>0</v>
      </c>
      <c r="Z42" s="192">
        <v>0</v>
      </c>
      <c r="AA42" s="192">
        <v>0</v>
      </c>
      <c r="AB42" s="136">
        <v>2.6626139817629175</v>
      </c>
      <c r="AC42" s="136"/>
      <c r="AD42" s="151"/>
      <c r="AE42" s="151"/>
    </row>
    <row r="43" spans="9:31">
      <c r="I43" s="113" t="s">
        <v>43</v>
      </c>
      <c r="J43" s="122">
        <v>10</v>
      </c>
      <c r="K43" s="122">
        <v>0</v>
      </c>
      <c r="N43" s="113" t="s">
        <v>102</v>
      </c>
      <c r="O43" s="123">
        <v>6710</v>
      </c>
      <c r="P43" s="122">
        <v>2100</v>
      </c>
      <c r="Q43" s="122">
        <v>860</v>
      </c>
      <c r="R43" s="123">
        <v>220</v>
      </c>
      <c r="S43" s="123">
        <v>110</v>
      </c>
      <c r="T43" s="192">
        <v>0</v>
      </c>
      <c r="U43" s="192">
        <v>0</v>
      </c>
      <c r="V43" s="192">
        <v>0</v>
      </c>
      <c r="W43" s="192">
        <v>0</v>
      </c>
      <c r="X43" s="192">
        <v>0</v>
      </c>
      <c r="Y43" s="192">
        <v>0</v>
      </c>
      <c r="Z43" s="192">
        <v>0</v>
      </c>
      <c r="AA43" s="192">
        <v>0</v>
      </c>
      <c r="AB43" s="136">
        <v>2.6626139817629175</v>
      </c>
      <c r="AC43" s="136"/>
      <c r="AD43" s="151"/>
      <c r="AE43" s="151"/>
    </row>
    <row r="44" spans="9:31">
      <c r="I44" s="113" t="s">
        <v>44</v>
      </c>
      <c r="J44" s="123">
        <v>10</v>
      </c>
      <c r="K44" s="123">
        <v>0</v>
      </c>
      <c r="N44" s="113" t="s">
        <v>112</v>
      </c>
      <c r="O44" s="192">
        <v>10000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0</v>
      </c>
      <c r="Y44" s="191">
        <v>0</v>
      </c>
      <c r="Z44" s="191">
        <v>0</v>
      </c>
      <c r="AA44" s="191">
        <v>0</v>
      </c>
      <c r="AB44" s="136" t="e">
        <v>#DIV/0!</v>
      </c>
      <c r="AC44" s="136"/>
      <c r="AD44" s="151"/>
      <c r="AE44" s="151"/>
    </row>
    <row r="46" spans="9:31">
      <c r="P46" s="157"/>
      <c r="Q46" s="157"/>
      <c r="R46" s="157"/>
      <c r="S46" s="157"/>
    </row>
    <row r="47" spans="9:31">
      <c r="N47" s="15" t="s">
        <v>107</v>
      </c>
    </row>
    <row r="48" spans="9:31">
      <c r="N48" s="121" t="s">
        <v>104</v>
      </c>
      <c r="O48" s="121">
        <v>0</v>
      </c>
      <c r="P48" s="121">
        <v>2</v>
      </c>
      <c r="Q48" s="121">
        <v>3</v>
      </c>
      <c r="R48" s="121">
        <v>5</v>
      </c>
      <c r="S48" s="121">
        <v>8</v>
      </c>
      <c r="T48" s="121">
        <v>10</v>
      </c>
      <c r="U48" s="121">
        <v>15</v>
      </c>
      <c r="V48" s="121">
        <v>20</v>
      </c>
      <c r="W48" s="121">
        <v>25</v>
      </c>
      <c r="X48" s="121">
        <v>50</v>
      </c>
      <c r="Y48" s="121">
        <v>100</v>
      </c>
      <c r="Z48" s="121">
        <v>500</v>
      </c>
      <c r="AA48" s="121">
        <v>1000</v>
      </c>
    </row>
    <row r="49" spans="14:31">
      <c r="N49" s="113" t="s">
        <v>97</v>
      </c>
      <c r="O49" s="122">
        <v>8400</v>
      </c>
      <c r="P49" s="122">
        <v>500</v>
      </c>
      <c r="Q49" s="122">
        <v>400</v>
      </c>
      <c r="R49" s="122">
        <v>300</v>
      </c>
      <c r="S49" s="122">
        <v>300</v>
      </c>
      <c r="T49" s="123">
        <v>20</v>
      </c>
      <c r="U49" s="123">
        <v>20</v>
      </c>
      <c r="V49" s="123">
        <v>5</v>
      </c>
      <c r="W49" s="123">
        <v>5</v>
      </c>
      <c r="X49" s="123">
        <v>5</v>
      </c>
      <c r="Y49" s="123">
        <v>20</v>
      </c>
      <c r="Z49" s="123">
        <v>5</v>
      </c>
      <c r="AA49" s="123">
        <v>20</v>
      </c>
      <c r="AB49" s="136">
        <v>19.734375</v>
      </c>
      <c r="AC49" s="136"/>
      <c r="AD49" s="151"/>
      <c r="AE49" s="151"/>
    </row>
    <row r="50" spans="14:31">
      <c r="N50" s="113" t="s">
        <v>98</v>
      </c>
      <c r="O50" s="122">
        <v>8400</v>
      </c>
      <c r="P50" s="122">
        <v>500</v>
      </c>
      <c r="Q50" s="122">
        <v>400</v>
      </c>
      <c r="R50" s="122">
        <v>300</v>
      </c>
      <c r="S50" s="122">
        <v>300</v>
      </c>
      <c r="T50" s="123">
        <v>20</v>
      </c>
      <c r="U50" s="123">
        <v>20</v>
      </c>
      <c r="V50" s="123">
        <v>5</v>
      </c>
      <c r="W50" s="123">
        <v>5</v>
      </c>
      <c r="X50" s="123">
        <v>5</v>
      </c>
      <c r="Y50" s="123">
        <v>20</v>
      </c>
      <c r="Z50" s="123">
        <v>5</v>
      </c>
      <c r="AA50" s="123">
        <v>20</v>
      </c>
      <c r="AB50" s="136">
        <v>19.734375</v>
      </c>
      <c r="AC50" s="136"/>
      <c r="AD50" s="151"/>
      <c r="AE50" s="151"/>
    </row>
    <row r="51" spans="14:31">
      <c r="N51" s="113" t="s">
        <v>113</v>
      </c>
      <c r="O51" s="122">
        <v>8500</v>
      </c>
      <c r="P51" s="122">
        <v>500</v>
      </c>
      <c r="Q51" s="122">
        <v>400</v>
      </c>
      <c r="R51" s="122">
        <v>300</v>
      </c>
      <c r="S51" s="122">
        <v>300</v>
      </c>
      <c r="T51" s="191">
        <v>0</v>
      </c>
      <c r="U51" s="191">
        <v>0</v>
      </c>
      <c r="V51" s="191">
        <v>0</v>
      </c>
      <c r="W51" s="191">
        <v>0</v>
      </c>
      <c r="X51" s="191">
        <v>0</v>
      </c>
      <c r="Y51" s="191">
        <v>0</v>
      </c>
      <c r="Z51" s="191">
        <v>0</v>
      </c>
      <c r="AA51" s="191">
        <v>0</v>
      </c>
      <c r="AB51" s="136">
        <v>4.0666666666666664</v>
      </c>
      <c r="AC51" s="136"/>
      <c r="AD51" s="151"/>
      <c r="AE51" s="151"/>
    </row>
    <row r="52" spans="14:31">
      <c r="N52" s="113" t="s">
        <v>100</v>
      </c>
      <c r="O52" s="122">
        <v>6550</v>
      </c>
      <c r="P52" s="122">
        <v>2000</v>
      </c>
      <c r="Q52" s="122">
        <v>1000</v>
      </c>
      <c r="R52" s="123">
        <v>200</v>
      </c>
      <c r="S52" s="123">
        <v>50</v>
      </c>
      <c r="T52" s="123">
        <v>20</v>
      </c>
      <c r="U52" s="123">
        <v>20</v>
      </c>
      <c r="V52" s="123">
        <v>5</v>
      </c>
      <c r="W52" s="123">
        <v>5</v>
      </c>
      <c r="X52" s="123">
        <v>5</v>
      </c>
      <c r="Y52" s="123">
        <v>70</v>
      </c>
      <c r="Z52" s="123">
        <v>5</v>
      </c>
      <c r="AA52" s="123">
        <v>70</v>
      </c>
      <c r="AB52" s="136">
        <v>25.760869565217391</v>
      </c>
      <c r="AC52" s="136"/>
      <c r="AD52" s="151"/>
      <c r="AE52" s="151"/>
    </row>
    <row r="53" spans="14:31">
      <c r="N53" s="113" t="s">
        <v>101</v>
      </c>
      <c r="O53" s="122">
        <v>6630</v>
      </c>
      <c r="P53" s="122">
        <v>2000</v>
      </c>
      <c r="Q53" s="122">
        <v>1000</v>
      </c>
      <c r="R53" s="123">
        <v>200</v>
      </c>
      <c r="S53" s="123">
        <v>50</v>
      </c>
      <c r="T53" s="123">
        <v>20</v>
      </c>
      <c r="U53" s="123">
        <v>20</v>
      </c>
      <c r="V53" s="123">
        <v>5</v>
      </c>
      <c r="W53" s="123">
        <v>5</v>
      </c>
      <c r="X53" s="123">
        <v>5</v>
      </c>
      <c r="Y53" s="123">
        <v>30</v>
      </c>
      <c r="Z53" s="123">
        <v>5</v>
      </c>
      <c r="AA53" s="123">
        <v>30</v>
      </c>
      <c r="AB53" s="136">
        <v>13.316023738872405</v>
      </c>
      <c r="AC53" s="136"/>
      <c r="AD53" s="151"/>
      <c r="AE53" s="151"/>
    </row>
    <row r="54" spans="14:31">
      <c r="N54" s="113" t="s">
        <v>102</v>
      </c>
      <c r="O54" s="122">
        <v>6650</v>
      </c>
      <c r="P54" s="122">
        <v>2000</v>
      </c>
      <c r="Q54" s="122">
        <v>1000</v>
      </c>
      <c r="R54" s="123">
        <v>200</v>
      </c>
      <c r="S54" s="123">
        <v>50</v>
      </c>
      <c r="T54" s="123">
        <v>20</v>
      </c>
      <c r="U54" s="123">
        <v>20</v>
      </c>
      <c r="V54" s="123">
        <v>5</v>
      </c>
      <c r="W54" s="123">
        <v>5</v>
      </c>
      <c r="X54" s="123">
        <v>5</v>
      </c>
      <c r="Y54" s="123">
        <v>20</v>
      </c>
      <c r="Z54" s="123">
        <v>5</v>
      </c>
      <c r="AA54" s="123">
        <v>20</v>
      </c>
      <c r="AB54" s="136">
        <v>10.111940298507463</v>
      </c>
      <c r="AC54" s="136"/>
      <c r="AD54" s="151"/>
      <c r="AE54" s="151"/>
    </row>
    <row r="55" spans="14:31">
      <c r="N55" s="113" t="s">
        <v>112</v>
      </c>
      <c r="O55" s="192">
        <v>10000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  <c r="V55" s="191">
        <v>0</v>
      </c>
      <c r="W55" s="191">
        <v>0</v>
      </c>
      <c r="X55" s="191">
        <v>0</v>
      </c>
      <c r="Y55" s="191">
        <v>0</v>
      </c>
      <c r="Z55" s="191">
        <v>0</v>
      </c>
      <c r="AA55" s="191">
        <v>0</v>
      </c>
      <c r="AB55" s="136" t="e">
        <v>#DIV/0!</v>
      </c>
      <c r="AC55" s="136"/>
      <c r="AD55" s="151"/>
      <c r="AE55" s="151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K68"/>
  <sheetViews>
    <sheetView zoomScale="85" workbookViewId="0"/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B2" s="15" t="s">
        <v>17</v>
      </c>
      <c r="C2" s="15" t="s">
        <v>261</v>
      </c>
      <c r="D2" s="15" t="s">
        <v>261</v>
      </c>
      <c r="E2" s="15" t="s">
        <v>261</v>
      </c>
      <c r="F2" s="15" t="s">
        <v>261</v>
      </c>
      <c r="G2" s="15" t="s">
        <v>260</v>
      </c>
      <c r="H2" s="15" t="s">
        <v>260</v>
      </c>
      <c r="I2" s="15" t="s">
        <v>260</v>
      </c>
      <c r="J2" s="15" t="s">
        <v>260</v>
      </c>
      <c r="K2" s="15" t="s">
        <v>260</v>
      </c>
    </row>
    <row r="3" spans="2:11">
      <c r="B3" s="121" t="s">
        <v>287</v>
      </c>
      <c r="C3" s="121" t="s">
        <v>263</v>
      </c>
      <c r="D3" s="121" t="s">
        <v>264</v>
      </c>
      <c r="E3" s="121" t="s">
        <v>265</v>
      </c>
      <c r="F3" s="121" t="s">
        <v>266</v>
      </c>
      <c r="G3" s="121" t="s">
        <v>263</v>
      </c>
      <c r="H3" s="121" t="s">
        <v>264</v>
      </c>
      <c r="I3" s="121" t="s">
        <v>265</v>
      </c>
      <c r="J3" s="121" t="s">
        <v>266</v>
      </c>
      <c r="K3" s="121" t="s">
        <v>267</v>
      </c>
    </row>
    <row r="4" spans="2:11">
      <c r="B4" s="168" t="s">
        <v>259</v>
      </c>
      <c r="C4" s="123" cm="1">
        <f t="array" ref="C4:C68">_xlfn.ANCHORARRAY(Multiplier_Weight_Newbie!L16)</f>
        <v>712029383</v>
      </c>
      <c r="D4" s="123" cm="1">
        <f t="array" ref="D4:D67">_xlfn.ANCHORARRAY(Multiplier_Weight_Newbie!L159)</f>
        <v>0</v>
      </c>
      <c r="E4" s="123" cm="1">
        <f t="array" ref="E4:E68">_xlfn.ANCHORARRAY(Multiplier_Weight_Newbie!L88)</f>
        <v>712513756</v>
      </c>
      <c r="F4" s="123" cm="1">
        <f t="array" ref="F4:F67">_xlfn.ANCHORARRAY(Multiplier_Weight_Newbie!L159)</f>
        <v>0</v>
      </c>
      <c r="G4" s="181" cm="1">
        <f t="array" ref="G4:G68">_xlfn.ANCHORARRAY(Multiplier_Weight_Oldhand!L16)</f>
        <v>715922996</v>
      </c>
      <c r="H4" s="181" cm="1">
        <f t="array" ref="H4:H67">_xlfn.ANCHORARRAY(Multiplier_Weight_Oldhand!L159)</f>
        <v>0</v>
      </c>
      <c r="I4" s="181" cm="1">
        <f t="array" ref="I4:I68">_xlfn.ANCHORARRAY(Multiplier_Weight_Oldhand!L88)</f>
        <v>711945709</v>
      </c>
      <c r="J4" s="181" cm="1">
        <f t="array" ref="J4:J67">_xlfn.ANCHORARRAY(Multiplier_Weight_Oldhand!L159)</f>
        <v>0</v>
      </c>
      <c r="K4" s="181" cm="1">
        <f t="array" ref="K4:K67">_xlfn.ANCHORARRAY(Multiplier_Weight_Oldhand!L229)</f>
        <v>0</v>
      </c>
    </row>
    <row r="5" spans="2:11">
      <c r="B5" s="168" t="s">
        <v>258</v>
      </c>
      <c r="C5" s="123">
        <v>159497132</v>
      </c>
      <c r="D5" s="123">
        <v>0</v>
      </c>
      <c r="E5" s="123">
        <v>157960215</v>
      </c>
      <c r="F5" s="123">
        <v>0</v>
      </c>
      <c r="G5" s="181">
        <v>160369316</v>
      </c>
      <c r="H5" s="181">
        <v>0</v>
      </c>
      <c r="I5" s="181">
        <v>157834282</v>
      </c>
      <c r="J5" s="181">
        <v>0</v>
      </c>
      <c r="K5" s="181">
        <v>0</v>
      </c>
    </row>
    <row r="6" spans="2:11">
      <c r="B6" s="168" t="s">
        <v>257</v>
      </c>
      <c r="C6" s="123">
        <v>45104420</v>
      </c>
      <c r="D6" s="123">
        <v>0</v>
      </c>
      <c r="E6" s="123">
        <v>44328802</v>
      </c>
      <c r="F6" s="123">
        <v>0</v>
      </c>
      <c r="G6" s="181">
        <v>45351066</v>
      </c>
      <c r="H6" s="181">
        <v>0</v>
      </c>
      <c r="I6" s="181">
        <v>44293462</v>
      </c>
      <c r="J6" s="181">
        <v>0</v>
      </c>
      <c r="K6" s="181">
        <v>0</v>
      </c>
    </row>
    <row r="7" spans="2:11">
      <c r="B7" s="168" t="s">
        <v>256</v>
      </c>
      <c r="C7" s="123">
        <v>21385436</v>
      </c>
      <c r="D7" s="123">
        <v>0</v>
      </c>
      <c r="E7" s="123">
        <v>21020122</v>
      </c>
      <c r="F7" s="123">
        <v>0</v>
      </c>
      <c r="G7" s="181">
        <v>21502379</v>
      </c>
      <c r="H7" s="181">
        <v>0</v>
      </c>
      <c r="I7" s="181">
        <v>21003364</v>
      </c>
      <c r="J7" s="181">
        <v>0</v>
      </c>
      <c r="K7" s="181">
        <v>0</v>
      </c>
    </row>
    <row r="8" spans="2:11">
      <c r="B8" s="168" t="s">
        <v>255</v>
      </c>
      <c r="C8" s="123">
        <v>11515364</v>
      </c>
      <c r="D8" s="123">
        <v>0</v>
      </c>
      <c r="E8" s="123">
        <v>8553301</v>
      </c>
      <c r="F8" s="123">
        <v>0</v>
      </c>
      <c r="G8" s="181">
        <v>11578334</v>
      </c>
      <c r="H8" s="181">
        <v>0</v>
      </c>
      <c r="I8" s="181">
        <v>8546482</v>
      </c>
      <c r="J8" s="181">
        <v>0</v>
      </c>
      <c r="K8" s="181">
        <v>0</v>
      </c>
    </row>
    <row r="9" spans="2:11">
      <c r="B9" s="168" t="s">
        <v>254</v>
      </c>
      <c r="C9" s="123">
        <v>9070768</v>
      </c>
      <c r="D9" s="123">
        <v>0</v>
      </c>
      <c r="E9" s="123">
        <v>6709795</v>
      </c>
      <c r="F9" s="123">
        <v>0</v>
      </c>
      <c r="G9" s="181">
        <v>9120370</v>
      </c>
      <c r="H9" s="181">
        <v>0</v>
      </c>
      <c r="I9" s="181">
        <v>6704446</v>
      </c>
      <c r="J9" s="181">
        <v>0</v>
      </c>
      <c r="K9" s="181">
        <v>0</v>
      </c>
    </row>
    <row r="10" spans="2:11">
      <c r="B10" s="168" t="s">
        <v>253</v>
      </c>
      <c r="C10" s="123">
        <v>7911946</v>
      </c>
      <c r="D10" s="123">
        <v>0</v>
      </c>
      <c r="E10" s="123">
        <v>5619479</v>
      </c>
      <c r="F10" s="123">
        <v>0</v>
      </c>
      <c r="G10" s="181">
        <v>7554765</v>
      </c>
      <c r="H10" s="181">
        <v>0</v>
      </c>
      <c r="I10" s="181">
        <v>5528426</v>
      </c>
      <c r="J10" s="181">
        <v>0</v>
      </c>
      <c r="K10" s="181">
        <v>0</v>
      </c>
    </row>
    <row r="11" spans="2:11">
      <c r="B11" s="186" t="s">
        <v>252</v>
      </c>
      <c r="C11" s="123">
        <v>4828116</v>
      </c>
      <c r="D11" s="123">
        <v>0</v>
      </c>
      <c r="E11" s="123">
        <v>3431600</v>
      </c>
      <c r="F11" s="123">
        <v>0</v>
      </c>
      <c r="G11" s="181">
        <v>3488834</v>
      </c>
      <c r="H11" s="181">
        <v>0</v>
      </c>
      <c r="I11" s="181">
        <v>3382926</v>
      </c>
      <c r="J11" s="181">
        <v>0</v>
      </c>
      <c r="K11" s="181">
        <v>0</v>
      </c>
    </row>
    <row r="12" spans="2:11">
      <c r="B12" s="186" t="s">
        <v>251</v>
      </c>
      <c r="C12" s="123">
        <v>4076918</v>
      </c>
      <c r="D12" s="123">
        <v>0</v>
      </c>
      <c r="E12" s="123">
        <v>2903161</v>
      </c>
      <c r="F12" s="123">
        <v>0</v>
      </c>
      <c r="G12" s="181">
        <v>2972955</v>
      </c>
      <c r="H12" s="181">
        <v>0</v>
      </c>
      <c r="I12" s="181">
        <v>2877652</v>
      </c>
      <c r="J12" s="181">
        <v>0</v>
      </c>
      <c r="K12" s="181">
        <v>0</v>
      </c>
    </row>
    <row r="13" spans="2:11">
      <c r="B13" s="186" t="s">
        <v>250</v>
      </c>
      <c r="C13" s="123">
        <v>3697551</v>
      </c>
      <c r="D13" s="123">
        <v>0</v>
      </c>
      <c r="E13" s="123">
        <v>2627865</v>
      </c>
      <c r="F13" s="123">
        <v>0</v>
      </c>
      <c r="G13" s="181">
        <v>2692349</v>
      </c>
      <c r="H13" s="181">
        <v>0</v>
      </c>
      <c r="I13" s="181">
        <v>2590069</v>
      </c>
      <c r="J13" s="181">
        <v>0</v>
      </c>
      <c r="K13" s="181">
        <v>0</v>
      </c>
    </row>
    <row r="14" spans="2:11">
      <c r="B14" s="186" t="s">
        <v>249</v>
      </c>
      <c r="C14" s="123">
        <v>3289085</v>
      </c>
      <c r="D14" s="123">
        <v>0</v>
      </c>
      <c r="E14" s="123">
        <v>2338406</v>
      </c>
      <c r="F14" s="123">
        <v>0</v>
      </c>
      <c r="G14" s="181">
        <v>2399886</v>
      </c>
      <c r="H14" s="181">
        <v>0</v>
      </c>
      <c r="I14" s="181">
        <v>2326565</v>
      </c>
      <c r="J14" s="181">
        <v>0</v>
      </c>
      <c r="K14" s="181">
        <v>0</v>
      </c>
    </row>
    <row r="15" spans="2:11">
      <c r="B15" s="186" t="s">
        <v>248</v>
      </c>
      <c r="C15" s="123">
        <v>4336746</v>
      </c>
      <c r="D15" s="123">
        <v>0</v>
      </c>
      <c r="E15" s="123">
        <v>3126141</v>
      </c>
      <c r="F15" s="123">
        <v>0</v>
      </c>
      <c r="G15" s="181">
        <v>3280806</v>
      </c>
      <c r="H15" s="181">
        <v>140656533</v>
      </c>
      <c r="I15" s="181">
        <v>3073448</v>
      </c>
      <c r="J15" s="181">
        <v>140656533</v>
      </c>
      <c r="K15" s="181">
        <v>124227685</v>
      </c>
    </row>
    <row r="16" spans="2:11">
      <c r="B16" s="186" t="s">
        <v>247</v>
      </c>
      <c r="C16" s="123">
        <v>5766486</v>
      </c>
      <c r="D16" s="123">
        <v>0</v>
      </c>
      <c r="E16" s="123">
        <v>4064396</v>
      </c>
      <c r="F16" s="123">
        <v>0</v>
      </c>
      <c r="G16" s="181">
        <v>5193957</v>
      </c>
      <c r="H16" s="181">
        <v>139482317</v>
      </c>
      <c r="I16" s="181">
        <v>3998883</v>
      </c>
      <c r="J16" s="181">
        <v>139482317</v>
      </c>
      <c r="K16" s="181">
        <v>123193249</v>
      </c>
    </row>
    <row r="17" spans="2:11">
      <c r="B17" s="186" t="s">
        <v>246</v>
      </c>
      <c r="C17" s="123">
        <v>2381856</v>
      </c>
      <c r="D17" s="123">
        <v>0</v>
      </c>
      <c r="E17" s="123">
        <v>1711090</v>
      </c>
      <c r="F17" s="123">
        <v>0</v>
      </c>
      <c r="G17" s="181">
        <v>1715276</v>
      </c>
      <c r="H17" s="181">
        <v>140211727</v>
      </c>
      <c r="I17" s="181">
        <v>1676728</v>
      </c>
      <c r="J17" s="181">
        <v>140211727</v>
      </c>
      <c r="K17" s="181">
        <v>123820857</v>
      </c>
    </row>
    <row r="18" spans="2:11">
      <c r="B18" s="186" t="s">
        <v>245</v>
      </c>
      <c r="C18" s="123">
        <v>953942</v>
      </c>
      <c r="D18" s="123">
        <v>0</v>
      </c>
      <c r="E18" s="123">
        <v>698228</v>
      </c>
      <c r="F18" s="123">
        <v>0</v>
      </c>
      <c r="G18" s="181">
        <v>508869</v>
      </c>
      <c r="H18" s="181">
        <v>139743420</v>
      </c>
      <c r="I18" s="181">
        <v>671536</v>
      </c>
      <c r="J18" s="181">
        <v>139743420</v>
      </c>
      <c r="K18" s="181">
        <v>123451025</v>
      </c>
    </row>
    <row r="19" spans="2:11">
      <c r="B19" s="186" t="s">
        <v>244</v>
      </c>
      <c r="C19" s="123">
        <v>0</v>
      </c>
      <c r="D19" s="123">
        <v>122957492</v>
      </c>
      <c r="E19" s="123">
        <v>581396</v>
      </c>
      <c r="F19" s="123">
        <v>122957492</v>
      </c>
      <c r="G19" s="181">
        <v>419485</v>
      </c>
      <c r="H19" s="181">
        <v>36792617</v>
      </c>
      <c r="I19" s="181">
        <v>559170</v>
      </c>
      <c r="J19" s="181">
        <v>36792617</v>
      </c>
      <c r="K19" s="181">
        <v>32672669</v>
      </c>
    </row>
    <row r="20" spans="2:11">
      <c r="B20" s="186" t="s">
        <v>243</v>
      </c>
      <c r="C20" s="123">
        <v>0</v>
      </c>
      <c r="D20" s="123">
        <v>100167056</v>
      </c>
      <c r="E20" s="123">
        <v>1003777</v>
      </c>
      <c r="F20" s="123">
        <v>100167056</v>
      </c>
      <c r="G20" s="181">
        <v>543179</v>
      </c>
      <c r="H20" s="181">
        <v>29973026</v>
      </c>
      <c r="I20" s="181">
        <v>965405</v>
      </c>
      <c r="J20" s="181">
        <v>29973026</v>
      </c>
      <c r="K20" s="181">
        <v>26641369</v>
      </c>
    </row>
    <row r="21" spans="2:11">
      <c r="B21" s="186" t="s">
        <v>242</v>
      </c>
      <c r="C21" s="123">
        <v>0</v>
      </c>
      <c r="D21" s="123">
        <v>98978963</v>
      </c>
      <c r="E21" s="123">
        <v>234437</v>
      </c>
      <c r="F21" s="123">
        <v>98978963</v>
      </c>
      <c r="G21" s="181">
        <v>217091</v>
      </c>
      <c r="H21" s="181">
        <v>29617513</v>
      </c>
      <c r="I21" s="181">
        <v>212212</v>
      </c>
      <c r="J21" s="181">
        <v>29617513</v>
      </c>
      <c r="K21" s="181">
        <v>26317044</v>
      </c>
    </row>
    <row r="22" spans="2:11">
      <c r="B22" s="186" t="s">
        <v>241</v>
      </c>
      <c r="C22" s="123">
        <v>0</v>
      </c>
      <c r="D22" s="123">
        <v>90531303</v>
      </c>
      <c r="E22" s="123">
        <v>0</v>
      </c>
      <c r="F22" s="123">
        <v>90531303</v>
      </c>
      <c r="G22" s="181">
        <v>229360</v>
      </c>
      <c r="H22" s="181">
        <v>27089716</v>
      </c>
      <c r="I22" s="181">
        <v>212995</v>
      </c>
      <c r="J22" s="181">
        <v>27089716</v>
      </c>
      <c r="K22" s="181">
        <v>24088437</v>
      </c>
    </row>
    <row r="23" spans="2:11">
      <c r="B23" s="186" t="s">
        <v>240</v>
      </c>
      <c r="C23" s="123">
        <v>0</v>
      </c>
      <c r="D23" s="123">
        <v>64429613</v>
      </c>
      <c r="E23" s="123">
        <v>0</v>
      </c>
      <c r="F23" s="123">
        <v>64429613</v>
      </c>
      <c r="G23" s="181">
        <v>380825</v>
      </c>
      <c r="H23" s="181">
        <v>20696379</v>
      </c>
      <c r="I23" s="181">
        <v>632853</v>
      </c>
      <c r="J23" s="181">
        <v>20696379</v>
      </c>
      <c r="K23" s="181">
        <v>19407769</v>
      </c>
    </row>
    <row r="24" spans="2:11">
      <c r="B24" s="186" t="s">
        <v>239</v>
      </c>
      <c r="C24" s="123">
        <v>0</v>
      </c>
      <c r="D24" s="123">
        <v>189521921</v>
      </c>
      <c r="E24" s="123">
        <v>0</v>
      </c>
      <c r="F24" s="123">
        <v>189521921</v>
      </c>
      <c r="G24" s="181">
        <v>152822</v>
      </c>
      <c r="H24" s="181">
        <v>60879109</v>
      </c>
      <c r="I24" s="181">
        <v>149388</v>
      </c>
      <c r="J24" s="181">
        <v>60879109</v>
      </c>
      <c r="K24" s="181">
        <v>63365378</v>
      </c>
    </row>
    <row r="25" spans="2:11">
      <c r="B25" s="186" t="s">
        <v>238</v>
      </c>
      <c r="C25" s="123">
        <v>0</v>
      </c>
      <c r="D25" s="123">
        <v>170191422</v>
      </c>
      <c r="E25" s="123">
        <v>0</v>
      </c>
      <c r="F25" s="123">
        <v>170191422</v>
      </c>
      <c r="G25" s="181">
        <v>134837</v>
      </c>
      <c r="H25" s="181">
        <v>54669677</v>
      </c>
      <c r="I25" s="181">
        <v>131807</v>
      </c>
      <c r="J25" s="181">
        <v>54669677</v>
      </c>
      <c r="K25" s="181">
        <v>56902356</v>
      </c>
    </row>
    <row r="26" spans="2:11">
      <c r="B26" s="186" t="s">
        <v>237</v>
      </c>
      <c r="C26" s="123">
        <v>0</v>
      </c>
      <c r="D26" s="123">
        <v>86657653</v>
      </c>
      <c r="E26" s="123">
        <v>0</v>
      </c>
      <c r="F26" s="123">
        <v>86657653</v>
      </c>
      <c r="G26" s="181">
        <v>0</v>
      </c>
      <c r="H26" s="181">
        <v>27836573</v>
      </c>
      <c r="I26" s="181">
        <v>0</v>
      </c>
      <c r="J26" s="181">
        <v>27836573</v>
      </c>
      <c r="K26" s="181">
        <v>26064426</v>
      </c>
    </row>
    <row r="27" spans="2:11">
      <c r="B27" s="186" t="s">
        <v>236</v>
      </c>
      <c r="C27" s="123">
        <v>0</v>
      </c>
      <c r="D27" s="123">
        <v>76564571</v>
      </c>
      <c r="E27" s="123">
        <v>0</v>
      </c>
      <c r="F27" s="123">
        <v>76564571</v>
      </c>
      <c r="G27" s="181">
        <v>0</v>
      </c>
      <c r="H27" s="181">
        <v>24594426</v>
      </c>
      <c r="I27" s="181">
        <v>0</v>
      </c>
      <c r="J27" s="181">
        <v>24594426</v>
      </c>
      <c r="K27" s="181">
        <v>22954836</v>
      </c>
    </row>
    <row r="28" spans="2:11">
      <c r="B28" s="186" t="s">
        <v>235</v>
      </c>
      <c r="C28" s="123">
        <v>0</v>
      </c>
      <c r="D28" s="123">
        <v>0</v>
      </c>
      <c r="E28" s="123">
        <v>0</v>
      </c>
      <c r="F28" s="123">
        <v>0</v>
      </c>
      <c r="G28" s="181">
        <v>92672</v>
      </c>
      <c r="H28" s="181">
        <v>38381062</v>
      </c>
      <c r="I28" s="181">
        <v>124561</v>
      </c>
      <c r="J28" s="181">
        <v>38381062</v>
      </c>
      <c r="K28" s="181">
        <v>50934366</v>
      </c>
    </row>
    <row r="29" spans="2:11">
      <c r="B29" s="186" t="s">
        <v>234</v>
      </c>
      <c r="C29" s="123">
        <v>0</v>
      </c>
      <c r="D29" s="123">
        <v>0</v>
      </c>
      <c r="E29" s="123">
        <v>0</v>
      </c>
      <c r="F29" s="123">
        <v>0</v>
      </c>
      <c r="G29" s="181">
        <v>0</v>
      </c>
      <c r="H29" s="181">
        <v>16844894</v>
      </c>
      <c r="I29" s="181">
        <v>0</v>
      </c>
      <c r="J29" s="181">
        <v>16844894</v>
      </c>
      <c r="K29" s="181">
        <v>24236560</v>
      </c>
    </row>
    <row r="30" spans="2:11">
      <c r="B30" s="186" t="s">
        <v>233</v>
      </c>
      <c r="C30" s="123">
        <v>0</v>
      </c>
      <c r="D30" s="123">
        <v>0</v>
      </c>
      <c r="E30" s="123">
        <v>0</v>
      </c>
      <c r="F30" s="123">
        <v>0</v>
      </c>
      <c r="G30" s="181">
        <v>0</v>
      </c>
      <c r="H30" s="181">
        <v>25739829</v>
      </c>
      <c r="I30" s="181">
        <v>0</v>
      </c>
      <c r="J30" s="181">
        <v>25739829</v>
      </c>
      <c r="K30" s="181">
        <v>37715526</v>
      </c>
    </row>
    <row r="31" spans="2:11">
      <c r="B31" s="186" t="s">
        <v>232</v>
      </c>
      <c r="C31" s="123">
        <v>0</v>
      </c>
      <c r="D31" s="123">
        <v>0</v>
      </c>
      <c r="E31" s="123">
        <v>0</v>
      </c>
      <c r="F31" s="123">
        <v>0</v>
      </c>
      <c r="G31" s="181">
        <v>0</v>
      </c>
      <c r="H31" s="181">
        <v>7539153</v>
      </c>
      <c r="I31" s="181">
        <v>0</v>
      </c>
      <c r="J31" s="181">
        <v>7539153</v>
      </c>
      <c r="K31" s="181">
        <v>18571346</v>
      </c>
    </row>
    <row r="32" spans="2:11">
      <c r="B32" s="186" t="s">
        <v>231</v>
      </c>
      <c r="C32" s="123">
        <v>0</v>
      </c>
      <c r="D32" s="123">
        <v>0</v>
      </c>
      <c r="E32" s="123">
        <v>0</v>
      </c>
      <c r="F32" s="123">
        <v>0</v>
      </c>
      <c r="G32" s="181">
        <v>0</v>
      </c>
      <c r="H32" s="181">
        <v>6495200</v>
      </c>
      <c r="I32" s="181">
        <v>0</v>
      </c>
      <c r="J32" s="181">
        <v>6495200</v>
      </c>
      <c r="K32" s="181">
        <v>16121098</v>
      </c>
    </row>
    <row r="33" spans="2:11">
      <c r="B33" s="186" t="s">
        <v>230</v>
      </c>
      <c r="C33" s="123">
        <v>0</v>
      </c>
      <c r="D33" s="123">
        <v>0</v>
      </c>
      <c r="E33" s="123">
        <v>0</v>
      </c>
      <c r="F33" s="123">
        <v>0</v>
      </c>
      <c r="G33" s="181">
        <v>0</v>
      </c>
      <c r="H33" s="181">
        <v>18142202</v>
      </c>
      <c r="I33" s="181">
        <v>0</v>
      </c>
      <c r="J33" s="181">
        <v>18142202</v>
      </c>
      <c r="K33" s="181">
        <v>31471866</v>
      </c>
    </row>
    <row r="34" spans="2:11">
      <c r="B34" s="186" t="s">
        <v>229</v>
      </c>
      <c r="C34" s="123">
        <v>0</v>
      </c>
      <c r="D34" s="123">
        <v>0</v>
      </c>
      <c r="E34" s="123">
        <v>0</v>
      </c>
      <c r="F34" s="123">
        <v>0</v>
      </c>
      <c r="G34" s="181">
        <v>0</v>
      </c>
      <c r="H34" s="181">
        <v>5092270</v>
      </c>
      <c r="I34" s="181">
        <v>0</v>
      </c>
      <c r="J34" s="181">
        <v>5092270</v>
      </c>
      <c r="K34" s="181">
        <v>12367218</v>
      </c>
    </row>
    <row r="35" spans="2:11">
      <c r="B35" s="186" t="s">
        <v>228</v>
      </c>
      <c r="C35" s="123">
        <v>0</v>
      </c>
      <c r="D35" s="123">
        <v>0</v>
      </c>
      <c r="E35" s="123">
        <v>0</v>
      </c>
      <c r="F35" s="123">
        <v>0</v>
      </c>
      <c r="G35" s="181">
        <v>0</v>
      </c>
      <c r="H35" s="181">
        <v>4164218</v>
      </c>
      <c r="I35" s="181">
        <v>0</v>
      </c>
      <c r="J35" s="181">
        <v>4164218</v>
      </c>
      <c r="K35" s="181">
        <v>10293920</v>
      </c>
    </row>
    <row r="36" spans="2:11">
      <c r="B36" s="186" t="s">
        <v>227</v>
      </c>
      <c r="C36" s="123">
        <v>0</v>
      </c>
      <c r="D36" s="123">
        <v>0</v>
      </c>
      <c r="E36" s="123">
        <v>0</v>
      </c>
      <c r="F36" s="123">
        <v>0</v>
      </c>
      <c r="G36" s="181">
        <v>0</v>
      </c>
      <c r="H36" s="181">
        <v>473484</v>
      </c>
      <c r="I36" s="181">
        <v>0</v>
      </c>
      <c r="J36" s="181">
        <v>473484</v>
      </c>
      <c r="K36" s="181">
        <v>492821</v>
      </c>
    </row>
    <row r="37" spans="2:11">
      <c r="B37" s="186" t="s">
        <v>226</v>
      </c>
      <c r="C37" s="123">
        <v>0</v>
      </c>
      <c r="D37" s="123">
        <v>0</v>
      </c>
      <c r="E37" s="123">
        <v>0</v>
      </c>
      <c r="F37" s="123">
        <v>0</v>
      </c>
      <c r="G37" s="181">
        <v>0</v>
      </c>
      <c r="H37" s="181">
        <v>427360</v>
      </c>
      <c r="I37" s="181">
        <v>0</v>
      </c>
      <c r="J37" s="181">
        <v>427360</v>
      </c>
      <c r="K37" s="181">
        <v>444813</v>
      </c>
    </row>
    <row r="38" spans="2:11">
      <c r="B38" s="186" t="s">
        <v>225</v>
      </c>
      <c r="C38" s="123">
        <v>0</v>
      </c>
      <c r="D38" s="123">
        <v>0</v>
      </c>
      <c r="E38" s="123">
        <v>0</v>
      </c>
      <c r="F38" s="123">
        <v>0</v>
      </c>
      <c r="G38" s="181">
        <v>0</v>
      </c>
      <c r="H38" s="181">
        <v>384476</v>
      </c>
      <c r="I38" s="181">
        <v>0</v>
      </c>
      <c r="J38" s="181">
        <v>384476</v>
      </c>
      <c r="K38" s="181">
        <v>400178</v>
      </c>
    </row>
    <row r="39" spans="2:11">
      <c r="B39" s="186" t="s">
        <v>224</v>
      </c>
      <c r="C39" s="123">
        <v>0</v>
      </c>
      <c r="D39" s="123">
        <v>0</v>
      </c>
      <c r="E39" s="123">
        <v>0</v>
      </c>
      <c r="F39" s="123">
        <v>0</v>
      </c>
      <c r="G39" s="181">
        <v>0</v>
      </c>
      <c r="H39" s="181">
        <v>346085</v>
      </c>
      <c r="I39" s="181">
        <v>0</v>
      </c>
      <c r="J39" s="181">
        <v>346085</v>
      </c>
      <c r="K39" s="181">
        <v>360219</v>
      </c>
    </row>
    <row r="40" spans="2:11">
      <c r="B40" s="186" t="s">
        <v>223</v>
      </c>
      <c r="C40" s="123">
        <v>0</v>
      </c>
      <c r="D40" s="123">
        <v>0</v>
      </c>
      <c r="E40" s="123">
        <v>0</v>
      </c>
      <c r="F40" s="123">
        <v>0</v>
      </c>
      <c r="G40" s="181">
        <v>0</v>
      </c>
      <c r="H40" s="181">
        <v>310159</v>
      </c>
      <c r="I40" s="181">
        <v>0</v>
      </c>
      <c r="J40" s="181">
        <v>310159</v>
      </c>
      <c r="K40" s="181">
        <v>322826</v>
      </c>
    </row>
    <row r="41" spans="2:11">
      <c r="B41" s="186" t="s">
        <v>222</v>
      </c>
      <c r="C41" s="123">
        <v>0</v>
      </c>
      <c r="D41" s="123">
        <v>0</v>
      </c>
      <c r="E41" s="123">
        <v>0</v>
      </c>
      <c r="F41" s="123">
        <v>0</v>
      </c>
      <c r="G41" s="181">
        <v>0</v>
      </c>
      <c r="H41" s="181">
        <v>277500</v>
      </c>
      <c r="I41" s="181">
        <v>0</v>
      </c>
      <c r="J41" s="181">
        <v>277500</v>
      </c>
      <c r="K41" s="181">
        <v>288833</v>
      </c>
    </row>
    <row r="42" spans="2:11">
      <c r="B42" s="186" t="s">
        <v>221</v>
      </c>
      <c r="C42" s="123">
        <v>0</v>
      </c>
      <c r="D42" s="123">
        <v>0</v>
      </c>
      <c r="E42" s="123">
        <v>0</v>
      </c>
      <c r="F42" s="123">
        <v>0</v>
      </c>
      <c r="G42" s="181">
        <v>0</v>
      </c>
      <c r="H42" s="181">
        <v>249831</v>
      </c>
      <c r="I42" s="181">
        <v>0</v>
      </c>
      <c r="J42" s="181">
        <v>249831</v>
      </c>
      <c r="K42" s="181">
        <v>260034</v>
      </c>
    </row>
    <row r="43" spans="2:11">
      <c r="B43" s="186" t="s">
        <v>220</v>
      </c>
      <c r="C43" s="123">
        <v>0</v>
      </c>
      <c r="D43" s="123">
        <v>0</v>
      </c>
      <c r="E43" s="123">
        <v>0</v>
      </c>
      <c r="F43" s="123">
        <v>0</v>
      </c>
      <c r="G43" s="181">
        <v>0</v>
      </c>
      <c r="H43" s="181">
        <v>223926</v>
      </c>
      <c r="I43" s="181">
        <v>0</v>
      </c>
      <c r="J43" s="181">
        <v>223926</v>
      </c>
      <c r="K43" s="181">
        <v>233071</v>
      </c>
    </row>
    <row r="44" spans="2:11">
      <c r="B44" s="186" t="s">
        <v>219</v>
      </c>
      <c r="C44" s="123">
        <v>0</v>
      </c>
      <c r="D44" s="123">
        <v>0</v>
      </c>
      <c r="E44" s="123">
        <v>0</v>
      </c>
      <c r="F44" s="123">
        <v>0</v>
      </c>
      <c r="G44" s="181">
        <v>0</v>
      </c>
      <c r="H44" s="181">
        <v>201470</v>
      </c>
      <c r="I44" s="181">
        <v>0</v>
      </c>
      <c r="J44" s="181">
        <v>201470</v>
      </c>
      <c r="K44" s="181">
        <v>209698</v>
      </c>
    </row>
    <row r="45" spans="2:11">
      <c r="B45" s="186" t="s">
        <v>218</v>
      </c>
      <c r="C45" s="123">
        <v>0</v>
      </c>
      <c r="D45" s="123">
        <v>0</v>
      </c>
      <c r="E45" s="123">
        <v>0</v>
      </c>
      <c r="F45" s="123">
        <v>0</v>
      </c>
      <c r="G45" s="181">
        <v>0</v>
      </c>
      <c r="H45" s="181">
        <v>181111</v>
      </c>
      <c r="I45" s="181">
        <v>0</v>
      </c>
      <c r="J45" s="181">
        <v>181111</v>
      </c>
      <c r="K45" s="181">
        <v>188508</v>
      </c>
    </row>
    <row r="46" spans="2:11">
      <c r="B46" s="186" t="s">
        <v>217</v>
      </c>
      <c r="C46" s="123">
        <v>0</v>
      </c>
      <c r="D46" s="123">
        <v>0</v>
      </c>
      <c r="E46" s="123">
        <v>0</v>
      </c>
      <c r="F46" s="123">
        <v>0</v>
      </c>
      <c r="G46" s="181">
        <v>0</v>
      </c>
      <c r="H46" s="181">
        <v>163464</v>
      </c>
      <c r="I46" s="181">
        <v>0</v>
      </c>
      <c r="J46" s="181">
        <v>163464</v>
      </c>
      <c r="K46" s="181">
        <v>170140</v>
      </c>
    </row>
    <row r="47" spans="2:11">
      <c r="B47" s="186" t="s">
        <v>216</v>
      </c>
      <c r="C47" s="123">
        <v>0</v>
      </c>
      <c r="D47" s="123">
        <v>0</v>
      </c>
      <c r="E47" s="123">
        <v>0</v>
      </c>
      <c r="F47" s="123">
        <v>0</v>
      </c>
      <c r="G47" s="181">
        <v>0</v>
      </c>
      <c r="H47" s="181">
        <v>148018</v>
      </c>
      <c r="I47" s="181">
        <v>0</v>
      </c>
      <c r="J47" s="181">
        <v>148018</v>
      </c>
      <c r="K47" s="181">
        <v>154063</v>
      </c>
    </row>
    <row r="48" spans="2:11">
      <c r="B48" s="168" t="s">
        <v>215</v>
      </c>
      <c r="C48" s="123">
        <v>0</v>
      </c>
      <c r="D48" s="123">
        <v>0</v>
      </c>
      <c r="E48" s="123">
        <v>0</v>
      </c>
      <c r="F48" s="123">
        <v>0</v>
      </c>
      <c r="G48" s="181">
        <v>0</v>
      </c>
      <c r="H48" s="181">
        <v>132886</v>
      </c>
      <c r="I48" s="181">
        <v>0</v>
      </c>
      <c r="J48" s="181">
        <v>132886</v>
      </c>
      <c r="K48" s="181">
        <v>138313</v>
      </c>
    </row>
    <row r="49" spans="2:11">
      <c r="B49" s="168" t="s">
        <v>214</v>
      </c>
      <c r="C49" s="123">
        <v>0</v>
      </c>
      <c r="D49" s="123">
        <v>0</v>
      </c>
      <c r="E49" s="123">
        <v>0</v>
      </c>
      <c r="F49" s="123">
        <v>0</v>
      </c>
      <c r="G49" s="181">
        <v>0</v>
      </c>
      <c r="H49" s="181">
        <v>1169811</v>
      </c>
      <c r="I49" s="181">
        <v>0</v>
      </c>
      <c r="J49" s="181">
        <v>1169811</v>
      </c>
      <c r="K49" s="181">
        <v>1217585</v>
      </c>
    </row>
    <row r="50" spans="2:11">
      <c r="B50" s="168" t="s">
        <v>213</v>
      </c>
      <c r="C50" s="123">
        <v>0</v>
      </c>
      <c r="D50" s="123">
        <v>0</v>
      </c>
      <c r="E50" s="123">
        <v>0</v>
      </c>
      <c r="F50" s="123">
        <v>0</v>
      </c>
      <c r="G50" s="181">
        <v>0</v>
      </c>
      <c r="H50" s="181">
        <v>275826</v>
      </c>
      <c r="I50" s="181">
        <v>0</v>
      </c>
      <c r="J50" s="181">
        <v>275826</v>
      </c>
      <c r="K50" s="181">
        <v>0</v>
      </c>
    </row>
    <row r="51" spans="2:11">
      <c r="B51" s="168" t="s">
        <v>212</v>
      </c>
      <c r="C51" s="123">
        <v>0</v>
      </c>
      <c r="D51" s="123">
        <v>0</v>
      </c>
      <c r="E51" s="123">
        <v>0</v>
      </c>
      <c r="F51" s="123">
        <v>0</v>
      </c>
      <c r="G51" s="181">
        <v>0</v>
      </c>
      <c r="H51" s="181">
        <v>104601</v>
      </c>
      <c r="I51" s="181">
        <v>0</v>
      </c>
      <c r="J51" s="181">
        <v>104601</v>
      </c>
      <c r="K51" s="181">
        <v>0</v>
      </c>
    </row>
    <row r="52" spans="2:11">
      <c r="B52" s="168" t="s">
        <v>211</v>
      </c>
      <c r="C52" s="123">
        <v>0</v>
      </c>
      <c r="D52" s="123">
        <v>0</v>
      </c>
      <c r="E52" s="123">
        <v>0</v>
      </c>
      <c r="F52" s="123">
        <v>0</v>
      </c>
      <c r="G52" s="181">
        <v>0</v>
      </c>
      <c r="H52" s="181">
        <v>52748</v>
      </c>
      <c r="I52" s="181">
        <v>0</v>
      </c>
      <c r="J52" s="181">
        <v>52748</v>
      </c>
      <c r="K52" s="181">
        <v>54902</v>
      </c>
    </row>
    <row r="53" spans="2:11">
      <c r="B53" s="168" t="s">
        <v>210</v>
      </c>
      <c r="C53" s="123">
        <v>0</v>
      </c>
      <c r="D53" s="123">
        <v>0</v>
      </c>
      <c r="E53" s="123">
        <v>0</v>
      </c>
      <c r="F53" s="123">
        <v>0</v>
      </c>
      <c r="G53" s="181">
        <v>0</v>
      </c>
      <c r="H53" s="181">
        <v>33335</v>
      </c>
      <c r="I53" s="181">
        <v>0</v>
      </c>
      <c r="J53" s="181">
        <v>33335</v>
      </c>
      <c r="K53" s="181">
        <v>34697</v>
      </c>
    </row>
    <row r="54" spans="2:11">
      <c r="B54" s="168" t="s">
        <v>209</v>
      </c>
      <c r="C54" s="123">
        <v>0</v>
      </c>
      <c r="D54" s="123">
        <v>0</v>
      </c>
      <c r="E54" s="123">
        <v>0</v>
      </c>
      <c r="F54" s="123">
        <v>0</v>
      </c>
      <c r="G54" s="181">
        <v>0</v>
      </c>
      <c r="H54" s="181">
        <v>24352</v>
      </c>
      <c r="I54" s="181">
        <v>0</v>
      </c>
      <c r="J54" s="181">
        <v>24352</v>
      </c>
      <c r="K54" s="181">
        <v>25346</v>
      </c>
    </row>
    <row r="55" spans="2:11">
      <c r="B55" s="168" t="s">
        <v>208</v>
      </c>
      <c r="C55" s="123">
        <v>0</v>
      </c>
      <c r="D55" s="123">
        <v>0</v>
      </c>
      <c r="E55" s="123">
        <v>0</v>
      </c>
      <c r="F55" s="123">
        <v>0</v>
      </c>
      <c r="G55" s="181">
        <v>0</v>
      </c>
      <c r="H55" s="181">
        <v>20013</v>
      </c>
      <c r="I55" s="181">
        <v>0</v>
      </c>
      <c r="J55" s="181">
        <v>20013</v>
      </c>
      <c r="K55" s="181">
        <v>20830</v>
      </c>
    </row>
    <row r="56" spans="2:11">
      <c r="B56" s="168" t="s">
        <v>207</v>
      </c>
      <c r="C56" s="123">
        <v>0</v>
      </c>
      <c r="D56" s="123">
        <v>0</v>
      </c>
      <c r="E56" s="123">
        <v>0</v>
      </c>
      <c r="F56" s="123">
        <v>0</v>
      </c>
      <c r="G56" s="181">
        <v>0</v>
      </c>
      <c r="H56" s="181">
        <v>17986</v>
      </c>
      <c r="I56" s="181">
        <v>0</v>
      </c>
      <c r="J56" s="181">
        <v>17986</v>
      </c>
      <c r="K56" s="181">
        <v>18721</v>
      </c>
    </row>
    <row r="57" spans="2:11">
      <c r="B57" s="168" t="s">
        <v>206</v>
      </c>
      <c r="C57" s="123">
        <v>0</v>
      </c>
      <c r="D57" s="123">
        <v>0</v>
      </c>
      <c r="E57" s="123">
        <v>0</v>
      </c>
      <c r="F57" s="123">
        <v>0</v>
      </c>
      <c r="G57" s="181">
        <v>0</v>
      </c>
      <c r="H57" s="181">
        <v>16508</v>
      </c>
      <c r="I57" s="181">
        <v>0</v>
      </c>
      <c r="J57" s="181">
        <v>16508</v>
      </c>
      <c r="K57" s="181">
        <v>17182</v>
      </c>
    </row>
    <row r="58" spans="2:11">
      <c r="B58" s="168" t="s">
        <v>205</v>
      </c>
      <c r="C58" s="123">
        <v>0</v>
      </c>
      <c r="D58" s="123">
        <v>0</v>
      </c>
      <c r="E58" s="123">
        <v>0</v>
      </c>
      <c r="F58" s="123">
        <v>0</v>
      </c>
      <c r="G58" s="181">
        <v>0</v>
      </c>
      <c r="H58" s="181">
        <v>123168</v>
      </c>
      <c r="I58" s="181">
        <v>0</v>
      </c>
      <c r="J58" s="181">
        <v>123168</v>
      </c>
      <c r="K58" s="181">
        <v>128198</v>
      </c>
    </row>
    <row r="59" spans="2:11">
      <c r="B59" s="168" t="s">
        <v>204</v>
      </c>
      <c r="C59" s="123">
        <v>0</v>
      </c>
      <c r="D59" s="123">
        <v>0</v>
      </c>
      <c r="E59" s="123">
        <v>0</v>
      </c>
      <c r="F59" s="123">
        <v>0</v>
      </c>
      <c r="G59" s="181">
        <v>0</v>
      </c>
      <c r="H59" s="181">
        <v>0</v>
      </c>
      <c r="I59" s="181">
        <v>0</v>
      </c>
      <c r="J59" s="181">
        <v>0</v>
      </c>
      <c r="K59" s="181">
        <v>0</v>
      </c>
    </row>
    <row r="60" spans="2:11">
      <c r="B60" s="168" t="s">
        <v>203</v>
      </c>
      <c r="C60" s="123">
        <v>0</v>
      </c>
      <c r="D60" s="123">
        <v>0</v>
      </c>
      <c r="E60" s="123">
        <v>0</v>
      </c>
      <c r="F60" s="123">
        <v>0</v>
      </c>
      <c r="G60" s="181">
        <v>0</v>
      </c>
      <c r="H60" s="181">
        <v>0</v>
      </c>
      <c r="I60" s="181">
        <v>0</v>
      </c>
      <c r="J60" s="181">
        <v>0</v>
      </c>
      <c r="K60" s="181">
        <v>0</v>
      </c>
    </row>
    <row r="61" spans="2:11">
      <c r="B61" s="168" t="s">
        <v>202</v>
      </c>
      <c r="C61" s="123">
        <v>0</v>
      </c>
      <c r="D61" s="123">
        <v>0</v>
      </c>
      <c r="E61" s="123">
        <v>0</v>
      </c>
      <c r="F61" s="123">
        <v>0</v>
      </c>
      <c r="G61" s="181">
        <v>0</v>
      </c>
      <c r="H61" s="181">
        <v>0</v>
      </c>
      <c r="I61" s="181">
        <v>0</v>
      </c>
      <c r="J61" s="181">
        <v>0</v>
      </c>
      <c r="K61" s="181">
        <v>0</v>
      </c>
    </row>
    <row r="62" spans="2:11">
      <c r="B62" s="168" t="s">
        <v>201</v>
      </c>
      <c r="C62" s="123">
        <v>0</v>
      </c>
      <c r="D62" s="123">
        <v>0</v>
      </c>
      <c r="E62" s="123">
        <v>0</v>
      </c>
      <c r="F62" s="123">
        <v>0</v>
      </c>
      <c r="G62" s="181">
        <v>0</v>
      </c>
      <c r="H62" s="181">
        <v>0</v>
      </c>
      <c r="I62" s="181">
        <v>0</v>
      </c>
      <c r="J62" s="181">
        <v>0</v>
      </c>
      <c r="K62" s="181">
        <v>0</v>
      </c>
    </row>
    <row r="63" spans="2:11">
      <c r="B63" s="168" t="s">
        <v>200</v>
      </c>
      <c r="C63" s="123">
        <v>0</v>
      </c>
      <c r="D63" s="123">
        <v>0</v>
      </c>
      <c r="E63" s="123">
        <v>0</v>
      </c>
      <c r="F63" s="123">
        <v>0</v>
      </c>
      <c r="G63" s="181">
        <v>0</v>
      </c>
      <c r="H63" s="181">
        <v>0</v>
      </c>
      <c r="I63" s="181">
        <v>0</v>
      </c>
      <c r="J63" s="181">
        <v>0</v>
      </c>
      <c r="K63" s="181">
        <v>0</v>
      </c>
    </row>
    <row r="64" spans="2:11">
      <c r="B64" s="168" t="s">
        <v>199</v>
      </c>
      <c r="C64" s="123">
        <v>0</v>
      </c>
      <c r="D64" s="123">
        <v>0</v>
      </c>
      <c r="E64" s="123">
        <v>0</v>
      </c>
      <c r="F64" s="123">
        <v>0</v>
      </c>
      <c r="G64" s="181">
        <v>0</v>
      </c>
      <c r="H64" s="181">
        <v>0</v>
      </c>
      <c r="I64" s="181">
        <v>0</v>
      </c>
      <c r="J64" s="181">
        <v>0</v>
      </c>
      <c r="K64" s="181">
        <v>0</v>
      </c>
    </row>
    <row r="65" spans="2:11">
      <c r="B65" s="168" t="s">
        <v>198</v>
      </c>
      <c r="C65" s="123">
        <v>0</v>
      </c>
      <c r="D65" s="123">
        <v>0</v>
      </c>
      <c r="E65" s="123">
        <v>0</v>
      </c>
      <c r="F65" s="123">
        <v>0</v>
      </c>
      <c r="G65" s="181">
        <v>0</v>
      </c>
      <c r="H65" s="181">
        <v>0</v>
      </c>
      <c r="I65" s="181">
        <v>0</v>
      </c>
      <c r="J65" s="181">
        <v>0</v>
      </c>
      <c r="K65" s="181">
        <v>0</v>
      </c>
    </row>
    <row r="66" spans="2:11">
      <c r="B66" s="168" t="s">
        <v>197</v>
      </c>
      <c r="C66" s="123">
        <v>0</v>
      </c>
      <c r="D66" s="123">
        <v>0</v>
      </c>
      <c r="E66" s="123">
        <v>0</v>
      </c>
      <c r="F66" s="123">
        <v>0</v>
      </c>
      <c r="G66" s="181">
        <v>0</v>
      </c>
      <c r="H66" s="181">
        <v>0</v>
      </c>
      <c r="I66" s="181">
        <v>0</v>
      </c>
      <c r="J66" s="181">
        <v>0</v>
      </c>
      <c r="K66" s="181">
        <v>0</v>
      </c>
    </row>
    <row r="67" spans="2:11">
      <c r="B67" s="168" t="s">
        <v>196</v>
      </c>
      <c r="C67" s="123">
        <v>0</v>
      </c>
      <c r="D67" s="123">
        <v>0</v>
      </c>
      <c r="E67" s="123">
        <v>0</v>
      </c>
      <c r="F67" s="123">
        <v>0</v>
      </c>
      <c r="G67" s="181">
        <v>0</v>
      </c>
      <c r="H67" s="181">
        <v>0</v>
      </c>
      <c r="I67" s="181">
        <v>0</v>
      </c>
      <c r="J67" s="181">
        <v>0</v>
      </c>
      <c r="K67" s="181">
        <v>0</v>
      </c>
    </row>
    <row r="68" spans="2:11">
      <c r="B68" s="168" t="s">
        <v>195</v>
      </c>
      <c r="C68" s="123">
        <v>4195668</v>
      </c>
      <c r="D68" s="131"/>
      <c r="E68" s="123">
        <v>20978340</v>
      </c>
      <c r="F68" s="131"/>
      <c r="G68" s="181">
        <v>4195668</v>
      </c>
      <c r="H68" s="131"/>
      <c r="I68" s="181">
        <v>20978340</v>
      </c>
      <c r="J68" s="131"/>
      <c r="K68" s="13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dimension ref="A1:T314"/>
  <sheetViews>
    <sheetView zoomScale="85" zoomScaleNormal="85" workbookViewId="0">
      <selection activeCell="D4" sqref="D4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3">
        <v>1000000000</v>
      </c>
      <c r="C2" s="1"/>
      <c r="F2" s="99"/>
      <c r="G2" s="99"/>
      <c r="K2" s="48"/>
      <c r="L2" s="48"/>
      <c r="M2" s="48"/>
      <c r="N2" s="48"/>
    </row>
    <row r="3" spans="1:19">
      <c r="A3" s="48" t="s">
        <v>68</v>
      </c>
      <c r="B3" s="63">
        <f>Overview!A7</f>
        <v>100</v>
      </c>
      <c r="C3" s="1"/>
      <c r="F3" s="99"/>
      <c r="G3" s="96"/>
    </row>
    <row r="4" spans="1:19">
      <c r="F4" s="99"/>
      <c r="G4" s="99"/>
      <c r="I4" s="1"/>
      <c r="L4" s="116"/>
      <c r="M4" s="117"/>
      <c r="N4" s="114"/>
      <c r="O4" s="115"/>
    </row>
    <row r="5" spans="1:19">
      <c r="A5" s="48"/>
      <c r="B5" s="48"/>
      <c r="C5" s="1" t="s">
        <v>75</v>
      </c>
      <c r="I5" s="99"/>
      <c r="L5" s="118"/>
      <c r="M5" s="117"/>
      <c r="N5" s="114"/>
      <c r="O5" s="115"/>
    </row>
    <row r="6" spans="1:19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89" t="s">
        <v>91</v>
      </c>
      <c r="J6" s="190" t="s">
        <v>92</v>
      </c>
      <c r="L6" s="96"/>
      <c r="M6" s="96"/>
      <c r="N6" s="109"/>
    </row>
    <row r="7" spans="1:19">
      <c r="A7" s="54" t="s">
        <v>47</v>
      </c>
      <c r="B7" s="54" cm="1">
        <f t="array" ref="B7:B8">Overview!B11:B12</f>
        <v>1</v>
      </c>
      <c r="C7" s="77">
        <f>SUM(N16:N80)</f>
        <v>0.67999997548212976</v>
      </c>
      <c r="D7" s="77">
        <f>SUM(_xlfn.ANCHORARRAY(N159))*F7</f>
        <v>0.25000007810619485</v>
      </c>
      <c r="E7" s="93">
        <f>SUM(C7:D7)</f>
        <v>0.9300000535883246</v>
      </c>
      <c r="F7" s="69">
        <f>M80</f>
        <v>4.1954967524090569E-3</v>
      </c>
      <c r="G7" s="70">
        <f>1/F7</f>
        <v>238.35079825191127</v>
      </c>
      <c r="H7" s="90">
        <f>D7*G7</f>
        <v>59.587718179651709</v>
      </c>
      <c r="I7" s="187" cm="1">
        <f t="array" ref="I7">LOOKUP(2,1/(L16:L79&lt;&gt;0),B16:B79)</f>
        <v>30</v>
      </c>
      <c r="J7" s="187" cm="1">
        <f t="array" ref="J7">LOOKUP(2,1/(_xlfn.ANCHORARRAY(L159)&lt;&gt;0),B16:B79)</f>
        <v>100</v>
      </c>
      <c r="L7" s="99"/>
      <c r="M7" s="96"/>
      <c r="N7" s="109"/>
    </row>
    <row r="8" spans="1:19">
      <c r="A8" s="177" t="s">
        <v>262</v>
      </c>
      <c r="B8" s="177">
        <v>2</v>
      </c>
      <c r="C8" s="178">
        <f>SUM(_xlfn.ANCHORARRAY(N88))/B8</f>
        <v>0.30522664567193752</v>
      </c>
      <c r="D8" s="77">
        <f>SUM(_xlfn.ANCHORARRAY(N159))*F8/B8</f>
        <v>0.6247731057583874</v>
      </c>
      <c r="E8" s="93">
        <f>SUM(C8:D8)</f>
        <v>0.92999975143032487</v>
      </c>
      <c r="F8" s="179">
        <f>M152</f>
        <v>2.0969861738110249E-2</v>
      </c>
      <c r="G8" s="70">
        <f>1/F8</f>
        <v>47.687486569480711</v>
      </c>
      <c r="H8" s="90">
        <f>D8*G8</f>
        <v>29.793859089825851</v>
      </c>
      <c r="I8" s="187" cm="1">
        <f t="array" ref="I8">LOOKUP(2,1/(L88:L151&lt;&gt;0),B16:B79)</f>
        <v>45</v>
      </c>
      <c r="J8" s="188"/>
      <c r="L8" s="99"/>
      <c r="M8" s="96"/>
      <c r="N8" s="109"/>
    </row>
    <row r="9" spans="1:19">
      <c r="A9" s="48"/>
      <c r="B9" s="48"/>
      <c r="C9" s="48"/>
      <c r="D9" s="48"/>
      <c r="E9" s="48"/>
      <c r="F9" s="48"/>
      <c r="G9" s="48"/>
      <c r="H9" s="48"/>
      <c r="I9" s="188"/>
      <c r="J9" s="188"/>
      <c r="L9" s="102"/>
      <c r="M9" s="96"/>
      <c r="N9" s="109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11"/>
      <c r="M10" s="99"/>
      <c r="N10" s="99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11"/>
      <c r="M11" s="99"/>
      <c r="N11" s="99"/>
    </row>
    <row r="12" spans="1:19" s="53" customFormat="1">
      <c r="A12" s="218" t="s">
        <v>43</v>
      </c>
      <c r="B12" s="218"/>
      <c r="C12" s="218"/>
      <c r="D12" s="218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5" t="s">
        <v>69</v>
      </c>
      <c r="B14" s="195">
        <f>Multiplier_Weight_Oldhand!B14</f>
        <v>1000000000</v>
      </c>
      <c r="C14" s="1"/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</row>
    <row r="15" spans="1:19">
      <c r="A15" s="120" t="s">
        <v>52</v>
      </c>
      <c r="B15" s="121" t="s">
        <v>53</v>
      </c>
      <c r="C15" s="196" t="s">
        <v>65</v>
      </c>
      <c r="D15" s="18" t="s">
        <v>66</v>
      </c>
      <c r="E15" s="18" t="s">
        <v>67</v>
      </c>
      <c r="F15" s="18" t="s">
        <v>77</v>
      </c>
      <c r="H15" s="18" t="s">
        <v>55</v>
      </c>
      <c r="I15" s="18" t="s">
        <v>289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">
        <v>305</v>
      </c>
      <c r="Q15" s="182" t="s">
        <v>305</v>
      </c>
      <c r="R15" s="81" t="s">
        <v>303</v>
      </c>
      <c r="S15" s="81" t="s">
        <v>74</v>
      </c>
    </row>
    <row r="16" spans="1:19">
      <c r="A16" s="60">
        <v>-1</v>
      </c>
      <c r="B16" s="60">
        <v>0</v>
      </c>
      <c r="C16" s="91" cm="1">
        <f t="array" ref="C16:D79">Multiplier_Weight_Oldhand!C16:D79</f>
        <v>738977283</v>
      </c>
      <c r="D16" s="91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9.9999999999999995E-7</v>
      </c>
      <c r="H16" s="57" t="str">
        <f>"("&amp;$A16&amp;", "&amp;$B16&amp;"]"</f>
        <v>(-1, 0]</v>
      </c>
      <c r="I16" s="207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0.71202938366399604</v>
      </c>
      <c r="L16" s="108" cm="1">
        <f t="array" ref="L16:L80">INT(K16:K80*$B$2)</f>
        <v>712029383</v>
      </c>
      <c r="M16" s="55" cm="1">
        <f t="array" ref="M16:M80">_xlfn.LET(_xlpm.x, L16:L80, _xlpm.x/SUM(_xlpm.x))</f>
        <v>0.71200032128288615</v>
      </c>
      <c r="N16" s="55" cm="1">
        <f t="array" ref="N16:N80">M16:M80*F16:F80</f>
        <v>0</v>
      </c>
      <c r="O16" s="110"/>
      <c r="P16" s="55" cm="1">
        <f t="array" ref="P16:P79">M16:M79</f>
        <v>0.71200032128288615</v>
      </c>
      <c r="Q16" s="206">
        <v>0.72294875282443027</v>
      </c>
      <c r="R16" s="55">
        <v>0.72554635178004934</v>
      </c>
      <c r="S16" s="78" cm="1">
        <f t="array" ref="S16:S79">_xlfn.LET(_xlpm.x, Q16:Q79/M16:M79, IF(ISERR(_xlpm.x), 0, ROUND(_xlpm.x,2)))</f>
        <v>1.02</v>
      </c>
    </row>
    <row r="17" spans="1:19">
      <c r="A17" s="54">
        <v>0</v>
      </c>
      <c r="B17" s="54">
        <v>1</v>
      </c>
      <c r="C17" s="91">
        <v>134671370</v>
      </c>
      <c r="D17" s="91">
        <v>5869389535</v>
      </c>
      <c r="E17" s="55">
        <v>0.13649527639219697</v>
      </c>
      <c r="F17" s="88">
        <v>0.43583053584440407</v>
      </c>
      <c r="G17" s="47">
        <v>458145</v>
      </c>
      <c r="H17" s="57" t="str">
        <f t="shared" ref="H17:H79" si="0">"("&amp;$A17&amp;", "&amp;$B17&amp;"]"</f>
        <v>(0, 1]</v>
      </c>
      <c r="I17" s="207">
        <v>1.18</v>
      </c>
      <c r="J17" s="55">
        <v>0.16106442614279243</v>
      </c>
      <c r="K17" s="55">
        <v>0.15949713295964721</v>
      </c>
      <c r="L17" s="108">
        <v>159497132</v>
      </c>
      <c r="M17" s="55">
        <v>0.15949062207127893</v>
      </c>
      <c r="N17" s="55">
        <v>6.9510883279482835E-2</v>
      </c>
      <c r="O17" s="110"/>
      <c r="P17" s="55">
        <v>0.15949062207127893</v>
      </c>
      <c r="Q17" s="206">
        <v>0.16136085442046003</v>
      </c>
      <c r="R17" s="55">
        <v>0.15905886499823757</v>
      </c>
      <c r="S17" s="78">
        <v>1.01</v>
      </c>
    </row>
    <row r="18" spans="1:19">
      <c r="A18" s="54">
        <v>1</v>
      </c>
      <c r="B18" s="54">
        <v>2</v>
      </c>
      <c r="C18" s="91">
        <v>34304589</v>
      </c>
      <c r="D18" s="91">
        <v>5136293060</v>
      </c>
      <c r="E18" s="55">
        <v>3.4769189301896312E-2</v>
      </c>
      <c r="F18" s="88">
        <v>1.4972612148188105</v>
      </c>
      <c r="G18" s="85">
        <f>1+G17*G16</f>
        <v>1.458145</v>
      </c>
      <c r="H18" s="57" t="str">
        <f t="shared" si="0"/>
        <v>(1, 2]</v>
      </c>
      <c r="I18" s="207">
        <v>1.31</v>
      </c>
      <c r="J18" s="55">
        <v>4.5547637985484168E-2</v>
      </c>
      <c r="K18" s="55">
        <v>4.5104420918670625E-2</v>
      </c>
      <c r="L18" s="108">
        <v>45104420</v>
      </c>
      <c r="M18" s="55">
        <v>4.5102579048031E-2</v>
      </c>
      <c r="N18" s="55">
        <v>6.7530342296916318E-2</v>
      </c>
      <c r="O18" s="110"/>
      <c r="P18" s="55">
        <v>4.5102579048031E-2</v>
      </c>
      <c r="Q18" s="206">
        <v>4.5756934610305687E-2</v>
      </c>
      <c r="R18" s="55">
        <v>4.9788508988367994E-2</v>
      </c>
      <c r="S18" s="78">
        <v>1.01</v>
      </c>
    </row>
    <row r="19" spans="1:19">
      <c r="A19" s="54">
        <v>2</v>
      </c>
      <c r="B19" s="54">
        <v>3</v>
      </c>
      <c r="C19" s="91">
        <v>16020309</v>
      </c>
      <c r="D19" s="91">
        <v>4033651395</v>
      </c>
      <c r="E19" s="55">
        <v>1.6237278233995841E-2</v>
      </c>
      <c r="F19" s="88">
        <v>2.5178362009122295</v>
      </c>
      <c r="G19" s="85"/>
      <c r="H19" s="57" t="str">
        <f t="shared" si="0"/>
        <v>(2, 3]</v>
      </c>
      <c r="I19" s="207">
        <v>1.33</v>
      </c>
      <c r="J19" s="55">
        <v>2.159558005121447E-2</v>
      </c>
      <c r="K19" s="55">
        <v>2.1385436779910547E-2</v>
      </c>
      <c r="L19" s="108">
        <v>21385436</v>
      </c>
      <c r="M19" s="55">
        <v>2.1384563146286058E-2</v>
      </c>
      <c r="N19" s="55">
        <v>5.384282723041256E-2</v>
      </c>
      <c r="O19" s="110"/>
      <c r="P19" s="55">
        <v>2.1384563146286058E-2</v>
      </c>
      <c r="Q19" s="206">
        <v>2.1758000231243222E-2</v>
      </c>
      <c r="R19" s="55">
        <v>2.1457525555163906E-2</v>
      </c>
      <c r="S19" s="78">
        <v>1.02</v>
      </c>
    </row>
    <row r="20" spans="1:19">
      <c r="A20" s="54">
        <v>3</v>
      </c>
      <c r="B20" s="54">
        <v>4</v>
      </c>
      <c r="C20" s="91">
        <v>7967455</v>
      </c>
      <c r="D20" s="91">
        <v>2842347285</v>
      </c>
      <c r="E20" s="55">
        <v>8.0753613211731017E-3</v>
      </c>
      <c r="F20" s="88">
        <v>3.5674469262769604</v>
      </c>
      <c r="G20" s="85"/>
      <c r="H20" s="57" t="str">
        <f t="shared" si="0"/>
        <v>(3, 4]</v>
      </c>
      <c r="I20" s="207">
        <v>1.44</v>
      </c>
      <c r="J20" s="55">
        <v>1.1628520302489266E-2</v>
      </c>
      <c r="K20" s="55">
        <v>1.1515364958155196E-2</v>
      </c>
      <c r="L20" s="108">
        <v>11515364</v>
      </c>
      <c r="M20" s="55">
        <v>1.1514893996571742E-2</v>
      </c>
      <c r="N20" s="55">
        <v>4.1078773194474887E-2</v>
      </c>
      <c r="O20" s="110"/>
      <c r="P20" s="55">
        <v>1.1514893996571742E-2</v>
      </c>
      <c r="Q20" s="206">
        <v>8.5068854662453865E-3</v>
      </c>
      <c r="R20" s="55">
        <v>9.4289742685935846E-3</v>
      </c>
      <c r="S20" s="78">
        <v>0.74</v>
      </c>
    </row>
    <row r="21" spans="1:19">
      <c r="A21" s="54">
        <v>4</v>
      </c>
      <c r="B21" s="54">
        <v>5</v>
      </c>
      <c r="C21" s="91">
        <v>5578706</v>
      </c>
      <c r="D21" s="91">
        <v>2564213210</v>
      </c>
      <c r="E21" s="55">
        <v>5.6542605706083448E-3</v>
      </c>
      <c r="F21" s="88">
        <v>4.5964300861167446</v>
      </c>
      <c r="G21" s="85"/>
      <c r="H21" s="57" t="str">
        <f t="shared" si="0"/>
        <v>(4, 5]</v>
      </c>
      <c r="I21" s="207">
        <v>1.62</v>
      </c>
      <c r="J21" s="55">
        <v>9.1599021243855185E-3</v>
      </c>
      <c r="K21" s="55">
        <v>9.0707685242378405E-3</v>
      </c>
      <c r="L21" s="108">
        <v>9070768</v>
      </c>
      <c r="M21" s="55">
        <v>9.0703977735740755E-3</v>
      </c>
      <c r="N21" s="55">
        <v>4.1691449219502213E-2</v>
      </c>
      <c r="O21" s="110"/>
      <c r="P21" s="55">
        <v>9.0703977735740755E-3</v>
      </c>
      <c r="Q21" s="206">
        <v>6.6698354145381805E-3</v>
      </c>
      <c r="R21" s="55">
        <v>6.2566090941134998E-3</v>
      </c>
      <c r="S21" s="78">
        <v>0.74</v>
      </c>
    </row>
    <row r="22" spans="1:19">
      <c r="A22" s="54">
        <v>5</v>
      </c>
      <c r="B22" s="54">
        <v>6</v>
      </c>
      <c r="C22" s="91">
        <v>4158567</v>
      </c>
      <c r="D22" s="91">
        <v>2322704910</v>
      </c>
      <c r="E22" s="55">
        <v>4.214888079481699E-3</v>
      </c>
      <c r="F22" s="88">
        <v>5.5853492561259683</v>
      </c>
      <c r="G22" s="110">
        <v>1.3</v>
      </c>
      <c r="H22" s="57" t="str">
        <f t="shared" si="0"/>
        <v>(5, 6]</v>
      </c>
      <c r="I22" s="207" cm="1">
        <f t="array" ref="I22:I30">G22:G30*G18</f>
        <v>1.8955885000000001</v>
      </c>
      <c r="J22" s="55">
        <v>7.9896933722525942E-3</v>
      </c>
      <c r="K22" s="55">
        <v>7.9119468936686109E-3</v>
      </c>
      <c r="L22" s="108">
        <v>7911946</v>
      </c>
      <c r="M22" s="55">
        <v>7.9116230712811004E-3</v>
      </c>
      <c r="N22" s="55">
        <v>4.4189178035928943E-2</v>
      </c>
      <c r="O22" s="110"/>
      <c r="P22" s="55">
        <v>7.9116230712811004E-3</v>
      </c>
      <c r="Q22" s="206">
        <v>5.4541948981352501E-3</v>
      </c>
      <c r="R22" s="55">
        <v>5.37539654564681E-3</v>
      </c>
      <c r="S22" s="78">
        <v>0.69</v>
      </c>
    </row>
    <row r="23" spans="1:19">
      <c r="A23" s="54">
        <v>6</v>
      </c>
      <c r="B23" s="54">
        <v>7</v>
      </c>
      <c r="C23" s="91">
        <v>2772263</v>
      </c>
      <c r="D23" s="91">
        <v>1818622450</v>
      </c>
      <c r="E23" s="55">
        <v>2.8098088288317042E-3</v>
      </c>
      <c r="F23" s="88">
        <v>6.5600646475460671</v>
      </c>
      <c r="G23" s="110">
        <v>1.19</v>
      </c>
      <c r="H23" s="57" t="str">
        <f t="shared" si="0"/>
        <v>(6, 7]</v>
      </c>
      <c r="I23" s="207">
        <v>1.7351925500000001</v>
      </c>
      <c r="J23" s="55">
        <v>4.8755593467129984E-3</v>
      </c>
      <c r="K23" s="55">
        <v>4.8281160278428915E-3</v>
      </c>
      <c r="L23" s="108">
        <v>4828116</v>
      </c>
      <c r="M23" s="55">
        <v>4.8279189388326735E-3</v>
      </c>
      <c r="N23" s="55">
        <v>3.1671460351854343E-2</v>
      </c>
      <c r="O23" s="110"/>
      <c r="P23" s="55">
        <v>4.8279189388326735E-3</v>
      </c>
      <c r="Q23" s="206">
        <v>3.3318405313007824E-3</v>
      </c>
      <c r="R23" s="55">
        <v>2.5114557631300671E-3</v>
      </c>
      <c r="S23" s="78">
        <v>0.69</v>
      </c>
    </row>
    <row r="24" spans="1:19">
      <c r="A24" s="54">
        <v>7</v>
      </c>
      <c r="B24" s="54">
        <v>8</v>
      </c>
      <c r="C24" s="91">
        <v>2871865</v>
      </c>
      <c r="D24" s="91">
        <v>2188753410</v>
      </c>
      <c r="E24" s="55">
        <v>2.9107597771974602E-3</v>
      </c>
      <c r="F24" s="88">
        <v>7.6213659416441928</v>
      </c>
      <c r="G24" s="110">
        <v>0.97</v>
      </c>
      <c r="H24" s="57" t="str">
        <f t="shared" si="0"/>
        <v>(7, 8]</v>
      </c>
      <c r="I24" s="207">
        <v>1.4144006499999999</v>
      </c>
      <c r="J24" s="55">
        <v>4.1169805208619431E-3</v>
      </c>
      <c r="K24" s="55">
        <v>4.0769188159900799E-3</v>
      </c>
      <c r="L24" s="108">
        <v>4076918</v>
      </c>
      <c r="M24" s="55">
        <v>4.0767515992299747E-3</v>
      </c>
      <c r="N24" s="55">
        <v>3.1070415790914824E-2</v>
      </c>
      <c r="O24" s="110"/>
      <c r="P24" s="55">
        <v>4.0767515992299747E-3</v>
      </c>
      <c r="Q24" s="206">
        <v>2.8156200112303422E-3</v>
      </c>
      <c r="R24" s="55">
        <v>3.0842439196334154E-3</v>
      </c>
      <c r="S24" s="78">
        <v>0.69</v>
      </c>
    </row>
    <row r="25" spans="1:19">
      <c r="A25" s="54">
        <v>8</v>
      </c>
      <c r="B25" s="54">
        <v>9</v>
      </c>
      <c r="C25" s="91">
        <v>2105410</v>
      </c>
      <c r="D25" s="91">
        <v>1810360075</v>
      </c>
      <c r="E25" s="55">
        <v>2.1339243810239356E-3</v>
      </c>
      <c r="F25" s="88">
        <v>8.5986106031604308</v>
      </c>
      <c r="G25" s="110">
        <v>1.2</v>
      </c>
      <c r="H25" s="57" t="str">
        <f t="shared" si="0"/>
        <v>(8, 9]</v>
      </c>
      <c r="I25" s="207">
        <v>1.7497739999999999</v>
      </c>
      <c r="J25" s="55">
        <v>3.7338853998817759E-3</v>
      </c>
      <c r="K25" s="55">
        <v>3.6975515347693645E-3</v>
      </c>
      <c r="L25" s="108">
        <v>3697551</v>
      </c>
      <c r="M25" s="55">
        <v>3.6974000832208031E-3</v>
      </c>
      <c r="N25" s="55">
        <v>3.1792503559708654E-2</v>
      </c>
      <c r="O25" s="110"/>
      <c r="P25" s="55">
        <v>3.6974000832208031E-3</v>
      </c>
      <c r="Q25" s="206">
        <v>2.5445965127515817E-3</v>
      </c>
      <c r="R25" s="55">
        <v>2.687698272823405E-3</v>
      </c>
      <c r="S25" s="78">
        <v>0.69</v>
      </c>
    </row>
    <row r="26" spans="1:19">
      <c r="A26" s="54">
        <v>9</v>
      </c>
      <c r="B26" s="54">
        <v>10</v>
      </c>
      <c r="C26" s="91">
        <v>1954254</v>
      </c>
      <c r="D26" s="91">
        <v>1885134195</v>
      </c>
      <c r="E26" s="55">
        <v>1.980721216919056E-3</v>
      </c>
      <c r="F26" s="88">
        <v>9.6463110475915617</v>
      </c>
      <c r="G26" s="110">
        <v>1.1499999999999999</v>
      </c>
      <c r="H26" s="57" t="str">
        <f t="shared" si="0"/>
        <v>(9, 10]</v>
      </c>
      <c r="I26" s="207">
        <v>1.6768667499999999</v>
      </c>
      <c r="J26" s="55">
        <v>3.3214055496711024E-3</v>
      </c>
      <c r="K26" s="55">
        <v>3.2890854626033031E-3</v>
      </c>
      <c r="L26" s="108">
        <v>3289085</v>
      </c>
      <c r="M26" s="55">
        <v>3.2889507548970374E-3</v>
      </c>
      <c r="N26" s="55">
        <v>3.1726242001947895E-2</v>
      </c>
      <c r="O26" s="110"/>
      <c r="P26" s="55">
        <v>3.2889507548970374E-3</v>
      </c>
      <c r="Q26" s="206">
        <v>2.2718729170527617E-3</v>
      </c>
      <c r="R26" s="55">
        <v>2.2470919985900597E-3</v>
      </c>
      <c r="S26" s="78">
        <v>0.69</v>
      </c>
    </row>
    <row r="27" spans="1:19">
      <c r="A27" s="54">
        <v>10</v>
      </c>
      <c r="B27" s="54">
        <v>15</v>
      </c>
      <c r="C27" s="91">
        <v>6734651</v>
      </c>
      <c r="D27" s="91">
        <v>8382998890</v>
      </c>
      <c r="E27" s="55">
        <v>6.8258609803255555E-3</v>
      </c>
      <c r="F27" s="88">
        <v>12.447562449783961</v>
      </c>
      <c r="G27" s="110">
        <v>0.44</v>
      </c>
      <c r="H27" s="57" t="str">
        <f t="shared" si="0"/>
        <v>(10, 15]</v>
      </c>
      <c r="I27" s="207">
        <v>0.64158380000000004</v>
      </c>
      <c r="J27" s="55">
        <v>4.3793618260289952E-3</v>
      </c>
      <c r="K27" s="55">
        <v>4.336746928991604E-3</v>
      </c>
      <c r="L27" s="108">
        <v>4336746</v>
      </c>
      <c r="M27" s="55">
        <v>4.3365689942633607E-3</v>
      </c>
      <c r="N27" s="55">
        <v>5.3979713373890008E-2</v>
      </c>
      <c r="O27" s="110"/>
      <c r="P27" s="55">
        <v>4.3365689942633607E-3</v>
      </c>
      <c r="Q27" s="206">
        <v>3.0238589193723043E-3</v>
      </c>
      <c r="R27" s="55">
        <v>4.9788508988367992E-3</v>
      </c>
      <c r="S27" s="78">
        <v>0.7</v>
      </c>
    </row>
    <row r="28" spans="1:19">
      <c r="A28" s="54">
        <v>15</v>
      </c>
      <c r="B28" s="54">
        <v>20</v>
      </c>
      <c r="C28" s="91">
        <v>4528931</v>
      </c>
      <c r="D28" s="91">
        <v>7919233365</v>
      </c>
      <c r="E28" s="55">
        <v>4.5902680622183396E-3</v>
      </c>
      <c r="F28" s="88">
        <v>17.485877715955485</v>
      </c>
      <c r="G28" s="110">
        <v>0.87</v>
      </c>
      <c r="H28" s="105" t="str">
        <f t="shared" si="0"/>
        <v>(15, 20]</v>
      </c>
      <c r="I28" s="207">
        <v>1.26858615</v>
      </c>
      <c r="J28" s="55">
        <v>5.8231504885175242E-3</v>
      </c>
      <c r="K28" s="55">
        <v>5.7664863058444924E-3</v>
      </c>
      <c r="L28" s="108">
        <v>5766486</v>
      </c>
      <c r="M28" s="55">
        <v>5.7662506389476705E-3</v>
      </c>
      <c r="N28" s="55">
        <v>0.10082795355218915</v>
      </c>
      <c r="O28" s="110"/>
      <c r="P28" s="55">
        <v>5.7662506389476705E-3</v>
      </c>
      <c r="Q28" s="206">
        <v>3.9646257171216332E-3</v>
      </c>
      <c r="R28" s="55">
        <v>2.3352132534367291E-3</v>
      </c>
      <c r="S28" s="78">
        <v>0.69</v>
      </c>
    </row>
    <row r="29" spans="1:19">
      <c r="A29" s="54">
        <v>20</v>
      </c>
      <c r="B29" s="54">
        <v>25</v>
      </c>
      <c r="C29" s="91">
        <v>3129796</v>
      </c>
      <c r="D29" s="91">
        <v>7054318865</v>
      </c>
      <c r="E29" s="55">
        <v>3.1721840363782778E-3</v>
      </c>
      <c r="F29" s="88">
        <v>22.539228962526632</v>
      </c>
      <c r="G29" s="110">
        <v>0.52</v>
      </c>
      <c r="H29" s="57" t="str">
        <f t="shared" si="0"/>
        <v>(20, 25]</v>
      </c>
      <c r="I29" s="207">
        <v>0.7582354</v>
      </c>
      <c r="J29" s="55">
        <v>2.4052622316968978E-3</v>
      </c>
      <c r="K29" s="55">
        <v>2.3818569944903086E-3</v>
      </c>
      <c r="L29" s="108">
        <v>2381856</v>
      </c>
      <c r="M29" s="55">
        <v>2.3817587837517236E-3</v>
      </c>
      <c r="N29" s="55">
        <v>5.3683006560489056E-2</v>
      </c>
      <c r="O29" s="110"/>
      <c r="P29" s="55">
        <v>2.3817587837517236E-3</v>
      </c>
      <c r="Q29" s="206">
        <v>1.6558466895929445E-3</v>
      </c>
      <c r="R29" s="55">
        <v>1.8064857243567148E-3</v>
      </c>
      <c r="S29" s="78">
        <v>0.7</v>
      </c>
    </row>
    <row r="30" spans="1:19">
      <c r="A30" s="54">
        <v>25</v>
      </c>
      <c r="B30" s="54">
        <v>30</v>
      </c>
      <c r="C30" s="91">
        <v>2506990</v>
      </c>
      <c r="D30" s="91">
        <v>6905395465</v>
      </c>
      <c r="E30" s="55">
        <v>2.540943134108414E-3</v>
      </c>
      <c r="F30" s="88">
        <v>27.544567249969088</v>
      </c>
      <c r="G30" s="110">
        <v>0.26</v>
      </c>
      <c r="H30" s="57" t="str">
        <f t="shared" si="0"/>
        <v>(25, 30]</v>
      </c>
      <c r="I30" s="207">
        <v>0.3791177</v>
      </c>
      <c r="J30" s="55">
        <v>9.6331651683397349E-4</v>
      </c>
      <c r="K30" s="55">
        <v>9.5394263182285027E-4</v>
      </c>
      <c r="L30" s="108">
        <v>953942</v>
      </c>
      <c r="M30" s="55">
        <v>9.5390306453861477E-4</v>
      </c>
      <c r="N30" s="55">
        <v>2.6274847111135476E-2</v>
      </c>
      <c r="O30" s="110"/>
      <c r="P30" s="55">
        <v>9.5390306453861477E-4</v>
      </c>
      <c r="Q30" s="206">
        <v>6.70909365952092E-4</v>
      </c>
      <c r="R30" s="55">
        <v>8.8121254846669017E-4</v>
      </c>
      <c r="S30" s="78">
        <v>0.7</v>
      </c>
    </row>
    <row r="31" spans="1:19">
      <c r="A31" s="54">
        <v>30</v>
      </c>
      <c r="B31" s="54">
        <v>35</v>
      </c>
      <c r="C31" s="91">
        <v>1878754</v>
      </c>
      <c r="D31" s="91">
        <v>6111962030</v>
      </c>
      <c r="E31" s="55">
        <v>1.9041986912507506E-3</v>
      </c>
      <c r="F31" s="88">
        <v>32.531997430211725</v>
      </c>
      <c r="G31" s="110"/>
      <c r="H31" s="57" t="str">
        <f t="shared" si="0"/>
        <v>(30, 35]</v>
      </c>
      <c r="I31" s="207">
        <v>0</v>
      </c>
      <c r="J31" s="55">
        <v>0</v>
      </c>
      <c r="K31" s="55">
        <v>0</v>
      </c>
      <c r="L31" s="108">
        <v>0</v>
      </c>
      <c r="M31" s="55">
        <v>0</v>
      </c>
      <c r="N31" s="55">
        <v>0</v>
      </c>
      <c r="O31" s="110"/>
      <c r="P31" s="55">
        <v>0</v>
      </c>
      <c r="Q31" s="206">
        <v>5.6786647344428387E-4</v>
      </c>
      <c r="R31" s="55">
        <v>4.8466690165667957E-4</v>
      </c>
      <c r="S31" s="78">
        <v>0</v>
      </c>
    </row>
    <row r="32" spans="1:19">
      <c r="A32" s="54">
        <v>35</v>
      </c>
      <c r="B32" s="54">
        <v>40</v>
      </c>
      <c r="C32" s="91">
        <v>1621830</v>
      </c>
      <c r="D32" s="91">
        <v>6089148510</v>
      </c>
      <c r="E32" s="55">
        <v>1.6437950702599729E-3</v>
      </c>
      <c r="F32" s="88">
        <v>37.544924622186052</v>
      </c>
      <c r="G32" s="110"/>
      <c r="H32" s="105" t="str">
        <f t="shared" si="0"/>
        <v>(35, 40]</v>
      </c>
      <c r="I32" s="207">
        <v>0</v>
      </c>
      <c r="J32" s="55">
        <v>0</v>
      </c>
      <c r="K32" s="55">
        <v>0</v>
      </c>
      <c r="L32" s="108">
        <v>0</v>
      </c>
      <c r="M32" s="55">
        <v>0</v>
      </c>
      <c r="N32" s="55">
        <v>0</v>
      </c>
      <c r="O32" s="110"/>
      <c r="P32" s="55">
        <v>0</v>
      </c>
      <c r="Q32" s="206">
        <v>9.7218159420446463E-4</v>
      </c>
      <c r="R32" s="55">
        <v>7.0497003877335212E-4</v>
      </c>
      <c r="S32" s="78">
        <v>0</v>
      </c>
    </row>
    <row r="33" spans="1:19">
      <c r="A33" s="54">
        <v>40</v>
      </c>
      <c r="B33" s="54">
        <v>45</v>
      </c>
      <c r="C33" s="91">
        <v>1336896</v>
      </c>
      <c r="D33" s="91">
        <v>5698648415</v>
      </c>
      <c r="E33" s="55">
        <v>1.3550020990179467E-3</v>
      </c>
      <c r="F33" s="88">
        <v>42.625966529932022</v>
      </c>
      <c r="G33" s="110"/>
      <c r="H33" s="57" t="str">
        <f t="shared" si="0"/>
        <v>(40, 45]</v>
      </c>
      <c r="I33" s="207">
        <v>0</v>
      </c>
      <c r="J33" s="55">
        <v>0</v>
      </c>
      <c r="K33" s="55">
        <v>0</v>
      </c>
      <c r="L33" s="108">
        <v>0</v>
      </c>
      <c r="M33" s="55">
        <v>0</v>
      </c>
      <c r="N33" s="55">
        <v>0</v>
      </c>
      <c r="O33" s="110"/>
      <c r="P33" s="55">
        <v>0</v>
      </c>
      <c r="Q33" s="206">
        <v>2.2260372959427685E-4</v>
      </c>
      <c r="R33" s="55">
        <v>3.5248501938667606E-4</v>
      </c>
      <c r="S33" s="78">
        <v>0</v>
      </c>
    </row>
    <row r="34" spans="1:19">
      <c r="A34" s="54">
        <v>45</v>
      </c>
      <c r="B34" s="54">
        <v>50</v>
      </c>
      <c r="C34" s="91">
        <v>1129963</v>
      </c>
      <c r="D34" s="91">
        <v>5386108480</v>
      </c>
      <c r="E34" s="55">
        <v>1.1452665254534505E-3</v>
      </c>
      <c r="F34" s="88">
        <v>47.666237567070787</v>
      </c>
      <c r="G34" s="110"/>
      <c r="H34" s="57" t="str">
        <f t="shared" si="0"/>
        <v>(45, 50]</v>
      </c>
      <c r="I34" s="207">
        <v>0</v>
      </c>
      <c r="J34" s="55">
        <v>0</v>
      </c>
      <c r="K34" s="55">
        <v>0</v>
      </c>
      <c r="L34" s="108">
        <v>0</v>
      </c>
      <c r="M34" s="55">
        <v>0</v>
      </c>
      <c r="N34" s="55">
        <v>0</v>
      </c>
      <c r="O34" s="110"/>
      <c r="P34" s="55">
        <v>0</v>
      </c>
      <c r="Q34" s="206">
        <v>2.1215213191966382E-4</v>
      </c>
      <c r="R34" s="55">
        <v>1.3218188227000352E-4</v>
      </c>
      <c r="S34" s="78">
        <v>0</v>
      </c>
    </row>
    <row r="35" spans="1:19">
      <c r="A35" s="54">
        <v>50</v>
      </c>
      <c r="B35" s="54">
        <v>60</v>
      </c>
      <c r="C35" s="91">
        <v>1876167</v>
      </c>
      <c r="D35" s="91">
        <v>10300394235</v>
      </c>
      <c r="E35" s="55">
        <v>1.9015766545103015E-3</v>
      </c>
      <c r="F35" s="88">
        <v>54.901265372432199</v>
      </c>
      <c r="G35" s="110"/>
      <c r="H35" s="105" t="str">
        <f t="shared" si="0"/>
        <v>(50, 60]</v>
      </c>
      <c r="I35" s="207">
        <v>0</v>
      </c>
      <c r="J35" s="55">
        <v>0</v>
      </c>
      <c r="K35" s="55">
        <v>0</v>
      </c>
      <c r="L35" s="108">
        <v>0</v>
      </c>
      <c r="M35" s="55">
        <v>0</v>
      </c>
      <c r="N35" s="55">
        <v>0</v>
      </c>
      <c r="O35" s="110"/>
      <c r="P35" s="55">
        <v>0</v>
      </c>
      <c r="Q35" s="206">
        <v>6.2280361502472517E-4</v>
      </c>
      <c r="R35" s="55">
        <v>3.0842439196334157E-4</v>
      </c>
      <c r="S35" s="78">
        <v>0</v>
      </c>
    </row>
    <row r="36" spans="1:19">
      <c r="A36" s="54">
        <v>60</v>
      </c>
      <c r="B36" s="54">
        <v>70</v>
      </c>
      <c r="C36" s="91">
        <v>1368900</v>
      </c>
      <c r="D36" s="91">
        <v>8898541035</v>
      </c>
      <c r="E36" s="55">
        <v>1.3874395415542176E-3</v>
      </c>
      <c r="F36" s="88">
        <v>65.005048104317339</v>
      </c>
      <c r="G36" s="110"/>
      <c r="H36" s="57" t="str">
        <f t="shared" si="0"/>
        <v>(60, 70]</v>
      </c>
      <c r="I36" s="207">
        <v>0</v>
      </c>
      <c r="J36" s="55">
        <v>0</v>
      </c>
      <c r="K36" s="55">
        <v>0</v>
      </c>
      <c r="L36" s="108">
        <v>0</v>
      </c>
      <c r="M36" s="55">
        <v>0</v>
      </c>
      <c r="N36" s="55">
        <v>0</v>
      </c>
      <c r="O36" s="110"/>
      <c r="P36" s="55">
        <v>0</v>
      </c>
      <c r="Q36" s="206">
        <v>1.5079862341928023E-4</v>
      </c>
      <c r="R36" s="55">
        <v>1.7624250969333803E-4</v>
      </c>
      <c r="S36" s="78">
        <v>0</v>
      </c>
    </row>
    <row r="37" spans="1:19">
      <c r="A37" s="54">
        <v>70</v>
      </c>
      <c r="B37" s="54">
        <v>80</v>
      </c>
      <c r="C37" s="91">
        <v>1107148</v>
      </c>
      <c r="D37" s="91">
        <v>8303629765</v>
      </c>
      <c r="E37" s="55">
        <v>1.1221425330942135E-3</v>
      </c>
      <c r="F37" s="88">
        <v>75.00017852175138</v>
      </c>
      <c r="G37" s="110"/>
      <c r="H37" s="57" t="str">
        <f t="shared" si="0"/>
        <v>(70, 80]</v>
      </c>
      <c r="I37" s="207">
        <v>0</v>
      </c>
      <c r="J37" s="55">
        <v>0</v>
      </c>
      <c r="K37" s="55">
        <v>0</v>
      </c>
      <c r="L37" s="108">
        <v>0</v>
      </c>
      <c r="M37" s="55">
        <v>0</v>
      </c>
      <c r="N37" s="55">
        <v>0</v>
      </c>
      <c r="O37" s="110"/>
      <c r="P37" s="55">
        <v>0</v>
      </c>
      <c r="Q37" s="206">
        <v>1.2982942429562834E-4</v>
      </c>
      <c r="R37" s="55">
        <v>1.3218188227000352E-4</v>
      </c>
      <c r="S37" s="78">
        <v>0</v>
      </c>
    </row>
    <row r="38" spans="1:19">
      <c r="A38" s="54">
        <v>80</v>
      </c>
      <c r="B38" s="54">
        <v>90</v>
      </c>
      <c r="C38" s="91">
        <v>880621</v>
      </c>
      <c r="D38" s="91">
        <v>7488356915</v>
      </c>
      <c r="E38" s="55">
        <v>8.9254759041786601E-4</v>
      </c>
      <c r="F38" s="88">
        <v>85.034957319891305</v>
      </c>
      <c r="G38" s="110"/>
      <c r="H38" s="57" t="str">
        <f t="shared" si="0"/>
        <v>(80, 90]</v>
      </c>
      <c r="I38" s="207">
        <v>0</v>
      </c>
      <c r="J38" s="55">
        <v>0</v>
      </c>
      <c r="K38" s="55">
        <v>0</v>
      </c>
      <c r="L38" s="108">
        <v>0</v>
      </c>
      <c r="M38" s="55">
        <v>0</v>
      </c>
      <c r="N38" s="55">
        <v>0</v>
      </c>
      <c r="O38" s="110"/>
      <c r="P38" s="55">
        <v>0</v>
      </c>
      <c r="Q38" s="206">
        <v>1.1201240542940448E-4</v>
      </c>
      <c r="R38" s="55">
        <v>0</v>
      </c>
      <c r="S38" s="78">
        <v>0</v>
      </c>
    </row>
    <row r="39" spans="1:19">
      <c r="A39" s="54">
        <v>90</v>
      </c>
      <c r="B39" s="54">
        <v>100</v>
      </c>
      <c r="C39" s="91">
        <v>740089</v>
      </c>
      <c r="D39" s="91">
        <v>7048903000</v>
      </c>
      <c r="E39" s="55">
        <v>7.5011231124941149E-4</v>
      </c>
      <c r="F39" s="88">
        <v>95.24399092541573</v>
      </c>
      <c r="G39" s="110"/>
      <c r="H39" s="57" t="str">
        <f t="shared" si="0"/>
        <v>(90, 100]</v>
      </c>
      <c r="I39" s="207">
        <v>0</v>
      </c>
      <c r="J39" s="55">
        <v>0</v>
      </c>
      <c r="K39" s="55">
        <v>0</v>
      </c>
      <c r="L39" s="108">
        <v>0</v>
      </c>
      <c r="M39" s="55">
        <v>0</v>
      </c>
      <c r="N39" s="55">
        <v>0</v>
      </c>
      <c r="O39" s="110"/>
      <c r="P39" s="55">
        <v>0</v>
      </c>
      <c r="Q39" s="206">
        <v>1.0128479197082886E-4</v>
      </c>
      <c r="R39" s="55">
        <v>8.8121254846669015E-5</v>
      </c>
      <c r="S39" s="78">
        <v>0</v>
      </c>
    </row>
    <row r="40" spans="1:19">
      <c r="A40" s="54">
        <v>100</v>
      </c>
      <c r="B40" s="54">
        <v>120</v>
      </c>
      <c r="C40" s="91">
        <v>1141398</v>
      </c>
      <c r="D40" s="91">
        <v>12514373105</v>
      </c>
      <c r="E40" s="55">
        <v>1.1568563940761933E-3</v>
      </c>
      <c r="F40" s="88">
        <v>109.64074849439021</v>
      </c>
      <c r="G40" s="110"/>
      <c r="H40" s="57" t="str">
        <f t="shared" si="0"/>
        <v>(100, 120]</v>
      </c>
      <c r="I40" s="207">
        <v>0</v>
      </c>
      <c r="J40" s="55">
        <v>0</v>
      </c>
      <c r="K40" s="55">
        <v>0</v>
      </c>
      <c r="L40" s="108">
        <v>0</v>
      </c>
      <c r="M40" s="55">
        <v>0</v>
      </c>
      <c r="N40" s="55">
        <v>0</v>
      </c>
      <c r="O40" s="110"/>
      <c r="P40" s="55">
        <v>0</v>
      </c>
      <c r="Q40" s="206">
        <v>0</v>
      </c>
      <c r="R40" s="55">
        <v>0</v>
      </c>
      <c r="S40" s="78">
        <v>0</v>
      </c>
    </row>
    <row r="41" spans="1:19">
      <c r="A41" s="54">
        <v>120</v>
      </c>
      <c r="B41" s="54">
        <v>140</v>
      </c>
      <c r="C41" s="91">
        <v>816317</v>
      </c>
      <c r="D41" s="91">
        <v>10590153750</v>
      </c>
      <c r="E41" s="55">
        <v>8.2737269650296906E-4</v>
      </c>
      <c r="F41" s="88">
        <v>129.73089804573468</v>
      </c>
      <c r="G41" s="110"/>
      <c r="H41" s="57" t="str">
        <f t="shared" si="0"/>
        <v>(120, 140]</v>
      </c>
      <c r="I41" s="207">
        <v>0</v>
      </c>
      <c r="J41" s="55">
        <v>0</v>
      </c>
      <c r="K41" s="55">
        <v>0</v>
      </c>
      <c r="L41" s="108">
        <v>0</v>
      </c>
      <c r="M41" s="55">
        <v>0</v>
      </c>
      <c r="N41" s="55">
        <v>0</v>
      </c>
      <c r="O41" s="110"/>
      <c r="P41" s="55">
        <v>0</v>
      </c>
      <c r="Q41" s="206">
        <v>0</v>
      </c>
      <c r="R41" s="55">
        <v>4.4060627423334507E-5</v>
      </c>
      <c r="S41" s="78">
        <v>0</v>
      </c>
    </row>
    <row r="42" spans="1:19">
      <c r="A42" s="54">
        <v>140</v>
      </c>
      <c r="B42" s="54">
        <v>160</v>
      </c>
      <c r="C42" s="91">
        <v>633041</v>
      </c>
      <c r="D42" s="91">
        <v>9490295895</v>
      </c>
      <c r="E42" s="55">
        <v>6.4161451882900394E-4</v>
      </c>
      <c r="F42" s="88">
        <v>149.91597534756832</v>
      </c>
      <c r="G42" s="110"/>
      <c r="H42" s="57" t="str">
        <f t="shared" si="0"/>
        <v>(140, 160]</v>
      </c>
      <c r="I42" s="207">
        <v>0</v>
      </c>
      <c r="J42" s="55">
        <v>0</v>
      </c>
      <c r="K42" s="55">
        <v>0</v>
      </c>
      <c r="L42" s="108">
        <v>0</v>
      </c>
      <c r="M42" s="55">
        <v>0</v>
      </c>
      <c r="N42" s="55">
        <v>0</v>
      </c>
      <c r="O42" s="110"/>
      <c r="P42" s="55">
        <v>0</v>
      </c>
      <c r="Q42" s="206">
        <v>0</v>
      </c>
      <c r="R42" s="55">
        <v>8.8121254846669015E-5</v>
      </c>
      <c r="S42" s="78">
        <v>0</v>
      </c>
    </row>
    <row r="43" spans="1:19">
      <c r="A43" s="54">
        <v>160</v>
      </c>
      <c r="B43" s="54">
        <v>180</v>
      </c>
      <c r="C43" s="91">
        <v>482659</v>
      </c>
      <c r="D43" s="91">
        <v>8201830650</v>
      </c>
      <c r="E43" s="55">
        <v>4.8919583730514806E-4</v>
      </c>
      <c r="F43" s="88">
        <v>169.93012976034839</v>
      </c>
      <c r="G43" s="110"/>
      <c r="H43" s="57" t="str">
        <f t="shared" si="0"/>
        <v>(160, 180]</v>
      </c>
      <c r="I43" s="207">
        <v>0</v>
      </c>
      <c r="J43" s="55">
        <v>0</v>
      </c>
      <c r="K43" s="55">
        <v>0</v>
      </c>
      <c r="L43" s="108">
        <v>0</v>
      </c>
      <c r="M43" s="55">
        <v>0</v>
      </c>
      <c r="N43" s="55">
        <v>0</v>
      </c>
      <c r="O43" s="110"/>
      <c r="P43" s="55">
        <v>0</v>
      </c>
      <c r="Q43" s="206">
        <v>0</v>
      </c>
      <c r="R43" s="55">
        <v>0</v>
      </c>
      <c r="S43" s="78">
        <v>0</v>
      </c>
    </row>
    <row r="44" spans="1:19">
      <c r="A44" s="54">
        <v>180</v>
      </c>
      <c r="B44" s="54">
        <v>200</v>
      </c>
      <c r="C44" s="91">
        <v>388393</v>
      </c>
      <c r="D44" s="91">
        <v>7389979140</v>
      </c>
      <c r="E44" s="55">
        <v>3.9365315644887663E-4</v>
      </c>
      <c r="F44" s="88">
        <v>190.27065729814905</v>
      </c>
      <c r="G44" s="110"/>
      <c r="H44" s="57" t="str">
        <f t="shared" si="0"/>
        <v>(180, 200]</v>
      </c>
      <c r="I44" s="207">
        <v>0</v>
      </c>
      <c r="J44" s="55">
        <v>0</v>
      </c>
      <c r="K44" s="55">
        <v>0</v>
      </c>
      <c r="L44" s="108">
        <v>0</v>
      </c>
      <c r="M44" s="55">
        <v>0</v>
      </c>
      <c r="N44" s="55">
        <v>0</v>
      </c>
      <c r="O44" s="110"/>
      <c r="P44" s="55">
        <v>0</v>
      </c>
      <c r="Q44" s="206">
        <v>0</v>
      </c>
      <c r="R44" s="55">
        <v>0</v>
      </c>
      <c r="S44" s="78">
        <v>0</v>
      </c>
    </row>
    <row r="45" spans="1:19">
      <c r="A45" s="54">
        <v>200</v>
      </c>
      <c r="B45" s="54">
        <v>250</v>
      </c>
      <c r="C45" s="91">
        <v>687424</v>
      </c>
      <c r="D45" s="91">
        <v>15371333635</v>
      </c>
      <c r="E45" s="55">
        <v>6.9673404880806963E-4</v>
      </c>
      <c r="F45" s="88">
        <v>223.60775351166092</v>
      </c>
      <c r="G45" s="110"/>
      <c r="H45" s="57" t="str">
        <f t="shared" si="0"/>
        <v>(200, 250]</v>
      </c>
      <c r="I45" s="207">
        <v>0</v>
      </c>
      <c r="J45" s="55">
        <v>0</v>
      </c>
      <c r="K45" s="55">
        <v>0</v>
      </c>
      <c r="L45" s="108">
        <v>0</v>
      </c>
      <c r="M45" s="55">
        <v>0</v>
      </c>
      <c r="N45" s="55">
        <v>0</v>
      </c>
      <c r="O45" s="110"/>
      <c r="P45" s="55">
        <v>0</v>
      </c>
      <c r="Q45" s="206">
        <v>0</v>
      </c>
      <c r="R45" s="55">
        <v>4.4060627423334507E-5</v>
      </c>
      <c r="S45" s="78">
        <v>0</v>
      </c>
    </row>
    <row r="46" spans="1:19">
      <c r="A46" s="54">
        <v>250</v>
      </c>
      <c r="B46" s="54">
        <v>300</v>
      </c>
      <c r="C46" s="91">
        <v>439263</v>
      </c>
      <c r="D46" s="91">
        <v>12028209705</v>
      </c>
      <c r="E46" s="55">
        <v>4.452121085117469E-4</v>
      </c>
      <c r="F46" s="88">
        <v>273.82706271641365</v>
      </c>
      <c r="G46" s="110"/>
      <c r="H46" s="57" t="str">
        <f t="shared" si="0"/>
        <v>(250, 300]</v>
      </c>
      <c r="I46" s="207">
        <v>0</v>
      </c>
      <c r="J46" s="55">
        <v>0</v>
      </c>
      <c r="K46" s="55">
        <v>0</v>
      </c>
      <c r="L46" s="108">
        <v>0</v>
      </c>
      <c r="M46" s="55">
        <v>0</v>
      </c>
      <c r="N46" s="55">
        <v>0</v>
      </c>
      <c r="O46" s="110"/>
      <c r="P46" s="55">
        <v>0</v>
      </c>
      <c r="Q46" s="206">
        <v>0</v>
      </c>
      <c r="R46" s="55">
        <v>0</v>
      </c>
      <c r="S46" s="78">
        <v>0</v>
      </c>
    </row>
    <row r="47" spans="1:19">
      <c r="A47" s="54">
        <v>300</v>
      </c>
      <c r="B47" s="54">
        <v>350</v>
      </c>
      <c r="C47" s="91">
        <v>298334</v>
      </c>
      <c r="D47" s="91">
        <v>9668805040</v>
      </c>
      <c r="E47" s="55">
        <v>3.0237445261891734E-4</v>
      </c>
      <c r="F47" s="88">
        <v>324.09329945631407</v>
      </c>
      <c r="G47" s="110"/>
      <c r="H47" s="57" t="str">
        <f t="shared" si="0"/>
        <v>(300, 350]</v>
      </c>
      <c r="I47" s="207">
        <v>0</v>
      </c>
      <c r="J47" s="55">
        <v>0</v>
      </c>
      <c r="K47" s="55">
        <v>0</v>
      </c>
      <c r="L47" s="108">
        <v>0</v>
      </c>
      <c r="M47" s="55">
        <v>0</v>
      </c>
      <c r="N47" s="55">
        <v>0</v>
      </c>
      <c r="O47" s="110"/>
      <c r="P47" s="55">
        <v>0</v>
      </c>
      <c r="Q47" s="206">
        <v>0</v>
      </c>
      <c r="R47" s="55">
        <v>0</v>
      </c>
      <c r="S47" s="78">
        <v>0</v>
      </c>
    </row>
    <row r="48" spans="1:19">
      <c r="A48" s="54">
        <v>350</v>
      </c>
      <c r="B48" s="54">
        <v>400</v>
      </c>
      <c r="C48" s="91">
        <v>211467</v>
      </c>
      <c r="D48" s="91">
        <v>7917340960</v>
      </c>
      <c r="E48" s="55">
        <v>2.1433097927813993E-4</v>
      </c>
      <c r="F48" s="88">
        <v>374.4007793178132</v>
      </c>
      <c r="G48" s="110"/>
      <c r="H48" s="57" t="str">
        <f t="shared" si="0"/>
        <v>(350, 400]</v>
      </c>
      <c r="I48" s="207">
        <v>0</v>
      </c>
      <c r="J48" s="55">
        <v>0</v>
      </c>
      <c r="K48" s="55">
        <v>0</v>
      </c>
      <c r="L48" s="108">
        <v>0</v>
      </c>
      <c r="M48" s="55">
        <v>0</v>
      </c>
      <c r="N48" s="55">
        <v>0</v>
      </c>
      <c r="O48" s="110"/>
      <c r="P48" s="55">
        <v>0</v>
      </c>
      <c r="Q48" s="206">
        <v>0</v>
      </c>
      <c r="R48" s="55">
        <v>0</v>
      </c>
      <c r="S48" s="78">
        <v>0</v>
      </c>
    </row>
    <row r="49" spans="1:19">
      <c r="A49" s="54">
        <v>400</v>
      </c>
      <c r="B49" s="54">
        <v>450</v>
      </c>
      <c r="C49" s="91">
        <v>160769</v>
      </c>
      <c r="D49" s="91">
        <v>6824830435</v>
      </c>
      <c r="E49" s="55">
        <v>1.6294635667771936E-4</v>
      </c>
      <c r="F49" s="88">
        <v>424.51159334199997</v>
      </c>
      <c r="G49" s="110"/>
      <c r="H49" s="57" t="str">
        <f t="shared" si="0"/>
        <v>(400, 450]</v>
      </c>
      <c r="I49" s="207">
        <v>0</v>
      </c>
      <c r="J49" s="55">
        <v>0</v>
      </c>
      <c r="K49" s="55">
        <v>0</v>
      </c>
      <c r="L49" s="108">
        <v>0</v>
      </c>
      <c r="M49" s="55">
        <v>0</v>
      </c>
      <c r="N49" s="55">
        <v>0</v>
      </c>
      <c r="O49" s="110"/>
      <c r="P49" s="55">
        <v>0</v>
      </c>
      <c r="Q49" s="206">
        <v>0</v>
      </c>
      <c r="R49" s="55">
        <v>0</v>
      </c>
      <c r="S49" s="78">
        <v>0</v>
      </c>
    </row>
    <row r="50" spans="1:19">
      <c r="A50" s="54">
        <v>450</v>
      </c>
      <c r="B50" s="54">
        <v>500</v>
      </c>
      <c r="C50" s="91">
        <v>129237</v>
      </c>
      <c r="D50" s="91">
        <v>6165238720</v>
      </c>
      <c r="E50" s="55">
        <v>1.309873066197987E-4</v>
      </c>
      <c r="F50" s="88">
        <v>477.04904323065375</v>
      </c>
      <c r="G50" s="110"/>
      <c r="H50" s="57" t="str">
        <f t="shared" si="0"/>
        <v>(450, 500]</v>
      </c>
      <c r="I50" s="207">
        <v>0</v>
      </c>
      <c r="J50" s="55">
        <v>0</v>
      </c>
      <c r="K50" s="55">
        <v>0</v>
      </c>
      <c r="L50" s="108">
        <v>0</v>
      </c>
      <c r="M50" s="55">
        <v>0</v>
      </c>
      <c r="N50" s="55">
        <v>0</v>
      </c>
      <c r="O50" s="110"/>
      <c r="P50" s="55">
        <v>0</v>
      </c>
      <c r="Q50" s="206">
        <v>0</v>
      </c>
      <c r="R50" s="55">
        <v>0</v>
      </c>
      <c r="S50" s="78">
        <v>0</v>
      </c>
    </row>
    <row r="51" spans="1:19">
      <c r="A51" s="54">
        <v>500</v>
      </c>
      <c r="B51" s="54">
        <v>550</v>
      </c>
      <c r="C51" s="91">
        <v>94393</v>
      </c>
      <c r="D51" s="91">
        <v>4953718110</v>
      </c>
      <c r="E51" s="55">
        <v>9.5671400866335934E-5</v>
      </c>
      <c r="F51" s="88">
        <v>524.79718941023168</v>
      </c>
      <c r="G51" s="110"/>
      <c r="H51" s="57" t="str">
        <f t="shared" si="0"/>
        <v>(500, 550]</v>
      </c>
      <c r="I51" s="207">
        <v>0</v>
      </c>
      <c r="J51" s="55">
        <v>0</v>
      </c>
      <c r="K51" s="55">
        <v>0</v>
      </c>
      <c r="L51" s="108">
        <v>0</v>
      </c>
      <c r="M51" s="55">
        <v>0</v>
      </c>
      <c r="N51" s="55">
        <v>0</v>
      </c>
      <c r="O51" s="110"/>
      <c r="P51" s="55">
        <v>0</v>
      </c>
      <c r="Q51" s="206">
        <v>0</v>
      </c>
      <c r="R51" s="55">
        <v>0</v>
      </c>
      <c r="S51" s="78">
        <v>0</v>
      </c>
    </row>
    <row r="52" spans="1:19">
      <c r="A52" s="54">
        <v>550</v>
      </c>
      <c r="B52" s="54">
        <v>600</v>
      </c>
      <c r="C52" s="91">
        <v>80326</v>
      </c>
      <c r="D52" s="91">
        <v>4635061450</v>
      </c>
      <c r="E52" s="55">
        <v>8.1413886050759064E-5</v>
      </c>
      <c r="F52" s="88">
        <v>577.03127878893508</v>
      </c>
      <c r="G52" s="110"/>
      <c r="H52" s="57" t="str">
        <f t="shared" si="0"/>
        <v>(550, 600]</v>
      </c>
      <c r="I52" s="207">
        <v>0</v>
      </c>
      <c r="J52" s="55">
        <v>0</v>
      </c>
      <c r="K52" s="55">
        <v>0</v>
      </c>
      <c r="L52" s="108">
        <v>0</v>
      </c>
      <c r="M52" s="55">
        <v>0</v>
      </c>
      <c r="N52" s="55">
        <v>0</v>
      </c>
      <c r="O52" s="110"/>
      <c r="P52" s="55">
        <v>0</v>
      </c>
      <c r="Q52" s="206">
        <v>0</v>
      </c>
      <c r="R52" s="55">
        <v>0</v>
      </c>
      <c r="S52" s="78">
        <v>0</v>
      </c>
    </row>
    <row r="53" spans="1:19">
      <c r="A53" s="54">
        <v>600</v>
      </c>
      <c r="B53" s="54">
        <v>650</v>
      </c>
      <c r="C53" s="91">
        <v>60220</v>
      </c>
      <c r="D53" s="91">
        <v>3762531690</v>
      </c>
      <c r="E53" s="55">
        <v>6.1035582725104092E-5</v>
      </c>
      <c r="F53" s="88">
        <v>624.79769013616738</v>
      </c>
      <c r="G53" s="110"/>
      <c r="H53" s="57" t="str">
        <f t="shared" si="0"/>
        <v>(600, 650]</v>
      </c>
      <c r="I53" s="207">
        <v>0</v>
      </c>
      <c r="J53" s="55">
        <v>0</v>
      </c>
      <c r="K53" s="55">
        <v>0</v>
      </c>
      <c r="L53" s="108">
        <v>0</v>
      </c>
      <c r="M53" s="55">
        <v>0</v>
      </c>
      <c r="N53" s="55">
        <v>0</v>
      </c>
      <c r="O53" s="110"/>
      <c r="P53" s="55">
        <v>0</v>
      </c>
      <c r="Q53" s="206">
        <v>0</v>
      </c>
      <c r="R53" s="55">
        <v>0</v>
      </c>
      <c r="S53" s="78">
        <v>0</v>
      </c>
    </row>
    <row r="54" spans="1:19">
      <c r="A54" s="54">
        <v>650</v>
      </c>
      <c r="B54" s="54">
        <v>700</v>
      </c>
      <c r="C54" s="91">
        <v>53095</v>
      </c>
      <c r="D54" s="91">
        <v>3597267525</v>
      </c>
      <c r="E54" s="55">
        <v>5.3814086097465986E-5</v>
      </c>
      <c r="F54" s="88">
        <v>677.51530746774642</v>
      </c>
      <c r="G54" s="110"/>
      <c r="H54" s="57" t="str">
        <f t="shared" si="0"/>
        <v>(650, 700]</v>
      </c>
      <c r="I54" s="207">
        <v>0</v>
      </c>
      <c r="J54" s="55">
        <v>0</v>
      </c>
      <c r="K54" s="55">
        <v>0</v>
      </c>
      <c r="L54" s="108">
        <v>0</v>
      </c>
      <c r="M54" s="55">
        <v>0</v>
      </c>
      <c r="N54" s="55">
        <v>0</v>
      </c>
      <c r="O54" s="110"/>
      <c r="P54" s="55">
        <v>0</v>
      </c>
      <c r="Q54" s="206">
        <v>0</v>
      </c>
      <c r="R54" s="55">
        <v>0</v>
      </c>
      <c r="S54" s="78">
        <v>0</v>
      </c>
    </row>
    <row r="55" spans="1:19">
      <c r="A55" s="54">
        <v>700</v>
      </c>
      <c r="B55" s="54">
        <v>750</v>
      </c>
      <c r="C55" s="91">
        <v>46405</v>
      </c>
      <c r="D55" s="91">
        <v>3371782130</v>
      </c>
      <c r="E55" s="55">
        <v>4.703348084288368E-5</v>
      </c>
      <c r="F55" s="88">
        <v>726.59888589591628</v>
      </c>
      <c r="G55" s="110"/>
      <c r="H55" s="57" t="str">
        <f t="shared" si="0"/>
        <v>(700, 750]</v>
      </c>
      <c r="I55" s="207">
        <v>0</v>
      </c>
      <c r="J55" s="55">
        <v>0</v>
      </c>
      <c r="K55" s="55">
        <v>0</v>
      </c>
      <c r="L55" s="108">
        <v>0</v>
      </c>
      <c r="M55" s="55">
        <v>0</v>
      </c>
      <c r="N55" s="55">
        <v>0</v>
      </c>
      <c r="O55" s="110"/>
      <c r="P55" s="55">
        <v>0</v>
      </c>
      <c r="Q55" s="206">
        <v>0</v>
      </c>
      <c r="R55" s="55">
        <v>0</v>
      </c>
      <c r="S55" s="78">
        <v>0</v>
      </c>
    </row>
    <row r="56" spans="1:19">
      <c r="A56" s="54">
        <v>750</v>
      </c>
      <c r="B56" s="54">
        <v>800</v>
      </c>
      <c r="C56" s="91">
        <v>37597</v>
      </c>
      <c r="D56" s="91">
        <v>2923058065</v>
      </c>
      <c r="E56" s="55">
        <v>3.810619069604348E-5</v>
      </c>
      <c r="F56" s="88">
        <v>777.4710921084129</v>
      </c>
      <c r="G56" s="110"/>
      <c r="H56" s="57" t="str">
        <f t="shared" si="0"/>
        <v>(750, 800]</v>
      </c>
      <c r="I56" s="207">
        <v>0</v>
      </c>
      <c r="J56" s="55">
        <v>0</v>
      </c>
      <c r="K56" s="55">
        <v>0</v>
      </c>
      <c r="L56" s="108">
        <v>0</v>
      </c>
      <c r="M56" s="55">
        <v>0</v>
      </c>
      <c r="N56" s="55">
        <v>0</v>
      </c>
      <c r="O56" s="110"/>
      <c r="P56" s="55">
        <v>0</v>
      </c>
      <c r="Q56" s="206">
        <v>0</v>
      </c>
      <c r="R56" s="55">
        <v>0</v>
      </c>
      <c r="S56" s="78">
        <v>0</v>
      </c>
    </row>
    <row r="57" spans="1:19">
      <c r="A57" s="54">
        <v>800</v>
      </c>
      <c r="B57" s="54">
        <v>850</v>
      </c>
      <c r="C57" s="91">
        <v>33614</v>
      </c>
      <c r="D57" s="91">
        <v>2776922115</v>
      </c>
      <c r="E57" s="55">
        <v>3.4069247388270488E-5</v>
      </c>
      <c r="F57" s="88">
        <v>826.12069822097942</v>
      </c>
      <c r="G57" s="110"/>
      <c r="H57" s="57" t="str">
        <f t="shared" si="0"/>
        <v>(800, 850]</v>
      </c>
      <c r="I57" s="207">
        <v>0</v>
      </c>
      <c r="J57" s="55">
        <v>0</v>
      </c>
      <c r="K57" s="55">
        <v>0</v>
      </c>
      <c r="L57" s="108">
        <v>0</v>
      </c>
      <c r="M57" s="55">
        <v>0</v>
      </c>
      <c r="N57" s="55">
        <v>0</v>
      </c>
      <c r="O57" s="110"/>
      <c r="P57" s="55">
        <v>0</v>
      </c>
      <c r="Q57" s="206">
        <v>0</v>
      </c>
      <c r="R57" s="55">
        <v>0</v>
      </c>
      <c r="S57" s="78">
        <v>0</v>
      </c>
    </row>
    <row r="58" spans="1:19">
      <c r="A58" s="54">
        <v>850</v>
      </c>
      <c r="B58" s="54">
        <v>900</v>
      </c>
      <c r="C58" s="91">
        <v>26774</v>
      </c>
      <c r="D58" s="91">
        <v>2345628000</v>
      </c>
      <c r="E58" s="55">
        <v>2.713661062573791E-5</v>
      </c>
      <c r="F58" s="88">
        <v>876.08426085007841</v>
      </c>
      <c r="G58" s="110"/>
      <c r="H58" s="57" t="str">
        <f t="shared" si="0"/>
        <v>(850, 900]</v>
      </c>
      <c r="I58" s="207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10"/>
      <c r="P58" s="55">
        <v>0</v>
      </c>
      <c r="Q58" s="206">
        <v>0</v>
      </c>
      <c r="R58" s="55">
        <v>0</v>
      </c>
      <c r="S58" s="78">
        <v>0</v>
      </c>
    </row>
    <row r="59" spans="1:19">
      <c r="A59" s="54">
        <v>900</v>
      </c>
      <c r="B59" s="54">
        <v>950</v>
      </c>
      <c r="C59" s="91">
        <v>24569</v>
      </c>
      <c r="D59" s="91">
        <v>2274867630</v>
      </c>
      <c r="E59" s="55">
        <v>2.4901747458868855E-5</v>
      </c>
      <c r="F59" s="88">
        <v>925.90973584598487</v>
      </c>
      <c r="G59" s="110"/>
      <c r="H59" s="57" t="str">
        <f t="shared" si="0"/>
        <v>(900, 950]</v>
      </c>
      <c r="I59" s="207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10"/>
      <c r="P59" s="55">
        <v>0</v>
      </c>
      <c r="Q59" s="206">
        <v>0</v>
      </c>
      <c r="R59" s="55">
        <v>0</v>
      </c>
      <c r="S59" s="78">
        <v>0</v>
      </c>
    </row>
    <row r="60" spans="1:19">
      <c r="A60" s="54">
        <v>950</v>
      </c>
      <c r="B60" s="54">
        <v>1000</v>
      </c>
      <c r="C60" s="91">
        <v>27962</v>
      </c>
      <c r="D60" s="91">
        <v>2747461710</v>
      </c>
      <c r="E60" s="55">
        <v>2.8340700168704095E-5</v>
      </c>
      <c r="F60" s="88">
        <v>982.56981260281816</v>
      </c>
      <c r="G60" s="110"/>
      <c r="H60" s="57" t="str">
        <f t="shared" si="0"/>
        <v>(950, 1000]</v>
      </c>
      <c r="I60" s="207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10"/>
      <c r="P60" s="55">
        <v>0</v>
      </c>
      <c r="Q60" s="206">
        <v>0</v>
      </c>
      <c r="R60" s="55">
        <v>0</v>
      </c>
      <c r="S60" s="78">
        <v>0</v>
      </c>
    </row>
    <row r="61" spans="1:19">
      <c r="A61" s="54">
        <v>1000</v>
      </c>
      <c r="B61" s="54">
        <v>2000</v>
      </c>
      <c r="C61" s="91">
        <v>233082</v>
      </c>
      <c r="D61" s="91">
        <v>32853564355</v>
      </c>
      <c r="E61" s="55">
        <v>2.3623871957377467E-4</v>
      </c>
      <c r="F61" s="88">
        <v>1409.5281641224976</v>
      </c>
      <c r="G61" s="110"/>
      <c r="H61" s="57" t="str">
        <f t="shared" si="0"/>
        <v>(1000, 2000]</v>
      </c>
      <c r="I61" s="207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10"/>
      <c r="P61" s="55">
        <v>0</v>
      </c>
      <c r="Q61" s="206">
        <v>0</v>
      </c>
      <c r="R61" s="55">
        <v>0</v>
      </c>
      <c r="S61" s="78">
        <v>0</v>
      </c>
    </row>
    <row r="62" spans="1:19">
      <c r="A62" s="54">
        <v>2000</v>
      </c>
      <c r="B62" s="54">
        <v>3000</v>
      </c>
      <c r="C62" s="91">
        <v>99782</v>
      </c>
      <c r="D62" s="91">
        <v>24536958475</v>
      </c>
      <c r="E62" s="55">
        <v>1.0113338617529619E-4</v>
      </c>
      <c r="F62" s="88">
        <v>2459.0565908680924</v>
      </c>
      <c r="G62" s="110"/>
      <c r="H62" s="57" t="str">
        <f t="shared" si="0"/>
        <v>(2000, 3000]</v>
      </c>
      <c r="I62" s="207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10"/>
      <c r="P62" s="55">
        <v>0</v>
      </c>
      <c r="Q62" s="206">
        <v>0</v>
      </c>
      <c r="R62" s="55">
        <v>0</v>
      </c>
      <c r="S62" s="78">
        <v>0</v>
      </c>
    </row>
    <row r="63" spans="1:19">
      <c r="A63" s="54">
        <v>3000</v>
      </c>
      <c r="B63" s="54">
        <v>4000</v>
      </c>
      <c r="C63" s="91">
        <v>57998</v>
      </c>
      <c r="D63" s="91">
        <v>20106047060</v>
      </c>
      <c r="E63" s="55">
        <v>5.8783489320667335E-5</v>
      </c>
      <c r="F63" s="88">
        <v>3466.6793785992618</v>
      </c>
      <c r="G63" s="110"/>
      <c r="H63" s="57" t="str">
        <f t="shared" si="0"/>
        <v>(3000, 4000]</v>
      </c>
      <c r="I63" s="207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10"/>
      <c r="P63" s="55">
        <v>0</v>
      </c>
      <c r="Q63" s="206">
        <v>0</v>
      </c>
      <c r="R63" s="55">
        <v>0</v>
      </c>
      <c r="S63" s="78">
        <v>0</v>
      </c>
    </row>
    <row r="64" spans="1:19">
      <c r="A64" s="54">
        <v>4000</v>
      </c>
      <c r="B64" s="54">
        <v>5000</v>
      </c>
      <c r="C64" s="91">
        <v>38503</v>
      </c>
      <c r="D64" s="91">
        <v>17231506030</v>
      </c>
      <c r="E64" s="55">
        <v>3.9024461004063148E-5</v>
      </c>
      <c r="F64" s="88">
        <v>4475.3671220424385</v>
      </c>
      <c r="G64" s="110"/>
      <c r="H64" s="57" t="str">
        <f t="shared" si="0"/>
        <v>(4000, 5000]</v>
      </c>
      <c r="I64" s="207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10"/>
      <c r="P64" s="55">
        <v>0</v>
      </c>
      <c r="Q64" s="206">
        <v>0</v>
      </c>
      <c r="R64" s="55">
        <v>0</v>
      </c>
      <c r="S64" s="78">
        <v>0</v>
      </c>
    </row>
    <row r="65" spans="1:20">
      <c r="A65" s="54">
        <v>5000</v>
      </c>
      <c r="B65" s="54">
        <v>6000</v>
      </c>
      <c r="C65" s="91">
        <v>26773</v>
      </c>
      <c r="D65" s="91">
        <v>14661579840</v>
      </c>
      <c r="E65" s="55">
        <v>2.7135597082351575E-5</v>
      </c>
      <c r="F65" s="88">
        <v>5476.2558697194936</v>
      </c>
      <c r="G65" s="110"/>
      <c r="H65" s="57" t="str">
        <f t="shared" si="0"/>
        <v>(5000, 6000]</v>
      </c>
      <c r="I65" s="207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10"/>
      <c r="P65" s="55">
        <v>0</v>
      </c>
      <c r="Q65" s="206">
        <v>0</v>
      </c>
      <c r="R65" s="55">
        <v>0</v>
      </c>
      <c r="S65" s="78">
        <v>0</v>
      </c>
    </row>
    <row r="66" spans="1:20">
      <c r="A66" s="54">
        <v>6000</v>
      </c>
      <c r="B66" s="54">
        <v>7000</v>
      </c>
      <c r="C66" s="91">
        <v>18992</v>
      </c>
      <c r="D66" s="91">
        <v>12301404390</v>
      </c>
      <c r="E66" s="55">
        <v>1.9249215993277597E-5</v>
      </c>
      <c r="F66" s="88">
        <v>6477.1505844566136</v>
      </c>
      <c r="G66" s="110"/>
      <c r="H66" s="57" t="str">
        <f t="shared" si="0"/>
        <v>(6000, 7000]</v>
      </c>
      <c r="I66" s="207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10"/>
      <c r="P66" s="55">
        <v>0</v>
      </c>
      <c r="Q66" s="206">
        <v>0</v>
      </c>
      <c r="R66" s="55">
        <v>0</v>
      </c>
      <c r="S66" s="78">
        <v>0</v>
      </c>
    </row>
    <row r="67" spans="1:20">
      <c r="A67" s="54">
        <v>7000</v>
      </c>
      <c r="B67" s="54">
        <v>8000</v>
      </c>
      <c r="C67" s="91">
        <v>13726</v>
      </c>
      <c r="D67" s="91">
        <v>10266031555</v>
      </c>
      <c r="E67" s="55">
        <v>1.3911896520836579E-5</v>
      </c>
      <c r="F67" s="88">
        <v>7479.2594747195099</v>
      </c>
      <c r="G67" s="110"/>
      <c r="H67" s="57" t="str">
        <f t="shared" si="0"/>
        <v>(7000, 8000]</v>
      </c>
      <c r="I67" s="207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10"/>
      <c r="P67" s="55">
        <v>0</v>
      </c>
      <c r="Q67" s="206">
        <v>0</v>
      </c>
      <c r="R67" s="55">
        <v>0</v>
      </c>
      <c r="S67" s="78">
        <v>0</v>
      </c>
    </row>
    <row r="68" spans="1:20">
      <c r="A68" s="54">
        <v>8000</v>
      </c>
      <c r="B68" s="54">
        <v>9000</v>
      </c>
      <c r="C68" s="91">
        <v>10373</v>
      </c>
      <c r="D68" s="91">
        <v>8803774195</v>
      </c>
      <c r="E68" s="55">
        <v>1.0513485546454745E-5</v>
      </c>
      <c r="F68" s="88">
        <v>8487.2015762074625</v>
      </c>
      <c r="G68" s="110"/>
      <c r="H68" s="57" t="str">
        <f t="shared" si="0"/>
        <v>(8000, 9000]</v>
      </c>
      <c r="I68" s="207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10"/>
      <c r="P68" s="55">
        <v>0</v>
      </c>
      <c r="Q68" s="206">
        <v>0</v>
      </c>
      <c r="R68" s="55">
        <v>0</v>
      </c>
      <c r="S68" s="78">
        <v>0</v>
      </c>
    </row>
    <row r="69" spans="1:20">
      <c r="A69" s="54">
        <v>9000</v>
      </c>
      <c r="B69" s="54">
        <v>10000</v>
      </c>
      <c r="C69" s="91">
        <v>7646</v>
      </c>
      <c r="D69" s="91">
        <v>7255896185</v>
      </c>
      <c r="E69" s="55">
        <v>7.7495527319187284E-6</v>
      </c>
      <c r="F69" s="88">
        <v>9489.7935979597169</v>
      </c>
      <c r="G69" s="110"/>
      <c r="H69" s="57" t="str">
        <f t="shared" si="0"/>
        <v>(9000, 10000]</v>
      </c>
      <c r="I69" s="207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10"/>
      <c r="P69" s="55">
        <v>0</v>
      </c>
      <c r="Q69" s="206">
        <v>0</v>
      </c>
      <c r="R69" s="55">
        <v>0</v>
      </c>
      <c r="S69" s="78">
        <v>0</v>
      </c>
    </row>
    <row r="70" spans="1:20">
      <c r="A70" s="54">
        <v>10000</v>
      </c>
      <c r="B70" s="54">
        <v>20000</v>
      </c>
      <c r="C70" s="91">
        <v>27261</v>
      </c>
      <c r="D70" s="91">
        <v>36767192000</v>
      </c>
      <c r="E70" s="55">
        <v>2.7630206254883139E-5</v>
      </c>
      <c r="F70" s="88">
        <v>13487.103187704046</v>
      </c>
      <c r="G70" s="110"/>
      <c r="H70" s="57" t="str">
        <f t="shared" si="0"/>
        <v>(10000, 20000]</v>
      </c>
      <c r="I70" s="207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10"/>
      <c r="P70" s="55">
        <v>0</v>
      </c>
      <c r="Q70" s="206">
        <v>0</v>
      </c>
      <c r="R70" s="55">
        <v>0</v>
      </c>
      <c r="S70" s="78">
        <v>0</v>
      </c>
    </row>
    <row r="71" spans="1:20">
      <c r="A71" s="54">
        <v>20000</v>
      </c>
      <c r="B71" s="54">
        <v>30000</v>
      </c>
      <c r="C71" s="91">
        <v>4794</v>
      </c>
      <c r="D71" s="91">
        <v>11474887465</v>
      </c>
      <c r="E71" s="55">
        <v>4.8589269940908168E-6</v>
      </c>
      <c r="F71" s="88">
        <v>23935.93547142261</v>
      </c>
      <c r="G71" s="110"/>
      <c r="H71" s="57" t="str">
        <f t="shared" si="0"/>
        <v>(20000, 30000]</v>
      </c>
      <c r="I71" s="207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10"/>
      <c r="P71" s="55">
        <v>0</v>
      </c>
      <c r="Q71" s="206">
        <v>0</v>
      </c>
      <c r="R71" s="55">
        <v>0</v>
      </c>
      <c r="S71" s="78">
        <v>0</v>
      </c>
    </row>
    <row r="72" spans="1:20">
      <c r="A72" s="54">
        <v>30000</v>
      </c>
      <c r="B72" s="54">
        <v>40000</v>
      </c>
      <c r="C72" s="91">
        <v>1168</v>
      </c>
      <c r="D72" s="91">
        <v>3941775520</v>
      </c>
      <c r="E72" s="55">
        <v>1.1838186752394815E-6</v>
      </c>
      <c r="F72" s="88">
        <v>33748.07808219178</v>
      </c>
      <c r="G72" s="110"/>
      <c r="H72" s="57" t="str">
        <f t="shared" si="0"/>
        <v>(30000, 40000]</v>
      </c>
      <c r="I72" s="207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10"/>
      <c r="P72" s="55">
        <v>0</v>
      </c>
      <c r="Q72" s="206">
        <v>0</v>
      </c>
      <c r="R72" s="55">
        <v>0</v>
      </c>
      <c r="S72" s="78">
        <v>0</v>
      </c>
    </row>
    <row r="73" spans="1:20">
      <c r="A73" s="54">
        <v>40000</v>
      </c>
      <c r="B73" s="54">
        <v>50000</v>
      </c>
      <c r="C73" s="91">
        <v>348</v>
      </c>
      <c r="D73" s="91">
        <v>1549257685</v>
      </c>
      <c r="E73" s="55">
        <v>3.5271309844464005E-7</v>
      </c>
      <c r="F73" s="88">
        <v>44518.898994252879</v>
      </c>
      <c r="G73" s="110"/>
      <c r="H73" s="57" t="str">
        <f t="shared" si="0"/>
        <v>(40000, 50000]</v>
      </c>
      <c r="I73" s="207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10"/>
      <c r="P73" s="55">
        <v>0</v>
      </c>
      <c r="Q73" s="206">
        <v>0</v>
      </c>
      <c r="R73" s="55">
        <v>0</v>
      </c>
      <c r="S73" s="78">
        <v>0</v>
      </c>
    </row>
    <row r="74" spans="1:20">
      <c r="A74" s="54">
        <v>50000</v>
      </c>
      <c r="B74" s="54">
        <v>60000</v>
      </c>
      <c r="C74" s="91">
        <v>658</v>
      </c>
      <c r="D74" s="91">
        <v>3583737515</v>
      </c>
      <c r="E74" s="55">
        <v>6.6691154820854352E-7</v>
      </c>
      <c r="F74" s="88">
        <v>54464.095972644376</v>
      </c>
      <c r="G74" s="110"/>
      <c r="H74" s="57" t="str">
        <f t="shared" si="0"/>
        <v>(50000, 60000]</v>
      </c>
      <c r="I74" s="207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10"/>
      <c r="P74" s="55">
        <v>0</v>
      </c>
      <c r="Q74" s="206">
        <v>0</v>
      </c>
      <c r="R74" s="55">
        <v>0</v>
      </c>
      <c r="S74" s="78">
        <v>0</v>
      </c>
    </row>
    <row r="75" spans="1:20">
      <c r="A75" s="54">
        <v>60000</v>
      </c>
      <c r="B75" s="54">
        <v>70000</v>
      </c>
      <c r="C75" s="91">
        <v>192</v>
      </c>
      <c r="D75" s="91">
        <v>1228675605</v>
      </c>
      <c r="E75" s="55">
        <v>1.9460033017635312E-7</v>
      </c>
      <c r="F75" s="88">
        <v>63993.521093750001</v>
      </c>
      <c r="G75" s="110"/>
      <c r="H75" s="57" t="str">
        <f t="shared" si="0"/>
        <v>(60000, 70000]</v>
      </c>
      <c r="I75" s="207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10"/>
      <c r="P75" s="55">
        <v>0</v>
      </c>
      <c r="Q75" s="206">
        <v>0</v>
      </c>
      <c r="R75" s="55">
        <v>0</v>
      </c>
      <c r="S75" s="78">
        <v>0</v>
      </c>
    </row>
    <row r="76" spans="1:20">
      <c r="A76" s="54">
        <v>70000</v>
      </c>
      <c r="B76" s="54">
        <v>80000</v>
      </c>
      <c r="C76" s="91">
        <v>46</v>
      </c>
      <c r="D76" s="91">
        <v>339933765</v>
      </c>
      <c r="E76" s="55">
        <v>4.6622995771417934E-8</v>
      </c>
      <c r="F76" s="88">
        <v>73898.644565217386</v>
      </c>
      <c r="G76" s="110"/>
      <c r="H76" s="57" t="str">
        <f t="shared" si="0"/>
        <v>(70000, 80000]</v>
      </c>
      <c r="I76" s="207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10"/>
      <c r="P76" s="55">
        <v>0</v>
      </c>
      <c r="Q76" s="206">
        <v>0</v>
      </c>
      <c r="R76" s="55">
        <v>0</v>
      </c>
      <c r="S76" s="78">
        <v>0</v>
      </c>
    </row>
    <row r="77" spans="1:20">
      <c r="A77" s="54">
        <v>80000</v>
      </c>
      <c r="B77" s="54">
        <v>90000</v>
      </c>
      <c r="C77" s="91">
        <v>18</v>
      </c>
      <c r="D77" s="91">
        <v>149870980</v>
      </c>
      <c r="E77" s="55">
        <v>1.8243780954033104E-8</v>
      </c>
      <c r="F77" s="88">
        <v>83261.655555555553</v>
      </c>
      <c r="G77" s="110"/>
      <c r="H77" s="57" t="str">
        <f t="shared" si="0"/>
        <v>(80000, 90000]</v>
      </c>
      <c r="I77" s="207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10"/>
      <c r="P77" s="55">
        <v>0</v>
      </c>
      <c r="Q77" s="206">
        <v>0</v>
      </c>
      <c r="R77" s="55">
        <v>0</v>
      </c>
      <c r="S77" s="78">
        <v>0</v>
      </c>
    </row>
    <row r="78" spans="1:20">
      <c r="A78" s="54">
        <v>90000</v>
      </c>
      <c r="B78" s="54">
        <v>100000</v>
      </c>
      <c r="C78" s="91">
        <v>6</v>
      </c>
      <c r="D78" s="91">
        <v>57272250</v>
      </c>
      <c r="E78" s="55">
        <v>6.081260318011035E-9</v>
      </c>
      <c r="F78" s="88">
        <v>95453.75</v>
      </c>
      <c r="G78" s="110"/>
      <c r="H78" s="57" t="str">
        <f t="shared" si="0"/>
        <v>(90000, 100000]</v>
      </c>
      <c r="I78" s="207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10"/>
      <c r="P78" s="55">
        <v>0</v>
      </c>
      <c r="Q78" s="206">
        <v>0</v>
      </c>
      <c r="R78" s="55">
        <v>0</v>
      </c>
      <c r="S78" s="78">
        <v>0</v>
      </c>
    </row>
    <row r="79" spans="1:20">
      <c r="A79" s="54">
        <v>100000</v>
      </c>
      <c r="B79" s="54">
        <v>9999999</v>
      </c>
      <c r="C79" s="91">
        <v>156</v>
      </c>
      <c r="D79" s="91">
        <v>1792140330</v>
      </c>
      <c r="E79" s="55">
        <v>1.5811276826828693E-7</v>
      </c>
      <c r="F79" s="88">
        <v>114880.79038461538</v>
      </c>
      <c r="G79" s="110"/>
      <c r="H79" s="57" t="str">
        <f t="shared" si="0"/>
        <v>(100000, 9999999]</v>
      </c>
      <c r="I79" s="207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10"/>
      <c r="P79" s="55">
        <v>0</v>
      </c>
      <c r="Q79" s="206">
        <v>0</v>
      </c>
      <c r="R79" s="55">
        <v>0</v>
      </c>
      <c r="S79" s="78">
        <v>0</v>
      </c>
    </row>
    <row r="80" spans="1:20">
      <c r="A80" s="219" t="s">
        <v>72</v>
      </c>
      <c r="B80" s="220"/>
      <c r="C80" s="68">
        <f>E80*B14</f>
        <v>13362000</v>
      </c>
      <c r="D80" s="91" cm="1">
        <f t="array" ref="D80:D81">Multiplier_Weight_Oldhand!D80:D81</f>
        <v>360008300</v>
      </c>
      <c r="E80" s="176">
        <f>Multiplier_Weight_Oldhand!E80</f>
        <v>1.3362000000000001E-2</v>
      </c>
      <c r="F80" s="88">
        <v>0.26942695704235892</v>
      </c>
      <c r="G80" s="94"/>
      <c r="H80" s="57" t="s">
        <v>72</v>
      </c>
      <c r="I80" s="207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4.1954967524090569E-3</v>
      </c>
      <c r="N80" s="55">
        <v>1.1303799232826714E-3</v>
      </c>
      <c r="P80" s="47"/>
      <c r="Q80" s="47"/>
      <c r="R80" s="47"/>
      <c r="S80" s="47"/>
      <c r="T80" s="47"/>
    </row>
    <row r="81" spans="1:20">
      <c r="A81" s="219" t="s">
        <v>73</v>
      </c>
      <c r="B81" s="220"/>
      <c r="C81" s="68">
        <v>10000000</v>
      </c>
      <c r="D81" s="91">
        <v>0</v>
      </c>
      <c r="E81" s="55">
        <v>1</v>
      </c>
      <c r="F81" s="88">
        <v>0</v>
      </c>
      <c r="G81" s="85"/>
      <c r="H81" s="57" t="s">
        <v>73</v>
      </c>
      <c r="I81" s="76"/>
      <c r="J81" s="55"/>
      <c r="K81" s="55"/>
      <c r="L81" s="80"/>
      <c r="M81" s="59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0">
      <c r="A82" s="62"/>
      <c r="B82" s="48"/>
      <c r="C82" s="1"/>
      <c r="D82" s="1"/>
      <c r="E82" s="1"/>
      <c r="F82" s="1"/>
      <c r="H82" s="12"/>
      <c r="I82" s="48"/>
      <c r="J82" s="48"/>
      <c r="K82" s="48"/>
      <c r="L82" s="63"/>
      <c r="M82" s="48"/>
      <c r="N82" s="48"/>
    </row>
    <row r="83" spans="1:20">
      <c r="A83" s="48"/>
      <c r="D83" s="106"/>
      <c r="E83" s="1"/>
      <c r="F83" s="1"/>
      <c r="H83" s="12"/>
      <c r="I83" s="48"/>
      <c r="J83" s="48"/>
      <c r="K83" s="48"/>
      <c r="L83" s="48"/>
      <c r="M83" s="48"/>
      <c r="N83" s="48"/>
    </row>
    <row r="84" spans="1:20" s="175" customFormat="1">
      <c r="A84" s="221" t="s">
        <v>262</v>
      </c>
      <c r="B84" s="221"/>
      <c r="C84" s="221"/>
      <c r="D84" s="221"/>
      <c r="E84" s="170"/>
      <c r="F84" s="170"/>
      <c r="G84" s="171"/>
      <c r="H84" s="172"/>
      <c r="I84" s="173"/>
      <c r="J84" s="174"/>
      <c r="K84" s="174"/>
      <c r="L84" s="174"/>
      <c r="M84" s="174"/>
      <c r="N84" s="174"/>
      <c r="O84" s="171"/>
    </row>
    <row r="85" spans="1:20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0">
      <c r="A86" s="65" t="s">
        <v>69</v>
      </c>
      <c r="B86" s="195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</row>
    <row r="87" spans="1:20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8" t="s">
        <v>55</v>
      </c>
      <c r="I87" s="18" t="s">
        <v>289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">
        <v>305</v>
      </c>
      <c r="Q87" s="182" t="s">
        <v>305</v>
      </c>
      <c r="R87" s="81" t="s">
        <v>303</v>
      </c>
      <c r="S87" s="81" t="s">
        <v>74</v>
      </c>
    </row>
    <row r="88" spans="1:20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9.9999999999999995E-7</v>
      </c>
      <c r="H88" s="57" t="str">
        <f>"("&amp;$A88&amp;", "&amp;$B88&amp;"]"</f>
        <v>(-1, 0]</v>
      </c>
      <c r="I88" s="207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0.71251375628831959</v>
      </c>
      <c r="L88" s="108" cm="1">
        <f t="array" ref="L88:L152">INT(K88:K152*$B$2)</f>
        <v>712513756</v>
      </c>
      <c r="M88" s="55" cm="1">
        <f t="array" ref="M88:M152">_xlfn.LET(_xlpm.x, L88:L152, _xlpm.x/SUM(_xlpm.x))</f>
        <v>0.71222579812423781</v>
      </c>
      <c r="N88" s="55" cm="1">
        <f t="array" ref="N88:N152">M88:M152*F88:F152</f>
        <v>0</v>
      </c>
      <c r="O88" s="110"/>
      <c r="P88" s="55" cm="1">
        <f t="array" ref="P88:P151">M88:M151</f>
        <v>0.71222579812423781</v>
      </c>
      <c r="Q88" s="206">
        <v>0.72294875282443027</v>
      </c>
      <c r="R88" s="55"/>
      <c r="S88" s="78" cm="1">
        <f t="array" ref="S88:S151">_xlfn.LET(_xlpm.x, Q88:Q151/M88:M151, IF(ISERR(_xlpm.x), 0, ROUND(_xlpm.x,2)))</f>
        <v>1.02</v>
      </c>
    </row>
    <row r="89" spans="1:20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37745</v>
      </c>
      <c r="H89" s="57" t="str">
        <f t="shared" ref="H89:H151" si="1">"("&amp;$A89&amp;", "&amp;$B89&amp;"]"</f>
        <v>(0, 1]</v>
      </c>
      <c r="I89" s="207">
        <v>1.18</v>
      </c>
      <c r="J89" s="55">
        <v>0.16106442614279243</v>
      </c>
      <c r="K89" s="55">
        <v>0.15796021525398307</v>
      </c>
      <c r="L89" s="108">
        <v>157960215</v>
      </c>
      <c r="M89" s="55">
        <v>0.15789637638975099</v>
      </c>
      <c r="N89" s="55">
        <v>6.8816062329834879E-2</v>
      </c>
      <c r="O89" s="110"/>
      <c r="P89" s="55">
        <v>0.15789637638975099</v>
      </c>
      <c r="Q89" s="206">
        <v>0.16136085442046003</v>
      </c>
      <c r="R89" s="55"/>
      <c r="S89" s="78">
        <v>1.02</v>
      </c>
    </row>
    <row r="90" spans="1:20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1.0377449999999999</v>
      </c>
      <c r="H90" s="57" t="str">
        <f t="shared" si="1"/>
        <v>(1, 2]</v>
      </c>
      <c r="I90" s="207">
        <v>1.3</v>
      </c>
      <c r="J90" s="55">
        <v>4.5199946092465207E-2</v>
      </c>
      <c r="K90" s="55">
        <v>4.4328802984120265E-2</v>
      </c>
      <c r="L90" s="108">
        <v>44328802</v>
      </c>
      <c r="M90" s="55">
        <v>4.4310886798291246E-2</v>
      </c>
      <c r="N90" s="55">
        <v>6.6344972197308338E-2</v>
      </c>
      <c r="O90" s="110"/>
      <c r="P90" s="55">
        <v>4.4310886798291246E-2</v>
      </c>
      <c r="Q90" s="206">
        <v>4.5756934610305687E-2</v>
      </c>
      <c r="R90" s="55"/>
      <c r="S90" s="78">
        <v>1.03</v>
      </c>
    </row>
    <row r="91" spans="1:20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85"/>
      <c r="H91" s="57" t="str">
        <f t="shared" si="1"/>
        <v>(2, 3]</v>
      </c>
      <c r="I91" s="207">
        <v>1.32</v>
      </c>
      <c r="J91" s="55">
        <v>2.1433207268874512E-2</v>
      </c>
      <c r="K91" s="55">
        <v>2.1020122908910612E-2</v>
      </c>
      <c r="L91" s="108">
        <v>21020122</v>
      </c>
      <c r="M91" s="55">
        <v>2.1011626852182275E-2</v>
      </c>
      <c r="N91" s="55">
        <v>5.2903834728484006E-2</v>
      </c>
      <c r="O91" s="110"/>
      <c r="P91" s="55">
        <v>2.1011626852182275E-2</v>
      </c>
      <c r="Q91" s="206">
        <v>2.1758000231243222E-2</v>
      </c>
      <c r="R91" s="55"/>
      <c r="S91" s="78">
        <v>1.04</v>
      </c>
    </row>
    <row r="92" spans="1:20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85"/>
      <c r="H92" s="57" t="str">
        <f t="shared" si="1"/>
        <v>(3, 4]</v>
      </c>
      <c r="I92" s="207">
        <v>1.08</v>
      </c>
      <c r="J92" s="55">
        <v>8.7213902268669496E-3</v>
      </c>
      <c r="K92" s="55">
        <v>8.5533019956159709E-3</v>
      </c>
      <c r="L92" s="108">
        <v>8553301</v>
      </c>
      <c r="M92" s="55">
        <v>8.5498442381256156E-3</v>
      </c>
      <c r="N92" s="55">
        <v>3.0501115547448006E-2</v>
      </c>
      <c r="O92" s="110"/>
      <c r="P92" s="55">
        <v>8.5498442381256156E-3</v>
      </c>
      <c r="Q92" s="206">
        <v>8.5068854662453865E-3</v>
      </c>
      <c r="R92" s="55"/>
      <c r="S92" s="78">
        <v>0.99</v>
      </c>
    </row>
    <row r="93" spans="1:20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85"/>
      <c r="H93" s="57" t="str">
        <f t="shared" si="1"/>
        <v>(4, 5]</v>
      </c>
      <c r="I93" s="207">
        <v>1.21</v>
      </c>
      <c r="J93" s="55">
        <v>6.8416552904360974E-3</v>
      </c>
      <c r="K93" s="55">
        <v>6.7097953797241976E-3</v>
      </c>
      <c r="L93" s="108">
        <v>6709795</v>
      </c>
      <c r="M93" s="55">
        <v>6.7070832792806038E-3</v>
      </c>
      <c r="N93" s="55">
        <v>3.0828639374975923E-2</v>
      </c>
      <c r="O93" s="110"/>
      <c r="P93" s="55">
        <v>6.7070832792806038E-3</v>
      </c>
      <c r="Q93" s="206">
        <v>6.6698354145381805E-3</v>
      </c>
      <c r="R93" s="55"/>
      <c r="S93" s="78">
        <v>0.99</v>
      </c>
    </row>
    <row r="94" spans="1:20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110">
        <v>1.31</v>
      </c>
      <c r="H94" s="57" t="str">
        <f t="shared" si="1"/>
        <v>(5, 6]</v>
      </c>
      <c r="I94" s="207" cm="1">
        <f t="array" ref="I94:I105">G94:G105*G90</f>
        <v>1.35944595</v>
      </c>
      <c r="J94" s="55">
        <v>5.729912529354674E-3</v>
      </c>
      <c r="K94" s="55">
        <v>5.6194793487230991E-3</v>
      </c>
      <c r="L94" s="108">
        <v>5619479</v>
      </c>
      <c r="M94" s="55">
        <v>5.6172079235160674E-3</v>
      </c>
      <c r="N94" s="55">
        <v>3.1374068097115362E-2</v>
      </c>
      <c r="O94" s="110"/>
      <c r="P94" s="55">
        <v>5.6172079235160674E-3</v>
      </c>
      <c r="Q94" s="206">
        <v>5.4541948981352501E-3</v>
      </c>
      <c r="R94" s="55"/>
      <c r="S94" s="78">
        <v>0.97</v>
      </c>
    </row>
    <row r="95" spans="1:20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110">
        <v>1.2</v>
      </c>
      <c r="H95" s="57" t="str">
        <f t="shared" si="1"/>
        <v>(6, 7]</v>
      </c>
      <c r="I95" s="207">
        <v>1.2452939999999999</v>
      </c>
      <c r="J95" s="55">
        <v>3.4990380756911481E-3</v>
      </c>
      <c r="K95" s="55">
        <v>3.4316007628403919E-3</v>
      </c>
      <c r="L95" s="108">
        <v>3431600</v>
      </c>
      <c r="M95" s="55">
        <v>3.4302131408156761E-3</v>
      </c>
      <c r="N95" s="55">
        <v>2.2502419958612876E-2</v>
      </c>
      <c r="O95" s="110"/>
      <c r="P95" s="55">
        <v>3.4302131408156761E-3</v>
      </c>
      <c r="Q95" s="206">
        <v>3.3318405313007824E-3</v>
      </c>
      <c r="R95" s="55"/>
      <c r="S95" s="78">
        <v>0.97</v>
      </c>
    </row>
    <row r="96" spans="1:20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110">
        <v>0.98</v>
      </c>
      <c r="H96" s="57" t="str">
        <f t="shared" si="1"/>
        <v>(7, 8]</v>
      </c>
      <c r="I96" s="207">
        <v>1.0169900999999999</v>
      </c>
      <c r="J96" s="55">
        <v>2.9602138768880224E-3</v>
      </c>
      <c r="K96" s="55">
        <v>2.9031613770287815E-3</v>
      </c>
      <c r="L96" s="108">
        <v>2903161</v>
      </c>
      <c r="M96" s="55">
        <v>2.9019877060565274E-3</v>
      </c>
      <c r="N96" s="55">
        <v>2.2117110266009377E-2</v>
      </c>
      <c r="O96" s="110"/>
      <c r="P96" s="55">
        <v>2.9019877060565274E-3</v>
      </c>
      <c r="Q96" s="206">
        <v>2.8156200112303422E-3</v>
      </c>
      <c r="R96" s="55"/>
      <c r="S96" s="78">
        <v>0.97</v>
      </c>
    </row>
    <row r="97" spans="1:19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110">
        <v>1.21</v>
      </c>
      <c r="H97" s="57" t="str">
        <f t="shared" si="1"/>
        <v>(8, 9]</v>
      </c>
      <c r="I97" s="207">
        <v>1.2556714499999999</v>
      </c>
      <c r="J97" s="55">
        <v>2.6795079217106776E-3</v>
      </c>
      <c r="K97" s="55">
        <v>2.6278654959657703E-3</v>
      </c>
      <c r="L97" s="108">
        <v>2627865</v>
      </c>
      <c r="M97" s="55">
        <v>2.6268029651735597E-3</v>
      </c>
      <c r="N97" s="55">
        <v>2.258685582875463E-2</v>
      </c>
      <c r="O97" s="110"/>
      <c r="P97" s="55">
        <v>2.6268029651735597E-3</v>
      </c>
      <c r="Q97" s="206">
        <v>2.5445965127515817E-3</v>
      </c>
      <c r="R97" s="55"/>
      <c r="S97" s="78">
        <v>0.97</v>
      </c>
    </row>
    <row r="98" spans="1:19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110">
        <v>1.1599999999999999</v>
      </c>
      <c r="H98" s="57" t="str">
        <f t="shared" si="1"/>
        <v>(9, 10]</v>
      </c>
      <c r="I98" s="207">
        <v>1.2037841999999999</v>
      </c>
      <c r="J98" s="55">
        <v>2.3843609055319319E-3</v>
      </c>
      <c r="K98" s="55">
        <v>2.3384068779228702E-3</v>
      </c>
      <c r="L98" s="108">
        <v>2338406</v>
      </c>
      <c r="M98" s="55">
        <v>2.3374609481764258E-3</v>
      </c>
      <c r="N98" s="55">
        <v>2.2547875367708102E-2</v>
      </c>
      <c r="O98" s="110"/>
      <c r="P98" s="55">
        <v>2.3374609481764258E-3</v>
      </c>
      <c r="Q98" s="206">
        <v>2.2718729170527617E-3</v>
      </c>
      <c r="R98" s="55"/>
      <c r="S98" s="78">
        <v>0.97</v>
      </c>
    </row>
    <row r="99" spans="1:19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110">
        <v>0.45</v>
      </c>
      <c r="H99" s="57" t="str">
        <f t="shared" si="1"/>
        <v>(10, 15]</v>
      </c>
      <c r="I99" s="207">
        <v>0.46698524999999996</v>
      </c>
      <c r="J99" s="55">
        <v>3.1875763963625744E-3</v>
      </c>
      <c r="K99" s="55">
        <v>3.1261419157918736E-3</v>
      </c>
      <c r="L99" s="108">
        <v>3126141</v>
      </c>
      <c r="M99" s="55">
        <v>3.1248775901161728E-3</v>
      </c>
      <c r="N99" s="55">
        <v>3.8897108950901468E-2</v>
      </c>
      <c r="O99" s="110"/>
      <c r="P99" s="55">
        <v>3.1248775901161728E-3</v>
      </c>
      <c r="Q99" s="206">
        <v>3.0238589193723043E-3</v>
      </c>
      <c r="R99" s="55"/>
      <c r="S99" s="78">
        <v>0.97</v>
      </c>
    </row>
    <row r="100" spans="1:19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110">
        <v>0.87</v>
      </c>
      <c r="H100" s="105" t="str">
        <f t="shared" si="1"/>
        <v>(15, 20]</v>
      </c>
      <c r="I100" s="207">
        <v>0.90283814999999989</v>
      </c>
      <c r="J100" s="55">
        <v>4.1442691252972898E-3</v>
      </c>
      <c r="K100" s="55">
        <v>4.0643962095145139E-3</v>
      </c>
      <c r="L100" s="108">
        <v>4064396</v>
      </c>
      <c r="M100" s="55">
        <v>4.0627534003609602E-3</v>
      </c>
      <c r="N100" s="55">
        <v>7.1040809148794085E-2</v>
      </c>
      <c r="O100" s="110"/>
      <c r="P100" s="55">
        <v>4.0627534003609602E-3</v>
      </c>
      <c r="Q100" s="206">
        <v>3.9646257171216332E-3</v>
      </c>
      <c r="R100" s="55"/>
      <c r="S100" s="78">
        <v>0.98</v>
      </c>
    </row>
    <row r="101" spans="1:19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110">
        <v>0.53</v>
      </c>
      <c r="H101" s="57" t="str">
        <f t="shared" si="1"/>
        <v>(20, 25]</v>
      </c>
      <c r="I101" s="207">
        <v>0.55000484999999999</v>
      </c>
      <c r="J101" s="55">
        <v>1.7447166051006292E-3</v>
      </c>
      <c r="K101" s="55">
        <v>1.7110905064446893E-3</v>
      </c>
      <c r="L101" s="108">
        <v>1711090</v>
      </c>
      <c r="M101" s="55">
        <v>1.7103984739242032E-3</v>
      </c>
      <c r="N101" s="55">
        <v>3.8551062820933756E-2</v>
      </c>
      <c r="O101" s="110"/>
      <c r="P101" s="55">
        <v>1.7103984739242032E-3</v>
      </c>
      <c r="Q101" s="206">
        <v>1.6558466895929445E-3</v>
      </c>
      <c r="R101" s="55"/>
      <c r="S101" s="78">
        <v>0.97</v>
      </c>
    </row>
    <row r="102" spans="1:19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110">
        <v>0.27</v>
      </c>
      <c r="H102" s="57" t="str">
        <f t="shared" si="1"/>
        <v>(25, 30]</v>
      </c>
      <c r="I102" s="207">
        <v>0.28019115</v>
      </c>
      <c r="J102" s="55">
        <v>7.119497788304407E-4</v>
      </c>
      <c r="K102" s="55">
        <v>6.9822829911789664E-4</v>
      </c>
      <c r="L102" s="108">
        <v>698228</v>
      </c>
      <c r="M102" s="55">
        <v>6.9794581562112365E-4</v>
      </c>
      <c r="N102" s="55">
        <v>1.9224615455210564E-2</v>
      </c>
      <c r="O102" s="110"/>
      <c r="P102" s="55">
        <v>6.9794581562112365E-4</v>
      </c>
      <c r="Q102" s="206">
        <v>6.70909365952092E-4</v>
      </c>
      <c r="R102" s="55"/>
      <c r="S102" s="78">
        <v>0.96</v>
      </c>
    </row>
    <row r="103" spans="1:19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110">
        <v>0.3</v>
      </c>
      <c r="H103" s="57" t="str">
        <f t="shared" si="1"/>
        <v>(30, 35]</v>
      </c>
      <c r="I103" s="207">
        <v>0.31132349999999998</v>
      </c>
      <c r="J103" s="55">
        <v>5.9282180125560299E-4</v>
      </c>
      <c r="K103" s="55">
        <v>5.8139628703963487E-4</v>
      </c>
      <c r="L103" s="108">
        <v>581396</v>
      </c>
      <c r="M103" s="55">
        <v>5.8116103252642238E-4</v>
      </c>
      <c r="N103" s="55">
        <v>1.8906329216688764E-2</v>
      </c>
      <c r="O103" s="110"/>
      <c r="P103" s="55">
        <v>5.8116103252642238E-4</v>
      </c>
      <c r="Q103" s="206">
        <v>5.6786647344428387E-4</v>
      </c>
      <c r="R103" s="55"/>
      <c r="S103" s="78">
        <v>0.98</v>
      </c>
    </row>
    <row r="104" spans="1:19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110">
        <v>0.6</v>
      </c>
      <c r="H104" s="105" t="str">
        <f t="shared" si="1"/>
        <v>(35, 40]</v>
      </c>
      <c r="I104" s="207">
        <v>0.62264699999999995</v>
      </c>
      <c r="J104" s="55">
        <v>1.0235040691121613E-3</v>
      </c>
      <c r="K104" s="55">
        <v>1.0037779722193445E-3</v>
      </c>
      <c r="L104" s="108">
        <v>1003777</v>
      </c>
      <c r="M104" s="55">
        <v>1.0033713299477029E-3</v>
      </c>
      <c r="N104" s="55">
        <v>3.767150095094908E-2</v>
      </c>
      <c r="O104" s="110"/>
      <c r="P104" s="55">
        <v>1.0033713299477029E-3</v>
      </c>
      <c r="Q104" s="206">
        <v>9.7218159420446463E-4</v>
      </c>
      <c r="R104" s="55"/>
      <c r="S104" s="78">
        <v>0.97</v>
      </c>
    </row>
    <row r="105" spans="1:19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110">
        <v>0.17</v>
      </c>
      <c r="H105" s="57" t="str">
        <f t="shared" si="1"/>
        <v>(40, 45]</v>
      </c>
      <c r="I105" s="207">
        <v>0.17641665000000001</v>
      </c>
      <c r="J105" s="55">
        <v>2.3904493105171446E-4</v>
      </c>
      <c r="K105" s="55">
        <v>2.3443779404662835E-4</v>
      </c>
      <c r="L105" s="108">
        <v>234437</v>
      </c>
      <c r="M105" s="55">
        <v>2.3434225378639838E-4</v>
      </c>
      <c r="N105" s="55">
        <v>9.9890650664478525E-3</v>
      </c>
      <c r="O105" s="110"/>
      <c r="P105" s="55">
        <v>2.3434225378639838E-4</v>
      </c>
      <c r="Q105" s="206">
        <v>2.2260372959427685E-4</v>
      </c>
      <c r="R105" s="55"/>
      <c r="S105" s="78">
        <v>0.95</v>
      </c>
    </row>
    <row r="106" spans="1:19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110"/>
      <c r="H106" s="57" t="str">
        <f t="shared" si="1"/>
        <v>(45, 50]</v>
      </c>
      <c r="I106" s="207">
        <v>0</v>
      </c>
      <c r="J106" s="55">
        <v>0</v>
      </c>
      <c r="K106" s="55">
        <v>0</v>
      </c>
      <c r="L106" s="108">
        <v>0</v>
      </c>
      <c r="M106" s="55">
        <v>0</v>
      </c>
      <c r="N106" s="55">
        <v>0</v>
      </c>
      <c r="O106" s="110"/>
      <c r="P106" s="55">
        <v>0</v>
      </c>
      <c r="Q106" s="206">
        <v>2.1215213191966382E-4</v>
      </c>
      <c r="R106" s="55"/>
      <c r="S106" s="78">
        <v>0</v>
      </c>
    </row>
    <row r="107" spans="1:19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110"/>
      <c r="H107" s="105" t="str">
        <f t="shared" si="1"/>
        <v>(50, 60]</v>
      </c>
      <c r="I107" s="207">
        <v>0</v>
      </c>
      <c r="J107" s="55">
        <v>0</v>
      </c>
      <c r="K107" s="55">
        <v>0</v>
      </c>
      <c r="L107" s="108">
        <v>0</v>
      </c>
      <c r="M107" s="55">
        <v>0</v>
      </c>
      <c r="N107" s="55">
        <v>0</v>
      </c>
      <c r="O107" s="110"/>
      <c r="P107" s="55">
        <v>0</v>
      </c>
      <c r="Q107" s="206">
        <v>6.2280361502472517E-4</v>
      </c>
      <c r="R107" s="55"/>
      <c r="S107" s="78">
        <v>0</v>
      </c>
    </row>
    <row r="108" spans="1:19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110"/>
      <c r="H108" s="57" t="str">
        <f t="shared" si="1"/>
        <v>(60, 70]</v>
      </c>
      <c r="I108" s="207">
        <v>0</v>
      </c>
      <c r="J108" s="55">
        <v>0</v>
      </c>
      <c r="K108" s="55">
        <v>0</v>
      </c>
      <c r="L108" s="108">
        <v>0</v>
      </c>
      <c r="M108" s="55">
        <v>0</v>
      </c>
      <c r="N108" s="55">
        <v>0</v>
      </c>
      <c r="O108" s="110"/>
      <c r="P108" s="55">
        <v>0</v>
      </c>
      <c r="Q108" s="206">
        <v>1.5079862341928023E-4</v>
      </c>
      <c r="R108" s="55"/>
      <c r="S108" s="78">
        <v>0</v>
      </c>
    </row>
    <row r="109" spans="1:19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110"/>
      <c r="H109" s="57" t="str">
        <f t="shared" si="1"/>
        <v>(70, 80]</v>
      </c>
      <c r="I109" s="207">
        <v>0</v>
      </c>
      <c r="J109" s="55">
        <v>0</v>
      </c>
      <c r="K109" s="55">
        <v>0</v>
      </c>
      <c r="L109" s="108">
        <v>0</v>
      </c>
      <c r="M109" s="55">
        <v>0</v>
      </c>
      <c r="N109" s="55">
        <v>0</v>
      </c>
      <c r="O109" s="110"/>
      <c r="P109" s="55">
        <v>0</v>
      </c>
      <c r="Q109" s="206">
        <v>1.2982942429562834E-4</v>
      </c>
      <c r="R109" s="55"/>
      <c r="S109" s="78">
        <v>0</v>
      </c>
    </row>
    <row r="110" spans="1:19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110"/>
      <c r="H110" s="57" t="str">
        <f t="shared" si="1"/>
        <v>(80, 90]</v>
      </c>
      <c r="I110" s="207">
        <v>0</v>
      </c>
      <c r="J110" s="55">
        <v>0</v>
      </c>
      <c r="K110" s="55">
        <v>0</v>
      </c>
      <c r="L110" s="108">
        <v>0</v>
      </c>
      <c r="M110" s="55">
        <v>0</v>
      </c>
      <c r="N110" s="55">
        <v>0</v>
      </c>
      <c r="O110" s="110"/>
      <c r="P110" s="55">
        <v>0</v>
      </c>
      <c r="Q110" s="206">
        <v>1.1201240542940448E-4</v>
      </c>
      <c r="R110" s="55"/>
      <c r="S110" s="78">
        <v>0</v>
      </c>
    </row>
    <row r="111" spans="1:19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110"/>
      <c r="H111" s="57" t="str">
        <f t="shared" si="1"/>
        <v>(90, 100]</v>
      </c>
      <c r="I111" s="207">
        <v>0</v>
      </c>
      <c r="J111" s="55">
        <v>0</v>
      </c>
      <c r="K111" s="55">
        <v>0</v>
      </c>
      <c r="L111" s="108">
        <v>0</v>
      </c>
      <c r="M111" s="55">
        <v>0</v>
      </c>
      <c r="N111" s="55">
        <v>0</v>
      </c>
      <c r="O111" s="110"/>
      <c r="P111" s="55">
        <v>0</v>
      </c>
      <c r="Q111" s="206">
        <v>1.0128479197082886E-4</v>
      </c>
      <c r="R111" s="55"/>
      <c r="S111" s="78">
        <v>0</v>
      </c>
    </row>
    <row r="112" spans="1:19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110"/>
      <c r="H112" s="57" t="str">
        <f t="shared" si="1"/>
        <v>(100, 120]</v>
      </c>
      <c r="I112" s="207">
        <v>0</v>
      </c>
      <c r="J112" s="55">
        <v>0</v>
      </c>
      <c r="K112" s="55">
        <v>0</v>
      </c>
      <c r="L112" s="108">
        <v>0</v>
      </c>
      <c r="M112" s="55">
        <v>0</v>
      </c>
      <c r="N112" s="55">
        <v>0</v>
      </c>
      <c r="O112" s="110"/>
      <c r="P112" s="55">
        <v>0</v>
      </c>
      <c r="Q112" s="206">
        <v>0</v>
      </c>
      <c r="R112" s="55"/>
      <c r="S112" s="78">
        <v>0</v>
      </c>
    </row>
    <row r="113" spans="1:19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110"/>
      <c r="H113" s="57" t="str">
        <f t="shared" si="1"/>
        <v>(120, 140]</v>
      </c>
      <c r="I113" s="207">
        <v>0</v>
      </c>
      <c r="J113" s="55">
        <v>0</v>
      </c>
      <c r="K113" s="55">
        <v>0</v>
      </c>
      <c r="L113" s="108">
        <v>0</v>
      </c>
      <c r="M113" s="55">
        <v>0</v>
      </c>
      <c r="N113" s="55">
        <v>0</v>
      </c>
      <c r="O113" s="110"/>
      <c r="P113" s="55">
        <v>0</v>
      </c>
      <c r="Q113" s="206">
        <v>0</v>
      </c>
      <c r="R113" s="55"/>
      <c r="S113" s="78">
        <v>0</v>
      </c>
    </row>
    <row r="114" spans="1:19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110"/>
      <c r="H114" s="57" t="str">
        <f t="shared" si="1"/>
        <v>(140, 160]</v>
      </c>
      <c r="I114" s="207">
        <v>0</v>
      </c>
      <c r="J114" s="55">
        <v>0</v>
      </c>
      <c r="K114" s="55">
        <v>0</v>
      </c>
      <c r="L114" s="108">
        <v>0</v>
      </c>
      <c r="M114" s="55">
        <v>0</v>
      </c>
      <c r="N114" s="55">
        <v>0</v>
      </c>
      <c r="O114" s="110"/>
      <c r="P114" s="55">
        <v>0</v>
      </c>
      <c r="Q114" s="206">
        <v>0</v>
      </c>
      <c r="R114" s="55"/>
      <c r="S114" s="78">
        <v>0</v>
      </c>
    </row>
    <row r="115" spans="1:19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110"/>
      <c r="H115" s="57" t="str">
        <f t="shared" si="1"/>
        <v>(160, 180]</v>
      </c>
      <c r="I115" s="207">
        <v>0</v>
      </c>
      <c r="J115" s="55">
        <v>0</v>
      </c>
      <c r="K115" s="55">
        <v>0</v>
      </c>
      <c r="L115" s="108">
        <v>0</v>
      </c>
      <c r="M115" s="55">
        <v>0</v>
      </c>
      <c r="N115" s="55">
        <v>0</v>
      </c>
      <c r="O115" s="110"/>
      <c r="P115" s="55">
        <v>0</v>
      </c>
      <c r="Q115" s="206">
        <v>0</v>
      </c>
      <c r="R115" s="55"/>
      <c r="S115" s="78">
        <v>0</v>
      </c>
    </row>
    <row r="116" spans="1:19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110"/>
      <c r="H116" s="57" t="str">
        <f t="shared" si="1"/>
        <v>(180, 200]</v>
      </c>
      <c r="I116" s="207">
        <v>0</v>
      </c>
      <c r="J116" s="55">
        <v>0</v>
      </c>
      <c r="K116" s="55">
        <v>0</v>
      </c>
      <c r="L116" s="108">
        <v>0</v>
      </c>
      <c r="M116" s="55">
        <v>0</v>
      </c>
      <c r="N116" s="55">
        <v>0</v>
      </c>
      <c r="O116" s="110"/>
      <c r="P116" s="55">
        <v>0</v>
      </c>
      <c r="Q116" s="206">
        <v>0</v>
      </c>
      <c r="R116" s="55"/>
      <c r="S116" s="78">
        <v>0</v>
      </c>
    </row>
    <row r="117" spans="1:19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110"/>
      <c r="H117" s="57" t="str">
        <f t="shared" si="1"/>
        <v>(200, 250]</v>
      </c>
      <c r="I117" s="207">
        <v>0</v>
      </c>
      <c r="J117" s="55">
        <v>0</v>
      </c>
      <c r="K117" s="55">
        <v>0</v>
      </c>
      <c r="L117" s="108">
        <v>0</v>
      </c>
      <c r="M117" s="55">
        <v>0</v>
      </c>
      <c r="N117" s="55">
        <v>0</v>
      </c>
      <c r="O117" s="110"/>
      <c r="P117" s="55">
        <v>0</v>
      </c>
      <c r="Q117" s="206">
        <v>0</v>
      </c>
      <c r="R117" s="55"/>
      <c r="S117" s="78">
        <v>0</v>
      </c>
    </row>
    <row r="118" spans="1:19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110"/>
      <c r="H118" s="57" t="str">
        <f t="shared" si="1"/>
        <v>(250, 300]</v>
      </c>
      <c r="I118" s="207">
        <v>0</v>
      </c>
      <c r="J118" s="55">
        <v>0</v>
      </c>
      <c r="K118" s="55">
        <v>0</v>
      </c>
      <c r="L118" s="108">
        <v>0</v>
      </c>
      <c r="M118" s="55">
        <v>0</v>
      </c>
      <c r="N118" s="55">
        <v>0</v>
      </c>
      <c r="O118" s="110"/>
      <c r="P118" s="55">
        <v>0</v>
      </c>
      <c r="Q118" s="206">
        <v>0</v>
      </c>
      <c r="R118" s="55"/>
      <c r="S118" s="78">
        <v>0</v>
      </c>
    </row>
    <row r="119" spans="1:19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110"/>
      <c r="H119" s="57" t="str">
        <f t="shared" si="1"/>
        <v>(300, 350]</v>
      </c>
      <c r="I119" s="207">
        <v>0</v>
      </c>
      <c r="J119" s="55">
        <v>0</v>
      </c>
      <c r="K119" s="55">
        <v>0</v>
      </c>
      <c r="L119" s="108">
        <v>0</v>
      </c>
      <c r="M119" s="55">
        <v>0</v>
      </c>
      <c r="N119" s="55">
        <v>0</v>
      </c>
      <c r="O119" s="110"/>
      <c r="P119" s="55">
        <v>0</v>
      </c>
      <c r="Q119" s="206">
        <v>0</v>
      </c>
      <c r="R119" s="55"/>
      <c r="S119" s="78">
        <v>0</v>
      </c>
    </row>
    <row r="120" spans="1:19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110"/>
      <c r="H120" s="57" t="str">
        <f t="shared" si="1"/>
        <v>(350, 400]</v>
      </c>
      <c r="I120" s="207">
        <v>0</v>
      </c>
      <c r="J120" s="55">
        <v>0</v>
      </c>
      <c r="K120" s="55">
        <v>0</v>
      </c>
      <c r="L120" s="108">
        <v>0</v>
      </c>
      <c r="M120" s="55">
        <v>0</v>
      </c>
      <c r="N120" s="55">
        <v>0</v>
      </c>
      <c r="O120" s="110"/>
      <c r="P120" s="55">
        <v>0</v>
      </c>
      <c r="Q120" s="206">
        <v>0</v>
      </c>
      <c r="R120" s="55"/>
      <c r="S120" s="78">
        <v>0</v>
      </c>
    </row>
    <row r="121" spans="1:19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110"/>
      <c r="H121" s="57" t="str">
        <f t="shared" si="1"/>
        <v>(400, 450]</v>
      </c>
      <c r="I121" s="207">
        <v>0</v>
      </c>
      <c r="J121" s="55">
        <v>0</v>
      </c>
      <c r="K121" s="55">
        <v>0</v>
      </c>
      <c r="L121" s="108">
        <v>0</v>
      </c>
      <c r="M121" s="55">
        <v>0</v>
      </c>
      <c r="N121" s="55">
        <v>0</v>
      </c>
      <c r="O121" s="110"/>
      <c r="P121" s="55">
        <v>0</v>
      </c>
      <c r="Q121" s="206">
        <v>0</v>
      </c>
      <c r="R121" s="55"/>
      <c r="S121" s="78">
        <v>0</v>
      </c>
    </row>
    <row r="122" spans="1:19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110"/>
      <c r="H122" s="57" t="str">
        <f t="shared" si="1"/>
        <v>(450, 500]</v>
      </c>
      <c r="I122" s="207">
        <v>0</v>
      </c>
      <c r="J122" s="55">
        <v>0</v>
      </c>
      <c r="K122" s="55">
        <v>0</v>
      </c>
      <c r="L122" s="108">
        <v>0</v>
      </c>
      <c r="M122" s="55">
        <v>0</v>
      </c>
      <c r="N122" s="55">
        <v>0</v>
      </c>
      <c r="O122" s="110"/>
      <c r="P122" s="55">
        <v>0</v>
      </c>
      <c r="Q122" s="206">
        <v>0</v>
      </c>
      <c r="R122" s="55"/>
      <c r="S122" s="78">
        <v>0</v>
      </c>
    </row>
    <row r="123" spans="1:19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110"/>
      <c r="H123" s="57" t="str">
        <f t="shared" si="1"/>
        <v>(500, 550]</v>
      </c>
      <c r="I123" s="207">
        <v>0</v>
      </c>
      <c r="J123" s="55">
        <v>0</v>
      </c>
      <c r="K123" s="55">
        <v>0</v>
      </c>
      <c r="L123" s="108">
        <v>0</v>
      </c>
      <c r="M123" s="55">
        <v>0</v>
      </c>
      <c r="N123" s="55">
        <v>0</v>
      </c>
      <c r="O123" s="110"/>
      <c r="P123" s="55">
        <v>0</v>
      </c>
      <c r="Q123" s="206">
        <v>0</v>
      </c>
      <c r="R123" s="55"/>
      <c r="S123" s="78">
        <v>0</v>
      </c>
    </row>
    <row r="124" spans="1:19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110"/>
      <c r="H124" s="57" t="str">
        <f t="shared" si="1"/>
        <v>(550, 600]</v>
      </c>
      <c r="I124" s="207">
        <v>0</v>
      </c>
      <c r="J124" s="55">
        <v>0</v>
      </c>
      <c r="K124" s="55">
        <v>0</v>
      </c>
      <c r="L124" s="108">
        <v>0</v>
      </c>
      <c r="M124" s="55">
        <v>0</v>
      </c>
      <c r="N124" s="55">
        <v>0</v>
      </c>
      <c r="O124" s="110"/>
      <c r="P124" s="55">
        <v>0</v>
      </c>
      <c r="Q124" s="206">
        <v>0</v>
      </c>
      <c r="R124" s="55"/>
      <c r="S124" s="78">
        <v>0</v>
      </c>
    </row>
    <row r="125" spans="1:19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110"/>
      <c r="H125" s="57" t="str">
        <f t="shared" si="1"/>
        <v>(600, 650]</v>
      </c>
      <c r="I125" s="207">
        <v>0</v>
      </c>
      <c r="J125" s="55">
        <v>0</v>
      </c>
      <c r="K125" s="55">
        <v>0</v>
      </c>
      <c r="L125" s="108">
        <v>0</v>
      </c>
      <c r="M125" s="55">
        <v>0</v>
      </c>
      <c r="N125" s="55">
        <v>0</v>
      </c>
      <c r="O125" s="110"/>
      <c r="P125" s="55">
        <v>0</v>
      </c>
      <c r="Q125" s="206">
        <v>0</v>
      </c>
      <c r="R125" s="55"/>
      <c r="S125" s="78">
        <v>0</v>
      </c>
    </row>
    <row r="126" spans="1:19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110"/>
      <c r="H126" s="57" t="str">
        <f t="shared" si="1"/>
        <v>(650, 700]</v>
      </c>
      <c r="I126" s="207">
        <v>0</v>
      </c>
      <c r="J126" s="55">
        <v>0</v>
      </c>
      <c r="K126" s="55">
        <v>0</v>
      </c>
      <c r="L126" s="108">
        <v>0</v>
      </c>
      <c r="M126" s="55">
        <v>0</v>
      </c>
      <c r="N126" s="55">
        <v>0</v>
      </c>
      <c r="O126" s="110"/>
      <c r="P126" s="55">
        <v>0</v>
      </c>
      <c r="Q126" s="206">
        <v>0</v>
      </c>
      <c r="R126" s="55"/>
      <c r="S126" s="78">
        <v>0</v>
      </c>
    </row>
    <row r="127" spans="1:19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110"/>
      <c r="H127" s="57" t="str">
        <f t="shared" si="1"/>
        <v>(700, 750]</v>
      </c>
      <c r="I127" s="207">
        <v>0</v>
      </c>
      <c r="J127" s="55">
        <v>0</v>
      </c>
      <c r="K127" s="55">
        <v>0</v>
      </c>
      <c r="L127" s="108">
        <v>0</v>
      </c>
      <c r="M127" s="55">
        <v>0</v>
      </c>
      <c r="N127" s="55">
        <v>0</v>
      </c>
      <c r="O127" s="110"/>
      <c r="P127" s="55">
        <v>0</v>
      </c>
      <c r="Q127" s="206">
        <v>0</v>
      </c>
      <c r="R127" s="55"/>
      <c r="S127" s="78">
        <v>0</v>
      </c>
    </row>
    <row r="128" spans="1:19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110"/>
      <c r="H128" s="57" t="str">
        <f t="shared" si="1"/>
        <v>(750, 800]</v>
      </c>
      <c r="I128" s="207">
        <v>0</v>
      </c>
      <c r="J128" s="55">
        <v>0</v>
      </c>
      <c r="K128" s="55">
        <v>0</v>
      </c>
      <c r="L128" s="108">
        <v>0</v>
      </c>
      <c r="M128" s="55">
        <v>0</v>
      </c>
      <c r="N128" s="55">
        <v>0</v>
      </c>
      <c r="O128" s="110"/>
      <c r="P128" s="55">
        <v>0</v>
      </c>
      <c r="Q128" s="206">
        <v>0</v>
      </c>
      <c r="R128" s="55"/>
      <c r="S128" s="78">
        <v>0</v>
      </c>
    </row>
    <row r="129" spans="1:19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110"/>
      <c r="H129" s="57" t="str">
        <f t="shared" si="1"/>
        <v>(800, 850]</v>
      </c>
      <c r="I129" s="207">
        <v>0</v>
      </c>
      <c r="J129" s="55">
        <v>0</v>
      </c>
      <c r="K129" s="55">
        <v>0</v>
      </c>
      <c r="L129" s="108">
        <v>0</v>
      </c>
      <c r="M129" s="55">
        <v>0</v>
      </c>
      <c r="N129" s="55">
        <v>0</v>
      </c>
      <c r="O129" s="110"/>
      <c r="P129" s="55">
        <v>0</v>
      </c>
      <c r="Q129" s="206">
        <v>0</v>
      </c>
      <c r="R129" s="55"/>
      <c r="S129" s="78">
        <v>0</v>
      </c>
    </row>
    <row r="130" spans="1:19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110"/>
      <c r="H130" s="57" t="str">
        <f t="shared" si="1"/>
        <v>(850, 900]</v>
      </c>
      <c r="I130" s="207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10"/>
      <c r="P130" s="55">
        <v>0</v>
      </c>
      <c r="Q130" s="206">
        <v>0</v>
      </c>
      <c r="R130" s="55"/>
      <c r="S130" s="78">
        <v>0</v>
      </c>
    </row>
    <row r="131" spans="1:19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110"/>
      <c r="H131" s="57" t="str">
        <f t="shared" si="1"/>
        <v>(900, 950]</v>
      </c>
      <c r="I131" s="207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10"/>
      <c r="P131" s="55">
        <v>0</v>
      </c>
      <c r="Q131" s="206">
        <v>0</v>
      </c>
      <c r="R131" s="55"/>
      <c r="S131" s="78">
        <v>0</v>
      </c>
    </row>
    <row r="132" spans="1:19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110"/>
      <c r="H132" s="57" t="str">
        <f t="shared" si="1"/>
        <v>(950, 1000]</v>
      </c>
      <c r="I132" s="207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10"/>
      <c r="P132" s="55">
        <v>0</v>
      </c>
      <c r="Q132" s="206">
        <v>0</v>
      </c>
      <c r="R132" s="55"/>
      <c r="S132" s="78">
        <v>0</v>
      </c>
    </row>
    <row r="133" spans="1:19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110"/>
      <c r="H133" s="57" t="str">
        <f t="shared" si="1"/>
        <v>(1000, 2000]</v>
      </c>
      <c r="I133" s="207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10"/>
      <c r="P133" s="55">
        <v>0</v>
      </c>
      <c r="Q133" s="206">
        <v>0</v>
      </c>
      <c r="R133" s="55"/>
      <c r="S133" s="78">
        <v>0</v>
      </c>
    </row>
    <row r="134" spans="1:19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110"/>
      <c r="H134" s="57" t="str">
        <f t="shared" si="1"/>
        <v>(2000, 3000]</v>
      </c>
      <c r="I134" s="207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10"/>
      <c r="P134" s="55">
        <v>0</v>
      </c>
      <c r="Q134" s="206">
        <v>0</v>
      </c>
      <c r="R134" s="55"/>
      <c r="S134" s="78">
        <v>0</v>
      </c>
    </row>
    <row r="135" spans="1:19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110"/>
      <c r="H135" s="57" t="str">
        <f t="shared" si="1"/>
        <v>(3000, 4000]</v>
      </c>
      <c r="I135" s="207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10"/>
      <c r="P135" s="55">
        <v>0</v>
      </c>
      <c r="Q135" s="206">
        <v>0</v>
      </c>
      <c r="R135" s="55"/>
      <c r="S135" s="78">
        <v>0</v>
      </c>
    </row>
    <row r="136" spans="1:19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110"/>
      <c r="H136" s="57" t="str">
        <f t="shared" si="1"/>
        <v>(4000, 5000]</v>
      </c>
      <c r="I136" s="207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10"/>
      <c r="P136" s="55">
        <v>0</v>
      </c>
      <c r="Q136" s="206">
        <v>0</v>
      </c>
      <c r="R136" s="55"/>
      <c r="S136" s="78">
        <v>0</v>
      </c>
    </row>
    <row r="137" spans="1:19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110"/>
      <c r="H137" s="57" t="str">
        <f t="shared" si="1"/>
        <v>(5000, 6000]</v>
      </c>
      <c r="I137" s="207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10"/>
      <c r="P137" s="55">
        <v>0</v>
      </c>
      <c r="Q137" s="206">
        <v>0</v>
      </c>
      <c r="R137" s="55"/>
      <c r="S137" s="78">
        <v>0</v>
      </c>
    </row>
    <row r="138" spans="1:19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110"/>
      <c r="H138" s="57" t="str">
        <f t="shared" si="1"/>
        <v>(6000, 7000]</v>
      </c>
      <c r="I138" s="207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10"/>
      <c r="P138" s="55">
        <v>0</v>
      </c>
      <c r="Q138" s="206">
        <v>0</v>
      </c>
      <c r="R138" s="55"/>
      <c r="S138" s="78">
        <v>0</v>
      </c>
    </row>
    <row r="139" spans="1:19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110"/>
      <c r="H139" s="57" t="str">
        <f t="shared" si="1"/>
        <v>(7000, 8000]</v>
      </c>
      <c r="I139" s="207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10"/>
      <c r="P139" s="55">
        <v>0</v>
      </c>
      <c r="Q139" s="206">
        <v>0</v>
      </c>
      <c r="R139" s="55"/>
      <c r="S139" s="78">
        <v>0</v>
      </c>
    </row>
    <row r="140" spans="1:19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110"/>
      <c r="H140" s="57" t="str">
        <f t="shared" si="1"/>
        <v>(8000, 9000]</v>
      </c>
      <c r="I140" s="207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10"/>
      <c r="P140" s="55">
        <v>0</v>
      </c>
      <c r="Q140" s="206">
        <v>0</v>
      </c>
      <c r="R140" s="55"/>
      <c r="S140" s="78">
        <v>0</v>
      </c>
    </row>
    <row r="141" spans="1:19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110"/>
      <c r="H141" s="57" t="str">
        <f t="shared" si="1"/>
        <v>(9000, 10000]</v>
      </c>
      <c r="I141" s="207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10"/>
      <c r="P141" s="55">
        <v>0</v>
      </c>
      <c r="Q141" s="206">
        <v>0</v>
      </c>
      <c r="R141" s="55"/>
      <c r="S141" s="78">
        <v>0</v>
      </c>
    </row>
    <row r="142" spans="1:19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110"/>
      <c r="H142" s="57" t="str">
        <f t="shared" si="1"/>
        <v>(10000, 20000]</v>
      </c>
      <c r="I142" s="207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10"/>
      <c r="P142" s="55">
        <v>0</v>
      </c>
      <c r="Q142" s="206">
        <v>0</v>
      </c>
      <c r="R142" s="55"/>
      <c r="S142" s="78">
        <v>0</v>
      </c>
    </row>
    <row r="143" spans="1:19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110"/>
      <c r="H143" s="57" t="str">
        <f t="shared" si="1"/>
        <v>(20000, 30000]</v>
      </c>
      <c r="I143" s="207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10"/>
      <c r="P143" s="55">
        <v>0</v>
      </c>
      <c r="Q143" s="206">
        <v>0</v>
      </c>
      <c r="R143" s="55"/>
      <c r="S143" s="78">
        <v>0</v>
      </c>
    </row>
    <row r="144" spans="1:19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110"/>
      <c r="H144" s="57" t="str">
        <f t="shared" si="1"/>
        <v>(30000, 40000]</v>
      </c>
      <c r="I144" s="207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10"/>
      <c r="P144" s="55">
        <v>0</v>
      </c>
      <c r="Q144" s="206">
        <v>0</v>
      </c>
      <c r="R144" s="55"/>
      <c r="S144" s="78">
        <v>0</v>
      </c>
    </row>
    <row r="145" spans="1:20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110"/>
      <c r="H145" s="57" t="str">
        <f t="shared" si="1"/>
        <v>(40000, 50000]</v>
      </c>
      <c r="I145" s="207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10"/>
      <c r="P145" s="55">
        <v>0</v>
      </c>
      <c r="Q145" s="206">
        <v>0</v>
      </c>
      <c r="R145" s="55"/>
      <c r="S145" s="78">
        <v>0</v>
      </c>
    </row>
    <row r="146" spans="1:20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110"/>
      <c r="H146" s="57" t="str">
        <f t="shared" si="1"/>
        <v>(50000, 60000]</v>
      </c>
      <c r="I146" s="207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10"/>
      <c r="P146" s="55">
        <v>0</v>
      </c>
      <c r="Q146" s="206">
        <v>0</v>
      </c>
      <c r="R146" s="55"/>
      <c r="S146" s="78">
        <v>0</v>
      </c>
    </row>
    <row r="147" spans="1:20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110"/>
      <c r="H147" s="57" t="str">
        <f t="shared" si="1"/>
        <v>(60000, 70000]</v>
      </c>
      <c r="I147" s="207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10"/>
      <c r="P147" s="55">
        <v>0</v>
      </c>
      <c r="Q147" s="206">
        <v>0</v>
      </c>
      <c r="R147" s="55"/>
      <c r="S147" s="78">
        <v>0</v>
      </c>
    </row>
    <row r="148" spans="1:20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110"/>
      <c r="H148" s="57" t="str">
        <f t="shared" si="1"/>
        <v>(70000, 80000]</v>
      </c>
      <c r="I148" s="207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10"/>
      <c r="P148" s="55">
        <v>0</v>
      </c>
      <c r="Q148" s="206">
        <v>0</v>
      </c>
      <c r="R148" s="55"/>
      <c r="S148" s="78">
        <v>0</v>
      </c>
    </row>
    <row r="149" spans="1:20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110"/>
      <c r="H149" s="57" t="str">
        <f t="shared" si="1"/>
        <v>(80000, 90000]</v>
      </c>
      <c r="I149" s="207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10"/>
      <c r="P149" s="55">
        <v>0</v>
      </c>
      <c r="Q149" s="206">
        <v>0</v>
      </c>
      <c r="R149" s="55"/>
      <c r="S149" s="78">
        <v>0</v>
      </c>
    </row>
    <row r="150" spans="1:20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110"/>
      <c r="H150" s="57" t="str">
        <f t="shared" si="1"/>
        <v>(90000, 100000]</v>
      </c>
      <c r="I150" s="207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10"/>
      <c r="P150" s="55">
        <v>0</v>
      </c>
      <c r="Q150" s="206">
        <v>0</v>
      </c>
      <c r="R150" s="55"/>
      <c r="S150" s="78">
        <v>0</v>
      </c>
    </row>
    <row r="151" spans="1:20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110"/>
      <c r="H151" s="57" t="str">
        <f t="shared" si="1"/>
        <v>(100000, 9999999]</v>
      </c>
      <c r="I151" s="207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10"/>
      <c r="P151" s="55">
        <v>0</v>
      </c>
      <c r="Q151" s="206">
        <v>0</v>
      </c>
      <c r="R151" s="55"/>
      <c r="S151" s="78">
        <v>0</v>
      </c>
    </row>
    <row r="152" spans="1:20">
      <c r="A152" s="219" t="s">
        <v>72</v>
      </c>
      <c r="B152" s="220"/>
      <c r="C152" s="68">
        <f>E152*B86</f>
        <v>13362000</v>
      </c>
      <c r="D152" s="91" cm="1">
        <f t="array" ref="D152:E152">D80:E80</f>
        <v>360008300</v>
      </c>
      <c r="E152" s="176">
        <v>1.3362000000000001E-2</v>
      </c>
      <c r="F152" s="88">
        <v>0.26942695704235892</v>
      </c>
      <c r="G152" s="110"/>
      <c r="H152" s="57" t="s">
        <v>72</v>
      </c>
      <c r="I152" s="207"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2.0969861738110249E-2</v>
      </c>
      <c r="N152" s="55">
        <v>5.6498460376980357E-3</v>
      </c>
      <c r="P152" s="47"/>
      <c r="Q152" s="47"/>
      <c r="R152" s="47"/>
      <c r="S152" s="47"/>
      <c r="T152" s="47"/>
    </row>
    <row r="153" spans="1:20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</row>
    <row r="154" spans="1:20">
      <c r="A154" s="48"/>
      <c r="D154" s="106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0" s="75" customFormat="1">
      <c r="A155" s="218" t="s">
        <v>44</v>
      </c>
      <c r="B155" s="218"/>
      <c r="C155" s="218"/>
      <c r="D155" s="218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</row>
    <row r="156" spans="1:20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0">
      <c r="A157" s="65" t="s">
        <v>69</v>
      </c>
      <c r="B157" s="195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</row>
    <row r="158" spans="1:20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77</v>
      </c>
      <c r="H158" s="18" t="s">
        <v>55</v>
      </c>
      <c r="I158" s="18" t="s">
        <v>289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">
        <v>305</v>
      </c>
      <c r="Q158" s="182" t="s">
        <v>305</v>
      </c>
      <c r="R158" s="81" t="s">
        <v>303</v>
      </c>
      <c r="S158" s="81" t="s">
        <v>74</v>
      </c>
    </row>
    <row r="159" spans="1:20">
      <c r="A159" s="60">
        <v>-1</v>
      </c>
      <c r="B159" s="60">
        <v>0</v>
      </c>
      <c r="C159" s="91" cm="1">
        <f t="array" ref="C159:D222">Multiplier_Weight_Oldhand!C159:D222</f>
        <v>0</v>
      </c>
      <c r="D159" s="91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1.0000000000000001E-5</v>
      </c>
      <c r="H159" s="57" t="str">
        <f>"("&amp;$A159&amp;", "&amp;$B159&amp;"]"</f>
        <v>(-1, 0]</v>
      </c>
      <c r="I159" s="207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8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10"/>
      <c r="P159" s="55" cm="1">
        <f t="array" ref="P159:P222">_xlfn.ANCHORARRAY(M159)</f>
        <v>0</v>
      </c>
      <c r="Q159" s="206">
        <v>0</v>
      </c>
      <c r="R159" s="55">
        <v>0</v>
      </c>
      <c r="S159" s="78" cm="1">
        <f t="array" ref="S159:S222">_xlfn.LET(_xlpm.x, Q159:Q222/M159:M222, IF(ISERR(_xlpm.x), 0, ROUND(_xlpm.x,2)))</f>
        <v>0</v>
      </c>
    </row>
    <row r="160" spans="1:20">
      <c r="A160" s="54">
        <v>0</v>
      </c>
      <c r="B160" s="54">
        <v>1</v>
      </c>
      <c r="C160" s="91">
        <v>8464</v>
      </c>
      <c r="D160" s="91">
        <v>508835</v>
      </c>
      <c r="E160" s="55">
        <v>6.3357661108224606E-4</v>
      </c>
      <c r="F160" s="88">
        <v>0.60117556710775044</v>
      </c>
      <c r="G160" s="47">
        <v>-6847</v>
      </c>
      <c r="H160" s="57" t="str">
        <f t="shared" ref="H160:H222" si="2">"("&amp;$A160&amp;", "&amp;$B160&amp;"]"</f>
        <v>(0, 1]</v>
      </c>
      <c r="I160" s="207">
        <v>0</v>
      </c>
      <c r="J160" s="55">
        <v>0</v>
      </c>
      <c r="K160" s="55">
        <v>0</v>
      </c>
      <c r="L160" s="108">
        <v>0</v>
      </c>
      <c r="M160" s="55">
        <v>0</v>
      </c>
      <c r="N160" s="55">
        <v>0</v>
      </c>
      <c r="O160" s="110"/>
      <c r="P160" s="55">
        <v>0</v>
      </c>
      <c r="Q160" s="206">
        <v>0</v>
      </c>
      <c r="R160" s="55">
        <v>0</v>
      </c>
      <c r="S160" s="78">
        <v>0</v>
      </c>
    </row>
    <row r="161" spans="1:20">
      <c r="A161" s="54">
        <v>1</v>
      </c>
      <c r="B161" s="54">
        <v>2</v>
      </c>
      <c r="C161" s="91">
        <v>8182</v>
      </c>
      <c r="D161" s="91">
        <v>1288395</v>
      </c>
      <c r="E161" s="55">
        <v>6.1246737144080065E-4</v>
      </c>
      <c r="F161" s="88">
        <v>1.5746700073331703</v>
      </c>
      <c r="G161" s="85">
        <f>1+G160*G159</f>
        <v>0.93152999999999997</v>
      </c>
      <c r="H161" s="57" t="str">
        <f t="shared" si="2"/>
        <v>(1, 2]</v>
      </c>
      <c r="I161" s="207">
        <v>0</v>
      </c>
      <c r="J161" s="55">
        <v>0</v>
      </c>
      <c r="K161" s="55">
        <v>0</v>
      </c>
      <c r="L161" s="108">
        <v>0</v>
      </c>
      <c r="M161" s="55">
        <v>0</v>
      </c>
      <c r="N161" s="55">
        <v>0</v>
      </c>
      <c r="O161" s="110"/>
      <c r="P161" s="55">
        <v>0</v>
      </c>
      <c r="Q161" s="206">
        <v>0</v>
      </c>
      <c r="R161" s="55">
        <v>0</v>
      </c>
      <c r="S161" s="78">
        <v>0</v>
      </c>
    </row>
    <row r="162" spans="1:20">
      <c r="A162" s="54">
        <v>2</v>
      </c>
      <c r="B162" s="54">
        <v>3</v>
      </c>
      <c r="C162" s="91">
        <v>8513</v>
      </c>
      <c r="D162" s="91">
        <v>2203325</v>
      </c>
      <c r="E162" s="55">
        <v>6.3724452860859648E-4</v>
      </c>
      <c r="F162" s="88">
        <v>2.5881886526488898</v>
      </c>
      <c r="G162" s="85"/>
      <c r="H162" s="57" t="str">
        <f t="shared" si="2"/>
        <v>(2, 3]</v>
      </c>
      <c r="I162" s="207">
        <v>0</v>
      </c>
      <c r="J162" s="55">
        <v>0</v>
      </c>
      <c r="K162" s="55">
        <v>0</v>
      </c>
      <c r="L162" s="108">
        <v>0</v>
      </c>
      <c r="M162" s="55">
        <v>0</v>
      </c>
      <c r="N162" s="55">
        <v>0</v>
      </c>
      <c r="O162" s="110"/>
      <c r="P162" s="55">
        <v>0</v>
      </c>
      <c r="Q162" s="206">
        <v>0</v>
      </c>
      <c r="R162" s="55">
        <v>0</v>
      </c>
      <c r="S162" s="78">
        <v>0</v>
      </c>
    </row>
    <row r="163" spans="1:20">
      <c r="A163" s="54">
        <v>3</v>
      </c>
      <c r="B163" s="54">
        <v>4</v>
      </c>
      <c r="C163" s="91">
        <v>8154</v>
      </c>
      <c r="D163" s="91">
        <v>2921075</v>
      </c>
      <c r="E163" s="55">
        <v>6.1037141856860042E-4</v>
      </c>
      <c r="F163" s="88">
        <v>3.5823828795683101</v>
      </c>
      <c r="G163" s="85"/>
      <c r="H163" s="57" t="str">
        <f t="shared" si="2"/>
        <v>(3, 4]</v>
      </c>
      <c r="I163" s="207">
        <v>0</v>
      </c>
      <c r="J163" s="55">
        <v>0</v>
      </c>
      <c r="K163" s="55">
        <v>0</v>
      </c>
      <c r="L163" s="108">
        <v>0</v>
      </c>
      <c r="M163" s="55">
        <v>0</v>
      </c>
      <c r="N163" s="55">
        <v>0</v>
      </c>
      <c r="O163" s="110"/>
      <c r="P163" s="55">
        <v>0</v>
      </c>
      <c r="Q163" s="206">
        <v>0</v>
      </c>
      <c r="R163" s="55">
        <v>3.614457831325301E-2</v>
      </c>
      <c r="S163" s="78">
        <v>0</v>
      </c>
    </row>
    <row r="164" spans="1:20">
      <c r="A164" s="54">
        <v>4</v>
      </c>
      <c r="B164" s="54">
        <v>5</v>
      </c>
      <c r="C164" s="91">
        <v>8684</v>
      </c>
      <c r="D164" s="91">
        <v>3971090</v>
      </c>
      <c r="E164" s="55">
        <v>6.5004481222096227E-4</v>
      </c>
      <c r="F164" s="88">
        <v>4.5728811607554123</v>
      </c>
      <c r="G164" s="85"/>
      <c r="H164" s="57" t="str">
        <f t="shared" si="2"/>
        <v>(4, 5]</v>
      </c>
      <c r="I164" s="207">
        <v>0</v>
      </c>
      <c r="J164" s="55">
        <v>0</v>
      </c>
      <c r="K164" s="55">
        <v>0</v>
      </c>
      <c r="L164" s="108">
        <v>0</v>
      </c>
      <c r="M164" s="55">
        <v>0</v>
      </c>
      <c r="N164" s="55">
        <v>0</v>
      </c>
      <c r="O164" s="110"/>
      <c r="P164" s="55">
        <v>0</v>
      </c>
      <c r="Q164" s="206">
        <v>0</v>
      </c>
      <c r="R164" s="55">
        <v>0</v>
      </c>
      <c r="S164" s="78">
        <v>0</v>
      </c>
    </row>
    <row r="165" spans="1:20">
      <c r="A165" s="54">
        <v>5</v>
      </c>
      <c r="B165" s="54">
        <v>6</v>
      </c>
      <c r="C165" s="91">
        <v>9017</v>
      </c>
      <c r="D165" s="91">
        <v>5025145</v>
      </c>
      <c r="E165" s="55">
        <v>6.7497168030820085E-4</v>
      </c>
      <c r="F165" s="88">
        <v>5.5729677276255964</v>
      </c>
      <c r="G165" s="85"/>
      <c r="H165" s="57" t="str">
        <f t="shared" si="2"/>
        <v>(5, 6]</v>
      </c>
      <c r="I165" s="207">
        <v>0</v>
      </c>
      <c r="J165" s="55">
        <v>0</v>
      </c>
      <c r="K165" s="55">
        <v>0</v>
      </c>
      <c r="L165" s="108">
        <v>0</v>
      </c>
      <c r="M165" s="55">
        <v>0</v>
      </c>
      <c r="N165" s="55">
        <v>0</v>
      </c>
      <c r="O165" s="110"/>
      <c r="P165" s="55">
        <v>0</v>
      </c>
      <c r="Q165" s="206">
        <v>0</v>
      </c>
      <c r="R165" s="55">
        <v>0</v>
      </c>
      <c r="S165" s="78">
        <v>0</v>
      </c>
    </row>
    <row r="166" spans="1:20">
      <c r="A166" s="54">
        <v>6</v>
      </c>
      <c r="B166" s="54">
        <v>7</v>
      </c>
      <c r="C166" s="91">
        <v>9018</v>
      </c>
      <c r="D166" s="91">
        <v>5915710</v>
      </c>
      <c r="E166" s="55">
        <v>6.7504653576792232E-4</v>
      </c>
      <c r="F166" s="88">
        <v>6.5598913284542029</v>
      </c>
      <c r="G166" s="85"/>
      <c r="H166" s="57" t="str">
        <f t="shared" si="2"/>
        <v>(6, 7]</v>
      </c>
      <c r="I166" s="207">
        <v>0</v>
      </c>
      <c r="J166" s="55">
        <v>0</v>
      </c>
      <c r="K166" s="55">
        <v>0</v>
      </c>
      <c r="L166" s="108">
        <v>0</v>
      </c>
      <c r="M166" s="55">
        <v>0</v>
      </c>
      <c r="N166" s="55">
        <v>0</v>
      </c>
      <c r="O166" s="110"/>
      <c r="P166" s="55">
        <v>0</v>
      </c>
      <c r="Q166" s="206">
        <v>0</v>
      </c>
      <c r="R166" s="55">
        <v>1.2048192771084338E-2</v>
      </c>
      <c r="S166" s="78">
        <v>0</v>
      </c>
    </row>
    <row r="167" spans="1:20">
      <c r="A167" s="54">
        <v>7</v>
      </c>
      <c r="B167" s="54">
        <v>8</v>
      </c>
      <c r="C167" s="91">
        <v>9158</v>
      </c>
      <c r="D167" s="91">
        <v>6924705</v>
      </c>
      <c r="E167" s="55">
        <v>6.8552630012892355E-4</v>
      </c>
      <c r="F167" s="88">
        <v>7.5613725704302253</v>
      </c>
      <c r="G167" s="85"/>
      <c r="H167" s="57" t="str">
        <f t="shared" si="2"/>
        <v>(7, 8]</v>
      </c>
      <c r="I167" s="207">
        <v>0</v>
      </c>
      <c r="J167" s="55">
        <v>0</v>
      </c>
      <c r="K167" s="55">
        <v>0</v>
      </c>
      <c r="L167" s="108">
        <v>0</v>
      </c>
      <c r="M167" s="55">
        <v>0</v>
      </c>
      <c r="N167" s="55">
        <v>0</v>
      </c>
      <c r="O167" s="110"/>
      <c r="P167" s="55">
        <v>0</v>
      </c>
      <c r="Q167" s="206">
        <v>0</v>
      </c>
      <c r="R167" s="55">
        <v>3.614457831325301E-2</v>
      </c>
      <c r="S167" s="78">
        <v>0</v>
      </c>
    </row>
    <row r="168" spans="1:20">
      <c r="A168" s="54">
        <v>8</v>
      </c>
      <c r="B168" s="54">
        <v>9</v>
      </c>
      <c r="C168" s="91">
        <v>9305</v>
      </c>
      <c r="D168" s="91">
        <v>7962655</v>
      </c>
      <c r="E168" s="55">
        <v>6.9653005270797481E-4</v>
      </c>
      <c r="F168" s="88">
        <v>8.5573938742611499</v>
      </c>
      <c r="G168" s="85"/>
      <c r="H168" s="57" t="str">
        <f t="shared" si="2"/>
        <v>(8, 9]</v>
      </c>
      <c r="I168" s="207">
        <v>0</v>
      </c>
      <c r="J168" s="55">
        <v>0</v>
      </c>
      <c r="K168" s="55">
        <v>0</v>
      </c>
      <c r="L168" s="108">
        <v>0</v>
      </c>
      <c r="M168" s="55">
        <v>0</v>
      </c>
      <c r="N168" s="55">
        <v>0</v>
      </c>
      <c r="O168" s="110"/>
      <c r="P168" s="55">
        <v>0</v>
      </c>
      <c r="Q168" s="206">
        <v>0</v>
      </c>
      <c r="R168" s="55">
        <v>2.4096385542168676E-2</v>
      </c>
      <c r="S168" s="78">
        <v>0</v>
      </c>
    </row>
    <row r="169" spans="1:20">
      <c r="A169" s="54">
        <v>9</v>
      </c>
      <c r="B169" s="54">
        <v>10</v>
      </c>
      <c r="C169" s="91">
        <v>9412</v>
      </c>
      <c r="D169" s="91">
        <v>8996740</v>
      </c>
      <c r="E169" s="55">
        <v>7.0453958689816864E-4</v>
      </c>
      <c r="F169" s="88">
        <v>9.5587972800679992</v>
      </c>
      <c r="G169" s="85"/>
      <c r="H169" s="57" t="str">
        <f t="shared" si="2"/>
        <v>(9, 10]</v>
      </c>
      <c r="I169" s="207">
        <v>0</v>
      </c>
      <c r="J169" s="55">
        <v>0</v>
      </c>
      <c r="K169" s="55">
        <v>0</v>
      </c>
      <c r="L169" s="108">
        <v>0</v>
      </c>
      <c r="M169" s="55">
        <v>0</v>
      </c>
      <c r="N169" s="55">
        <v>0</v>
      </c>
      <c r="O169" s="110"/>
      <c r="P169" s="55">
        <v>0</v>
      </c>
      <c r="Q169" s="206">
        <v>0</v>
      </c>
      <c r="R169" s="55">
        <v>1.2048192771084338E-2</v>
      </c>
      <c r="S169" s="78">
        <v>0</v>
      </c>
    </row>
    <row r="170" spans="1:20">
      <c r="A170" s="54">
        <v>10</v>
      </c>
      <c r="B170" s="54">
        <v>15</v>
      </c>
      <c r="C170" s="91">
        <v>49247</v>
      </c>
      <c r="D170" s="91">
        <v>61922385</v>
      </c>
      <c r="E170" s="55">
        <v>3.6864068249016268E-3</v>
      </c>
      <c r="F170" s="88">
        <v>12.573839015574555</v>
      </c>
      <c r="G170" s="110"/>
      <c r="H170" s="57" t="str">
        <f t="shared" si="2"/>
        <v>(10, 15]</v>
      </c>
      <c r="I170" s="207">
        <v>0</v>
      </c>
      <c r="J170" s="55">
        <v>0</v>
      </c>
      <c r="K170" s="55">
        <v>0</v>
      </c>
      <c r="L170" s="108">
        <v>0</v>
      </c>
      <c r="M170" s="55">
        <v>0</v>
      </c>
      <c r="N170" s="55">
        <v>0</v>
      </c>
      <c r="O170" s="110"/>
      <c r="P170" s="55">
        <v>0</v>
      </c>
      <c r="Q170" s="206">
        <v>0.13126626188785775</v>
      </c>
      <c r="R170" s="55">
        <v>7.2289156626506021E-2</v>
      </c>
      <c r="S170" s="78">
        <v>0</v>
      </c>
      <c r="T170" s="95"/>
    </row>
    <row r="171" spans="1:20">
      <c r="A171" s="54">
        <v>15</v>
      </c>
      <c r="B171" s="54">
        <v>20</v>
      </c>
      <c r="C171" s="91">
        <v>52199</v>
      </c>
      <c r="D171" s="91">
        <v>91715625</v>
      </c>
      <c r="E171" s="55">
        <v>3.9073801419993101E-3</v>
      </c>
      <c r="F171" s="88">
        <v>17.570379700760551</v>
      </c>
      <c r="G171" s="110"/>
      <c r="H171" s="105" t="str">
        <f t="shared" si="2"/>
        <v>(15, 20]</v>
      </c>
      <c r="I171" s="207">
        <v>0</v>
      </c>
      <c r="J171" s="55">
        <v>0</v>
      </c>
      <c r="K171" s="55">
        <v>0</v>
      </c>
      <c r="L171" s="108">
        <v>0</v>
      </c>
      <c r="M171" s="55">
        <v>0</v>
      </c>
      <c r="N171" s="55">
        <v>0</v>
      </c>
      <c r="O171" s="110"/>
      <c r="P171" s="55">
        <v>0</v>
      </c>
      <c r="Q171" s="206">
        <v>0.13125249088755481</v>
      </c>
      <c r="R171" s="55">
        <v>7.2289156626506021E-2</v>
      </c>
      <c r="S171" s="78">
        <v>0</v>
      </c>
      <c r="T171" s="95"/>
    </row>
    <row r="172" spans="1:20">
      <c r="A172" s="54">
        <v>20</v>
      </c>
      <c r="B172" s="54">
        <v>25</v>
      </c>
      <c r="C172" s="91">
        <v>54803</v>
      </c>
      <c r="D172" s="91">
        <v>123642355</v>
      </c>
      <c r="E172" s="55">
        <v>4.102303759113933E-3</v>
      </c>
      <c r="F172" s="88">
        <v>22.561238435852051</v>
      </c>
      <c r="G172" s="110"/>
      <c r="H172" s="57" t="str">
        <f t="shared" si="2"/>
        <v>(20, 25]</v>
      </c>
      <c r="I172" s="207">
        <v>0</v>
      </c>
      <c r="J172" s="55">
        <v>0</v>
      </c>
      <c r="K172" s="55">
        <v>0</v>
      </c>
      <c r="L172" s="108">
        <v>0</v>
      </c>
      <c r="M172" s="55">
        <v>0</v>
      </c>
      <c r="N172" s="55">
        <v>0</v>
      </c>
      <c r="O172" s="110"/>
      <c r="P172" s="55">
        <v>0</v>
      </c>
      <c r="Q172" s="206">
        <v>0.1312781858881201</v>
      </c>
      <c r="R172" s="55">
        <v>7.2289156626506021E-2</v>
      </c>
      <c r="S172" s="78">
        <v>0</v>
      </c>
      <c r="T172" s="95"/>
    </row>
    <row r="173" spans="1:20">
      <c r="A173" s="54">
        <v>25</v>
      </c>
      <c r="B173" s="54">
        <v>30</v>
      </c>
      <c r="C173" s="91">
        <v>57087</v>
      </c>
      <c r="D173" s="91">
        <v>157303165</v>
      </c>
      <c r="E173" s="55">
        <v>4.2732736291176956E-3</v>
      </c>
      <c r="F173" s="88">
        <v>27.554988876626904</v>
      </c>
      <c r="G173" s="110"/>
      <c r="H173" s="57" t="str">
        <f t="shared" si="2"/>
        <v>(25, 30]</v>
      </c>
      <c r="I173" s="207">
        <v>0</v>
      </c>
      <c r="J173" s="55">
        <v>0</v>
      </c>
      <c r="K173" s="55">
        <v>0</v>
      </c>
      <c r="L173" s="108">
        <v>0</v>
      </c>
      <c r="M173" s="55">
        <v>0</v>
      </c>
      <c r="N173" s="55">
        <v>0</v>
      </c>
      <c r="O173" s="110"/>
      <c r="P173" s="55">
        <v>0</v>
      </c>
      <c r="Q173" s="206">
        <v>0.13224971290949369</v>
      </c>
      <c r="R173" s="55">
        <v>8.4337349397590355E-2</v>
      </c>
      <c r="S173" s="78">
        <v>0</v>
      </c>
      <c r="T173" s="95"/>
    </row>
    <row r="174" spans="1:20">
      <c r="A174" s="54">
        <v>30</v>
      </c>
      <c r="B174" s="54">
        <v>35</v>
      </c>
      <c r="C174" s="91">
        <v>59408</v>
      </c>
      <c r="D174" s="91">
        <v>193424490</v>
      </c>
      <c r="E174" s="55">
        <v>4.4470131511311524E-3</v>
      </c>
      <c r="F174" s="88">
        <v>32.558660449771075</v>
      </c>
      <c r="G174" s="110"/>
      <c r="H174" s="57" t="str">
        <f t="shared" si="2"/>
        <v>(30, 35]</v>
      </c>
      <c r="I174" s="207">
        <v>8.01</v>
      </c>
      <c r="J174" s="55">
        <v>3.5620575340560533E-2</v>
      </c>
      <c r="K174" s="55">
        <v>0.12295749265298542</v>
      </c>
      <c r="L174" s="108">
        <v>122957492</v>
      </c>
      <c r="M174" s="55">
        <v>0.12295749273774495</v>
      </c>
      <c r="N174" s="55">
        <v>4.0033312558034311</v>
      </c>
      <c r="O174" s="110"/>
      <c r="P174" s="55">
        <v>0.12295749273774495</v>
      </c>
      <c r="Q174" s="206">
        <v>3.6550552804112159E-2</v>
      </c>
      <c r="R174" s="55">
        <v>3.614457831325301E-2</v>
      </c>
      <c r="S174" s="78">
        <v>0.3</v>
      </c>
      <c r="T174" s="95"/>
    </row>
    <row r="175" spans="1:20">
      <c r="A175" s="54">
        <v>35</v>
      </c>
      <c r="B175" s="54">
        <v>40</v>
      </c>
      <c r="C175" s="91">
        <v>61926</v>
      </c>
      <c r="D175" s="91">
        <v>232561690</v>
      </c>
      <c r="E175" s="55">
        <v>4.6354991987097314E-3</v>
      </c>
      <c r="F175" s="88">
        <v>37.554773439266221</v>
      </c>
      <c r="G175" s="110"/>
      <c r="H175" s="105" t="str">
        <f t="shared" si="2"/>
        <v>(35, 40]</v>
      </c>
      <c r="I175" s="207">
        <v>6.26</v>
      </c>
      <c r="J175" s="55">
        <v>2.9018224983922918E-2</v>
      </c>
      <c r="K175" s="55">
        <v>0.10016705657195128</v>
      </c>
      <c r="L175" s="108">
        <v>100167056</v>
      </c>
      <c r="M175" s="55">
        <v>0.10016705660100234</v>
      </c>
      <c r="N175" s="55">
        <v>3.7617511167287985</v>
      </c>
      <c r="O175" s="110"/>
      <c r="P175" s="55">
        <v>0.10016705660100234</v>
      </c>
      <c r="Q175" s="206">
        <v>2.9855874656829241E-2</v>
      </c>
      <c r="R175" s="55">
        <v>2.4096385542168676E-2</v>
      </c>
      <c r="S175" s="78">
        <v>0.3</v>
      </c>
      <c r="T175" s="95"/>
    </row>
    <row r="176" spans="1:20">
      <c r="A176" s="54">
        <v>40</v>
      </c>
      <c r="B176" s="54">
        <v>45</v>
      </c>
      <c r="C176" s="91">
        <v>64488</v>
      </c>
      <c r="D176" s="91">
        <v>274427415</v>
      </c>
      <c r="E176" s="55">
        <v>4.8272788865160541E-3</v>
      </c>
      <c r="F176" s="88">
        <v>42.554803219203578</v>
      </c>
      <c r="G176" s="110"/>
      <c r="H176" s="57" t="str">
        <f t="shared" si="2"/>
        <v>(40, 45]</v>
      </c>
      <c r="I176" s="207">
        <v>5.94</v>
      </c>
      <c r="J176" s="55">
        <v>2.8674036585905362E-2</v>
      </c>
      <c r="K176" s="55">
        <v>9.8978963959300628E-2</v>
      </c>
      <c r="L176" s="108">
        <v>98978963</v>
      </c>
      <c r="M176" s="55">
        <v>9.8978963593873787E-2</v>
      </c>
      <c r="N176" s="55">
        <v>4.2120303185780141</v>
      </c>
      <c r="O176" s="110"/>
      <c r="P176" s="55">
        <v>9.8978963593873787E-2</v>
      </c>
      <c r="Q176" s="206">
        <v>2.9391089646603974E-2</v>
      </c>
      <c r="R176" s="55">
        <v>3.614457831325301E-2</v>
      </c>
      <c r="S176" s="78">
        <v>0.3</v>
      </c>
      <c r="T176" s="95"/>
    </row>
    <row r="177" spans="1:20">
      <c r="A177" s="54">
        <v>45</v>
      </c>
      <c r="B177" s="54">
        <v>50</v>
      </c>
      <c r="C177" s="91">
        <v>66483</v>
      </c>
      <c r="D177" s="91">
        <v>316159655</v>
      </c>
      <c r="E177" s="55">
        <v>4.9766155286603215E-3</v>
      </c>
      <c r="F177" s="88">
        <v>47.554962170780499</v>
      </c>
      <c r="G177" s="110"/>
      <c r="H177" s="57" t="str">
        <f t="shared" si="2"/>
        <v>(45, 50]</v>
      </c>
      <c r="I177" s="207">
        <v>5.27</v>
      </c>
      <c r="J177" s="55">
        <v>2.622676383603989E-2</v>
      </c>
      <c r="K177" s="55">
        <v>9.053130363140037E-2</v>
      </c>
      <c r="L177" s="108">
        <v>90531303</v>
      </c>
      <c r="M177" s="55">
        <v>9.0531303543187822E-2</v>
      </c>
      <c r="N177" s="55">
        <v>4.3052127152677437</v>
      </c>
      <c r="O177" s="110"/>
      <c r="P177" s="55">
        <v>9.0531303543187822E-2</v>
      </c>
      <c r="Q177" s="206">
        <v>2.7000172594003797E-2</v>
      </c>
      <c r="R177" s="55">
        <v>2.4096385542168676E-2</v>
      </c>
      <c r="S177" s="78">
        <v>0.3</v>
      </c>
      <c r="T177" s="95"/>
    </row>
    <row r="178" spans="1:20">
      <c r="A178" s="54">
        <v>50</v>
      </c>
      <c r="B178" s="54">
        <v>60</v>
      </c>
      <c r="C178" s="91">
        <v>139846</v>
      </c>
      <c r="D178" s="91">
        <v>770486615</v>
      </c>
      <c r="E178" s="55">
        <v>1.0468236620204132E-2</v>
      </c>
      <c r="F178" s="88">
        <v>55.095363113710803</v>
      </c>
      <c r="G178" s="110">
        <v>1.9140843999999999</v>
      </c>
      <c r="H178" s="105" t="str">
        <f t="shared" si="2"/>
        <v>(50, 60]</v>
      </c>
      <c r="I178" s="207" cm="1">
        <f t="array" ref="I178:I182">G178:G182*G161</f>
        <v>1.7830270411319999</v>
      </c>
      <c r="J178" s="55">
        <v>1.8665148966792219E-2</v>
      </c>
      <c r="K178" s="55">
        <v>6.4429613924229148E-2</v>
      </c>
      <c r="L178" s="108">
        <v>64429613</v>
      </c>
      <c r="M178" s="55">
        <v>6.4429613386577683E-2</v>
      </c>
      <c r="N178" s="55">
        <v>3.5497729448094999</v>
      </c>
      <c r="O178" s="110"/>
      <c r="P178" s="55">
        <v>6.4429613386577683E-2</v>
      </c>
      <c r="Q178" s="206">
        <v>2.2800440501609689E-2</v>
      </c>
      <c r="R178" s="55">
        <v>2.4096385542168676E-2</v>
      </c>
      <c r="S178" s="78">
        <v>0.35</v>
      </c>
      <c r="T178" s="95"/>
    </row>
    <row r="179" spans="1:20">
      <c r="A179" s="54">
        <v>60</v>
      </c>
      <c r="B179" s="54">
        <v>70</v>
      </c>
      <c r="C179" s="91">
        <v>146816</v>
      </c>
      <c r="D179" s="91">
        <v>955319985</v>
      </c>
      <c r="E179" s="55">
        <v>1.0989979174462551E-2</v>
      </c>
      <c r="F179" s="88">
        <v>65.069201245095897</v>
      </c>
      <c r="G179" s="110">
        <v>5.3630478000000004</v>
      </c>
      <c r="H179" s="57" t="str">
        <f t="shared" si="2"/>
        <v>(60, 70]</v>
      </c>
      <c r="I179" s="207">
        <v>4.995839917134</v>
      </c>
      <c r="J179" s="55">
        <v>5.4904176648251375E-2</v>
      </c>
      <c r="K179" s="55">
        <v>0.18952192187526157</v>
      </c>
      <c r="L179" s="108">
        <v>189521921</v>
      </c>
      <c r="M179" s="55">
        <v>0.18952192213713154</v>
      </c>
      <c r="N179" s="55">
        <v>12.332040091898406</v>
      </c>
      <c r="O179" s="110"/>
      <c r="P179" s="55">
        <v>0.18952192213713154</v>
      </c>
      <c r="Q179" s="206">
        <v>6.7250440479509691E-2</v>
      </c>
      <c r="R179" s="55">
        <v>6.0240963855421686E-2</v>
      </c>
      <c r="S179" s="78">
        <v>0.35</v>
      </c>
      <c r="T179" s="95"/>
    </row>
    <row r="180" spans="1:20">
      <c r="A180" s="54">
        <v>70</v>
      </c>
      <c r="B180" s="54">
        <v>80</v>
      </c>
      <c r="C180" s="91">
        <v>154465</v>
      </c>
      <c r="D180" s="91">
        <v>1159515525</v>
      </c>
      <c r="E180" s="55">
        <v>1.1562548585871826E-2</v>
      </c>
      <c r="F180" s="88">
        <v>75.066553911889429</v>
      </c>
      <c r="G180" s="110">
        <v>4.5775509000000003</v>
      </c>
      <c r="H180" s="57" t="str">
        <f t="shared" si="2"/>
        <v>(70, 80]</v>
      </c>
      <c r="I180" s="207">
        <v>4.2641259898769999</v>
      </c>
      <c r="J180" s="55">
        <v>4.9304163934231607E-2</v>
      </c>
      <c r="K180" s="55">
        <v>0.17019142214139973</v>
      </c>
      <c r="L180" s="108">
        <v>170191422</v>
      </c>
      <c r="M180" s="55">
        <v>0.17019142302114854</v>
      </c>
      <c r="N180" s="55">
        <v>12.775683631558227</v>
      </c>
      <c r="O180" s="110"/>
      <c r="P180" s="55">
        <v>0.17019142302114854</v>
      </c>
      <c r="Q180" s="206">
        <v>6.064221133412865E-2</v>
      </c>
      <c r="R180" s="55">
        <v>4.8192771084337352E-2</v>
      </c>
      <c r="S180" s="78">
        <v>0.36</v>
      </c>
      <c r="T180" s="95"/>
    </row>
    <row r="181" spans="1:20">
      <c r="A181" s="54">
        <v>80</v>
      </c>
      <c r="B181" s="54">
        <v>90</v>
      </c>
      <c r="C181" s="91">
        <v>160143</v>
      </c>
      <c r="D181" s="91">
        <v>1362077070</v>
      </c>
      <c r="E181" s="55">
        <v>1.1987577886170147E-2</v>
      </c>
      <c r="F181" s="88">
        <v>85.053800041213165</v>
      </c>
      <c r="G181" s="110">
        <v>2.2481463000000002</v>
      </c>
      <c r="H181" s="57" t="str">
        <f t="shared" si="2"/>
        <v>(80, 90]</v>
      </c>
      <c r="I181" s="207">
        <v>2.0942157228389999</v>
      </c>
      <c r="J181" s="55">
        <v>2.5104574087974625E-2</v>
      </c>
      <c r="K181" s="55">
        <v>8.6657653742711657E-2</v>
      </c>
      <c r="L181" s="108">
        <v>86657653</v>
      </c>
      <c r="M181" s="55">
        <v>8.6657653519945921E-2</v>
      </c>
      <c r="N181" s="55">
        <v>7.3705627345262128</v>
      </c>
      <c r="O181" s="110"/>
      <c r="P181" s="55">
        <v>8.6657653519945921E-2</v>
      </c>
      <c r="Q181" s="206">
        <v>3.0830899678279792E-2</v>
      </c>
      <c r="R181" s="55">
        <v>2.4096385542168676E-2</v>
      </c>
      <c r="S181" s="78">
        <v>0.36</v>
      </c>
      <c r="T181" s="95"/>
    </row>
    <row r="182" spans="1:20">
      <c r="A182" s="54">
        <v>90</v>
      </c>
      <c r="B182" s="54">
        <v>100</v>
      </c>
      <c r="C182" s="91">
        <v>165405</v>
      </c>
      <c r="D182" s="91">
        <v>1572146625</v>
      </c>
      <c r="E182" s="55">
        <v>1.238146731522435E-2</v>
      </c>
      <c r="F182" s="88">
        <v>95.048313231159881</v>
      </c>
      <c r="G182" s="110">
        <v>1.9231130999999999</v>
      </c>
      <c r="H182" s="57" t="str">
        <f t="shared" si="2"/>
        <v>(90, 100]</v>
      </c>
      <c r="I182" s="208">
        <v>1.7914375460429999</v>
      </c>
      <c r="J182" s="107">
        <v>2.2180625423597122E-2</v>
      </c>
      <c r="K182" s="107">
        <v>7.6564571500760251E-2</v>
      </c>
      <c r="L182" s="108">
        <v>76564571</v>
      </c>
      <c r="M182" s="107">
        <v>7.6564571459387429E-2</v>
      </c>
      <c r="N182" s="107">
        <v>7.2773333704813803</v>
      </c>
      <c r="O182" s="110"/>
      <c r="P182" s="55">
        <v>7.6564571459387429E-2</v>
      </c>
      <c r="Q182" s="206">
        <v>2.7035605594783324E-2</v>
      </c>
      <c r="R182" s="55">
        <v>1.2048192771084338E-2</v>
      </c>
      <c r="S182" s="78">
        <v>0.35</v>
      </c>
      <c r="T182" s="95"/>
    </row>
    <row r="183" spans="1:20">
      <c r="A183" s="54">
        <v>100</v>
      </c>
      <c r="B183" s="54">
        <v>120</v>
      </c>
      <c r="C183" s="91">
        <v>343628</v>
      </c>
      <c r="D183" s="91">
        <v>3783315070</v>
      </c>
      <c r="E183" s="55">
        <v>2.5722431913158084E-2</v>
      </c>
      <c r="F183" s="88">
        <v>110.09914995285598</v>
      </c>
      <c r="G183" s="110"/>
      <c r="H183" s="57" t="str">
        <f t="shared" si="2"/>
        <v>(100, 120]</v>
      </c>
      <c r="I183" s="208">
        <v>0</v>
      </c>
      <c r="J183" s="107">
        <v>0</v>
      </c>
      <c r="K183" s="107">
        <v>0</v>
      </c>
      <c r="L183" s="108">
        <v>0</v>
      </c>
      <c r="M183" s="107">
        <v>0</v>
      </c>
      <c r="N183" s="107">
        <v>0</v>
      </c>
      <c r="O183" s="110"/>
      <c r="P183" s="55">
        <v>0</v>
      </c>
      <c r="Q183" s="206">
        <v>4.2740282940286221E-2</v>
      </c>
      <c r="R183" s="55">
        <v>6.0240963855421686E-2</v>
      </c>
      <c r="S183" s="78">
        <v>0</v>
      </c>
      <c r="T183" s="95"/>
    </row>
    <row r="184" spans="1:20">
      <c r="A184" s="54">
        <v>120</v>
      </c>
      <c r="B184" s="54">
        <v>140</v>
      </c>
      <c r="C184" s="91">
        <v>354855</v>
      </c>
      <c r="D184" s="91">
        <v>4615650835</v>
      </c>
      <c r="E184" s="55">
        <v>2.6562834159450661E-2</v>
      </c>
      <c r="F184" s="88">
        <v>130.0714611601922</v>
      </c>
      <c r="G184" s="110"/>
      <c r="H184" s="57" t="str">
        <f t="shared" si="2"/>
        <v>(120, 140]</v>
      </c>
      <c r="I184" s="208">
        <v>0</v>
      </c>
      <c r="J184" s="107">
        <v>0</v>
      </c>
      <c r="K184" s="107">
        <v>0</v>
      </c>
      <c r="L184" s="108">
        <v>0</v>
      </c>
      <c r="M184" s="107">
        <v>0</v>
      </c>
      <c r="N184" s="107">
        <v>0</v>
      </c>
      <c r="O184" s="110"/>
      <c r="P184" s="55">
        <v>0</v>
      </c>
      <c r="Q184" s="206">
        <v>1.8780093413162054E-2</v>
      </c>
      <c r="R184" s="55">
        <v>7.2289156626506021E-2</v>
      </c>
      <c r="S184" s="78">
        <v>0</v>
      </c>
      <c r="T184" s="95"/>
    </row>
    <row r="185" spans="1:20">
      <c r="A185" s="54">
        <v>140</v>
      </c>
      <c r="B185" s="54">
        <v>160</v>
      </c>
      <c r="C185" s="91">
        <v>357981</v>
      </c>
      <c r="D185" s="91">
        <v>5371224535</v>
      </c>
      <c r="E185" s="55">
        <v>2.6796832326539875E-2</v>
      </c>
      <c r="F185" s="88">
        <v>150.04216802009046</v>
      </c>
      <c r="G185" s="110"/>
      <c r="H185" s="57" t="str">
        <f t="shared" si="2"/>
        <v>(140, 160]</v>
      </c>
      <c r="I185" s="208">
        <v>0</v>
      </c>
      <c r="J185" s="107">
        <v>0</v>
      </c>
      <c r="K185" s="107">
        <v>0</v>
      </c>
      <c r="L185" s="108">
        <v>0</v>
      </c>
      <c r="M185" s="107">
        <v>0</v>
      </c>
      <c r="N185" s="107">
        <v>0</v>
      </c>
      <c r="O185" s="110"/>
      <c r="P185" s="55">
        <v>0</v>
      </c>
      <c r="Q185" s="206">
        <v>2.8816647633966248E-2</v>
      </c>
      <c r="R185" s="55">
        <v>2.4096385542168676E-2</v>
      </c>
      <c r="S185" s="78">
        <v>0</v>
      </c>
      <c r="T185" s="95"/>
    </row>
    <row r="186" spans="1:20">
      <c r="A186" s="54">
        <v>160</v>
      </c>
      <c r="B186" s="54">
        <v>180</v>
      </c>
      <c r="C186" s="91">
        <v>359992</v>
      </c>
      <c r="D186" s="91">
        <v>6120684245</v>
      </c>
      <c r="E186" s="55">
        <v>2.6947366656039688E-2</v>
      </c>
      <c r="F186" s="88">
        <v>170.02278508966864</v>
      </c>
      <c r="G186" s="110"/>
      <c r="H186" s="57" t="str">
        <f t="shared" si="2"/>
        <v>(160, 180]</v>
      </c>
      <c r="I186" s="208">
        <v>0</v>
      </c>
      <c r="J186" s="107">
        <v>0</v>
      </c>
      <c r="K186" s="107">
        <v>0</v>
      </c>
      <c r="L186" s="108">
        <v>0</v>
      </c>
      <c r="M186" s="107">
        <v>0</v>
      </c>
      <c r="N186" s="107">
        <v>0</v>
      </c>
      <c r="O186" s="110"/>
      <c r="P186" s="55">
        <v>0</v>
      </c>
      <c r="Q186" s="206">
        <v>8.5080991871781825E-3</v>
      </c>
      <c r="R186" s="55">
        <v>3.614457831325301E-2</v>
      </c>
      <c r="S186" s="78">
        <v>0</v>
      </c>
      <c r="T186" s="95"/>
    </row>
    <row r="187" spans="1:20">
      <c r="A187" s="54">
        <v>180</v>
      </c>
      <c r="B187" s="54">
        <v>200</v>
      </c>
      <c r="C187" s="91">
        <v>357858</v>
      </c>
      <c r="D187" s="91">
        <v>6799733860</v>
      </c>
      <c r="E187" s="55">
        <v>2.6787625104994141E-2</v>
      </c>
      <c r="F187" s="88">
        <v>190.01206791520661</v>
      </c>
      <c r="G187" s="110"/>
      <c r="H187" s="57" t="str">
        <f t="shared" si="2"/>
        <v>(180, 200]</v>
      </c>
      <c r="I187" s="208">
        <v>0</v>
      </c>
      <c r="J187" s="107">
        <v>0</v>
      </c>
      <c r="K187" s="107">
        <v>0</v>
      </c>
      <c r="L187" s="108">
        <v>0</v>
      </c>
      <c r="M187" s="107">
        <v>0</v>
      </c>
      <c r="N187" s="107">
        <v>0</v>
      </c>
      <c r="O187" s="110"/>
      <c r="P187" s="55">
        <v>0</v>
      </c>
      <c r="Q187" s="206">
        <v>7.4870671647154774E-3</v>
      </c>
      <c r="R187" s="55">
        <v>0</v>
      </c>
      <c r="S187" s="78">
        <v>0</v>
      </c>
      <c r="T187" s="95"/>
    </row>
    <row r="188" spans="1:20">
      <c r="A188" s="54">
        <v>200</v>
      </c>
      <c r="B188" s="54">
        <v>250</v>
      </c>
      <c r="C188" s="91">
        <v>866284</v>
      </c>
      <c r="D188" s="91">
        <v>19475012970</v>
      </c>
      <c r="E188" s="55">
        <v>6.4846087069325667E-2</v>
      </c>
      <c r="F188" s="88">
        <v>224.81095079673639</v>
      </c>
      <c r="G188" s="110"/>
      <c r="H188" s="57" t="str">
        <f t="shared" si="2"/>
        <v>(200, 250]</v>
      </c>
      <c r="I188" s="208">
        <v>0</v>
      </c>
      <c r="J188" s="107">
        <v>0</v>
      </c>
      <c r="K188" s="107">
        <v>0</v>
      </c>
      <c r="L188" s="108">
        <v>0</v>
      </c>
      <c r="M188" s="107">
        <v>0</v>
      </c>
      <c r="N188" s="107">
        <v>0</v>
      </c>
      <c r="O188" s="110"/>
      <c r="P188" s="55">
        <v>0</v>
      </c>
      <c r="Q188" s="206">
        <v>2.0060522441331493E-2</v>
      </c>
      <c r="R188" s="55">
        <v>6.0240963855421686E-2</v>
      </c>
      <c r="S188" s="78">
        <v>0</v>
      </c>
      <c r="T188" s="95"/>
    </row>
    <row r="189" spans="1:20">
      <c r="A189" s="54">
        <v>250</v>
      </c>
      <c r="B189" s="54">
        <v>300</v>
      </c>
      <c r="C189" s="91">
        <v>810514</v>
      </c>
      <c r="D189" s="91">
        <v>22265421400</v>
      </c>
      <c r="E189" s="55">
        <v>6.0671398080661097E-2</v>
      </c>
      <c r="F189" s="88">
        <v>274.70742516477202</v>
      </c>
      <c r="G189" s="110"/>
      <c r="H189" s="57" t="str">
        <f t="shared" si="2"/>
        <v>(250, 300]</v>
      </c>
      <c r="I189" s="208">
        <v>0</v>
      </c>
      <c r="J189" s="107">
        <v>0</v>
      </c>
      <c r="K189" s="107">
        <v>0</v>
      </c>
      <c r="L189" s="108">
        <v>0</v>
      </c>
      <c r="M189" s="107">
        <v>0</v>
      </c>
      <c r="N189" s="107">
        <v>0</v>
      </c>
      <c r="O189" s="110"/>
      <c r="P189" s="55">
        <v>0</v>
      </c>
      <c r="Q189" s="206">
        <v>5.6530021243660468E-3</v>
      </c>
      <c r="R189" s="55">
        <v>2.4096385542168676E-2</v>
      </c>
      <c r="S189" s="78">
        <v>0</v>
      </c>
      <c r="T189" s="95"/>
    </row>
    <row r="190" spans="1:20">
      <c r="A190" s="54">
        <v>300</v>
      </c>
      <c r="B190" s="54">
        <v>350</v>
      </c>
      <c r="C190" s="91">
        <v>745650</v>
      </c>
      <c r="D190" s="91">
        <v>24204985950</v>
      </c>
      <c r="E190" s="55">
        <v>5.5815973541289782E-2</v>
      </c>
      <c r="F190" s="88">
        <v>324.6159183262925</v>
      </c>
      <c r="G190" s="110"/>
      <c r="H190" s="57" t="str">
        <f t="shared" si="2"/>
        <v>(300, 350]</v>
      </c>
      <c r="I190" s="208">
        <v>0</v>
      </c>
      <c r="J190" s="107">
        <v>0</v>
      </c>
      <c r="K190" s="107">
        <v>0</v>
      </c>
      <c r="L190" s="108">
        <v>0</v>
      </c>
      <c r="M190" s="107">
        <v>0</v>
      </c>
      <c r="N190" s="107">
        <v>0</v>
      </c>
      <c r="O190" s="110"/>
      <c r="P190" s="55">
        <v>0</v>
      </c>
      <c r="Q190" s="206">
        <v>4.8534741067764306E-3</v>
      </c>
      <c r="R190" s="55">
        <v>1.2048192771084338E-2</v>
      </c>
      <c r="S190" s="78">
        <v>0</v>
      </c>
      <c r="T190" s="95"/>
    </row>
    <row r="191" spans="1:20">
      <c r="A191" s="54">
        <v>350</v>
      </c>
      <c r="B191" s="54">
        <v>400</v>
      </c>
      <c r="C191" s="91">
        <v>678262</v>
      </c>
      <c r="D191" s="91">
        <v>25409728735</v>
      </c>
      <c r="E191" s="55">
        <v>5.077161382158156E-2</v>
      </c>
      <c r="F191" s="88">
        <v>374.62999158142424</v>
      </c>
      <c r="G191" s="110"/>
      <c r="H191" s="57" t="str">
        <f t="shared" si="2"/>
        <v>(350, 400]</v>
      </c>
      <c r="I191" s="208">
        <v>0</v>
      </c>
      <c r="J191" s="107">
        <v>0</v>
      </c>
      <c r="K191" s="107">
        <v>0</v>
      </c>
      <c r="L191" s="108">
        <v>0</v>
      </c>
      <c r="M191" s="107">
        <v>0</v>
      </c>
      <c r="N191" s="107">
        <v>0</v>
      </c>
      <c r="O191" s="110"/>
      <c r="P191" s="55">
        <v>0</v>
      </c>
      <c r="Q191" s="206">
        <v>6.8415601505143232E-4</v>
      </c>
      <c r="R191" s="55">
        <v>0</v>
      </c>
      <c r="S191" s="78">
        <v>0</v>
      </c>
      <c r="T191" s="95"/>
    </row>
    <row r="192" spans="1:20">
      <c r="A192" s="54">
        <v>400</v>
      </c>
      <c r="B192" s="54">
        <v>450</v>
      </c>
      <c r="C192" s="91">
        <v>612189</v>
      </c>
      <c r="D192" s="91">
        <v>25994462860</v>
      </c>
      <c r="E192" s="55">
        <v>4.5825689031407033E-2</v>
      </c>
      <c r="F192" s="88">
        <v>424.6149940622912</v>
      </c>
      <c r="G192" s="110"/>
      <c r="H192" s="57" t="str">
        <f t="shared" si="2"/>
        <v>(400, 450]</v>
      </c>
      <c r="I192" s="208">
        <v>0</v>
      </c>
      <c r="J192" s="107">
        <v>0</v>
      </c>
      <c r="K192" s="107">
        <v>0</v>
      </c>
      <c r="L192" s="108">
        <v>0</v>
      </c>
      <c r="M192" s="107">
        <v>0</v>
      </c>
      <c r="N192" s="107">
        <v>0</v>
      </c>
      <c r="O192" s="110"/>
      <c r="P192" s="55">
        <v>0</v>
      </c>
      <c r="Q192" s="206">
        <v>6.1849301360684635E-4</v>
      </c>
      <c r="R192" s="55">
        <v>0</v>
      </c>
      <c r="S192" s="78">
        <v>0</v>
      </c>
      <c r="T192" s="95"/>
    </row>
    <row r="193" spans="1:20">
      <c r="A193" s="54">
        <v>450</v>
      </c>
      <c r="B193" s="54">
        <v>500</v>
      </c>
      <c r="C193" s="91">
        <v>550759</v>
      </c>
      <c r="D193" s="91">
        <v>26138073190</v>
      </c>
      <c r="E193" s="55">
        <v>4.122731814071913E-2</v>
      </c>
      <c r="F193" s="88">
        <v>474.58277014084194</v>
      </c>
      <c r="G193" s="110"/>
      <c r="H193" s="57" t="str">
        <f t="shared" si="2"/>
        <v>(450, 500]</v>
      </c>
      <c r="I193" s="208">
        <v>0</v>
      </c>
      <c r="J193" s="107">
        <v>0</v>
      </c>
      <c r="K193" s="107">
        <v>0</v>
      </c>
      <c r="L193" s="108">
        <v>0</v>
      </c>
      <c r="M193" s="107">
        <v>0</v>
      </c>
      <c r="N193" s="107">
        <v>0</v>
      </c>
      <c r="O193" s="110"/>
      <c r="P193" s="55">
        <v>0</v>
      </c>
      <c r="Q193" s="206">
        <v>5.5034501210759026E-4</v>
      </c>
      <c r="R193" s="55">
        <v>0</v>
      </c>
      <c r="S193" s="78">
        <v>0</v>
      </c>
      <c r="T193" s="95"/>
    </row>
    <row r="194" spans="1:20">
      <c r="A194" s="54">
        <v>500</v>
      </c>
      <c r="B194" s="54">
        <v>550</v>
      </c>
      <c r="C194" s="91">
        <v>495764</v>
      </c>
      <c r="D194" s="91">
        <v>26005662785</v>
      </c>
      <c r="E194" s="55">
        <v>3.711064213333868E-2</v>
      </c>
      <c r="F194" s="88">
        <v>524.55730518956602</v>
      </c>
      <c r="G194" s="110"/>
      <c r="H194" s="57" t="str">
        <f t="shared" si="2"/>
        <v>(500, 550]</v>
      </c>
      <c r="I194" s="208">
        <v>0</v>
      </c>
      <c r="J194" s="107">
        <v>0</v>
      </c>
      <c r="K194" s="107">
        <v>0</v>
      </c>
      <c r="L194" s="108">
        <v>0</v>
      </c>
      <c r="M194" s="107">
        <v>0</v>
      </c>
      <c r="N194" s="107">
        <v>0</v>
      </c>
      <c r="O194" s="110"/>
      <c r="P194" s="55">
        <v>0</v>
      </c>
      <c r="Q194" s="206">
        <v>4.9546201090016424E-4</v>
      </c>
      <c r="R194" s="55">
        <v>0</v>
      </c>
      <c r="S194" s="78">
        <v>0</v>
      </c>
      <c r="T194" s="95"/>
    </row>
    <row r="195" spans="1:20">
      <c r="A195" s="54">
        <v>550</v>
      </c>
      <c r="B195" s="54">
        <v>600</v>
      </c>
      <c r="C195" s="91">
        <v>444300</v>
      </c>
      <c r="D195" s="91">
        <v>25529574265</v>
      </c>
      <c r="E195" s="55">
        <v>3.3258280754234627E-2</v>
      </c>
      <c r="F195" s="88">
        <v>574.60216666666668</v>
      </c>
      <c r="G195" s="110"/>
      <c r="H195" s="57" t="str">
        <f t="shared" si="2"/>
        <v>(550, 600]</v>
      </c>
      <c r="I195" s="207">
        <v>0</v>
      </c>
      <c r="J195" s="55">
        <v>0</v>
      </c>
      <c r="K195" s="55">
        <v>0</v>
      </c>
      <c r="L195" s="108">
        <v>0</v>
      </c>
      <c r="M195" s="55">
        <v>0</v>
      </c>
      <c r="N195" s="55">
        <v>0</v>
      </c>
      <c r="O195" s="110"/>
      <c r="P195" s="55">
        <v>0</v>
      </c>
      <c r="Q195" s="206">
        <v>4.4155900971429822E-4</v>
      </c>
      <c r="R195" s="55">
        <v>0</v>
      </c>
      <c r="S195" s="78">
        <v>0</v>
      </c>
      <c r="T195" s="95"/>
    </row>
    <row r="196" spans="1:20">
      <c r="A196" s="54">
        <v>600</v>
      </c>
      <c r="B196" s="54">
        <v>650</v>
      </c>
      <c r="C196" s="91">
        <v>397517</v>
      </c>
      <c r="D196" s="91">
        <v>24828473615</v>
      </c>
      <c r="E196" s="55">
        <v>2.9756317782086626E-2</v>
      </c>
      <c r="F196" s="88">
        <v>624.5889764462903</v>
      </c>
      <c r="G196" s="110"/>
      <c r="H196" s="57" t="str">
        <f t="shared" si="2"/>
        <v>(600, 650]</v>
      </c>
      <c r="I196" s="207">
        <v>0</v>
      </c>
      <c r="J196" s="55">
        <v>0</v>
      </c>
      <c r="K196" s="55">
        <v>0</v>
      </c>
      <c r="L196" s="108">
        <v>0</v>
      </c>
      <c r="M196" s="55">
        <v>0</v>
      </c>
      <c r="N196" s="55">
        <v>0</v>
      </c>
      <c r="O196" s="110"/>
      <c r="P196" s="55">
        <v>0</v>
      </c>
      <c r="Q196" s="206">
        <v>3.923070086307542E-4</v>
      </c>
      <c r="R196" s="55">
        <v>0</v>
      </c>
      <c r="S196" s="78">
        <v>0</v>
      </c>
      <c r="T196" s="95"/>
    </row>
    <row r="197" spans="1:20">
      <c r="A197" s="54">
        <v>650</v>
      </c>
      <c r="B197" s="54">
        <v>700</v>
      </c>
      <c r="C197" s="91">
        <v>357881</v>
      </c>
      <c r="D197" s="91">
        <v>24142228060</v>
      </c>
      <c r="E197" s="55">
        <v>2.6789346780567731E-2</v>
      </c>
      <c r="F197" s="88">
        <v>674.58814689799124</v>
      </c>
      <c r="G197" s="110"/>
      <c r="H197" s="57" t="str">
        <f t="shared" si="2"/>
        <v>(650, 700]</v>
      </c>
      <c r="I197" s="207">
        <v>0</v>
      </c>
      <c r="J197" s="55">
        <v>0</v>
      </c>
      <c r="K197" s="55">
        <v>0</v>
      </c>
      <c r="L197" s="108">
        <v>0</v>
      </c>
      <c r="M197" s="55">
        <v>0</v>
      </c>
      <c r="N197" s="55">
        <v>0</v>
      </c>
      <c r="O197" s="110"/>
      <c r="P197" s="55">
        <v>0</v>
      </c>
      <c r="Q197" s="206">
        <v>3.4953800768983617E-4</v>
      </c>
      <c r="R197" s="55">
        <v>0</v>
      </c>
      <c r="S197" s="78">
        <v>0</v>
      </c>
      <c r="T197" s="95"/>
    </row>
    <row r="198" spans="1:20">
      <c r="A198" s="54">
        <v>700</v>
      </c>
      <c r="B198" s="54">
        <v>750</v>
      </c>
      <c r="C198" s="91">
        <v>320772</v>
      </c>
      <c r="D198" s="91">
        <v>23243216110</v>
      </c>
      <c r="E198" s="55">
        <v>2.4011535525764911E-2</v>
      </c>
      <c r="F198" s="88">
        <v>724.60240014714498</v>
      </c>
      <c r="G198" s="110"/>
      <c r="H198" s="57" t="str">
        <f t="shared" si="2"/>
        <v>(700, 750]</v>
      </c>
      <c r="I198" s="207">
        <v>0</v>
      </c>
      <c r="J198" s="55">
        <v>0</v>
      </c>
      <c r="K198" s="55">
        <v>0</v>
      </c>
      <c r="L198" s="108">
        <v>0</v>
      </c>
      <c r="M198" s="55">
        <v>0</v>
      </c>
      <c r="N198" s="55">
        <v>0</v>
      </c>
      <c r="O198" s="110"/>
      <c r="P198" s="55">
        <v>0</v>
      </c>
      <c r="Q198" s="206">
        <v>3.0851800678739614E-4</v>
      </c>
      <c r="R198" s="55">
        <v>0</v>
      </c>
      <c r="S198" s="78">
        <v>0</v>
      </c>
      <c r="T198" s="95"/>
    </row>
    <row r="199" spans="1:20">
      <c r="A199" s="54">
        <v>750</v>
      </c>
      <c r="B199" s="54">
        <v>800</v>
      </c>
      <c r="C199" s="91">
        <v>288605</v>
      </c>
      <c r="D199" s="91">
        <v>22354789685</v>
      </c>
      <c r="E199" s="55">
        <v>2.1603659952905436E-2</v>
      </c>
      <c r="F199" s="88">
        <v>774.58081755340345</v>
      </c>
      <c r="G199" s="110"/>
      <c r="H199" s="57" t="str">
        <f t="shared" si="2"/>
        <v>(750, 800]</v>
      </c>
      <c r="I199" s="207">
        <v>0</v>
      </c>
      <c r="J199" s="55">
        <v>0</v>
      </c>
      <c r="K199" s="55">
        <v>0</v>
      </c>
      <c r="L199" s="108">
        <v>0</v>
      </c>
      <c r="M199" s="55">
        <v>0</v>
      </c>
      <c r="N199" s="55">
        <v>0</v>
      </c>
      <c r="O199" s="110"/>
      <c r="P199" s="55">
        <v>0</v>
      </c>
      <c r="Q199" s="206">
        <v>2.7821700612077412E-4</v>
      </c>
      <c r="R199" s="55">
        <v>0</v>
      </c>
      <c r="S199" s="78">
        <v>0</v>
      </c>
      <c r="T199" s="95"/>
    </row>
    <row r="200" spans="1:20">
      <c r="A200" s="54">
        <v>800</v>
      </c>
      <c r="B200" s="54">
        <v>850</v>
      </c>
      <c r="C200" s="91">
        <v>259441</v>
      </c>
      <c r="D200" s="91">
        <v>21393204670</v>
      </c>
      <c r="E200" s="55">
        <v>1.9420575325589436E-2</v>
      </c>
      <c r="F200" s="88">
        <v>824.58842935388009</v>
      </c>
      <c r="G200" s="110"/>
      <c r="H200" s="57" t="str">
        <f t="shared" si="2"/>
        <v>(800, 850]</v>
      </c>
      <c r="I200" s="207">
        <v>0</v>
      </c>
      <c r="J200" s="55">
        <v>0</v>
      </c>
      <c r="K200" s="55">
        <v>0</v>
      </c>
      <c r="L200" s="108">
        <v>0</v>
      </c>
      <c r="M200" s="55">
        <v>0</v>
      </c>
      <c r="N200" s="55">
        <v>0</v>
      </c>
      <c r="O200" s="110"/>
      <c r="P200" s="55">
        <v>0</v>
      </c>
      <c r="Q200" s="206">
        <v>2.487020054714441E-4</v>
      </c>
      <c r="R200" s="55">
        <v>0</v>
      </c>
      <c r="S200" s="78">
        <v>0</v>
      </c>
      <c r="T200" s="95"/>
    </row>
    <row r="201" spans="1:20">
      <c r="A201" s="54">
        <v>850</v>
      </c>
      <c r="B201" s="54">
        <v>900</v>
      </c>
      <c r="C201" s="91">
        <v>234161</v>
      </c>
      <c r="D201" s="91">
        <v>20478949655</v>
      </c>
      <c r="E201" s="55">
        <v>1.7528229303831497E-2</v>
      </c>
      <c r="F201" s="88">
        <v>874.56705664051651</v>
      </c>
      <c r="G201" s="110"/>
      <c r="H201" s="57" t="str">
        <f t="shared" si="2"/>
        <v>(850, 900]</v>
      </c>
      <c r="I201" s="207">
        <v>0</v>
      </c>
      <c r="J201" s="55">
        <v>0</v>
      </c>
      <c r="K201" s="55">
        <v>0</v>
      </c>
      <c r="L201" s="79">
        <v>0</v>
      </c>
      <c r="M201" s="55">
        <v>0</v>
      </c>
      <c r="N201" s="55">
        <v>0</v>
      </c>
      <c r="O201" s="110"/>
      <c r="P201" s="55">
        <v>0</v>
      </c>
      <c r="Q201" s="206">
        <v>2.218730048812061E-4</v>
      </c>
      <c r="R201" s="55">
        <v>0</v>
      </c>
      <c r="S201" s="78">
        <v>0</v>
      </c>
      <c r="T201" s="95"/>
    </row>
    <row r="202" spans="1:20">
      <c r="A202" s="54">
        <v>900</v>
      </c>
      <c r="B202" s="54">
        <v>950</v>
      </c>
      <c r="C202" s="91">
        <v>212035</v>
      </c>
      <c r="D202" s="91">
        <v>19604556485</v>
      </c>
      <c r="E202" s="55">
        <v>1.5871977402034977E-2</v>
      </c>
      <c r="F202" s="88">
        <v>924.59058575235224</v>
      </c>
      <c r="G202" s="110"/>
      <c r="H202" s="57" t="str">
        <f t="shared" si="2"/>
        <v>(900, 950]</v>
      </c>
      <c r="I202" s="207">
        <v>0</v>
      </c>
      <c r="J202" s="55">
        <v>0</v>
      </c>
      <c r="K202" s="55">
        <v>0</v>
      </c>
      <c r="L202" s="79">
        <v>0</v>
      </c>
      <c r="M202" s="55">
        <v>0</v>
      </c>
      <c r="N202" s="55">
        <v>0</v>
      </c>
      <c r="O202" s="110"/>
      <c r="P202" s="55">
        <v>0</v>
      </c>
      <c r="Q202" s="206">
        <v>1.9943400438754809E-4</v>
      </c>
      <c r="R202" s="55">
        <v>0</v>
      </c>
      <c r="S202" s="78">
        <v>0</v>
      </c>
      <c r="T202" s="95"/>
    </row>
    <row r="203" spans="1:20">
      <c r="A203" s="54">
        <v>950</v>
      </c>
      <c r="B203" s="54">
        <v>1000</v>
      </c>
      <c r="C203" s="91">
        <v>190359</v>
      </c>
      <c r="D203" s="91">
        <v>18552517680</v>
      </c>
      <c r="E203" s="55">
        <v>1.42494104571131E-2</v>
      </c>
      <c r="F203" s="88">
        <v>974.60680503679896</v>
      </c>
      <c r="G203" s="110"/>
      <c r="H203" s="57" t="str">
        <f t="shared" si="2"/>
        <v>(950, 1000]</v>
      </c>
      <c r="I203" s="207">
        <v>0</v>
      </c>
      <c r="J203" s="55">
        <v>0</v>
      </c>
      <c r="K203" s="55">
        <v>0</v>
      </c>
      <c r="L203" s="79">
        <v>0</v>
      </c>
      <c r="M203" s="55">
        <v>0</v>
      </c>
      <c r="N203" s="55">
        <v>0</v>
      </c>
      <c r="O203" s="110"/>
      <c r="P203" s="55">
        <v>0</v>
      </c>
      <c r="Q203" s="206">
        <v>1.7992900395843807E-4</v>
      </c>
      <c r="R203" s="55">
        <v>0</v>
      </c>
      <c r="S203" s="78">
        <v>0</v>
      </c>
      <c r="T203" s="95"/>
    </row>
    <row r="204" spans="1:20">
      <c r="A204" s="54">
        <v>1000</v>
      </c>
      <c r="B204" s="54">
        <v>2000</v>
      </c>
      <c r="C204" s="91">
        <v>1675743</v>
      </c>
      <c r="D204" s="91">
        <v>228628345675</v>
      </c>
      <c r="E204" s="55">
        <v>0.12543851263998065</v>
      </c>
      <c r="F204" s="88">
        <v>1364.3401504586323</v>
      </c>
      <c r="G204" s="110"/>
      <c r="H204" s="57" t="str">
        <f t="shared" si="2"/>
        <v>(1000, 2000]</v>
      </c>
      <c r="I204" s="207">
        <v>0</v>
      </c>
      <c r="J204" s="55">
        <v>0</v>
      </c>
      <c r="K204" s="55">
        <v>0</v>
      </c>
      <c r="L204" s="79">
        <v>0</v>
      </c>
      <c r="M204" s="55">
        <v>0</v>
      </c>
      <c r="N204" s="55">
        <v>0</v>
      </c>
      <c r="O204" s="110"/>
      <c r="P204" s="55">
        <v>0</v>
      </c>
      <c r="Q204" s="206">
        <v>1.4766200324856408E-4</v>
      </c>
      <c r="R204" s="55">
        <v>0</v>
      </c>
      <c r="S204" s="78">
        <v>0</v>
      </c>
      <c r="T204" s="95"/>
    </row>
    <row r="205" spans="1:20">
      <c r="A205" s="54">
        <v>2000</v>
      </c>
      <c r="B205" s="54">
        <v>3000</v>
      </c>
      <c r="C205" s="91">
        <v>395119</v>
      </c>
      <c r="D205" s="91">
        <v>95080202100</v>
      </c>
      <c r="E205" s="55">
        <v>2.9576814389674619E-2</v>
      </c>
      <c r="F205" s="88">
        <v>2406.3687673840036</v>
      </c>
      <c r="G205" s="110"/>
      <c r="H205" s="57" t="str">
        <f t="shared" si="2"/>
        <v>(2000, 3000]</v>
      </c>
      <c r="I205" s="207">
        <v>0</v>
      </c>
      <c r="J205" s="55">
        <v>0</v>
      </c>
      <c r="K205" s="55">
        <v>0</v>
      </c>
      <c r="L205" s="79">
        <v>0</v>
      </c>
      <c r="M205" s="55">
        <v>0</v>
      </c>
      <c r="N205" s="55">
        <v>0</v>
      </c>
      <c r="O205" s="110"/>
      <c r="P205" s="55">
        <v>0</v>
      </c>
      <c r="Q205" s="206">
        <v>4.7172001037784021E-4</v>
      </c>
      <c r="R205" s="55">
        <v>0</v>
      </c>
      <c r="S205" s="78">
        <v>0</v>
      </c>
      <c r="T205" s="95"/>
    </row>
    <row r="206" spans="1:20">
      <c r="A206" s="54">
        <v>3000</v>
      </c>
      <c r="B206" s="54">
        <v>4000</v>
      </c>
      <c r="C206" s="91">
        <v>149840</v>
      </c>
      <c r="D206" s="91">
        <v>51465395410</v>
      </c>
      <c r="E206" s="55">
        <v>1.1216342084660177E-2</v>
      </c>
      <c r="F206" s="88">
        <v>3434.6900300320344</v>
      </c>
      <c r="G206" s="110"/>
      <c r="H206" s="57" t="str">
        <f t="shared" si="2"/>
        <v>(3000, 4000]</v>
      </c>
      <c r="I206" s="207">
        <v>0</v>
      </c>
      <c r="J206" s="55">
        <v>0</v>
      </c>
      <c r="K206" s="55">
        <v>0</v>
      </c>
      <c r="L206" s="79">
        <v>0</v>
      </c>
      <c r="M206" s="55">
        <v>0</v>
      </c>
      <c r="N206" s="55">
        <v>0</v>
      </c>
      <c r="O206" s="110"/>
      <c r="P206" s="55">
        <v>0</v>
      </c>
      <c r="Q206" s="206">
        <v>6.3183001390026028E-5</v>
      </c>
      <c r="R206" s="55">
        <v>0</v>
      </c>
      <c r="S206" s="78">
        <v>0</v>
      </c>
    </row>
    <row r="207" spans="1:20">
      <c r="A207" s="54">
        <v>4000</v>
      </c>
      <c r="B207" s="54">
        <v>5000</v>
      </c>
      <c r="C207" s="91">
        <v>75562</v>
      </c>
      <c r="D207" s="91">
        <v>33658989635</v>
      </c>
      <c r="E207" s="55">
        <v>5.6562282474712519E-3</v>
      </c>
      <c r="F207" s="88">
        <v>4454.4863337391816</v>
      </c>
      <c r="G207" s="110"/>
      <c r="H207" s="57" t="str">
        <f t="shared" si="2"/>
        <v>(4000, 5000]</v>
      </c>
      <c r="I207" s="207">
        <v>0</v>
      </c>
      <c r="J207" s="55">
        <v>0</v>
      </c>
      <c r="K207" s="55">
        <v>0</v>
      </c>
      <c r="L207" s="79">
        <v>0</v>
      </c>
      <c r="M207" s="55">
        <v>0</v>
      </c>
      <c r="N207" s="55">
        <v>0</v>
      </c>
      <c r="O207" s="110"/>
      <c r="P207" s="55">
        <v>0</v>
      </c>
      <c r="Q207" s="206">
        <v>3.2266000709852017E-5</v>
      </c>
      <c r="R207" s="55">
        <v>0</v>
      </c>
      <c r="S207" s="78">
        <v>0</v>
      </c>
    </row>
    <row r="208" spans="1:20">
      <c r="A208" s="54">
        <v>5000</v>
      </c>
      <c r="B208" s="54">
        <v>6000</v>
      </c>
      <c r="C208" s="91">
        <v>47753</v>
      </c>
      <c r="D208" s="91">
        <v>26112802495</v>
      </c>
      <c r="E208" s="55">
        <v>3.5745727680777995E-3</v>
      </c>
      <c r="F208" s="88">
        <v>5468.3061786694034</v>
      </c>
      <c r="G208" s="110"/>
      <c r="H208" s="57" t="str">
        <f t="shared" si="2"/>
        <v>(5000, 6000]</v>
      </c>
      <c r="I208" s="207">
        <v>0</v>
      </c>
      <c r="J208" s="55">
        <v>0</v>
      </c>
      <c r="K208" s="55">
        <v>0</v>
      </c>
      <c r="L208" s="79">
        <v>0</v>
      </c>
      <c r="M208" s="55">
        <v>0</v>
      </c>
      <c r="N208" s="55">
        <v>0</v>
      </c>
      <c r="O208" s="110"/>
      <c r="P208" s="55">
        <v>0</v>
      </c>
      <c r="Q208" s="206">
        <v>1.3508000297176007E-5</v>
      </c>
      <c r="R208" s="55">
        <v>0</v>
      </c>
      <c r="S208" s="78">
        <v>0</v>
      </c>
    </row>
    <row r="209" spans="1:19">
      <c r="A209" s="54">
        <v>6000</v>
      </c>
      <c r="B209" s="54">
        <v>7000</v>
      </c>
      <c r="C209" s="91">
        <v>34884</v>
      </c>
      <c r="D209" s="91">
        <v>22603347610</v>
      </c>
      <c r="E209" s="55">
        <v>2.6112578569226215E-3</v>
      </c>
      <c r="F209" s="88">
        <v>6479.5744782708407</v>
      </c>
      <c r="G209" s="110"/>
      <c r="H209" s="57" t="str">
        <f t="shared" si="2"/>
        <v>(6000, 7000]</v>
      </c>
      <c r="I209" s="207">
        <v>0</v>
      </c>
      <c r="J209" s="55">
        <v>0</v>
      </c>
      <c r="K209" s="55">
        <v>0</v>
      </c>
      <c r="L209" s="79">
        <v>0</v>
      </c>
      <c r="M209" s="55">
        <v>0</v>
      </c>
      <c r="N209" s="55">
        <v>0</v>
      </c>
      <c r="O209" s="110"/>
      <c r="P209" s="55">
        <v>0</v>
      </c>
      <c r="Q209" s="206">
        <v>0</v>
      </c>
      <c r="R209" s="55">
        <v>0</v>
      </c>
      <c r="S209" s="78">
        <v>0</v>
      </c>
    </row>
    <row r="210" spans="1:19">
      <c r="A210" s="54">
        <v>7000</v>
      </c>
      <c r="B210" s="54">
        <v>8000</v>
      </c>
      <c r="C210" s="91">
        <v>28669</v>
      </c>
      <c r="D210" s="91">
        <v>21454035245</v>
      </c>
      <c r="E210" s="55">
        <v>2.1460311747538885E-3</v>
      </c>
      <c r="F210" s="88">
        <v>7483.3566727126863</v>
      </c>
      <c r="G210" s="110"/>
      <c r="H210" s="57" t="str">
        <f t="shared" si="2"/>
        <v>(7000, 8000]</v>
      </c>
      <c r="I210" s="207">
        <v>0</v>
      </c>
      <c r="J210" s="55">
        <v>0</v>
      </c>
      <c r="K210" s="55">
        <v>0</v>
      </c>
      <c r="L210" s="79">
        <v>0</v>
      </c>
      <c r="M210" s="55">
        <v>0</v>
      </c>
      <c r="N210" s="55">
        <v>0</v>
      </c>
      <c r="O210" s="110"/>
      <c r="P210" s="55">
        <v>0</v>
      </c>
      <c r="Q210" s="206">
        <v>0</v>
      </c>
      <c r="R210" s="55">
        <v>0</v>
      </c>
      <c r="S210" s="78">
        <v>0</v>
      </c>
    </row>
    <row r="211" spans="1:19">
      <c r="A211" s="54">
        <v>8000</v>
      </c>
      <c r="B211" s="54">
        <v>9000</v>
      </c>
      <c r="C211" s="91">
        <v>25766</v>
      </c>
      <c r="D211" s="91">
        <v>21873968105</v>
      </c>
      <c r="E211" s="55">
        <v>1.9287257751825556E-3</v>
      </c>
      <c r="F211" s="88">
        <v>8489.4698847318177</v>
      </c>
      <c r="G211" s="110"/>
      <c r="H211" s="57" t="str">
        <f t="shared" si="2"/>
        <v>(8000, 9000]</v>
      </c>
      <c r="I211" s="207">
        <v>0</v>
      </c>
      <c r="J211" s="55">
        <v>0</v>
      </c>
      <c r="K211" s="55">
        <v>0</v>
      </c>
      <c r="L211" s="79">
        <v>0</v>
      </c>
      <c r="M211" s="55">
        <v>0</v>
      </c>
      <c r="N211" s="55">
        <v>0</v>
      </c>
      <c r="O211" s="110"/>
      <c r="P211" s="55">
        <v>0</v>
      </c>
      <c r="Q211" s="206">
        <v>0</v>
      </c>
      <c r="R211" s="55">
        <v>0</v>
      </c>
      <c r="S211" s="78">
        <v>0</v>
      </c>
    </row>
    <row r="212" spans="1:19">
      <c r="A212" s="54">
        <v>9000</v>
      </c>
      <c r="B212" s="54">
        <v>10000</v>
      </c>
      <c r="C212" s="91">
        <v>23648</v>
      </c>
      <c r="D212" s="91">
        <v>22458616065</v>
      </c>
      <c r="E212" s="55">
        <v>1.7701819114925512E-3</v>
      </c>
      <c r="F212" s="88">
        <v>9497.0467121955353</v>
      </c>
      <c r="G212" s="110"/>
      <c r="H212" s="57" t="str">
        <f t="shared" si="2"/>
        <v>(9000, 10000]</v>
      </c>
      <c r="I212" s="207">
        <v>0</v>
      </c>
      <c r="J212" s="55">
        <v>0</v>
      </c>
      <c r="K212" s="55">
        <v>0</v>
      </c>
      <c r="L212" s="79">
        <v>0</v>
      </c>
      <c r="M212" s="55">
        <v>0</v>
      </c>
      <c r="N212" s="55">
        <v>0</v>
      </c>
      <c r="O212" s="110"/>
      <c r="P212" s="55">
        <v>0</v>
      </c>
      <c r="Q212" s="206">
        <v>0</v>
      </c>
      <c r="R212" s="55">
        <v>0</v>
      </c>
      <c r="S212" s="78">
        <v>0</v>
      </c>
    </row>
    <row r="213" spans="1:19">
      <c r="A213" s="54">
        <v>10000</v>
      </c>
      <c r="B213" s="54">
        <v>20000</v>
      </c>
      <c r="C213" s="91">
        <v>176438</v>
      </c>
      <c r="D213" s="91">
        <v>256342652640</v>
      </c>
      <c r="E213" s="55">
        <v>1.3207347602330969E-2</v>
      </c>
      <c r="F213" s="88">
        <v>14528.766628504065</v>
      </c>
      <c r="G213" s="110"/>
      <c r="H213" s="57" t="str">
        <f t="shared" si="2"/>
        <v>(10000, 20000]</v>
      </c>
      <c r="I213" s="207">
        <v>0</v>
      </c>
      <c r="J213" s="55">
        <v>0</v>
      </c>
      <c r="K213" s="55">
        <v>0</v>
      </c>
      <c r="L213" s="79">
        <v>0</v>
      </c>
      <c r="M213" s="55">
        <v>0</v>
      </c>
      <c r="N213" s="55">
        <v>0</v>
      </c>
      <c r="O213" s="110"/>
      <c r="P213" s="55">
        <v>0</v>
      </c>
      <c r="Q213" s="206">
        <v>0</v>
      </c>
      <c r="R213" s="55">
        <v>0</v>
      </c>
      <c r="S213" s="78">
        <v>0</v>
      </c>
    </row>
    <row r="214" spans="1:19">
      <c r="A214" s="54">
        <v>20000</v>
      </c>
      <c r="B214" s="54">
        <v>30000</v>
      </c>
      <c r="C214" s="91">
        <v>92612</v>
      </c>
      <c r="D214" s="91">
        <v>225763924980</v>
      </c>
      <c r="E214" s="55">
        <v>6.9325138357217587E-3</v>
      </c>
      <c r="F214" s="88">
        <v>24377.394395974603</v>
      </c>
      <c r="G214" s="110"/>
      <c r="H214" s="57" t="str">
        <f t="shared" si="2"/>
        <v>(20000, 30000]</v>
      </c>
      <c r="I214" s="207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10"/>
      <c r="P214" s="55">
        <v>0</v>
      </c>
      <c r="Q214" s="206">
        <v>0</v>
      </c>
      <c r="R214" s="55">
        <v>0</v>
      </c>
      <c r="S214" s="78">
        <v>0</v>
      </c>
    </row>
    <row r="215" spans="1:19">
      <c r="A215" s="54">
        <v>30000</v>
      </c>
      <c r="B215" s="54">
        <v>40000</v>
      </c>
      <c r="C215" s="91">
        <v>42138</v>
      </c>
      <c r="D215" s="91">
        <v>144636428980</v>
      </c>
      <c r="E215" s="55">
        <v>3.1542593617419285E-3</v>
      </c>
      <c r="F215" s="88">
        <v>34324.464611514544</v>
      </c>
      <c r="G215" s="110"/>
      <c r="H215" s="57" t="str">
        <f t="shared" si="2"/>
        <v>(30000, 40000]</v>
      </c>
      <c r="I215" s="207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10"/>
      <c r="P215" s="55">
        <v>0</v>
      </c>
      <c r="Q215" s="206">
        <v>0</v>
      </c>
      <c r="R215" s="55">
        <v>0</v>
      </c>
      <c r="S215" s="78">
        <v>0</v>
      </c>
    </row>
    <row r="216" spans="1:19">
      <c r="A216" s="54">
        <v>40000</v>
      </c>
      <c r="B216" s="54">
        <v>50000</v>
      </c>
      <c r="C216" s="91">
        <v>18084</v>
      </c>
      <c r="D216" s="91">
        <v>80077871140</v>
      </c>
      <c r="E216" s="55">
        <v>1.3536861336024737E-3</v>
      </c>
      <c r="F216" s="88">
        <v>44281.061236452115</v>
      </c>
      <c r="G216" s="110"/>
      <c r="H216" s="57" t="str">
        <f t="shared" si="2"/>
        <v>(40000, 50000]</v>
      </c>
      <c r="I216" s="207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10"/>
      <c r="P216" s="55">
        <v>0</v>
      </c>
      <c r="Q216" s="206">
        <v>0</v>
      </c>
      <c r="R216" s="55">
        <v>0</v>
      </c>
      <c r="S216" s="78">
        <v>0</v>
      </c>
    </row>
    <row r="217" spans="1:19">
      <c r="A217" s="54">
        <v>50000</v>
      </c>
      <c r="B217" s="54">
        <v>60000</v>
      </c>
      <c r="C217" s="91">
        <v>7465</v>
      </c>
      <c r="D217" s="91">
        <v>40544821650</v>
      </c>
      <c r="E217" s="55">
        <v>5.5879600682053011E-4</v>
      </c>
      <c r="F217" s="88">
        <v>54313.223911587411</v>
      </c>
      <c r="G217" s="110"/>
      <c r="H217" s="57" t="str">
        <f t="shared" si="2"/>
        <v>(50000, 60000]</v>
      </c>
      <c r="I217" s="207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10"/>
      <c r="P217" s="55">
        <v>0</v>
      </c>
      <c r="Q217" s="206">
        <v>0</v>
      </c>
      <c r="R217" s="55">
        <v>0</v>
      </c>
      <c r="S217" s="78">
        <v>0</v>
      </c>
    </row>
    <row r="218" spans="1:19">
      <c r="A218" s="54">
        <v>60000</v>
      </c>
      <c r="B218" s="54">
        <v>70000</v>
      </c>
      <c r="C218" s="91">
        <v>3321</v>
      </c>
      <c r="D218" s="91">
        <v>21349743320</v>
      </c>
      <c r="E218" s="55">
        <v>2.4859498173489356E-4</v>
      </c>
      <c r="F218" s="88">
        <v>64287.092201144231</v>
      </c>
      <c r="G218" s="110"/>
      <c r="H218" s="57" t="str">
        <f t="shared" si="2"/>
        <v>(60000, 70000]</v>
      </c>
      <c r="I218" s="207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10"/>
      <c r="P218" s="55">
        <v>0</v>
      </c>
      <c r="Q218" s="206">
        <v>0</v>
      </c>
      <c r="R218" s="55">
        <v>0</v>
      </c>
      <c r="S218" s="78">
        <v>0</v>
      </c>
    </row>
    <row r="219" spans="1:19">
      <c r="A219" s="54">
        <v>70000</v>
      </c>
      <c r="B219" s="54">
        <v>80000</v>
      </c>
      <c r="C219" s="91">
        <v>1490</v>
      </c>
      <c r="D219" s="91">
        <v>11086317700</v>
      </c>
      <c r="E219" s="55">
        <v>1.115346349849417E-4</v>
      </c>
      <c r="F219" s="88">
        <v>74404.816778523498</v>
      </c>
      <c r="G219" s="110"/>
      <c r="H219" s="57" t="str">
        <f t="shared" si="2"/>
        <v>(70000, 80000]</v>
      </c>
      <c r="I219" s="207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10"/>
      <c r="P219" s="55">
        <v>0</v>
      </c>
      <c r="Q219" s="206">
        <v>0</v>
      </c>
      <c r="R219" s="55">
        <v>0</v>
      </c>
      <c r="S219" s="78">
        <v>0</v>
      </c>
    </row>
    <row r="220" spans="1:19">
      <c r="A220" s="54">
        <v>80000</v>
      </c>
      <c r="B220" s="54">
        <v>90000</v>
      </c>
      <c r="C220" s="91">
        <v>697</v>
      </c>
      <c r="D220" s="91">
        <v>5908910380</v>
      </c>
      <c r="E220" s="55">
        <v>5.2174255425841853E-5</v>
      </c>
      <c r="F220" s="88">
        <v>84776.332568149213</v>
      </c>
      <c r="G220" s="110"/>
      <c r="H220" s="57" t="str">
        <f t="shared" si="2"/>
        <v>(80000, 90000]</v>
      </c>
      <c r="I220" s="207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10"/>
      <c r="P220" s="55">
        <v>0</v>
      </c>
      <c r="Q220" s="206">
        <v>0</v>
      </c>
      <c r="R220" s="55">
        <v>0</v>
      </c>
      <c r="S220" s="78">
        <v>0</v>
      </c>
    </row>
    <row r="221" spans="1:19">
      <c r="A221" s="54">
        <v>90000</v>
      </c>
      <c r="B221" s="54">
        <v>100000</v>
      </c>
      <c r="C221" s="91">
        <v>338</v>
      </c>
      <c r="D221" s="91">
        <v>3186599640</v>
      </c>
      <c r="E221" s="55">
        <v>2.5301145385845836E-5</v>
      </c>
      <c r="F221" s="88">
        <v>94278.09585798817</v>
      </c>
      <c r="G221" s="110"/>
      <c r="H221" s="57" t="str">
        <f t="shared" si="2"/>
        <v>(90000, 100000]</v>
      </c>
      <c r="I221" s="207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10"/>
      <c r="P221" s="55">
        <v>0</v>
      </c>
      <c r="Q221" s="206">
        <v>0</v>
      </c>
      <c r="R221" s="55">
        <v>0</v>
      </c>
      <c r="S221" s="78">
        <v>0</v>
      </c>
    </row>
    <row r="222" spans="1:19">
      <c r="A222" s="54">
        <v>100000</v>
      </c>
      <c r="B222" s="54">
        <v>9999999</v>
      </c>
      <c r="C222" s="91">
        <v>482</v>
      </c>
      <c r="D222" s="91">
        <v>5787682590</v>
      </c>
      <c r="E222" s="55">
        <v>3.6080331585732816E-5</v>
      </c>
      <c r="F222" s="88">
        <v>120076.40228215767</v>
      </c>
      <c r="G222" s="110"/>
      <c r="H222" s="57" t="str">
        <f t="shared" si="2"/>
        <v>(100000, 9999999]</v>
      </c>
      <c r="I222" s="207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10"/>
      <c r="P222" s="55">
        <v>0</v>
      </c>
      <c r="Q222" s="206">
        <v>0</v>
      </c>
      <c r="R222" s="55">
        <v>0</v>
      </c>
      <c r="S222" s="78">
        <v>0</v>
      </c>
    </row>
    <row r="225" spans="7:7">
      <c r="G225" s="22"/>
    </row>
    <row r="226" spans="7:7">
      <c r="G226" s="22"/>
    </row>
    <row r="227" spans="7:7">
      <c r="G227" s="22"/>
    </row>
    <row r="228" spans="7:7">
      <c r="G228" s="22"/>
    </row>
    <row r="229" spans="7:7">
      <c r="G229" s="22"/>
    </row>
    <row r="230" spans="7:7">
      <c r="G230" s="22"/>
    </row>
    <row r="231" spans="7:7">
      <c r="G231" s="22"/>
    </row>
    <row r="232" spans="7:7">
      <c r="G232" s="22"/>
    </row>
    <row r="233" spans="7:7">
      <c r="G233" s="22"/>
    </row>
    <row r="234" spans="7:7">
      <c r="G234" s="22"/>
    </row>
    <row r="235" spans="7:7">
      <c r="G235" s="22"/>
    </row>
    <row r="236" spans="7:7">
      <c r="G236" s="22"/>
    </row>
    <row r="237" spans="7:7">
      <c r="G237" s="22"/>
    </row>
    <row r="238" spans="7:7">
      <c r="G238" s="22"/>
    </row>
    <row r="239" spans="7:7">
      <c r="G239" s="22"/>
    </row>
    <row r="240" spans="7:7">
      <c r="G240" s="22"/>
    </row>
    <row r="241" spans="7:7">
      <c r="G241" s="22"/>
    </row>
    <row r="242" spans="7:7">
      <c r="G242" s="22"/>
    </row>
    <row r="243" spans="7:7">
      <c r="G243" s="22"/>
    </row>
    <row r="244" spans="7:7">
      <c r="G244" s="22"/>
    </row>
    <row r="245" spans="7:7">
      <c r="G245" s="22"/>
    </row>
    <row r="246" spans="7:7">
      <c r="G246" s="22"/>
    </row>
    <row r="247" spans="7:7">
      <c r="G247" s="22"/>
    </row>
    <row r="248" spans="7:7">
      <c r="G248" s="22"/>
    </row>
    <row r="249" spans="7:7">
      <c r="G249" s="22"/>
    </row>
    <row r="250" spans="7:7">
      <c r="G250" s="22"/>
    </row>
    <row r="251" spans="7:7">
      <c r="G251" s="22"/>
    </row>
    <row r="252" spans="7:7">
      <c r="G252" s="22"/>
    </row>
    <row r="253" spans="7:7">
      <c r="G253" s="22"/>
    </row>
    <row r="254" spans="7:7">
      <c r="G254" s="22"/>
    </row>
    <row r="255" spans="7:7">
      <c r="G255" s="22"/>
    </row>
    <row r="256" spans="7:7">
      <c r="G256" s="22"/>
    </row>
    <row r="257" spans="7:7">
      <c r="G257" s="22"/>
    </row>
    <row r="258" spans="7:7">
      <c r="G258" s="22"/>
    </row>
    <row r="259" spans="7:7">
      <c r="G259" s="22"/>
    </row>
    <row r="260" spans="7:7">
      <c r="G260" s="22"/>
    </row>
    <row r="261" spans="7:7">
      <c r="G261" s="22"/>
    </row>
    <row r="262" spans="7:7">
      <c r="G262" s="22"/>
    </row>
    <row r="263" spans="7:7">
      <c r="G263" s="22"/>
    </row>
    <row r="264" spans="7:7">
      <c r="G264" s="22"/>
    </row>
    <row r="265" spans="7:7">
      <c r="G265" s="22"/>
    </row>
    <row r="266" spans="7:7">
      <c r="G266" s="22"/>
    </row>
    <row r="267" spans="7:7">
      <c r="G267" s="22"/>
    </row>
    <row r="268" spans="7:7">
      <c r="G268" s="22"/>
    </row>
    <row r="269" spans="7:7">
      <c r="G269" s="22"/>
    </row>
    <row r="270" spans="7:7">
      <c r="G270" s="22"/>
    </row>
    <row r="271" spans="7:7">
      <c r="G271" s="22"/>
    </row>
    <row r="272" spans="7:7">
      <c r="G272" s="22"/>
    </row>
    <row r="273" spans="7:7">
      <c r="G273" s="22"/>
    </row>
    <row r="274" spans="7:7">
      <c r="G274" s="22"/>
    </row>
    <row r="275" spans="7:7">
      <c r="G275" s="22"/>
    </row>
    <row r="276" spans="7:7">
      <c r="G276" s="22"/>
    </row>
    <row r="277" spans="7:7">
      <c r="G277" s="22"/>
    </row>
    <row r="278" spans="7:7">
      <c r="G278" s="22"/>
    </row>
    <row r="279" spans="7:7">
      <c r="G279" s="22"/>
    </row>
    <row r="280" spans="7:7">
      <c r="G280" s="22"/>
    </row>
    <row r="281" spans="7:7">
      <c r="G281" s="22"/>
    </row>
    <row r="282" spans="7:7">
      <c r="G282" s="22"/>
    </row>
    <row r="283" spans="7:7">
      <c r="G283" s="22"/>
    </row>
    <row r="284" spans="7:7">
      <c r="G284" s="22"/>
    </row>
    <row r="285" spans="7:7">
      <c r="G285" s="22"/>
    </row>
    <row r="286" spans="7:7">
      <c r="G286" s="22"/>
    </row>
    <row r="287" spans="7:7">
      <c r="G287" s="22"/>
    </row>
    <row r="288" spans="7:7">
      <c r="G288" s="22"/>
    </row>
    <row r="289" spans="7:7">
      <c r="G289" s="22"/>
    </row>
    <row r="290" spans="7:7">
      <c r="G290" s="22"/>
    </row>
    <row r="291" spans="7:7">
      <c r="G291" s="22"/>
    </row>
    <row r="292" spans="7:7">
      <c r="G292" s="22"/>
    </row>
    <row r="293" spans="7:7">
      <c r="G293" s="22"/>
    </row>
    <row r="294" spans="7:7">
      <c r="G294" s="22"/>
    </row>
    <row r="295" spans="7:7">
      <c r="G295" s="22"/>
    </row>
    <row r="296" spans="7:7">
      <c r="G296" s="22"/>
    </row>
    <row r="297" spans="7:7">
      <c r="G297" s="22"/>
    </row>
    <row r="298" spans="7:7">
      <c r="G298" s="22"/>
    </row>
    <row r="299" spans="7:7">
      <c r="G299" s="22"/>
    </row>
    <row r="300" spans="7:7">
      <c r="G300" s="22"/>
    </row>
    <row r="301" spans="7:7">
      <c r="G301" s="22"/>
    </row>
    <row r="302" spans="7:7">
      <c r="G302" s="22"/>
    </row>
    <row r="303" spans="7:7">
      <c r="G303" s="22"/>
    </row>
    <row r="304" spans="7:7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6">
    <mergeCell ref="A155:D155"/>
    <mergeCell ref="A12:D12"/>
    <mergeCell ref="A80:B80"/>
    <mergeCell ref="A81:B81"/>
    <mergeCell ref="A84:D84"/>
    <mergeCell ref="A152:B152"/>
  </mergeCells>
  <phoneticPr fontId="20" type="noConversion"/>
  <conditionalFormatting sqref="M18:M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159:M222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161:P22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59" priority="20" operator="lessThan">
      <formula>0.001</formula>
    </cfRule>
  </conditionalFormatting>
  <conditionalFormatting sqref="E159:E222">
    <cfRule type="cellIs" dxfId="158" priority="19" operator="lessThan">
      <formula>0.001</formula>
    </cfRule>
  </conditionalFormatting>
  <conditionalFormatting sqref="N16:N80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159:N222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161:R22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90:M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92:P151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88:E151">
    <cfRule type="cellIs" dxfId="157" priority="6" operator="lessThan">
      <formula>0.001</formula>
    </cfRule>
  </conditionalFormatting>
  <conditionalFormatting sqref="N88:N152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92:R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161:Q22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T292"/>
  <sheetViews>
    <sheetView zoomScale="85" zoomScaleNormal="70" workbookViewId="0">
      <selection activeCell="D3" sqref="D3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3">
        <v>1000000000</v>
      </c>
      <c r="C2" s="1"/>
      <c r="F2" s="99"/>
      <c r="G2" s="99"/>
      <c r="K2" s="48"/>
      <c r="L2" s="48"/>
      <c r="M2" s="48"/>
      <c r="N2" s="48"/>
    </row>
    <row r="3" spans="1:19">
      <c r="A3" s="48" t="s">
        <v>68</v>
      </c>
      <c r="B3" s="63">
        <f>Overview!A7</f>
        <v>100</v>
      </c>
      <c r="C3" s="1"/>
      <c r="F3" s="99"/>
      <c r="G3" s="96"/>
    </row>
    <row r="4" spans="1:19">
      <c r="F4" s="99"/>
      <c r="G4" s="99"/>
      <c r="I4" s="1"/>
      <c r="L4" s="116"/>
      <c r="M4" s="117"/>
      <c r="N4" s="114"/>
      <c r="O4" s="115"/>
    </row>
    <row r="5" spans="1:19">
      <c r="A5" s="48"/>
      <c r="B5" s="48"/>
      <c r="C5" s="1" t="s">
        <v>75</v>
      </c>
      <c r="I5" s="99"/>
      <c r="K5" s="205"/>
      <c r="L5" s="118"/>
      <c r="M5" s="117"/>
      <c r="N5" s="114"/>
      <c r="O5" s="115"/>
    </row>
    <row r="6" spans="1:19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89" t="s">
        <v>91</v>
      </c>
      <c r="J6" s="190" t="s">
        <v>92</v>
      </c>
      <c r="L6" s="96"/>
      <c r="M6" s="117"/>
      <c r="N6" s="109"/>
    </row>
    <row r="7" spans="1:19">
      <c r="A7" s="54" t="s">
        <v>47</v>
      </c>
      <c r="B7" s="54" cm="1">
        <f t="array" ref="B7:B9">Overview!B11:B13</f>
        <v>1</v>
      </c>
      <c r="C7" s="77">
        <f>SUM(N16:N80)</f>
        <v>0.6999998150421699</v>
      </c>
      <c r="D7" s="77">
        <f>SUM(_xlfn.ANCHORARRAY(N159))*F7</f>
        <v>0.24000039613619903</v>
      </c>
      <c r="E7" s="93">
        <f>SUM(C7:D7)</f>
        <v>0.94000021117836896</v>
      </c>
      <c r="F7" s="69">
        <f>M80</f>
        <v>4.1955920723702666E-3</v>
      </c>
      <c r="G7" s="70">
        <f>1/F7</f>
        <v>238.34538314280346</v>
      </c>
      <c r="H7" s="90">
        <f>D7*G7</f>
        <v>57.202986371506967</v>
      </c>
      <c r="I7" s="187" cm="1">
        <f t="array" ref="I7">LOOKUP(2,1/(L16:L79&lt;&gt;0),B16:B79)</f>
        <v>120</v>
      </c>
      <c r="J7" s="187" cm="1">
        <f t="array" ref="J7">LOOKUP(2,1/(_xlfn.ANCHORARRAY(L159)&lt;&gt;0),B16:B79)</f>
        <v>20000</v>
      </c>
      <c r="L7" s="99"/>
      <c r="M7" s="96"/>
      <c r="N7" s="109"/>
    </row>
    <row r="8" spans="1:19">
      <c r="A8" s="177" t="s">
        <v>262</v>
      </c>
      <c r="B8" s="177">
        <v>2</v>
      </c>
      <c r="C8" s="178">
        <f>SUM(_xlfn.ANCHORARRAY(N88))/B8</f>
        <v>0.34024087210571241</v>
      </c>
      <c r="D8" s="77">
        <f>SUM(_xlfn.ANCHORARRAY(N159))*F8/B8</f>
        <v>0.59975952432869895</v>
      </c>
      <c r="E8" s="93">
        <f>SUM(C8:D8)</f>
        <v>0.94000039643441136</v>
      </c>
      <c r="F8" s="179">
        <f>M152</f>
        <v>2.0969517935079052E-2</v>
      </c>
      <c r="G8" s="70">
        <f>1/F8</f>
        <v>47.68826842352636</v>
      </c>
      <c r="H8" s="90">
        <f>D8*G8</f>
        <v>28.601493185753483</v>
      </c>
      <c r="I8" s="187" cm="1">
        <f t="array" ref="I8">LOOKUP(2,1/(L88:L151&lt;&gt;0),B16:B79)</f>
        <v>120</v>
      </c>
      <c r="J8" s="187">
        <f>J7</f>
        <v>20000</v>
      </c>
      <c r="L8" s="99"/>
      <c r="M8" s="96"/>
      <c r="N8" s="109"/>
    </row>
    <row r="9" spans="1:19">
      <c r="A9" s="54" t="s">
        <v>49</v>
      </c>
      <c r="B9" s="54">
        <v>75</v>
      </c>
      <c r="C9" s="77">
        <f>N81</f>
        <v>0</v>
      </c>
      <c r="D9" s="77">
        <f>SUM(_xlfn.ANCHORARRAY(N229))/B9</f>
        <v>0.92500031791134818</v>
      </c>
      <c r="E9" s="93">
        <f>SUM(C9:D9)</f>
        <v>0.92500031791134818</v>
      </c>
      <c r="F9" s="61">
        <f>E81</f>
        <v>1</v>
      </c>
      <c r="G9" s="70">
        <f>1/F9</f>
        <v>1</v>
      </c>
      <c r="H9" s="90">
        <f>D9*G9*B9</f>
        <v>69.375023843351116</v>
      </c>
      <c r="I9" s="188"/>
      <c r="J9" s="188" cm="1">
        <f t="array" ref="J9">LOOKUP(2,1/(_xlfn.ANCHORARRAY(L229)&lt;&gt;0),B16:B79)</f>
        <v>20000</v>
      </c>
      <c r="L9" s="102"/>
      <c r="M9" s="96"/>
      <c r="N9" s="109"/>
    </row>
    <row r="10" spans="1:19">
      <c r="A10" s="48"/>
      <c r="B10" s="48"/>
      <c r="C10" s="1"/>
      <c r="D10" s="98"/>
      <c r="E10" s="48"/>
      <c r="F10" s="1"/>
      <c r="H10" s="12"/>
      <c r="I10" s="48"/>
      <c r="J10" s="48"/>
      <c r="K10" s="48"/>
      <c r="L10" s="111"/>
      <c r="M10" s="99"/>
      <c r="N10" s="99"/>
    </row>
    <row r="11" spans="1:19">
      <c r="A11" s="48"/>
      <c r="B11" s="48"/>
      <c r="C11" s="1"/>
      <c r="D11" s="1"/>
      <c r="E11" s="98"/>
      <c r="F11" s="1"/>
      <c r="H11" s="12"/>
      <c r="I11" s="48"/>
      <c r="J11" s="48"/>
      <c r="K11" s="48"/>
      <c r="L11" s="111"/>
      <c r="M11" s="99"/>
      <c r="N11" s="99"/>
    </row>
    <row r="12" spans="1:19" s="53" customFormat="1">
      <c r="A12" s="218" t="s">
        <v>43</v>
      </c>
      <c r="B12" s="218"/>
      <c r="C12" s="218"/>
      <c r="D12" s="218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5" t="s">
        <v>69</v>
      </c>
      <c r="B14" s="169">
        <v>1000000000</v>
      </c>
      <c r="C14" s="198" t="s">
        <v>288</v>
      </c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</row>
    <row r="15" spans="1:19">
      <c r="A15" s="18" t="s">
        <v>52</v>
      </c>
      <c r="B15" s="18" t="s">
        <v>53</v>
      </c>
      <c r="C15" s="18" t="s">
        <v>65</v>
      </c>
      <c r="D15" s="18" t="s">
        <v>66</v>
      </c>
      <c r="E15" s="18" t="s">
        <v>67</v>
      </c>
      <c r="F15" s="18" t="s">
        <v>77</v>
      </c>
      <c r="H15" s="18" t="s">
        <v>55</v>
      </c>
      <c r="I15" s="18" t="s">
        <v>57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">
        <v>305</v>
      </c>
      <c r="Q15" s="182" t="s">
        <v>305</v>
      </c>
      <c r="R15" s="81" t="s">
        <v>303</v>
      </c>
      <c r="S15" s="81" t="s">
        <v>74</v>
      </c>
    </row>
    <row r="16" spans="1:19">
      <c r="A16" s="60">
        <v>-1</v>
      </c>
      <c r="B16" s="60">
        <v>0</v>
      </c>
      <c r="C16" s="66">
        <v>738977283</v>
      </c>
      <c r="D16" s="66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9.9999999999999995E-7</v>
      </c>
      <c r="H16" s="57" t="str">
        <f>"("&amp;$A16&amp;", "&amp;$B16&amp;"]"</f>
        <v>(-1, 0]</v>
      </c>
      <c r="I16" s="197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0.71592299624319</v>
      </c>
      <c r="L16" s="108" cm="1">
        <f t="array" ref="L16:L80">INT(K16:K80*$B$2)</f>
        <v>715922996</v>
      </c>
      <c r="M16" s="55" cm="1">
        <f t="array" ref="M16:M80">_xlfn.LET(_xlpm.x, L16:L80, _xlpm.x/SUM(_xlpm.x))</f>
        <v>0.7159100401760029</v>
      </c>
      <c r="N16" s="55" cm="1">
        <f t="array" ref="N16:N80">M16:M80*F16:F80</f>
        <v>0</v>
      </c>
      <c r="O16" s="110"/>
      <c r="P16" s="55" cm="1">
        <f t="array" ref="P16:P79">M16:M79</f>
        <v>0.7159100401760029</v>
      </c>
      <c r="Q16" s="206">
        <v>0.71597520301991424</v>
      </c>
      <c r="R16" s="55">
        <v>0.72554635178004934</v>
      </c>
      <c r="S16" s="78" cm="1">
        <f t="array" ref="S16:S79">_xlfn.LET(_xlpm.x, Q16:Q79/M16:M79, IF(ISERR(_xlpm.x), 0, ROUND(_xlpm.x,2)))</f>
        <v>1</v>
      </c>
    </row>
    <row r="17" spans="1:19">
      <c r="A17" s="54">
        <v>0</v>
      </c>
      <c r="B17" s="54">
        <v>1</v>
      </c>
      <c r="C17" s="67">
        <v>134671370</v>
      </c>
      <c r="D17" s="67">
        <v>5869389535</v>
      </c>
      <c r="E17" s="55">
        <v>0.13649527639219697</v>
      </c>
      <c r="F17" s="88">
        <v>0.43583053584440407</v>
      </c>
      <c r="G17" s="47">
        <v>5681</v>
      </c>
      <c r="H17" s="57" t="str">
        <f t="shared" ref="H17:H79" si="0">"("&amp;$A17&amp;", "&amp;$B17&amp;"]"</f>
        <v>(0, 1]</v>
      </c>
      <c r="I17" s="197">
        <v>1.18</v>
      </c>
      <c r="J17" s="55">
        <v>0.16106442614279243</v>
      </c>
      <c r="K17" s="55">
        <v>0.16036931612720326</v>
      </c>
      <c r="L17" s="108">
        <v>160369316</v>
      </c>
      <c r="M17" s="55">
        <v>0.16036641384900857</v>
      </c>
      <c r="N17" s="55">
        <v>6.9892580079258873E-2</v>
      </c>
      <c r="O17" s="110"/>
      <c r="P17" s="55">
        <v>0.16036641384900857</v>
      </c>
      <c r="Q17" s="206">
        <v>0.1605030923729048</v>
      </c>
      <c r="R17" s="55">
        <v>0.15905886499823757</v>
      </c>
      <c r="S17" s="78">
        <v>1</v>
      </c>
    </row>
    <row r="18" spans="1:19">
      <c r="A18" s="54">
        <v>1</v>
      </c>
      <c r="B18" s="54">
        <v>2</v>
      </c>
      <c r="C18" s="67">
        <v>34304589</v>
      </c>
      <c r="D18" s="67">
        <v>5136293060</v>
      </c>
      <c r="E18" s="55">
        <v>3.4769189301896312E-2</v>
      </c>
      <c r="F18" s="88">
        <v>1.4972612148188105</v>
      </c>
      <c r="G18" s="85">
        <f>1+G17*G16</f>
        <v>1.005681</v>
      </c>
      <c r="H18" s="57" t="str">
        <f t="shared" si="0"/>
        <v>(1, 2]</v>
      </c>
      <c r="I18" s="197">
        <v>1.31</v>
      </c>
      <c r="J18" s="55">
        <v>4.5547637985484168E-2</v>
      </c>
      <c r="K18" s="55">
        <v>4.5351066836234424E-2</v>
      </c>
      <c r="L18" s="108">
        <v>45351066</v>
      </c>
      <c r="M18" s="55">
        <v>4.5350245296610865E-2</v>
      </c>
      <c r="N18" s="55">
        <v>6.7901163365134631E-2</v>
      </c>
      <c r="O18" s="110"/>
      <c r="P18" s="55">
        <v>4.5350245296610865E-2</v>
      </c>
      <c r="Q18" s="206">
        <v>4.5308267133215174E-2</v>
      </c>
      <c r="R18" s="55">
        <v>4.9788508988367994E-2</v>
      </c>
      <c r="S18" s="78">
        <v>1</v>
      </c>
    </row>
    <row r="19" spans="1:19">
      <c r="A19" s="54">
        <v>2</v>
      </c>
      <c r="B19" s="54">
        <v>3</v>
      </c>
      <c r="C19" s="67">
        <v>16020309</v>
      </c>
      <c r="D19" s="67">
        <v>4033651395</v>
      </c>
      <c r="E19" s="55">
        <v>1.6237278233995841E-2</v>
      </c>
      <c r="F19" s="88">
        <v>2.5178362009122295</v>
      </c>
      <c r="G19" s="85"/>
      <c r="H19" s="57" t="str">
        <f t="shared" si="0"/>
        <v>(2, 3]</v>
      </c>
      <c r="I19" s="197">
        <v>1.33</v>
      </c>
      <c r="J19" s="55">
        <v>2.159558005121447E-2</v>
      </c>
      <c r="K19" s="55">
        <v>2.1502379433638318E-2</v>
      </c>
      <c r="L19" s="108">
        <v>21502379</v>
      </c>
      <c r="M19" s="55">
        <v>2.1501989878489169E-2</v>
      </c>
      <c r="N19" s="55">
        <v>5.4138488507708381E-2</v>
      </c>
      <c r="O19" s="110"/>
      <c r="P19" s="55">
        <v>2.1501989878489169E-2</v>
      </c>
      <c r="Q19" s="206">
        <v>2.1479350425469574E-2</v>
      </c>
      <c r="R19" s="55">
        <v>2.1457525555163906E-2</v>
      </c>
      <c r="S19" s="78">
        <v>1</v>
      </c>
    </row>
    <row r="20" spans="1:19">
      <c r="A20" s="54">
        <v>3</v>
      </c>
      <c r="B20" s="54">
        <v>4</v>
      </c>
      <c r="C20" s="67">
        <v>7967455</v>
      </c>
      <c r="D20" s="67">
        <v>2842347285</v>
      </c>
      <c r="E20" s="55">
        <v>8.0753613211731017E-3</v>
      </c>
      <c r="F20" s="88">
        <v>3.5674469262769604</v>
      </c>
      <c r="G20" s="204"/>
      <c r="H20" s="57" t="str">
        <f t="shared" si="0"/>
        <v>(3, 4]</v>
      </c>
      <c r="I20" s="197">
        <v>1.44</v>
      </c>
      <c r="J20" s="55">
        <v>1.1628520302489266E-2</v>
      </c>
      <c r="K20" s="55">
        <v>1.1578334789012963E-2</v>
      </c>
      <c r="L20" s="108">
        <v>11578334</v>
      </c>
      <c r="M20" s="55">
        <v>1.1578124470681454E-2</v>
      </c>
      <c r="N20" s="55">
        <v>4.1304344554984614E-2</v>
      </c>
      <c r="O20" s="110"/>
      <c r="P20" s="55">
        <v>1.1578124470681454E-2</v>
      </c>
      <c r="Q20" s="206">
        <v>1.1610889855249249E-2</v>
      </c>
      <c r="R20" s="55">
        <v>9.4289742685935846E-3</v>
      </c>
      <c r="S20" s="78">
        <v>1</v>
      </c>
    </row>
    <row r="21" spans="1:19">
      <c r="A21" s="54">
        <v>4</v>
      </c>
      <c r="B21" s="54">
        <v>5</v>
      </c>
      <c r="C21" s="67">
        <v>5578706</v>
      </c>
      <c r="D21" s="67">
        <v>2564213210</v>
      </c>
      <c r="E21" s="55">
        <v>5.6542605706083448E-3</v>
      </c>
      <c r="F21" s="88">
        <v>4.5964300861167446</v>
      </c>
      <c r="G21" s="204"/>
      <c r="H21" s="57" t="str">
        <f t="shared" si="0"/>
        <v>(4, 5]</v>
      </c>
      <c r="I21" s="197">
        <v>1.62</v>
      </c>
      <c r="J21" s="55">
        <v>9.1599021243855185E-3</v>
      </c>
      <c r="K21" s="55">
        <v>9.1203704918521381E-3</v>
      </c>
      <c r="L21" s="108">
        <v>9120370</v>
      </c>
      <c r="M21" s="55">
        <v>9.1202049516509905E-3</v>
      </c>
      <c r="N21" s="55">
        <v>4.192038443131952E-2</v>
      </c>
      <c r="O21" s="110"/>
      <c r="P21" s="55">
        <v>9.1202049516509905E-3</v>
      </c>
      <c r="Q21" s="206">
        <v>9.1491636697612396E-3</v>
      </c>
      <c r="R21" s="55">
        <v>6.2566090941134998E-3</v>
      </c>
      <c r="S21" s="78">
        <v>1</v>
      </c>
    </row>
    <row r="22" spans="1:19">
      <c r="A22" s="54">
        <v>5</v>
      </c>
      <c r="B22" s="54">
        <v>6</v>
      </c>
      <c r="C22" s="67">
        <v>4158567</v>
      </c>
      <c r="D22" s="67">
        <v>2322704910</v>
      </c>
      <c r="E22" s="55">
        <v>4.214888079481699E-3</v>
      </c>
      <c r="F22" s="88">
        <v>5.5853492561259683</v>
      </c>
      <c r="G22" s="204">
        <v>1.79</v>
      </c>
      <c r="H22" s="57" t="str">
        <f t="shared" si="0"/>
        <v>(5, 6]</v>
      </c>
      <c r="I22" s="197" cm="1">
        <f t="array" ref="I22:I79">G22:G79*G18</f>
        <v>1.8001689900000002</v>
      </c>
      <c r="J22" s="55">
        <v>7.5875108170036102E-3</v>
      </c>
      <c r="K22" s="55">
        <v>7.5547651953378151E-3</v>
      </c>
      <c r="L22" s="108">
        <v>7554765</v>
      </c>
      <c r="M22" s="55">
        <v>7.5546282838919463E-3</v>
      </c>
      <c r="N22" s="55">
        <v>4.2195237465744086E-2</v>
      </c>
      <c r="O22" s="110"/>
      <c r="P22" s="55">
        <v>7.5546282838919463E-3</v>
      </c>
      <c r="Q22" s="206">
        <v>7.5282777778765504E-3</v>
      </c>
      <c r="R22" s="55">
        <v>5.37539654564681E-3</v>
      </c>
      <c r="S22" s="78">
        <v>1</v>
      </c>
    </row>
    <row r="23" spans="1:19">
      <c r="A23" s="54">
        <v>6</v>
      </c>
      <c r="B23" s="54">
        <v>7</v>
      </c>
      <c r="C23" s="67">
        <v>2772263</v>
      </c>
      <c r="D23" s="67">
        <v>1818622450</v>
      </c>
      <c r="E23" s="55">
        <v>2.8098088288317042E-3</v>
      </c>
      <c r="F23" s="88">
        <v>6.5600646475460671</v>
      </c>
      <c r="G23" s="204">
        <v>1.24</v>
      </c>
      <c r="H23" s="57" t="str">
        <f t="shared" si="0"/>
        <v>(6, 7]</v>
      </c>
      <c r="I23" s="197">
        <v>1.24704444</v>
      </c>
      <c r="J23" s="55">
        <v>3.5039564774574884E-3</v>
      </c>
      <c r="K23" s="55">
        <v>3.488834359557227E-3</v>
      </c>
      <c r="L23" s="108">
        <v>3488834</v>
      </c>
      <c r="M23" s="55">
        <v>3.4887708637136795E-3</v>
      </c>
      <c r="N23" s="55">
        <v>2.2886562406436866E-2</v>
      </c>
      <c r="O23" s="110"/>
      <c r="P23" s="55">
        <v>3.4887708637136795E-3</v>
      </c>
      <c r="Q23" s="206">
        <v>3.4769539997344823E-3</v>
      </c>
      <c r="R23" s="55">
        <v>2.5114557631300671E-3</v>
      </c>
      <c r="S23" s="78">
        <v>1</v>
      </c>
    </row>
    <row r="24" spans="1:19">
      <c r="A24" s="54">
        <v>7</v>
      </c>
      <c r="B24" s="54">
        <v>8</v>
      </c>
      <c r="C24" s="67">
        <v>2871865</v>
      </c>
      <c r="D24" s="67">
        <v>2188753410</v>
      </c>
      <c r="E24" s="55">
        <v>2.9107597771974602E-3</v>
      </c>
      <c r="F24" s="88">
        <v>7.6213659416441928</v>
      </c>
      <c r="G24" s="204">
        <v>1.02</v>
      </c>
      <c r="H24" s="57" t="str">
        <f t="shared" si="0"/>
        <v>(7, 8]</v>
      </c>
      <c r="I24" s="197">
        <v>1.0257946200000001</v>
      </c>
      <c r="J24" s="55">
        <v>2.9858417195615535E-3</v>
      </c>
      <c r="K24" s="55">
        <v>2.9729556432631712E-3</v>
      </c>
      <c r="L24" s="108">
        <v>2972955</v>
      </c>
      <c r="M24" s="55">
        <v>2.9729011994069944E-3</v>
      </c>
      <c r="N24" s="55">
        <v>2.2657567949033636E-2</v>
      </c>
      <c r="O24" s="110"/>
      <c r="P24" s="55">
        <v>2.9729011994069944E-3</v>
      </c>
      <c r="Q24" s="206">
        <v>2.960660064440217E-3</v>
      </c>
      <c r="R24" s="55">
        <v>3.0842439196334154E-3</v>
      </c>
      <c r="S24" s="78">
        <v>1</v>
      </c>
    </row>
    <row r="25" spans="1:19">
      <c r="A25" s="54">
        <v>8</v>
      </c>
      <c r="B25" s="54">
        <v>9</v>
      </c>
      <c r="C25" s="67">
        <v>2105410</v>
      </c>
      <c r="D25" s="67">
        <v>1810360075</v>
      </c>
      <c r="E25" s="55">
        <v>2.1339243810239356E-3</v>
      </c>
      <c r="F25" s="88">
        <v>8.5986106031604308</v>
      </c>
      <c r="G25" s="204">
        <v>1.26</v>
      </c>
      <c r="H25" s="57" t="str">
        <f t="shared" si="0"/>
        <v>(8, 9]</v>
      </c>
      <c r="I25" s="197">
        <v>1.2671580600000001</v>
      </c>
      <c r="J25" s="55">
        <v>2.7040194788449912E-3</v>
      </c>
      <c r="K25" s="55">
        <v>2.6923496702652432E-3</v>
      </c>
      <c r="L25" s="108">
        <v>2692349</v>
      </c>
      <c r="M25" s="55">
        <v>2.6923002774418793E-3</v>
      </c>
      <c r="N25" s="55">
        <v>2.3150041712503514E-2</v>
      </c>
      <c r="O25" s="110"/>
      <c r="P25" s="55">
        <v>2.6923002774418793E-3</v>
      </c>
      <c r="Q25" s="206">
        <v>2.6694708929012037E-3</v>
      </c>
      <c r="R25" s="55">
        <v>2.687698272823405E-3</v>
      </c>
      <c r="S25" s="78">
        <v>0.99</v>
      </c>
    </row>
    <row r="26" spans="1:19">
      <c r="A26" s="54">
        <v>9</v>
      </c>
      <c r="B26" s="54">
        <v>10</v>
      </c>
      <c r="C26" s="67">
        <v>1954254</v>
      </c>
      <c r="D26" s="67">
        <v>1885134195</v>
      </c>
      <c r="E26" s="55">
        <v>1.980721216919056E-3</v>
      </c>
      <c r="F26" s="88">
        <v>9.6463110475915617</v>
      </c>
      <c r="G26" s="204">
        <v>1.21</v>
      </c>
      <c r="H26" s="57" t="str">
        <f t="shared" si="0"/>
        <v>(9, 10]</v>
      </c>
      <c r="I26" s="197">
        <v>1.21687401</v>
      </c>
      <c r="J26" s="55">
        <v>2.4102881699243715E-3</v>
      </c>
      <c r="K26" s="55">
        <v>2.3998860253447536E-3</v>
      </c>
      <c r="L26" s="108">
        <v>2399886</v>
      </c>
      <c r="M26" s="55">
        <v>2.3998425700490099E-3</v>
      </c>
      <c r="N26" s="55">
        <v>2.314962789594429E-2</v>
      </c>
      <c r="O26" s="110"/>
      <c r="P26" s="55">
        <v>2.3998425700490099E-3</v>
      </c>
      <c r="Q26" s="206">
        <v>2.3901200778528079E-3</v>
      </c>
      <c r="R26" s="55">
        <v>2.2470919985900597E-3</v>
      </c>
      <c r="S26" s="78">
        <v>1</v>
      </c>
    </row>
    <row r="27" spans="1:19">
      <c r="A27" s="54">
        <v>10</v>
      </c>
      <c r="B27" s="54">
        <v>15</v>
      </c>
      <c r="C27" s="67">
        <v>6734651</v>
      </c>
      <c r="D27" s="67">
        <v>8382998890</v>
      </c>
      <c r="E27" s="55">
        <v>6.8258609803255555E-3</v>
      </c>
      <c r="F27" s="88">
        <v>12.447562449783961</v>
      </c>
      <c r="G27" s="204">
        <v>0.48</v>
      </c>
      <c r="H27" s="57" t="str">
        <f t="shared" si="0"/>
        <v>(10, 15]</v>
      </c>
      <c r="I27" s="197">
        <v>0.48272688000000002</v>
      </c>
      <c r="J27" s="55">
        <v>3.295026574346297E-3</v>
      </c>
      <c r="K27" s="55">
        <v>3.2808061407700461E-3</v>
      </c>
      <c r="L27" s="108">
        <v>3280806</v>
      </c>
      <c r="M27" s="55">
        <v>3.2807466283282672E-3</v>
      </c>
      <c r="N27" s="55">
        <v>4.0837298538034278E-2</v>
      </c>
      <c r="O27" s="110"/>
      <c r="P27" s="55">
        <v>3.2807466283282672E-3</v>
      </c>
      <c r="Q27" s="206">
        <v>3.2553520455735068E-3</v>
      </c>
      <c r="R27" s="55">
        <v>4.9788508988367992E-3</v>
      </c>
      <c r="S27" s="78">
        <v>0.99</v>
      </c>
    </row>
    <row r="28" spans="1:19">
      <c r="A28" s="54">
        <v>15</v>
      </c>
      <c r="B28" s="54">
        <v>20</v>
      </c>
      <c r="C28" s="67">
        <v>4528931</v>
      </c>
      <c r="D28" s="67">
        <v>7919233365</v>
      </c>
      <c r="E28" s="55">
        <v>4.5902680622183396E-3</v>
      </c>
      <c r="F28" s="88">
        <v>17.485877715955485</v>
      </c>
      <c r="G28" s="204">
        <v>1.1299999999999999</v>
      </c>
      <c r="H28" s="105" t="str">
        <f t="shared" si="0"/>
        <v>(15, 20]</v>
      </c>
      <c r="I28" s="197">
        <v>1.13641953</v>
      </c>
      <c r="J28" s="55">
        <v>5.2164702738401762E-3</v>
      </c>
      <c r="K28" s="55">
        <v>5.1939574147302769E-3</v>
      </c>
      <c r="L28" s="108">
        <v>5193957</v>
      </c>
      <c r="M28" s="55">
        <v>5.1938630066611681E-3</v>
      </c>
      <c r="N28" s="55">
        <v>9.0819253407902076E-2</v>
      </c>
      <c r="O28" s="110"/>
      <c r="P28" s="55">
        <v>5.1938630066611681E-3</v>
      </c>
      <c r="Q28" s="206">
        <v>5.1523509285082278E-3</v>
      </c>
      <c r="R28" s="55">
        <v>2.3352132534367291E-3</v>
      </c>
      <c r="S28" s="78">
        <v>0.99</v>
      </c>
    </row>
    <row r="29" spans="1:19">
      <c r="A29" s="54">
        <v>20</v>
      </c>
      <c r="B29" s="54">
        <v>25</v>
      </c>
      <c r="C29" s="67">
        <v>3129796</v>
      </c>
      <c r="D29" s="67">
        <v>7054318865</v>
      </c>
      <c r="E29" s="55">
        <v>3.1721840363782778E-3</v>
      </c>
      <c r="F29" s="88">
        <v>22.539228962526632</v>
      </c>
      <c r="G29" s="204">
        <v>0.54</v>
      </c>
      <c r="H29" s="57" t="str">
        <f t="shared" si="0"/>
        <v>(20, 25]</v>
      </c>
      <c r="I29" s="197">
        <v>0.54306774000000002</v>
      </c>
      <c r="J29" s="55">
        <v>1.7227108155000292E-3</v>
      </c>
      <c r="K29" s="55">
        <v>1.7152760667445454E-3</v>
      </c>
      <c r="L29" s="108">
        <v>1715276</v>
      </c>
      <c r="M29" s="55">
        <v>1.7152449592119732E-3</v>
      </c>
      <c r="N29" s="55">
        <v>3.8660298862498318E-2</v>
      </c>
      <c r="O29" s="110"/>
      <c r="P29" s="55">
        <v>1.7152449592119732E-3</v>
      </c>
      <c r="Q29" s="206">
        <v>1.7133368664346144E-3</v>
      </c>
      <c r="R29" s="55">
        <v>1.8064857243567148E-3</v>
      </c>
      <c r="S29" s="78">
        <v>1</v>
      </c>
    </row>
    <row r="30" spans="1:19">
      <c r="A30" s="54">
        <v>25</v>
      </c>
      <c r="B30" s="54">
        <v>30</v>
      </c>
      <c r="C30" s="67">
        <v>2506990</v>
      </c>
      <c r="D30" s="67">
        <v>6905395465</v>
      </c>
      <c r="E30" s="55">
        <v>2.540943134108414E-3</v>
      </c>
      <c r="F30" s="88">
        <v>27.544567249969088</v>
      </c>
      <c r="G30" s="204">
        <v>0.2</v>
      </c>
      <c r="H30" s="57" t="str">
        <f t="shared" si="0"/>
        <v>(25, 30]</v>
      </c>
      <c r="I30" s="197">
        <v>0.20113620000000001</v>
      </c>
      <c r="J30" s="55">
        <v>5.1107564641065682E-4</v>
      </c>
      <c r="K30" s="55">
        <v>5.0886998368890345E-4</v>
      </c>
      <c r="L30" s="108">
        <v>508869</v>
      </c>
      <c r="M30" s="55">
        <v>5.0885979116435925E-4</v>
      </c>
      <c r="N30" s="55">
        <v>1.4016322738531919E-2</v>
      </c>
      <c r="O30" s="110"/>
      <c r="P30" s="55">
        <v>5.0885979116435925E-4</v>
      </c>
      <c r="Q30" s="206">
        <v>4.9677799614168574E-4</v>
      </c>
      <c r="R30" s="55">
        <v>8.8121254846669017E-4</v>
      </c>
      <c r="S30" s="78">
        <v>0.98</v>
      </c>
    </row>
    <row r="31" spans="1:19">
      <c r="A31" s="54">
        <v>30</v>
      </c>
      <c r="B31" s="54">
        <v>35</v>
      </c>
      <c r="C31" s="67">
        <v>1878754</v>
      </c>
      <c r="D31" s="67">
        <v>6111962030</v>
      </c>
      <c r="E31" s="55">
        <v>1.9041986912507506E-3</v>
      </c>
      <c r="F31" s="88">
        <v>32.531997430211725</v>
      </c>
      <c r="G31" s="204">
        <v>0.22</v>
      </c>
      <c r="H31" s="57" t="str">
        <f t="shared" si="0"/>
        <v>(30, 35]</v>
      </c>
      <c r="I31" s="197">
        <v>0.22124982000000001</v>
      </c>
      <c r="J31" s="55">
        <v>4.2130361768346415E-4</v>
      </c>
      <c r="K31" s="55">
        <v>4.1948538648698574E-4</v>
      </c>
      <c r="L31" s="108">
        <v>419485</v>
      </c>
      <c r="M31" s="55">
        <v>4.1947740871733447E-4</v>
      </c>
      <c r="N31" s="55">
        <v>1.3646437982424198E-2</v>
      </c>
      <c r="O31" s="110"/>
      <c r="P31" s="55">
        <v>4.1947740871733447E-4</v>
      </c>
      <c r="Q31" s="206">
        <v>4.1474145548396282E-4</v>
      </c>
      <c r="R31" s="55">
        <v>4.8466690165667957E-4</v>
      </c>
      <c r="S31" s="78">
        <v>0.99</v>
      </c>
    </row>
    <row r="32" spans="1:19">
      <c r="A32" s="54">
        <v>35</v>
      </c>
      <c r="B32" s="54">
        <v>40</v>
      </c>
      <c r="C32" s="67">
        <v>1621830</v>
      </c>
      <c r="D32" s="67">
        <v>6089148510</v>
      </c>
      <c r="E32" s="55">
        <v>1.6437950702599729E-3</v>
      </c>
      <c r="F32" s="88">
        <v>37.544924622186052</v>
      </c>
      <c r="G32" s="204">
        <v>0.33</v>
      </c>
      <c r="H32" s="105" t="str">
        <f t="shared" si="0"/>
        <v>(35, 40]</v>
      </c>
      <c r="I32" s="197">
        <v>0.33187473000000001</v>
      </c>
      <c r="J32" s="55">
        <v>5.4553404511785961E-4</v>
      </c>
      <c r="K32" s="55">
        <v>5.4317966937091403E-4</v>
      </c>
      <c r="L32" s="108">
        <v>543179</v>
      </c>
      <c r="M32" s="55">
        <v>5.4316917026752569E-4</v>
      </c>
      <c r="N32" s="55">
        <v>2.0393245554789594E-2</v>
      </c>
      <c r="O32" s="110"/>
      <c r="P32" s="55">
        <v>5.4316917026752569E-4</v>
      </c>
      <c r="Q32" s="206">
        <v>5.3879471219703441E-4</v>
      </c>
      <c r="R32" s="55">
        <v>7.0497003877335212E-4</v>
      </c>
      <c r="S32" s="78">
        <v>0.99</v>
      </c>
    </row>
    <row r="33" spans="1:19">
      <c r="A33" s="54">
        <v>40</v>
      </c>
      <c r="B33" s="54">
        <v>45</v>
      </c>
      <c r="C33" s="67">
        <v>1336896</v>
      </c>
      <c r="D33" s="67">
        <v>5698648415</v>
      </c>
      <c r="E33" s="55">
        <v>1.3550020990179467E-3</v>
      </c>
      <c r="F33" s="88">
        <v>42.625966529932022</v>
      </c>
      <c r="G33" s="204">
        <v>0.16</v>
      </c>
      <c r="H33" s="57" t="str">
        <f t="shared" si="0"/>
        <v>(40, 45]</v>
      </c>
      <c r="I33" s="197">
        <v>0.16090896000000002</v>
      </c>
      <c r="J33" s="55">
        <v>2.1803197855079485E-4</v>
      </c>
      <c r="K33" s="55">
        <v>2.1709101215840838E-4</v>
      </c>
      <c r="L33" s="108">
        <v>217091</v>
      </c>
      <c r="M33" s="55">
        <v>2.1708707137526933E-4</v>
      </c>
      <c r="N33" s="55">
        <v>9.2535462385231939E-3</v>
      </c>
      <c r="O33" s="110"/>
      <c r="P33" s="55">
        <v>2.1708707137526933E-4</v>
      </c>
      <c r="Q33" s="206">
        <v>2.2212092595070716E-4</v>
      </c>
      <c r="R33" s="55">
        <v>3.5248501938667606E-4</v>
      </c>
      <c r="S33" s="78">
        <v>1.02</v>
      </c>
    </row>
    <row r="34" spans="1:19">
      <c r="A34" s="54">
        <v>45</v>
      </c>
      <c r="B34" s="54">
        <v>50</v>
      </c>
      <c r="C34" s="67">
        <v>1129963</v>
      </c>
      <c r="D34" s="67">
        <v>5386108480</v>
      </c>
      <c r="E34" s="55">
        <v>1.1452665254534505E-3</v>
      </c>
      <c r="F34" s="88">
        <v>47.666237567070787</v>
      </c>
      <c r="G34" s="204">
        <v>0.2</v>
      </c>
      <c r="H34" s="57" t="str">
        <f t="shared" si="0"/>
        <v>(45, 50]</v>
      </c>
      <c r="I34" s="197">
        <v>0.20113620000000001</v>
      </c>
      <c r="J34" s="55">
        <v>2.3035455691691034E-4</v>
      </c>
      <c r="K34" s="55">
        <v>2.2936040964625486E-4</v>
      </c>
      <c r="L34" s="108">
        <v>229360</v>
      </c>
      <c r="M34" s="55">
        <v>2.2935584934719437E-4</v>
      </c>
      <c r="N34" s="55">
        <v>1.0932530402380665E-2</v>
      </c>
      <c r="O34" s="110"/>
      <c r="P34" s="55">
        <v>2.2935584934719437E-4</v>
      </c>
      <c r="Q34" s="206">
        <v>2.2429880756541837E-4</v>
      </c>
      <c r="R34" s="55">
        <v>1.3218188227000352E-4</v>
      </c>
      <c r="S34" s="78">
        <v>0.98</v>
      </c>
    </row>
    <row r="35" spans="1:19">
      <c r="A35" s="54">
        <v>50</v>
      </c>
      <c r="B35" s="54">
        <v>60</v>
      </c>
      <c r="C35" s="67">
        <v>1876167</v>
      </c>
      <c r="D35" s="67">
        <v>10300394235</v>
      </c>
      <c r="E35" s="55">
        <v>1.9015766545103015E-3</v>
      </c>
      <c r="F35" s="88">
        <v>54.901265372432199</v>
      </c>
      <c r="G35" s="204">
        <v>0.2</v>
      </c>
      <c r="H35" s="105" t="str">
        <f t="shared" si="0"/>
        <v>(50, 60]</v>
      </c>
      <c r="I35" s="197">
        <v>0.20113620000000001</v>
      </c>
      <c r="J35" s="55">
        <v>3.8247590229691493E-4</v>
      </c>
      <c r="K35" s="55">
        <v>3.8082524090150296E-4</v>
      </c>
      <c r="L35" s="108">
        <v>380825</v>
      </c>
      <c r="M35" s="55">
        <v>3.8081810833469348E-4</v>
      </c>
      <c r="N35" s="55">
        <v>2.0907396024310642E-2</v>
      </c>
      <c r="O35" s="110"/>
      <c r="P35" s="55">
        <v>3.8081810833469348E-4</v>
      </c>
      <c r="Q35" s="206">
        <v>3.7520660451939152E-4</v>
      </c>
      <c r="R35" s="55">
        <v>3.0842439196334157E-4</v>
      </c>
      <c r="S35" s="78">
        <v>0.99</v>
      </c>
    </row>
    <row r="36" spans="1:19">
      <c r="A36" s="54">
        <v>60</v>
      </c>
      <c r="B36" s="54">
        <v>70</v>
      </c>
      <c r="C36" s="67">
        <v>1368900</v>
      </c>
      <c r="D36" s="67">
        <v>8898541035</v>
      </c>
      <c r="E36" s="55">
        <v>1.3874395415542176E-3</v>
      </c>
      <c r="F36" s="88">
        <v>65.005048104317339</v>
      </c>
      <c r="G36" s="204">
        <v>0.11</v>
      </c>
      <c r="H36" s="57" t="str">
        <f t="shared" si="0"/>
        <v>(60, 70]</v>
      </c>
      <c r="I36" s="197">
        <v>0.11062491000000001</v>
      </c>
      <c r="J36" s="55">
        <v>1.534853744148766E-4</v>
      </c>
      <c r="K36" s="55">
        <v>1.5282297351383811E-4</v>
      </c>
      <c r="L36" s="108">
        <v>152822</v>
      </c>
      <c r="M36" s="55">
        <v>1.5281923443031452E-4</v>
      </c>
      <c r="N36" s="55">
        <v>9.9340216854075444E-3</v>
      </c>
      <c r="O36" s="110"/>
      <c r="P36" s="55">
        <v>1.5281923443031452E-4</v>
      </c>
      <c r="Q36" s="206">
        <v>1.5254370802911894E-4</v>
      </c>
      <c r="R36" s="55">
        <v>1.7624250969333803E-4</v>
      </c>
      <c r="S36" s="78">
        <v>1</v>
      </c>
    </row>
    <row r="37" spans="1:19">
      <c r="A37" s="54">
        <v>70</v>
      </c>
      <c r="B37" s="54">
        <v>80</v>
      </c>
      <c r="C37" s="67">
        <v>1107148</v>
      </c>
      <c r="D37" s="67">
        <v>8303629765</v>
      </c>
      <c r="E37" s="55">
        <v>1.1221425330942135E-3</v>
      </c>
      <c r="F37" s="88">
        <v>75.00017852175138</v>
      </c>
      <c r="G37" s="204">
        <v>0.12</v>
      </c>
      <c r="H37" s="57" t="str">
        <f t="shared" si="0"/>
        <v>(70, 80]</v>
      </c>
      <c r="I37" s="197">
        <v>0.12068172000000001</v>
      </c>
      <c r="J37" s="55">
        <v>1.3542209097896661E-4</v>
      </c>
      <c r="K37" s="55">
        <v>1.3483764626931948E-4</v>
      </c>
      <c r="L37" s="108">
        <v>134837</v>
      </c>
      <c r="M37" s="55">
        <v>1.3483455989896952E-4</v>
      </c>
      <c r="N37" s="55">
        <v>1.0112616063324493E-2</v>
      </c>
      <c r="O37" s="110"/>
      <c r="P37" s="55">
        <v>1.3483455989896952E-4</v>
      </c>
      <c r="Q37" s="206">
        <v>1.3574462119388114E-4</v>
      </c>
      <c r="R37" s="55">
        <v>1.3218188227000352E-4</v>
      </c>
      <c r="S37" s="78">
        <v>1.01</v>
      </c>
    </row>
    <row r="38" spans="1:19">
      <c r="A38" s="54">
        <v>80</v>
      </c>
      <c r="B38" s="54">
        <v>90</v>
      </c>
      <c r="C38" s="67">
        <v>880621</v>
      </c>
      <c r="D38" s="67">
        <v>7488356915</v>
      </c>
      <c r="E38" s="55">
        <v>8.9254759041786601E-4</v>
      </c>
      <c r="F38" s="88">
        <v>85.034957319891305</v>
      </c>
      <c r="G38" s="204">
        <v>0</v>
      </c>
      <c r="H38" s="57" t="str">
        <f t="shared" si="0"/>
        <v>(80, 90]</v>
      </c>
      <c r="I38" s="197">
        <v>0</v>
      </c>
      <c r="J38" s="55">
        <v>0</v>
      </c>
      <c r="K38" s="55">
        <v>0</v>
      </c>
      <c r="L38" s="108">
        <v>0</v>
      </c>
      <c r="M38" s="55">
        <v>0</v>
      </c>
      <c r="N38" s="55">
        <v>0</v>
      </c>
      <c r="O38" s="110"/>
      <c r="P38" s="55">
        <v>0</v>
      </c>
      <c r="Q38" s="206">
        <v>0</v>
      </c>
      <c r="R38" s="55">
        <v>0</v>
      </c>
      <c r="S38" s="78">
        <v>0</v>
      </c>
    </row>
    <row r="39" spans="1:19">
      <c r="A39" s="54">
        <v>90</v>
      </c>
      <c r="B39" s="54">
        <v>100</v>
      </c>
      <c r="C39" s="67">
        <v>740089</v>
      </c>
      <c r="D39" s="67">
        <v>7048903000</v>
      </c>
      <c r="E39" s="55">
        <v>7.5011231124941149E-4</v>
      </c>
      <c r="F39" s="88">
        <v>95.24399092541573</v>
      </c>
      <c r="G39" s="204">
        <v>0</v>
      </c>
      <c r="H39" s="57" t="str">
        <f t="shared" si="0"/>
        <v>(90, 100]</v>
      </c>
      <c r="I39" s="197">
        <v>0</v>
      </c>
      <c r="J39" s="55">
        <v>0</v>
      </c>
      <c r="K39" s="55">
        <v>0</v>
      </c>
      <c r="L39" s="108">
        <v>0</v>
      </c>
      <c r="M39" s="55">
        <v>0</v>
      </c>
      <c r="N39" s="55">
        <v>0</v>
      </c>
      <c r="O39" s="110"/>
      <c r="P39" s="55">
        <v>0</v>
      </c>
      <c r="Q39" s="206">
        <v>0</v>
      </c>
      <c r="R39" s="55">
        <v>8.8121254846669015E-5</v>
      </c>
      <c r="S39" s="78">
        <v>0</v>
      </c>
    </row>
    <row r="40" spans="1:19">
      <c r="A40" s="54">
        <v>100</v>
      </c>
      <c r="B40" s="54">
        <v>120</v>
      </c>
      <c r="C40" s="67">
        <v>1141398</v>
      </c>
      <c r="D40" s="67">
        <v>12514373105</v>
      </c>
      <c r="E40" s="55">
        <v>1.1568563940761933E-3</v>
      </c>
      <c r="F40" s="88">
        <v>109.64074849439021</v>
      </c>
      <c r="G40" s="204">
        <v>0.08</v>
      </c>
      <c r="H40" s="57" t="str">
        <f t="shared" si="0"/>
        <v>(100, 120]</v>
      </c>
      <c r="I40" s="197">
        <v>8.0454480000000009E-2</v>
      </c>
      <c r="J40" s="55">
        <v>9.3074279620075219E-5</v>
      </c>
      <c r="K40" s="55">
        <v>9.2672596483040962E-5</v>
      </c>
      <c r="L40" s="108">
        <v>92672</v>
      </c>
      <c r="M40" s="55">
        <v>9.2670322945165664E-5</v>
      </c>
      <c r="N40" s="55">
        <v>1.0160443570924826E-2</v>
      </c>
      <c r="O40" s="110"/>
      <c r="P40" s="55">
        <v>9.2670322945165664E-5</v>
      </c>
      <c r="Q40" s="206">
        <v>8.9040159954985172E-5</v>
      </c>
      <c r="R40" s="55">
        <v>0</v>
      </c>
      <c r="S40" s="78">
        <v>0.96</v>
      </c>
    </row>
    <row r="41" spans="1:19">
      <c r="A41" s="54">
        <v>120</v>
      </c>
      <c r="B41" s="54">
        <v>140</v>
      </c>
      <c r="C41" s="67">
        <v>816317</v>
      </c>
      <c r="D41" s="67">
        <v>10590153750</v>
      </c>
      <c r="E41" s="55">
        <v>8.2737269650296906E-4</v>
      </c>
      <c r="F41" s="88">
        <v>129.73089804573468</v>
      </c>
      <c r="G41" s="204">
        <v>0</v>
      </c>
      <c r="H41" s="57" t="str">
        <f t="shared" si="0"/>
        <v>(120, 140]</v>
      </c>
      <c r="I41" s="197">
        <v>0</v>
      </c>
      <c r="J41" s="55">
        <v>0</v>
      </c>
      <c r="K41" s="55">
        <v>0</v>
      </c>
      <c r="L41" s="108">
        <v>0</v>
      </c>
      <c r="M41" s="55">
        <v>0</v>
      </c>
      <c r="N41" s="55">
        <v>0</v>
      </c>
      <c r="O41" s="110"/>
      <c r="P41" s="55">
        <v>0</v>
      </c>
      <c r="Q41" s="206">
        <v>0</v>
      </c>
      <c r="R41" s="55">
        <v>4.4060627423334507E-5</v>
      </c>
      <c r="S41" s="78">
        <v>0</v>
      </c>
    </row>
    <row r="42" spans="1:19">
      <c r="A42" s="54">
        <v>140</v>
      </c>
      <c r="B42" s="54">
        <v>160</v>
      </c>
      <c r="C42" s="67">
        <v>633041</v>
      </c>
      <c r="D42" s="67">
        <v>9490295895</v>
      </c>
      <c r="E42" s="55">
        <v>6.4161451882900394E-4</v>
      </c>
      <c r="F42" s="88">
        <v>149.91597534756832</v>
      </c>
      <c r="G42" s="204">
        <v>0</v>
      </c>
      <c r="H42" s="57" t="str">
        <f t="shared" si="0"/>
        <v>(140, 160]</v>
      </c>
      <c r="I42" s="197">
        <v>0</v>
      </c>
      <c r="J42" s="55">
        <v>0</v>
      </c>
      <c r="K42" s="55">
        <v>0</v>
      </c>
      <c r="L42" s="108">
        <v>0</v>
      </c>
      <c r="M42" s="55">
        <v>0</v>
      </c>
      <c r="N42" s="55">
        <v>0</v>
      </c>
      <c r="O42" s="110"/>
      <c r="P42" s="55">
        <v>0</v>
      </c>
      <c r="Q42" s="206">
        <v>0</v>
      </c>
      <c r="R42" s="55">
        <v>8.8121254846669015E-5</v>
      </c>
      <c r="S42" s="78">
        <v>0</v>
      </c>
    </row>
    <row r="43" spans="1:19">
      <c r="A43" s="54">
        <v>160</v>
      </c>
      <c r="B43" s="54">
        <v>180</v>
      </c>
      <c r="C43" s="67">
        <v>482659</v>
      </c>
      <c r="D43" s="67">
        <v>8201830650</v>
      </c>
      <c r="E43" s="55">
        <v>4.8919583730514806E-4</v>
      </c>
      <c r="F43" s="88">
        <v>169.93012976034839</v>
      </c>
      <c r="G43" s="204">
        <v>0</v>
      </c>
      <c r="H43" s="57" t="str">
        <f t="shared" si="0"/>
        <v>(160, 180]</v>
      </c>
      <c r="I43" s="197">
        <v>0</v>
      </c>
      <c r="J43" s="55">
        <v>0</v>
      </c>
      <c r="K43" s="55">
        <v>0</v>
      </c>
      <c r="L43" s="108">
        <v>0</v>
      </c>
      <c r="M43" s="55">
        <v>0</v>
      </c>
      <c r="N43" s="55">
        <v>0</v>
      </c>
      <c r="O43" s="110"/>
      <c r="P43" s="55">
        <v>0</v>
      </c>
      <c r="Q43" s="206">
        <v>0</v>
      </c>
      <c r="R43" s="55">
        <v>0</v>
      </c>
      <c r="S43" s="78">
        <v>0</v>
      </c>
    </row>
    <row r="44" spans="1:19">
      <c r="A44" s="54">
        <v>180</v>
      </c>
      <c r="B44" s="54">
        <v>200</v>
      </c>
      <c r="C44" s="67">
        <v>388393</v>
      </c>
      <c r="D44" s="67">
        <v>7389979140</v>
      </c>
      <c r="E44" s="55">
        <v>3.9365315644887663E-4</v>
      </c>
      <c r="F44" s="88">
        <v>190.27065729814905</v>
      </c>
      <c r="G44" s="204">
        <v>0</v>
      </c>
      <c r="H44" s="57" t="str">
        <f t="shared" si="0"/>
        <v>(180, 200]</v>
      </c>
      <c r="I44" s="197">
        <v>0</v>
      </c>
      <c r="J44" s="55">
        <v>0</v>
      </c>
      <c r="K44" s="55">
        <v>0</v>
      </c>
      <c r="L44" s="108">
        <v>0</v>
      </c>
      <c r="M44" s="55">
        <v>0</v>
      </c>
      <c r="N44" s="55">
        <v>0</v>
      </c>
      <c r="O44" s="110"/>
      <c r="P44" s="55">
        <v>0</v>
      </c>
      <c r="Q44" s="206">
        <v>0</v>
      </c>
      <c r="R44" s="55">
        <v>0</v>
      </c>
      <c r="S44" s="78">
        <v>0</v>
      </c>
    </row>
    <row r="45" spans="1:19">
      <c r="A45" s="54">
        <v>200</v>
      </c>
      <c r="B45" s="54">
        <v>250</v>
      </c>
      <c r="C45" s="67">
        <v>687424</v>
      </c>
      <c r="D45" s="67">
        <v>15371333635</v>
      </c>
      <c r="E45" s="55">
        <v>6.9673404880806963E-4</v>
      </c>
      <c r="F45" s="88">
        <v>223.60775351166092</v>
      </c>
      <c r="G45" s="204">
        <v>0</v>
      </c>
      <c r="H45" s="57" t="str">
        <f t="shared" si="0"/>
        <v>(200, 250]</v>
      </c>
      <c r="I45" s="197">
        <v>0</v>
      </c>
      <c r="J45" s="55">
        <v>0</v>
      </c>
      <c r="K45" s="55">
        <v>0</v>
      </c>
      <c r="L45" s="108">
        <v>0</v>
      </c>
      <c r="M45" s="55">
        <v>0</v>
      </c>
      <c r="N45" s="55">
        <v>0</v>
      </c>
      <c r="O45" s="110"/>
      <c r="P45" s="55">
        <v>0</v>
      </c>
      <c r="Q45" s="206">
        <v>0</v>
      </c>
      <c r="R45" s="55">
        <v>4.4060627423334507E-5</v>
      </c>
      <c r="S45" s="78">
        <v>0</v>
      </c>
    </row>
    <row r="46" spans="1:19">
      <c r="A46" s="54">
        <v>250</v>
      </c>
      <c r="B46" s="54">
        <v>300</v>
      </c>
      <c r="C46" s="67">
        <v>439263</v>
      </c>
      <c r="D46" s="67">
        <v>12028209705</v>
      </c>
      <c r="E46" s="55">
        <v>4.452121085117469E-4</v>
      </c>
      <c r="F46" s="88">
        <v>273.82706271641365</v>
      </c>
      <c r="G46" s="204">
        <v>0</v>
      </c>
      <c r="H46" s="57" t="str">
        <f t="shared" si="0"/>
        <v>(250, 300]</v>
      </c>
      <c r="I46" s="197">
        <v>0</v>
      </c>
      <c r="J46" s="55">
        <v>0</v>
      </c>
      <c r="K46" s="55">
        <v>0</v>
      </c>
      <c r="L46" s="108">
        <v>0</v>
      </c>
      <c r="M46" s="55">
        <v>0</v>
      </c>
      <c r="N46" s="55">
        <v>0</v>
      </c>
      <c r="O46" s="110"/>
      <c r="P46" s="55">
        <v>0</v>
      </c>
      <c r="Q46" s="206">
        <v>0</v>
      </c>
      <c r="R46" s="55">
        <v>0</v>
      </c>
      <c r="S46" s="78">
        <v>0</v>
      </c>
    </row>
    <row r="47" spans="1:19">
      <c r="A47" s="54">
        <v>300</v>
      </c>
      <c r="B47" s="54">
        <v>350</v>
      </c>
      <c r="C47" s="67">
        <v>298334</v>
      </c>
      <c r="D47" s="67">
        <v>9668805040</v>
      </c>
      <c r="E47" s="55">
        <v>3.0237445261891734E-4</v>
      </c>
      <c r="F47" s="88">
        <v>324.09329945631407</v>
      </c>
      <c r="G47" s="204">
        <v>0</v>
      </c>
      <c r="H47" s="57" t="str">
        <f t="shared" si="0"/>
        <v>(300, 350]</v>
      </c>
      <c r="I47" s="197">
        <v>0</v>
      </c>
      <c r="J47" s="55">
        <v>0</v>
      </c>
      <c r="K47" s="55">
        <v>0</v>
      </c>
      <c r="L47" s="108">
        <v>0</v>
      </c>
      <c r="M47" s="55">
        <v>0</v>
      </c>
      <c r="N47" s="55">
        <v>0</v>
      </c>
      <c r="O47" s="110"/>
      <c r="P47" s="55">
        <v>0</v>
      </c>
      <c r="Q47" s="206">
        <v>0</v>
      </c>
      <c r="R47" s="55">
        <v>0</v>
      </c>
      <c r="S47" s="78">
        <v>0</v>
      </c>
    </row>
    <row r="48" spans="1:19">
      <c r="A48" s="54">
        <v>350</v>
      </c>
      <c r="B48" s="54">
        <v>400</v>
      </c>
      <c r="C48" s="67">
        <v>211467</v>
      </c>
      <c r="D48" s="67">
        <v>7917340960</v>
      </c>
      <c r="E48" s="55">
        <v>2.1433097927813993E-4</v>
      </c>
      <c r="F48" s="88">
        <v>374.4007793178132</v>
      </c>
      <c r="G48" s="204">
        <v>0</v>
      </c>
      <c r="H48" s="57" t="str">
        <f t="shared" si="0"/>
        <v>(350, 400]</v>
      </c>
      <c r="I48" s="197">
        <v>0</v>
      </c>
      <c r="J48" s="55">
        <v>0</v>
      </c>
      <c r="K48" s="55">
        <v>0</v>
      </c>
      <c r="L48" s="108">
        <v>0</v>
      </c>
      <c r="M48" s="55">
        <v>0</v>
      </c>
      <c r="N48" s="55">
        <v>0</v>
      </c>
      <c r="O48" s="110"/>
      <c r="P48" s="55">
        <v>0</v>
      </c>
      <c r="Q48" s="206">
        <v>0</v>
      </c>
      <c r="R48" s="55">
        <v>0</v>
      </c>
      <c r="S48" s="78">
        <v>0</v>
      </c>
    </row>
    <row r="49" spans="1:19">
      <c r="A49" s="54">
        <v>400</v>
      </c>
      <c r="B49" s="54">
        <v>450</v>
      </c>
      <c r="C49" s="67">
        <v>160769</v>
      </c>
      <c r="D49" s="67">
        <v>6824830435</v>
      </c>
      <c r="E49" s="55">
        <v>1.6294635667771936E-4</v>
      </c>
      <c r="F49" s="88">
        <v>424.51159334199997</v>
      </c>
      <c r="G49" s="204">
        <v>0</v>
      </c>
      <c r="H49" s="57" t="str">
        <f t="shared" si="0"/>
        <v>(400, 450]</v>
      </c>
      <c r="I49" s="197">
        <v>0</v>
      </c>
      <c r="J49" s="55">
        <v>0</v>
      </c>
      <c r="K49" s="55">
        <v>0</v>
      </c>
      <c r="L49" s="108">
        <v>0</v>
      </c>
      <c r="M49" s="55">
        <v>0</v>
      </c>
      <c r="N49" s="55">
        <v>0</v>
      </c>
      <c r="O49" s="110"/>
      <c r="P49" s="55">
        <v>0</v>
      </c>
      <c r="Q49" s="206">
        <v>0</v>
      </c>
      <c r="R49" s="55">
        <v>0</v>
      </c>
      <c r="S49" s="78">
        <v>0</v>
      </c>
    </row>
    <row r="50" spans="1:19">
      <c r="A50" s="54">
        <v>450</v>
      </c>
      <c r="B50" s="54">
        <v>500</v>
      </c>
      <c r="C50" s="67">
        <v>129237</v>
      </c>
      <c r="D50" s="67">
        <v>6165238720</v>
      </c>
      <c r="E50" s="55">
        <v>1.309873066197987E-4</v>
      </c>
      <c r="F50" s="88">
        <v>477.04904323065375</v>
      </c>
      <c r="G50" s="204">
        <v>0</v>
      </c>
      <c r="H50" s="57" t="str">
        <f t="shared" si="0"/>
        <v>(450, 500]</v>
      </c>
      <c r="I50" s="197">
        <v>0</v>
      </c>
      <c r="J50" s="55">
        <v>0</v>
      </c>
      <c r="K50" s="55">
        <v>0</v>
      </c>
      <c r="L50" s="108">
        <v>0</v>
      </c>
      <c r="M50" s="55">
        <v>0</v>
      </c>
      <c r="N50" s="55">
        <v>0</v>
      </c>
      <c r="O50" s="110"/>
      <c r="P50" s="55">
        <v>0</v>
      </c>
      <c r="Q50" s="206">
        <v>0</v>
      </c>
      <c r="R50" s="55">
        <v>0</v>
      </c>
      <c r="S50" s="78">
        <v>0</v>
      </c>
    </row>
    <row r="51" spans="1:19">
      <c r="A51" s="54">
        <v>500</v>
      </c>
      <c r="B51" s="54">
        <v>550</v>
      </c>
      <c r="C51" s="67">
        <v>94393</v>
      </c>
      <c r="D51" s="67">
        <v>4953718110</v>
      </c>
      <c r="E51" s="55">
        <v>9.5671400866335934E-5</v>
      </c>
      <c r="F51" s="88">
        <v>524.79718941023168</v>
      </c>
      <c r="G51" s="204">
        <v>0</v>
      </c>
      <c r="H51" s="57" t="str">
        <f t="shared" si="0"/>
        <v>(500, 550]</v>
      </c>
      <c r="I51" s="197">
        <v>0</v>
      </c>
      <c r="J51" s="55">
        <v>0</v>
      </c>
      <c r="K51" s="55">
        <v>0</v>
      </c>
      <c r="L51" s="108">
        <v>0</v>
      </c>
      <c r="M51" s="55">
        <v>0</v>
      </c>
      <c r="N51" s="55">
        <v>0</v>
      </c>
      <c r="O51" s="110"/>
      <c r="P51" s="55">
        <v>0</v>
      </c>
      <c r="Q51" s="206">
        <v>0</v>
      </c>
      <c r="R51" s="55">
        <v>0</v>
      </c>
      <c r="S51" s="78">
        <v>0</v>
      </c>
    </row>
    <row r="52" spans="1:19">
      <c r="A52" s="54">
        <v>550</v>
      </c>
      <c r="B52" s="54">
        <v>600</v>
      </c>
      <c r="C52" s="67">
        <v>80326</v>
      </c>
      <c r="D52" s="67">
        <v>4635061450</v>
      </c>
      <c r="E52" s="55">
        <v>8.1413886050759064E-5</v>
      </c>
      <c r="F52" s="88">
        <v>577.03127878893508</v>
      </c>
      <c r="G52" s="204">
        <v>0</v>
      </c>
      <c r="H52" s="57" t="str">
        <f t="shared" si="0"/>
        <v>(550, 600]</v>
      </c>
      <c r="I52" s="197">
        <v>0</v>
      </c>
      <c r="J52" s="55">
        <v>0</v>
      </c>
      <c r="K52" s="55">
        <v>0</v>
      </c>
      <c r="L52" s="108">
        <v>0</v>
      </c>
      <c r="M52" s="55">
        <v>0</v>
      </c>
      <c r="N52" s="55">
        <v>0</v>
      </c>
      <c r="O52" s="110"/>
      <c r="P52" s="55">
        <v>0</v>
      </c>
      <c r="Q52" s="206">
        <v>0</v>
      </c>
      <c r="R52" s="55">
        <v>0</v>
      </c>
      <c r="S52" s="78">
        <v>0</v>
      </c>
    </row>
    <row r="53" spans="1:19">
      <c r="A53" s="54">
        <v>600</v>
      </c>
      <c r="B53" s="54">
        <v>650</v>
      </c>
      <c r="C53" s="67">
        <v>60220</v>
      </c>
      <c r="D53" s="67">
        <v>3762531690</v>
      </c>
      <c r="E53" s="55">
        <v>6.1035582725104092E-5</v>
      </c>
      <c r="F53" s="88">
        <v>624.79769013616738</v>
      </c>
      <c r="G53" s="204">
        <v>0</v>
      </c>
      <c r="H53" s="57" t="str">
        <f t="shared" si="0"/>
        <v>(600, 650]</v>
      </c>
      <c r="I53" s="197">
        <v>0</v>
      </c>
      <c r="J53" s="55">
        <v>0</v>
      </c>
      <c r="K53" s="55">
        <v>0</v>
      </c>
      <c r="L53" s="108">
        <v>0</v>
      </c>
      <c r="M53" s="55">
        <v>0</v>
      </c>
      <c r="N53" s="55">
        <v>0</v>
      </c>
      <c r="O53" s="110"/>
      <c r="P53" s="55">
        <v>0</v>
      </c>
      <c r="Q53" s="206">
        <v>0</v>
      </c>
      <c r="R53" s="55">
        <v>0</v>
      </c>
      <c r="S53" s="78">
        <v>0</v>
      </c>
    </row>
    <row r="54" spans="1:19">
      <c r="A54" s="54">
        <v>650</v>
      </c>
      <c r="B54" s="54">
        <v>700</v>
      </c>
      <c r="C54" s="67">
        <v>53095</v>
      </c>
      <c r="D54" s="67">
        <v>3597267525</v>
      </c>
      <c r="E54" s="55">
        <v>5.3814086097465986E-5</v>
      </c>
      <c r="F54" s="88">
        <v>677.51530746774642</v>
      </c>
      <c r="G54" s="204">
        <v>0</v>
      </c>
      <c r="H54" s="57" t="str">
        <f t="shared" si="0"/>
        <v>(650, 700]</v>
      </c>
      <c r="I54" s="197">
        <v>0</v>
      </c>
      <c r="J54" s="55">
        <v>0</v>
      </c>
      <c r="K54" s="55">
        <v>0</v>
      </c>
      <c r="L54" s="108">
        <v>0</v>
      </c>
      <c r="M54" s="55">
        <v>0</v>
      </c>
      <c r="N54" s="55">
        <v>0</v>
      </c>
      <c r="O54" s="110"/>
      <c r="P54" s="55">
        <v>0</v>
      </c>
      <c r="Q54" s="206">
        <v>0</v>
      </c>
      <c r="R54" s="55">
        <v>0</v>
      </c>
      <c r="S54" s="78">
        <v>0</v>
      </c>
    </row>
    <row r="55" spans="1:19">
      <c r="A55" s="54">
        <v>700</v>
      </c>
      <c r="B55" s="54">
        <v>750</v>
      </c>
      <c r="C55" s="67">
        <v>46405</v>
      </c>
      <c r="D55" s="67">
        <v>3371782130</v>
      </c>
      <c r="E55" s="55">
        <v>4.703348084288368E-5</v>
      </c>
      <c r="F55" s="88">
        <v>726.59888589591628</v>
      </c>
      <c r="G55" s="204">
        <v>0</v>
      </c>
      <c r="H55" s="57" t="str">
        <f t="shared" si="0"/>
        <v>(700, 750]</v>
      </c>
      <c r="I55" s="197">
        <v>0</v>
      </c>
      <c r="J55" s="55">
        <v>0</v>
      </c>
      <c r="K55" s="55">
        <v>0</v>
      </c>
      <c r="L55" s="108">
        <v>0</v>
      </c>
      <c r="M55" s="55">
        <v>0</v>
      </c>
      <c r="N55" s="55">
        <v>0</v>
      </c>
      <c r="O55" s="110"/>
      <c r="P55" s="55">
        <v>0</v>
      </c>
      <c r="Q55" s="206">
        <v>0</v>
      </c>
      <c r="R55" s="55">
        <v>0</v>
      </c>
      <c r="S55" s="78">
        <v>0</v>
      </c>
    </row>
    <row r="56" spans="1:19">
      <c r="A56" s="54">
        <v>750</v>
      </c>
      <c r="B56" s="54">
        <v>800</v>
      </c>
      <c r="C56" s="67">
        <v>37597</v>
      </c>
      <c r="D56" s="67">
        <v>2923058065</v>
      </c>
      <c r="E56" s="55">
        <v>3.810619069604348E-5</v>
      </c>
      <c r="F56" s="88">
        <v>777.4710921084129</v>
      </c>
      <c r="G56" s="204">
        <v>0</v>
      </c>
      <c r="H56" s="57" t="str">
        <f t="shared" si="0"/>
        <v>(750, 800]</v>
      </c>
      <c r="I56" s="197">
        <v>0</v>
      </c>
      <c r="J56" s="55">
        <v>0</v>
      </c>
      <c r="K56" s="55">
        <v>0</v>
      </c>
      <c r="L56" s="108">
        <v>0</v>
      </c>
      <c r="M56" s="55">
        <v>0</v>
      </c>
      <c r="N56" s="55">
        <v>0</v>
      </c>
      <c r="O56" s="110"/>
      <c r="P56" s="55">
        <v>0</v>
      </c>
      <c r="Q56" s="206">
        <v>0</v>
      </c>
      <c r="R56" s="55">
        <v>0</v>
      </c>
      <c r="S56" s="78">
        <v>0</v>
      </c>
    </row>
    <row r="57" spans="1:19">
      <c r="A57" s="54">
        <v>800</v>
      </c>
      <c r="B57" s="54">
        <v>850</v>
      </c>
      <c r="C57" s="67">
        <v>33614</v>
      </c>
      <c r="D57" s="67">
        <v>2776922115</v>
      </c>
      <c r="E57" s="55">
        <v>3.4069247388270488E-5</v>
      </c>
      <c r="F57" s="88">
        <v>826.12069822097942</v>
      </c>
      <c r="G57" s="204">
        <v>0</v>
      </c>
      <c r="H57" s="57" t="str">
        <f t="shared" si="0"/>
        <v>(800, 850]</v>
      </c>
      <c r="I57" s="197">
        <v>0</v>
      </c>
      <c r="J57" s="55">
        <v>0</v>
      </c>
      <c r="K57" s="55">
        <v>0</v>
      </c>
      <c r="L57" s="108">
        <v>0</v>
      </c>
      <c r="M57" s="55">
        <v>0</v>
      </c>
      <c r="N57" s="55">
        <v>0</v>
      </c>
      <c r="O57" s="110"/>
      <c r="P57" s="55">
        <v>0</v>
      </c>
      <c r="Q57" s="206">
        <v>0</v>
      </c>
      <c r="R57" s="55">
        <v>0</v>
      </c>
      <c r="S57" s="78">
        <v>0</v>
      </c>
    </row>
    <row r="58" spans="1:19">
      <c r="A58" s="54">
        <v>850</v>
      </c>
      <c r="B58" s="54">
        <v>900</v>
      </c>
      <c r="C58" s="67">
        <v>26774</v>
      </c>
      <c r="D58" s="67">
        <v>2345628000</v>
      </c>
      <c r="E58" s="55">
        <v>2.713661062573791E-5</v>
      </c>
      <c r="F58" s="88">
        <v>876.08426085007841</v>
      </c>
      <c r="G58" s="204">
        <v>0</v>
      </c>
      <c r="H58" s="57" t="str">
        <f t="shared" si="0"/>
        <v>(850, 900]</v>
      </c>
      <c r="I58" s="197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10"/>
      <c r="P58" s="55">
        <v>0</v>
      </c>
      <c r="Q58" s="206">
        <v>0</v>
      </c>
      <c r="R58" s="55">
        <v>0</v>
      </c>
      <c r="S58" s="78">
        <v>0</v>
      </c>
    </row>
    <row r="59" spans="1:19">
      <c r="A59" s="54">
        <v>900</v>
      </c>
      <c r="B59" s="54">
        <v>950</v>
      </c>
      <c r="C59" s="67">
        <v>24569</v>
      </c>
      <c r="D59" s="67">
        <v>2274867630</v>
      </c>
      <c r="E59" s="55">
        <v>2.4901747458868855E-5</v>
      </c>
      <c r="F59" s="88">
        <v>925.90973584598487</v>
      </c>
      <c r="G59" s="204">
        <v>0</v>
      </c>
      <c r="H59" s="57" t="str">
        <f t="shared" si="0"/>
        <v>(900, 950]</v>
      </c>
      <c r="I59" s="197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10"/>
      <c r="P59" s="55">
        <v>0</v>
      </c>
      <c r="Q59" s="206">
        <v>0</v>
      </c>
      <c r="R59" s="55">
        <v>0</v>
      </c>
      <c r="S59" s="78">
        <v>0</v>
      </c>
    </row>
    <row r="60" spans="1:19">
      <c r="A60" s="54">
        <v>950</v>
      </c>
      <c r="B60" s="54">
        <v>1000</v>
      </c>
      <c r="C60" s="67">
        <v>27962</v>
      </c>
      <c r="D60" s="67">
        <v>2747461710</v>
      </c>
      <c r="E60" s="55">
        <v>2.8340700168704095E-5</v>
      </c>
      <c r="F60" s="88">
        <v>982.56981260281816</v>
      </c>
      <c r="G60" s="204">
        <v>0</v>
      </c>
      <c r="H60" s="57" t="str">
        <f t="shared" si="0"/>
        <v>(950, 1000]</v>
      </c>
      <c r="I60" s="197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10"/>
      <c r="P60" s="55">
        <v>0</v>
      </c>
      <c r="Q60" s="206">
        <v>0</v>
      </c>
      <c r="R60" s="55">
        <v>0</v>
      </c>
      <c r="S60" s="78">
        <v>0</v>
      </c>
    </row>
    <row r="61" spans="1:19">
      <c r="A61" s="54">
        <v>1000</v>
      </c>
      <c r="B61" s="54">
        <v>2000</v>
      </c>
      <c r="C61" s="67">
        <v>233082</v>
      </c>
      <c r="D61" s="67">
        <v>32853564355</v>
      </c>
      <c r="E61" s="55">
        <v>2.3623871957377467E-4</v>
      </c>
      <c r="F61" s="88">
        <v>1409.5281641224976</v>
      </c>
      <c r="G61" s="204">
        <v>0</v>
      </c>
      <c r="H61" s="57" t="str">
        <f t="shared" si="0"/>
        <v>(1000, 2000]</v>
      </c>
      <c r="I61" s="197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10"/>
      <c r="P61" s="55">
        <v>0</v>
      </c>
      <c r="Q61" s="206">
        <v>0</v>
      </c>
      <c r="R61" s="55">
        <v>0</v>
      </c>
      <c r="S61" s="78">
        <v>0</v>
      </c>
    </row>
    <row r="62" spans="1:19">
      <c r="A62" s="54">
        <v>2000</v>
      </c>
      <c r="B62" s="54">
        <v>3000</v>
      </c>
      <c r="C62" s="67">
        <v>99782</v>
      </c>
      <c r="D62" s="67">
        <v>24536958475</v>
      </c>
      <c r="E62" s="55">
        <v>1.0113338617529619E-4</v>
      </c>
      <c r="F62" s="88">
        <v>2459.0565908680924</v>
      </c>
      <c r="G62" s="204">
        <v>0</v>
      </c>
      <c r="H62" s="57" t="str">
        <f t="shared" si="0"/>
        <v>(2000, 3000]</v>
      </c>
      <c r="I62" s="197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10"/>
      <c r="P62" s="55">
        <v>0</v>
      </c>
      <c r="Q62" s="206">
        <v>0</v>
      </c>
      <c r="R62" s="55">
        <v>0</v>
      </c>
      <c r="S62" s="78">
        <v>0</v>
      </c>
    </row>
    <row r="63" spans="1:19">
      <c r="A63" s="54">
        <v>3000</v>
      </c>
      <c r="B63" s="54">
        <v>4000</v>
      </c>
      <c r="C63" s="67">
        <v>57998</v>
      </c>
      <c r="D63" s="67">
        <v>20106047060</v>
      </c>
      <c r="E63" s="55">
        <v>5.8783489320667335E-5</v>
      </c>
      <c r="F63" s="88">
        <v>3466.6793785992618</v>
      </c>
      <c r="G63" s="204">
        <v>0</v>
      </c>
      <c r="H63" s="57" t="str">
        <f t="shared" si="0"/>
        <v>(3000, 4000]</v>
      </c>
      <c r="I63" s="197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10"/>
      <c r="P63" s="55">
        <v>0</v>
      </c>
      <c r="Q63" s="206">
        <v>0</v>
      </c>
      <c r="R63" s="55">
        <v>0</v>
      </c>
      <c r="S63" s="78">
        <v>0</v>
      </c>
    </row>
    <row r="64" spans="1:19">
      <c r="A64" s="54">
        <v>4000</v>
      </c>
      <c r="B64" s="54">
        <v>5000</v>
      </c>
      <c r="C64" s="67">
        <v>38503</v>
      </c>
      <c r="D64" s="67">
        <v>17231506030</v>
      </c>
      <c r="E64" s="55">
        <v>3.9024461004063148E-5</v>
      </c>
      <c r="F64" s="88">
        <v>4475.3671220424385</v>
      </c>
      <c r="G64" s="204">
        <v>0</v>
      </c>
      <c r="H64" s="57" t="str">
        <f t="shared" si="0"/>
        <v>(4000, 5000]</v>
      </c>
      <c r="I64" s="197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10"/>
      <c r="P64" s="55">
        <v>0</v>
      </c>
      <c r="Q64" s="206">
        <v>0</v>
      </c>
      <c r="R64" s="55">
        <v>0</v>
      </c>
      <c r="S64" s="78">
        <v>0</v>
      </c>
    </row>
    <row r="65" spans="1:20">
      <c r="A65" s="54">
        <v>5000</v>
      </c>
      <c r="B65" s="54">
        <v>6000</v>
      </c>
      <c r="C65" s="67">
        <v>26773</v>
      </c>
      <c r="D65" s="67">
        <v>14661579840</v>
      </c>
      <c r="E65" s="55">
        <v>2.7135597082351575E-5</v>
      </c>
      <c r="F65" s="88">
        <v>5476.2558697194936</v>
      </c>
      <c r="G65" s="204">
        <v>0</v>
      </c>
      <c r="H65" s="57" t="str">
        <f t="shared" si="0"/>
        <v>(5000, 6000]</v>
      </c>
      <c r="I65" s="197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10"/>
      <c r="P65" s="55">
        <v>0</v>
      </c>
      <c r="Q65" s="206">
        <v>0</v>
      </c>
      <c r="R65" s="55">
        <v>0</v>
      </c>
      <c r="S65" s="78">
        <v>0</v>
      </c>
    </row>
    <row r="66" spans="1:20">
      <c r="A66" s="54">
        <v>6000</v>
      </c>
      <c r="B66" s="54">
        <v>7000</v>
      </c>
      <c r="C66" s="67">
        <v>18992</v>
      </c>
      <c r="D66" s="67">
        <v>12301404390</v>
      </c>
      <c r="E66" s="55">
        <v>1.9249215993277597E-5</v>
      </c>
      <c r="F66" s="88">
        <v>6477.1505844566136</v>
      </c>
      <c r="G66" s="204">
        <v>0</v>
      </c>
      <c r="H66" s="57" t="str">
        <f t="shared" si="0"/>
        <v>(6000, 7000]</v>
      </c>
      <c r="I66" s="197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10"/>
      <c r="P66" s="55">
        <v>0</v>
      </c>
      <c r="Q66" s="206">
        <v>0</v>
      </c>
      <c r="R66" s="55">
        <v>0</v>
      </c>
      <c r="S66" s="78">
        <v>0</v>
      </c>
    </row>
    <row r="67" spans="1:20">
      <c r="A67" s="54">
        <v>7000</v>
      </c>
      <c r="B67" s="54">
        <v>8000</v>
      </c>
      <c r="C67" s="67">
        <v>13726</v>
      </c>
      <c r="D67" s="67">
        <v>10266031555</v>
      </c>
      <c r="E67" s="55">
        <v>1.3911896520836579E-5</v>
      </c>
      <c r="F67" s="88">
        <v>7479.2594747195099</v>
      </c>
      <c r="G67" s="204">
        <v>0</v>
      </c>
      <c r="H67" s="57" t="str">
        <f t="shared" si="0"/>
        <v>(7000, 8000]</v>
      </c>
      <c r="I67" s="197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10"/>
      <c r="P67" s="55">
        <v>0</v>
      </c>
      <c r="Q67" s="206">
        <v>0</v>
      </c>
      <c r="R67" s="55">
        <v>0</v>
      </c>
      <c r="S67" s="78">
        <v>0</v>
      </c>
    </row>
    <row r="68" spans="1:20">
      <c r="A68" s="54">
        <v>8000</v>
      </c>
      <c r="B68" s="54">
        <v>9000</v>
      </c>
      <c r="C68" s="67">
        <v>10373</v>
      </c>
      <c r="D68" s="67">
        <v>8803774195</v>
      </c>
      <c r="E68" s="55">
        <v>1.0513485546454745E-5</v>
      </c>
      <c r="F68" s="88">
        <v>8487.2015762074625</v>
      </c>
      <c r="G68" s="204">
        <v>0</v>
      </c>
      <c r="H68" s="57" t="str">
        <f t="shared" si="0"/>
        <v>(8000, 9000]</v>
      </c>
      <c r="I68" s="197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10"/>
      <c r="P68" s="55">
        <v>0</v>
      </c>
      <c r="Q68" s="206">
        <v>0</v>
      </c>
      <c r="R68" s="55">
        <v>0</v>
      </c>
      <c r="S68" s="78">
        <v>0</v>
      </c>
    </row>
    <row r="69" spans="1:20">
      <c r="A69" s="54">
        <v>9000</v>
      </c>
      <c r="B69" s="54">
        <v>10000</v>
      </c>
      <c r="C69" s="67">
        <v>7646</v>
      </c>
      <c r="D69" s="67">
        <v>7255896185</v>
      </c>
      <c r="E69" s="55">
        <v>7.7495527319187284E-6</v>
      </c>
      <c r="F69" s="88">
        <v>9489.7935979597169</v>
      </c>
      <c r="G69" s="204">
        <v>0</v>
      </c>
      <c r="H69" s="57" t="str">
        <f t="shared" si="0"/>
        <v>(9000, 10000]</v>
      </c>
      <c r="I69" s="197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10"/>
      <c r="P69" s="55">
        <v>0</v>
      </c>
      <c r="Q69" s="206">
        <v>0</v>
      </c>
      <c r="R69" s="55">
        <v>0</v>
      </c>
      <c r="S69" s="78">
        <v>0</v>
      </c>
    </row>
    <row r="70" spans="1:20">
      <c r="A70" s="54">
        <v>10000</v>
      </c>
      <c r="B70" s="54">
        <v>20000</v>
      </c>
      <c r="C70" s="67">
        <v>27261</v>
      </c>
      <c r="D70" s="67">
        <v>36767192000</v>
      </c>
      <c r="E70" s="55">
        <v>2.7630206254883139E-5</v>
      </c>
      <c r="F70" s="88">
        <v>13487.103187704046</v>
      </c>
      <c r="G70" s="204">
        <v>0</v>
      </c>
      <c r="H70" s="57" t="str">
        <f t="shared" si="0"/>
        <v>(10000, 20000]</v>
      </c>
      <c r="I70" s="197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10"/>
      <c r="P70" s="55">
        <v>0</v>
      </c>
      <c r="Q70" s="206">
        <v>0</v>
      </c>
      <c r="R70" s="55">
        <v>0</v>
      </c>
      <c r="S70" s="78">
        <v>0</v>
      </c>
    </row>
    <row r="71" spans="1:20">
      <c r="A71" s="54">
        <v>20000</v>
      </c>
      <c r="B71" s="54">
        <v>30000</v>
      </c>
      <c r="C71" s="67">
        <v>4794</v>
      </c>
      <c r="D71" s="67">
        <v>11474887465</v>
      </c>
      <c r="E71" s="55">
        <v>4.8589269940908168E-6</v>
      </c>
      <c r="F71" s="88">
        <v>23935.93547142261</v>
      </c>
      <c r="G71" s="204">
        <v>0</v>
      </c>
      <c r="H71" s="57" t="str">
        <f t="shared" si="0"/>
        <v>(20000, 30000]</v>
      </c>
      <c r="I71" s="197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10"/>
      <c r="P71" s="55">
        <v>0</v>
      </c>
      <c r="Q71" s="206">
        <v>0</v>
      </c>
      <c r="R71" s="55">
        <v>0</v>
      </c>
      <c r="S71" s="78">
        <v>0</v>
      </c>
    </row>
    <row r="72" spans="1:20">
      <c r="A72" s="54">
        <v>30000</v>
      </c>
      <c r="B72" s="54">
        <v>40000</v>
      </c>
      <c r="C72" s="67">
        <v>1168</v>
      </c>
      <c r="D72" s="67">
        <v>3941775520</v>
      </c>
      <c r="E72" s="55">
        <v>1.1838186752394815E-6</v>
      </c>
      <c r="F72" s="88">
        <v>33748.07808219178</v>
      </c>
      <c r="G72" s="204">
        <v>0</v>
      </c>
      <c r="H72" s="57" t="str">
        <f t="shared" si="0"/>
        <v>(30000, 40000]</v>
      </c>
      <c r="I72" s="197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10"/>
      <c r="P72" s="55">
        <v>0</v>
      </c>
      <c r="Q72" s="206">
        <v>0</v>
      </c>
      <c r="R72" s="55">
        <v>0</v>
      </c>
      <c r="S72" s="78">
        <v>0</v>
      </c>
    </row>
    <row r="73" spans="1:20">
      <c r="A73" s="54">
        <v>40000</v>
      </c>
      <c r="B73" s="54">
        <v>50000</v>
      </c>
      <c r="C73" s="67">
        <v>348</v>
      </c>
      <c r="D73" s="67">
        <v>1549257685</v>
      </c>
      <c r="E73" s="55">
        <v>3.5271309844464005E-7</v>
      </c>
      <c r="F73" s="88">
        <v>44518.898994252879</v>
      </c>
      <c r="G73" s="204">
        <v>0</v>
      </c>
      <c r="H73" s="57" t="str">
        <f t="shared" si="0"/>
        <v>(40000, 50000]</v>
      </c>
      <c r="I73" s="197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10"/>
      <c r="P73" s="55">
        <v>0</v>
      </c>
      <c r="Q73" s="206">
        <v>0</v>
      </c>
      <c r="R73" s="55">
        <v>0</v>
      </c>
      <c r="S73" s="78">
        <v>0</v>
      </c>
    </row>
    <row r="74" spans="1:20">
      <c r="A74" s="54">
        <v>50000</v>
      </c>
      <c r="B74" s="54">
        <v>60000</v>
      </c>
      <c r="C74" s="67">
        <v>658</v>
      </c>
      <c r="D74" s="67">
        <v>3583737515</v>
      </c>
      <c r="E74" s="55">
        <v>6.6691154820854352E-7</v>
      </c>
      <c r="F74" s="88">
        <v>54464.095972644376</v>
      </c>
      <c r="G74" s="204">
        <v>0</v>
      </c>
      <c r="H74" s="57" t="str">
        <f t="shared" si="0"/>
        <v>(50000, 60000]</v>
      </c>
      <c r="I74" s="197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10"/>
      <c r="P74" s="55">
        <v>0</v>
      </c>
      <c r="Q74" s="206">
        <v>0</v>
      </c>
      <c r="R74" s="55">
        <v>0</v>
      </c>
      <c r="S74" s="78">
        <v>0</v>
      </c>
    </row>
    <row r="75" spans="1:20">
      <c r="A75" s="54">
        <v>60000</v>
      </c>
      <c r="B75" s="54">
        <v>70000</v>
      </c>
      <c r="C75" s="67">
        <v>192</v>
      </c>
      <c r="D75" s="67">
        <v>1228675605</v>
      </c>
      <c r="E75" s="55">
        <v>1.9460033017635312E-7</v>
      </c>
      <c r="F75" s="88">
        <v>63993.521093750001</v>
      </c>
      <c r="G75" s="204">
        <v>0</v>
      </c>
      <c r="H75" s="57" t="str">
        <f t="shared" si="0"/>
        <v>(60000, 70000]</v>
      </c>
      <c r="I75" s="197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10"/>
      <c r="P75" s="55">
        <v>0</v>
      </c>
      <c r="Q75" s="206">
        <v>0</v>
      </c>
      <c r="R75" s="55">
        <v>0</v>
      </c>
      <c r="S75" s="78">
        <v>0</v>
      </c>
    </row>
    <row r="76" spans="1:20">
      <c r="A76" s="54">
        <v>70000</v>
      </c>
      <c r="B76" s="54">
        <v>80000</v>
      </c>
      <c r="C76" s="67">
        <v>46</v>
      </c>
      <c r="D76" s="67">
        <v>339933765</v>
      </c>
      <c r="E76" s="55">
        <v>4.6622995771417934E-8</v>
      </c>
      <c r="F76" s="88">
        <v>73898.644565217386</v>
      </c>
      <c r="G76" s="204">
        <v>0</v>
      </c>
      <c r="H76" s="57" t="str">
        <f t="shared" si="0"/>
        <v>(70000, 80000]</v>
      </c>
      <c r="I76" s="197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10"/>
      <c r="P76" s="55">
        <v>0</v>
      </c>
      <c r="Q76" s="206">
        <v>0</v>
      </c>
      <c r="R76" s="55">
        <v>0</v>
      </c>
      <c r="S76" s="78">
        <v>0</v>
      </c>
    </row>
    <row r="77" spans="1:20">
      <c r="A77" s="54">
        <v>80000</v>
      </c>
      <c r="B77" s="54">
        <v>90000</v>
      </c>
      <c r="C77" s="67">
        <v>18</v>
      </c>
      <c r="D77" s="67">
        <v>149870980</v>
      </c>
      <c r="E77" s="55">
        <v>1.8243780954033104E-8</v>
      </c>
      <c r="F77" s="88">
        <v>83261.655555555553</v>
      </c>
      <c r="G77" s="204">
        <v>0</v>
      </c>
      <c r="H77" s="57" t="str">
        <f t="shared" si="0"/>
        <v>(80000, 90000]</v>
      </c>
      <c r="I77" s="197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10"/>
      <c r="P77" s="55">
        <v>0</v>
      </c>
      <c r="Q77" s="206">
        <v>0</v>
      </c>
      <c r="R77" s="55">
        <v>0</v>
      </c>
      <c r="S77" s="78">
        <v>0</v>
      </c>
    </row>
    <row r="78" spans="1:20">
      <c r="A78" s="54">
        <v>90000</v>
      </c>
      <c r="B78" s="54">
        <v>100000</v>
      </c>
      <c r="C78" s="67">
        <v>6</v>
      </c>
      <c r="D78" s="67">
        <v>57272250</v>
      </c>
      <c r="E78" s="55">
        <v>6.081260318011035E-9</v>
      </c>
      <c r="F78" s="88">
        <v>95453.75</v>
      </c>
      <c r="G78" s="204">
        <v>0</v>
      </c>
      <c r="H78" s="57" t="str">
        <f t="shared" si="0"/>
        <v>(90000, 100000]</v>
      </c>
      <c r="I78" s="197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10"/>
      <c r="P78" s="55">
        <v>0</v>
      </c>
      <c r="Q78" s="206">
        <v>0</v>
      </c>
      <c r="R78" s="55">
        <v>0</v>
      </c>
      <c r="S78" s="78">
        <v>0</v>
      </c>
    </row>
    <row r="79" spans="1:20">
      <c r="A79" s="54">
        <v>100000</v>
      </c>
      <c r="B79" s="54">
        <v>9999999</v>
      </c>
      <c r="C79" s="67">
        <v>156</v>
      </c>
      <c r="D79" s="67">
        <v>1792140330</v>
      </c>
      <c r="E79" s="55">
        <v>1.5811276826828693E-7</v>
      </c>
      <c r="F79" s="88">
        <v>114880.79038461538</v>
      </c>
      <c r="G79" s="204">
        <v>0</v>
      </c>
      <c r="H79" s="57" t="str">
        <f t="shared" si="0"/>
        <v>(100000, 9999999]</v>
      </c>
      <c r="I79" s="197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10"/>
      <c r="P79" s="55">
        <v>0</v>
      </c>
      <c r="Q79" s="206">
        <v>0</v>
      </c>
      <c r="R79" s="55">
        <v>0</v>
      </c>
      <c r="S79" s="78">
        <v>0</v>
      </c>
    </row>
    <row r="80" spans="1:20">
      <c r="A80" s="219" t="s">
        <v>72</v>
      </c>
      <c r="B80" s="220"/>
      <c r="C80" s="68">
        <f>E80*B14</f>
        <v>13362000</v>
      </c>
      <c r="D80" s="67">
        <v>360008300</v>
      </c>
      <c r="E80" s="203">
        <v>1.3362000000000001E-2</v>
      </c>
      <c r="F80" s="88">
        <v>0.26942695704235892</v>
      </c>
      <c r="G80" s="204"/>
      <c r="H80" s="57" t="s">
        <v>72</v>
      </c>
      <c r="I80" s="197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4.1955920723702666E-3</v>
      </c>
      <c r="N80" s="55">
        <v>1.1304056050497654E-3</v>
      </c>
      <c r="P80" s="47"/>
      <c r="Q80" s="47"/>
      <c r="R80" s="47"/>
      <c r="S80" s="47"/>
      <c r="T80" s="47"/>
    </row>
    <row r="81" spans="1:20">
      <c r="A81" s="219" t="s">
        <v>73</v>
      </c>
      <c r="B81" s="220"/>
      <c r="C81" s="68">
        <v>10000000</v>
      </c>
      <c r="D81" s="67">
        <v>0</v>
      </c>
      <c r="E81" s="55">
        <v>1</v>
      </c>
      <c r="F81" s="88">
        <v>0</v>
      </c>
      <c r="G81" s="204"/>
      <c r="H81" s="57" t="s">
        <v>73</v>
      </c>
      <c r="I81" s="76"/>
      <c r="J81" s="55"/>
      <c r="K81" s="55"/>
      <c r="L81" s="80"/>
      <c r="M81" s="59">
        <f>E81</f>
        <v>1</v>
      </c>
      <c r="N81" s="55">
        <f>F81/B9</f>
        <v>0</v>
      </c>
      <c r="P81" s="47"/>
      <c r="Q81" s="47"/>
      <c r="R81" s="47"/>
      <c r="S81" s="47"/>
      <c r="T81" s="47"/>
    </row>
    <row r="82" spans="1:20">
      <c r="A82" s="62"/>
      <c r="B82" s="48"/>
      <c r="C82" s="1"/>
      <c r="D82" s="1"/>
      <c r="E82" s="1"/>
      <c r="F82" s="1"/>
      <c r="H82" s="12"/>
      <c r="I82" s="48"/>
      <c r="J82" s="48"/>
      <c r="K82" s="48">
        <f>1/K80</f>
        <v>238.34106988446175</v>
      </c>
      <c r="L82" s="63"/>
      <c r="M82" s="48"/>
      <c r="N82" s="48"/>
    </row>
    <row r="83" spans="1:20">
      <c r="A83" s="48"/>
      <c r="D83" s="106"/>
      <c r="E83" s="1"/>
      <c r="F83" s="1"/>
      <c r="H83" s="12"/>
      <c r="I83" s="48"/>
      <c r="J83" s="48"/>
      <c r="K83" s="48"/>
      <c r="L83" s="48"/>
      <c r="M83" s="48"/>
      <c r="N83" s="48"/>
    </row>
    <row r="84" spans="1:20" s="175" customFormat="1">
      <c r="A84" s="221" t="s">
        <v>262</v>
      </c>
      <c r="B84" s="221"/>
      <c r="C84" s="221"/>
      <c r="D84" s="221"/>
      <c r="E84" s="170"/>
      <c r="F84" s="170"/>
      <c r="G84" s="171"/>
      <c r="H84" s="172"/>
      <c r="I84" s="173"/>
      <c r="J84" s="174"/>
      <c r="K84" s="174"/>
      <c r="L84" s="174"/>
      <c r="M84" s="174"/>
      <c r="N84" s="174"/>
      <c r="O84" s="171"/>
    </row>
    <row r="85" spans="1:20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0">
      <c r="A86" s="65" t="s">
        <v>69</v>
      </c>
      <c r="B86" s="195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</row>
    <row r="87" spans="1:20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8" t="s">
        <v>55</v>
      </c>
      <c r="I87" s="18" t="s">
        <v>57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">
        <v>305</v>
      </c>
      <c r="Q87" s="182" t="s">
        <v>305</v>
      </c>
      <c r="R87" s="81" t="s">
        <v>303</v>
      </c>
      <c r="S87" s="81" t="s">
        <v>74</v>
      </c>
    </row>
    <row r="88" spans="1:20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9.9999999999999995E-7</v>
      </c>
      <c r="H88" s="57" t="str">
        <f>"("&amp;$A88&amp;", "&amp;$B88&amp;"]"</f>
        <v>(-1, 0]</v>
      </c>
      <c r="I88" s="207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0.71194570953648262</v>
      </c>
      <c r="L88" s="108" cm="1">
        <f t="array" ref="L88:L152">INT(K88:K152*$B$2)</f>
        <v>711945709</v>
      </c>
      <c r="M88" s="55" cm="1">
        <f t="array" ref="M88:M152">_xlfn.LET(_xlpm.x, L88:L152, _xlpm.x/SUM(_xlpm.x))</f>
        <v>0.71164631299130776</v>
      </c>
      <c r="N88" s="55" cm="1">
        <f t="array" ref="N88:N152">M88:M152*F88:F152</f>
        <v>0</v>
      </c>
      <c r="O88" s="110"/>
      <c r="P88" s="55" cm="1">
        <f t="array" ref="P88:P151">M88:M151</f>
        <v>0.71164631299130776</v>
      </c>
      <c r="Q88" s="206">
        <v>0.71129077639443383</v>
      </c>
      <c r="R88" s="55"/>
      <c r="S88" s="78" cm="1">
        <f t="array" ref="S88:S151">_xlfn.LET(_xlpm.x, Q88:Q151/M88:M151, IF(ISERR(_xlpm.x), 0, ROUND(_xlpm.x,2)))</f>
        <v>1</v>
      </c>
    </row>
    <row r="89" spans="1:20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-1130</v>
      </c>
      <c r="H89" s="57" t="str">
        <f t="shared" ref="H89:H151" si="1">"("&amp;$A89&amp;", "&amp;$B89&amp;"]"</f>
        <v>(0, 1]</v>
      </c>
      <c r="I89" s="207">
        <v>1.18</v>
      </c>
      <c r="J89" s="55">
        <v>0.16106442614279243</v>
      </c>
      <c r="K89" s="55">
        <v>0.15783428254545276</v>
      </c>
      <c r="L89" s="108">
        <v>157834282</v>
      </c>
      <c r="M89" s="55">
        <v>0.15776790762135254</v>
      </c>
      <c r="N89" s="55">
        <v>6.8760071717664517E-2</v>
      </c>
      <c r="O89" s="110"/>
      <c r="P89" s="55">
        <v>0.15776790762135254</v>
      </c>
      <c r="Q89" s="206">
        <v>0.15819743034039788</v>
      </c>
      <c r="R89" s="55"/>
      <c r="S89" s="78">
        <v>1</v>
      </c>
    </row>
    <row r="90" spans="1:20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0.99887000000000004</v>
      </c>
      <c r="H90" s="57" t="str">
        <f t="shared" si="1"/>
        <v>(1, 2]</v>
      </c>
      <c r="I90" s="207">
        <v>1.3</v>
      </c>
      <c r="J90" s="55">
        <v>4.5199946092465207E-2</v>
      </c>
      <c r="K90" s="55">
        <v>4.4293462147082782E-2</v>
      </c>
      <c r="L90" s="108">
        <v>44293462</v>
      </c>
      <c r="M90" s="55">
        <v>4.4274835178366945E-2</v>
      </c>
      <c r="N90" s="55">
        <v>6.6290993505064302E-2</v>
      </c>
      <c r="O90" s="110"/>
      <c r="P90" s="55">
        <v>4.4274835178366945E-2</v>
      </c>
      <c r="Q90" s="206">
        <v>4.4334957957697756E-2</v>
      </c>
      <c r="R90" s="55"/>
      <c r="S90" s="78">
        <v>1</v>
      </c>
    </row>
    <row r="91" spans="1:20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204"/>
      <c r="H91" s="57" t="str">
        <f t="shared" si="1"/>
        <v>(2, 3]</v>
      </c>
      <c r="I91" s="207">
        <v>1.32</v>
      </c>
      <c r="J91" s="55">
        <v>2.1433207268874512E-2</v>
      </c>
      <c r="K91" s="55">
        <v>2.1003364758718789E-2</v>
      </c>
      <c r="L91" s="108">
        <v>21003364</v>
      </c>
      <c r="M91" s="55">
        <v>2.0994531411684322E-2</v>
      </c>
      <c r="N91" s="55">
        <v>5.2860791209527719E-2</v>
      </c>
      <c r="O91" s="110"/>
      <c r="P91" s="55">
        <v>2.0994531411684322E-2</v>
      </c>
      <c r="Q91" s="206">
        <v>2.1022686010241088E-2</v>
      </c>
      <c r="R91" s="55"/>
      <c r="S91" s="78">
        <v>1</v>
      </c>
    </row>
    <row r="92" spans="1:20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204"/>
      <c r="H92" s="57" t="str">
        <f t="shared" si="1"/>
        <v>(3, 4]</v>
      </c>
      <c r="I92" s="207">
        <v>1.08</v>
      </c>
      <c r="J92" s="55">
        <v>8.7213902268669496E-3</v>
      </c>
      <c r="K92" s="55">
        <v>8.5464829337056434E-3</v>
      </c>
      <c r="L92" s="108">
        <v>8546482</v>
      </c>
      <c r="M92" s="55">
        <v>8.5428879301617903E-3</v>
      </c>
      <c r="N92" s="55">
        <v>3.0476299287984222E-2</v>
      </c>
      <c r="O92" s="110"/>
      <c r="P92" s="55">
        <v>8.5428879301617903E-3</v>
      </c>
      <c r="Q92" s="206">
        <v>8.5021580020264356E-3</v>
      </c>
      <c r="R92" s="55"/>
      <c r="S92" s="78">
        <v>1</v>
      </c>
    </row>
    <row r="93" spans="1:20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204"/>
      <c r="H93" s="57" t="str">
        <f t="shared" si="1"/>
        <v>(4, 5]</v>
      </c>
      <c r="I93" s="207">
        <v>1.21</v>
      </c>
      <c r="J93" s="55">
        <v>6.8416552904360974E-3</v>
      </c>
      <c r="K93" s="55">
        <v>6.7044460409397821E-3</v>
      </c>
      <c r="L93" s="108">
        <v>6704446</v>
      </c>
      <c r="M93" s="55">
        <v>6.7016265653893018E-3</v>
      </c>
      <c r="N93" s="55">
        <v>3.0803557971074612E-2</v>
      </c>
      <c r="O93" s="110"/>
      <c r="P93" s="55">
        <v>6.7016265653893018E-3</v>
      </c>
      <c r="Q93" s="206">
        <v>6.6995414411689979E-3</v>
      </c>
      <c r="R93" s="55"/>
      <c r="S93" s="78">
        <v>1</v>
      </c>
    </row>
    <row r="94" spans="1:20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204">
        <v>1.34</v>
      </c>
      <c r="H94" s="57" t="str">
        <f t="shared" si="1"/>
        <v>(5, 6]</v>
      </c>
      <c r="I94" s="197" cm="1">
        <f t="array" ref="I94:I151">G94:G151*G90</f>
        <v>1.3384858000000002</v>
      </c>
      <c r="J94" s="55">
        <v>5.6415678429755263E-3</v>
      </c>
      <c r="K94" s="55">
        <v>5.5284263213909342E-3</v>
      </c>
      <c r="L94" s="108">
        <v>5528426</v>
      </c>
      <c r="M94" s="55">
        <v>5.5261011195241062E-3</v>
      </c>
      <c r="N94" s="55">
        <v>3.0865204777210848E-2</v>
      </c>
      <c r="O94" s="110"/>
      <c r="P94" s="55">
        <v>5.5261011195241062E-3</v>
      </c>
      <c r="Q94" s="206">
        <v>5.5126358034368909E-3</v>
      </c>
      <c r="R94" s="55"/>
      <c r="S94" s="78">
        <v>1</v>
      </c>
    </row>
    <row r="95" spans="1:20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204">
        <v>1.23</v>
      </c>
      <c r="H95" s="57" t="str">
        <f t="shared" si="1"/>
        <v>(6, 7]</v>
      </c>
      <c r="I95" s="197">
        <v>1.2286101</v>
      </c>
      <c r="J95" s="55">
        <v>3.452159506171803E-3</v>
      </c>
      <c r="K95" s="55">
        <v>3.3829265216270337E-3</v>
      </c>
      <c r="L95" s="108">
        <v>3382926</v>
      </c>
      <c r="M95" s="55">
        <v>3.3815033710982486E-3</v>
      </c>
      <c r="N95" s="55">
        <v>2.2182880720299471E-2</v>
      </c>
      <c r="O95" s="110"/>
      <c r="P95" s="55">
        <v>3.3815033710982486E-3</v>
      </c>
      <c r="Q95" s="206">
        <v>3.3734937393716416E-3</v>
      </c>
      <c r="R95" s="55"/>
      <c r="S95" s="78">
        <v>1</v>
      </c>
    </row>
    <row r="96" spans="1:20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204">
        <v>1.01</v>
      </c>
      <c r="H96" s="57" t="str">
        <f t="shared" si="1"/>
        <v>(7, 8]</v>
      </c>
      <c r="I96" s="197">
        <v>1.0088587</v>
      </c>
      <c r="J96" s="55">
        <v>2.9365453248357191E-3</v>
      </c>
      <c r="K96" s="55">
        <v>2.8776529715925118E-3</v>
      </c>
      <c r="L96" s="108">
        <v>2877652</v>
      </c>
      <c r="M96" s="55">
        <v>2.8764418550236148E-3</v>
      </c>
      <c r="N96" s="55">
        <v>2.1922415986996822E-2</v>
      </c>
      <c r="O96" s="110"/>
      <c r="P96" s="55">
        <v>2.8764418550236148E-3</v>
      </c>
      <c r="Q96" s="206">
        <v>2.8725629428765611E-3</v>
      </c>
      <c r="R96" s="55"/>
      <c r="S96" s="78">
        <v>1</v>
      </c>
    </row>
    <row r="97" spans="1:19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204">
        <v>1.24</v>
      </c>
      <c r="H97" s="57" t="str">
        <f t="shared" si="1"/>
        <v>(8, 9]</v>
      </c>
      <c r="I97" s="197">
        <v>1.2385988000000001</v>
      </c>
      <c r="J97" s="55">
        <v>2.6430761776269898E-3</v>
      </c>
      <c r="K97" s="55">
        <v>2.5900693418104089E-3</v>
      </c>
      <c r="L97" s="108">
        <v>2590069</v>
      </c>
      <c r="M97" s="55">
        <v>2.5889797929003087E-3</v>
      </c>
      <c r="N97" s="55">
        <v>2.2261629098600692E-2</v>
      </c>
      <c r="O97" s="110"/>
      <c r="P97" s="55">
        <v>2.5889797929003087E-3</v>
      </c>
      <c r="Q97" s="206">
        <v>2.5900388573001747E-3</v>
      </c>
      <c r="R97" s="55"/>
      <c r="S97" s="78">
        <v>1</v>
      </c>
    </row>
    <row r="98" spans="1:19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204">
        <v>1.2</v>
      </c>
      <c r="H98" s="57" t="str">
        <f t="shared" si="1"/>
        <v>(9, 10]</v>
      </c>
      <c r="I98" s="197">
        <v>1.198644</v>
      </c>
      <c r="J98" s="55">
        <v>2.3741796023327251E-3</v>
      </c>
      <c r="K98" s="55">
        <v>2.3265654815422623E-3</v>
      </c>
      <c r="L98" s="108">
        <v>2326565</v>
      </c>
      <c r="M98" s="55">
        <v>2.3255866047850876E-3</v>
      </c>
      <c r="N98" s="55">
        <v>2.2433331757869341E-2</v>
      </c>
      <c r="O98" s="110"/>
      <c r="P98" s="55">
        <v>2.3255866047850876E-3</v>
      </c>
      <c r="Q98" s="206">
        <v>2.319000181430489E-3</v>
      </c>
      <c r="R98" s="55"/>
      <c r="S98" s="78">
        <v>1</v>
      </c>
    </row>
    <row r="99" spans="1:19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204">
        <v>0.46</v>
      </c>
      <c r="H99" s="57" t="str">
        <f t="shared" si="1"/>
        <v>(10, 15]</v>
      </c>
      <c r="I99" s="197">
        <v>0.45948020000000006</v>
      </c>
      <c r="J99" s="55">
        <v>3.1363479684121827E-3</v>
      </c>
      <c r="K99" s="55">
        <v>3.0734485774553347E-3</v>
      </c>
      <c r="L99" s="108">
        <v>3073448</v>
      </c>
      <c r="M99" s="55">
        <v>3.0721555165247982E-3</v>
      </c>
      <c r="N99" s="55">
        <v>3.8240847647390726E-2</v>
      </c>
      <c r="O99" s="110"/>
      <c r="P99" s="55">
        <v>3.0721555165247982E-3</v>
      </c>
      <c r="Q99" s="206">
        <v>3.0882977216676651E-3</v>
      </c>
      <c r="R99" s="55"/>
      <c r="S99" s="78">
        <v>1.01</v>
      </c>
    </row>
    <row r="100" spans="1:19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204">
        <v>0.89</v>
      </c>
      <c r="H100" s="105" t="str">
        <f t="shared" si="1"/>
        <v>(15, 20]</v>
      </c>
      <c r="I100" s="197">
        <v>0.88899430000000002</v>
      </c>
      <c r="J100" s="55">
        <v>4.0807221427841493E-3</v>
      </c>
      <c r="K100" s="55">
        <v>3.9988833480999004E-3</v>
      </c>
      <c r="L100" s="108">
        <v>3998883</v>
      </c>
      <c r="M100" s="55">
        <v>3.9972013414208522E-3</v>
      </c>
      <c r="N100" s="55">
        <v>6.9894573862138251E-2</v>
      </c>
      <c r="O100" s="110"/>
      <c r="P100" s="55">
        <v>3.9972013414208522E-3</v>
      </c>
      <c r="Q100" s="206">
        <v>3.9992306554785398E-3</v>
      </c>
      <c r="R100" s="55"/>
      <c r="S100" s="78">
        <v>1</v>
      </c>
    </row>
    <row r="101" spans="1:19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204">
        <v>0.54</v>
      </c>
      <c r="H101" s="57" t="str">
        <f t="shared" si="1"/>
        <v>(20, 25]</v>
      </c>
      <c r="I101" s="197">
        <v>0.53938980000000003</v>
      </c>
      <c r="J101" s="55">
        <v>1.711043712945272E-3</v>
      </c>
      <c r="K101" s="55">
        <v>1.6767287681340663E-3</v>
      </c>
      <c r="L101" s="108">
        <v>1676728</v>
      </c>
      <c r="M101" s="55">
        <v>1.6760228820892991E-3</v>
      </c>
      <c r="N101" s="55">
        <v>3.7776263485844487E-2</v>
      </c>
      <c r="O101" s="110"/>
      <c r="P101" s="55">
        <v>1.6760228820892991E-3</v>
      </c>
      <c r="Q101" s="206">
        <v>1.6623546183661599E-3</v>
      </c>
      <c r="R101" s="55"/>
      <c r="S101" s="78">
        <v>0.99</v>
      </c>
    </row>
    <row r="102" spans="1:19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204">
        <v>0.27</v>
      </c>
      <c r="H102" s="57" t="str">
        <f t="shared" si="1"/>
        <v>(25, 30]</v>
      </c>
      <c r="I102" s="197">
        <v>0.26969490000000002</v>
      </c>
      <c r="J102" s="55">
        <v>6.8527940445905534E-4</v>
      </c>
      <c r="K102" s="55">
        <v>6.7153614076195735E-4</v>
      </c>
      <c r="L102" s="108">
        <v>671536</v>
      </c>
      <c r="M102" s="55">
        <v>6.7125359757021978E-4</v>
      </c>
      <c r="N102" s="55">
        <v>1.8489389860056604E-2</v>
      </c>
      <c r="O102" s="110"/>
      <c r="P102" s="55">
        <v>6.7125359757021978E-4</v>
      </c>
      <c r="Q102" s="206">
        <v>6.6943944982116607E-4</v>
      </c>
      <c r="R102" s="55"/>
      <c r="S102" s="78">
        <v>1</v>
      </c>
    </row>
    <row r="103" spans="1:19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204">
        <v>0.3</v>
      </c>
      <c r="H103" s="57" t="str">
        <f t="shared" si="1"/>
        <v>(30, 35]</v>
      </c>
      <c r="I103" s="197">
        <v>0.29966100000000001</v>
      </c>
      <c r="J103" s="55">
        <v>5.7061408401889123E-4</v>
      </c>
      <c r="K103" s="55">
        <v>5.5917043085359586E-4</v>
      </c>
      <c r="L103" s="108">
        <v>559170</v>
      </c>
      <c r="M103" s="55">
        <v>5.5893485107773799E-4</v>
      </c>
      <c r="N103" s="55">
        <v>1.8183267138916746E-2</v>
      </c>
      <c r="O103" s="110"/>
      <c r="P103" s="55">
        <v>5.5893485107773799E-4</v>
      </c>
      <c r="Q103" s="206">
        <v>5.6336084551439922E-4</v>
      </c>
      <c r="R103" s="55"/>
      <c r="S103" s="78">
        <v>1.01</v>
      </c>
    </row>
    <row r="104" spans="1:19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204">
        <v>0.6</v>
      </c>
      <c r="H104" s="105" t="str">
        <f t="shared" si="1"/>
        <v>(35, 40]</v>
      </c>
      <c r="I104" s="197">
        <v>0.59932200000000002</v>
      </c>
      <c r="J104" s="55">
        <v>9.8516254909834745E-4</v>
      </c>
      <c r="K104" s="55">
        <v>9.6540513539429562E-4</v>
      </c>
      <c r="L104" s="108">
        <v>965405</v>
      </c>
      <c r="M104" s="55">
        <v>9.6499901622888132E-4</v>
      </c>
      <c r="N104" s="55">
        <v>3.6230815324797043E-2</v>
      </c>
      <c r="O104" s="110"/>
      <c r="P104" s="55">
        <v>9.6499901622888132E-4</v>
      </c>
      <c r="Q104" s="206">
        <v>9.5839796379459594E-4</v>
      </c>
      <c r="R104" s="55"/>
      <c r="S104" s="78">
        <v>0.99</v>
      </c>
    </row>
    <row r="105" spans="1:19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204">
        <v>0.16</v>
      </c>
      <c r="H105" s="57" t="str">
        <f t="shared" si="1"/>
        <v>(40, 45]</v>
      </c>
      <c r="I105" s="197">
        <v>0.15981920000000002</v>
      </c>
      <c r="J105" s="55">
        <v>2.1655535146336907E-4</v>
      </c>
      <c r="K105" s="55">
        <v>2.1221233855387103E-4</v>
      </c>
      <c r="L105" s="108">
        <v>212212</v>
      </c>
      <c r="M105" s="55">
        <v>2.1212275804658498E-4</v>
      </c>
      <c r="N105" s="55">
        <v>9.0419375847305989E-3</v>
      </c>
      <c r="O105" s="110"/>
      <c r="P105" s="55">
        <v>2.1212275804658498E-4</v>
      </c>
      <c r="Q105" s="206">
        <v>2.1551086827985066E-4</v>
      </c>
      <c r="R105" s="55"/>
      <c r="S105" s="78">
        <v>1.02</v>
      </c>
    </row>
    <row r="106" spans="1:19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204">
        <v>0.19</v>
      </c>
      <c r="H106" s="57" t="str">
        <f t="shared" si="1"/>
        <v>(45, 50]</v>
      </c>
      <c r="I106" s="197">
        <v>0.18978530000000002</v>
      </c>
      <c r="J106" s="55">
        <v>2.1735475111314077E-4</v>
      </c>
      <c r="K106" s="55">
        <v>2.1299570626088376E-4</v>
      </c>
      <c r="L106" s="108">
        <v>212995</v>
      </c>
      <c r="M106" s="55">
        <v>2.1290542876996761E-4</v>
      </c>
      <c r="N106" s="55">
        <v>1.0148400747068343E-2</v>
      </c>
      <c r="O106" s="110"/>
      <c r="P106" s="55">
        <v>2.1290542876996761E-4</v>
      </c>
      <c r="Q106" s="206">
        <v>2.1762402372980407E-4</v>
      </c>
      <c r="R106" s="55"/>
      <c r="S106" s="78">
        <v>1.02</v>
      </c>
    </row>
    <row r="107" spans="1:19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204">
        <v>0.34</v>
      </c>
      <c r="H107" s="105" t="str">
        <f t="shared" si="1"/>
        <v>(50, 60]</v>
      </c>
      <c r="I107" s="197">
        <v>0.33961580000000002</v>
      </c>
      <c r="J107" s="55">
        <v>6.4580547678283972E-4</v>
      </c>
      <c r="K107" s="55">
        <v>6.3285386185511143E-4</v>
      </c>
      <c r="L107" s="108">
        <v>632853</v>
      </c>
      <c r="M107" s="55">
        <v>6.3258686501260742E-4</v>
      </c>
      <c r="N107" s="55">
        <v>3.4729819347172106E-2</v>
      </c>
      <c r="O107" s="110"/>
      <c r="P107" s="55">
        <v>6.3258686501260742E-4</v>
      </c>
      <c r="Q107" s="206">
        <v>6.2696042711481799E-4</v>
      </c>
      <c r="R107" s="55"/>
      <c r="S107" s="78">
        <v>0.99</v>
      </c>
    </row>
    <row r="108" spans="1:19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204">
        <v>0.11</v>
      </c>
      <c r="H108" s="57" t="str">
        <f t="shared" si="1"/>
        <v>(60, 70]</v>
      </c>
      <c r="I108" s="197">
        <v>0.10987570000000001</v>
      </c>
      <c r="J108" s="55">
        <v>1.5244589083594876E-4</v>
      </c>
      <c r="K108" s="55">
        <v>1.493885917785646E-4</v>
      </c>
      <c r="L108" s="108">
        <v>149388</v>
      </c>
      <c r="M108" s="55">
        <v>1.4932517755387648E-4</v>
      </c>
      <c r="N108" s="55">
        <v>9.7068903500754679E-3</v>
      </c>
      <c r="O108" s="110"/>
      <c r="P108" s="55">
        <v>1.4932517755387648E-4</v>
      </c>
      <c r="Q108" s="206">
        <v>1.4800484793845838E-4</v>
      </c>
      <c r="R108" s="55"/>
      <c r="S108" s="78">
        <v>0.99</v>
      </c>
    </row>
    <row r="109" spans="1:19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204">
        <v>0.12</v>
      </c>
      <c r="H109" s="57" t="str">
        <f t="shared" si="1"/>
        <v>(70, 80]</v>
      </c>
      <c r="I109" s="197">
        <v>0.1198644</v>
      </c>
      <c r="J109" s="55">
        <v>1.3450494144381806E-4</v>
      </c>
      <c r="K109" s="55">
        <v>1.3180744774008666E-4</v>
      </c>
      <c r="L109" s="108">
        <v>131807</v>
      </c>
      <c r="M109" s="55">
        <v>1.3175157092834631E-4</v>
      </c>
      <c r="N109" s="55">
        <v>9.881391340147162E-3</v>
      </c>
      <c r="O109" s="110"/>
      <c r="P109" s="55">
        <v>1.3175157092834631E-4</v>
      </c>
      <c r="Q109" s="206">
        <v>1.3170536223981115E-4</v>
      </c>
      <c r="R109" s="55"/>
      <c r="S109" s="78">
        <v>1</v>
      </c>
    </row>
    <row r="110" spans="1:19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204">
        <v>0</v>
      </c>
      <c r="H110" s="57" t="str">
        <f t="shared" si="1"/>
        <v>(80, 90]</v>
      </c>
      <c r="I110" s="197">
        <v>0</v>
      </c>
      <c r="J110" s="55">
        <v>0</v>
      </c>
      <c r="K110" s="55">
        <v>0</v>
      </c>
      <c r="L110" s="108">
        <v>0</v>
      </c>
      <c r="M110" s="55">
        <v>0</v>
      </c>
      <c r="N110" s="55">
        <v>0</v>
      </c>
      <c r="O110" s="110"/>
      <c r="P110" s="55">
        <v>0</v>
      </c>
      <c r="Q110" s="206">
        <v>0</v>
      </c>
      <c r="R110" s="55"/>
      <c r="S110" s="78">
        <v>0</v>
      </c>
    </row>
    <row r="111" spans="1:19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204">
        <v>0</v>
      </c>
      <c r="H111" s="57" t="str">
        <f t="shared" si="1"/>
        <v>(90, 100]</v>
      </c>
      <c r="I111" s="197">
        <v>0</v>
      </c>
      <c r="J111" s="55">
        <v>0</v>
      </c>
      <c r="K111" s="55">
        <v>0</v>
      </c>
      <c r="L111" s="108">
        <v>0</v>
      </c>
      <c r="M111" s="55">
        <v>0</v>
      </c>
      <c r="N111" s="55">
        <v>0</v>
      </c>
      <c r="O111" s="110"/>
      <c r="P111" s="55">
        <v>0</v>
      </c>
      <c r="Q111" s="206">
        <v>0</v>
      </c>
      <c r="R111" s="55"/>
      <c r="S111" s="78">
        <v>0</v>
      </c>
    </row>
    <row r="112" spans="1:19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204">
        <v>0.11</v>
      </c>
      <c r="H112" s="57" t="str">
        <f t="shared" si="1"/>
        <v>(100, 120]</v>
      </c>
      <c r="I112" s="197">
        <v>0.10987570000000001</v>
      </c>
      <c r="J112" s="55">
        <v>1.2711040609859759E-4</v>
      </c>
      <c r="K112" s="55">
        <v>1.2456120964195343E-4</v>
      </c>
      <c r="L112" s="108">
        <v>124561</v>
      </c>
      <c r="M112" s="55">
        <v>1.2450861810378618E-4</v>
      </c>
      <c r="N112" s="55">
        <v>1.36512180829013E-2</v>
      </c>
      <c r="O112" s="110"/>
      <c r="P112" s="55">
        <v>1.2450861810378618E-4</v>
      </c>
      <c r="Q112" s="206">
        <v>1.1983310714090074E-4</v>
      </c>
      <c r="R112" s="55"/>
      <c r="S112" s="78">
        <v>0.96</v>
      </c>
    </row>
    <row r="113" spans="1:19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204">
        <v>0</v>
      </c>
      <c r="H113" s="57" t="str">
        <f t="shared" si="1"/>
        <v>(120, 140]</v>
      </c>
      <c r="I113" s="197">
        <v>0</v>
      </c>
      <c r="J113" s="55">
        <v>0</v>
      </c>
      <c r="K113" s="55">
        <v>0</v>
      </c>
      <c r="L113" s="108">
        <v>0</v>
      </c>
      <c r="M113" s="55">
        <v>0</v>
      </c>
      <c r="N113" s="55">
        <v>0</v>
      </c>
      <c r="O113" s="110"/>
      <c r="P113" s="55">
        <v>0</v>
      </c>
      <c r="Q113" s="206">
        <v>0</v>
      </c>
      <c r="R113" s="55"/>
      <c r="S113" s="78">
        <v>0</v>
      </c>
    </row>
    <row r="114" spans="1:19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204">
        <v>0</v>
      </c>
      <c r="H114" s="57" t="str">
        <f t="shared" si="1"/>
        <v>(140, 160]</v>
      </c>
      <c r="I114" s="197">
        <v>0</v>
      </c>
      <c r="J114" s="55">
        <v>0</v>
      </c>
      <c r="K114" s="55">
        <v>0</v>
      </c>
      <c r="L114" s="108">
        <v>0</v>
      </c>
      <c r="M114" s="55">
        <v>0</v>
      </c>
      <c r="N114" s="55">
        <v>0</v>
      </c>
      <c r="O114" s="110"/>
      <c r="P114" s="55">
        <v>0</v>
      </c>
      <c r="Q114" s="206">
        <v>0</v>
      </c>
      <c r="R114" s="55"/>
      <c r="S114" s="78">
        <v>0</v>
      </c>
    </row>
    <row r="115" spans="1:19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204">
        <v>0</v>
      </c>
      <c r="H115" s="57" t="str">
        <f t="shared" si="1"/>
        <v>(160, 180]</v>
      </c>
      <c r="I115" s="197">
        <v>0</v>
      </c>
      <c r="J115" s="55">
        <v>0</v>
      </c>
      <c r="K115" s="55">
        <v>0</v>
      </c>
      <c r="L115" s="108">
        <v>0</v>
      </c>
      <c r="M115" s="55">
        <v>0</v>
      </c>
      <c r="N115" s="55">
        <v>0</v>
      </c>
      <c r="O115" s="110"/>
      <c r="P115" s="55">
        <v>0</v>
      </c>
      <c r="Q115" s="206">
        <v>0</v>
      </c>
      <c r="R115" s="55"/>
      <c r="S115" s="78">
        <v>0</v>
      </c>
    </row>
    <row r="116" spans="1:19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204">
        <v>0</v>
      </c>
      <c r="H116" s="57" t="str">
        <f t="shared" si="1"/>
        <v>(180, 200]</v>
      </c>
      <c r="I116" s="197">
        <v>0</v>
      </c>
      <c r="J116" s="55">
        <v>0</v>
      </c>
      <c r="K116" s="55">
        <v>0</v>
      </c>
      <c r="L116" s="108">
        <v>0</v>
      </c>
      <c r="M116" s="55">
        <v>0</v>
      </c>
      <c r="N116" s="55">
        <v>0</v>
      </c>
      <c r="O116" s="110"/>
      <c r="P116" s="55">
        <v>0</v>
      </c>
      <c r="Q116" s="206">
        <v>0</v>
      </c>
      <c r="R116" s="55"/>
      <c r="S116" s="78">
        <v>0</v>
      </c>
    </row>
    <row r="117" spans="1:19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204">
        <v>0</v>
      </c>
      <c r="H117" s="57" t="str">
        <f t="shared" si="1"/>
        <v>(200, 250]</v>
      </c>
      <c r="I117" s="197">
        <v>0</v>
      </c>
      <c r="J117" s="55">
        <v>0</v>
      </c>
      <c r="K117" s="55">
        <v>0</v>
      </c>
      <c r="L117" s="108">
        <v>0</v>
      </c>
      <c r="M117" s="55">
        <v>0</v>
      </c>
      <c r="N117" s="55">
        <v>0</v>
      </c>
      <c r="O117" s="110"/>
      <c r="P117" s="55">
        <v>0</v>
      </c>
      <c r="Q117" s="206">
        <v>0</v>
      </c>
      <c r="R117" s="55"/>
      <c r="S117" s="78">
        <v>0</v>
      </c>
    </row>
    <row r="118" spans="1:19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204">
        <v>0</v>
      </c>
      <c r="H118" s="57" t="str">
        <f t="shared" si="1"/>
        <v>(250, 300]</v>
      </c>
      <c r="I118" s="197">
        <v>0</v>
      </c>
      <c r="J118" s="55">
        <v>0</v>
      </c>
      <c r="K118" s="55">
        <v>0</v>
      </c>
      <c r="L118" s="108">
        <v>0</v>
      </c>
      <c r="M118" s="55">
        <v>0</v>
      </c>
      <c r="N118" s="55">
        <v>0</v>
      </c>
      <c r="O118" s="110"/>
      <c r="P118" s="55">
        <v>0</v>
      </c>
      <c r="Q118" s="206">
        <v>0</v>
      </c>
      <c r="R118" s="55"/>
      <c r="S118" s="78">
        <v>0</v>
      </c>
    </row>
    <row r="119" spans="1:19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204">
        <v>0</v>
      </c>
      <c r="H119" s="57" t="str">
        <f t="shared" si="1"/>
        <v>(300, 350]</v>
      </c>
      <c r="I119" s="197">
        <v>0</v>
      </c>
      <c r="J119" s="55">
        <v>0</v>
      </c>
      <c r="K119" s="55">
        <v>0</v>
      </c>
      <c r="L119" s="108">
        <v>0</v>
      </c>
      <c r="M119" s="55">
        <v>0</v>
      </c>
      <c r="N119" s="55">
        <v>0</v>
      </c>
      <c r="O119" s="110"/>
      <c r="P119" s="55">
        <v>0</v>
      </c>
      <c r="Q119" s="206">
        <v>0</v>
      </c>
      <c r="R119" s="55"/>
      <c r="S119" s="78">
        <v>0</v>
      </c>
    </row>
    <row r="120" spans="1:19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204">
        <v>0</v>
      </c>
      <c r="H120" s="57" t="str">
        <f t="shared" si="1"/>
        <v>(350, 400]</v>
      </c>
      <c r="I120" s="197">
        <v>0</v>
      </c>
      <c r="J120" s="55">
        <v>0</v>
      </c>
      <c r="K120" s="55">
        <v>0</v>
      </c>
      <c r="L120" s="108">
        <v>0</v>
      </c>
      <c r="M120" s="55">
        <v>0</v>
      </c>
      <c r="N120" s="55">
        <v>0</v>
      </c>
      <c r="O120" s="110"/>
      <c r="P120" s="55">
        <v>0</v>
      </c>
      <c r="Q120" s="206">
        <v>0</v>
      </c>
      <c r="R120" s="55"/>
      <c r="S120" s="78">
        <v>0</v>
      </c>
    </row>
    <row r="121" spans="1:19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204">
        <v>0</v>
      </c>
      <c r="H121" s="57" t="str">
        <f t="shared" si="1"/>
        <v>(400, 450]</v>
      </c>
      <c r="I121" s="197">
        <v>0</v>
      </c>
      <c r="J121" s="55">
        <v>0</v>
      </c>
      <c r="K121" s="55">
        <v>0</v>
      </c>
      <c r="L121" s="108">
        <v>0</v>
      </c>
      <c r="M121" s="55">
        <v>0</v>
      </c>
      <c r="N121" s="55">
        <v>0</v>
      </c>
      <c r="O121" s="110"/>
      <c r="P121" s="55">
        <v>0</v>
      </c>
      <c r="Q121" s="206">
        <v>0</v>
      </c>
      <c r="R121" s="55"/>
      <c r="S121" s="78">
        <v>0</v>
      </c>
    </row>
    <row r="122" spans="1:19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204">
        <v>0</v>
      </c>
      <c r="H122" s="57" t="str">
        <f t="shared" si="1"/>
        <v>(450, 500]</v>
      </c>
      <c r="I122" s="197">
        <v>0</v>
      </c>
      <c r="J122" s="55">
        <v>0</v>
      </c>
      <c r="K122" s="55">
        <v>0</v>
      </c>
      <c r="L122" s="108">
        <v>0</v>
      </c>
      <c r="M122" s="55">
        <v>0</v>
      </c>
      <c r="N122" s="55">
        <v>0</v>
      </c>
      <c r="O122" s="110"/>
      <c r="P122" s="55">
        <v>0</v>
      </c>
      <c r="Q122" s="206">
        <v>0</v>
      </c>
      <c r="R122" s="55"/>
      <c r="S122" s="78">
        <v>0</v>
      </c>
    </row>
    <row r="123" spans="1:19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204">
        <v>0</v>
      </c>
      <c r="H123" s="57" t="str">
        <f t="shared" si="1"/>
        <v>(500, 550]</v>
      </c>
      <c r="I123" s="197">
        <v>0</v>
      </c>
      <c r="J123" s="55">
        <v>0</v>
      </c>
      <c r="K123" s="55">
        <v>0</v>
      </c>
      <c r="L123" s="108">
        <v>0</v>
      </c>
      <c r="M123" s="55">
        <v>0</v>
      </c>
      <c r="N123" s="55">
        <v>0</v>
      </c>
      <c r="O123" s="110"/>
      <c r="P123" s="55">
        <v>0</v>
      </c>
      <c r="Q123" s="206">
        <v>0</v>
      </c>
      <c r="R123" s="55"/>
      <c r="S123" s="78">
        <v>0</v>
      </c>
    </row>
    <row r="124" spans="1:19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204">
        <v>0</v>
      </c>
      <c r="H124" s="57" t="str">
        <f t="shared" si="1"/>
        <v>(550, 600]</v>
      </c>
      <c r="I124" s="197">
        <v>0</v>
      </c>
      <c r="J124" s="55">
        <v>0</v>
      </c>
      <c r="K124" s="55">
        <v>0</v>
      </c>
      <c r="L124" s="108">
        <v>0</v>
      </c>
      <c r="M124" s="55">
        <v>0</v>
      </c>
      <c r="N124" s="55">
        <v>0</v>
      </c>
      <c r="O124" s="110"/>
      <c r="P124" s="55">
        <v>0</v>
      </c>
      <c r="Q124" s="206">
        <v>0</v>
      </c>
      <c r="R124" s="55"/>
      <c r="S124" s="78">
        <v>0</v>
      </c>
    </row>
    <row r="125" spans="1:19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204">
        <v>0</v>
      </c>
      <c r="H125" s="57" t="str">
        <f t="shared" si="1"/>
        <v>(600, 650]</v>
      </c>
      <c r="I125" s="197">
        <v>0</v>
      </c>
      <c r="J125" s="55">
        <v>0</v>
      </c>
      <c r="K125" s="55">
        <v>0</v>
      </c>
      <c r="L125" s="108">
        <v>0</v>
      </c>
      <c r="M125" s="55">
        <v>0</v>
      </c>
      <c r="N125" s="55">
        <v>0</v>
      </c>
      <c r="O125" s="110"/>
      <c r="P125" s="55">
        <v>0</v>
      </c>
      <c r="Q125" s="206">
        <v>0</v>
      </c>
      <c r="R125" s="55"/>
      <c r="S125" s="78">
        <v>0</v>
      </c>
    </row>
    <row r="126" spans="1:19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204">
        <v>0</v>
      </c>
      <c r="H126" s="57" t="str">
        <f t="shared" si="1"/>
        <v>(650, 700]</v>
      </c>
      <c r="I126" s="197">
        <v>0</v>
      </c>
      <c r="J126" s="55">
        <v>0</v>
      </c>
      <c r="K126" s="55">
        <v>0</v>
      </c>
      <c r="L126" s="108">
        <v>0</v>
      </c>
      <c r="M126" s="55">
        <v>0</v>
      </c>
      <c r="N126" s="55">
        <v>0</v>
      </c>
      <c r="O126" s="110"/>
      <c r="P126" s="55">
        <v>0</v>
      </c>
      <c r="Q126" s="206">
        <v>0</v>
      </c>
      <c r="R126" s="55"/>
      <c r="S126" s="78">
        <v>0</v>
      </c>
    </row>
    <row r="127" spans="1:19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204">
        <v>0</v>
      </c>
      <c r="H127" s="57" t="str">
        <f t="shared" si="1"/>
        <v>(700, 750]</v>
      </c>
      <c r="I127" s="197">
        <v>0</v>
      </c>
      <c r="J127" s="55">
        <v>0</v>
      </c>
      <c r="K127" s="55">
        <v>0</v>
      </c>
      <c r="L127" s="108">
        <v>0</v>
      </c>
      <c r="M127" s="55">
        <v>0</v>
      </c>
      <c r="N127" s="55">
        <v>0</v>
      </c>
      <c r="O127" s="110"/>
      <c r="P127" s="55">
        <v>0</v>
      </c>
      <c r="Q127" s="206">
        <v>0</v>
      </c>
      <c r="R127" s="55"/>
      <c r="S127" s="78">
        <v>0</v>
      </c>
    </row>
    <row r="128" spans="1:19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204">
        <v>0</v>
      </c>
      <c r="H128" s="57" t="str">
        <f t="shared" si="1"/>
        <v>(750, 800]</v>
      </c>
      <c r="I128" s="197">
        <v>0</v>
      </c>
      <c r="J128" s="55">
        <v>0</v>
      </c>
      <c r="K128" s="55">
        <v>0</v>
      </c>
      <c r="L128" s="108">
        <v>0</v>
      </c>
      <c r="M128" s="55">
        <v>0</v>
      </c>
      <c r="N128" s="55">
        <v>0</v>
      </c>
      <c r="O128" s="110"/>
      <c r="P128" s="55">
        <v>0</v>
      </c>
      <c r="Q128" s="206">
        <v>0</v>
      </c>
      <c r="R128" s="55"/>
      <c r="S128" s="78">
        <v>0</v>
      </c>
    </row>
    <row r="129" spans="1:19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204">
        <v>0</v>
      </c>
      <c r="H129" s="57" t="str">
        <f t="shared" si="1"/>
        <v>(800, 850]</v>
      </c>
      <c r="I129" s="197">
        <v>0</v>
      </c>
      <c r="J129" s="55">
        <v>0</v>
      </c>
      <c r="K129" s="55">
        <v>0</v>
      </c>
      <c r="L129" s="108">
        <v>0</v>
      </c>
      <c r="M129" s="55">
        <v>0</v>
      </c>
      <c r="N129" s="55">
        <v>0</v>
      </c>
      <c r="O129" s="110"/>
      <c r="P129" s="55">
        <v>0</v>
      </c>
      <c r="Q129" s="206">
        <v>0</v>
      </c>
      <c r="R129" s="55"/>
      <c r="S129" s="78">
        <v>0</v>
      </c>
    </row>
    <row r="130" spans="1:19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204">
        <v>0</v>
      </c>
      <c r="H130" s="57" t="str">
        <f t="shared" si="1"/>
        <v>(850, 900]</v>
      </c>
      <c r="I130" s="197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10"/>
      <c r="P130" s="55">
        <v>0</v>
      </c>
      <c r="Q130" s="206">
        <v>0</v>
      </c>
      <c r="R130" s="55"/>
      <c r="S130" s="78">
        <v>0</v>
      </c>
    </row>
    <row r="131" spans="1:19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204">
        <v>0</v>
      </c>
      <c r="H131" s="57" t="str">
        <f t="shared" si="1"/>
        <v>(900, 950]</v>
      </c>
      <c r="I131" s="197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10"/>
      <c r="P131" s="55">
        <v>0</v>
      </c>
      <c r="Q131" s="206">
        <v>0</v>
      </c>
      <c r="R131" s="55"/>
      <c r="S131" s="78">
        <v>0</v>
      </c>
    </row>
    <row r="132" spans="1:19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204">
        <v>0</v>
      </c>
      <c r="H132" s="57" t="str">
        <f t="shared" si="1"/>
        <v>(950, 1000]</v>
      </c>
      <c r="I132" s="197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10"/>
      <c r="P132" s="55">
        <v>0</v>
      </c>
      <c r="Q132" s="206">
        <v>0</v>
      </c>
      <c r="R132" s="55"/>
      <c r="S132" s="78">
        <v>0</v>
      </c>
    </row>
    <row r="133" spans="1:19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204">
        <v>0</v>
      </c>
      <c r="H133" s="57" t="str">
        <f t="shared" si="1"/>
        <v>(1000, 2000]</v>
      </c>
      <c r="I133" s="197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10"/>
      <c r="P133" s="55">
        <v>0</v>
      </c>
      <c r="Q133" s="206">
        <v>0</v>
      </c>
      <c r="R133" s="55"/>
      <c r="S133" s="78">
        <v>0</v>
      </c>
    </row>
    <row r="134" spans="1:19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204">
        <v>0</v>
      </c>
      <c r="H134" s="57" t="str">
        <f t="shared" si="1"/>
        <v>(2000, 3000]</v>
      </c>
      <c r="I134" s="197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10"/>
      <c r="P134" s="55">
        <v>0</v>
      </c>
      <c r="Q134" s="206">
        <v>0</v>
      </c>
      <c r="R134" s="55"/>
      <c r="S134" s="78">
        <v>0</v>
      </c>
    </row>
    <row r="135" spans="1:19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204">
        <v>0</v>
      </c>
      <c r="H135" s="57" t="str">
        <f t="shared" si="1"/>
        <v>(3000, 4000]</v>
      </c>
      <c r="I135" s="197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10"/>
      <c r="P135" s="55">
        <v>0</v>
      </c>
      <c r="Q135" s="206">
        <v>0</v>
      </c>
      <c r="R135" s="55"/>
      <c r="S135" s="78">
        <v>0</v>
      </c>
    </row>
    <row r="136" spans="1:19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204">
        <v>0</v>
      </c>
      <c r="H136" s="57" t="str">
        <f t="shared" si="1"/>
        <v>(4000, 5000]</v>
      </c>
      <c r="I136" s="197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10"/>
      <c r="P136" s="55">
        <v>0</v>
      </c>
      <c r="Q136" s="206">
        <v>0</v>
      </c>
      <c r="R136" s="55"/>
      <c r="S136" s="78">
        <v>0</v>
      </c>
    </row>
    <row r="137" spans="1:19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204">
        <v>0</v>
      </c>
      <c r="H137" s="57" t="str">
        <f t="shared" si="1"/>
        <v>(5000, 6000]</v>
      </c>
      <c r="I137" s="197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10"/>
      <c r="P137" s="55">
        <v>0</v>
      </c>
      <c r="Q137" s="206">
        <v>0</v>
      </c>
      <c r="R137" s="55"/>
      <c r="S137" s="78">
        <v>0</v>
      </c>
    </row>
    <row r="138" spans="1:19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204">
        <v>0</v>
      </c>
      <c r="H138" s="57" t="str">
        <f t="shared" si="1"/>
        <v>(6000, 7000]</v>
      </c>
      <c r="I138" s="197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10"/>
      <c r="P138" s="55">
        <v>0</v>
      </c>
      <c r="Q138" s="206">
        <v>0</v>
      </c>
      <c r="R138" s="55"/>
      <c r="S138" s="78">
        <v>0</v>
      </c>
    </row>
    <row r="139" spans="1:19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204">
        <v>0</v>
      </c>
      <c r="H139" s="57" t="str">
        <f t="shared" si="1"/>
        <v>(7000, 8000]</v>
      </c>
      <c r="I139" s="197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10"/>
      <c r="P139" s="55">
        <v>0</v>
      </c>
      <c r="Q139" s="206">
        <v>0</v>
      </c>
      <c r="R139" s="55"/>
      <c r="S139" s="78">
        <v>0</v>
      </c>
    </row>
    <row r="140" spans="1:19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204">
        <v>0</v>
      </c>
      <c r="H140" s="57" t="str">
        <f t="shared" si="1"/>
        <v>(8000, 9000]</v>
      </c>
      <c r="I140" s="197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10"/>
      <c r="P140" s="55">
        <v>0</v>
      </c>
      <c r="Q140" s="206">
        <v>0</v>
      </c>
      <c r="R140" s="55"/>
      <c r="S140" s="78">
        <v>0</v>
      </c>
    </row>
    <row r="141" spans="1:19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204">
        <v>0</v>
      </c>
      <c r="H141" s="57" t="str">
        <f t="shared" si="1"/>
        <v>(9000, 10000]</v>
      </c>
      <c r="I141" s="197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10"/>
      <c r="P141" s="55">
        <v>0</v>
      </c>
      <c r="Q141" s="206">
        <v>0</v>
      </c>
      <c r="R141" s="55"/>
      <c r="S141" s="78">
        <v>0</v>
      </c>
    </row>
    <row r="142" spans="1:19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204">
        <v>0</v>
      </c>
      <c r="H142" s="57" t="str">
        <f t="shared" si="1"/>
        <v>(10000, 20000]</v>
      </c>
      <c r="I142" s="197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10"/>
      <c r="P142" s="55">
        <v>0</v>
      </c>
      <c r="Q142" s="206">
        <v>0</v>
      </c>
      <c r="R142" s="55"/>
      <c r="S142" s="78">
        <v>0</v>
      </c>
    </row>
    <row r="143" spans="1:19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204">
        <v>0</v>
      </c>
      <c r="H143" s="57" t="str">
        <f t="shared" si="1"/>
        <v>(20000, 30000]</v>
      </c>
      <c r="I143" s="197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10"/>
      <c r="P143" s="55">
        <v>0</v>
      </c>
      <c r="Q143" s="206">
        <v>0</v>
      </c>
      <c r="R143" s="55"/>
      <c r="S143" s="78">
        <v>0</v>
      </c>
    </row>
    <row r="144" spans="1:19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204">
        <v>0</v>
      </c>
      <c r="H144" s="57" t="str">
        <f t="shared" si="1"/>
        <v>(30000, 40000]</v>
      </c>
      <c r="I144" s="197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10"/>
      <c r="P144" s="55">
        <v>0</v>
      </c>
      <c r="Q144" s="206">
        <v>0</v>
      </c>
      <c r="R144" s="55"/>
      <c r="S144" s="78">
        <v>0</v>
      </c>
    </row>
    <row r="145" spans="1:20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204">
        <v>0</v>
      </c>
      <c r="H145" s="57" t="str">
        <f t="shared" si="1"/>
        <v>(40000, 50000]</v>
      </c>
      <c r="I145" s="197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10"/>
      <c r="P145" s="55">
        <v>0</v>
      </c>
      <c r="Q145" s="206">
        <v>0</v>
      </c>
      <c r="R145" s="55"/>
      <c r="S145" s="78">
        <v>0</v>
      </c>
    </row>
    <row r="146" spans="1:20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204">
        <v>0</v>
      </c>
      <c r="H146" s="57" t="str">
        <f t="shared" si="1"/>
        <v>(50000, 60000]</v>
      </c>
      <c r="I146" s="197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10"/>
      <c r="P146" s="55">
        <v>0</v>
      </c>
      <c r="Q146" s="206">
        <v>0</v>
      </c>
      <c r="R146" s="55"/>
      <c r="S146" s="78">
        <v>0</v>
      </c>
    </row>
    <row r="147" spans="1:20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204">
        <v>0</v>
      </c>
      <c r="H147" s="57" t="str">
        <f t="shared" si="1"/>
        <v>(60000, 70000]</v>
      </c>
      <c r="I147" s="197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10"/>
      <c r="P147" s="55">
        <v>0</v>
      </c>
      <c r="Q147" s="206">
        <v>0</v>
      </c>
      <c r="R147" s="55"/>
      <c r="S147" s="78">
        <v>0</v>
      </c>
    </row>
    <row r="148" spans="1:20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204">
        <v>0</v>
      </c>
      <c r="H148" s="57" t="str">
        <f t="shared" si="1"/>
        <v>(70000, 80000]</v>
      </c>
      <c r="I148" s="197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10"/>
      <c r="P148" s="55">
        <v>0</v>
      </c>
      <c r="Q148" s="206">
        <v>0</v>
      </c>
      <c r="R148" s="55"/>
      <c r="S148" s="78">
        <v>0</v>
      </c>
    </row>
    <row r="149" spans="1:20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204">
        <v>0</v>
      </c>
      <c r="H149" s="57" t="str">
        <f t="shared" si="1"/>
        <v>(80000, 90000]</v>
      </c>
      <c r="I149" s="197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10"/>
      <c r="P149" s="55">
        <v>0</v>
      </c>
      <c r="Q149" s="206">
        <v>0</v>
      </c>
      <c r="R149" s="55"/>
      <c r="S149" s="78">
        <v>0</v>
      </c>
    </row>
    <row r="150" spans="1:20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204">
        <v>0</v>
      </c>
      <c r="H150" s="57" t="str">
        <f t="shared" si="1"/>
        <v>(90000, 100000]</v>
      </c>
      <c r="I150" s="197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10"/>
      <c r="P150" s="55">
        <v>0</v>
      </c>
      <c r="Q150" s="206">
        <v>0</v>
      </c>
      <c r="R150" s="55"/>
      <c r="S150" s="78">
        <v>0</v>
      </c>
    </row>
    <row r="151" spans="1:20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204">
        <v>0</v>
      </c>
      <c r="H151" s="57" t="str">
        <f t="shared" si="1"/>
        <v>(100000, 9999999]</v>
      </c>
      <c r="I151" s="197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10"/>
      <c r="P151" s="55">
        <v>0</v>
      </c>
      <c r="Q151" s="206">
        <v>0</v>
      </c>
      <c r="R151" s="55"/>
      <c r="S151" s="78">
        <v>0</v>
      </c>
    </row>
    <row r="152" spans="1:20">
      <c r="A152" s="219" t="s">
        <v>72</v>
      </c>
      <c r="B152" s="220"/>
      <c r="C152" s="68">
        <f>E152*B86</f>
        <v>13362000</v>
      </c>
      <c r="D152" s="91" cm="1">
        <f t="array" ref="D152:E152">D80:E80</f>
        <v>360008300</v>
      </c>
      <c r="E152" s="176">
        <v>1.3362000000000001E-2</v>
      </c>
      <c r="F152" s="88">
        <v>0.26942695704235892</v>
      </c>
      <c r="G152" s="204"/>
      <c r="H152" s="57" t="s">
        <v>72</v>
      </c>
      <c r="I152" s="58">
        <f>I80*5</f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2.0969517935079052E-2</v>
      </c>
      <c r="N152" s="55">
        <v>5.6497534078935189E-3</v>
      </c>
      <c r="P152" s="47"/>
      <c r="Q152" s="47"/>
      <c r="R152" s="47"/>
      <c r="S152" s="47"/>
      <c r="T152" s="47"/>
    </row>
    <row r="153" spans="1:20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</row>
    <row r="154" spans="1:20">
      <c r="A154" s="48"/>
      <c r="D154" s="106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0" s="75" customFormat="1">
      <c r="A155" s="218" t="s">
        <v>44</v>
      </c>
      <c r="B155" s="218"/>
      <c r="C155" s="218"/>
      <c r="D155" s="218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</row>
    <row r="156" spans="1:20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0">
      <c r="A157" s="65" t="s">
        <v>69</v>
      </c>
      <c r="B157" s="195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</row>
    <row r="158" spans="1:20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77</v>
      </c>
      <c r="H158" s="18" t="s">
        <v>55</v>
      </c>
      <c r="I158" s="18" t="s">
        <v>57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">
        <v>305</v>
      </c>
      <c r="Q158" s="182" t="s">
        <v>305</v>
      </c>
      <c r="R158" s="81" t="s">
        <v>303</v>
      </c>
      <c r="S158" s="81" t="s">
        <v>74</v>
      </c>
    </row>
    <row r="159" spans="1:20">
      <c r="A159" s="60">
        <v>-1</v>
      </c>
      <c r="B159" s="60">
        <v>0</v>
      </c>
      <c r="C159" s="66">
        <v>0</v>
      </c>
      <c r="D159" s="66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1.0000000000000001E-5</v>
      </c>
      <c r="H159" s="57" t="str">
        <f>"("&amp;$A159&amp;", "&amp;$B159&amp;"]"</f>
        <v>(-1, 0]</v>
      </c>
      <c r="I159" s="207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8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10"/>
      <c r="P159" s="55" cm="1">
        <f t="array" ref="P159:P222">_xlfn.ANCHORARRAY(M159)</f>
        <v>0</v>
      </c>
      <c r="Q159" s="206">
        <v>0</v>
      </c>
      <c r="R159" s="55">
        <v>0</v>
      </c>
      <c r="S159" s="78" cm="1">
        <f t="array" ref="S159:S222">_xlfn.LET(_xlpm.x, Q159:Q222/M159:M222, IF(ISERR(_xlpm.x), 0, ROUND(_xlpm.x,2)))</f>
        <v>0</v>
      </c>
    </row>
    <row r="160" spans="1:20">
      <c r="A160" s="54">
        <v>0</v>
      </c>
      <c r="B160" s="54">
        <v>1</v>
      </c>
      <c r="C160" s="67">
        <v>8464</v>
      </c>
      <c r="D160" s="67">
        <v>508835</v>
      </c>
      <c r="E160" s="55">
        <v>6.3357661108224606E-4</v>
      </c>
      <c r="F160" s="88">
        <v>0.60117556710775044</v>
      </c>
      <c r="G160" s="47">
        <v>-9713</v>
      </c>
      <c r="H160" s="57" t="str">
        <f t="shared" ref="H160:H222" si="2">"("&amp;$A160&amp;", "&amp;$B160&amp;"]"</f>
        <v>(0, 1]</v>
      </c>
      <c r="I160" s="207">
        <v>0</v>
      </c>
      <c r="J160" s="55">
        <v>0</v>
      </c>
      <c r="K160" s="55">
        <v>0</v>
      </c>
      <c r="L160" s="108">
        <v>0</v>
      </c>
      <c r="M160" s="55">
        <v>0</v>
      </c>
      <c r="N160" s="55">
        <v>0</v>
      </c>
      <c r="O160" s="110"/>
      <c r="P160" s="55">
        <v>0</v>
      </c>
      <c r="Q160" s="206">
        <v>0</v>
      </c>
      <c r="R160" s="55">
        <v>0</v>
      </c>
      <c r="S160" s="78">
        <v>0</v>
      </c>
    </row>
    <row r="161" spans="1:20">
      <c r="A161" s="54">
        <v>1</v>
      </c>
      <c r="B161" s="54">
        <v>2</v>
      </c>
      <c r="C161" s="67">
        <v>8182</v>
      </c>
      <c r="D161" s="67">
        <v>1288395</v>
      </c>
      <c r="E161" s="55">
        <v>6.1246737144080065E-4</v>
      </c>
      <c r="F161" s="88">
        <v>1.5746700073331703</v>
      </c>
      <c r="G161" s="85">
        <f>1+G160*G159</f>
        <v>0.90286999999999995</v>
      </c>
      <c r="H161" s="57" t="str">
        <f t="shared" si="2"/>
        <v>(1, 2]</v>
      </c>
      <c r="I161" s="207">
        <v>0</v>
      </c>
      <c r="J161" s="55">
        <v>0</v>
      </c>
      <c r="K161" s="55">
        <v>0</v>
      </c>
      <c r="L161" s="108">
        <v>0</v>
      </c>
      <c r="M161" s="55">
        <v>0</v>
      </c>
      <c r="N161" s="55">
        <v>0</v>
      </c>
      <c r="O161" s="110"/>
      <c r="P161" s="55">
        <v>0</v>
      </c>
      <c r="Q161" s="206">
        <v>0</v>
      </c>
      <c r="R161" s="55">
        <v>0</v>
      </c>
      <c r="S161" s="78">
        <v>0</v>
      </c>
    </row>
    <row r="162" spans="1:20">
      <c r="A162" s="54">
        <v>2</v>
      </c>
      <c r="B162" s="54">
        <v>3</v>
      </c>
      <c r="C162" s="67">
        <v>8513</v>
      </c>
      <c r="D162" s="67">
        <v>2203325</v>
      </c>
      <c r="E162" s="55">
        <v>6.3724452860859648E-4</v>
      </c>
      <c r="F162" s="88">
        <v>2.5881886526488898</v>
      </c>
      <c r="G162" s="110"/>
      <c r="H162" s="57" t="str">
        <f t="shared" si="2"/>
        <v>(2, 3]</v>
      </c>
      <c r="I162" s="207">
        <v>0</v>
      </c>
      <c r="J162" s="55">
        <v>0</v>
      </c>
      <c r="K162" s="55">
        <v>0</v>
      </c>
      <c r="L162" s="108">
        <v>0</v>
      </c>
      <c r="M162" s="55">
        <v>0</v>
      </c>
      <c r="N162" s="55">
        <v>0</v>
      </c>
      <c r="O162" s="110"/>
      <c r="P162" s="55">
        <v>0</v>
      </c>
      <c r="Q162" s="206">
        <v>0</v>
      </c>
      <c r="R162" s="55">
        <v>0</v>
      </c>
      <c r="S162" s="78">
        <v>0</v>
      </c>
    </row>
    <row r="163" spans="1:20">
      <c r="A163" s="54">
        <v>3</v>
      </c>
      <c r="B163" s="54">
        <v>4</v>
      </c>
      <c r="C163" s="67">
        <v>8154</v>
      </c>
      <c r="D163" s="67">
        <v>2921075</v>
      </c>
      <c r="E163" s="55">
        <v>6.1037141856860042E-4</v>
      </c>
      <c r="F163" s="88">
        <v>3.5823828795683101</v>
      </c>
      <c r="G163" s="110"/>
      <c r="H163" s="57" t="str">
        <f t="shared" si="2"/>
        <v>(3, 4]</v>
      </c>
      <c r="I163" s="207">
        <v>0</v>
      </c>
      <c r="J163" s="55">
        <v>0</v>
      </c>
      <c r="K163" s="55">
        <v>0</v>
      </c>
      <c r="L163" s="108">
        <v>0</v>
      </c>
      <c r="M163" s="55">
        <v>0</v>
      </c>
      <c r="N163" s="55">
        <v>0</v>
      </c>
      <c r="O163" s="110"/>
      <c r="P163" s="55">
        <v>0</v>
      </c>
      <c r="Q163" s="206">
        <v>0</v>
      </c>
      <c r="R163" s="55">
        <v>3.614457831325301E-2</v>
      </c>
      <c r="S163" s="78">
        <v>0</v>
      </c>
    </row>
    <row r="164" spans="1:20">
      <c r="A164" s="54">
        <v>4</v>
      </c>
      <c r="B164" s="54">
        <v>5</v>
      </c>
      <c r="C164" s="67">
        <v>8684</v>
      </c>
      <c r="D164" s="67">
        <v>3971090</v>
      </c>
      <c r="E164" s="55">
        <v>6.5004481222096227E-4</v>
      </c>
      <c r="F164" s="88">
        <v>4.5728811607554123</v>
      </c>
      <c r="G164" s="110"/>
      <c r="H164" s="57" t="str">
        <f t="shared" si="2"/>
        <v>(4, 5]</v>
      </c>
      <c r="I164" s="207">
        <v>0</v>
      </c>
      <c r="J164" s="55">
        <v>0</v>
      </c>
      <c r="K164" s="55">
        <v>0</v>
      </c>
      <c r="L164" s="108">
        <v>0</v>
      </c>
      <c r="M164" s="55">
        <v>0</v>
      </c>
      <c r="N164" s="55">
        <v>0</v>
      </c>
      <c r="O164" s="110"/>
      <c r="P164" s="55">
        <v>0</v>
      </c>
      <c r="Q164" s="206">
        <v>0</v>
      </c>
      <c r="R164" s="55">
        <v>0</v>
      </c>
      <c r="S164" s="78">
        <v>0</v>
      </c>
    </row>
    <row r="165" spans="1:20">
      <c r="A165" s="54">
        <v>5</v>
      </c>
      <c r="B165" s="54">
        <v>6</v>
      </c>
      <c r="C165" s="67">
        <v>9017</v>
      </c>
      <c r="D165" s="67">
        <v>5025145</v>
      </c>
      <c r="E165" s="55">
        <v>6.7497168030820085E-4</v>
      </c>
      <c r="F165" s="88">
        <v>5.5729677276255964</v>
      </c>
      <c r="G165" s="110"/>
      <c r="H165" s="57" t="str">
        <f t="shared" si="2"/>
        <v>(5, 6]</v>
      </c>
      <c r="I165" s="207">
        <v>0</v>
      </c>
      <c r="J165" s="55">
        <v>0</v>
      </c>
      <c r="K165" s="55">
        <v>0</v>
      </c>
      <c r="L165" s="108">
        <v>0</v>
      </c>
      <c r="M165" s="55">
        <v>0</v>
      </c>
      <c r="N165" s="55">
        <v>0</v>
      </c>
      <c r="O165" s="110"/>
      <c r="P165" s="55">
        <v>0</v>
      </c>
      <c r="Q165" s="206">
        <v>0</v>
      </c>
      <c r="R165" s="55">
        <v>0</v>
      </c>
      <c r="S165" s="78">
        <v>0</v>
      </c>
    </row>
    <row r="166" spans="1:20">
      <c r="A166" s="54">
        <v>6</v>
      </c>
      <c r="B166" s="54">
        <v>7</v>
      </c>
      <c r="C166" s="67">
        <v>9018</v>
      </c>
      <c r="D166" s="67">
        <v>5915710</v>
      </c>
      <c r="E166" s="55">
        <v>6.7504653576792232E-4</v>
      </c>
      <c r="F166" s="88">
        <v>6.5598913284542029</v>
      </c>
      <c r="G166" s="110"/>
      <c r="H166" s="57" t="str">
        <f t="shared" si="2"/>
        <v>(6, 7]</v>
      </c>
      <c r="I166" s="207">
        <v>0</v>
      </c>
      <c r="J166" s="55">
        <v>0</v>
      </c>
      <c r="K166" s="55">
        <v>0</v>
      </c>
      <c r="L166" s="108">
        <v>0</v>
      </c>
      <c r="M166" s="55">
        <v>0</v>
      </c>
      <c r="N166" s="55">
        <v>0</v>
      </c>
      <c r="O166" s="110"/>
      <c r="P166" s="55">
        <v>0</v>
      </c>
      <c r="Q166" s="206">
        <v>0</v>
      </c>
      <c r="R166" s="55">
        <v>1.2048192771084338E-2</v>
      </c>
      <c r="S166" s="78">
        <v>0</v>
      </c>
    </row>
    <row r="167" spans="1:20">
      <c r="A167" s="54">
        <v>7</v>
      </c>
      <c r="B167" s="54">
        <v>8</v>
      </c>
      <c r="C167" s="67">
        <v>9158</v>
      </c>
      <c r="D167" s="67">
        <v>6924705</v>
      </c>
      <c r="E167" s="55">
        <v>6.8552630012892355E-4</v>
      </c>
      <c r="F167" s="88">
        <v>7.5613725704302253</v>
      </c>
      <c r="G167" s="110"/>
      <c r="H167" s="57" t="str">
        <f t="shared" si="2"/>
        <v>(7, 8]</v>
      </c>
      <c r="I167" s="207">
        <v>0</v>
      </c>
      <c r="J167" s="55">
        <v>0</v>
      </c>
      <c r="K167" s="55">
        <v>0</v>
      </c>
      <c r="L167" s="108">
        <v>0</v>
      </c>
      <c r="M167" s="55">
        <v>0</v>
      </c>
      <c r="N167" s="55">
        <v>0</v>
      </c>
      <c r="O167" s="110"/>
      <c r="P167" s="55">
        <v>0</v>
      </c>
      <c r="Q167" s="206">
        <v>0</v>
      </c>
      <c r="R167" s="55">
        <v>3.614457831325301E-2</v>
      </c>
      <c r="S167" s="78">
        <v>0</v>
      </c>
    </row>
    <row r="168" spans="1:20">
      <c r="A168" s="54">
        <v>8</v>
      </c>
      <c r="B168" s="54">
        <v>9</v>
      </c>
      <c r="C168" s="67">
        <v>9305</v>
      </c>
      <c r="D168" s="67">
        <v>7962655</v>
      </c>
      <c r="E168" s="55">
        <v>6.9653005270797481E-4</v>
      </c>
      <c r="F168" s="88">
        <v>8.5573938742611499</v>
      </c>
      <c r="G168" s="110"/>
      <c r="H168" s="57" t="str">
        <f t="shared" si="2"/>
        <v>(8, 9]</v>
      </c>
      <c r="I168" s="207">
        <v>0</v>
      </c>
      <c r="J168" s="55">
        <v>0</v>
      </c>
      <c r="K168" s="55">
        <v>0</v>
      </c>
      <c r="L168" s="108">
        <v>0</v>
      </c>
      <c r="M168" s="55">
        <v>0</v>
      </c>
      <c r="N168" s="55">
        <v>0</v>
      </c>
      <c r="O168" s="110"/>
      <c r="P168" s="55">
        <v>0</v>
      </c>
      <c r="Q168" s="206">
        <v>0</v>
      </c>
      <c r="R168" s="55">
        <v>2.4096385542168676E-2</v>
      </c>
      <c r="S168" s="78">
        <v>0</v>
      </c>
    </row>
    <row r="169" spans="1:20">
      <c r="A169" s="54">
        <v>9</v>
      </c>
      <c r="B169" s="54">
        <v>10</v>
      </c>
      <c r="C169" s="67">
        <v>9412</v>
      </c>
      <c r="D169" s="67">
        <v>8996740</v>
      </c>
      <c r="E169" s="55">
        <v>7.0453958689816864E-4</v>
      </c>
      <c r="F169" s="88">
        <v>9.5587972800679992</v>
      </c>
      <c r="G169" s="110"/>
      <c r="H169" s="57" t="str">
        <f t="shared" si="2"/>
        <v>(9, 10]</v>
      </c>
      <c r="I169" s="207">
        <v>0</v>
      </c>
      <c r="J169" s="55">
        <v>0</v>
      </c>
      <c r="K169" s="55">
        <v>0</v>
      </c>
      <c r="L169" s="108">
        <v>0</v>
      </c>
      <c r="M169" s="55">
        <v>0</v>
      </c>
      <c r="N169" s="55">
        <v>0</v>
      </c>
      <c r="O169" s="110"/>
      <c r="P169" s="55">
        <v>0</v>
      </c>
      <c r="Q169" s="206">
        <v>0</v>
      </c>
      <c r="R169" s="55">
        <v>1.2048192771084338E-2</v>
      </c>
      <c r="S169" s="78">
        <v>0</v>
      </c>
    </row>
    <row r="170" spans="1:20">
      <c r="A170" s="54">
        <v>10</v>
      </c>
      <c r="B170" s="54">
        <v>15</v>
      </c>
      <c r="C170" s="67">
        <v>49247</v>
      </c>
      <c r="D170" s="67">
        <v>61922385</v>
      </c>
      <c r="E170" s="55">
        <v>3.6864068249016268E-3</v>
      </c>
      <c r="F170" s="88">
        <v>12.573839015574555</v>
      </c>
      <c r="G170" s="110"/>
      <c r="H170" s="57" t="str">
        <f t="shared" si="2"/>
        <v>(10, 15]</v>
      </c>
      <c r="I170" s="207">
        <v>36.94</v>
      </c>
      <c r="J170" s="55">
        <v>0.13617586811186608</v>
      </c>
      <c r="K170" s="55">
        <v>0.14065653327666333</v>
      </c>
      <c r="L170" s="108">
        <v>140656533</v>
      </c>
      <c r="M170" s="55">
        <v>0.14065653595378724</v>
      </c>
      <c r="N170" s="55">
        <v>1.7685926395712952</v>
      </c>
      <c r="O170" s="110"/>
      <c r="P170" s="55">
        <v>0.14065653595378724</v>
      </c>
      <c r="Q170" s="206">
        <v>0.13618589472371789</v>
      </c>
      <c r="R170" s="55">
        <v>7.2289156626506021E-2</v>
      </c>
      <c r="S170" s="78">
        <v>0.97</v>
      </c>
      <c r="T170" s="95"/>
    </row>
    <row r="171" spans="1:20">
      <c r="A171" s="54">
        <v>15</v>
      </c>
      <c r="B171" s="54">
        <v>20</v>
      </c>
      <c r="C171" s="67">
        <v>52199</v>
      </c>
      <c r="D171" s="67">
        <v>91715625</v>
      </c>
      <c r="E171" s="55">
        <v>3.9073801419993101E-3</v>
      </c>
      <c r="F171" s="88">
        <v>17.570379700760551</v>
      </c>
      <c r="G171" s="110"/>
      <c r="H171" s="105" t="str">
        <f t="shared" si="2"/>
        <v>(15, 20]</v>
      </c>
      <c r="I171" s="207">
        <v>34.56</v>
      </c>
      <c r="J171" s="55">
        <v>0.13503905770749616</v>
      </c>
      <c r="K171" s="55">
        <v>0.13948231781037998</v>
      </c>
      <c r="L171" s="108">
        <v>139482317</v>
      </c>
      <c r="M171" s="55">
        <v>0.13948231992912871</v>
      </c>
      <c r="N171" s="55">
        <v>2.4507573226977519</v>
      </c>
      <c r="O171" s="110"/>
      <c r="P171" s="55">
        <v>0.13948231992912871</v>
      </c>
      <c r="Q171" s="206">
        <v>0.13504160770083215</v>
      </c>
      <c r="R171" s="55">
        <v>7.2289156626506021E-2</v>
      </c>
      <c r="S171" s="78">
        <v>0.97</v>
      </c>
      <c r="T171" s="95"/>
    </row>
    <row r="172" spans="1:20">
      <c r="A172" s="54">
        <v>20</v>
      </c>
      <c r="B172" s="54">
        <v>25</v>
      </c>
      <c r="C172" s="67">
        <v>54803</v>
      </c>
      <c r="D172" s="67">
        <v>123642355</v>
      </c>
      <c r="E172" s="55">
        <v>4.102303759113933E-3</v>
      </c>
      <c r="F172" s="88">
        <v>22.561238435852051</v>
      </c>
      <c r="G172" s="110"/>
      <c r="H172" s="57" t="str">
        <f t="shared" si="2"/>
        <v>(20, 25]</v>
      </c>
      <c r="I172" s="207">
        <v>33.090000000000003</v>
      </c>
      <c r="J172" s="55">
        <v>0.13574523138908007</v>
      </c>
      <c r="K172" s="55">
        <v>0.14021172709059998</v>
      </c>
      <c r="L172" s="108">
        <v>140211727</v>
      </c>
      <c r="M172" s="55">
        <v>0.14021172994444633</v>
      </c>
      <c r="N172" s="55">
        <v>3.1633502707799503</v>
      </c>
      <c r="O172" s="110"/>
      <c r="P172" s="55">
        <v>0.14021172994444633</v>
      </c>
      <c r="Q172" s="206">
        <v>0.13575890371517807</v>
      </c>
      <c r="R172" s="55">
        <v>7.2289156626506021E-2</v>
      </c>
      <c r="S172" s="78">
        <v>0.97</v>
      </c>
      <c r="T172" s="95"/>
    </row>
    <row r="173" spans="1:20">
      <c r="A173" s="54">
        <v>25</v>
      </c>
      <c r="B173" s="54">
        <v>30</v>
      </c>
      <c r="C173" s="67">
        <v>57087</v>
      </c>
      <c r="D173" s="67">
        <v>157303165</v>
      </c>
      <c r="E173" s="55">
        <v>4.2732736291176956E-3</v>
      </c>
      <c r="F173" s="88">
        <v>27.554988876626904</v>
      </c>
      <c r="G173" s="110"/>
      <c r="H173" s="57" t="str">
        <f t="shared" si="2"/>
        <v>(25, 30]</v>
      </c>
      <c r="I173" s="207">
        <v>31.66</v>
      </c>
      <c r="J173" s="55">
        <v>0.13529184309786624</v>
      </c>
      <c r="K173" s="55">
        <v>0.1397434207294613</v>
      </c>
      <c r="L173" s="108">
        <v>139743420</v>
      </c>
      <c r="M173" s="55">
        <v>0.13974342293461189</v>
      </c>
      <c r="N173" s="55">
        <v>3.8506284645449997</v>
      </c>
      <c r="O173" s="110"/>
      <c r="P173" s="55">
        <v>0.13974342293461189</v>
      </c>
      <c r="Q173" s="206">
        <v>0.1353130747062615</v>
      </c>
      <c r="R173" s="55">
        <v>8.4337349397590355E-2</v>
      </c>
      <c r="S173" s="78">
        <v>0.97</v>
      </c>
      <c r="T173" s="95"/>
    </row>
    <row r="174" spans="1:20">
      <c r="A174" s="54">
        <v>30</v>
      </c>
      <c r="B174" s="54">
        <v>35</v>
      </c>
      <c r="C174" s="67">
        <v>59408</v>
      </c>
      <c r="D174" s="67">
        <v>193424490</v>
      </c>
      <c r="E174" s="55">
        <v>4.4470131511311524E-3</v>
      </c>
      <c r="F174" s="88">
        <v>32.558660449771075</v>
      </c>
      <c r="G174" s="110"/>
      <c r="H174" s="57" t="str">
        <f t="shared" si="2"/>
        <v>(30, 35]</v>
      </c>
      <c r="I174" s="207">
        <v>8.01</v>
      </c>
      <c r="J174" s="55">
        <v>3.5620575340560533E-2</v>
      </c>
      <c r="K174" s="55">
        <v>3.6792617592183073E-2</v>
      </c>
      <c r="L174" s="108">
        <v>36792617</v>
      </c>
      <c r="M174" s="55">
        <v>3.6792617772644975E-2</v>
      </c>
      <c r="N174" s="55">
        <v>1.1979183491177603</v>
      </c>
      <c r="O174" s="110"/>
      <c r="P174" s="55">
        <v>3.6792617772644975E-2</v>
      </c>
      <c r="Q174" s="206">
        <v>3.5604833712096676E-2</v>
      </c>
      <c r="R174" s="55">
        <v>3.614457831325301E-2</v>
      </c>
      <c r="S174" s="78">
        <v>0.97</v>
      </c>
      <c r="T174" s="95"/>
    </row>
    <row r="175" spans="1:20">
      <c r="A175" s="54">
        <v>35</v>
      </c>
      <c r="B175" s="54">
        <v>40</v>
      </c>
      <c r="C175" s="67">
        <v>61926</v>
      </c>
      <c r="D175" s="67">
        <v>232561690</v>
      </c>
      <c r="E175" s="55">
        <v>4.6354991987097314E-3</v>
      </c>
      <c r="F175" s="88">
        <v>37.554773439266221</v>
      </c>
      <c r="G175" s="110"/>
      <c r="H175" s="105" t="str">
        <f t="shared" si="2"/>
        <v>(35, 40]</v>
      </c>
      <c r="I175" s="207">
        <v>6.26</v>
      </c>
      <c r="J175" s="55">
        <v>2.9018224983922918E-2</v>
      </c>
      <c r="K175" s="55">
        <v>2.9973026679939296E-2</v>
      </c>
      <c r="L175" s="108">
        <v>29973026</v>
      </c>
      <c r="M175" s="55">
        <v>2.9973026629433561E-2</v>
      </c>
      <c r="N175" s="55">
        <v>1.1256302243574705</v>
      </c>
      <c r="O175" s="110"/>
      <c r="P175" s="55">
        <v>2.9973026629433561E-2</v>
      </c>
      <c r="Q175" s="206">
        <v>2.903870258077405E-2</v>
      </c>
      <c r="R175" s="55">
        <v>2.4096385542168676E-2</v>
      </c>
      <c r="S175" s="78">
        <v>0.97</v>
      </c>
      <c r="T175" s="95"/>
    </row>
    <row r="176" spans="1:20">
      <c r="A176" s="54">
        <v>40</v>
      </c>
      <c r="B176" s="54">
        <v>45</v>
      </c>
      <c r="C176" s="67">
        <v>64488</v>
      </c>
      <c r="D176" s="67">
        <v>274427415</v>
      </c>
      <c r="E176" s="55">
        <v>4.8272788865160541E-3</v>
      </c>
      <c r="F176" s="88">
        <v>42.554803219203578</v>
      </c>
      <c r="G176" s="110"/>
      <c r="H176" s="57" t="str">
        <f t="shared" si="2"/>
        <v>(40, 45]</v>
      </c>
      <c r="I176" s="207">
        <v>5.94</v>
      </c>
      <c r="J176" s="55">
        <v>2.8674036585905362E-2</v>
      </c>
      <c r="K176" s="55">
        <v>2.9617513272678125E-2</v>
      </c>
      <c r="L176" s="108">
        <v>29617513</v>
      </c>
      <c r="M176" s="55">
        <v>2.9617513621967784E-2</v>
      </c>
      <c r="N176" s="55">
        <v>1.2603674640249205</v>
      </c>
      <c r="O176" s="110"/>
      <c r="P176" s="55">
        <v>2.9617513621967784E-2</v>
      </c>
      <c r="Q176" s="206">
        <v>2.8675389573507792E-2</v>
      </c>
      <c r="R176" s="55">
        <v>3.614457831325301E-2</v>
      </c>
      <c r="S176" s="78">
        <v>0.97</v>
      </c>
      <c r="T176" s="95"/>
    </row>
    <row r="177" spans="1:20">
      <c r="A177" s="54">
        <v>45</v>
      </c>
      <c r="B177" s="54">
        <v>50</v>
      </c>
      <c r="C177" s="67">
        <v>66483</v>
      </c>
      <c r="D177" s="67">
        <v>316159655</v>
      </c>
      <c r="E177" s="55">
        <v>4.9766155286603215E-3</v>
      </c>
      <c r="F177" s="88">
        <v>47.554962170780499</v>
      </c>
      <c r="G177" s="110"/>
      <c r="H177" s="57" t="str">
        <f t="shared" si="2"/>
        <v>(45, 50]</v>
      </c>
      <c r="I177" s="207">
        <v>5.27</v>
      </c>
      <c r="J177" s="55">
        <v>2.622676383603989E-2</v>
      </c>
      <c r="K177" s="55">
        <v>2.7089716639167778E-2</v>
      </c>
      <c r="L177" s="108">
        <v>27089716</v>
      </c>
      <c r="M177" s="55">
        <v>2.7089716568884047E-2</v>
      </c>
      <c r="N177" s="55">
        <v>1.2882504466504465</v>
      </c>
      <c r="O177" s="110"/>
      <c r="P177" s="55">
        <v>2.7089716568884047E-2</v>
      </c>
      <c r="Q177" s="206">
        <v>2.6210230524204611E-2</v>
      </c>
      <c r="R177" s="55">
        <v>2.4096385542168676E-2</v>
      </c>
      <c r="S177" s="78">
        <v>0.97</v>
      </c>
      <c r="T177" s="95"/>
    </row>
    <row r="178" spans="1:20">
      <c r="A178" s="54">
        <v>50</v>
      </c>
      <c r="B178" s="54">
        <v>60</v>
      </c>
      <c r="C178" s="67">
        <v>139846</v>
      </c>
      <c r="D178" s="67">
        <v>770486615</v>
      </c>
      <c r="E178" s="55">
        <v>1.0468236620204132E-2</v>
      </c>
      <c r="F178" s="88">
        <v>55.095363113710803</v>
      </c>
      <c r="G178" s="110">
        <v>2.12</v>
      </c>
      <c r="H178" s="105" t="str">
        <f t="shared" si="2"/>
        <v>(50, 60]</v>
      </c>
      <c r="I178" s="207" cm="1">
        <f t="array" ref="I178:I222">G178:G222*G161</f>
        <v>1.9140843999999999</v>
      </c>
      <c r="J178" s="55">
        <v>2.0037088410241453E-2</v>
      </c>
      <c r="K178" s="55">
        <v>2.0696379114890969E-2</v>
      </c>
      <c r="L178" s="108">
        <v>20696379</v>
      </c>
      <c r="M178" s="55">
        <v>2.069637943462397E-2</v>
      </c>
      <c r="N178" s="55">
        <v>1.1402745400897443</v>
      </c>
      <c r="O178" s="110"/>
      <c r="P178" s="55">
        <v>2.069637943462397E-2</v>
      </c>
      <c r="Q178" s="206">
        <v>2.2162742443254849E-2</v>
      </c>
      <c r="R178" s="55">
        <v>2.4096385542168676E-2</v>
      </c>
      <c r="S178" s="78">
        <v>1.07</v>
      </c>
      <c r="T178" s="95"/>
    </row>
    <row r="179" spans="1:20">
      <c r="A179" s="54">
        <v>60</v>
      </c>
      <c r="B179" s="54">
        <v>70</v>
      </c>
      <c r="C179" s="67">
        <v>146816</v>
      </c>
      <c r="D179" s="67">
        <v>955319985</v>
      </c>
      <c r="E179" s="55">
        <v>1.0989979174462551E-2</v>
      </c>
      <c r="F179" s="88">
        <v>65.069201245095897</v>
      </c>
      <c r="G179" s="110">
        <v>5.94</v>
      </c>
      <c r="H179" s="57" t="str">
        <f t="shared" si="2"/>
        <v>(60, 70]</v>
      </c>
      <c r="I179" s="207">
        <v>5.3630478000000004</v>
      </c>
      <c r="J179" s="55">
        <v>5.89397836336472E-2</v>
      </c>
      <c r="K179" s="55">
        <v>6.087910988145951E-2</v>
      </c>
      <c r="L179" s="108">
        <v>60879109</v>
      </c>
      <c r="M179" s="55">
        <v>6.0879110278461317E-2</v>
      </c>
      <c r="N179" s="55">
        <v>3.9613550783315854</v>
      </c>
      <c r="O179" s="110"/>
      <c r="P179" s="55">
        <v>6.0879110278461317E-2</v>
      </c>
      <c r="Q179" s="206">
        <v>6.5256171305123428E-2</v>
      </c>
      <c r="R179" s="55">
        <v>6.0240963855421686E-2</v>
      </c>
      <c r="S179" s="78">
        <v>1.07</v>
      </c>
      <c r="T179" s="95"/>
    </row>
    <row r="180" spans="1:20">
      <c r="A180" s="54">
        <v>70</v>
      </c>
      <c r="B180" s="54">
        <v>80</v>
      </c>
      <c r="C180" s="67">
        <v>154465</v>
      </c>
      <c r="D180" s="67">
        <v>1159515525</v>
      </c>
      <c r="E180" s="55">
        <v>1.1562548585871826E-2</v>
      </c>
      <c r="F180" s="88">
        <v>75.066553911889429</v>
      </c>
      <c r="G180" s="110">
        <v>5.07</v>
      </c>
      <c r="H180" s="57" t="str">
        <f t="shared" si="2"/>
        <v>(70, 80]</v>
      </c>
      <c r="I180" s="207">
        <v>4.5775509000000003</v>
      </c>
      <c r="J180" s="55">
        <v>5.2928154685551308E-2</v>
      </c>
      <c r="K180" s="55">
        <v>5.4669677190417827E-2</v>
      </c>
      <c r="L180" s="108">
        <v>54669677</v>
      </c>
      <c r="M180" s="55">
        <v>5.4669678148063242E-2</v>
      </c>
      <c r="N180" s="55">
        <v>4.1038643420472329</v>
      </c>
      <c r="O180" s="110"/>
      <c r="P180" s="55">
        <v>5.4669678148063242E-2</v>
      </c>
      <c r="Q180" s="206">
        <v>5.8653581173071623E-2</v>
      </c>
      <c r="R180" s="55">
        <v>4.8192771084337352E-2</v>
      </c>
      <c r="S180" s="78">
        <v>1.07</v>
      </c>
      <c r="T180" s="95"/>
    </row>
    <row r="181" spans="1:20">
      <c r="A181" s="54">
        <v>80</v>
      </c>
      <c r="B181" s="54">
        <v>90</v>
      </c>
      <c r="C181" s="67">
        <v>160143</v>
      </c>
      <c r="D181" s="67">
        <v>1362077070</v>
      </c>
      <c r="E181" s="55">
        <v>1.1987577886170147E-2</v>
      </c>
      <c r="F181" s="88">
        <v>85.053800041213165</v>
      </c>
      <c r="G181" s="110">
        <v>2.4900000000000002</v>
      </c>
      <c r="H181" s="57" t="str">
        <f t="shared" si="2"/>
        <v>(80, 90]</v>
      </c>
      <c r="I181" s="207">
        <v>2.2481463000000002</v>
      </c>
      <c r="J181" s="55">
        <v>2.6949828870755237E-2</v>
      </c>
      <c r="K181" s="55">
        <v>2.7836573057465643E-2</v>
      </c>
      <c r="L181" s="108">
        <v>27836573</v>
      </c>
      <c r="M181" s="55">
        <v>2.7836573584568047E-2</v>
      </c>
      <c r="N181" s="55">
        <v>2.3676063634943669</v>
      </c>
      <c r="O181" s="110"/>
      <c r="P181" s="55">
        <v>2.7836573584568047E-2</v>
      </c>
      <c r="Q181" s="206">
        <v>2.985243959704879E-2</v>
      </c>
      <c r="R181" s="55">
        <v>2.4096385542168676E-2</v>
      </c>
      <c r="S181" s="78">
        <v>1.07</v>
      </c>
      <c r="T181" s="95"/>
    </row>
    <row r="182" spans="1:20">
      <c r="A182" s="54">
        <v>90</v>
      </c>
      <c r="B182" s="54">
        <v>100</v>
      </c>
      <c r="C182" s="67">
        <v>165405</v>
      </c>
      <c r="D182" s="67">
        <v>1572146625</v>
      </c>
      <c r="E182" s="55">
        <v>1.238146731522435E-2</v>
      </c>
      <c r="F182" s="88">
        <v>95.048313231159881</v>
      </c>
      <c r="G182" s="110">
        <v>2.13</v>
      </c>
      <c r="H182" s="57" t="str">
        <f t="shared" si="2"/>
        <v>(90, 100]</v>
      </c>
      <c r="I182" s="208">
        <v>1.9231130999999999</v>
      </c>
      <c r="J182" s="107">
        <v>2.3810961991129777E-2</v>
      </c>
      <c r="K182" s="107">
        <v>2.4594426414109062E-2</v>
      </c>
      <c r="L182" s="108">
        <v>24594426</v>
      </c>
      <c r="M182" s="107">
        <v>2.4594426516482956E-2</v>
      </c>
      <c r="N182" s="107">
        <v>2.3376587552794166</v>
      </c>
      <c r="O182" s="110"/>
      <c r="P182" s="55">
        <v>2.4594426516482956E-2</v>
      </c>
      <c r="Q182" s="206">
        <v>2.6317903526358072E-2</v>
      </c>
      <c r="R182" s="55">
        <v>1.2048192771084338E-2</v>
      </c>
      <c r="S182" s="78">
        <v>1.07</v>
      </c>
      <c r="T182" s="95"/>
    </row>
    <row r="183" spans="1:20">
      <c r="A183" s="54">
        <v>100</v>
      </c>
      <c r="B183" s="54">
        <v>120</v>
      </c>
      <c r="C183" s="67">
        <v>343628</v>
      </c>
      <c r="D183" s="67">
        <v>3783315070</v>
      </c>
      <c r="E183" s="55">
        <v>2.5722431913158084E-2</v>
      </c>
      <c r="F183" s="88">
        <v>110.09914995285598</v>
      </c>
      <c r="G183" s="110">
        <v>1.6</v>
      </c>
      <c r="H183" s="57" t="str">
        <f t="shared" si="2"/>
        <v>(100, 120]</v>
      </c>
      <c r="I183" s="208">
        <v>1.4445920000000001</v>
      </c>
      <c r="J183" s="107">
        <v>3.7158419362292867E-2</v>
      </c>
      <c r="K183" s="107">
        <v>3.8381062092785918E-2</v>
      </c>
      <c r="L183" s="108">
        <v>38381062</v>
      </c>
      <c r="M183" s="107">
        <v>3.8381062806002321E-2</v>
      </c>
      <c r="N183" s="107">
        <v>4.2257223892280331</v>
      </c>
      <c r="O183" s="110"/>
      <c r="P183" s="55">
        <v>3.8381062806002321E-2</v>
      </c>
      <c r="Q183" s="206">
        <v>4.1131499822629994E-2</v>
      </c>
      <c r="R183" s="55">
        <v>6.0240963855421686E-2</v>
      </c>
      <c r="S183" s="78">
        <v>1.07</v>
      </c>
      <c r="T183" s="95"/>
    </row>
    <row r="184" spans="1:20">
      <c r="A184" s="54">
        <v>120</v>
      </c>
      <c r="B184" s="54">
        <v>140</v>
      </c>
      <c r="C184" s="67">
        <v>354855</v>
      </c>
      <c r="D184" s="67">
        <v>4615650835</v>
      </c>
      <c r="E184" s="55">
        <v>2.6562834159450661E-2</v>
      </c>
      <c r="F184" s="88">
        <v>130.0714611601922</v>
      </c>
      <c r="G184" s="110">
        <v>0.68</v>
      </c>
      <c r="H184" s="57" t="str">
        <f t="shared" si="2"/>
        <v>(120, 140]</v>
      </c>
      <c r="I184" s="208">
        <v>0.61395160000000004</v>
      </c>
      <c r="J184" s="107">
        <v>1.6308294532729389E-2</v>
      </c>
      <c r="K184" s="107">
        <v>1.6844894799892925E-2</v>
      </c>
      <c r="L184" s="108">
        <v>16844894</v>
      </c>
      <c r="M184" s="107">
        <v>1.6844894353742781E-2</v>
      </c>
      <c r="N184" s="107">
        <v>2.1910400216803949</v>
      </c>
      <c r="O184" s="110"/>
      <c r="P184" s="55">
        <v>1.6844894353742781E-2</v>
      </c>
      <c r="Q184" s="206">
        <v>1.8029524360590486E-2</v>
      </c>
      <c r="R184" s="55">
        <v>7.2289156626506021E-2</v>
      </c>
      <c r="S184" s="78">
        <v>1.07</v>
      </c>
      <c r="T184" s="95"/>
    </row>
    <row r="185" spans="1:20">
      <c r="A185" s="54">
        <v>140</v>
      </c>
      <c r="B185" s="54">
        <v>160</v>
      </c>
      <c r="C185" s="67">
        <v>357981</v>
      </c>
      <c r="D185" s="67">
        <v>5371224535</v>
      </c>
      <c r="E185" s="55">
        <v>2.6796832326539875E-2</v>
      </c>
      <c r="F185" s="88">
        <v>150.04216802009046</v>
      </c>
      <c r="G185" s="110">
        <v>1.03</v>
      </c>
      <c r="H185" s="57" t="str">
        <f t="shared" si="2"/>
        <v>(140, 160]</v>
      </c>
      <c r="I185" s="208">
        <v>0.92995609999999995</v>
      </c>
      <c r="J185" s="107">
        <v>2.4919877682742946E-2</v>
      </c>
      <c r="K185" s="107">
        <v>2.5739829333444743E-2</v>
      </c>
      <c r="L185" s="108">
        <v>25739829</v>
      </c>
      <c r="M185" s="107">
        <v>2.573982954053642E-2</v>
      </c>
      <c r="N185" s="107">
        <v>3.8620598287296533</v>
      </c>
      <c r="O185" s="110"/>
      <c r="P185" s="55">
        <v>2.573982954053642E-2</v>
      </c>
      <c r="Q185" s="206">
        <v>2.759787055195741E-2</v>
      </c>
      <c r="R185" s="55">
        <v>2.4096385542168676E-2</v>
      </c>
      <c r="S185" s="78">
        <v>1.07</v>
      </c>
      <c r="T185" s="95"/>
    </row>
    <row r="186" spans="1:20">
      <c r="A186" s="54">
        <v>160</v>
      </c>
      <c r="B186" s="54">
        <v>180</v>
      </c>
      <c r="C186" s="67">
        <v>359992</v>
      </c>
      <c r="D186" s="67">
        <v>6120684245</v>
      </c>
      <c r="E186" s="55">
        <v>2.6947366656039688E-2</v>
      </c>
      <c r="F186" s="88">
        <v>170.02278508966864</v>
      </c>
      <c r="G186" s="110">
        <v>0.3</v>
      </c>
      <c r="H186" s="57" t="str">
        <f t="shared" si="2"/>
        <v>(160, 180]</v>
      </c>
      <c r="I186" s="208">
        <v>0.27086099999999996</v>
      </c>
      <c r="J186" s="107">
        <v>7.2989906798215654E-3</v>
      </c>
      <c r="K186" s="107">
        <v>7.5391531530315048E-3</v>
      </c>
      <c r="L186" s="108">
        <v>7539153</v>
      </c>
      <c r="M186" s="107">
        <v>7.5391531583222163E-3</v>
      </c>
      <c r="N186" s="107">
        <v>1.2818278171955149</v>
      </c>
      <c r="O186" s="110"/>
      <c r="P186" s="55">
        <v>7.5391531583222163E-3</v>
      </c>
      <c r="Q186" s="206">
        <v>8.2157541643150828E-3</v>
      </c>
      <c r="R186" s="55">
        <v>3.614457831325301E-2</v>
      </c>
      <c r="S186" s="78">
        <v>1.0900000000000001</v>
      </c>
      <c r="T186" s="95"/>
    </row>
    <row r="187" spans="1:20">
      <c r="A187" s="54">
        <v>180</v>
      </c>
      <c r="B187" s="54">
        <v>200</v>
      </c>
      <c r="C187" s="67">
        <v>357858</v>
      </c>
      <c r="D187" s="67">
        <v>6799733860</v>
      </c>
      <c r="E187" s="55">
        <v>2.6787625104994141E-2</v>
      </c>
      <c r="F187" s="88">
        <v>190.01206791520661</v>
      </c>
      <c r="G187" s="110">
        <v>0.26</v>
      </c>
      <c r="H187" s="57" t="str">
        <f t="shared" si="2"/>
        <v>(180, 200]</v>
      </c>
      <c r="I187" s="208">
        <v>0.23474619999999999</v>
      </c>
      <c r="J187" s="107">
        <v>6.2882932004219754E-3</v>
      </c>
      <c r="K187" s="107">
        <v>6.4952001706497422E-3</v>
      </c>
      <c r="L187" s="108">
        <v>6495200</v>
      </c>
      <c r="M187" s="107">
        <v>6.4952001363992031E-3</v>
      </c>
      <c r="N187" s="107">
        <v>1.2341664094403446</v>
      </c>
      <c r="O187" s="110"/>
      <c r="P187" s="55">
        <v>6.4952001363992031E-3</v>
      </c>
      <c r="Q187" s="206">
        <v>7.0812481416249627E-3</v>
      </c>
      <c r="R187" s="55">
        <v>0</v>
      </c>
      <c r="S187" s="78">
        <v>1.0900000000000001</v>
      </c>
      <c r="T187" s="95"/>
    </row>
    <row r="188" spans="1:20">
      <c r="A188" s="54">
        <v>200</v>
      </c>
      <c r="B188" s="54">
        <v>250</v>
      </c>
      <c r="C188" s="67">
        <v>866284</v>
      </c>
      <c r="D188" s="67">
        <v>19475012970</v>
      </c>
      <c r="E188" s="55">
        <v>6.4846087069325667E-2</v>
      </c>
      <c r="F188" s="88">
        <v>224.81095079673639</v>
      </c>
      <c r="G188" s="110">
        <v>0.3</v>
      </c>
      <c r="H188" s="57" t="str">
        <f t="shared" si="2"/>
        <v>(200, 250]</v>
      </c>
      <c r="I188" s="208">
        <v>0.27086099999999996</v>
      </c>
      <c r="J188" s="107">
        <v>1.7564275989684616E-2</v>
      </c>
      <c r="K188" s="107">
        <v>1.8142202465667969E-2</v>
      </c>
      <c r="L188" s="108">
        <v>18142202</v>
      </c>
      <c r="M188" s="107">
        <v>1.8142202380986249E-2</v>
      </c>
      <c r="N188" s="107">
        <v>4.0785657668163333</v>
      </c>
      <c r="O188" s="110"/>
      <c r="P188" s="55">
        <v>1.8142202380986249E-2</v>
      </c>
      <c r="Q188" s="206">
        <v>1.9172624383452488E-2</v>
      </c>
      <c r="R188" s="55">
        <v>6.0240963855421686E-2</v>
      </c>
      <c r="S188" s="78">
        <v>1.06</v>
      </c>
      <c r="T188" s="95"/>
    </row>
    <row r="189" spans="1:20">
      <c r="A189" s="54">
        <v>250</v>
      </c>
      <c r="B189" s="54">
        <v>300</v>
      </c>
      <c r="C189" s="67">
        <v>810514</v>
      </c>
      <c r="D189" s="67">
        <v>22265421400</v>
      </c>
      <c r="E189" s="55">
        <v>6.0671398080661097E-2</v>
      </c>
      <c r="F189" s="88">
        <v>274.70742516477202</v>
      </c>
      <c r="G189" s="110">
        <v>0.09</v>
      </c>
      <c r="H189" s="57" t="str">
        <f t="shared" si="2"/>
        <v>(250, 300]</v>
      </c>
      <c r="I189" s="208">
        <v>8.1258299999999992E-2</v>
      </c>
      <c r="J189" s="107">
        <v>4.9300546666577834E-3</v>
      </c>
      <c r="K189" s="107">
        <v>5.0922708104703795E-3</v>
      </c>
      <c r="L189" s="108">
        <v>5092270</v>
      </c>
      <c r="M189" s="107">
        <v>5.0922701069376726E-3</v>
      </c>
      <c r="N189" s="107">
        <v>1.3988844093203863</v>
      </c>
      <c r="O189" s="110"/>
      <c r="P189" s="55">
        <v>5.0922701069376726E-3</v>
      </c>
      <c r="Q189" s="206">
        <v>5.5840271116805425E-3</v>
      </c>
      <c r="R189" s="55">
        <v>2.4096385542168676E-2</v>
      </c>
      <c r="S189" s="78">
        <v>1.1000000000000001</v>
      </c>
      <c r="T189" s="95"/>
    </row>
    <row r="190" spans="1:20">
      <c r="A190" s="54">
        <v>300</v>
      </c>
      <c r="B190" s="54">
        <v>350</v>
      </c>
      <c r="C190" s="67">
        <v>745650</v>
      </c>
      <c r="D190" s="67">
        <v>24204985950</v>
      </c>
      <c r="E190" s="55">
        <v>5.5815973541289782E-2</v>
      </c>
      <c r="F190" s="88">
        <v>324.6159183262925</v>
      </c>
      <c r="G190" s="110">
        <v>0.08</v>
      </c>
      <c r="H190" s="57" t="str">
        <f t="shared" si="2"/>
        <v>(300, 350]</v>
      </c>
      <c r="I190" s="208">
        <v>7.2229599999999991E-2</v>
      </c>
      <c r="J190" s="107">
        <v>4.0315654424979436E-3</v>
      </c>
      <c r="K190" s="107">
        <v>4.16421812970506E-3</v>
      </c>
      <c r="L190" s="108">
        <v>4164218</v>
      </c>
      <c r="M190" s="107">
        <v>4.1642180874485795E-3</v>
      </c>
      <c r="N190" s="107">
        <v>1.3517714785680781</v>
      </c>
      <c r="O190" s="110"/>
      <c r="P190" s="55">
        <v>4.1642180874485795E-3</v>
      </c>
      <c r="Q190" s="206">
        <v>4.5717610914352219E-3</v>
      </c>
      <c r="R190" s="55">
        <v>1.2048192771084338E-2</v>
      </c>
      <c r="S190" s="78">
        <v>1.1000000000000001</v>
      </c>
      <c r="T190" s="95"/>
    </row>
    <row r="191" spans="1:20">
      <c r="A191" s="54">
        <v>350</v>
      </c>
      <c r="B191" s="54">
        <v>400</v>
      </c>
      <c r="C191" s="67">
        <v>678262</v>
      </c>
      <c r="D191" s="67">
        <v>25409728735</v>
      </c>
      <c r="E191" s="55">
        <v>5.077161382158156E-2</v>
      </c>
      <c r="F191" s="88">
        <v>374.62999158142424</v>
      </c>
      <c r="G191" s="110">
        <v>0.01</v>
      </c>
      <c r="H191" s="57" t="str">
        <f t="shared" si="2"/>
        <v>(350, 400]</v>
      </c>
      <c r="I191" s="208">
        <v>9.0286999999999989E-3</v>
      </c>
      <c r="J191" s="107">
        <v>4.584016697109134E-4</v>
      </c>
      <c r="K191" s="107">
        <v>4.734846974267441E-4</v>
      </c>
      <c r="L191" s="108">
        <v>473484</v>
      </c>
      <c r="M191" s="107">
        <v>4.7348400994316422E-4</v>
      </c>
      <c r="N191" s="107">
        <v>0.17738131065894661</v>
      </c>
      <c r="O191" s="110"/>
      <c r="P191" s="55">
        <v>4.7348400994316422E-4</v>
      </c>
      <c r="Q191" s="206">
        <v>4.676890093537802E-4</v>
      </c>
      <c r="R191" s="55">
        <v>0</v>
      </c>
      <c r="S191" s="78">
        <v>0.99</v>
      </c>
      <c r="T191" s="95"/>
    </row>
    <row r="192" spans="1:20">
      <c r="A192" s="54">
        <v>400</v>
      </c>
      <c r="B192" s="54">
        <v>450</v>
      </c>
      <c r="C192" s="67">
        <v>612189</v>
      </c>
      <c r="D192" s="67">
        <v>25994462860</v>
      </c>
      <c r="E192" s="55">
        <v>4.5825689031407033E-2</v>
      </c>
      <c r="F192" s="88">
        <v>424.6149940622912</v>
      </c>
      <c r="G192" s="110">
        <v>0.01</v>
      </c>
      <c r="H192" s="57" t="str">
        <f t="shared" si="2"/>
        <v>(400, 450]</v>
      </c>
      <c r="I192" s="208">
        <v>9.0286999999999989E-3</v>
      </c>
      <c r="J192" s="107">
        <v>4.137463985578646E-4</v>
      </c>
      <c r="K192" s="107">
        <v>4.2736011074331312E-4</v>
      </c>
      <c r="L192" s="108">
        <v>427360</v>
      </c>
      <c r="M192" s="107">
        <v>4.2736000897456019E-4</v>
      </c>
      <c r="N192" s="107">
        <v>0.1814634676731936</v>
      </c>
      <c r="O192" s="110"/>
      <c r="P192" s="55">
        <v>4.2736000897456019E-4</v>
      </c>
      <c r="Q192" s="206">
        <v>4.2307500846150019E-4</v>
      </c>
      <c r="R192" s="55">
        <v>0</v>
      </c>
      <c r="S192" s="78">
        <v>0.99</v>
      </c>
      <c r="T192" s="95"/>
    </row>
    <row r="193" spans="1:20">
      <c r="A193" s="54">
        <v>450</v>
      </c>
      <c r="B193" s="54">
        <v>500</v>
      </c>
      <c r="C193" s="67">
        <v>550759</v>
      </c>
      <c r="D193" s="67">
        <v>26138073190</v>
      </c>
      <c r="E193" s="55">
        <v>4.122731814071913E-2</v>
      </c>
      <c r="F193" s="88">
        <v>474.58277014084194</v>
      </c>
      <c r="G193" s="110">
        <v>0.01</v>
      </c>
      <c r="H193" s="57" t="str">
        <f t="shared" si="2"/>
        <v>(450, 500]</v>
      </c>
      <c r="I193" s="208">
        <v>9.0286999999999989E-3</v>
      </c>
      <c r="J193" s="107">
        <v>3.7222908729711075E-4</v>
      </c>
      <c r="K193" s="107">
        <v>3.84476733872834E-4</v>
      </c>
      <c r="L193" s="108">
        <v>384476</v>
      </c>
      <c r="M193" s="107">
        <v>3.8447600807399619E-4</v>
      </c>
      <c r="N193" s="107">
        <v>0.18246568896444984</v>
      </c>
      <c r="O193" s="110"/>
      <c r="P193" s="55">
        <v>3.8447600807399619E-4</v>
      </c>
      <c r="Q193" s="206">
        <v>3.8122800762456017E-4</v>
      </c>
      <c r="R193" s="55">
        <v>0</v>
      </c>
      <c r="S193" s="78">
        <v>0.99</v>
      </c>
      <c r="T193" s="95"/>
    </row>
    <row r="194" spans="1:20">
      <c r="A194" s="54">
        <v>500</v>
      </c>
      <c r="B194" s="54">
        <v>550</v>
      </c>
      <c r="C194" s="67">
        <v>495764</v>
      </c>
      <c r="D194" s="67">
        <v>26005662785</v>
      </c>
      <c r="E194" s="55">
        <v>3.711064213333868E-2</v>
      </c>
      <c r="F194" s="88">
        <v>524.55730518956602</v>
      </c>
      <c r="G194" s="110">
        <v>0.01</v>
      </c>
      <c r="H194" s="57" t="str">
        <f t="shared" si="2"/>
        <v>(500, 550]</v>
      </c>
      <c r="I194" s="208">
        <v>9.0286999999999989E-3</v>
      </c>
      <c r="J194" s="107">
        <v>3.3506085462927488E-4</v>
      </c>
      <c r="K194" s="107">
        <v>3.4608553558222683E-4</v>
      </c>
      <c r="L194" s="108">
        <v>346085</v>
      </c>
      <c r="M194" s="107">
        <v>3.4608500726778516E-4</v>
      </c>
      <c r="N194" s="107">
        <v>0.18154141877890076</v>
      </c>
      <c r="O194" s="110"/>
      <c r="P194" s="55">
        <v>3.4608500726778516E-4</v>
      </c>
      <c r="Q194" s="206">
        <v>3.4286000685720014E-4</v>
      </c>
      <c r="R194" s="55">
        <v>0</v>
      </c>
      <c r="S194" s="78">
        <v>0.99</v>
      </c>
      <c r="T194" s="95"/>
    </row>
    <row r="195" spans="1:20">
      <c r="A195" s="54">
        <v>550</v>
      </c>
      <c r="B195" s="54">
        <v>600</v>
      </c>
      <c r="C195" s="67">
        <v>444300</v>
      </c>
      <c r="D195" s="67">
        <v>25529574265</v>
      </c>
      <c r="E195" s="55">
        <v>3.3258280754234627E-2</v>
      </c>
      <c r="F195" s="88">
        <v>574.60216666666668</v>
      </c>
      <c r="G195" s="110">
        <v>0.01</v>
      </c>
      <c r="H195" s="57" t="str">
        <f t="shared" si="2"/>
        <v>(550, 600]</v>
      </c>
      <c r="I195" s="207">
        <v>9.0286999999999989E-3</v>
      </c>
      <c r="J195" s="55">
        <v>3.0027903944575816E-4</v>
      </c>
      <c r="K195" s="55">
        <v>3.1015927630724174E-4</v>
      </c>
      <c r="L195" s="108">
        <v>310159</v>
      </c>
      <c r="M195" s="55">
        <v>3.1015900651333914E-4</v>
      </c>
      <c r="N195" s="55">
        <v>0.17821803715374546</v>
      </c>
      <c r="O195" s="110"/>
      <c r="P195" s="55">
        <v>3.1015900651333914E-4</v>
      </c>
      <c r="Q195" s="206">
        <v>3.0862000617240011E-4</v>
      </c>
      <c r="R195" s="55">
        <v>0</v>
      </c>
      <c r="S195" s="78">
        <v>1</v>
      </c>
      <c r="T195" s="95"/>
    </row>
    <row r="196" spans="1:20">
      <c r="A196" s="54">
        <v>600</v>
      </c>
      <c r="B196" s="54">
        <v>650</v>
      </c>
      <c r="C196" s="67">
        <v>397517</v>
      </c>
      <c r="D196" s="67">
        <v>24828473615</v>
      </c>
      <c r="E196" s="55">
        <v>2.9756317782086626E-2</v>
      </c>
      <c r="F196" s="88">
        <v>624.5889764462903</v>
      </c>
      <c r="G196" s="110">
        <v>0.01</v>
      </c>
      <c r="H196" s="57" t="str">
        <f t="shared" si="2"/>
        <v>(600, 650]</v>
      </c>
      <c r="I196" s="207">
        <v>9.0286999999999989E-3</v>
      </c>
      <c r="J196" s="55">
        <v>2.6866086635912549E-4</v>
      </c>
      <c r="K196" s="55">
        <v>2.7750075408468561E-4</v>
      </c>
      <c r="L196" s="108">
        <v>277500</v>
      </c>
      <c r="M196" s="55">
        <v>2.7750000582750013E-4</v>
      </c>
      <c r="N196" s="55">
        <v>0.17332344460363791</v>
      </c>
      <c r="O196" s="110"/>
      <c r="P196" s="55">
        <v>2.7750000582750013E-4</v>
      </c>
      <c r="Q196" s="206">
        <v>2.7654500553090012E-4</v>
      </c>
      <c r="R196" s="55">
        <v>0</v>
      </c>
      <c r="S196" s="78">
        <v>1</v>
      </c>
      <c r="T196" s="95"/>
    </row>
    <row r="197" spans="1:20">
      <c r="A197" s="54">
        <v>650</v>
      </c>
      <c r="B197" s="54">
        <v>700</v>
      </c>
      <c r="C197" s="67">
        <v>357881</v>
      </c>
      <c r="D197" s="67">
        <v>24142228060</v>
      </c>
      <c r="E197" s="55">
        <v>2.6789346780567731E-2</v>
      </c>
      <c r="F197" s="88">
        <v>674.58814689799124</v>
      </c>
      <c r="G197" s="110">
        <v>0.01</v>
      </c>
      <c r="H197" s="57" t="str">
        <f t="shared" si="2"/>
        <v>(650, 700]</v>
      </c>
      <c r="I197" s="207">
        <v>9.0286999999999989E-3</v>
      </c>
      <c r="J197" s="55">
        <v>2.4187297527771185E-4</v>
      </c>
      <c r="K197" s="55">
        <v>2.4983144713957233E-4</v>
      </c>
      <c r="L197" s="108">
        <v>249831</v>
      </c>
      <c r="M197" s="55">
        <v>2.4983100524645111E-4</v>
      </c>
      <c r="N197" s="55">
        <v>0.16853303486686577</v>
      </c>
      <c r="O197" s="110"/>
      <c r="P197" s="55">
        <v>2.4983100524645111E-4</v>
      </c>
      <c r="Q197" s="206">
        <v>2.4799200495984009E-4</v>
      </c>
      <c r="R197" s="55">
        <v>0</v>
      </c>
      <c r="S197" s="78">
        <v>0.99</v>
      </c>
      <c r="T197" s="95"/>
    </row>
    <row r="198" spans="1:20">
      <c r="A198" s="54">
        <v>700</v>
      </c>
      <c r="B198" s="54">
        <v>750</v>
      </c>
      <c r="C198" s="67">
        <v>320772</v>
      </c>
      <c r="D198" s="67">
        <v>23243216110</v>
      </c>
      <c r="E198" s="55">
        <v>2.4011535525764911E-2</v>
      </c>
      <c r="F198" s="88">
        <v>724.60240014714498</v>
      </c>
      <c r="G198" s="110">
        <v>0.01</v>
      </c>
      <c r="H198" s="57" t="str">
        <f t="shared" si="2"/>
        <v>(700, 750]</v>
      </c>
      <c r="I198" s="207">
        <v>9.0286999999999989E-3</v>
      </c>
      <c r="J198" s="55">
        <v>2.1679295080147363E-4</v>
      </c>
      <c r="K198" s="55">
        <v>2.2392620161968611E-4</v>
      </c>
      <c r="L198" s="108">
        <v>223926</v>
      </c>
      <c r="M198" s="55">
        <v>2.2392600470244611E-4</v>
      </c>
      <c r="N198" s="55">
        <v>0.16225732046275332</v>
      </c>
      <c r="O198" s="110"/>
      <c r="P198" s="55">
        <v>2.2392600470244611E-4</v>
      </c>
      <c r="Q198" s="206">
        <v>2.2297200445944008E-4</v>
      </c>
      <c r="R198" s="55">
        <v>0</v>
      </c>
      <c r="S198" s="78">
        <v>1</v>
      </c>
      <c r="T198" s="95"/>
    </row>
    <row r="199" spans="1:20">
      <c r="A199" s="54">
        <v>750</v>
      </c>
      <c r="B199" s="54">
        <v>800</v>
      </c>
      <c r="C199" s="67">
        <v>288605</v>
      </c>
      <c r="D199" s="67">
        <v>22354789685</v>
      </c>
      <c r="E199" s="55">
        <v>2.1603659952905436E-2</v>
      </c>
      <c r="F199" s="88">
        <v>774.58081755340345</v>
      </c>
      <c r="G199" s="110">
        <v>0.01</v>
      </c>
      <c r="H199" s="57" t="str">
        <f t="shared" si="2"/>
        <v>(750, 800]</v>
      </c>
      <c r="I199" s="207">
        <v>9.0286999999999989E-3</v>
      </c>
      <c r="J199" s="55">
        <v>1.9505296461679728E-4</v>
      </c>
      <c r="K199" s="55">
        <v>2.0147089340232164E-4</v>
      </c>
      <c r="L199" s="108">
        <v>201470</v>
      </c>
      <c r="M199" s="55">
        <v>2.0147000423087008E-4</v>
      </c>
      <c r="N199" s="55">
        <v>0.156054800589635</v>
      </c>
      <c r="O199" s="110"/>
      <c r="P199" s="55">
        <v>2.0147000423087008E-4</v>
      </c>
      <c r="Q199" s="206">
        <v>2.0106800402136009E-4</v>
      </c>
      <c r="R199" s="55">
        <v>0</v>
      </c>
      <c r="S199" s="78">
        <v>1</v>
      </c>
      <c r="T199" s="95"/>
    </row>
    <row r="200" spans="1:20">
      <c r="A200" s="54">
        <v>800</v>
      </c>
      <c r="B200" s="54">
        <v>850</v>
      </c>
      <c r="C200" s="67">
        <v>259441</v>
      </c>
      <c r="D200" s="67">
        <v>21393204670</v>
      </c>
      <c r="E200" s="55">
        <v>1.9420575325589436E-2</v>
      </c>
      <c r="F200" s="88">
        <v>824.58842935388009</v>
      </c>
      <c r="G200" s="110">
        <v>0.01</v>
      </c>
      <c r="H200" s="57" t="str">
        <f t="shared" si="2"/>
        <v>(800, 850]</v>
      </c>
      <c r="I200" s="207">
        <v>9.0286999999999989E-3</v>
      </c>
      <c r="J200" s="55">
        <v>1.7534254844214932E-4</v>
      </c>
      <c r="K200" s="55">
        <v>1.8111193518889737E-4</v>
      </c>
      <c r="L200" s="108">
        <v>181111</v>
      </c>
      <c r="M200" s="55">
        <v>1.8111100380333107E-4</v>
      </c>
      <c r="N200" s="55">
        <v>0.14934203816489336</v>
      </c>
      <c r="O200" s="110"/>
      <c r="P200" s="55">
        <v>1.8111100380333107E-4</v>
      </c>
      <c r="Q200" s="206">
        <v>1.8029400360588009E-4</v>
      </c>
      <c r="R200" s="55">
        <v>0</v>
      </c>
      <c r="S200" s="78">
        <v>1</v>
      </c>
      <c r="T200" s="95"/>
    </row>
    <row r="201" spans="1:20">
      <c r="A201" s="54">
        <v>850</v>
      </c>
      <c r="B201" s="54">
        <v>900</v>
      </c>
      <c r="C201" s="67">
        <v>234161</v>
      </c>
      <c r="D201" s="67">
        <v>20478949655</v>
      </c>
      <c r="E201" s="55">
        <v>1.7528229303831497E-2</v>
      </c>
      <c r="F201" s="88">
        <v>874.56705664051651</v>
      </c>
      <c r="G201" s="110">
        <v>0.01</v>
      </c>
      <c r="H201" s="57" t="str">
        <f t="shared" si="2"/>
        <v>(850, 900]</v>
      </c>
      <c r="I201" s="207">
        <v>9.0286999999999989E-3</v>
      </c>
      <c r="J201" s="55">
        <v>1.5825712391550343E-4</v>
      </c>
      <c r="K201" s="55">
        <v>1.6346434008413242E-4</v>
      </c>
      <c r="L201" s="79">
        <v>163464</v>
      </c>
      <c r="M201" s="55">
        <v>1.6346400343274407E-4</v>
      </c>
      <c r="N201" s="55">
        <v>0.14296023234885027</v>
      </c>
      <c r="O201" s="110"/>
      <c r="P201" s="55">
        <v>1.6346400343274407E-4</v>
      </c>
      <c r="Q201" s="206">
        <v>1.6296000325920006E-4</v>
      </c>
      <c r="R201" s="55">
        <v>0</v>
      </c>
      <c r="S201" s="78">
        <v>1</v>
      </c>
      <c r="T201" s="95"/>
    </row>
    <row r="202" spans="1:20">
      <c r="A202" s="54">
        <v>900</v>
      </c>
      <c r="B202" s="54">
        <v>950</v>
      </c>
      <c r="C202" s="67">
        <v>212035</v>
      </c>
      <c r="D202" s="67">
        <v>19604556485</v>
      </c>
      <c r="E202" s="55">
        <v>1.5871977402034977E-2</v>
      </c>
      <c r="F202" s="88">
        <v>924.59058575235224</v>
      </c>
      <c r="G202" s="110">
        <v>0.01</v>
      </c>
      <c r="H202" s="57" t="str">
        <f t="shared" si="2"/>
        <v>(900, 950]</v>
      </c>
      <c r="I202" s="207">
        <v>9.0286999999999989E-3</v>
      </c>
      <c r="J202" s="55">
        <v>1.4330332236975319E-4</v>
      </c>
      <c r="K202" s="55">
        <v>1.4801850585596671E-4</v>
      </c>
      <c r="L202" s="79">
        <v>148018</v>
      </c>
      <c r="M202" s="55">
        <v>1.4801800310837806E-4</v>
      </c>
      <c r="N202" s="55">
        <v>0.13685605219586877</v>
      </c>
      <c r="O202" s="110"/>
      <c r="P202" s="55">
        <v>1.4801800310837806E-4</v>
      </c>
      <c r="Q202" s="206">
        <v>1.4697800293956005E-4</v>
      </c>
      <c r="R202" s="55">
        <v>0</v>
      </c>
      <c r="S202" s="78">
        <v>0.99</v>
      </c>
      <c r="T202" s="95"/>
    </row>
    <row r="203" spans="1:20">
      <c r="A203" s="54">
        <v>950</v>
      </c>
      <c r="B203" s="54">
        <v>1000</v>
      </c>
      <c r="C203" s="67">
        <v>190359</v>
      </c>
      <c r="D203" s="67">
        <v>18552517680</v>
      </c>
      <c r="E203" s="55">
        <v>1.42494104571131E-2</v>
      </c>
      <c r="F203" s="88">
        <v>974.60680503679896</v>
      </c>
      <c r="G203" s="110">
        <v>0.01</v>
      </c>
      <c r="H203" s="57" t="str">
        <f t="shared" si="2"/>
        <v>(950, 1000]</v>
      </c>
      <c r="I203" s="207">
        <v>9.0286999999999989E-3</v>
      </c>
      <c r="J203" s="55">
        <v>1.2865365219413702E-4</v>
      </c>
      <c r="K203" s="55">
        <v>1.3288680999002978E-4</v>
      </c>
      <c r="L203" s="79">
        <v>132886</v>
      </c>
      <c r="M203" s="55">
        <v>1.3288600279060605E-4</v>
      </c>
      <c r="N203" s="55">
        <v>0.12951160261386371</v>
      </c>
      <c r="O203" s="110"/>
      <c r="P203" s="55">
        <v>1.3288600279060605E-4</v>
      </c>
      <c r="Q203" s="206">
        <v>1.3304700266094006E-4</v>
      </c>
      <c r="R203" s="55">
        <v>0</v>
      </c>
      <c r="S203" s="78">
        <v>1</v>
      </c>
      <c r="T203" s="95"/>
    </row>
    <row r="204" spans="1:20">
      <c r="A204" s="54">
        <v>1000</v>
      </c>
      <c r="B204" s="54">
        <v>2000</v>
      </c>
      <c r="C204" s="67">
        <v>1675743</v>
      </c>
      <c r="D204" s="67">
        <v>228628345675</v>
      </c>
      <c r="E204" s="55">
        <v>0.12543851263998065</v>
      </c>
      <c r="F204" s="88">
        <v>1364.3401504586323</v>
      </c>
      <c r="G204" s="110">
        <v>0.01</v>
      </c>
      <c r="H204" s="57" t="str">
        <f t="shared" si="2"/>
        <v>(1000, 2000]</v>
      </c>
      <c r="I204" s="207">
        <v>9.0286999999999989E-3</v>
      </c>
      <c r="J204" s="55">
        <v>1.1325466990725931E-3</v>
      </c>
      <c r="K204" s="55">
        <v>1.1698114700808603E-3</v>
      </c>
      <c r="L204" s="79">
        <v>1169811</v>
      </c>
      <c r="M204" s="55">
        <v>1.1698110245660315E-3</v>
      </c>
      <c r="N204" s="55">
        <v>1.5960201492645862</v>
      </c>
      <c r="O204" s="110"/>
      <c r="P204" s="55">
        <v>1.1698110245660315E-3</v>
      </c>
      <c r="Q204" s="206">
        <v>6.5201501304030021E-4</v>
      </c>
      <c r="R204" s="55">
        <v>0</v>
      </c>
      <c r="S204" s="78">
        <v>0.56000000000000005</v>
      </c>
      <c r="T204" s="95"/>
    </row>
    <row r="205" spans="1:20">
      <c r="A205" s="54">
        <v>2000</v>
      </c>
      <c r="B205" s="54">
        <v>3000</v>
      </c>
      <c r="C205" s="67">
        <v>395119</v>
      </c>
      <c r="D205" s="67">
        <v>95080202100</v>
      </c>
      <c r="E205" s="55">
        <v>2.9576814389674619E-2</v>
      </c>
      <c r="F205" s="88">
        <v>2406.3687673840036</v>
      </c>
      <c r="G205" s="110">
        <v>0.01</v>
      </c>
      <c r="H205" s="57" t="str">
        <f t="shared" si="2"/>
        <v>(2000, 3000]</v>
      </c>
      <c r="I205" s="207">
        <v>9.0286999999999989E-3</v>
      </c>
      <c r="J205" s="55">
        <v>2.670401840800552E-4</v>
      </c>
      <c r="K205" s="55">
        <v>2.758267456566308E-4</v>
      </c>
      <c r="L205" s="79">
        <v>275826</v>
      </c>
      <c r="M205" s="55">
        <v>2.7582600579234611E-4</v>
      </c>
      <c r="N205" s="55">
        <v>0.66373908557098094</v>
      </c>
      <c r="O205" s="110"/>
      <c r="P205" s="55">
        <v>2.7582600579234611E-4</v>
      </c>
      <c r="Q205" s="206">
        <v>6.1764001235280026E-5</v>
      </c>
      <c r="R205" s="55">
        <v>0</v>
      </c>
      <c r="S205" s="78">
        <v>0.22</v>
      </c>
      <c r="T205" s="95"/>
    </row>
    <row r="206" spans="1:20">
      <c r="A206" s="54">
        <v>3000</v>
      </c>
      <c r="B206" s="54">
        <v>4000</v>
      </c>
      <c r="C206" s="67">
        <v>149840</v>
      </c>
      <c r="D206" s="67">
        <v>51465395410</v>
      </c>
      <c r="E206" s="55">
        <v>1.1216342084660177E-2</v>
      </c>
      <c r="F206" s="88">
        <v>3434.6900300320344</v>
      </c>
      <c r="G206" s="110">
        <v>0.01</v>
      </c>
      <c r="H206" s="57" t="str">
        <f t="shared" si="2"/>
        <v>(3000, 4000]</v>
      </c>
      <c r="I206" s="207">
        <v>9.0286999999999989E-3</v>
      </c>
      <c r="J206" s="55">
        <v>1.0126898777977133E-4</v>
      </c>
      <c r="K206" s="55">
        <v>1.0460109376969863E-4</v>
      </c>
      <c r="L206" s="79">
        <v>104601</v>
      </c>
      <c r="M206" s="55">
        <v>1.0460100219662104E-4</v>
      </c>
      <c r="N206" s="55">
        <v>0.35927201937609321</v>
      </c>
      <c r="O206" s="110"/>
      <c r="P206" s="55">
        <v>1.0460100219662104E-4</v>
      </c>
      <c r="Q206" s="206">
        <v>5.8286001165720024E-5</v>
      </c>
      <c r="R206" s="55">
        <v>0</v>
      </c>
      <c r="S206" s="78">
        <v>0.56000000000000005</v>
      </c>
    </row>
    <row r="207" spans="1:20">
      <c r="A207" s="54">
        <v>4000</v>
      </c>
      <c r="B207" s="54">
        <v>5000</v>
      </c>
      <c r="C207" s="67">
        <v>75562</v>
      </c>
      <c r="D207" s="67">
        <v>33658989635</v>
      </c>
      <c r="E207" s="55">
        <v>5.6562282474712519E-3</v>
      </c>
      <c r="F207" s="88">
        <v>4454.4863337391816</v>
      </c>
      <c r="G207" s="110">
        <v>0.01</v>
      </c>
      <c r="H207" s="57" t="str">
        <f t="shared" si="2"/>
        <v>(4000, 5000]</v>
      </c>
      <c r="I207" s="207">
        <v>9.0286999999999989E-3</v>
      </c>
      <c r="J207" s="55">
        <v>5.1068387977943683E-5</v>
      </c>
      <c r="K207" s="55">
        <v>5.2748717614962418E-5</v>
      </c>
      <c r="L207" s="79">
        <v>52748</v>
      </c>
      <c r="M207" s="55">
        <v>5.2748001107708025E-5</v>
      </c>
      <c r="N207" s="55">
        <v>0.23496525006634461</v>
      </c>
      <c r="O207" s="110"/>
      <c r="P207" s="55">
        <v>5.2748001107708025E-5</v>
      </c>
      <c r="Q207" s="206">
        <v>5.9167001183340025E-5</v>
      </c>
      <c r="R207" s="55">
        <v>0</v>
      </c>
      <c r="S207" s="78">
        <v>1.1200000000000001</v>
      </c>
    </row>
    <row r="208" spans="1:20">
      <c r="A208" s="54">
        <v>5000</v>
      </c>
      <c r="B208" s="54">
        <v>6000</v>
      </c>
      <c r="C208" s="67">
        <v>47753</v>
      </c>
      <c r="D208" s="67">
        <v>26112802495</v>
      </c>
      <c r="E208" s="55">
        <v>3.5745727680777995E-3</v>
      </c>
      <c r="F208" s="88">
        <v>5468.3061786694034</v>
      </c>
      <c r="G208" s="110">
        <v>0.01</v>
      </c>
      <c r="H208" s="57" t="str">
        <f t="shared" si="2"/>
        <v>(5000, 6000]</v>
      </c>
      <c r="I208" s="207">
        <v>9.0286999999999989E-3</v>
      </c>
      <c r="J208" s="55">
        <v>3.2273745151144023E-5</v>
      </c>
      <c r="K208" s="55">
        <v>3.3335664914471564E-5</v>
      </c>
      <c r="L208" s="79">
        <v>33335</v>
      </c>
      <c r="M208" s="55">
        <v>3.3335000700035013E-5</v>
      </c>
      <c r="N208" s="55">
        <v>0.18228599029395035</v>
      </c>
      <c r="O208" s="110"/>
      <c r="P208" s="55">
        <v>3.3335000700035013E-5</v>
      </c>
      <c r="Q208" s="206">
        <v>3.7280000745600015E-5</v>
      </c>
      <c r="R208" s="55">
        <v>0</v>
      </c>
      <c r="S208" s="78">
        <v>1.1200000000000001</v>
      </c>
    </row>
    <row r="209" spans="1:19">
      <c r="A209" s="54">
        <v>6000</v>
      </c>
      <c r="B209" s="54">
        <v>7000</v>
      </c>
      <c r="C209" s="67">
        <v>34884</v>
      </c>
      <c r="D209" s="67">
        <v>22603347610</v>
      </c>
      <c r="E209" s="55">
        <v>2.6112578569226215E-3</v>
      </c>
      <c r="F209" s="88">
        <v>6479.5744782708407</v>
      </c>
      <c r="G209" s="110">
        <v>0.01</v>
      </c>
      <c r="H209" s="57" t="str">
        <f t="shared" si="2"/>
        <v>(6000, 7000]</v>
      </c>
      <c r="I209" s="207">
        <v>9.0286999999999989E-3</v>
      </c>
      <c r="J209" s="55">
        <v>2.357626381279727E-5</v>
      </c>
      <c r="K209" s="55">
        <v>2.4352005839977089E-5</v>
      </c>
      <c r="L209" s="79">
        <v>24352</v>
      </c>
      <c r="M209" s="55">
        <v>2.4352000511392012E-5</v>
      </c>
      <c r="N209" s="55">
        <v>0.15779060100845413</v>
      </c>
      <c r="O209" s="110"/>
      <c r="P209" s="55">
        <v>2.4352000511392012E-5</v>
      </c>
      <c r="Q209" s="206">
        <v>2.7142000542840009E-5</v>
      </c>
      <c r="R209" s="55">
        <v>0</v>
      </c>
      <c r="S209" s="78">
        <v>1.1100000000000001</v>
      </c>
    </row>
    <row r="210" spans="1:19">
      <c r="A210" s="54">
        <v>7000</v>
      </c>
      <c r="B210" s="54">
        <v>8000</v>
      </c>
      <c r="C210" s="67">
        <v>28669</v>
      </c>
      <c r="D210" s="67">
        <v>21454035245</v>
      </c>
      <c r="E210" s="55">
        <v>2.1460311747538885E-3</v>
      </c>
      <c r="F210" s="88">
        <v>7483.3566727126863</v>
      </c>
      <c r="G210" s="110">
        <v>0.01</v>
      </c>
      <c r="H210" s="57" t="str">
        <f t="shared" si="2"/>
        <v>(7000, 8000]</v>
      </c>
      <c r="I210" s="207">
        <v>9.0286999999999989E-3</v>
      </c>
      <c r="J210" s="55">
        <v>1.9375871667500431E-5</v>
      </c>
      <c r="K210" s="55">
        <v>2.0013406014972571E-5</v>
      </c>
      <c r="L210" s="79">
        <v>20013</v>
      </c>
      <c r="M210" s="55">
        <v>2.0013000420273008E-5</v>
      </c>
      <c r="N210" s="55">
        <v>0.1497644202360518</v>
      </c>
      <c r="O210" s="110"/>
      <c r="P210" s="55">
        <v>2.0013000420273008E-5</v>
      </c>
      <c r="Q210" s="206">
        <v>2.2299000445980009E-5</v>
      </c>
      <c r="R210" s="55">
        <v>0</v>
      </c>
      <c r="S210" s="78">
        <v>1.1100000000000001</v>
      </c>
    </row>
    <row r="211" spans="1:19">
      <c r="A211" s="54">
        <v>8000</v>
      </c>
      <c r="B211" s="54">
        <v>9000</v>
      </c>
      <c r="C211" s="67">
        <v>25766</v>
      </c>
      <c r="D211" s="67">
        <v>21873968105</v>
      </c>
      <c r="E211" s="55">
        <v>1.9287257751825556E-3</v>
      </c>
      <c r="F211" s="88">
        <v>8489.4698847318177</v>
      </c>
      <c r="G211" s="110">
        <v>0.01</v>
      </c>
      <c r="H211" s="57" t="str">
        <f t="shared" si="2"/>
        <v>(8000, 9000]</v>
      </c>
      <c r="I211" s="207">
        <v>9.0286999999999989E-3</v>
      </c>
      <c r="J211" s="55">
        <v>1.7413886406390736E-5</v>
      </c>
      <c r="K211" s="55">
        <v>1.7986864535972068E-5</v>
      </c>
      <c r="L211" s="79">
        <v>17986</v>
      </c>
      <c r="M211" s="55">
        <v>1.7986000377706008E-5</v>
      </c>
      <c r="N211" s="55">
        <v>0.15269160855331027</v>
      </c>
      <c r="O211" s="110"/>
      <c r="P211" s="55">
        <v>1.7986000377706008E-5</v>
      </c>
      <c r="Q211" s="206">
        <v>1.9632000392640006E-5</v>
      </c>
      <c r="R211" s="55">
        <v>0</v>
      </c>
      <c r="S211" s="78">
        <v>1.0900000000000001</v>
      </c>
    </row>
    <row r="212" spans="1:19">
      <c r="A212" s="54">
        <v>9000</v>
      </c>
      <c r="B212" s="54">
        <v>10000</v>
      </c>
      <c r="C212" s="67">
        <v>23648</v>
      </c>
      <c r="D212" s="67">
        <v>22458616065</v>
      </c>
      <c r="E212" s="55">
        <v>1.7701819114925512E-3</v>
      </c>
      <c r="F212" s="88">
        <v>9497.0467121955353</v>
      </c>
      <c r="G212" s="110">
        <v>0.01</v>
      </c>
      <c r="H212" s="57" t="str">
        <f t="shared" si="2"/>
        <v>(9000, 10000]</v>
      </c>
      <c r="I212" s="207">
        <v>9.0286999999999989E-3</v>
      </c>
      <c r="J212" s="55">
        <v>1.5982441424292793E-5</v>
      </c>
      <c r="K212" s="55">
        <v>1.6508319977748486E-5</v>
      </c>
      <c r="L212" s="79">
        <v>16508</v>
      </c>
      <c r="M212" s="55">
        <v>1.6508000346668009E-5</v>
      </c>
      <c r="N212" s="55">
        <v>0.15677725041724616</v>
      </c>
      <c r="O212" s="110"/>
      <c r="P212" s="55">
        <v>1.6508000346668009E-5</v>
      </c>
      <c r="Q212" s="206">
        <v>1.8191000363820006E-5</v>
      </c>
      <c r="R212" s="55">
        <v>0</v>
      </c>
      <c r="S212" s="78">
        <v>1.1000000000000001</v>
      </c>
    </row>
    <row r="213" spans="1:19">
      <c r="A213" s="54">
        <v>10000</v>
      </c>
      <c r="B213" s="54">
        <v>20000</v>
      </c>
      <c r="C213" s="67">
        <v>176438</v>
      </c>
      <c r="D213" s="67">
        <v>256342652640</v>
      </c>
      <c r="E213" s="55">
        <v>1.3207347602330969E-2</v>
      </c>
      <c r="F213" s="88">
        <v>14528.766628504065</v>
      </c>
      <c r="G213" s="110">
        <v>0.01</v>
      </c>
      <c r="H213" s="57" t="str">
        <f t="shared" si="2"/>
        <v>(10000, 20000]</v>
      </c>
      <c r="I213" s="207">
        <v>9.0286999999999989E-3</v>
      </c>
      <c r="J213" s="55">
        <v>1.192451792971656E-4</v>
      </c>
      <c r="K213" s="55">
        <v>1.2316876523316931E-4</v>
      </c>
      <c r="L213" s="79">
        <v>123168</v>
      </c>
      <c r="M213" s="55">
        <v>1.2316800258652805E-4</v>
      </c>
      <c r="N213" s="55">
        <v>1.7894791656786511</v>
      </c>
      <c r="O213" s="110"/>
      <c r="P213" s="55">
        <v>1.2316800258652805E-4</v>
      </c>
      <c r="Q213" s="206">
        <v>9.3111001862220037E-5</v>
      </c>
      <c r="R213" s="55">
        <v>0</v>
      </c>
      <c r="S213" s="78">
        <v>0.76</v>
      </c>
    </row>
    <row r="214" spans="1:19">
      <c r="A214" s="54">
        <v>20000</v>
      </c>
      <c r="B214" s="54">
        <v>30000</v>
      </c>
      <c r="C214" s="67">
        <v>92612</v>
      </c>
      <c r="D214" s="67">
        <v>225763924980</v>
      </c>
      <c r="E214" s="55">
        <v>6.9325138357217587E-3</v>
      </c>
      <c r="F214" s="88">
        <v>24377.394395974603</v>
      </c>
      <c r="G214" s="110">
        <v>0</v>
      </c>
      <c r="H214" s="57" t="str">
        <f t="shared" si="2"/>
        <v>(20000, 30000]</v>
      </c>
      <c r="I214" s="207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10"/>
      <c r="P214" s="55">
        <v>0</v>
      </c>
      <c r="Q214" s="206">
        <v>0</v>
      </c>
      <c r="R214" s="55">
        <v>0</v>
      </c>
      <c r="S214" s="78">
        <v>0</v>
      </c>
    </row>
    <row r="215" spans="1:19">
      <c r="A215" s="54">
        <v>30000</v>
      </c>
      <c r="B215" s="54">
        <v>40000</v>
      </c>
      <c r="C215" s="67">
        <v>42138</v>
      </c>
      <c r="D215" s="67">
        <v>144636428980</v>
      </c>
      <c r="E215" s="55">
        <v>3.1542593617419285E-3</v>
      </c>
      <c r="F215" s="88">
        <v>34324.464611514544</v>
      </c>
      <c r="G215" s="110">
        <v>0</v>
      </c>
      <c r="H215" s="57" t="str">
        <f t="shared" si="2"/>
        <v>(30000, 40000]</v>
      </c>
      <c r="I215" s="207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10"/>
      <c r="P215" s="55">
        <v>0</v>
      </c>
      <c r="Q215" s="206">
        <v>0</v>
      </c>
      <c r="R215" s="55">
        <v>0</v>
      </c>
      <c r="S215" s="78">
        <v>0</v>
      </c>
    </row>
    <row r="216" spans="1:19">
      <c r="A216" s="54">
        <v>40000</v>
      </c>
      <c r="B216" s="54">
        <v>50000</v>
      </c>
      <c r="C216" s="67">
        <v>18084</v>
      </c>
      <c r="D216" s="67">
        <v>80077871140</v>
      </c>
      <c r="E216" s="55">
        <v>1.3536861336024737E-3</v>
      </c>
      <c r="F216" s="88">
        <v>44281.061236452115</v>
      </c>
      <c r="G216" s="110">
        <v>0</v>
      </c>
      <c r="H216" s="57" t="str">
        <f t="shared" si="2"/>
        <v>(40000, 50000]</v>
      </c>
      <c r="I216" s="207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10"/>
      <c r="P216" s="55">
        <v>0</v>
      </c>
      <c r="Q216" s="206">
        <v>0</v>
      </c>
      <c r="R216" s="55">
        <v>0</v>
      </c>
      <c r="S216" s="78">
        <v>0</v>
      </c>
    </row>
    <row r="217" spans="1:19">
      <c r="A217" s="54">
        <v>50000</v>
      </c>
      <c r="B217" s="54">
        <v>60000</v>
      </c>
      <c r="C217" s="67">
        <v>7465</v>
      </c>
      <c r="D217" s="67">
        <v>40544821650</v>
      </c>
      <c r="E217" s="55">
        <v>5.5879600682053011E-4</v>
      </c>
      <c r="F217" s="88">
        <v>54313.223911587411</v>
      </c>
      <c r="G217" s="110">
        <v>0</v>
      </c>
      <c r="H217" s="57" t="str">
        <f t="shared" si="2"/>
        <v>(50000, 60000]</v>
      </c>
      <c r="I217" s="207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10"/>
      <c r="P217" s="55">
        <v>0</v>
      </c>
      <c r="Q217" s="206">
        <v>0</v>
      </c>
      <c r="R217" s="55">
        <v>0</v>
      </c>
      <c r="S217" s="78">
        <v>0</v>
      </c>
    </row>
    <row r="218" spans="1:19">
      <c r="A218" s="54">
        <v>60000</v>
      </c>
      <c r="B218" s="54">
        <v>70000</v>
      </c>
      <c r="C218" s="67">
        <v>3321</v>
      </c>
      <c r="D218" s="67">
        <v>21349743320</v>
      </c>
      <c r="E218" s="55">
        <v>2.4859498173489356E-4</v>
      </c>
      <c r="F218" s="88">
        <v>64287.092201144231</v>
      </c>
      <c r="G218" s="110">
        <v>0</v>
      </c>
      <c r="H218" s="57" t="str">
        <f t="shared" si="2"/>
        <v>(60000, 70000]</v>
      </c>
      <c r="I218" s="207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10"/>
      <c r="P218" s="55">
        <v>0</v>
      </c>
      <c r="Q218" s="206">
        <v>0</v>
      </c>
      <c r="R218" s="55">
        <v>0</v>
      </c>
      <c r="S218" s="78">
        <v>0</v>
      </c>
    </row>
    <row r="219" spans="1:19">
      <c r="A219" s="54">
        <v>70000</v>
      </c>
      <c r="B219" s="54">
        <v>80000</v>
      </c>
      <c r="C219" s="67">
        <v>1490</v>
      </c>
      <c r="D219" s="67">
        <v>11086317700</v>
      </c>
      <c r="E219" s="55">
        <v>1.115346349849417E-4</v>
      </c>
      <c r="F219" s="88">
        <v>74404.816778523498</v>
      </c>
      <c r="G219" s="110">
        <v>0</v>
      </c>
      <c r="H219" s="57" t="str">
        <f t="shared" si="2"/>
        <v>(70000, 80000]</v>
      </c>
      <c r="I219" s="207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10"/>
      <c r="P219" s="55">
        <v>0</v>
      </c>
      <c r="Q219" s="206">
        <v>0</v>
      </c>
      <c r="R219" s="55">
        <v>0</v>
      </c>
      <c r="S219" s="78">
        <v>0</v>
      </c>
    </row>
    <row r="220" spans="1:19">
      <c r="A220" s="54">
        <v>80000</v>
      </c>
      <c r="B220" s="54">
        <v>90000</v>
      </c>
      <c r="C220" s="67">
        <v>697</v>
      </c>
      <c r="D220" s="67">
        <v>5908910380</v>
      </c>
      <c r="E220" s="55">
        <v>5.2174255425841853E-5</v>
      </c>
      <c r="F220" s="88">
        <v>84776.332568149213</v>
      </c>
      <c r="G220" s="110">
        <v>0</v>
      </c>
      <c r="H220" s="57" t="str">
        <f t="shared" si="2"/>
        <v>(80000, 90000]</v>
      </c>
      <c r="I220" s="207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10"/>
      <c r="P220" s="55">
        <v>0</v>
      </c>
      <c r="Q220" s="206">
        <v>0</v>
      </c>
      <c r="R220" s="55">
        <v>0</v>
      </c>
      <c r="S220" s="78">
        <v>0</v>
      </c>
    </row>
    <row r="221" spans="1:19">
      <c r="A221" s="54">
        <v>90000</v>
      </c>
      <c r="B221" s="54">
        <v>100000</v>
      </c>
      <c r="C221" s="67">
        <v>338</v>
      </c>
      <c r="D221" s="67">
        <v>3186599640</v>
      </c>
      <c r="E221" s="55">
        <v>2.5301145385845836E-5</v>
      </c>
      <c r="F221" s="88">
        <v>94278.09585798817</v>
      </c>
      <c r="G221" s="110">
        <v>0</v>
      </c>
      <c r="H221" s="57" t="str">
        <f t="shared" si="2"/>
        <v>(90000, 100000]</v>
      </c>
      <c r="I221" s="207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10"/>
      <c r="P221" s="55">
        <v>0</v>
      </c>
      <c r="Q221" s="206">
        <v>0</v>
      </c>
      <c r="R221" s="55">
        <v>0</v>
      </c>
      <c r="S221" s="78">
        <v>0</v>
      </c>
    </row>
    <row r="222" spans="1:19">
      <c r="A222" s="54">
        <v>100000</v>
      </c>
      <c r="B222" s="54">
        <v>9999999</v>
      </c>
      <c r="C222" s="67">
        <v>482</v>
      </c>
      <c r="D222" s="67">
        <v>5787682590</v>
      </c>
      <c r="E222" s="55">
        <v>3.6080331585732816E-5</v>
      </c>
      <c r="F222" s="88">
        <v>120076.40228215767</v>
      </c>
      <c r="G222" s="110">
        <v>0</v>
      </c>
      <c r="H222" s="57" t="str">
        <f t="shared" si="2"/>
        <v>(100000, 9999999]</v>
      </c>
      <c r="I222" s="207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10"/>
      <c r="P222" s="55">
        <v>0</v>
      </c>
      <c r="Q222" s="206">
        <v>0</v>
      </c>
      <c r="R222" s="55">
        <v>0</v>
      </c>
      <c r="S222" s="78">
        <v>0</v>
      </c>
    </row>
    <row r="225" spans="1:20" s="166" customFormat="1">
      <c r="A225" s="222" t="s">
        <v>49</v>
      </c>
      <c r="B225" s="222"/>
      <c r="C225" s="222"/>
      <c r="D225" s="222"/>
      <c r="E225" s="161"/>
      <c r="F225" s="161"/>
      <c r="G225" s="162"/>
      <c r="H225" s="163"/>
      <c r="I225" s="164"/>
      <c r="J225" s="165"/>
      <c r="K225" s="165"/>
      <c r="L225" s="165"/>
      <c r="M225" s="165"/>
      <c r="N225" s="165"/>
      <c r="O225" s="162"/>
    </row>
    <row r="226" spans="1:20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0">
      <c r="A227" s="65" t="s">
        <v>69</v>
      </c>
      <c r="B227" s="195">
        <v>10000000</v>
      </c>
      <c r="C227" s="1"/>
      <c r="D227" s="1"/>
      <c r="E227" s="1"/>
      <c r="F227" s="1"/>
      <c r="H227" s="65" t="s">
        <v>70</v>
      </c>
      <c r="I227" s="48"/>
      <c r="J227" s="48"/>
      <c r="K227" s="48"/>
      <c r="M227" s="48"/>
      <c r="N227" s="48"/>
    </row>
    <row r="228" spans="1:20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81" t="s">
        <v>305</v>
      </c>
      <c r="Q228" s="182" t="s">
        <v>305</v>
      </c>
      <c r="R228" s="81" t="s">
        <v>303</v>
      </c>
      <c r="S228" s="81" t="s">
        <v>74</v>
      </c>
    </row>
    <row r="229" spans="1:20">
      <c r="A229" s="60">
        <v>-1</v>
      </c>
      <c r="B229" s="60">
        <v>0</v>
      </c>
      <c r="C229" s="91" cm="1">
        <f t="array" ref="C229:D292">C159:D222</f>
        <v>0</v>
      </c>
      <c r="D229" s="91">
        <v>0</v>
      </c>
      <c r="E229" s="55" cm="1">
        <f t="array" ref="E229:E292">_xlfn.LET(_xlpm.x, C229:C292, _xlpm.x/SUM(_xlpm.x))</f>
        <v>0</v>
      </c>
      <c r="F229" s="87" cm="1">
        <f t="array" ref="F229:F292">_xlfn.LET(_xlpm.x, D229:D292/C229:C292/B3, IF(ISERR(_xlpm.x), 0, _xlpm.x))</f>
        <v>0</v>
      </c>
      <c r="G229" s="47">
        <v>9.9999999999999995E-7</v>
      </c>
      <c r="H229" s="57" t="str">
        <f>"("&amp;$A229&amp;", "&amp;$B229&amp;"]"</f>
        <v>(-1, 0]</v>
      </c>
      <c r="I229" s="207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8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10"/>
      <c r="P229" s="55" cm="1">
        <f t="array" ref="P229:P292">_xlfn.ANCHORARRAY(M229)</f>
        <v>0</v>
      </c>
      <c r="Q229" s="206">
        <v>0</v>
      </c>
      <c r="R229" s="55">
        <v>0</v>
      </c>
      <c r="S229" s="78" cm="1">
        <f t="array" ref="S229:S292">_xlfn.LET(_xlpm.x, Q229:Q292/M229:M292, IF(ISERR(_xlpm.x), 0, ROUND(_xlpm.x,2)))</f>
        <v>0</v>
      </c>
    </row>
    <row r="230" spans="1:20">
      <c r="A230" s="54">
        <v>0</v>
      </c>
      <c r="B230" s="54">
        <v>1</v>
      </c>
      <c r="C230" s="89">
        <v>8464</v>
      </c>
      <c r="D230" s="89">
        <v>508835</v>
      </c>
      <c r="E230" s="55">
        <v>6.3357661108224606E-4</v>
      </c>
      <c r="F230" s="88">
        <v>0.60117556710775044</v>
      </c>
      <c r="G230" s="47">
        <v>-47450</v>
      </c>
      <c r="H230" s="57" t="str">
        <f t="shared" ref="H230:H292" si="3">"("&amp;$A230&amp;", "&amp;$B230&amp;"]"</f>
        <v>(0, 1]</v>
      </c>
      <c r="I230" s="207">
        <v>0</v>
      </c>
      <c r="J230" s="55">
        <v>0</v>
      </c>
      <c r="K230" s="55">
        <v>0</v>
      </c>
      <c r="L230" s="108">
        <v>0</v>
      </c>
      <c r="M230" s="55">
        <v>0</v>
      </c>
      <c r="N230" s="55">
        <v>0</v>
      </c>
      <c r="O230" s="110"/>
      <c r="P230" s="55">
        <v>0</v>
      </c>
      <c r="Q230" s="206">
        <v>0</v>
      </c>
      <c r="R230" s="55">
        <v>0</v>
      </c>
      <c r="S230" s="78">
        <v>0</v>
      </c>
    </row>
    <row r="231" spans="1:20">
      <c r="A231" s="54">
        <v>1</v>
      </c>
      <c r="B231" s="54">
        <v>2</v>
      </c>
      <c r="C231" s="89">
        <v>8182</v>
      </c>
      <c r="D231" s="89">
        <v>1288395</v>
      </c>
      <c r="E231" s="55">
        <v>6.1246737144080065E-4</v>
      </c>
      <c r="F231" s="88">
        <v>1.5746700073331703</v>
      </c>
      <c r="G231" s="85">
        <f>1+G230*G229</f>
        <v>0.95255000000000001</v>
      </c>
      <c r="H231" s="57" t="str">
        <f t="shared" si="3"/>
        <v>(1, 2]</v>
      </c>
      <c r="I231" s="207">
        <v>0</v>
      </c>
      <c r="J231" s="55">
        <v>0</v>
      </c>
      <c r="K231" s="55">
        <v>0</v>
      </c>
      <c r="L231" s="108">
        <v>0</v>
      </c>
      <c r="M231" s="55">
        <v>0</v>
      </c>
      <c r="N231" s="55">
        <v>0</v>
      </c>
      <c r="O231" s="110"/>
      <c r="P231" s="55">
        <v>0</v>
      </c>
      <c r="Q231" s="206">
        <v>0</v>
      </c>
      <c r="R231" s="55">
        <v>0</v>
      </c>
      <c r="S231" s="78">
        <v>0</v>
      </c>
    </row>
    <row r="232" spans="1:20" ht="16.2" customHeight="1">
      <c r="A232" s="54">
        <v>2</v>
      </c>
      <c r="B232" s="54">
        <v>3</v>
      </c>
      <c r="C232" s="89">
        <v>8513</v>
      </c>
      <c r="D232" s="89">
        <v>2203325</v>
      </c>
      <c r="E232" s="55">
        <v>6.3724452860859648E-4</v>
      </c>
      <c r="F232" s="88">
        <v>2.5881886526488898</v>
      </c>
      <c r="G232" s="110"/>
      <c r="H232" s="57" t="str">
        <f t="shared" si="3"/>
        <v>(2, 3]</v>
      </c>
      <c r="I232" s="207">
        <v>0</v>
      </c>
      <c r="J232" s="55">
        <v>0</v>
      </c>
      <c r="K232" s="55">
        <v>0</v>
      </c>
      <c r="L232" s="108">
        <v>0</v>
      </c>
      <c r="M232" s="55">
        <v>0</v>
      </c>
      <c r="N232" s="55">
        <v>0</v>
      </c>
      <c r="O232" s="110"/>
      <c r="P232" s="55">
        <v>0</v>
      </c>
      <c r="Q232" s="206">
        <v>0</v>
      </c>
      <c r="R232" s="55">
        <v>0</v>
      </c>
      <c r="S232" s="78">
        <v>0</v>
      </c>
    </row>
    <row r="233" spans="1:20">
      <c r="A233" s="54">
        <v>3</v>
      </c>
      <c r="B233" s="54">
        <v>4</v>
      </c>
      <c r="C233" s="89">
        <v>8154</v>
      </c>
      <c r="D233" s="89">
        <v>2921075</v>
      </c>
      <c r="E233" s="55">
        <v>6.1037141856860042E-4</v>
      </c>
      <c r="F233" s="88">
        <v>3.5823828795683101</v>
      </c>
      <c r="G233" s="110"/>
      <c r="H233" s="57" t="str">
        <f t="shared" si="3"/>
        <v>(3, 4]</v>
      </c>
      <c r="I233" s="207">
        <v>0</v>
      </c>
      <c r="J233" s="55">
        <v>0</v>
      </c>
      <c r="K233" s="55">
        <v>0</v>
      </c>
      <c r="L233" s="108">
        <v>0</v>
      </c>
      <c r="M233" s="55">
        <v>0</v>
      </c>
      <c r="N233" s="55">
        <v>0</v>
      </c>
      <c r="O233" s="110"/>
      <c r="P233" s="55">
        <v>0</v>
      </c>
      <c r="Q233" s="206">
        <v>0</v>
      </c>
      <c r="R233" s="55">
        <v>3.614457831325301E-2</v>
      </c>
      <c r="S233" s="78">
        <v>0</v>
      </c>
    </row>
    <row r="234" spans="1:20">
      <c r="A234" s="54">
        <v>4</v>
      </c>
      <c r="B234" s="54">
        <v>5</v>
      </c>
      <c r="C234" s="89">
        <v>8684</v>
      </c>
      <c r="D234" s="89">
        <v>3971090</v>
      </c>
      <c r="E234" s="55">
        <v>6.5004481222096227E-4</v>
      </c>
      <c r="F234" s="88">
        <v>4.5728811607554123</v>
      </c>
      <c r="G234" s="110"/>
      <c r="H234" s="57" t="str">
        <f t="shared" si="3"/>
        <v>(4, 5]</v>
      </c>
      <c r="I234" s="207">
        <v>0</v>
      </c>
      <c r="J234" s="55">
        <v>0</v>
      </c>
      <c r="K234" s="55">
        <v>0</v>
      </c>
      <c r="L234" s="108">
        <v>0</v>
      </c>
      <c r="M234" s="55">
        <v>0</v>
      </c>
      <c r="N234" s="55">
        <v>0</v>
      </c>
      <c r="O234" s="110"/>
      <c r="P234" s="55">
        <v>0</v>
      </c>
      <c r="Q234" s="206">
        <v>0</v>
      </c>
      <c r="R234" s="55">
        <v>0</v>
      </c>
      <c r="S234" s="78">
        <v>0</v>
      </c>
    </row>
    <row r="235" spans="1:20">
      <c r="A235" s="54">
        <v>5</v>
      </c>
      <c r="B235" s="54">
        <v>6</v>
      </c>
      <c r="C235" s="89">
        <v>9017</v>
      </c>
      <c r="D235" s="89">
        <v>5025145</v>
      </c>
      <c r="E235" s="55">
        <v>6.7497168030820085E-4</v>
      </c>
      <c r="F235" s="88">
        <v>5.5729677276255964</v>
      </c>
      <c r="G235" s="110"/>
      <c r="H235" s="57" t="str">
        <f t="shared" si="3"/>
        <v>(5, 6]</v>
      </c>
      <c r="I235" s="207">
        <v>0</v>
      </c>
      <c r="J235" s="55">
        <v>0</v>
      </c>
      <c r="K235" s="55">
        <v>0</v>
      </c>
      <c r="L235" s="108">
        <v>0</v>
      </c>
      <c r="M235" s="55">
        <v>0</v>
      </c>
      <c r="N235" s="55">
        <v>0</v>
      </c>
      <c r="O235" s="110"/>
      <c r="P235" s="55">
        <v>0</v>
      </c>
      <c r="Q235" s="206">
        <v>0</v>
      </c>
      <c r="R235" s="55">
        <v>0</v>
      </c>
      <c r="S235" s="78">
        <v>0</v>
      </c>
    </row>
    <row r="236" spans="1:20">
      <c r="A236" s="54">
        <v>6</v>
      </c>
      <c r="B236" s="54">
        <v>7</v>
      </c>
      <c r="C236" s="89">
        <v>9018</v>
      </c>
      <c r="D236" s="89">
        <v>5915710</v>
      </c>
      <c r="E236" s="55">
        <v>6.7504653576792232E-4</v>
      </c>
      <c r="F236" s="88">
        <v>6.5598913284542029</v>
      </c>
      <c r="G236" s="110"/>
      <c r="H236" s="57" t="str">
        <f t="shared" si="3"/>
        <v>(6, 7]</v>
      </c>
      <c r="I236" s="207">
        <v>0</v>
      </c>
      <c r="J236" s="55">
        <v>0</v>
      </c>
      <c r="K236" s="55">
        <v>0</v>
      </c>
      <c r="L236" s="108">
        <v>0</v>
      </c>
      <c r="M236" s="55">
        <v>0</v>
      </c>
      <c r="N236" s="55">
        <v>0</v>
      </c>
      <c r="O236" s="110"/>
      <c r="P236" s="55">
        <v>0</v>
      </c>
      <c r="Q236" s="206">
        <v>0</v>
      </c>
      <c r="R236" s="55">
        <v>1.2048192771084338E-2</v>
      </c>
      <c r="S236" s="78">
        <v>0</v>
      </c>
    </row>
    <row r="237" spans="1:20">
      <c r="A237" s="54">
        <v>7</v>
      </c>
      <c r="B237" s="54">
        <v>8</v>
      </c>
      <c r="C237" s="89">
        <v>9158</v>
      </c>
      <c r="D237" s="89">
        <v>6924705</v>
      </c>
      <c r="E237" s="55">
        <v>6.8552630012892355E-4</v>
      </c>
      <c r="F237" s="88">
        <v>7.5613725704302253</v>
      </c>
      <c r="G237" s="110"/>
      <c r="H237" s="57" t="str">
        <f t="shared" si="3"/>
        <v>(7, 8]</v>
      </c>
      <c r="I237" s="207">
        <v>0</v>
      </c>
      <c r="J237" s="55">
        <v>0</v>
      </c>
      <c r="K237" s="55">
        <v>0</v>
      </c>
      <c r="L237" s="108">
        <v>0</v>
      </c>
      <c r="M237" s="55">
        <v>0</v>
      </c>
      <c r="N237" s="55">
        <v>0</v>
      </c>
      <c r="O237" s="110"/>
      <c r="P237" s="55">
        <v>0</v>
      </c>
      <c r="Q237" s="206">
        <v>0</v>
      </c>
      <c r="R237" s="55">
        <v>3.614457831325301E-2</v>
      </c>
      <c r="S237" s="78">
        <v>0</v>
      </c>
    </row>
    <row r="238" spans="1:20">
      <c r="A238" s="54">
        <v>8</v>
      </c>
      <c r="B238" s="54">
        <v>9</v>
      </c>
      <c r="C238" s="89">
        <v>9305</v>
      </c>
      <c r="D238" s="89">
        <v>7962655</v>
      </c>
      <c r="E238" s="55">
        <v>6.9653005270797481E-4</v>
      </c>
      <c r="F238" s="88">
        <v>8.5573938742611499</v>
      </c>
      <c r="G238" s="110"/>
      <c r="H238" s="57" t="str">
        <f t="shared" si="3"/>
        <v>(8, 9]</v>
      </c>
      <c r="I238" s="207">
        <v>0</v>
      </c>
      <c r="J238" s="55">
        <v>0</v>
      </c>
      <c r="K238" s="55">
        <v>0</v>
      </c>
      <c r="L238" s="108">
        <v>0</v>
      </c>
      <c r="M238" s="55">
        <v>0</v>
      </c>
      <c r="N238" s="55">
        <v>0</v>
      </c>
      <c r="O238" s="110"/>
      <c r="P238" s="55">
        <v>0</v>
      </c>
      <c r="Q238" s="206">
        <v>0</v>
      </c>
      <c r="R238" s="55">
        <v>2.4096385542168676E-2</v>
      </c>
      <c r="S238" s="78">
        <v>0</v>
      </c>
    </row>
    <row r="239" spans="1:20">
      <c r="A239" s="54">
        <v>9</v>
      </c>
      <c r="B239" s="54">
        <v>10</v>
      </c>
      <c r="C239" s="89">
        <v>9412</v>
      </c>
      <c r="D239" s="89">
        <v>8996740</v>
      </c>
      <c r="E239" s="55">
        <v>7.0453958689816864E-4</v>
      </c>
      <c r="F239" s="88">
        <v>9.5587972800679992</v>
      </c>
      <c r="G239" s="110"/>
      <c r="H239" s="57" t="str">
        <f t="shared" si="3"/>
        <v>(9, 10]</v>
      </c>
      <c r="I239" s="207">
        <v>0</v>
      </c>
      <c r="J239" s="55">
        <v>0</v>
      </c>
      <c r="K239" s="55">
        <v>0</v>
      </c>
      <c r="L239" s="108">
        <v>0</v>
      </c>
      <c r="M239" s="55">
        <v>0</v>
      </c>
      <c r="N239" s="55">
        <v>0</v>
      </c>
      <c r="O239" s="110"/>
      <c r="P239" s="55">
        <v>0</v>
      </c>
      <c r="Q239" s="206">
        <v>0</v>
      </c>
      <c r="R239" s="55">
        <v>1.2048192771084338E-2</v>
      </c>
      <c r="S239" s="78">
        <v>0</v>
      </c>
    </row>
    <row r="240" spans="1:20">
      <c r="A240" s="54">
        <v>10</v>
      </c>
      <c r="B240" s="54">
        <v>15</v>
      </c>
      <c r="C240" s="89">
        <v>49247</v>
      </c>
      <c r="D240" s="89">
        <v>61922385</v>
      </c>
      <c r="E240" s="55">
        <v>3.6864068249016268E-3</v>
      </c>
      <c r="F240" s="88">
        <v>12.573839015574555</v>
      </c>
      <c r="G240" s="110"/>
      <c r="H240" s="57" t="str">
        <f t="shared" si="3"/>
        <v>(10, 15]</v>
      </c>
      <c r="I240" s="207">
        <v>33.07</v>
      </c>
      <c r="J240" s="55">
        <v>0.1219094736994968</v>
      </c>
      <c r="K240" s="55">
        <v>0.12422768551587982</v>
      </c>
      <c r="L240" s="108">
        <v>124227685</v>
      </c>
      <c r="M240" s="55">
        <v>0.12422768773300913</v>
      </c>
      <c r="N240" s="55">
        <v>1.5620189468319228</v>
      </c>
      <c r="O240" s="110"/>
      <c r="P240" s="55">
        <v>0.12422768773300913</v>
      </c>
      <c r="Q240" s="206">
        <v>0.12191531431639097</v>
      </c>
      <c r="R240" s="55">
        <v>7.2289156626506021E-2</v>
      </c>
      <c r="S240" s="78">
        <v>0.98</v>
      </c>
      <c r="T240" s="96"/>
    </row>
    <row r="241" spans="1:20">
      <c r="A241" s="54">
        <v>15</v>
      </c>
      <c r="B241" s="54">
        <v>20</v>
      </c>
      <c r="C241" s="89">
        <v>52199</v>
      </c>
      <c r="D241" s="89">
        <v>91715625</v>
      </c>
      <c r="E241" s="55">
        <v>3.9073801419993101E-3</v>
      </c>
      <c r="F241" s="88">
        <v>17.570379700760551</v>
      </c>
      <c r="G241" s="110"/>
      <c r="H241" s="105" t="str">
        <f t="shared" si="3"/>
        <v>(15, 20]</v>
      </c>
      <c r="I241" s="207">
        <v>30.94</v>
      </c>
      <c r="J241" s="55">
        <v>0.12089434159345866</v>
      </c>
      <c r="K241" s="55">
        <v>0.1231932498137224</v>
      </c>
      <c r="L241" s="108">
        <v>123193249</v>
      </c>
      <c r="M241" s="55">
        <v>0.12319325171025154</v>
      </c>
      <c r="N241" s="55">
        <v>2.1645522091204885</v>
      </c>
      <c r="O241" s="110"/>
      <c r="P241" s="55">
        <v>0.12319325171025154</v>
      </c>
      <c r="Q241" s="206">
        <v>0.12091058729730116</v>
      </c>
      <c r="R241" s="55">
        <v>7.2289156626506021E-2</v>
      </c>
      <c r="S241" s="78">
        <v>0.98</v>
      </c>
      <c r="T241" s="96"/>
    </row>
    <row r="242" spans="1:20">
      <c r="A242" s="54">
        <v>20</v>
      </c>
      <c r="B242" s="54">
        <v>25</v>
      </c>
      <c r="C242" s="89">
        <v>54803</v>
      </c>
      <c r="D242" s="89">
        <v>123642355</v>
      </c>
      <c r="E242" s="55">
        <v>4.102303759113933E-3</v>
      </c>
      <c r="F242" s="88">
        <v>22.561238435852051</v>
      </c>
      <c r="G242" s="110"/>
      <c r="H242" s="57" t="str">
        <f t="shared" si="3"/>
        <v>(20, 25]</v>
      </c>
      <c r="I242" s="207">
        <v>29.62</v>
      </c>
      <c r="J242" s="55">
        <v>0.1215102373449547</v>
      </c>
      <c r="K242" s="55">
        <v>0.12382085734417582</v>
      </c>
      <c r="L242" s="108">
        <v>123820857</v>
      </c>
      <c r="M242" s="55">
        <v>0.12382085972405892</v>
      </c>
      <c r="N242" s="55">
        <v>2.793551939566683</v>
      </c>
      <c r="O242" s="110"/>
      <c r="P242" s="55">
        <v>0.12382085972405892</v>
      </c>
      <c r="Q242" s="206">
        <v>0.121521263308904</v>
      </c>
      <c r="R242" s="55">
        <v>7.2289156626506021E-2</v>
      </c>
      <c r="S242" s="78">
        <v>0.98</v>
      </c>
      <c r="T242" s="96"/>
    </row>
    <row r="243" spans="1:20">
      <c r="A243" s="54">
        <v>25</v>
      </c>
      <c r="B243" s="54">
        <v>30</v>
      </c>
      <c r="C243" s="89">
        <v>57087</v>
      </c>
      <c r="D243" s="89">
        <v>157303165</v>
      </c>
      <c r="E243" s="55">
        <v>4.2732736291176956E-3</v>
      </c>
      <c r="F243" s="88">
        <v>27.554988876626904</v>
      </c>
      <c r="G243" s="110"/>
      <c r="H243" s="57" t="str">
        <f t="shared" si="3"/>
        <v>(25, 30]</v>
      </c>
      <c r="I243" s="207">
        <v>28.35</v>
      </c>
      <c r="J243" s="55">
        <v>0.12114730738548668</v>
      </c>
      <c r="K243" s="55">
        <v>0.12345102596437493</v>
      </c>
      <c r="L243" s="108">
        <v>123451025</v>
      </c>
      <c r="M243" s="55">
        <v>0.1234510277159226</v>
      </c>
      <c r="N243" s="55">
        <v>3.4016916955204071</v>
      </c>
      <c r="O243" s="110"/>
      <c r="P243" s="55">
        <v>0.1234510277159226</v>
      </c>
      <c r="Q243" s="206">
        <v>0.12114459730174734</v>
      </c>
      <c r="R243" s="55">
        <v>8.4337349397590355E-2</v>
      </c>
      <c r="S243" s="78">
        <v>0.98</v>
      </c>
      <c r="T243" s="96"/>
    </row>
    <row r="244" spans="1:20">
      <c r="A244" s="54">
        <v>30</v>
      </c>
      <c r="B244" s="54">
        <v>35</v>
      </c>
      <c r="C244" s="89">
        <v>59408</v>
      </c>
      <c r="D244" s="89">
        <v>193424490</v>
      </c>
      <c r="E244" s="55">
        <v>4.4470131511311524E-3</v>
      </c>
      <c r="F244" s="88">
        <v>32.558660449771075</v>
      </c>
      <c r="G244" s="110"/>
      <c r="H244" s="57" t="str">
        <f t="shared" si="3"/>
        <v>(30, 35]</v>
      </c>
      <c r="I244" s="207">
        <v>7.21</v>
      </c>
      <c r="J244" s="55">
        <v>3.2062964819655607E-2</v>
      </c>
      <c r="K244" s="55">
        <v>3.2672669231114365E-2</v>
      </c>
      <c r="L244" s="108">
        <v>32672669</v>
      </c>
      <c r="M244" s="55">
        <v>3.2672669718798737E-2</v>
      </c>
      <c r="N244" s="55">
        <v>1.0637783593618855</v>
      </c>
      <c r="O244" s="110"/>
      <c r="P244" s="55">
        <v>3.2672669718798737E-2</v>
      </c>
      <c r="Q244" s="206">
        <v>3.2069605609322503E-2</v>
      </c>
      <c r="R244" s="55">
        <v>3.614457831325301E-2</v>
      </c>
      <c r="S244" s="78">
        <v>0.98</v>
      </c>
      <c r="T244" s="96"/>
    </row>
    <row r="245" spans="1:20">
      <c r="A245" s="54">
        <v>35</v>
      </c>
      <c r="B245" s="54">
        <v>40</v>
      </c>
      <c r="C245" s="89">
        <v>61926</v>
      </c>
      <c r="D245" s="89">
        <v>232561690</v>
      </c>
      <c r="E245" s="55">
        <v>4.6354991987097314E-3</v>
      </c>
      <c r="F245" s="88">
        <v>37.554773439266221</v>
      </c>
      <c r="G245" s="110"/>
      <c r="H245" s="105" t="str">
        <f t="shared" si="3"/>
        <v>(35, 40]</v>
      </c>
      <c r="I245" s="207">
        <v>5.64</v>
      </c>
      <c r="J245" s="55">
        <v>2.6144215480722884E-2</v>
      </c>
      <c r="K245" s="55">
        <v>2.6641369864367194E-2</v>
      </c>
      <c r="L245" s="108">
        <v>26641369</v>
      </c>
      <c r="M245" s="55">
        <v>2.6641369586110131E-2</v>
      </c>
      <c r="N245" s="55">
        <v>1.0005105989181236</v>
      </c>
      <c r="O245" s="110"/>
      <c r="P245" s="55">
        <v>2.6641369586110131E-2</v>
      </c>
      <c r="Q245" s="206">
        <v>2.6163045497097866E-2</v>
      </c>
      <c r="R245" s="55">
        <v>2.4096385542168676E-2</v>
      </c>
      <c r="S245" s="78">
        <v>0.98</v>
      </c>
      <c r="T245" s="96"/>
    </row>
    <row r="246" spans="1:20">
      <c r="A246" s="54">
        <v>40</v>
      </c>
      <c r="B246" s="54">
        <v>45</v>
      </c>
      <c r="C246" s="89">
        <v>64488</v>
      </c>
      <c r="D246" s="89">
        <v>274427415</v>
      </c>
      <c r="E246" s="55">
        <v>4.8272788865160541E-3</v>
      </c>
      <c r="F246" s="88">
        <v>42.554803219203578</v>
      </c>
      <c r="G246" s="110"/>
      <c r="H246" s="57" t="str">
        <f t="shared" si="3"/>
        <v>(40, 45]</v>
      </c>
      <c r="I246" s="207">
        <v>5.35</v>
      </c>
      <c r="J246" s="55">
        <v>2.5825942042860886E-2</v>
      </c>
      <c r="K246" s="55">
        <v>2.6317044187724219E-2</v>
      </c>
      <c r="L246" s="108">
        <v>26317044</v>
      </c>
      <c r="M246" s="55">
        <v>2.631704457897498E-2</v>
      </c>
      <c r="N246" s="55">
        <v>1.1199166533692886</v>
      </c>
      <c r="O246" s="110"/>
      <c r="P246" s="55">
        <v>2.631704457897498E-2</v>
      </c>
      <c r="Q246" s="206">
        <v>2.5833983490845685E-2</v>
      </c>
      <c r="R246" s="55">
        <v>3.614457831325301E-2</v>
      </c>
      <c r="S246" s="78">
        <v>0.98</v>
      </c>
      <c r="T246" s="96"/>
    </row>
    <row r="247" spans="1:20">
      <c r="A247" s="54">
        <v>45</v>
      </c>
      <c r="B247" s="54">
        <v>50</v>
      </c>
      <c r="C247" s="89">
        <v>66483</v>
      </c>
      <c r="D247" s="89">
        <v>316159655</v>
      </c>
      <c r="E247" s="55">
        <v>4.9766155286603215E-3</v>
      </c>
      <c r="F247" s="88">
        <v>47.554962170780499</v>
      </c>
      <c r="G247" s="110"/>
      <c r="H247" s="57" t="str">
        <f t="shared" si="3"/>
        <v>(45, 50]</v>
      </c>
      <c r="I247" s="207">
        <v>4.75</v>
      </c>
      <c r="J247" s="55">
        <v>2.3638923761136528E-2</v>
      </c>
      <c r="K247" s="55">
        <v>2.4088437902463431E-2</v>
      </c>
      <c r="L247" s="108">
        <v>24088437</v>
      </c>
      <c r="M247" s="55">
        <v>2.4088437529945626E-2</v>
      </c>
      <c r="N247" s="55">
        <v>1.1455247354897735</v>
      </c>
      <c r="O247" s="110"/>
      <c r="P247" s="55">
        <v>2.4088437529945626E-2</v>
      </c>
      <c r="Q247" s="206">
        <v>2.3657307449488841E-2</v>
      </c>
      <c r="R247" s="55">
        <v>2.4096385542168676E-2</v>
      </c>
      <c r="S247" s="78">
        <v>0.98</v>
      </c>
      <c r="T247" s="96"/>
    </row>
    <row r="248" spans="1:20">
      <c r="A248" s="54">
        <v>50</v>
      </c>
      <c r="B248" s="54">
        <v>60</v>
      </c>
      <c r="C248" s="89">
        <v>139846</v>
      </c>
      <c r="D248" s="89">
        <v>770486615</v>
      </c>
      <c r="E248" s="55">
        <v>1.0468236620204132E-2</v>
      </c>
      <c r="F248" s="88">
        <v>55.095363113710803</v>
      </c>
      <c r="G248" s="110">
        <v>1.91</v>
      </c>
      <c r="H248" s="105" t="str">
        <f t="shared" si="3"/>
        <v>(50, 60]</v>
      </c>
      <c r="I248" s="207" cm="1">
        <f t="array" ref="I248:I292">G248:G292*G231</f>
        <v>1.8193705</v>
      </c>
      <c r="J248" s="55">
        <v>1.9045600893819101E-2</v>
      </c>
      <c r="K248" s="55">
        <v>1.9407769113419484E-2</v>
      </c>
      <c r="L248" s="108">
        <v>19407769</v>
      </c>
      <c r="M248" s="55">
        <v>1.9407769426970926E-2</v>
      </c>
      <c r="N248" s="55">
        <v>1.0692781038061383</v>
      </c>
      <c r="O248" s="110"/>
      <c r="P248" s="55">
        <v>1.9407769426970926E-2</v>
      </c>
      <c r="Q248" s="206">
        <v>1.9965948379353018E-2</v>
      </c>
      <c r="R248" s="55">
        <v>2.4096385542168676E-2</v>
      </c>
      <c r="S248" s="78">
        <v>1.03</v>
      </c>
      <c r="T248" s="96"/>
    </row>
    <row r="249" spans="1:20">
      <c r="A249" s="54">
        <v>60</v>
      </c>
      <c r="B249" s="54">
        <v>70</v>
      </c>
      <c r="C249" s="89">
        <v>146816</v>
      </c>
      <c r="D249" s="89">
        <v>955319985</v>
      </c>
      <c r="E249" s="55">
        <v>1.0989979174462551E-2</v>
      </c>
      <c r="F249" s="88">
        <v>65.069201245095897</v>
      </c>
      <c r="G249" s="110">
        <v>5.94</v>
      </c>
      <c r="H249" s="57" t="str">
        <f t="shared" si="3"/>
        <v>(60, 70]</v>
      </c>
      <c r="I249" s="207">
        <v>5.6581470000000005</v>
      </c>
      <c r="J249" s="55">
        <v>6.2182917696047765E-2</v>
      </c>
      <c r="K249" s="55">
        <v>6.3365378502461253E-2</v>
      </c>
      <c r="L249" s="108">
        <v>63365378</v>
      </c>
      <c r="M249" s="55">
        <v>6.3365379394038343E-2</v>
      </c>
      <c r="N249" s="55">
        <v>4.1231346237625335</v>
      </c>
      <c r="O249" s="110"/>
      <c r="P249" s="55">
        <v>6.3365379394038343E-2</v>
      </c>
      <c r="Q249" s="206">
        <v>6.533174024130306E-2</v>
      </c>
      <c r="R249" s="55">
        <v>6.0240963855421686E-2</v>
      </c>
      <c r="S249" s="78">
        <v>1.03</v>
      </c>
      <c r="T249" s="96"/>
    </row>
    <row r="250" spans="1:20">
      <c r="A250" s="54">
        <v>70</v>
      </c>
      <c r="B250" s="54">
        <v>80</v>
      </c>
      <c r="C250" s="89">
        <v>154465</v>
      </c>
      <c r="D250" s="89">
        <v>1159515525</v>
      </c>
      <c r="E250" s="55">
        <v>1.1562548585871826E-2</v>
      </c>
      <c r="F250" s="88">
        <v>75.066553911889429</v>
      </c>
      <c r="G250" s="110">
        <v>5.07</v>
      </c>
      <c r="H250" s="57" t="str">
        <f t="shared" si="3"/>
        <v>(70, 80]</v>
      </c>
      <c r="I250" s="207">
        <v>4.8294285000000006</v>
      </c>
      <c r="J250" s="55">
        <v>5.58405016732441E-2</v>
      </c>
      <c r="K250" s="55">
        <v>5.6902356071293264E-2</v>
      </c>
      <c r="L250" s="108">
        <v>56902356</v>
      </c>
      <c r="M250" s="55">
        <v>5.6902357251851859E-2</v>
      </c>
      <c r="N250" s="55">
        <v>4.2714638683597297</v>
      </c>
      <c r="O250" s="110"/>
      <c r="P250" s="55">
        <v>5.6902357251851859E-2</v>
      </c>
      <c r="Q250" s="206">
        <v>5.8671827114764714E-2</v>
      </c>
      <c r="R250" s="55">
        <v>4.8192771084337352E-2</v>
      </c>
      <c r="S250" s="78">
        <v>1.03</v>
      </c>
      <c r="T250" s="96"/>
    </row>
    <row r="251" spans="1:20">
      <c r="A251" s="54">
        <v>80</v>
      </c>
      <c r="B251" s="54">
        <v>90</v>
      </c>
      <c r="C251" s="89">
        <v>160143</v>
      </c>
      <c r="D251" s="89">
        <v>1362077070</v>
      </c>
      <c r="E251" s="55">
        <v>1.1987577886170147E-2</v>
      </c>
      <c r="F251" s="88">
        <v>85.053800041213165</v>
      </c>
      <c r="G251" s="110">
        <v>2.2400000000000002</v>
      </c>
      <c r="H251" s="57" t="str">
        <f t="shared" si="3"/>
        <v>(80, 90]</v>
      </c>
      <c r="I251" s="207">
        <v>2.1337120000000001</v>
      </c>
      <c r="J251" s="55">
        <v>2.5578038786655877E-2</v>
      </c>
      <c r="K251" s="55">
        <v>2.606442684129788E-2</v>
      </c>
      <c r="L251" s="108">
        <v>26064426</v>
      </c>
      <c r="M251" s="55">
        <v>2.6064426573417385E-2</v>
      </c>
      <c r="N251" s="55">
        <v>2.2168785259643249</v>
      </c>
      <c r="O251" s="110"/>
      <c r="P251" s="55">
        <v>2.6064426573417385E-2</v>
      </c>
      <c r="Q251" s="206">
        <v>2.6865522510444929E-2</v>
      </c>
      <c r="R251" s="55">
        <v>2.4096385542168676E-2</v>
      </c>
      <c r="S251" s="78">
        <v>1.03</v>
      </c>
      <c r="T251" s="96"/>
    </row>
    <row r="252" spans="1:20">
      <c r="A252" s="54">
        <v>90</v>
      </c>
      <c r="B252" s="54">
        <v>100</v>
      </c>
      <c r="C252" s="89">
        <v>165405</v>
      </c>
      <c r="D252" s="89">
        <v>1572146625</v>
      </c>
      <c r="E252" s="55">
        <v>1.238146731522435E-2</v>
      </c>
      <c r="F252" s="88">
        <v>95.048313231159881</v>
      </c>
      <c r="G252" s="110">
        <v>1.91</v>
      </c>
      <c r="H252" s="57" t="str">
        <f t="shared" si="3"/>
        <v>(90, 100]</v>
      </c>
      <c r="I252" s="207">
        <v>1.8193705</v>
      </c>
      <c r="J252" s="55">
        <v>2.2526476380033383E-2</v>
      </c>
      <c r="K252" s="55">
        <v>2.2954836392926146E-2</v>
      </c>
      <c r="L252" s="108">
        <v>22954836</v>
      </c>
      <c r="M252" s="55">
        <v>2.2954836505006404E-2</v>
      </c>
      <c r="N252" s="55">
        <v>2.1818184902979119</v>
      </c>
      <c r="O252" s="110"/>
      <c r="P252" s="55">
        <v>2.2954836505006404E-2</v>
      </c>
      <c r="Q252" s="206">
        <v>2.3695970450223439E-2</v>
      </c>
      <c r="R252" s="55">
        <v>1.2048192771084338E-2</v>
      </c>
      <c r="S252" s="78">
        <v>1.03</v>
      </c>
      <c r="T252" s="96"/>
    </row>
    <row r="253" spans="1:20">
      <c r="A253" s="54">
        <v>100</v>
      </c>
      <c r="B253" s="54">
        <v>120</v>
      </c>
      <c r="C253" s="89">
        <v>343628</v>
      </c>
      <c r="D253" s="89">
        <v>3783315070</v>
      </c>
      <c r="E253" s="55">
        <v>2.5722431913158084E-2</v>
      </c>
      <c r="F253" s="88">
        <v>110.09914995285598</v>
      </c>
      <c r="G253" s="110">
        <v>2.04</v>
      </c>
      <c r="H253" s="167" t="str">
        <f t="shared" si="3"/>
        <v>(100, 120]</v>
      </c>
      <c r="I253" s="207">
        <v>1.9432020000000001</v>
      </c>
      <c r="J253" s="55">
        <v>4.9983881138512619E-2</v>
      </c>
      <c r="K253" s="55">
        <v>5.0934366940539849E-2</v>
      </c>
      <c r="L253" s="108">
        <v>50934366</v>
      </c>
      <c r="M253" s="55">
        <v>5.0934367120556073E-2</v>
      </c>
      <c r="N253" s="55">
        <v>5.6078305233599206</v>
      </c>
      <c r="O253" s="110"/>
      <c r="P253" s="55">
        <v>5.0934367120556073E-2</v>
      </c>
      <c r="Q253" s="206">
        <v>5.239324999547175E-2</v>
      </c>
      <c r="R253" s="55">
        <v>6.0240963855421686E-2</v>
      </c>
      <c r="S253" s="78">
        <v>1.03</v>
      </c>
      <c r="T253" s="96"/>
    </row>
    <row r="254" spans="1:20">
      <c r="A254" s="54">
        <v>120</v>
      </c>
      <c r="B254" s="54">
        <v>140</v>
      </c>
      <c r="C254" s="89">
        <v>354855</v>
      </c>
      <c r="D254" s="89">
        <v>4615650835</v>
      </c>
      <c r="E254" s="55">
        <v>2.6562834159450661E-2</v>
      </c>
      <c r="F254" s="88">
        <v>130.0714611601922</v>
      </c>
      <c r="G254" s="110">
        <v>0.94</v>
      </c>
      <c r="H254" s="168" t="str">
        <f t="shared" si="3"/>
        <v>(120, 140]</v>
      </c>
      <c r="I254" s="207">
        <v>0.895397</v>
      </c>
      <c r="J254" s="55">
        <v>2.3784282017869644E-2</v>
      </c>
      <c r="K254" s="55">
        <v>2.4236560269467404E-2</v>
      </c>
      <c r="L254" s="108">
        <v>24236560</v>
      </c>
      <c r="M254" s="55">
        <v>2.4236560533204332E-2</v>
      </c>
      <c r="N254" s="55">
        <v>3.1524848420513343</v>
      </c>
      <c r="O254" s="110"/>
      <c r="P254" s="55">
        <v>2.4236560533204332E-2</v>
      </c>
      <c r="Q254" s="206">
        <v>2.4912952473346097E-2</v>
      </c>
      <c r="R254" s="55">
        <v>7.2289156626506021E-2</v>
      </c>
      <c r="S254" s="78">
        <v>1.03</v>
      </c>
      <c r="T254" s="96"/>
    </row>
    <row r="255" spans="1:20">
      <c r="A255" s="54">
        <v>140</v>
      </c>
      <c r="B255" s="54">
        <v>160</v>
      </c>
      <c r="C255" s="89">
        <v>357981</v>
      </c>
      <c r="D255" s="89">
        <v>5371224535</v>
      </c>
      <c r="E255" s="55">
        <v>2.6796832326539875E-2</v>
      </c>
      <c r="F255" s="88">
        <v>150.04216802009046</v>
      </c>
      <c r="G255" s="110">
        <v>1.45</v>
      </c>
      <c r="H255" s="167" t="str">
        <f t="shared" si="3"/>
        <v>(140, 160]</v>
      </c>
      <c r="I255" s="207">
        <v>1.3811975000000001</v>
      </c>
      <c r="J255" s="55">
        <v>3.7011717817336059E-2</v>
      </c>
      <c r="K255" s="55">
        <v>3.771552695525654E-2</v>
      </c>
      <c r="L255" s="108">
        <v>37715526</v>
      </c>
      <c r="M255" s="55">
        <v>3.7715526829741587E-2</v>
      </c>
      <c r="N255" s="55">
        <v>5.658919413554317</v>
      </c>
      <c r="O255" s="110"/>
      <c r="P255" s="55">
        <v>3.7715526829741587E-2</v>
      </c>
      <c r="Q255" s="206">
        <v>3.8985507740724644E-2</v>
      </c>
      <c r="R255" s="55">
        <v>2.4096385542168676E-2</v>
      </c>
      <c r="S255" s="78">
        <v>1.03</v>
      </c>
      <c r="T255" s="96"/>
    </row>
    <row r="256" spans="1:20">
      <c r="A256" s="54">
        <v>160</v>
      </c>
      <c r="B256" s="54">
        <v>180</v>
      </c>
      <c r="C256" s="89">
        <v>359992</v>
      </c>
      <c r="D256" s="89">
        <v>6120684245</v>
      </c>
      <c r="E256" s="55">
        <v>2.6947366656039688E-2</v>
      </c>
      <c r="F256" s="88">
        <v>170.02278508966864</v>
      </c>
      <c r="G256" s="110">
        <v>0.71</v>
      </c>
      <c r="H256" s="168" t="str">
        <f t="shared" si="3"/>
        <v>(160, 180]</v>
      </c>
      <c r="I256" s="207">
        <v>0.67631049999999993</v>
      </c>
      <c r="J256" s="55">
        <v>1.8224787016829527E-2</v>
      </c>
      <c r="K256" s="55">
        <v>1.8571346765890704E-2</v>
      </c>
      <c r="L256" s="108">
        <v>18571346</v>
      </c>
      <c r="M256" s="55">
        <v>1.8571346408569622E-2</v>
      </c>
      <c r="N256" s="55">
        <v>3.1575520392500223</v>
      </c>
      <c r="O256" s="110"/>
      <c r="P256" s="55">
        <v>1.8571346408569622E-2</v>
      </c>
      <c r="Q256" s="206">
        <v>1.9015299361290688E-2</v>
      </c>
      <c r="R256" s="55">
        <v>3.614457831325301E-2</v>
      </c>
      <c r="S256" s="78">
        <v>1.02</v>
      </c>
      <c r="T256" s="96"/>
    </row>
    <row r="257" spans="1:20">
      <c r="A257" s="54">
        <v>180</v>
      </c>
      <c r="B257" s="54">
        <v>200</v>
      </c>
      <c r="C257" s="89">
        <v>357858</v>
      </c>
      <c r="D257" s="89">
        <v>6799733860</v>
      </c>
      <c r="E257" s="55">
        <v>2.6787625104994141E-2</v>
      </c>
      <c r="F257" s="88">
        <v>190.01206791520661</v>
      </c>
      <c r="G257" s="110">
        <v>0.62</v>
      </c>
      <c r="H257" s="168" t="str">
        <f t="shared" si="3"/>
        <v>(180, 200]</v>
      </c>
      <c r="I257" s="207">
        <v>0.59058100000000002</v>
      </c>
      <c r="J257" s="55">
        <v>1.5820262422132546E-2</v>
      </c>
      <c r="K257" s="55">
        <v>1.612109810103696E-2</v>
      </c>
      <c r="L257" s="108">
        <v>16121098</v>
      </c>
      <c r="M257" s="55">
        <v>1.6121098354664163E-2</v>
      </c>
      <c r="N257" s="55">
        <v>3.0632032354341727</v>
      </c>
      <c r="O257" s="110"/>
      <c r="P257" s="55">
        <v>1.6121098354664163E-2</v>
      </c>
      <c r="Q257" s="206">
        <v>1.6718380317649224E-2</v>
      </c>
      <c r="R257" s="55">
        <v>0</v>
      </c>
      <c r="S257" s="78">
        <v>1.04</v>
      </c>
      <c r="T257" s="96"/>
    </row>
    <row r="258" spans="1:20">
      <c r="A258" s="54">
        <v>200</v>
      </c>
      <c r="B258" s="54">
        <v>250</v>
      </c>
      <c r="C258" s="89">
        <v>866284</v>
      </c>
      <c r="D258" s="89">
        <v>19475012970</v>
      </c>
      <c r="E258" s="55">
        <v>6.4846087069325667E-2</v>
      </c>
      <c r="F258" s="88">
        <v>224.81095079673639</v>
      </c>
      <c r="G258" s="110">
        <v>0.5</v>
      </c>
      <c r="H258" s="168" t="str">
        <f t="shared" si="3"/>
        <v>(200, 250]</v>
      </c>
      <c r="I258" s="207">
        <v>0.476275</v>
      </c>
      <c r="J258" s="55">
        <v>3.0884570118943081E-2</v>
      </c>
      <c r="K258" s="55">
        <v>3.1471866357873024E-2</v>
      </c>
      <c r="L258" s="108">
        <v>31471866</v>
      </c>
      <c r="M258" s="55">
        <v>3.147186669238107E-2</v>
      </c>
      <c r="N258" s="55">
        <v>7.0752202744623274</v>
      </c>
      <c r="O258" s="110"/>
      <c r="P258" s="55">
        <v>3.147186669238107E-2</v>
      </c>
      <c r="Q258" s="206">
        <v>3.2599244619385646E-2</v>
      </c>
      <c r="R258" s="55">
        <v>6.0240963855421686E-2</v>
      </c>
      <c r="S258" s="78">
        <v>1.04</v>
      </c>
      <c r="T258" s="96"/>
    </row>
    <row r="259" spans="1:20">
      <c r="A259" s="54">
        <v>250</v>
      </c>
      <c r="B259" s="54">
        <v>300</v>
      </c>
      <c r="C259" s="89">
        <v>810514</v>
      </c>
      <c r="D259" s="89">
        <v>22265421400</v>
      </c>
      <c r="E259" s="55">
        <v>6.0671398080661097E-2</v>
      </c>
      <c r="F259" s="88">
        <v>274.70742516477202</v>
      </c>
      <c r="G259" s="110">
        <v>0.21</v>
      </c>
      <c r="H259" s="168" t="str">
        <f t="shared" si="3"/>
        <v>(250, 300]</v>
      </c>
      <c r="I259" s="207">
        <v>0.2000355</v>
      </c>
      <c r="J259" s="55">
        <v>1.2136433450764083E-2</v>
      </c>
      <c r="K259" s="55">
        <v>1.2367218004093046E-2</v>
      </c>
      <c r="L259" s="108">
        <v>12367218</v>
      </c>
      <c r="M259" s="55">
        <v>1.2367218272078801E-2</v>
      </c>
      <c r="N259" s="55">
        <v>3.3973666879734883</v>
      </c>
      <c r="O259" s="110"/>
      <c r="P259" s="55">
        <v>1.2367218272078801E-2</v>
      </c>
      <c r="Q259" s="206">
        <v>1.2487138237255627E-2</v>
      </c>
      <c r="R259" s="55">
        <v>2.4096385542168676E-2</v>
      </c>
      <c r="S259" s="78">
        <v>1.01</v>
      </c>
      <c r="T259" s="96"/>
    </row>
    <row r="260" spans="1:20">
      <c r="A260" s="54">
        <v>300</v>
      </c>
      <c r="B260" s="54">
        <v>350</v>
      </c>
      <c r="C260" s="89">
        <v>745650</v>
      </c>
      <c r="D260" s="89">
        <v>24204985950</v>
      </c>
      <c r="E260" s="55">
        <v>5.5815973541289782E-2</v>
      </c>
      <c r="F260" s="88">
        <v>324.6159183262925</v>
      </c>
      <c r="G260" s="110">
        <v>0.19</v>
      </c>
      <c r="H260" s="168" t="str">
        <f t="shared" si="3"/>
        <v>(300, 350]</v>
      </c>
      <c r="I260" s="207">
        <v>0.18098449999999999</v>
      </c>
      <c r="J260" s="55">
        <v>1.010182606338356E-2</v>
      </c>
      <c r="K260" s="55">
        <v>1.0293920835319881E-2</v>
      </c>
      <c r="L260" s="108">
        <v>10293920</v>
      </c>
      <c r="M260" s="55">
        <v>1.0293920226466245E-2</v>
      </c>
      <c r="N260" s="55">
        <v>3.3415703674919368</v>
      </c>
      <c r="O260" s="110"/>
      <c r="P260" s="55">
        <v>1.0293920226466245E-2</v>
      </c>
      <c r="Q260" s="206">
        <v>1.0798395205169509E-2</v>
      </c>
      <c r="R260" s="55">
        <v>1.2048192771084338E-2</v>
      </c>
      <c r="S260" s="78">
        <v>1.05</v>
      </c>
      <c r="T260" s="96"/>
    </row>
    <row r="261" spans="1:20">
      <c r="A261" s="54">
        <v>350</v>
      </c>
      <c r="B261" s="54">
        <v>400</v>
      </c>
      <c r="C261" s="89">
        <v>678262</v>
      </c>
      <c r="D261" s="89">
        <v>25409728735</v>
      </c>
      <c r="E261" s="55">
        <v>5.077161382158156E-2</v>
      </c>
      <c r="F261" s="88">
        <v>374.62999158142424</v>
      </c>
      <c r="G261" s="110">
        <v>0.01</v>
      </c>
      <c r="H261" s="168" t="str">
        <f t="shared" si="3"/>
        <v>(350, 400]</v>
      </c>
      <c r="I261" s="207">
        <v>9.525500000000001E-3</v>
      </c>
      <c r="J261" s="55">
        <v>4.8362500745747518E-4</v>
      </c>
      <c r="K261" s="55">
        <v>4.9282154627405502E-4</v>
      </c>
      <c r="L261" s="108">
        <v>492821</v>
      </c>
      <c r="M261" s="55">
        <v>4.9282101084206222E-4</v>
      </c>
      <c r="N261" s="55">
        <v>0.18462553114291075</v>
      </c>
      <c r="O261" s="110"/>
      <c r="P261" s="55">
        <v>4.9282101084206222E-4</v>
      </c>
      <c r="Q261" s="206">
        <v>4.4834600851857416E-4</v>
      </c>
      <c r="R261" s="55">
        <v>0</v>
      </c>
      <c r="S261" s="78">
        <v>0.91</v>
      </c>
      <c r="T261" s="96"/>
    </row>
    <row r="262" spans="1:20">
      <c r="A262" s="54">
        <v>400</v>
      </c>
      <c r="B262" s="54">
        <v>450</v>
      </c>
      <c r="C262" s="89">
        <v>612189</v>
      </c>
      <c r="D262" s="89">
        <v>25994462860</v>
      </c>
      <c r="E262" s="55">
        <v>4.5825689031407033E-2</v>
      </c>
      <c r="F262" s="88">
        <v>424.6149940622912</v>
      </c>
      <c r="G262" s="110">
        <v>0.01</v>
      </c>
      <c r="H262" s="168" t="str">
        <f t="shared" si="3"/>
        <v>(400, 450]</v>
      </c>
      <c r="I262" s="207">
        <v>9.525500000000001E-3</v>
      </c>
      <c r="J262" s="55">
        <v>4.3651260086866771E-4</v>
      </c>
      <c r="K262" s="55">
        <v>4.4481325740195897E-4</v>
      </c>
      <c r="L262" s="108">
        <v>444813</v>
      </c>
      <c r="M262" s="55">
        <v>4.448130097858862E-4</v>
      </c>
      <c r="N262" s="55">
        <v>0.18887427350906394</v>
      </c>
      <c r="O262" s="110"/>
      <c r="P262" s="55">
        <v>4.448130097858862E-4</v>
      </c>
      <c r="Q262" s="206">
        <v>4.0557800770598215E-4</v>
      </c>
      <c r="R262" s="55">
        <v>0</v>
      </c>
      <c r="S262" s="78">
        <v>0.91</v>
      </c>
      <c r="T262" s="96"/>
    </row>
    <row r="263" spans="1:20">
      <c r="A263" s="54">
        <v>450</v>
      </c>
      <c r="B263" s="54">
        <v>500</v>
      </c>
      <c r="C263" s="89">
        <v>550759</v>
      </c>
      <c r="D263" s="89">
        <v>26138073190</v>
      </c>
      <c r="E263" s="55">
        <v>4.122731814071913E-2</v>
      </c>
      <c r="F263" s="88">
        <v>474.58277014084194</v>
      </c>
      <c r="G263" s="110">
        <v>0.01</v>
      </c>
      <c r="H263" s="168" t="str">
        <f t="shared" si="3"/>
        <v>(450, 500]</v>
      </c>
      <c r="I263" s="207">
        <v>9.525500000000001E-3</v>
      </c>
      <c r="J263" s="55">
        <v>3.927108189494201E-4</v>
      </c>
      <c r="K263" s="55">
        <v>4.0017854752935042E-4</v>
      </c>
      <c r="L263" s="108">
        <v>400178</v>
      </c>
      <c r="M263" s="55">
        <v>4.001780088039162E-4</v>
      </c>
      <c r="N263" s="55">
        <v>0.1899175879676088</v>
      </c>
      <c r="O263" s="110"/>
      <c r="P263" s="55">
        <v>4.001780088039162E-4</v>
      </c>
      <c r="Q263" s="206">
        <v>3.6546100694375913E-4</v>
      </c>
      <c r="R263" s="55">
        <v>0</v>
      </c>
      <c r="S263" s="78">
        <v>0.91</v>
      </c>
      <c r="T263" s="96"/>
    </row>
    <row r="264" spans="1:20">
      <c r="A264" s="54">
        <v>500</v>
      </c>
      <c r="B264" s="54">
        <v>550</v>
      </c>
      <c r="C264" s="89">
        <v>495764</v>
      </c>
      <c r="D264" s="89">
        <v>26005662785</v>
      </c>
      <c r="E264" s="55">
        <v>3.711064213333868E-2</v>
      </c>
      <c r="F264" s="88">
        <v>524.55730518956602</v>
      </c>
      <c r="G264" s="110">
        <v>0.01</v>
      </c>
      <c r="H264" s="168" t="str">
        <f t="shared" si="3"/>
        <v>(500, 550]</v>
      </c>
      <c r="I264" s="207">
        <v>9.525500000000001E-3</v>
      </c>
      <c r="J264" s="55">
        <v>3.5349742164111762E-4</v>
      </c>
      <c r="K264" s="55">
        <v>3.6021947428428925E-4</v>
      </c>
      <c r="L264" s="108">
        <v>360219</v>
      </c>
      <c r="M264" s="55">
        <v>3.6021900792481819E-4</v>
      </c>
      <c r="N264" s="55">
        <v>0.18895551207510156</v>
      </c>
      <c r="O264" s="110"/>
      <c r="P264" s="55">
        <v>3.6021900792481819E-4</v>
      </c>
      <c r="Q264" s="206">
        <v>3.2868000624492014E-4</v>
      </c>
      <c r="R264" s="55">
        <v>0</v>
      </c>
      <c r="S264" s="78">
        <v>0.91</v>
      </c>
      <c r="T264" s="96"/>
    </row>
    <row r="265" spans="1:20">
      <c r="A265" s="54">
        <v>550</v>
      </c>
      <c r="B265" s="54">
        <v>600</v>
      </c>
      <c r="C265" s="89">
        <v>444300</v>
      </c>
      <c r="D265" s="89">
        <v>25529574265</v>
      </c>
      <c r="E265" s="55">
        <v>3.3258280754234627E-2</v>
      </c>
      <c r="F265" s="88">
        <v>574.60216666666668</v>
      </c>
      <c r="G265" s="110">
        <v>0.01</v>
      </c>
      <c r="H265" s="168" t="str">
        <f t="shared" si="3"/>
        <v>(550, 600]</v>
      </c>
      <c r="I265" s="207">
        <v>9.525500000000001E-3</v>
      </c>
      <c r="J265" s="55">
        <v>3.1680175332446197E-4</v>
      </c>
      <c r="K265" s="55">
        <v>3.2282600677844647E-4</v>
      </c>
      <c r="L265" s="108">
        <v>322826</v>
      </c>
      <c r="M265" s="55">
        <v>3.2282600710217216E-4</v>
      </c>
      <c r="N265" s="55">
        <v>0.18549652313725684</v>
      </c>
      <c r="O265" s="110"/>
      <c r="P265" s="55">
        <v>3.2282600710217216E-4</v>
      </c>
      <c r="Q265" s="206">
        <v>2.9585600562126408E-4</v>
      </c>
      <c r="R265" s="55">
        <v>0</v>
      </c>
      <c r="S265" s="78">
        <v>0.92</v>
      </c>
      <c r="T265" s="96"/>
    </row>
    <row r="266" spans="1:20">
      <c r="A266" s="54">
        <v>600</v>
      </c>
      <c r="B266" s="54">
        <v>650</v>
      </c>
      <c r="C266" s="89">
        <v>397517</v>
      </c>
      <c r="D266" s="89">
        <v>24828473615</v>
      </c>
      <c r="E266" s="55">
        <v>2.9756317782086626E-2</v>
      </c>
      <c r="F266" s="88">
        <v>624.5889764462903</v>
      </c>
      <c r="G266" s="110">
        <v>0.01</v>
      </c>
      <c r="H266" s="168" t="str">
        <f t="shared" si="3"/>
        <v>(600, 650]</v>
      </c>
      <c r="I266" s="207">
        <v>9.525500000000001E-3</v>
      </c>
      <c r="J266" s="55">
        <v>2.8344380503326615E-4</v>
      </c>
      <c r="K266" s="55">
        <v>2.8883372886911481E-4</v>
      </c>
      <c r="L266" s="108">
        <v>288833</v>
      </c>
      <c r="M266" s="55">
        <v>2.8883300635432614E-4</v>
      </c>
      <c r="N266" s="55">
        <v>0.18040191180275342</v>
      </c>
      <c r="O266" s="110"/>
      <c r="P266" s="55">
        <v>2.8883300635432614E-4</v>
      </c>
      <c r="Q266" s="206">
        <v>2.6510800503705211E-4</v>
      </c>
      <c r="R266" s="55">
        <v>0</v>
      </c>
      <c r="S266" s="78">
        <v>0.92</v>
      </c>
      <c r="T266" s="96"/>
    </row>
    <row r="267" spans="1:20">
      <c r="A267" s="54">
        <v>650</v>
      </c>
      <c r="B267" s="54">
        <v>700</v>
      </c>
      <c r="C267" s="89">
        <v>357881</v>
      </c>
      <c r="D267" s="89">
        <v>24142228060</v>
      </c>
      <c r="E267" s="55">
        <v>2.6789346780567731E-2</v>
      </c>
      <c r="F267" s="88">
        <v>674.58814689799124</v>
      </c>
      <c r="G267" s="110">
        <v>0.01</v>
      </c>
      <c r="H267" s="168" t="str">
        <f t="shared" si="3"/>
        <v>(650, 700]</v>
      </c>
      <c r="I267" s="207">
        <v>9.525500000000001E-3</v>
      </c>
      <c r="J267" s="55">
        <v>2.5518192275829794E-4</v>
      </c>
      <c r="K267" s="55">
        <v>2.6003442298419354E-4</v>
      </c>
      <c r="L267" s="108">
        <v>260034</v>
      </c>
      <c r="M267" s="55">
        <v>2.6003400572074812E-4</v>
      </c>
      <c r="N267" s="55">
        <v>0.17541585804962112</v>
      </c>
      <c r="O267" s="110"/>
      <c r="P267" s="55">
        <v>2.6003400572074812E-4</v>
      </c>
      <c r="Q267" s="206">
        <v>2.3773600451698409E-4</v>
      </c>
      <c r="R267" s="55">
        <v>0</v>
      </c>
      <c r="S267" s="78">
        <v>0.91</v>
      </c>
      <c r="T267" s="96"/>
    </row>
    <row r="268" spans="1:20">
      <c r="A268" s="54">
        <v>700</v>
      </c>
      <c r="B268" s="54">
        <v>750</v>
      </c>
      <c r="C268" s="89">
        <v>320772</v>
      </c>
      <c r="D268" s="89">
        <v>23243216110</v>
      </c>
      <c r="E268" s="55">
        <v>2.4011535525764911E-2</v>
      </c>
      <c r="F268" s="88">
        <v>724.60240014714498</v>
      </c>
      <c r="G268" s="110">
        <v>0.01</v>
      </c>
      <c r="H268" s="168" t="str">
        <f t="shared" si="3"/>
        <v>(700, 750]</v>
      </c>
      <c r="I268" s="207">
        <v>9.525500000000001E-3</v>
      </c>
      <c r="J268" s="55">
        <v>2.287218816506737E-4</v>
      </c>
      <c r="K268" s="55">
        <v>2.3307122180134105E-4</v>
      </c>
      <c r="L268" s="108">
        <v>233071</v>
      </c>
      <c r="M268" s="55">
        <v>2.3307100512756212E-4</v>
      </c>
      <c r="N268" s="55">
        <v>0.16888380972013906</v>
      </c>
      <c r="O268" s="110"/>
      <c r="P268" s="55">
        <v>2.3307100512756212E-4</v>
      </c>
      <c r="Q268" s="206">
        <v>2.1375100406126907E-4</v>
      </c>
      <c r="R268" s="55">
        <v>0</v>
      </c>
      <c r="S268" s="78">
        <v>0.92</v>
      </c>
      <c r="T268" s="96"/>
    </row>
    <row r="269" spans="1:20">
      <c r="A269" s="54">
        <v>750</v>
      </c>
      <c r="B269" s="54">
        <v>800</v>
      </c>
      <c r="C269" s="89">
        <v>288605</v>
      </c>
      <c r="D269" s="89">
        <v>22354789685</v>
      </c>
      <c r="E269" s="55">
        <v>2.1603659952905436E-2</v>
      </c>
      <c r="F269" s="88">
        <v>774.58081755340345</v>
      </c>
      <c r="G269" s="110">
        <v>0.01</v>
      </c>
      <c r="H269" s="168" t="str">
        <f t="shared" si="3"/>
        <v>(750, 800]</v>
      </c>
      <c r="I269" s="207">
        <v>9.525500000000001E-3</v>
      </c>
      <c r="J269" s="55">
        <v>2.0578566288140075E-4</v>
      </c>
      <c r="K269" s="55">
        <v>2.0969885142087225E-4</v>
      </c>
      <c r="L269" s="108">
        <v>209698</v>
      </c>
      <c r="M269" s="55">
        <v>2.0969800461335611E-4</v>
      </c>
      <c r="N269" s="55">
        <v>0.16242805185273074</v>
      </c>
      <c r="O269" s="110"/>
      <c r="P269" s="55">
        <v>2.0969800461335611E-4</v>
      </c>
      <c r="Q269" s="206">
        <v>1.9275200366228806E-4</v>
      </c>
      <c r="R269" s="55">
        <v>0</v>
      </c>
      <c r="S269" s="78">
        <v>0.92</v>
      </c>
      <c r="T269" s="96"/>
    </row>
    <row r="270" spans="1:20">
      <c r="A270" s="54">
        <v>800</v>
      </c>
      <c r="B270" s="54">
        <v>850</v>
      </c>
      <c r="C270" s="89">
        <v>259441</v>
      </c>
      <c r="D270" s="89">
        <v>21393204670</v>
      </c>
      <c r="E270" s="55">
        <v>1.9420575325589436E-2</v>
      </c>
      <c r="F270" s="88">
        <v>824.58842935388009</v>
      </c>
      <c r="G270" s="110">
        <v>0.01</v>
      </c>
      <c r="H270" s="57" t="str">
        <f t="shared" si="3"/>
        <v>(800, 850]</v>
      </c>
      <c r="I270" s="207">
        <v>9.525500000000001E-3</v>
      </c>
      <c r="J270" s="55">
        <v>1.8499069026390219E-4</v>
      </c>
      <c r="K270" s="55">
        <v>1.8850844479992556E-4</v>
      </c>
      <c r="L270" s="108">
        <v>188508</v>
      </c>
      <c r="M270" s="55">
        <v>1.8850800414717608E-4</v>
      </c>
      <c r="N270" s="55">
        <v>0.15544151906035464</v>
      </c>
      <c r="O270" s="110"/>
      <c r="P270" s="55">
        <v>1.8850800414717608E-4</v>
      </c>
      <c r="Q270" s="206">
        <v>1.7283700328390306E-4</v>
      </c>
      <c r="R270" s="55">
        <v>0</v>
      </c>
      <c r="S270" s="78">
        <v>0.92</v>
      </c>
      <c r="T270" s="96"/>
    </row>
    <row r="271" spans="1:20">
      <c r="A271" s="54">
        <v>850</v>
      </c>
      <c r="B271" s="54">
        <v>900</v>
      </c>
      <c r="C271" s="89">
        <v>234161</v>
      </c>
      <c r="D271" s="89">
        <v>20478949655</v>
      </c>
      <c r="E271" s="55">
        <v>1.7528229303831497E-2</v>
      </c>
      <c r="F271" s="88">
        <v>874.56705664051651</v>
      </c>
      <c r="G271" s="110">
        <v>0.01</v>
      </c>
      <c r="H271" s="57" t="str">
        <f t="shared" si="3"/>
        <v>(850, 900]</v>
      </c>
      <c r="I271" s="207">
        <v>9.525500000000001E-3</v>
      </c>
      <c r="J271" s="55">
        <v>1.6696514823364694E-4</v>
      </c>
      <c r="K271" s="55">
        <v>1.7014013183265316E-4</v>
      </c>
      <c r="L271" s="79">
        <v>170140</v>
      </c>
      <c r="M271" s="55">
        <v>1.7014000374308009E-4</v>
      </c>
      <c r="N271" s="55">
        <v>0.148798842290392</v>
      </c>
      <c r="O271" s="110"/>
      <c r="P271" s="55">
        <v>1.7014000374308009E-4</v>
      </c>
      <c r="Q271" s="206">
        <v>1.5622000296818006E-4</v>
      </c>
      <c r="R271" s="55">
        <v>0</v>
      </c>
      <c r="S271" s="78">
        <v>0.92</v>
      </c>
      <c r="T271" s="96"/>
    </row>
    <row r="272" spans="1:20">
      <c r="A272" s="54">
        <v>900</v>
      </c>
      <c r="B272" s="54">
        <v>950</v>
      </c>
      <c r="C272" s="89">
        <v>212035</v>
      </c>
      <c r="D272" s="89">
        <v>19604556485</v>
      </c>
      <c r="E272" s="55">
        <v>1.5871977402034977E-2</v>
      </c>
      <c r="F272" s="88">
        <v>924.59058575235224</v>
      </c>
      <c r="G272" s="110">
        <v>0.01</v>
      </c>
      <c r="H272" s="57" t="str">
        <f t="shared" si="3"/>
        <v>(900, 950]</v>
      </c>
      <c r="I272" s="207">
        <v>9.525500000000001E-3</v>
      </c>
      <c r="J272" s="55">
        <v>1.511885207430842E-4</v>
      </c>
      <c r="K272" s="55">
        <v>1.5406349841833877E-4</v>
      </c>
      <c r="L272" s="79">
        <v>154063</v>
      </c>
      <c r="M272" s="55">
        <v>1.5406300338938607E-4</v>
      </c>
      <c r="N272" s="55">
        <v>0.1424452025465591</v>
      </c>
      <c r="O272" s="110"/>
      <c r="P272" s="55">
        <v>1.5406300338938607E-4</v>
      </c>
      <c r="Q272" s="206">
        <v>1.4089900267708104E-4</v>
      </c>
      <c r="R272" s="55">
        <v>0</v>
      </c>
      <c r="S272" s="78">
        <v>0.91</v>
      </c>
      <c r="T272" s="96"/>
    </row>
    <row r="273" spans="1:20">
      <c r="A273" s="54">
        <v>950</v>
      </c>
      <c r="B273" s="54">
        <v>1000</v>
      </c>
      <c r="C273" s="89">
        <v>190359</v>
      </c>
      <c r="D273" s="89">
        <v>18552517680</v>
      </c>
      <c r="E273" s="55">
        <v>1.42494104571131E-2</v>
      </c>
      <c r="F273" s="88">
        <v>974.60680503679896</v>
      </c>
      <c r="G273" s="110">
        <v>0.01</v>
      </c>
      <c r="H273" s="57" t="str">
        <f t="shared" si="3"/>
        <v>(950, 1000]</v>
      </c>
      <c r="I273" s="207">
        <v>9.525500000000001E-3</v>
      </c>
      <c r="J273" s="55">
        <v>1.3573275930923084E-4</v>
      </c>
      <c r="K273" s="55">
        <v>1.3831383260035627E-4</v>
      </c>
      <c r="L273" s="79">
        <v>138313</v>
      </c>
      <c r="M273" s="55">
        <v>1.3831300304288605E-4</v>
      </c>
      <c r="N273" s="55">
        <v>0.13480079399067224</v>
      </c>
      <c r="O273" s="110"/>
      <c r="P273" s="55">
        <v>1.3831300304288605E-4</v>
      </c>
      <c r="Q273" s="206">
        <v>1.2754400242333605E-4</v>
      </c>
      <c r="R273" s="55">
        <v>0</v>
      </c>
      <c r="S273" s="78">
        <v>0.92</v>
      </c>
      <c r="T273" s="96"/>
    </row>
    <row r="274" spans="1:20">
      <c r="A274" s="54">
        <v>1000</v>
      </c>
      <c r="B274" s="54">
        <v>2000</v>
      </c>
      <c r="C274" s="89">
        <v>1675743</v>
      </c>
      <c r="D274" s="89">
        <v>228628345675</v>
      </c>
      <c r="E274" s="55">
        <v>0.12543851263998065</v>
      </c>
      <c r="F274" s="88">
        <v>1364.3401504586323</v>
      </c>
      <c r="G274" s="110">
        <v>0.01</v>
      </c>
      <c r="H274" s="57" t="str">
        <f t="shared" si="3"/>
        <v>(1000, 2000]</v>
      </c>
      <c r="I274" s="207">
        <v>9.525500000000001E-3</v>
      </c>
      <c r="J274" s="55">
        <v>1.1948645521521358E-3</v>
      </c>
      <c r="K274" s="55">
        <v>1.2175859128447765E-3</v>
      </c>
      <c r="L274" s="79">
        <v>1217585</v>
      </c>
      <c r="M274" s="55">
        <v>1.2175850267868707E-3</v>
      </c>
      <c r="N274" s="55">
        <v>1.661200138642577</v>
      </c>
      <c r="O274" s="110"/>
      <c r="P274" s="55">
        <v>1.2175850267868707E-3</v>
      </c>
      <c r="Q274" s="206">
        <v>6.5612401246635619E-4</v>
      </c>
      <c r="R274" s="55">
        <v>0</v>
      </c>
      <c r="S274" s="78">
        <v>0.54</v>
      </c>
      <c r="T274" s="96"/>
    </row>
    <row r="275" spans="1:20">
      <c r="A275" s="54">
        <v>2000</v>
      </c>
      <c r="B275" s="54">
        <v>3000</v>
      </c>
      <c r="C275" s="89">
        <v>395119</v>
      </c>
      <c r="D275" s="89">
        <v>95080202100</v>
      </c>
      <c r="E275" s="55">
        <v>2.9576814389674619E-2</v>
      </c>
      <c r="F275" s="88">
        <v>2406.3687673840036</v>
      </c>
      <c r="G275" s="110">
        <v>0</v>
      </c>
      <c r="H275" s="57" t="str">
        <f t="shared" si="3"/>
        <v>(2000, 3000]</v>
      </c>
      <c r="I275" s="207">
        <v>0</v>
      </c>
      <c r="J275" s="55">
        <v>0</v>
      </c>
      <c r="K275" s="55">
        <v>0</v>
      </c>
      <c r="L275" s="79">
        <v>0</v>
      </c>
      <c r="M275" s="55">
        <v>0</v>
      </c>
      <c r="N275" s="55">
        <v>0</v>
      </c>
      <c r="O275" s="110"/>
      <c r="P275" s="55">
        <v>0</v>
      </c>
      <c r="Q275" s="206">
        <v>6.2153001180907029E-5</v>
      </c>
      <c r="R275" s="55">
        <v>0</v>
      </c>
      <c r="S275" s="78">
        <v>0</v>
      </c>
    </row>
    <row r="276" spans="1:20">
      <c r="A276" s="54">
        <v>3000</v>
      </c>
      <c r="B276" s="54">
        <v>4000</v>
      </c>
      <c r="C276" s="89">
        <v>149840</v>
      </c>
      <c r="D276" s="89">
        <v>51465395410</v>
      </c>
      <c r="E276" s="55">
        <v>1.1216342084660177E-2</v>
      </c>
      <c r="F276" s="88">
        <v>3434.6900300320344</v>
      </c>
      <c r="G276" s="110">
        <v>0</v>
      </c>
      <c r="H276" s="57" t="str">
        <f t="shared" si="3"/>
        <v>(3000, 4000]</v>
      </c>
      <c r="I276" s="207">
        <v>0</v>
      </c>
      <c r="J276" s="55">
        <v>0</v>
      </c>
      <c r="K276" s="55">
        <v>0</v>
      </c>
      <c r="L276" s="79">
        <v>0</v>
      </c>
      <c r="M276" s="55">
        <v>0</v>
      </c>
      <c r="N276" s="55">
        <v>0</v>
      </c>
      <c r="O276" s="110"/>
      <c r="P276" s="55">
        <v>0</v>
      </c>
      <c r="Q276" s="206">
        <v>2.3461000445759008E-5</v>
      </c>
      <c r="R276" s="55">
        <v>0</v>
      </c>
      <c r="S276" s="78">
        <v>0</v>
      </c>
    </row>
    <row r="277" spans="1:20">
      <c r="A277" s="54">
        <v>4000</v>
      </c>
      <c r="B277" s="54">
        <v>5000</v>
      </c>
      <c r="C277" s="89">
        <v>75562</v>
      </c>
      <c r="D277" s="89">
        <v>33658989635</v>
      </c>
      <c r="E277" s="55">
        <v>5.6562282474712519E-3</v>
      </c>
      <c r="F277" s="88">
        <v>4454.4863337391816</v>
      </c>
      <c r="G277" s="110">
        <v>0.01</v>
      </c>
      <c r="H277" s="57" t="str">
        <f t="shared" si="3"/>
        <v>(4000, 5000]</v>
      </c>
      <c r="I277" s="207">
        <v>9.525500000000001E-3</v>
      </c>
      <c r="J277" s="55">
        <v>5.3878402171287417E-5</v>
      </c>
      <c r="K277" s="55">
        <v>5.4902945586749889E-5</v>
      </c>
      <c r="L277" s="79">
        <v>54902</v>
      </c>
      <c r="M277" s="55">
        <v>5.490200120784403E-5</v>
      </c>
      <c r="N277" s="55">
        <v>0.24456021407527329</v>
      </c>
      <c r="O277" s="110"/>
      <c r="P277" s="55">
        <v>5.490200120784403E-5</v>
      </c>
      <c r="Q277" s="206">
        <v>2.9770000565630009E-5</v>
      </c>
      <c r="R277" s="55">
        <v>0</v>
      </c>
      <c r="S277" s="78">
        <v>0.54</v>
      </c>
    </row>
    <row r="278" spans="1:20">
      <c r="A278" s="54">
        <v>5000</v>
      </c>
      <c r="B278" s="54">
        <v>6000</v>
      </c>
      <c r="C278" s="89">
        <v>47753</v>
      </c>
      <c r="D278" s="89">
        <v>26112802495</v>
      </c>
      <c r="E278" s="55">
        <v>3.5745727680777995E-3</v>
      </c>
      <c r="F278" s="88">
        <v>5468.3061786694034</v>
      </c>
      <c r="G278" s="110">
        <v>0.01</v>
      </c>
      <c r="H278" s="57" t="str">
        <f t="shared" si="3"/>
        <v>(5000, 6000]</v>
      </c>
      <c r="I278" s="207">
        <v>9.525500000000001E-3</v>
      </c>
      <c r="J278" s="55">
        <v>3.4049592902325081E-5</v>
      </c>
      <c r="K278" s="55">
        <v>3.4697074728091726E-5</v>
      </c>
      <c r="L278" s="79">
        <v>34697</v>
      </c>
      <c r="M278" s="55">
        <v>3.469700076333402E-5</v>
      </c>
      <c r="N278" s="55">
        <v>0.18973382365543642</v>
      </c>
      <c r="O278" s="110"/>
      <c r="P278" s="55">
        <v>3.469700076333402E-5</v>
      </c>
      <c r="Q278" s="206">
        <v>3.7515000712785011E-5</v>
      </c>
      <c r="R278" s="55">
        <v>0</v>
      </c>
      <c r="S278" s="78">
        <v>1.08</v>
      </c>
    </row>
    <row r="279" spans="1:20">
      <c r="A279" s="54">
        <v>6000</v>
      </c>
      <c r="B279" s="54">
        <v>7000</v>
      </c>
      <c r="C279" s="89">
        <v>34884</v>
      </c>
      <c r="D279" s="89">
        <v>22603347610</v>
      </c>
      <c r="E279" s="55">
        <v>2.6112578569226215E-3</v>
      </c>
      <c r="F279" s="88">
        <v>6479.5744782708407</v>
      </c>
      <c r="G279" s="110">
        <v>0.01</v>
      </c>
      <c r="H279" s="57" t="str">
        <f t="shared" si="3"/>
        <v>(6000, 7000]</v>
      </c>
      <c r="I279" s="207">
        <v>9.525500000000001E-3</v>
      </c>
      <c r="J279" s="55">
        <v>2.4873536716116433E-5</v>
      </c>
      <c r="K279" s="55">
        <v>2.5346528067655471E-5</v>
      </c>
      <c r="L279" s="79">
        <v>25346</v>
      </c>
      <c r="M279" s="55">
        <v>2.5346000557612012E-5</v>
      </c>
      <c r="N279" s="55">
        <v>0.1642312983393413</v>
      </c>
      <c r="O279" s="110"/>
      <c r="P279" s="55">
        <v>2.5346000557612012E-5</v>
      </c>
      <c r="Q279" s="206">
        <v>2.7313000518947011E-5</v>
      </c>
      <c r="R279" s="55">
        <v>0</v>
      </c>
      <c r="S279" s="78">
        <v>1.08</v>
      </c>
    </row>
    <row r="280" spans="1:20">
      <c r="A280" s="54">
        <v>7000</v>
      </c>
      <c r="B280" s="54">
        <v>8000</v>
      </c>
      <c r="C280" s="89">
        <v>28669</v>
      </c>
      <c r="D280" s="89">
        <v>21454035245</v>
      </c>
      <c r="E280" s="55">
        <v>2.1460311747538885E-3</v>
      </c>
      <c r="F280" s="88">
        <v>7483.3566727126863</v>
      </c>
      <c r="G280" s="110">
        <v>0.01</v>
      </c>
      <c r="H280" s="57" t="str">
        <f t="shared" si="3"/>
        <v>(7000, 8000]</v>
      </c>
      <c r="I280" s="207">
        <v>9.525500000000001E-3</v>
      </c>
      <c r="J280" s="55">
        <v>2.0442019955118167E-5</v>
      </c>
      <c r="K280" s="55">
        <v>2.0830742264981507E-5</v>
      </c>
      <c r="L280" s="79">
        <v>20830</v>
      </c>
      <c r="M280" s="55">
        <v>2.0830000458260009E-5</v>
      </c>
      <c r="N280" s="55">
        <v>0.15587832292192835</v>
      </c>
      <c r="O280" s="110"/>
      <c r="P280" s="55">
        <v>2.0830000458260009E-5</v>
      </c>
      <c r="Q280" s="206">
        <v>2.2439000426341006E-5</v>
      </c>
      <c r="R280" s="55">
        <v>0</v>
      </c>
      <c r="S280" s="78">
        <v>1.08</v>
      </c>
    </row>
    <row r="281" spans="1:20">
      <c r="A281" s="54">
        <v>8000</v>
      </c>
      <c r="B281" s="54">
        <v>9000</v>
      </c>
      <c r="C281" s="89">
        <v>25766</v>
      </c>
      <c r="D281" s="89">
        <v>21873968105</v>
      </c>
      <c r="E281" s="55">
        <v>1.9287257751825556E-3</v>
      </c>
      <c r="F281" s="88">
        <v>8489.4698847318177</v>
      </c>
      <c r="G281" s="110">
        <v>0.01</v>
      </c>
      <c r="H281" s="57" t="str">
        <f t="shared" si="3"/>
        <v>(8000, 9000]</v>
      </c>
      <c r="I281" s="207">
        <v>9.525500000000001E-3</v>
      </c>
      <c r="J281" s="55">
        <v>1.8372077371501434E-5</v>
      </c>
      <c r="K281" s="55">
        <v>1.8721437971310941E-5</v>
      </c>
      <c r="L281" s="79">
        <v>18721</v>
      </c>
      <c r="M281" s="55">
        <v>1.8721000411862008E-5</v>
      </c>
      <c r="N281" s="55">
        <v>0.15893136920855447</v>
      </c>
      <c r="O281" s="110"/>
      <c r="P281" s="55">
        <v>1.8721000411862008E-5</v>
      </c>
      <c r="Q281" s="206">
        <v>1.9756000375364008E-5</v>
      </c>
      <c r="R281" s="55">
        <v>0</v>
      </c>
      <c r="S281" s="78">
        <v>1.06</v>
      </c>
    </row>
    <row r="282" spans="1:20">
      <c r="A282" s="54">
        <v>9000</v>
      </c>
      <c r="B282" s="54">
        <v>10000</v>
      </c>
      <c r="C282" s="89">
        <v>23648</v>
      </c>
      <c r="D282" s="89">
        <v>22458616065</v>
      </c>
      <c r="E282" s="55">
        <v>1.7701819114925512E-3</v>
      </c>
      <c r="F282" s="88">
        <v>9497.0467121955353</v>
      </c>
      <c r="G282" s="110">
        <v>0.01</v>
      </c>
      <c r="H282" s="57" t="str">
        <f t="shared" si="3"/>
        <v>(9000, 10000]</v>
      </c>
      <c r="I282" s="207">
        <v>9.525500000000001E-3</v>
      </c>
      <c r="J282" s="55">
        <v>1.6861867797922297E-5</v>
      </c>
      <c r="K282" s="55">
        <v>1.7182510484575065E-5</v>
      </c>
      <c r="L282" s="79">
        <v>17182</v>
      </c>
      <c r="M282" s="55">
        <v>1.7182000378004007E-5</v>
      </c>
      <c r="N282" s="55">
        <v>0.16317826019886539</v>
      </c>
      <c r="O282" s="110"/>
      <c r="P282" s="55">
        <v>1.7182000378004007E-5</v>
      </c>
      <c r="Q282" s="206">
        <v>1.8305000347795006E-5</v>
      </c>
      <c r="R282" s="55">
        <v>0</v>
      </c>
      <c r="S282" s="78">
        <v>1.07</v>
      </c>
    </row>
    <row r="283" spans="1:20">
      <c r="A283" s="54">
        <v>10000</v>
      </c>
      <c r="B283" s="54">
        <v>20000</v>
      </c>
      <c r="C283" s="89">
        <v>176438</v>
      </c>
      <c r="D283" s="89">
        <v>256342652640</v>
      </c>
      <c r="E283" s="55">
        <v>1.3207347602330969E-2</v>
      </c>
      <c r="F283" s="88">
        <v>14528.766628504065</v>
      </c>
      <c r="G283" s="110">
        <v>0.01</v>
      </c>
      <c r="H283" s="57" t="str">
        <f t="shared" si="3"/>
        <v>(10000, 20000]</v>
      </c>
      <c r="I283" s="207">
        <v>9.525500000000001E-3</v>
      </c>
      <c r="J283" s="55">
        <v>1.2580658958600367E-4</v>
      </c>
      <c r="K283" s="55">
        <v>1.281989083591617E-4</v>
      </c>
      <c r="L283" s="79">
        <v>128198</v>
      </c>
      <c r="M283" s="55">
        <v>1.2819800282035606E-4</v>
      </c>
      <c r="N283" s="55">
        <v>1.8625588652172591</v>
      </c>
      <c r="O283" s="110"/>
      <c r="P283" s="55">
        <v>1.2819800282035606E-4</v>
      </c>
      <c r="Q283" s="206">
        <v>9.551500181478504E-5</v>
      </c>
      <c r="R283" s="55">
        <v>0</v>
      </c>
      <c r="S283" s="78">
        <v>0.75</v>
      </c>
    </row>
    <row r="284" spans="1:20">
      <c r="A284" s="54">
        <v>20000</v>
      </c>
      <c r="B284" s="54">
        <v>30000</v>
      </c>
      <c r="C284" s="89">
        <v>92612</v>
      </c>
      <c r="D284" s="89">
        <v>225763924980</v>
      </c>
      <c r="E284" s="55">
        <v>6.9325138357217587E-3</v>
      </c>
      <c r="F284" s="88">
        <v>24377.394395974603</v>
      </c>
      <c r="G284" s="110">
        <v>0</v>
      </c>
      <c r="H284" s="57" t="str">
        <f t="shared" si="3"/>
        <v>(20000, 30000]</v>
      </c>
      <c r="I284" s="207">
        <v>0</v>
      </c>
      <c r="J284" s="55">
        <v>0</v>
      </c>
      <c r="K284" s="55">
        <v>0</v>
      </c>
      <c r="L284" s="79">
        <v>0</v>
      </c>
      <c r="M284" s="55">
        <v>0</v>
      </c>
      <c r="N284" s="55">
        <v>0</v>
      </c>
      <c r="O284" s="110"/>
      <c r="P284" s="55">
        <v>0</v>
      </c>
      <c r="Q284" s="206">
        <v>0</v>
      </c>
      <c r="R284" s="55">
        <v>0</v>
      </c>
      <c r="S284" s="78">
        <v>0</v>
      </c>
    </row>
    <row r="285" spans="1:20">
      <c r="A285" s="54">
        <v>30000</v>
      </c>
      <c r="B285" s="54">
        <v>40000</v>
      </c>
      <c r="C285" s="89">
        <v>42138</v>
      </c>
      <c r="D285" s="89">
        <v>144636428980</v>
      </c>
      <c r="E285" s="55">
        <v>3.1542593617419285E-3</v>
      </c>
      <c r="F285" s="88">
        <v>34324.464611514544</v>
      </c>
      <c r="G285" s="110">
        <v>0</v>
      </c>
      <c r="H285" s="57" t="str">
        <f t="shared" si="3"/>
        <v>(30000, 40000]</v>
      </c>
      <c r="I285" s="207">
        <v>0</v>
      </c>
      <c r="J285" s="55">
        <v>0</v>
      </c>
      <c r="K285" s="55">
        <v>0</v>
      </c>
      <c r="L285" s="79">
        <v>0</v>
      </c>
      <c r="M285" s="55">
        <v>0</v>
      </c>
      <c r="N285" s="55">
        <v>0</v>
      </c>
      <c r="O285" s="110"/>
      <c r="P285" s="55">
        <v>0</v>
      </c>
      <c r="Q285" s="206">
        <v>0</v>
      </c>
      <c r="R285" s="55">
        <v>0</v>
      </c>
      <c r="S285" s="78">
        <v>0</v>
      </c>
    </row>
    <row r="286" spans="1:20">
      <c r="A286" s="54">
        <v>40000</v>
      </c>
      <c r="B286" s="54">
        <v>50000</v>
      </c>
      <c r="C286" s="89">
        <v>18084</v>
      </c>
      <c r="D286" s="89">
        <v>80077871140</v>
      </c>
      <c r="E286" s="55">
        <v>1.3536861336024737E-3</v>
      </c>
      <c r="F286" s="88">
        <v>44281.061236452115</v>
      </c>
      <c r="G286" s="110">
        <v>0</v>
      </c>
      <c r="H286" s="57" t="str">
        <f t="shared" si="3"/>
        <v>(40000, 50000]</v>
      </c>
      <c r="I286" s="207">
        <v>0</v>
      </c>
      <c r="J286" s="55">
        <v>0</v>
      </c>
      <c r="K286" s="55">
        <v>0</v>
      </c>
      <c r="L286" s="79">
        <v>0</v>
      </c>
      <c r="M286" s="55">
        <v>0</v>
      </c>
      <c r="N286" s="55">
        <v>0</v>
      </c>
      <c r="O286" s="110"/>
      <c r="P286" s="55">
        <v>0</v>
      </c>
      <c r="Q286" s="206">
        <v>0</v>
      </c>
      <c r="R286" s="55">
        <v>0</v>
      </c>
      <c r="S286" s="78">
        <v>0</v>
      </c>
    </row>
    <row r="287" spans="1:20">
      <c r="A287" s="54">
        <v>50000</v>
      </c>
      <c r="B287" s="54">
        <v>60000</v>
      </c>
      <c r="C287" s="89">
        <v>7465</v>
      </c>
      <c r="D287" s="89">
        <v>40544821650</v>
      </c>
      <c r="E287" s="55">
        <v>5.5879600682053011E-4</v>
      </c>
      <c r="F287" s="88">
        <v>54313.223911587411</v>
      </c>
      <c r="G287" s="110">
        <v>0</v>
      </c>
      <c r="H287" s="57" t="str">
        <f t="shared" si="3"/>
        <v>(50000, 60000]</v>
      </c>
      <c r="I287" s="207">
        <v>0</v>
      </c>
      <c r="J287" s="55">
        <v>0</v>
      </c>
      <c r="K287" s="55">
        <v>0</v>
      </c>
      <c r="L287" s="79">
        <v>0</v>
      </c>
      <c r="M287" s="55">
        <v>0</v>
      </c>
      <c r="N287" s="55">
        <v>0</v>
      </c>
      <c r="O287" s="110"/>
      <c r="P287" s="55">
        <v>0</v>
      </c>
      <c r="Q287" s="206">
        <v>0</v>
      </c>
      <c r="R287" s="55">
        <v>0</v>
      </c>
      <c r="S287" s="78">
        <v>0</v>
      </c>
    </row>
    <row r="288" spans="1:20">
      <c r="A288" s="54">
        <v>60000</v>
      </c>
      <c r="B288" s="54">
        <v>70000</v>
      </c>
      <c r="C288" s="89">
        <v>3321</v>
      </c>
      <c r="D288" s="89">
        <v>21349743320</v>
      </c>
      <c r="E288" s="55">
        <v>2.4859498173489356E-4</v>
      </c>
      <c r="F288" s="88">
        <v>64287.092201144231</v>
      </c>
      <c r="G288" s="110">
        <v>0</v>
      </c>
      <c r="H288" s="57" t="str">
        <f t="shared" si="3"/>
        <v>(60000, 70000]</v>
      </c>
      <c r="I288" s="207">
        <v>0</v>
      </c>
      <c r="J288" s="55">
        <v>0</v>
      </c>
      <c r="K288" s="55">
        <v>0</v>
      </c>
      <c r="L288" s="79">
        <v>0</v>
      </c>
      <c r="M288" s="55">
        <v>0</v>
      </c>
      <c r="N288" s="55">
        <v>0</v>
      </c>
      <c r="O288" s="110"/>
      <c r="P288" s="55">
        <v>0</v>
      </c>
      <c r="Q288" s="206">
        <v>0</v>
      </c>
      <c r="R288" s="55">
        <v>0</v>
      </c>
      <c r="S288" s="78">
        <v>0</v>
      </c>
    </row>
    <row r="289" spans="1:19">
      <c r="A289" s="54">
        <v>70000</v>
      </c>
      <c r="B289" s="54">
        <v>80000</v>
      </c>
      <c r="C289" s="89">
        <v>1490</v>
      </c>
      <c r="D289" s="89">
        <v>11086317700</v>
      </c>
      <c r="E289" s="55">
        <v>1.115346349849417E-4</v>
      </c>
      <c r="F289" s="88">
        <v>74404.816778523498</v>
      </c>
      <c r="G289" s="110">
        <v>0</v>
      </c>
      <c r="H289" s="57" t="str">
        <f t="shared" si="3"/>
        <v>(70000, 80000]</v>
      </c>
      <c r="I289" s="207">
        <v>0</v>
      </c>
      <c r="J289" s="55">
        <v>0</v>
      </c>
      <c r="K289" s="55">
        <v>0</v>
      </c>
      <c r="L289" s="79">
        <v>0</v>
      </c>
      <c r="M289" s="55">
        <v>0</v>
      </c>
      <c r="N289" s="55">
        <v>0</v>
      </c>
      <c r="O289" s="110"/>
      <c r="P289" s="55">
        <v>0</v>
      </c>
      <c r="Q289" s="206">
        <v>0</v>
      </c>
      <c r="R289" s="55">
        <v>0</v>
      </c>
      <c r="S289" s="78">
        <v>0</v>
      </c>
    </row>
    <row r="290" spans="1:19">
      <c r="A290" s="54">
        <v>80000</v>
      </c>
      <c r="B290" s="54">
        <v>90000</v>
      </c>
      <c r="C290" s="89">
        <v>697</v>
      </c>
      <c r="D290" s="89">
        <v>5908910380</v>
      </c>
      <c r="E290" s="55">
        <v>5.2174255425841853E-5</v>
      </c>
      <c r="F290" s="88">
        <v>84776.332568149213</v>
      </c>
      <c r="G290" s="110">
        <v>0</v>
      </c>
      <c r="H290" s="57" t="str">
        <f t="shared" si="3"/>
        <v>(80000, 90000]</v>
      </c>
      <c r="I290" s="207">
        <v>0</v>
      </c>
      <c r="J290" s="55">
        <v>0</v>
      </c>
      <c r="K290" s="55">
        <v>0</v>
      </c>
      <c r="L290" s="79">
        <v>0</v>
      </c>
      <c r="M290" s="55">
        <v>0</v>
      </c>
      <c r="N290" s="55">
        <v>0</v>
      </c>
      <c r="O290" s="110"/>
      <c r="P290" s="55">
        <v>0</v>
      </c>
      <c r="Q290" s="206">
        <v>0</v>
      </c>
      <c r="R290" s="55">
        <v>0</v>
      </c>
      <c r="S290" s="78">
        <v>0</v>
      </c>
    </row>
    <row r="291" spans="1:19">
      <c r="A291" s="54">
        <v>90000</v>
      </c>
      <c r="B291" s="54">
        <v>100000</v>
      </c>
      <c r="C291" s="89">
        <v>338</v>
      </c>
      <c r="D291" s="89">
        <v>3186599640</v>
      </c>
      <c r="E291" s="55">
        <v>2.5301145385845836E-5</v>
      </c>
      <c r="F291" s="88">
        <v>94278.09585798817</v>
      </c>
      <c r="G291" s="110">
        <v>0</v>
      </c>
      <c r="H291" s="57" t="str">
        <f t="shared" si="3"/>
        <v>(90000, 100000]</v>
      </c>
      <c r="I291" s="207">
        <v>0</v>
      </c>
      <c r="J291" s="55">
        <v>0</v>
      </c>
      <c r="K291" s="55">
        <v>0</v>
      </c>
      <c r="L291" s="79">
        <v>0</v>
      </c>
      <c r="M291" s="55">
        <v>0</v>
      </c>
      <c r="N291" s="55">
        <v>0</v>
      </c>
      <c r="O291" s="110"/>
      <c r="P291" s="55">
        <v>0</v>
      </c>
      <c r="Q291" s="206">
        <v>0</v>
      </c>
      <c r="R291" s="55">
        <v>0</v>
      </c>
      <c r="S291" s="78">
        <v>0</v>
      </c>
    </row>
    <row r="292" spans="1:19">
      <c r="A292" s="54">
        <v>100000</v>
      </c>
      <c r="B292" s="54">
        <v>9999999</v>
      </c>
      <c r="C292" s="89">
        <v>482</v>
      </c>
      <c r="D292" s="89">
        <v>5787682590</v>
      </c>
      <c r="E292" s="55">
        <v>3.6080331585732816E-5</v>
      </c>
      <c r="F292" s="88">
        <v>120076.40228215767</v>
      </c>
      <c r="G292" s="110">
        <v>0</v>
      </c>
      <c r="H292" s="57" t="str">
        <f t="shared" si="3"/>
        <v>(100000, 9999999]</v>
      </c>
      <c r="I292" s="207">
        <v>0</v>
      </c>
      <c r="J292" s="55">
        <v>0</v>
      </c>
      <c r="K292" s="55">
        <v>0</v>
      </c>
      <c r="L292" s="79">
        <v>0</v>
      </c>
      <c r="M292" s="55">
        <v>0</v>
      </c>
      <c r="N292" s="55">
        <v>0</v>
      </c>
      <c r="O292" s="110"/>
      <c r="P292" s="55">
        <v>0</v>
      </c>
      <c r="Q292" s="206">
        <v>0</v>
      </c>
      <c r="R292" s="55">
        <v>0</v>
      </c>
      <c r="S292" s="78">
        <v>0</v>
      </c>
    </row>
  </sheetData>
  <mergeCells count="7">
    <mergeCell ref="A12:D12"/>
    <mergeCell ref="A81:B81"/>
    <mergeCell ref="A155:D155"/>
    <mergeCell ref="A80:B80"/>
    <mergeCell ref="A225:D225"/>
    <mergeCell ref="A84:D84"/>
    <mergeCell ref="A152:B152"/>
  </mergeCells>
  <phoneticPr fontId="20" type="noConversion"/>
  <conditionalFormatting sqref="M18:M79">
    <cfRule type="dataBar" priority="1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159:M222">
    <cfRule type="dataBar" priority="1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P20:P79">
    <cfRule type="dataBar" priority="1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161:P222">
    <cfRule type="dataBar" priority="1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E16:E79">
    <cfRule type="cellIs" dxfId="156" priority="98" operator="lessThan">
      <formula>0.001</formula>
    </cfRule>
  </conditionalFormatting>
  <conditionalFormatting sqref="E159:E222">
    <cfRule type="cellIs" dxfId="155" priority="96" operator="lessThan">
      <formula>0.001</formula>
    </cfRule>
  </conditionalFormatting>
  <conditionalFormatting sqref="M229:M292"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229:N292">
    <cfRule type="dataBar" priority="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231:P292"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E229:E292">
    <cfRule type="cellIs" dxfId="154" priority="70" operator="lessThan">
      <formula>0.001</formula>
    </cfRule>
  </conditionalFormatting>
  <conditionalFormatting sqref="N16:N80">
    <cfRule type="dataBar" priority="1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N159:N222">
    <cfRule type="dataBar" priority="1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conditionalFormatting sqref="R161:R222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{6988C533-F11A-4622-B2B0-FAB54984D6C1}</x14:id>
        </ext>
      </extLst>
    </cfRule>
  </conditionalFormatting>
  <conditionalFormatting sqref="R20:R7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{E2132AF4-DF74-4AEB-AE9A-8006FE23E115}</x14:id>
        </ext>
      </extLst>
    </cfRule>
  </conditionalFormatting>
  <conditionalFormatting sqref="R231:R292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{4C99EBAD-8894-4CAB-802F-5A48D33B3CC3}</x14:id>
        </ext>
      </extLst>
    </cfRule>
  </conditionalFormatting>
  <conditionalFormatting sqref="M90:M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{BCF71801-FCAC-4140-AE37-C09E900FF2B2}</x14:id>
        </ext>
      </extLst>
    </cfRule>
  </conditionalFormatting>
  <conditionalFormatting sqref="P92:P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{8D4FD008-EF53-4170-88A3-3D629D3D1E74}</x14:id>
        </ext>
      </extLst>
    </cfRule>
  </conditionalFormatting>
  <conditionalFormatting sqref="E88:E151">
    <cfRule type="cellIs" dxfId="153" priority="7" operator="lessThan">
      <formula>0.001</formula>
    </cfRule>
  </conditionalFormatting>
  <conditionalFormatting sqref="N88:N152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{A673A815-7269-44D8-914E-640876FEE23D}</x14:id>
        </ext>
      </extLst>
    </cfRule>
  </conditionalFormatting>
  <conditionalFormatting sqref="R92:R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{46CA0F0B-1328-4D7D-833A-0212FCD38A30}</x14:id>
        </ext>
      </extLst>
    </cfRule>
  </conditionalFormatting>
  <conditionalFormatting sqref="Q161:Q22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{43D99632-F611-422E-8923-6D6A4D4ABEC5}</x14:id>
        </ext>
      </extLst>
    </cfRule>
  </conditionalFormatting>
  <conditionalFormatting sqref="Q20:Q7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{3B95A2CB-69FC-44B3-A946-B34D65454811}</x14:id>
        </ext>
      </extLst>
    </cfRule>
  </conditionalFormatting>
  <conditionalFormatting sqref="Q231:Q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{4CD38BFE-4BB2-4D0B-A06A-927A65A66369}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{EB389220-4EC7-4C31-ADFE-3DDB358423DF}</x14:id>
        </ext>
      </extLst>
    </cfRule>
  </conditionalFormatting>
  <pageMargins left="0.7" right="0.7" top="0.75" bottom="0.75" header="0.3" footer="0.3"/>
  <pageSetup paperSize="9" orientation="portrait" r:id="rId1"/>
  <cellWatches>
    <cellWatch r="C7"/>
    <cellWatch r="E8"/>
    <cellWatch r="D7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6988C533-F11A-4622-B2B0-FAB54984D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E2132AF4-DF74-4AEB-AE9A-8006FE23E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C99EBAD-8894-4CAB-802F-5A48D33B3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CF71801-FCAC-4140-AE37-C09E900FF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8D4FD008-EF53-4170-88A3-3D629D3D1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A673A815-7269-44D8-914E-640876FEE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46CA0F0B-1328-4D7D-833A-0212FCD38A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43D99632-F611-422E-8923-6D6A4D4ABE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3B95A2CB-69FC-44B3-A946-B34D654548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4CD38BFE-4BB2-4D0B-A06A-927A65A663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EB389220-4EC7-4C31-ADFE-3DDB358423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30"/>
  <sheetViews>
    <sheetView workbookViewId="0">
      <selection activeCell="E22" sqref="E22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92" t="s">
        <v>56</v>
      </c>
      <c r="C2" s="112">
        <v>10000000000</v>
      </c>
    </row>
    <row r="4" spans="1:8">
      <c r="B4" s="182" t="s">
        <v>268</v>
      </c>
      <c r="C4" s="182" t="s">
        <v>46</v>
      </c>
      <c r="D4" s="121" t="s">
        <v>271</v>
      </c>
      <c r="E4" s="182" t="s">
        <v>272</v>
      </c>
      <c r="F4" s="184" t="s">
        <v>273</v>
      </c>
      <c r="G4" s="182" t="s">
        <v>274</v>
      </c>
    </row>
    <row r="5" spans="1:8">
      <c r="A5" s="15"/>
      <c r="B5" s="223" t="s">
        <v>269</v>
      </c>
      <c r="C5" s="223" t="s">
        <v>47</v>
      </c>
      <c r="D5" s="209" t="s">
        <v>91</v>
      </c>
      <c r="E5" s="225">
        <v>100000000</v>
      </c>
      <c r="F5" s="185">
        <v>32826044</v>
      </c>
      <c r="G5" s="229">
        <f>SUM(F5:F6)/E5*$C$2</f>
        <v>3415352000</v>
      </c>
      <c r="H5" s="47" t="s">
        <v>309</v>
      </c>
    </row>
    <row r="6" spans="1:8">
      <c r="B6" s="224"/>
      <c r="C6" s="224"/>
      <c r="D6" s="199" t="s">
        <v>92</v>
      </c>
      <c r="E6" s="226"/>
      <c r="F6" s="210">
        <v>1327476</v>
      </c>
      <c r="G6" s="230"/>
      <c r="H6" s="47"/>
    </row>
    <row r="7" spans="1:8">
      <c r="B7" s="223" t="s">
        <v>269</v>
      </c>
      <c r="C7" s="223" t="s">
        <v>262</v>
      </c>
      <c r="D7" s="209" t="s">
        <v>91</v>
      </c>
      <c r="E7" s="225">
        <v>100000000</v>
      </c>
      <c r="F7" s="185">
        <v>34005631</v>
      </c>
      <c r="G7" s="229">
        <f>SUM(F7:F8)/E7*$C$2</f>
        <v>4062003400</v>
      </c>
      <c r="H7" s="47" t="s">
        <v>310</v>
      </c>
    </row>
    <row r="8" spans="1:8">
      <c r="B8" s="224"/>
      <c r="C8" s="224"/>
      <c r="D8" s="199" t="s">
        <v>92</v>
      </c>
      <c r="E8" s="226"/>
      <c r="F8" s="210">
        <v>6614403</v>
      </c>
      <c r="G8" s="230"/>
      <c r="H8" s="47"/>
    </row>
    <row r="9" spans="1:8">
      <c r="A9" s="15"/>
      <c r="B9" s="223" t="s">
        <v>270</v>
      </c>
      <c r="C9" s="223" t="s">
        <v>47</v>
      </c>
      <c r="D9" s="20" t="s">
        <v>91</v>
      </c>
      <c r="E9" s="225">
        <v>100000000</v>
      </c>
      <c r="F9" s="101">
        <v>32841031</v>
      </c>
      <c r="G9" s="231">
        <f>SUM(F9:F10)/E9*$C$2</f>
        <v>3409747100</v>
      </c>
      <c r="H9" s="47" t="s">
        <v>306</v>
      </c>
    </row>
    <row r="10" spans="1:8">
      <c r="B10" s="224"/>
      <c r="C10" s="224"/>
      <c r="D10" s="8" t="s">
        <v>92</v>
      </c>
      <c r="E10" s="226"/>
      <c r="F10" s="101">
        <v>1256440</v>
      </c>
      <c r="G10" s="232"/>
      <c r="H10" s="47"/>
    </row>
    <row r="11" spans="1:8">
      <c r="B11" s="223" t="s">
        <v>270</v>
      </c>
      <c r="C11" s="223" t="s">
        <v>262</v>
      </c>
      <c r="D11" s="20" t="s">
        <v>91</v>
      </c>
      <c r="E11" s="225">
        <v>100000000</v>
      </c>
      <c r="F11" s="101">
        <v>34003101</v>
      </c>
      <c r="G11" s="231">
        <f>SUM(F11:F12)/E11*$C$2</f>
        <v>4028009900.0000005</v>
      </c>
      <c r="H11" s="47" t="s">
        <v>307</v>
      </c>
    </row>
    <row r="12" spans="1:8">
      <c r="B12" s="224"/>
      <c r="C12" s="224"/>
      <c r="D12" s="8" t="s">
        <v>92</v>
      </c>
      <c r="E12" s="226"/>
      <c r="F12" s="101">
        <v>6276998</v>
      </c>
      <c r="G12" s="232"/>
      <c r="H12" s="47"/>
    </row>
    <row r="13" spans="1:8">
      <c r="A13" s="15"/>
      <c r="B13" s="223" t="s">
        <v>270</v>
      </c>
      <c r="C13" s="223" t="s">
        <v>49</v>
      </c>
      <c r="D13" s="20" t="s">
        <v>91</v>
      </c>
      <c r="E13" s="227">
        <f>F13</f>
        <v>10000000</v>
      </c>
      <c r="F13" s="101">
        <v>10000000</v>
      </c>
      <c r="G13" s="231">
        <f>SUM(F13:F14)/E13*$C$2</f>
        <v>41001664000</v>
      </c>
      <c r="H13" s="47" t="s">
        <v>308</v>
      </c>
    </row>
    <row r="14" spans="1:8">
      <c r="B14" s="224"/>
      <c r="C14" s="224"/>
      <c r="D14" s="8" t="s">
        <v>92</v>
      </c>
      <c r="E14" s="228"/>
      <c r="F14" s="101">
        <v>31001664</v>
      </c>
      <c r="G14" s="232"/>
      <c r="H14" s="47"/>
    </row>
    <row r="15" spans="1:8">
      <c r="B15" s="183"/>
      <c r="C15" s="183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</sheetData>
  <mergeCells count="20">
    <mergeCell ref="G5:G6"/>
    <mergeCell ref="G7:G8"/>
    <mergeCell ref="G9:G10"/>
    <mergeCell ref="G11:G12"/>
    <mergeCell ref="G13:G14"/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zoomScale="70" zoomScaleNormal="70" workbookViewId="0">
      <selection activeCell="AC28" sqref="AC28:AO50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290</v>
      </c>
      <c r="W2" s="25" t="s">
        <v>291</v>
      </c>
      <c r="AC2" s="25" t="s">
        <v>292</v>
      </c>
      <c r="AH2" s="5"/>
      <c r="AI2" s="5"/>
      <c r="AJ2" s="25" t="s">
        <v>93</v>
      </c>
      <c r="AO2" s="5"/>
    </row>
    <row r="3" spans="1:41" ht="15.9" customHeight="1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297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7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>
      <c r="A4" s="201" t="s">
        <v>293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294</v>
      </c>
      <c r="AH4" s="5"/>
      <c r="AI4" s="5"/>
      <c r="AJ4" s="25" t="s">
        <v>294</v>
      </c>
      <c r="AO4" s="5"/>
    </row>
    <row r="5" spans="1:41" ht="15.9" customHeight="1">
      <c r="A5" s="201" t="s">
        <v>14</v>
      </c>
      <c r="B5" s="199" t="s">
        <v>39</v>
      </c>
      <c r="C5" s="201">
        <v>0</v>
      </c>
      <c r="D5" s="201">
        <v>6</v>
      </c>
      <c r="E5" s="201">
        <v>0</v>
      </c>
      <c r="F5" s="201">
        <v>9</v>
      </c>
      <c r="G5" s="201">
        <v>0</v>
      </c>
      <c r="H5" s="199">
        <v>1</v>
      </c>
      <c r="I5" s="82"/>
      <c r="J5" s="193">
        <v>1</v>
      </c>
      <c r="K5" s="194" t="s">
        <v>95</v>
      </c>
      <c r="L5" s="194" t="s">
        <v>94</v>
      </c>
      <c r="M5" s="194" t="s">
        <v>13</v>
      </c>
      <c r="N5" s="194" t="s">
        <v>30</v>
      </c>
      <c r="O5" s="194" t="s">
        <v>12</v>
      </c>
      <c r="Q5" s="193">
        <v>6</v>
      </c>
      <c r="R5" s="193">
        <v>17</v>
      </c>
      <c r="S5" s="193">
        <v>5</v>
      </c>
      <c r="T5" s="193">
        <v>10</v>
      </c>
      <c r="U5" s="193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>
      <c r="A6" s="200" t="s">
        <v>15</v>
      </c>
      <c r="B6" s="134" t="s">
        <v>15</v>
      </c>
      <c r="C6" s="200">
        <v>4</v>
      </c>
      <c r="D6" s="200">
        <v>22</v>
      </c>
      <c r="E6" s="200">
        <v>5</v>
      </c>
      <c r="F6" s="200">
        <v>21</v>
      </c>
      <c r="G6" s="200">
        <v>23</v>
      </c>
      <c r="H6" s="134">
        <v>2</v>
      </c>
      <c r="I6" s="82"/>
      <c r="J6" s="23">
        <v>2</v>
      </c>
      <c r="K6" s="194" t="s">
        <v>30</v>
      </c>
      <c r="L6" s="194" t="s">
        <v>14</v>
      </c>
      <c r="M6" s="194" t="s">
        <v>29</v>
      </c>
      <c r="N6" s="194" t="s">
        <v>87</v>
      </c>
      <c r="O6" s="194" t="s">
        <v>15</v>
      </c>
      <c r="Q6" s="193">
        <v>10</v>
      </c>
      <c r="R6" s="193">
        <v>1</v>
      </c>
      <c r="S6" s="193">
        <v>8</v>
      </c>
      <c r="T6" s="193">
        <v>19</v>
      </c>
      <c r="U6" s="193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99" t="s">
        <v>293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293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>
      <c r="A7" s="200" t="s">
        <v>16</v>
      </c>
      <c r="B7" s="134" t="s">
        <v>16</v>
      </c>
      <c r="C7" s="200">
        <v>4</v>
      </c>
      <c r="D7" s="200">
        <v>10</v>
      </c>
      <c r="E7" s="200">
        <v>5</v>
      </c>
      <c r="F7" s="200">
        <v>21</v>
      </c>
      <c r="G7" s="200">
        <v>23</v>
      </c>
      <c r="H7" s="134">
        <v>3</v>
      </c>
      <c r="I7" s="82"/>
      <c r="J7" s="193">
        <v>3</v>
      </c>
      <c r="K7" s="194" t="s">
        <v>31</v>
      </c>
      <c r="L7" s="24" t="s">
        <v>30</v>
      </c>
      <c r="M7" s="194" t="s">
        <v>13</v>
      </c>
      <c r="N7" s="194" t="s">
        <v>15</v>
      </c>
      <c r="O7" s="194" t="s">
        <v>13</v>
      </c>
      <c r="Q7" s="193">
        <v>7</v>
      </c>
      <c r="R7" s="193">
        <v>10</v>
      </c>
      <c r="S7" s="193">
        <v>5</v>
      </c>
      <c r="T7" s="193">
        <v>2</v>
      </c>
      <c r="U7" s="193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99" t="s">
        <v>14</v>
      </c>
      <c r="AD7" s="199">
        <v>0</v>
      </c>
      <c r="AE7" s="199">
        <v>6</v>
      </c>
      <c r="AF7" s="199">
        <v>0</v>
      </c>
      <c r="AG7" s="199">
        <v>9</v>
      </c>
      <c r="AH7" s="199">
        <v>0</v>
      </c>
      <c r="AI7" s="5"/>
      <c r="AJ7" s="199" t="s">
        <v>14</v>
      </c>
      <c r="AK7" s="199">
        <v>0</v>
      </c>
      <c r="AL7" s="199">
        <v>6</v>
      </c>
      <c r="AM7" s="199">
        <v>0</v>
      </c>
      <c r="AN7" s="199">
        <v>9</v>
      </c>
      <c r="AO7" s="199">
        <v>0</v>
      </c>
    </row>
    <row r="8" spans="1:41" ht="15.9" customHeight="1">
      <c r="A8" s="200" t="s">
        <v>12</v>
      </c>
      <c r="B8" s="134" t="s">
        <v>12</v>
      </c>
      <c r="C8" s="200">
        <v>4</v>
      </c>
      <c r="D8" s="200">
        <v>9</v>
      </c>
      <c r="E8" s="200">
        <v>5</v>
      </c>
      <c r="F8" s="200">
        <v>21</v>
      </c>
      <c r="G8" s="200">
        <v>22</v>
      </c>
      <c r="H8" s="134">
        <v>4</v>
      </c>
      <c r="I8" s="82"/>
      <c r="J8" s="23">
        <v>4</v>
      </c>
      <c r="K8" s="194" t="s">
        <v>95</v>
      </c>
      <c r="L8" s="194" t="s">
        <v>78</v>
      </c>
      <c r="M8" s="194" t="s">
        <v>12</v>
      </c>
      <c r="N8" s="194" t="s">
        <v>79</v>
      </c>
      <c r="O8" s="194" t="s">
        <v>31</v>
      </c>
      <c r="Q8" s="193">
        <v>6</v>
      </c>
      <c r="R8" s="193">
        <v>11</v>
      </c>
      <c r="S8" s="193">
        <v>4</v>
      </c>
      <c r="T8" s="193">
        <v>12</v>
      </c>
      <c r="U8" s="193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34" t="s">
        <v>15</v>
      </c>
      <c r="AD8" s="200">
        <v>4</v>
      </c>
      <c r="AE8" s="200">
        <v>22</v>
      </c>
      <c r="AF8" s="200">
        <v>5</v>
      </c>
      <c r="AG8" s="200">
        <v>21</v>
      </c>
      <c r="AH8" s="200">
        <v>23</v>
      </c>
      <c r="AI8" s="5"/>
      <c r="AJ8" s="134" t="s">
        <v>15</v>
      </c>
      <c r="AK8" s="200">
        <v>4</v>
      </c>
      <c r="AL8" s="200">
        <v>22</v>
      </c>
      <c r="AM8" s="200">
        <v>5</v>
      </c>
      <c r="AN8" s="200">
        <v>21</v>
      </c>
      <c r="AO8" s="200">
        <v>23</v>
      </c>
    </row>
    <row r="9" spans="1:41" ht="15.9" customHeight="1">
      <c r="A9" s="200" t="s">
        <v>13</v>
      </c>
      <c r="B9" s="134" t="s">
        <v>13</v>
      </c>
      <c r="C9" s="200">
        <v>43</v>
      </c>
      <c r="D9" s="200">
        <v>13</v>
      </c>
      <c r="E9" s="200">
        <v>41</v>
      </c>
      <c r="F9" s="200">
        <v>14</v>
      </c>
      <c r="G9" s="200">
        <v>22</v>
      </c>
      <c r="H9" s="134">
        <v>5</v>
      </c>
      <c r="I9" s="82"/>
      <c r="J9" s="193">
        <v>5</v>
      </c>
      <c r="K9" s="194" t="s">
        <v>29</v>
      </c>
      <c r="L9" s="194" t="s">
        <v>29</v>
      </c>
      <c r="M9" s="194" t="s">
        <v>13</v>
      </c>
      <c r="N9" s="194" t="s">
        <v>15</v>
      </c>
      <c r="O9" s="194" t="s">
        <v>29</v>
      </c>
      <c r="Q9" s="193">
        <v>8</v>
      </c>
      <c r="R9" s="193">
        <v>8</v>
      </c>
      <c r="S9" s="193">
        <v>5</v>
      </c>
      <c r="T9" s="193">
        <v>2</v>
      </c>
      <c r="U9" s="193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34" t="s">
        <v>16</v>
      </c>
      <c r="AD9" s="200">
        <v>4</v>
      </c>
      <c r="AE9" s="200">
        <v>10</v>
      </c>
      <c r="AF9" s="200">
        <v>5</v>
      </c>
      <c r="AG9" s="200">
        <v>21</v>
      </c>
      <c r="AH9" s="200">
        <v>23</v>
      </c>
      <c r="AI9" s="5"/>
      <c r="AJ9" s="134" t="s">
        <v>16</v>
      </c>
      <c r="AK9" s="200">
        <v>4</v>
      </c>
      <c r="AL9" s="200">
        <v>10</v>
      </c>
      <c r="AM9" s="200">
        <v>5</v>
      </c>
      <c r="AN9" s="200">
        <v>21</v>
      </c>
      <c r="AO9" s="200">
        <v>23</v>
      </c>
    </row>
    <row r="10" spans="1:41" ht="15.9" customHeight="1">
      <c r="A10" s="200" t="s">
        <v>95</v>
      </c>
      <c r="B10" s="134" t="s">
        <v>95</v>
      </c>
      <c r="C10" s="200">
        <v>43</v>
      </c>
      <c r="D10" s="200">
        <v>14</v>
      </c>
      <c r="E10" s="200">
        <v>41</v>
      </c>
      <c r="F10" s="200">
        <v>14</v>
      </c>
      <c r="G10" s="200">
        <v>22</v>
      </c>
      <c r="H10" s="134">
        <v>6</v>
      </c>
      <c r="I10" s="82"/>
      <c r="J10" s="23">
        <v>6</v>
      </c>
      <c r="K10" s="194" t="s">
        <v>95</v>
      </c>
      <c r="L10" s="194" t="s">
        <v>78</v>
      </c>
      <c r="M10" s="194" t="s">
        <v>31</v>
      </c>
      <c r="N10" s="194" t="s">
        <v>13</v>
      </c>
      <c r="O10" s="194" t="s">
        <v>31</v>
      </c>
      <c r="Q10" s="193">
        <v>6</v>
      </c>
      <c r="R10" s="193">
        <v>11</v>
      </c>
      <c r="S10" s="193">
        <v>7</v>
      </c>
      <c r="T10" s="193">
        <v>5</v>
      </c>
      <c r="U10" s="193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34" t="s">
        <v>12</v>
      </c>
      <c r="AD10" s="200">
        <v>4</v>
      </c>
      <c r="AE10" s="200">
        <v>9</v>
      </c>
      <c r="AF10" s="200">
        <v>5</v>
      </c>
      <c r="AG10" s="200">
        <v>21</v>
      </c>
      <c r="AH10" s="200">
        <v>22</v>
      </c>
      <c r="AI10" s="5"/>
      <c r="AJ10" s="134" t="s">
        <v>12</v>
      </c>
      <c r="AK10" s="200">
        <v>4</v>
      </c>
      <c r="AL10" s="200">
        <v>9</v>
      </c>
      <c r="AM10" s="200">
        <v>5</v>
      </c>
      <c r="AN10" s="200">
        <v>21</v>
      </c>
      <c r="AO10" s="200">
        <v>22</v>
      </c>
    </row>
    <row r="11" spans="1:41" ht="15.9" customHeight="1">
      <c r="A11" s="200" t="s">
        <v>31</v>
      </c>
      <c r="B11" s="134" t="s">
        <v>31</v>
      </c>
      <c r="C11" s="200">
        <v>47</v>
      </c>
      <c r="D11" s="200">
        <v>14</v>
      </c>
      <c r="E11" s="200">
        <v>41</v>
      </c>
      <c r="F11" s="200">
        <v>14</v>
      </c>
      <c r="G11" s="200">
        <v>22</v>
      </c>
      <c r="H11" s="134">
        <v>7</v>
      </c>
      <c r="I11" s="82"/>
      <c r="J11" s="193">
        <v>7</v>
      </c>
      <c r="K11" s="194" t="s">
        <v>29</v>
      </c>
      <c r="L11" s="194" t="s">
        <v>78</v>
      </c>
      <c r="M11" s="194" t="s">
        <v>13</v>
      </c>
      <c r="N11" s="194" t="s">
        <v>14</v>
      </c>
      <c r="O11" s="194" t="s">
        <v>31</v>
      </c>
      <c r="Q11" s="193">
        <v>8</v>
      </c>
      <c r="R11" s="193">
        <v>11</v>
      </c>
      <c r="S11" s="193">
        <v>5</v>
      </c>
      <c r="T11" s="193">
        <v>1</v>
      </c>
      <c r="U11" s="193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34" t="s">
        <v>13</v>
      </c>
      <c r="AD11" s="200">
        <v>43</v>
      </c>
      <c r="AE11" s="200">
        <v>13</v>
      </c>
      <c r="AF11" s="200">
        <v>41</v>
      </c>
      <c r="AG11" s="200">
        <v>14</v>
      </c>
      <c r="AH11" s="200">
        <v>22</v>
      </c>
      <c r="AI11" s="5"/>
      <c r="AJ11" s="134" t="s">
        <v>13</v>
      </c>
      <c r="AK11" s="200">
        <v>43</v>
      </c>
      <c r="AL11" s="200">
        <v>13</v>
      </c>
      <c r="AM11" s="200">
        <v>41</v>
      </c>
      <c r="AN11" s="200">
        <v>14</v>
      </c>
      <c r="AO11" s="200">
        <v>22</v>
      </c>
    </row>
    <row r="12" spans="1:41" ht="15.9" customHeight="1">
      <c r="A12" s="200" t="s">
        <v>29</v>
      </c>
      <c r="B12" s="134" t="s">
        <v>29</v>
      </c>
      <c r="C12" s="200">
        <v>47</v>
      </c>
      <c r="D12" s="200">
        <v>18</v>
      </c>
      <c r="E12" s="200">
        <v>41</v>
      </c>
      <c r="F12" s="200">
        <v>14</v>
      </c>
      <c r="G12" s="200">
        <v>22</v>
      </c>
      <c r="H12" s="134">
        <v>8</v>
      </c>
      <c r="I12" s="82"/>
      <c r="J12" s="23">
        <v>8</v>
      </c>
      <c r="K12" s="194" t="s">
        <v>95</v>
      </c>
      <c r="L12" s="194" t="s">
        <v>30</v>
      </c>
      <c r="M12" s="194" t="s">
        <v>95</v>
      </c>
      <c r="N12" s="194" t="s">
        <v>28</v>
      </c>
      <c r="O12" s="194" t="s">
        <v>12</v>
      </c>
      <c r="Q12" s="193">
        <v>6</v>
      </c>
      <c r="R12" s="193">
        <v>10</v>
      </c>
      <c r="S12" s="193">
        <v>6</v>
      </c>
      <c r="T12" s="193">
        <v>9</v>
      </c>
      <c r="U12" s="193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34" t="s">
        <v>95</v>
      </c>
      <c r="AD12" s="200">
        <v>43</v>
      </c>
      <c r="AE12" s="200">
        <v>14</v>
      </c>
      <c r="AF12" s="200">
        <v>41</v>
      </c>
      <c r="AG12" s="200">
        <v>14</v>
      </c>
      <c r="AH12" s="200">
        <v>22</v>
      </c>
      <c r="AI12" s="5"/>
      <c r="AJ12" s="134" t="s">
        <v>95</v>
      </c>
      <c r="AK12" s="200">
        <v>43</v>
      </c>
      <c r="AL12" s="200">
        <v>14</v>
      </c>
      <c r="AM12" s="200">
        <v>41</v>
      </c>
      <c r="AN12" s="200">
        <v>14</v>
      </c>
      <c r="AO12" s="200">
        <v>22</v>
      </c>
    </row>
    <row r="13" spans="1:41" ht="15.9" customHeight="1">
      <c r="A13" s="200" t="s">
        <v>28</v>
      </c>
      <c r="B13" s="134" t="s">
        <v>28</v>
      </c>
      <c r="C13" s="200">
        <v>4</v>
      </c>
      <c r="D13" s="200">
        <v>5</v>
      </c>
      <c r="E13" s="200">
        <v>5</v>
      </c>
      <c r="F13" s="200">
        <v>20</v>
      </c>
      <c r="G13" s="200">
        <v>22</v>
      </c>
      <c r="H13" s="134">
        <v>9</v>
      </c>
      <c r="I13" s="82"/>
      <c r="J13" s="193">
        <v>9</v>
      </c>
      <c r="K13" s="194" t="s">
        <v>29</v>
      </c>
      <c r="L13" s="194" t="s">
        <v>12</v>
      </c>
      <c r="M13" s="194" t="s">
        <v>28</v>
      </c>
      <c r="N13" s="194" t="s">
        <v>28</v>
      </c>
      <c r="O13" s="194" t="s">
        <v>95</v>
      </c>
      <c r="Q13" s="193">
        <v>8</v>
      </c>
      <c r="R13" s="193">
        <v>4</v>
      </c>
      <c r="S13" s="193">
        <v>9</v>
      </c>
      <c r="T13" s="193">
        <v>9</v>
      </c>
      <c r="U13" s="193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34" t="s">
        <v>31</v>
      </c>
      <c r="AD13" s="200">
        <v>47</v>
      </c>
      <c r="AE13" s="200">
        <v>14</v>
      </c>
      <c r="AF13" s="200">
        <v>41</v>
      </c>
      <c r="AG13" s="200">
        <v>14</v>
      </c>
      <c r="AH13" s="200">
        <v>22</v>
      </c>
      <c r="AI13" s="5"/>
      <c r="AJ13" s="134" t="s">
        <v>31</v>
      </c>
      <c r="AK13" s="200">
        <v>47</v>
      </c>
      <c r="AL13" s="200">
        <v>14</v>
      </c>
      <c r="AM13" s="200">
        <v>41</v>
      </c>
      <c r="AN13" s="200">
        <v>14</v>
      </c>
      <c r="AO13" s="200">
        <v>22</v>
      </c>
    </row>
    <row r="14" spans="1:41" ht="15.9" customHeight="1">
      <c r="A14" s="200" t="s">
        <v>30</v>
      </c>
      <c r="B14" s="134" t="s">
        <v>30</v>
      </c>
      <c r="C14" s="200">
        <v>4</v>
      </c>
      <c r="D14" s="200">
        <v>9</v>
      </c>
      <c r="E14" s="200">
        <v>4</v>
      </c>
      <c r="F14" s="200">
        <v>20</v>
      </c>
      <c r="G14" s="200">
        <v>22</v>
      </c>
      <c r="H14" s="134">
        <v>10</v>
      </c>
      <c r="I14" s="82"/>
      <c r="J14" s="23">
        <v>10</v>
      </c>
      <c r="K14" s="194" t="s">
        <v>95</v>
      </c>
      <c r="L14" s="194" t="s">
        <v>15</v>
      </c>
      <c r="M14" s="194" t="s">
        <v>95</v>
      </c>
      <c r="N14" s="194" t="s">
        <v>30</v>
      </c>
      <c r="O14" s="194" t="s">
        <v>28</v>
      </c>
      <c r="Q14" s="193">
        <v>6</v>
      </c>
      <c r="R14" s="193">
        <v>2</v>
      </c>
      <c r="S14" s="193">
        <v>6</v>
      </c>
      <c r="T14" s="193">
        <v>10</v>
      </c>
      <c r="U14" s="193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34" t="s">
        <v>29</v>
      </c>
      <c r="AD14" s="200">
        <v>47</v>
      </c>
      <c r="AE14" s="200">
        <v>18</v>
      </c>
      <c r="AF14" s="200">
        <v>41</v>
      </c>
      <c r="AG14" s="200">
        <v>14</v>
      </c>
      <c r="AH14" s="200">
        <v>22</v>
      </c>
      <c r="AI14" s="5"/>
      <c r="AJ14" s="134" t="s">
        <v>29</v>
      </c>
      <c r="AK14" s="200">
        <v>47</v>
      </c>
      <c r="AL14" s="200">
        <v>18</v>
      </c>
      <c r="AM14" s="200">
        <v>41</v>
      </c>
      <c r="AN14" s="200">
        <v>14</v>
      </c>
      <c r="AO14" s="200">
        <v>22</v>
      </c>
    </row>
    <row r="15" spans="1:41" ht="15.9" customHeight="1">
      <c r="A15" s="201" t="s">
        <v>78</v>
      </c>
      <c r="B15" s="199" t="s">
        <v>312</v>
      </c>
      <c r="C15" s="201">
        <v>0</v>
      </c>
      <c r="D15" s="201">
        <v>16</v>
      </c>
      <c r="E15" s="201">
        <v>0</v>
      </c>
      <c r="F15" s="201">
        <v>4</v>
      </c>
      <c r="G15" s="201">
        <v>0</v>
      </c>
      <c r="H15" s="199">
        <v>11</v>
      </c>
      <c r="I15" s="82"/>
      <c r="J15" s="193">
        <v>11</v>
      </c>
      <c r="K15" s="194" t="s">
        <v>95</v>
      </c>
      <c r="L15" s="194" t="s">
        <v>85</v>
      </c>
      <c r="M15" s="194" t="s">
        <v>29</v>
      </c>
      <c r="N15" s="194" t="s">
        <v>16</v>
      </c>
      <c r="O15" s="194" t="s">
        <v>29</v>
      </c>
      <c r="Q15" s="193">
        <v>6</v>
      </c>
      <c r="R15" s="193">
        <v>18</v>
      </c>
      <c r="S15" s="193">
        <v>8</v>
      </c>
      <c r="T15" s="193">
        <v>3</v>
      </c>
      <c r="U15" s="193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4" t="s">
        <v>28</v>
      </c>
      <c r="AD15" s="200">
        <v>4</v>
      </c>
      <c r="AE15" s="200">
        <v>5</v>
      </c>
      <c r="AF15" s="200">
        <v>5</v>
      </c>
      <c r="AG15" s="200">
        <v>20</v>
      </c>
      <c r="AH15" s="200">
        <v>22</v>
      </c>
      <c r="AI15" s="5"/>
      <c r="AJ15" s="134" t="s">
        <v>28</v>
      </c>
      <c r="AK15" s="200">
        <v>4</v>
      </c>
      <c r="AL15" s="200">
        <v>5</v>
      </c>
      <c r="AM15" s="200">
        <v>5</v>
      </c>
      <c r="AN15" s="200">
        <v>20</v>
      </c>
      <c r="AO15" s="200">
        <v>22</v>
      </c>
    </row>
    <row r="16" spans="1:41" ht="15.9" customHeight="1">
      <c r="A16" s="201" t="s">
        <v>79</v>
      </c>
      <c r="B16" s="199" t="s">
        <v>313</v>
      </c>
      <c r="C16" s="201">
        <v>0</v>
      </c>
      <c r="D16" s="201">
        <v>5</v>
      </c>
      <c r="E16" s="201">
        <v>0</v>
      </c>
      <c r="F16" s="201">
        <v>4</v>
      </c>
      <c r="G16" s="201">
        <v>0</v>
      </c>
      <c r="H16" s="199">
        <v>12</v>
      </c>
      <c r="I16" s="82"/>
      <c r="J16" s="23">
        <v>12</v>
      </c>
      <c r="K16" s="194" t="s">
        <v>95</v>
      </c>
      <c r="L16" s="194" t="s">
        <v>13</v>
      </c>
      <c r="M16" s="194" t="s">
        <v>95</v>
      </c>
      <c r="N16" s="194" t="s">
        <v>31</v>
      </c>
      <c r="O16" s="194" t="s">
        <v>29</v>
      </c>
      <c r="Q16" s="193">
        <v>6</v>
      </c>
      <c r="R16" s="193">
        <v>5</v>
      </c>
      <c r="S16" s="193">
        <v>6</v>
      </c>
      <c r="T16" s="193">
        <v>7</v>
      </c>
      <c r="U16" s="193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4" t="s">
        <v>30</v>
      </c>
      <c r="AD16" s="200">
        <v>4</v>
      </c>
      <c r="AE16" s="200">
        <v>9</v>
      </c>
      <c r="AF16" s="200">
        <v>4</v>
      </c>
      <c r="AG16" s="200">
        <v>20</v>
      </c>
      <c r="AH16" s="200">
        <v>22</v>
      </c>
      <c r="AI16" s="5"/>
      <c r="AJ16" s="134" t="s">
        <v>30</v>
      </c>
      <c r="AK16" s="200">
        <v>4</v>
      </c>
      <c r="AL16" s="200">
        <v>9</v>
      </c>
      <c r="AM16" s="200">
        <v>4</v>
      </c>
      <c r="AN16" s="200">
        <v>20</v>
      </c>
      <c r="AO16" s="200">
        <v>22</v>
      </c>
    </row>
    <row r="17" spans="1:41" ht="15.9" customHeight="1">
      <c r="A17" s="201" t="s">
        <v>80</v>
      </c>
      <c r="B17" s="199" t="s">
        <v>314</v>
      </c>
      <c r="C17" s="201">
        <v>0</v>
      </c>
      <c r="D17" s="201">
        <v>7</v>
      </c>
      <c r="E17" s="201">
        <v>0</v>
      </c>
      <c r="F17" s="201">
        <v>4</v>
      </c>
      <c r="G17" s="201">
        <v>0</v>
      </c>
      <c r="H17" s="199">
        <v>13</v>
      </c>
      <c r="I17" s="82"/>
      <c r="J17" s="193">
        <v>13</v>
      </c>
      <c r="K17" s="194" t="s">
        <v>29</v>
      </c>
      <c r="L17" s="194" t="s">
        <v>82</v>
      </c>
      <c r="M17" s="194" t="s">
        <v>29</v>
      </c>
      <c r="N17" s="194" t="s">
        <v>13</v>
      </c>
      <c r="O17" s="194" t="s">
        <v>12</v>
      </c>
      <c r="Q17" s="193">
        <v>8</v>
      </c>
      <c r="R17" s="193">
        <v>16</v>
      </c>
      <c r="S17" s="193">
        <v>8</v>
      </c>
      <c r="T17" s="193">
        <v>5</v>
      </c>
      <c r="U17" s="193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99" t="s">
        <v>78</v>
      </c>
      <c r="AD17" s="201">
        <v>0</v>
      </c>
      <c r="AE17" s="201">
        <v>48</v>
      </c>
      <c r="AF17" s="201">
        <v>0</v>
      </c>
      <c r="AG17" s="201">
        <v>12</v>
      </c>
      <c r="AH17" s="201">
        <v>0</v>
      </c>
      <c r="AI17" s="5"/>
      <c r="AJ17" s="199" t="s">
        <v>78</v>
      </c>
      <c r="AK17" s="201">
        <v>0</v>
      </c>
      <c r="AL17" s="201">
        <v>48</v>
      </c>
      <c r="AM17" s="201">
        <v>0</v>
      </c>
      <c r="AN17" s="201">
        <v>12</v>
      </c>
      <c r="AO17" s="201">
        <v>0</v>
      </c>
    </row>
    <row r="18" spans="1:41" ht="15.9" customHeight="1">
      <c r="A18" s="201" t="s">
        <v>81</v>
      </c>
      <c r="B18" s="199" t="s">
        <v>315</v>
      </c>
      <c r="C18" s="201">
        <v>0</v>
      </c>
      <c r="D18" s="201">
        <v>10</v>
      </c>
      <c r="E18" s="201">
        <v>3</v>
      </c>
      <c r="F18" s="201">
        <v>3</v>
      </c>
      <c r="G18" s="201">
        <v>0</v>
      </c>
      <c r="H18" s="199">
        <v>14</v>
      </c>
      <c r="I18" s="82"/>
      <c r="J18" s="23">
        <v>14</v>
      </c>
      <c r="K18" s="194" t="s">
        <v>31</v>
      </c>
      <c r="L18" s="194" t="s">
        <v>12</v>
      </c>
      <c r="M18" s="194" t="s">
        <v>12</v>
      </c>
      <c r="N18" s="194" t="s">
        <v>14</v>
      </c>
      <c r="O18" s="194" t="s">
        <v>30</v>
      </c>
      <c r="Q18" s="193">
        <v>7</v>
      </c>
      <c r="R18" s="193">
        <v>4</v>
      </c>
      <c r="S18" s="193">
        <v>4</v>
      </c>
      <c r="T18" s="193">
        <v>1</v>
      </c>
      <c r="U18" s="193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99" t="s">
        <v>79</v>
      </c>
      <c r="AD18" s="201">
        <v>0</v>
      </c>
      <c r="AE18" s="201">
        <v>15</v>
      </c>
      <c r="AF18" s="201">
        <v>0</v>
      </c>
      <c r="AG18" s="201">
        <v>12</v>
      </c>
      <c r="AH18" s="201">
        <v>0</v>
      </c>
      <c r="AI18" s="5"/>
      <c r="AJ18" s="199" t="s">
        <v>79</v>
      </c>
      <c r="AK18" s="201">
        <v>0</v>
      </c>
      <c r="AL18" s="201">
        <v>15</v>
      </c>
      <c r="AM18" s="201">
        <v>0</v>
      </c>
      <c r="AN18" s="201">
        <v>12</v>
      </c>
      <c r="AO18" s="201">
        <v>0</v>
      </c>
    </row>
    <row r="19" spans="1:41" ht="15.9" customHeight="1">
      <c r="A19" s="201" t="s">
        <v>96</v>
      </c>
      <c r="B19" s="199" t="s">
        <v>316</v>
      </c>
      <c r="C19" s="201">
        <v>0</v>
      </c>
      <c r="D19" s="201">
        <v>11</v>
      </c>
      <c r="E19" s="201">
        <v>3</v>
      </c>
      <c r="F19" s="201">
        <v>3</v>
      </c>
      <c r="G19" s="201">
        <v>0</v>
      </c>
      <c r="H19" s="199">
        <v>15</v>
      </c>
      <c r="I19" s="82"/>
      <c r="J19" s="193">
        <v>15</v>
      </c>
      <c r="K19" s="194" t="s">
        <v>15</v>
      </c>
      <c r="L19" s="194" t="s">
        <v>78</v>
      </c>
      <c r="M19" s="194" t="s">
        <v>29</v>
      </c>
      <c r="N19" s="194" t="s">
        <v>30</v>
      </c>
      <c r="O19" s="194" t="s">
        <v>31</v>
      </c>
      <c r="Q19" s="193">
        <v>2</v>
      </c>
      <c r="R19" s="193">
        <v>11</v>
      </c>
      <c r="S19" s="193">
        <v>8</v>
      </c>
      <c r="T19" s="193">
        <v>10</v>
      </c>
      <c r="U19" s="193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99" t="s">
        <v>80</v>
      </c>
      <c r="AD19" s="201">
        <v>0</v>
      </c>
      <c r="AE19" s="201">
        <v>21</v>
      </c>
      <c r="AF19" s="201">
        <v>0</v>
      </c>
      <c r="AG19" s="201">
        <v>12</v>
      </c>
      <c r="AH19" s="201">
        <v>0</v>
      </c>
      <c r="AI19" s="5"/>
      <c r="AJ19" s="199" t="s">
        <v>80</v>
      </c>
      <c r="AK19" s="201">
        <v>0</v>
      </c>
      <c r="AL19" s="201">
        <v>21</v>
      </c>
      <c r="AM19" s="201">
        <v>0</v>
      </c>
      <c r="AN19" s="201">
        <v>12</v>
      </c>
      <c r="AO19" s="201">
        <v>0</v>
      </c>
    </row>
    <row r="20" spans="1:41" ht="15.9" customHeight="1">
      <c r="A20" s="201" t="s">
        <v>82</v>
      </c>
      <c r="B20" s="199" t="s">
        <v>317</v>
      </c>
      <c r="C20" s="201">
        <v>0</v>
      </c>
      <c r="D20" s="201">
        <v>11</v>
      </c>
      <c r="E20" s="201">
        <v>3</v>
      </c>
      <c r="F20" s="201">
        <v>3</v>
      </c>
      <c r="G20" s="201">
        <v>0</v>
      </c>
      <c r="H20" s="199">
        <v>16</v>
      </c>
      <c r="I20" s="82"/>
      <c r="J20" s="23">
        <v>16</v>
      </c>
      <c r="K20" s="194" t="s">
        <v>12</v>
      </c>
      <c r="L20" s="194" t="s">
        <v>78</v>
      </c>
      <c r="M20" s="194" t="s">
        <v>13</v>
      </c>
      <c r="N20" s="194" t="s">
        <v>15</v>
      </c>
      <c r="O20" s="194" t="s">
        <v>15</v>
      </c>
      <c r="Q20" s="193">
        <v>4</v>
      </c>
      <c r="R20" s="193">
        <v>11</v>
      </c>
      <c r="S20" s="193">
        <v>5</v>
      </c>
      <c r="T20" s="193">
        <v>2</v>
      </c>
      <c r="U20" s="193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99" t="s">
        <v>81</v>
      </c>
      <c r="AD20" s="201">
        <v>0</v>
      </c>
      <c r="AE20" s="201">
        <v>30</v>
      </c>
      <c r="AF20" s="201">
        <v>9</v>
      </c>
      <c r="AG20" s="201">
        <v>9</v>
      </c>
      <c r="AH20" s="201">
        <v>0</v>
      </c>
      <c r="AI20" s="5"/>
      <c r="AJ20" s="199" t="s">
        <v>81</v>
      </c>
      <c r="AK20" s="201">
        <v>0</v>
      </c>
      <c r="AL20" s="201">
        <v>30</v>
      </c>
      <c r="AM20" s="201">
        <v>9</v>
      </c>
      <c r="AN20" s="201">
        <v>9</v>
      </c>
      <c r="AO20" s="201">
        <v>0</v>
      </c>
    </row>
    <row r="21" spans="1:41" ht="15.9" customHeight="1">
      <c r="A21" s="201" t="s">
        <v>94</v>
      </c>
      <c r="B21" s="199" t="s">
        <v>318</v>
      </c>
      <c r="C21" s="201">
        <v>0</v>
      </c>
      <c r="D21" s="201">
        <v>8</v>
      </c>
      <c r="E21" s="201">
        <v>3</v>
      </c>
      <c r="F21" s="201">
        <v>3</v>
      </c>
      <c r="G21" s="201">
        <v>0</v>
      </c>
      <c r="H21" s="199">
        <v>17</v>
      </c>
      <c r="I21" s="82"/>
      <c r="J21" s="193">
        <v>17</v>
      </c>
      <c r="K21" s="194" t="s">
        <v>13</v>
      </c>
      <c r="L21" s="194" t="s">
        <v>95</v>
      </c>
      <c r="M21" s="194" t="s">
        <v>31</v>
      </c>
      <c r="N21" s="194" t="s">
        <v>12</v>
      </c>
      <c r="O21" s="194" t="s">
        <v>12</v>
      </c>
      <c r="Q21" s="193">
        <v>5</v>
      </c>
      <c r="R21" s="193">
        <v>6</v>
      </c>
      <c r="S21" s="193">
        <v>7</v>
      </c>
      <c r="T21" s="193">
        <v>4</v>
      </c>
      <c r="U21" s="193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99" t="s">
        <v>96</v>
      </c>
      <c r="AD21" s="201">
        <v>0</v>
      </c>
      <c r="AE21" s="201">
        <v>33</v>
      </c>
      <c r="AF21" s="201">
        <v>9</v>
      </c>
      <c r="AG21" s="201">
        <v>9</v>
      </c>
      <c r="AH21" s="201">
        <v>0</v>
      </c>
      <c r="AI21" s="5"/>
      <c r="AJ21" s="199" t="s">
        <v>96</v>
      </c>
      <c r="AK21" s="201">
        <v>0</v>
      </c>
      <c r="AL21" s="201">
        <v>33</v>
      </c>
      <c r="AM21" s="201">
        <v>9</v>
      </c>
      <c r="AN21" s="201">
        <v>9</v>
      </c>
      <c r="AO21" s="201">
        <v>0</v>
      </c>
    </row>
    <row r="22" spans="1:41" ht="15.9" customHeight="1">
      <c r="A22" s="201" t="s">
        <v>85</v>
      </c>
      <c r="B22" s="199" t="s">
        <v>319</v>
      </c>
      <c r="C22" s="201">
        <v>0</v>
      </c>
      <c r="D22" s="201">
        <v>6</v>
      </c>
      <c r="E22" s="201">
        <v>0</v>
      </c>
      <c r="F22" s="201">
        <v>4</v>
      </c>
      <c r="G22" s="201">
        <v>0</v>
      </c>
      <c r="H22" s="199">
        <v>18</v>
      </c>
      <c r="I22" s="82"/>
      <c r="J22" s="23">
        <v>18</v>
      </c>
      <c r="K22" s="194" t="s">
        <v>13</v>
      </c>
      <c r="L22" s="194" t="s">
        <v>12</v>
      </c>
      <c r="M22" s="194" t="s">
        <v>13</v>
      </c>
      <c r="N22" s="194" t="s">
        <v>30</v>
      </c>
      <c r="O22" s="194" t="s">
        <v>12</v>
      </c>
      <c r="Q22" s="193">
        <v>5</v>
      </c>
      <c r="R22" s="193">
        <v>4</v>
      </c>
      <c r="S22" s="193">
        <v>5</v>
      </c>
      <c r="T22" s="193">
        <v>10</v>
      </c>
      <c r="U22" s="193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9" t="s">
        <v>82</v>
      </c>
      <c r="AD22" s="201">
        <v>0</v>
      </c>
      <c r="AE22" s="201">
        <v>33</v>
      </c>
      <c r="AF22" s="201">
        <v>9</v>
      </c>
      <c r="AG22" s="201">
        <v>9</v>
      </c>
      <c r="AH22" s="201">
        <v>0</v>
      </c>
      <c r="AI22" s="5"/>
      <c r="AJ22" s="199" t="s">
        <v>82</v>
      </c>
      <c r="AK22" s="201">
        <v>0</v>
      </c>
      <c r="AL22" s="201">
        <v>33</v>
      </c>
      <c r="AM22" s="201">
        <v>9</v>
      </c>
      <c r="AN22" s="201">
        <v>9</v>
      </c>
      <c r="AO22" s="201">
        <v>0</v>
      </c>
    </row>
    <row r="23" spans="1:41" ht="15.9" customHeight="1">
      <c r="A23" s="201" t="s">
        <v>87</v>
      </c>
      <c r="B23" s="199" t="s">
        <v>320</v>
      </c>
      <c r="C23" s="201">
        <v>0</v>
      </c>
      <c r="D23" s="201">
        <v>6</v>
      </c>
      <c r="E23" s="201">
        <v>0</v>
      </c>
      <c r="F23" s="201">
        <v>4</v>
      </c>
      <c r="G23" s="201">
        <v>0</v>
      </c>
      <c r="H23" s="199">
        <v>19</v>
      </c>
      <c r="I23" s="82"/>
      <c r="J23" s="193">
        <v>19</v>
      </c>
      <c r="K23" s="194" t="s">
        <v>29</v>
      </c>
      <c r="L23" s="194" t="s">
        <v>82</v>
      </c>
      <c r="M23" s="194" t="s">
        <v>31</v>
      </c>
      <c r="N23" s="194" t="s">
        <v>28</v>
      </c>
      <c r="O23" s="194" t="s">
        <v>16</v>
      </c>
      <c r="Q23" s="193">
        <v>8</v>
      </c>
      <c r="R23" s="193">
        <v>16</v>
      </c>
      <c r="S23" s="193">
        <v>7</v>
      </c>
      <c r="T23" s="193">
        <v>9</v>
      </c>
      <c r="U23" s="193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9" t="s">
        <v>94</v>
      </c>
      <c r="AD23" s="201">
        <v>0</v>
      </c>
      <c r="AE23" s="201">
        <v>24</v>
      </c>
      <c r="AF23" s="201">
        <v>9</v>
      </c>
      <c r="AG23" s="201">
        <v>9</v>
      </c>
      <c r="AH23" s="201">
        <v>0</v>
      </c>
      <c r="AI23" s="5"/>
      <c r="AJ23" s="199" t="s">
        <v>94</v>
      </c>
      <c r="AK23" s="201">
        <v>0</v>
      </c>
      <c r="AL23" s="201">
        <v>24</v>
      </c>
      <c r="AM23" s="201">
        <v>9</v>
      </c>
      <c r="AN23" s="201">
        <v>9</v>
      </c>
      <c r="AO23" s="201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31</v>
      </c>
      <c r="L24" s="194" t="s">
        <v>31</v>
      </c>
      <c r="M24" s="194" t="s">
        <v>13</v>
      </c>
      <c r="N24" s="194" t="s">
        <v>94</v>
      </c>
      <c r="O24" s="194" t="s">
        <v>31</v>
      </c>
      <c r="Q24" s="193">
        <v>7</v>
      </c>
      <c r="R24" s="193">
        <v>7</v>
      </c>
      <c r="S24" s="193">
        <v>5</v>
      </c>
      <c r="T24" s="193">
        <v>17</v>
      </c>
      <c r="U24" s="193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99" t="s">
        <v>85</v>
      </c>
      <c r="AD24" s="201">
        <v>0</v>
      </c>
      <c r="AE24" s="201">
        <v>18</v>
      </c>
      <c r="AF24" s="201">
        <v>0</v>
      </c>
      <c r="AG24" s="201">
        <v>12</v>
      </c>
      <c r="AH24" s="201">
        <v>0</v>
      </c>
      <c r="AI24" s="5"/>
      <c r="AJ24" s="199" t="s">
        <v>85</v>
      </c>
      <c r="AK24" s="201">
        <v>0</v>
      </c>
      <c r="AL24" s="201">
        <v>18</v>
      </c>
      <c r="AM24" s="201">
        <v>0</v>
      </c>
      <c r="AN24" s="201">
        <v>12</v>
      </c>
      <c r="AO24" s="201">
        <v>0</v>
      </c>
    </row>
    <row r="25" spans="1:41" ht="16.5" customHeight="1">
      <c r="I25" s="82"/>
      <c r="J25" s="193">
        <v>21</v>
      </c>
      <c r="K25" s="194" t="s">
        <v>13</v>
      </c>
      <c r="L25" s="194" t="s">
        <v>29</v>
      </c>
      <c r="M25" s="194" t="s">
        <v>13</v>
      </c>
      <c r="N25" s="194" t="s">
        <v>15</v>
      </c>
      <c r="O25" s="194" t="s">
        <v>16</v>
      </c>
      <c r="Q25" s="193">
        <v>5</v>
      </c>
      <c r="R25" s="193">
        <v>8</v>
      </c>
      <c r="S25" s="193">
        <v>5</v>
      </c>
      <c r="T25" s="193">
        <v>2</v>
      </c>
      <c r="U25" s="193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99" t="s">
        <v>87</v>
      </c>
      <c r="AD25" s="201">
        <v>0</v>
      </c>
      <c r="AE25" s="201">
        <v>18</v>
      </c>
      <c r="AF25" s="201">
        <v>0</v>
      </c>
      <c r="AG25" s="201">
        <v>12</v>
      </c>
      <c r="AH25" s="201">
        <v>0</v>
      </c>
      <c r="AI25" s="5"/>
      <c r="AJ25" s="199" t="s">
        <v>87</v>
      </c>
      <c r="AK25" s="201">
        <v>0</v>
      </c>
      <c r="AL25" s="201">
        <v>18</v>
      </c>
      <c r="AM25" s="201">
        <v>0</v>
      </c>
      <c r="AN25" s="201">
        <v>12</v>
      </c>
      <c r="AO25" s="201">
        <v>0</v>
      </c>
    </row>
    <row r="26" spans="1:41" ht="16.5" customHeight="1">
      <c r="B26" s="5" t="s">
        <v>298</v>
      </c>
      <c r="C26" s="5">
        <v>1</v>
      </c>
      <c r="D26" s="156">
        <v>0.6</v>
      </c>
      <c r="E26" s="156">
        <v>0.94</v>
      </c>
      <c r="F26" s="156">
        <v>0.84</v>
      </c>
      <c r="G26" s="5">
        <v>1</v>
      </c>
      <c r="I26" s="82"/>
      <c r="J26" s="23">
        <v>22</v>
      </c>
      <c r="K26" s="194" t="s">
        <v>28</v>
      </c>
      <c r="L26" s="194" t="s">
        <v>81</v>
      </c>
      <c r="M26" s="194" t="s">
        <v>13</v>
      </c>
      <c r="N26" s="194" t="s">
        <v>15</v>
      </c>
      <c r="O26" s="194" t="s">
        <v>15</v>
      </c>
      <c r="Q26" s="193">
        <v>9</v>
      </c>
      <c r="R26" s="193">
        <v>14</v>
      </c>
      <c r="S26" s="193">
        <v>5</v>
      </c>
      <c r="T26" s="193">
        <v>2</v>
      </c>
      <c r="U26" s="193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103">
        <v>200</v>
      </c>
      <c r="AE26" s="103">
        <v>360</v>
      </c>
      <c r="AF26" s="103">
        <v>224</v>
      </c>
      <c r="AG26" s="103">
        <v>264</v>
      </c>
      <c r="AH26" s="103">
        <v>200</v>
      </c>
      <c r="AI26" s="5"/>
      <c r="AK26" s="103">
        <v>200</v>
      </c>
      <c r="AL26" s="103">
        <v>360</v>
      </c>
      <c r="AM26" s="103">
        <v>224</v>
      </c>
      <c r="AN26" s="103">
        <v>264</v>
      </c>
      <c r="AO26" s="103">
        <v>200</v>
      </c>
    </row>
    <row r="27" spans="1:41" ht="16.5" customHeight="1">
      <c r="B27" s="5" t="s">
        <v>321</v>
      </c>
      <c r="C27" s="5">
        <v>0</v>
      </c>
      <c r="D27" s="156">
        <v>0.4</v>
      </c>
      <c r="E27" s="156">
        <v>0.06</v>
      </c>
      <c r="F27" s="156">
        <v>0.16</v>
      </c>
      <c r="G27" s="5">
        <v>0</v>
      </c>
      <c r="I27" s="82"/>
      <c r="J27" s="193">
        <v>23</v>
      </c>
      <c r="K27" s="194" t="s">
        <v>31</v>
      </c>
      <c r="L27" s="194" t="s">
        <v>95</v>
      </c>
      <c r="M27" s="194" t="s">
        <v>95</v>
      </c>
      <c r="N27" s="194" t="s">
        <v>31</v>
      </c>
      <c r="O27" s="194" t="s">
        <v>15</v>
      </c>
      <c r="Q27" s="193">
        <v>7</v>
      </c>
      <c r="R27" s="193">
        <v>6</v>
      </c>
      <c r="S27" s="193">
        <v>6</v>
      </c>
      <c r="T27" s="193">
        <v>7</v>
      </c>
      <c r="U27" s="193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4" t="s">
        <v>29</v>
      </c>
      <c r="L28" s="194" t="s">
        <v>13</v>
      </c>
      <c r="M28" s="194" t="s">
        <v>31</v>
      </c>
      <c r="N28" s="194" t="s">
        <v>13</v>
      </c>
      <c r="O28" s="194" t="s">
        <v>30</v>
      </c>
      <c r="Q28" s="193">
        <v>8</v>
      </c>
      <c r="R28" s="193">
        <v>5</v>
      </c>
      <c r="S28" s="193">
        <v>7</v>
      </c>
      <c r="T28" s="193">
        <v>5</v>
      </c>
      <c r="U28" s="193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295</v>
      </c>
      <c r="AH28" s="5"/>
      <c r="AI28" s="5"/>
      <c r="AJ28" s="25" t="s">
        <v>295</v>
      </c>
      <c r="AO28" s="5"/>
    </row>
    <row r="29" spans="1:41" ht="16.5" customHeight="1">
      <c r="I29" s="82"/>
      <c r="J29" s="193">
        <v>25</v>
      </c>
      <c r="K29" s="194" t="s">
        <v>13</v>
      </c>
      <c r="L29" s="194" t="s">
        <v>85</v>
      </c>
      <c r="M29" s="194" t="s">
        <v>29</v>
      </c>
      <c r="N29" s="194" t="s">
        <v>28</v>
      </c>
      <c r="O29" s="194" t="s">
        <v>29</v>
      </c>
      <c r="Q29" s="193">
        <v>5</v>
      </c>
      <c r="R29" s="193">
        <v>18</v>
      </c>
      <c r="S29" s="193">
        <v>8</v>
      </c>
      <c r="T29" s="193">
        <v>9</v>
      </c>
      <c r="U29" s="193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>
      <c r="I30" s="82"/>
      <c r="J30" s="23">
        <v>26</v>
      </c>
      <c r="K30" s="194" t="s">
        <v>31</v>
      </c>
      <c r="L30" s="194" t="s">
        <v>81</v>
      </c>
      <c r="M30" s="194" t="s">
        <v>31</v>
      </c>
      <c r="N30" s="194" t="s">
        <v>16</v>
      </c>
      <c r="O30" s="194" t="s">
        <v>16</v>
      </c>
      <c r="Q30" s="193">
        <v>7</v>
      </c>
      <c r="R30" s="193">
        <v>14</v>
      </c>
      <c r="S30" s="193">
        <v>7</v>
      </c>
      <c r="T30" s="193">
        <v>3</v>
      </c>
      <c r="U30" s="193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99" t="s">
        <v>293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293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>
      <c r="I31" s="82"/>
      <c r="J31" s="193">
        <v>27</v>
      </c>
      <c r="K31" s="194" t="s">
        <v>29</v>
      </c>
      <c r="L31" s="194" t="s">
        <v>29</v>
      </c>
      <c r="M31" s="194" t="s">
        <v>31</v>
      </c>
      <c r="N31" s="194" t="s">
        <v>31</v>
      </c>
      <c r="O31" s="194" t="s">
        <v>12</v>
      </c>
      <c r="Q31" s="193">
        <v>8</v>
      </c>
      <c r="R31" s="193">
        <v>8</v>
      </c>
      <c r="S31" s="193">
        <v>7</v>
      </c>
      <c r="T31" s="193">
        <v>7</v>
      </c>
      <c r="U31" s="193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99" t="s">
        <v>14</v>
      </c>
      <c r="AD31" s="199">
        <v>0</v>
      </c>
      <c r="AE31" s="199">
        <v>6</v>
      </c>
      <c r="AF31" s="199">
        <v>0</v>
      </c>
      <c r="AG31" s="199">
        <v>9</v>
      </c>
      <c r="AH31" s="199">
        <v>0</v>
      </c>
      <c r="AI31" s="5"/>
      <c r="AJ31" s="199" t="s">
        <v>14</v>
      </c>
      <c r="AK31" s="199">
        <v>0</v>
      </c>
      <c r="AL31" s="199">
        <v>6</v>
      </c>
      <c r="AM31" s="199">
        <v>0</v>
      </c>
      <c r="AN31" s="199">
        <v>9</v>
      </c>
      <c r="AO31" s="199">
        <v>0</v>
      </c>
    </row>
    <row r="32" spans="1:41" ht="16.5" customHeight="1">
      <c r="J32" s="23">
        <v>28</v>
      </c>
      <c r="K32" s="194" t="s">
        <v>13</v>
      </c>
      <c r="L32" s="194" t="s">
        <v>16</v>
      </c>
      <c r="M32" s="194" t="s">
        <v>95</v>
      </c>
      <c r="N32" s="194" t="s">
        <v>16</v>
      </c>
      <c r="O32" s="194" t="s">
        <v>95</v>
      </c>
      <c r="Q32" s="193">
        <v>5</v>
      </c>
      <c r="R32" s="193">
        <v>3</v>
      </c>
      <c r="S32" s="193">
        <v>6</v>
      </c>
      <c r="T32" s="193">
        <v>3</v>
      </c>
      <c r="U32" s="193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34" t="s">
        <v>15</v>
      </c>
      <c r="AD32" s="200">
        <v>4</v>
      </c>
      <c r="AE32" s="200">
        <v>22</v>
      </c>
      <c r="AF32" s="200">
        <v>5</v>
      </c>
      <c r="AG32" s="200">
        <v>21</v>
      </c>
      <c r="AH32" s="200">
        <v>23</v>
      </c>
      <c r="AI32" s="5"/>
      <c r="AJ32" s="134" t="s">
        <v>15</v>
      </c>
      <c r="AK32" s="200">
        <v>4</v>
      </c>
      <c r="AL32" s="200">
        <v>22</v>
      </c>
      <c r="AM32" s="200">
        <v>5</v>
      </c>
      <c r="AN32" s="200">
        <v>21</v>
      </c>
      <c r="AO32" s="200">
        <v>23</v>
      </c>
    </row>
    <row r="33" spans="10:41" ht="16.5" customHeight="1">
      <c r="J33" s="193">
        <v>29</v>
      </c>
      <c r="K33" s="194" t="s">
        <v>28</v>
      </c>
      <c r="L33" s="194" t="s">
        <v>15</v>
      </c>
      <c r="M33" s="194" t="s">
        <v>94</v>
      </c>
      <c r="N33" s="194" t="s">
        <v>16</v>
      </c>
      <c r="O33" s="194" t="s">
        <v>28</v>
      </c>
      <c r="Q33" s="193">
        <v>9</v>
      </c>
      <c r="R33" s="193">
        <v>2</v>
      </c>
      <c r="S33" s="193">
        <v>17</v>
      </c>
      <c r="T33" s="193">
        <v>3</v>
      </c>
      <c r="U33" s="193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34" t="s">
        <v>16</v>
      </c>
      <c r="AD33" s="200">
        <v>4</v>
      </c>
      <c r="AE33" s="200">
        <v>10</v>
      </c>
      <c r="AF33" s="200">
        <v>5</v>
      </c>
      <c r="AG33" s="200">
        <v>21</v>
      </c>
      <c r="AH33" s="200">
        <v>23</v>
      </c>
      <c r="AI33" s="5"/>
      <c r="AJ33" s="134" t="s">
        <v>16</v>
      </c>
      <c r="AK33" s="200">
        <v>4</v>
      </c>
      <c r="AL33" s="200">
        <v>10</v>
      </c>
      <c r="AM33" s="200">
        <v>5</v>
      </c>
      <c r="AN33" s="200">
        <v>21</v>
      </c>
      <c r="AO33" s="200">
        <v>23</v>
      </c>
    </row>
    <row r="34" spans="10:41" ht="16.5" customHeight="1">
      <c r="J34" s="23">
        <v>30</v>
      </c>
      <c r="K34" s="194" t="s">
        <v>13</v>
      </c>
      <c r="L34" s="194" t="s">
        <v>96</v>
      </c>
      <c r="M34" s="194" t="s">
        <v>13</v>
      </c>
      <c r="N34" s="194" t="s">
        <v>12</v>
      </c>
      <c r="O34" s="194" t="s">
        <v>15</v>
      </c>
      <c r="Q34" s="193">
        <v>5</v>
      </c>
      <c r="R34" s="193">
        <v>15</v>
      </c>
      <c r="S34" s="193">
        <v>5</v>
      </c>
      <c r="T34" s="193">
        <v>4</v>
      </c>
      <c r="U34" s="193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34" t="s">
        <v>12</v>
      </c>
      <c r="AD34" s="200">
        <v>4</v>
      </c>
      <c r="AE34" s="200">
        <v>9</v>
      </c>
      <c r="AF34" s="200">
        <v>5</v>
      </c>
      <c r="AG34" s="200">
        <v>21</v>
      </c>
      <c r="AH34" s="200">
        <v>22</v>
      </c>
      <c r="AI34" s="5"/>
      <c r="AJ34" s="134" t="s">
        <v>12</v>
      </c>
      <c r="AK34" s="200">
        <v>4</v>
      </c>
      <c r="AL34" s="200">
        <v>9</v>
      </c>
      <c r="AM34" s="200">
        <v>5</v>
      </c>
      <c r="AN34" s="200">
        <v>21</v>
      </c>
      <c r="AO34" s="200">
        <v>22</v>
      </c>
    </row>
    <row r="35" spans="10:41" ht="16.5" customHeight="1">
      <c r="J35" s="193">
        <v>31</v>
      </c>
      <c r="K35" s="194" t="s">
        <v>13</v>
      </c>
      <c r="L35" s="194" t="s">
        <v>80</v>
      </c>
      <c r="M35" s="194" t="s">
        <v>30</v>
      </c>
      <c r="N35" s="194" t="s">
        <v>30</v>
      </c>
      <c r="O35" s="194" t="s">
        <v>15</v>
      </c>
      <c r="Q35" s="193">
        <v>5</v>
      </c>
      <c r="R35" s="193">
        <v>13</v>
      </c>
      <c r="S35" s="193">
        <v>10</v>
      </c>
      <c r="T35" s="193">
        <v>10</v>
      </c>
      <c r="U35" s="193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34" t="s">
        <v>13</v>
      </c>
      <c r="AD35" s="200">
        <v>43</v>
      </c>
      <c r="AE35" s="200">
        <v>13</v>
      </c>
      <c r="AF35" s="200">
        <v>41</v>
      </c>
      <c r="AG35" s="200">
        <v>14</v>
      </c>
      <c r="AH35" s="200">
        <v>22</v>
      </c>
      <c r="AI35" s="5"/>
      <c r="AJ35" s="134" t="s">
        <v>13</v>
      </c>
      <c r="AK35" s="200">
        <v>43</v>
      </c>
      <c r="AL35" s="200">
        <v>13</v>
      </c>
      <c r="AM35" s="200">
        <v>41</v>
      </c>
      <c r="AN35" s="200">
        <v>14</v>
      </c>
      <c r="AO35" s="200">
        <v>22</v>
      </c>
    </row>
    <row r="36" spans="10:41" ht="16.5" customHeight="1">
      <c r="J36" s="23">
        <v>32</v>
      </c>
      <c r="K36" s="194" t="s">
        <v>13</v>
      </c>
      <c r="L36" s="194" t="s">
        <v>12</v>
      </c>
      <c r="M36" s="194" t="s">
        <v>29</v>
      </c>
      <c r="N36" s="194" t="s">
        <v>30</v>
      </c>
      <c r="O36" s="194" t="s">
        <v>12</v>
      </c>
      <c r="Q36" s="193">
        <v>5</v>
      </c>
      <c r="R36" s="193">
        <v>4</v>
      </c>
      <c r="S36" s="193">
        <v>8</v>
      </c>
      <c r="T36" s="193">
        <v>10</v>
      </c>
      <c r="U36" s="193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34" t="s">
        <v>95</v>
      </c>
      <c r="AD36" s="200">
        <v>43</v>
      </c>
      <c r="AE36" s="200">
        <v>14</v>
      </c>
      <c r="AF36" s="200">
        <v>41</v>
      </c>
      <c r="AG36" s="200">
        <v>14</v>
      </c>
      <c r="AH36" s="200">
        <v>22</v>
      </c>
      <c r="AI36" s="5"/>
      <c r="AJ36" s="134" t="s">
        <v>95</v>
      </c>
      <c r="AK36" s="200">
        <v>43</v>
      </c>
      <c r="AL36" s="200">
        <v>14</v>
      </c>
      <c r="AM36" s="200">
        <v>41</v>
      </c>
      <c r="AN36" s="200">
        <v>14</v>
      </c>
      <c r="AO36" s="200">
        <v>22</v>
      </c>
    </row>
    <row r="37" spans="10:41" ht="16.5" customHeight="1">
      <c r="J37" s="193">
        <v>33</v>
      </c>
      <c r="K37" s="194" t="s">
        <v>95</v>
      </c>
      <c r="L37" s="194" t="s">
        <v>15</v>
      </c>
      <c r="M37" s="194" t="s">
        <v>96</v>
      </c>
      <c r="N37" s="194" t="s">
        <v>31</v>
      </c>
      <c r="O37" s="194" t="s">
        <v>12</v>
      </c>
      <c r="Q37" s="193">
        <v>6</v>
      </c>
      <c r="R37" s="193">
        <v>2</v>
      </c>
      <c r="S37" s="193">
        <v>15</v>
      </c>
      <c r="T37" s="193">
        <v>7</v>
      </c>
      <c r="U37" s="193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34" t="s">
        <v>31</v>
      </c>
      <c r="AD37" s="200">
        <v>47</v>
      </c>
      <c r="AE37" s="200">
        <v>14</v>
      </c>
      <c r="AF37" s="200">
        <v>41</v>
      </c>
      <c r="AG37" s="200">
        <v>14</v>
      </c>
      <c r="AH37" s="200">
        <v>22</v>
      </c>
      <c r="AI37" s="5"/>
      <c r="AJ37" s="134" t="s">
        <v>31</v>
      </c>
      <c r="AK37" s="200">
        <v>47</v>
      </c>
      <c r="AL37" s="200">
        <v>14</v>
      </c>
      <c r="AM37" s="200">
        <v>41</v>
      </c>
      <c r="AN37" s="200">
        <v>14</v>
      </c>
      <c r="AO37" s="200">
        <v>22</v>
      </c>
    </row>
    <row r="38" spans="10:41" ht="16.5" customHeight="1">
      <c r="J38" s="23">
        <v>34</v>
      </c>
      <c r="K38" s="194" t="s">
        <v>29</v>
      </c>
      <c r="L38" s="194" t="s">
        <v>28</v>
      </c>
      <c r="M38" s="194" t="s">
        <v>13</v>
      </c>
      <c r="N38" s="194" t="s">
        <v>31</v>
      </c>
      <c r="O38" s="194" t="s">
        <v>16</v>
      </c>
      <c r="Q38" s="193">
        <v>8</v>
      </c>
      <c r="R38" s="193">
        <v>9</v>
      </c>
      <c r="S38" s="193">
        <v>5</v>
      </c>
      <c r="T38" s="193">
        <v>7</v>
      </c>
      <c r="U38" s="193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34" t="s">
        <v>29</v>
      </c>
      <c r="AD38" s="200">
        <v>47</v>
      </c>
      <c r="AE38" s="200">
        <v>18</v>
      </c>
      <c r="AF38" s="200">
        <v>41</v>
      </c>
      <c r="AG38" s="200">
        <v>14</v>
      </c>
      <c r="AH38" s="200">
        <v>22</v>
      </c>
      <c r="AI38" s="5"/>
      <c r="AJ38" s="134" t="s">
        <v>29</v>
      </c>
      <c r="AK38" s="200">
        <v>47</v>
      </c>
      <c r="AL38" s="200">
        <v>18</v>
      </c>
      <c r="AM38" s="200">
        <v>41</v>
      </c>
      <c r="AN38" s="200">
        <v>14</v>
      </c>
      <c r="AO38" s="200">
        <v>22</v>
      </c>
    </row>
    <row r="39" spans="10:41" ht="16.5" customHeight="1">
      <c r="J39" s="193">
        <v>35</v>
      </c>
      <c r="K39" s="194" t="s">
        <v>31</v>
      </c>
      <c r="L39" s="194" t="s">
        <v>96</v>
      </c>
      <c r="M39" s="194" t="s">
        <v>13</v>
      </c>
      <c r="N39" s="194" t="s">
        <v>95</v>
      </c>
      <c r="O39" s="194" t="s">
        <v>28</v>
      </c>
      <c r="Q39" s="193">
        <v>7</v>
      </c>
      <c r="R39" s="193">
        <v>15</v>
      </c>
      <c r="S39" s="193">
        <v>5</v>
      </c>
      <c r="T39" s="193">
        <v>6</v>
      </c>
      <c r="U39" s="193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34" t="s">
        <v>28</v>
      </c>
      <c r="AD39" s="200">
        <v>4</v>
      </c>
      <c r="AE39" s="200">
        <v>5</v>
      </c>
      <c r="AF39" s="200">
        <v>5</v>
      </c>
      <c r="AG39" s="200">
        <v>20</v>
      </c>
      <c r="AH39" s="200">
        <v>22</v>
      </c>
      <c r="AI39" s="5"/>
      <c r="AJ39" s="134" t="s">
        <v>28</v>
      </c>
      <c r="AK39" s="200">
        <v>4</v>
      </c>
      <c r="AL39" s="200">
        <v>5</v>
      </c>
      <c r="AM39" s="200">
        <v>5</v>
      </c>
      <c r="AN39" s="200">
        <v>20</v>
      </c>
      <c r="AO39" s="200">
        <v>22</v>
      </c>
    </row>
    <row r="40" spans="10:41" ht="16.5" customHeight="1">
      <c r="J40" s="23">
        <v>36</v>
      </c>
      <c r="K40" s="194" t="s">
        <v>95</v>
      </c>
      <c r="L40" s="194" t="s">
        <v>95</v>
      </c>
      <c r="M40" s="194" t="s">
        <v>30</v>
      </c>
      <c r="N40" s="194" t="s">
        <v>80</v>
      </c>
      <c r="O40" s="194" t="s">
        <v>29</v>
      </c>
      <c r="Q40" s="193">
        <v>6</v>
      </c>
      <c r="R40" s="193">
        <v>6</v>
      </c>
      <c r="S40" s="193">
        <v>10</v>
      </c>
      <c r="T40" s="193">
        <v>13</v>
      </c>
      <c r="U40" s="193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34" t="s">
        <v>30</v>
      </c>
      <c r="AD40" s="200">
        <v>4</v>
      </c>
      <c r="AE40" s="200">
        <v>9</v>
      </c>
      <c r="AF40" s="200">
        <v>4</v>
      </c>
      <c r="AG40" s="200">
        <v>20</v>
      </c>
      <c r="AH40" s="200">
        <v>22</v>
      </c>
      <c r="AI40" s="5"/>
      <c r="AJ40" s="134" t="s">
        <v>30</v>
      </c>
      <c r="AK40" s="200">
        <v>4</v>
      </c>
      <c r="AL40" s="200">
        <v>9</v>
      </c>
      <c r="AM40" s="200">
        <v>4</v>
      </c>
      <c r="AN40" s="200">
        <v>20</v>
      </c>
      <c r="AO40" s="200">
        <v>22</v>
      </c>
    </row>
    <row r="41" spans="10:41" ht="16.5" customHeight="1">
      <c r="J41" s="193">
        <v>37</v>
      </c>
      <c r="K41" s="194" t="s">
        <v>31</v>
      </c>
      <c r="L41" s="194" t="s">
        <v>13</v>
      </c>
      <c r="M41" s="194" t="s">
        <v>95</v>
      </c>
      <c r="N41" s="194" t="s">
        <v>12</v>
      </c>
      <c r="O41" s="194" t="s">
        <v>29</v>
      </c>
      <c r="Q41" s="193">
        <v>7</v>
      </c>
      <c r="R41" s="193">
        <v>5</v>
      </c>
      <c r="S41" s="193">
        <v>6</v>
      </c>
      <c r="T41" s="193">
        <v>4</v>
      </c>
      <c r="U41" s="193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99" t="s">
        <v>78</v>
      </c>
      <c r="AD41" s="201">
        <v>0</v>
      </c>
      <c r="AE41" s="201">
        <v>48</v>
      </c>
      <c r="AF41" s="201">
        <v>0</v>
      </c>
      <c r="AG41" s="201">
        <v>12</v>
      </c>
      <c r="AH41" s="201">
        <v>0</v>
      </c>
      <c r="AI41" s="5"/>
      <c r="AJ41" s="199" t="s">
        <v>78</v>
      </c>
      <c r="AK41" s="201">
        <v>0</v>
      </c>
      <c r="AL41" s="201">
        <v>48</v>
      </c>
      <c r="AM41" s="201">
        <v>0</v>
      </c>
      <c r="AN41" s="201">
        <v>12</v>
      </c>
      <c r="AO41" s="201">
        <v>0</v>
      </c>
    </row>
    <row r="42" spans="10:41" ht="16.5" customHeight="1">
      <c r="J42" s="23">
        <v>38</v>
      </c>
      <c r="K42" s="194" t="s">
        <v>95</v>
      </c>
      <c r="L42" s="194" t="s">
        <v>12</v>
      </c>
      <c r="M42" s="194" t="s">
        <v>12</v>
      </c>
      <c r="N42" s="194" t="s">
        <v>95</v>
      </c>
      <c r="O42" s="194" t="s">
        <v>13</v>
      </c>
      <c r="Q42" s="193">
        <v>6</v>
      </c>
      <c r="R42" s="193">
        <v>4</v>
      </c>
      <c r="S42" s="193">
        <v>4</v>
      </c>
      <c r="T42" s="193">
        <v>6</v>
      </c>
      <c r="U42" s="193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99" t="s">
        <v>79</v>
      </c>
      <c r="AD42" s="201">
        <v>0</v>
      </c>
      <c r="AE42" s="201">
        <v>15</v>
      </c>
      <c r="AF42" s="201">
        <v>0</v>
      </c>
      <c r="AG42" s="201">
        <v>12</v>
      </c>
      <c r="AH42" s="201">
        <v>0</v>
      </c>
      <c r="AI42" s="5"/>
      <c r="AJ42" s="199" t="s">
        <v>79</v>
      </c>
      <c r="AK42" s="201">
        <v>0</v>
      </c>
      <c r="AL42" s="201">
        <v>15</v>
      </c>
      <c r="AM42" s="201">
        <v>0</v>
      </c>
      <c r="AN42" s="201">
        <v>12</v>
      </c>
      <c r="AO42" s="201">
        <v>0</v>
      </c>
    </row>
    <row r="43" spans="10:41" ht="16.5" customHeight="1">
      <c r="J43" s="193">
        <v>39</v>
      </c>
      <c r="K43" s="194" t="s">
        <v>13</v>
      </c>
      <c r="L43" s="194" t="s">
        <v>80</v>
      </c>
      <c r="M43" s="194" t="s">
        <v>95</v>
      </c>
      <c r="N43" s="194" t="s">
        <v>95</v>
      </c>
      <c r="O43" s="194" t="s">
        <v>13</v>
      </c>
      <c r="Q43" s="193">
        <v>5</v>
      </c>
      <c r="R43" s="193">
        <v>13</v>
      </c>
      <c r="S43" s="193">
        <v>6</v>
      </c>
      <c r="T43" s="193">
        <v>6</v>
      </c>
      <c r="U43" s="193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99" t="s">
        <v>80</v>
      </c>
      <c r="AD43" s="201">
        <v>0</v>
      </c>
      <c r="AE43" s="201">
        <v>21</v>
      </c>
      <c r="AF43" s="201">
        <v>0</v>
      </c>
      <c r="AG43" s="201">
        <v>12</v>
      </c>
      <c r="AH43" s="201">
        <v>0</v>
      </c>
      <c r="AI43" s="5"/>
      <c r="AJ43" s="199" t="s">
        <v>80</v>
      </c>
      <c r="AK43" s="201">
        <v>0</v>
      </c>
      <c r="AL43" s="201">
        <v>21</v>
      </c>
      <c r="AM43" s="201">
        <v>0</v>
      </c>
      <c r="AN43" s="201">
        <v>12</v>
      </c>
      <c r="AO43" s="201">
        <v>0</v>
      </c>
    </row>
    <row r="44" spans="10:41" ht="16.5" customHeight="1">
      <c r="J44" s="23">
        <v>40</v>
      </c>
      <c r="K44" s="194" t="s">
        <v>31</v>
      </c>
      <c r="L44" s="194" t="s">
        <v>29</v>
      </c>
      <c r="M44" s="194" t="s">
        <v>29</v>
      </c>
      <c r="N44" s="194" t="s">
        <v>16</v>
      </c>
      <c r="O44" s="194" t="s">
        <v>95</v>
      </c>
      <c r="Q44" s="193">
        <v>7</v>
      </c>
      <c r="R44" s="193">
        <v>8</v>
      </c>
      <c r="S44" s="193">
        <v>8</v>
      </c>
      <c r="T44" s="193">
        <v>3</v>
      </c>
      <c r="U44" s="193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99" t="s">
        <v>81</v>
      </c>
      <c r="AD44" s="201">
        <v>0</v>
      </c>
      <c r="AE44" s="201">
        <v>30</v>
      </c>
      <c r="AF44" s="201">
        <v>9</v>
      </c>
      <c r="AG44" s="201">
        <v>9</v>
      </c>
      <c r="AH44" s="201">
        <v>0</v>
      </c>
      <c r="AI44" s="5"/>
      <c r="AJ44" s="199" t="s">
        <v>81</v>
      </c>
      <c r="AK44" s="201">
        <v>0</v>
      </c>
      <c r="AL44" s="201">
        <v>30</v>
      </c>
      <c r="AM44" s="201">
        <v>9</v>
      </c>
      <c r="AN44" s="201">
        <v>9</v>
      </c>
      <c r="AO44" s="201">
        <v>0</v>
      </c>
    </row>
    <row r="45" spans="10:41" ht="16.5" customHeight="1">
      <c r="J45" s="193">
        <v>41</v>
      </c>
      <c r="K45" s="194" t="s">
        <v>95</v>
      </c>
      <c r="L45" s="194" t="s">
        <v>15</v>
      </c>
      <c r="M45" s="194" t="s">
        <v>29</v>
      </c>
      <c r="N45" s="194" t="s">
        <v>12</v>
      </c>
      <c r="O45" s="194" t="s">
        <v>95</v>
      </c>
      <c r="Q45" s="193">
        <v>6</v>
      </c>
      <c r="R45" s="193">
        <v>2</v>
      </c>
      <c r="S45" s="193">
        <v>8</v>
      </c>
      <c r="T45" s="193">
        <v>4</v>
      </c>
      <c r="U45" s="193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99" t="s">
        <v>96</v>
      </c>
      <c r="AD45" s="201">
        <v>0</v>
      </c>
      <c r="AE45" s="201">
        <v>33</v>
      </c>
      <c r="AF45" s="201">
        <v>9</v>
      </c>
      <c r="AG45" s="201">
        <v>9</v>
      </c>
      <c r="AH45" s="201">
        <v>0</v>
      </c>
      <c r="AI45" s="5"/>
      <c r="AJ45" s="199" t="s">
        <v>96</v>
      </c>
      <c r="AK45" s="201">
        <v>0</v>
      </c>
      <c r="AL45" s="201">
        <v>33</v>
      </c>
      <c r="AM45" s="201">
        <v>9</v>
      </c>
      <c r="AN45" s="201">
        <v>9</v>
      </c>
      <c r="AO45" s="201">
        <v>0</v>
      </c>
    </row>
    <row r="46" spans="10:41" ht="16.5" customHeight="1">
      <c r="J46" s="23">
        <v>42</v>
      </c>
      <c r="K46" s="194" t="s">
        <v>95</v>
      </c>
      <c r="L46" s="194" t="s">
        <v>96</v>
      </c>
      <c r="M46" s="194" t="s">
        <v>31</v>
      </c>
      <c r="N46" s="194" t="s">
        <v>14</v>
      </c>
      <c r="O46" s="194" t="s">
        <v>12</v>
      </c>
      <c r="Q46" s="193">
        <v>6</v>
      </c>
      <c r="R46" s="193">
        <v>15</v>
      </c>
      <c r="S46" s="193">
        <v>7</v>
      </c>
      <c r="T46" s="193">
        <v>1</v>
      </c>
      <c r="U46" s="193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9" t="s">
        <v>82</v>
      </c>
      <c r="AD46" s="201">
        <v>0</v>
      </c>
      <c r="AE46" s="201">
        <v>33</v>
      </c>
      <c r="AF46" s="201">
        <v>9</v>
      </c>
      <c r="AG46" s="201">
        <v>9</v>
      </c>
      <c r="AH46" s="201">
        <v>0</v>
      </c>
      <c r="AI46" s="5"/>
      <c r="AJ46" s="199" t="s">
        <v>82</v>
      </c>
      <c r="AK46" s="201">
        <v>0</v>
      </c>
      <c r="AL46" s="201">
        <v>33</v>
      </c>
      <c r="AM46" s="201">
        <v>9</v>
      </c>
      <c r="AN46" s="201">
        <v>9</v>
      </c>
      <c r="AO46" s="201">
        <v>0</v>
      </c>
    </row>
    <row r="47" spans="10:41" ht="16.5" customHeight="1">
      <c r="J47" s="193">
        <v>43</v>
      </c>
      <c r="K47" s="194" t="s">
        <v>31</v>
      </c>
      <c r="L47" s="194" t="s">
        <v>16</v>
      </c>
      <c r="M47" s="194" t="s">
        <v>95</v>
      </c>
      <c r="N47" s="194" t="s">
        <v>13</v>
      </c>
      <c r="O47" s="194" t="s">
        <v>29</v>
      </c>
      <c r="Q47" s="193">
        <v>7</v>
      </c>
      <c r="R47" s="193">
        <v>3</v>
      </c>
      <c r="S47" s="193">
        <v>6</v>
      </c>
      <c r="T47" s="193">
        <v>5</v>
      </c>
      <c r="U47" s="193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9" t="s">
        <v>94</v>
      </c>
      <c r="AD47" s="201">
        <v>0</v>
      </c>
      <c r="AE47" s="201">
        <v>24</v>
      </c>
      <c r="AF47" s="201">
        <v>9</v>
      </c>
      <c r="AG47" s="201">
        <v>9</v>
      </c>
      <c r="AH47" s="201">
        <v>0</v>
      </c>
      <c r="AI47" s="5"/>
      <c r="AJ47" s="199" t="s">
        <v>94</v>
      </c>
      <c r="AK47" s="201">
        <v>0</v>
      </c>
      <c r="AL47" s="201">
        <v>24</v>
      </c>
      <c r="AM47" s="201">
        <v>9</v>
      </c>
      <c r="AN47" s="201">
        <v>9</v>
      </c>
      <c r="AO47" s="201">
        <v>0</v>
      </c>
    </row>
    <row r="48" spans="10:41" ht="16.5" customHeight="1">
      <c r="J48" s="23">
        <v>44</v>
      </c>
      <c r="K48" s="194" t="s">
        <v>13</v>
      </c>
      <c r="L48" s="194" t="s">
        <v>31</v>
      </c>
      <c r="M48" s="194" t="s">
        <v>31</v>
      </c>
      <c r="N48" s="194" t="s">
        <v>29</v>
      </c>
      <c r="O48" s="194" t="s">
        <v>29</v>
      </c>
      <c r="Q48" s="193">
        <v>5</v>
      </c>
      <c r="R48" s="193">
        <v>7</v>
      </c>
      <c r="S48" s="193">
        <v>7</v>
      </c>
      <c r="T48" s="193">
        <v>8</v>
      </c>
      <c r="U48" s="193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99" t="s">
        <v>85</v>
      </c>
      <c r="AD48" s="201">
        <v>0</v>
      </c>
      <c r="AE48" s="201">
        <v>18</v>
      </c>
      <c r="AF48" s="201">
        <v>0</v>
      </c>
      <c r="AG48" s="201">
        <v>12</v>
      </c>
      <c r="AH48" s="201">
        <v>0</v>
      </c>
      <c r="AI48" s="5"/>
      <c r="AJ48" s="199" t="s">
        <v>85</v>
      </c>
      <c r="AK48" s="201">
        <v>0</v>
      </c>
      <c r="AL48" s="201">
        <v>18</v>
      </c>
      <c r="AM48" s="201">
        <v>0</v>
      </c>
      <c r="AN48" s="201">
        <v>12</v>
      </c>
      <c r="AO48" s="201">
        <v>0</v>
      </c>
    </row>
    <row r="49" spans="10:41" ht="16.5" customHeight="1">
      <c r="J49" s="193">
        <v>45</v>
      </c>
      <c r="K49" s="194" t="s">
        <v>13</v>
      </c>
      <c r="L49" s="194" t="s">
        <v>94</v>
      </c>
      <c r="M49" s="194" t="s">
        <v>95</v>
      </c>
      <c r="N49" s="194" t="s">
        <v>12</v>
      </c>
      <c r="O49" s="194" t="s">
        <v>95</v>
      </c>
      <c r="Q49" s="193">
        <v>5</v>
      </c>
      <c r="R49" s="193">
        <v>17</v>
      </c>
      <c r="S49" s="193">
        <v>6</v>
      </c>
      <c r="T49" s="193">
        <v>4</v>
      </c>
      <c r="U49" s="193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99" t="s">
        <v>87</v>
      </c>
      <c r="AD49" s="201">
        <v>0</v>
      </c>
      <c r="AE49" s="201">
        <v>18</v>
      </c>
      <c r="AF49" s="201">
        <v>0</v>
      </c>
      <c r="AG49" s="201">
        <v>12</v>
      </c>
      <c r="AH49" s="201">
        <v>0</v>
      </c>
      <c r="AI49" s="5"/>
      <c r="AJ49" s="199" t="s">
        <v>87</v>
      </c>
      <c r="AK49" s="201">
        <v>0</v>
      </c>
      <c r="AL49" s="201">
        <v>18</v>
      </c>
      <c r="AM49" s="201">
        <v>0</v>
      </c>
      <c r="AN49" s="201">
        <v>12</v>
      </c>
      <c r="AO49" s="201">
        <v>0</v>
      </c>
    </row>
    <row r="50" spans="10:41" ht="16.5" customHeight="1">
      <c r="J50" s="23">
        <v>46</v>
      </c>
      <c r="K50" s="194" t="s">
        <v>12</v>
      </c>
      <c r="L50" s="194" t="s">
        <v>94</v>
      </c>
      <c r="M50" s="194" t="s">
        <v>29</v>
      </c>
      <c r="N50" s="194" t="s">
        <v>28</v>
      </c>
      <c r="O50" s="194" t="s">
        <v>15</v>
      </c>
      <c r="Q50" s="193">
        <v>4</v>
      </c>
      <c r="R50" s="193">
        <v>17</v>
      </c>
      <c r="S50" s="193">
        <v>8</v>
      </c>
      <c r="T50" s="193">
        <v>9</v>
      </c>
      <c r="U50" s="193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103">
        <v>200</v>
      </c>
      <c r="AE50" s="103">
        <v>360</v>
      </c>
      <c r="AF50" s="103">
        <v>224</v>
      </c>
      <c r="AG50" s="103">
        <v>264</v>
      </c>
      <c r="AH50" s="103">
        <v>200</v>
      </c>
      <c r="AI50" s="5"/>
      <c r="AK50" s="103">
        <v>200</v>
      </c>
      <c r="AL50" s="103">
        <v>360</v>
      </c>
      <c r="AM50" s="103">
        <v>224</v>
      </c>
      <c r="AN50" s="103">
        <v>264</v>
      </c>
      <c r="AO50" s="103">
        <v>200</v>
      </c>
    </row>
    <row r="51" spans="10:41" ht="16.5" customHeight="1">
      <c r="J51" s="193">
        <v>47</v>
      </c>
      <c r="K51" s="194" t="s">
        <v>15</v>
      </c>
      <c r="L51" s="194" t="s">
        <v>29</v>
      </c>
      <c r="M51" s="194" t="s">
        <v>13</v>
      </c>
      <c r="N51" s="194" t="s">
        <v>78</v>
      </c>
      <c r="O51" s="194" t="s">
        <v>95</v>
      </c>
      <c r="Q51" s="193">
        <v>2</v>
      </c>
      <c r="R51" s="193">
        <v>8</v>
      </c>
      <c r="S51" s="193">
        <v>5</v>
      </c>
      <c r="T51" s="193">
        <v>11</v>
      </c>
      <c r="U51" s="193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94" t="s">
        <v>31</v>
      </c>
      <c r="L52" s="194" t="s">
        <v>13</v>
      </c>
      <c r="M52" s="194" t="s">
        <v>31</v>
      </c>
      <c r="N52" s="194" t="s">
        <v>28</v>
      </c>
      <c r="O52" s="194" t="s">
        <v>95</v>
      </c>
      <c r="Q52" s="193">
        <v>7</v>
      </c>
      <c r="R52" s="193">
        <v>5</v>
      </c>
      <c r="S52" s="193">
        <v>7</v>
      </c>
      <c r="T52" s="193">
        <v>9</v>
      </c>
      <c r="U52" s="193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296</v>
      </c>
      <c r="AH52" s="5"/>
      <c r="AI52" s="5"/>
      <c r="AJ52" s="25" t="s">
        <v>296</v>
      </c>
      <c r="AO52" s="5"/>
    </row>
    <row r="53" spans="10:41" ht="16.5" customHeight="1">
      <c r="J53" s="193">
        <v>49</v>
      </c>
      <c r="K53" s="194" t="s">
        <v>13</v>
      </c>
      <c r="L53" s="194" t="s">
        <v>85</v>
      </c>
      <c r="M53" s="194" t="s">
        <v>13</v>
      </c>
      <c r="N53" s="194" t="s">
        <v>29</v>
      </c>
      <c r="O53" s="194" t="s">
        <v>13</v>
      </c>
      <c r="Q53" s="193">
        <v>5</v>
      </c>
      <c r="R53" s="193">
        <v>18</v>
      </c>
      <c r="S53" s="193">
        <v>5</v>
      </c>
      <c r="T53" s="193">
        <v>8</v>
      </c>
      <c r="U53" s="193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>
      <c r="J54" s="23">
        <v>50</v>
      </c>
      <c r="K54" s="194" t="s">
        <v>31</v>
      </c>
      <c r="L54" s="194" t="s">
        <v>82</v>
      </c>
      <c r="M54" s="194" t="s">
        <v>95</v>
      </c>
      <c r="N54" s="194" t="s">
        <v>13</v>
      </c>
      <c r="O54" s="194" t="s">
        <v>13</v>
      </c>
      <c r="Q54" s="193">
        <v>7</v>
      </c>
      <c r="R54" s="193">
        <v>16</v>
      </c>
      <c r="S54" s="193">
        <v>6</v>
      </c>
      <c r="T54" s="193">
        <v>5</v>
      </c>
      <c r="U54" s="193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99" t="s">
        <v>293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293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>
      <c r="J55" s="193">
        <v>51</v>
      </c>
      <c r="K55" s="194" t="s">
        <v>95</v>
      </c>
      <c r="L55" s="194" t="s">
        <v>82</v>
      </c>
      <c r="M55" s="194" t="s">
        <v>29</v>
      </c>
      <c r="N55" s="194" t="s">
        <v>16</v>
      </c>
      <c r="O55" s="194" t="s">
        <v>30</v>
      </c>
      <c r="Q55" s="193">
        <v>6</v>
      </c>
      <c r="R55" s="193">
        <v>16</v>
      </c>
      <c r="S55" s="193">
        <v>8</v>
      </c>
      <c r="T55" s="193">
        <v>3</v>
      </c>
      <c r="U55" s="193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99" t="s">
        <v>14</v>
      </c>
      <c r="AD55" s="199">
        <v>0</v>
      </c>
      <c r="AE55" s="199">
        <v>6</v>
      </c>
      <c r="AF55" s="199">
        <v>0</v>
      </c>
      <c r="AG55" s="199">
        <v>9</v>
      </c>
      <c r="AH55" s="199">
        <v>0</v>
      </c>
      <c r="AI55" s="5"/>
      <c r="AJ55" s="199" t="s">
        <v>14</v>
      </c>
      <c r="AK55" s="199">
        <v>0</v>
      </c>
      <c r="AL55" s="199">
        <v>6</v>
      </c>
      <c r="AM55" s="199">
        <v>0</v>
      </c>
      <c r="AN55" s="199">
        <v>9</v>
      </c>
      <c r="AO55" s="199">
        <v>0</v>
      </c>
    </row>
    <row r="56" spans="10:41" ht="16.5" customHeight="1">
      <c r="J56" s="23">
        <v>52</v>
      </c>
      <c r="K56" s="194" t="s">
        <v>29</v>
      </c>
      <c r="L56" s="194" t="s">
        <v>13</v>
      </c>
      <c r="M56" s="194" t="s">
        <v>12</v>
      </c>
      <c r="N56" s="194" t="s">
        <v>13</v>
      </c>
      <c r="O56" s="194" t="s">
        <v>30</v>
      </c>
      <c r="Q56" s="193">
        <v>8</v>
      </c>
      <c r="R56" s="193">
        <v>5</v>
      </c>
      <c r="S56" s="193">
        <v>4</v>
      </c>
      <c r="T56" s="193">
        <v>5</v>
      </c>
      <c r="U56" s="193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34" t="s">
        <v>15</v>
      </c>
      <c r="AD56" s="200">
        <v>4</v>
      </c>
      <c r="AE56" s="200">
        <v>22</v>
      </c>
      <c r="AF56" s="200">
        <v>5</v>
      </c>
      <c r="AG56" s="200">
        <v>21</v>
      </c>
      <c r="AH56" s="200">
        <v>23</v>
      </c>
      <c r="AI56" s="5"/>
      <c r="AJ56" s="134" t="s">
        <v>15</v>
      </c>
      <c r="AK56" s="200">
        <v>4</v>
      </c>
      <c r="AL56" s="200">
        <v>22</v>
      </c>
      <c r="AM56" s="200">
        <v>5</v>
      </c>
      <c r="AN56" s="200">
        <v>21</v>
      </c>
      <c r="AO56" s="200">
        <v>23</v>
      </c>
    </row>
    <row r="57" spans="10:41" ht="16.5" customHeight="1">
      <c r="J57" s="193">
        <v>53</v>
      </c>
      <c r="K57" s="194" t="s">
        <v>95</v>
      </c>
      <c r="L57" s="194" t="s">
        <v>80</v>
      </c>
      <c r="M57" s="194" t="s">
        <v>31</v>
      </c>
      <c r="N57" s="194" t="s">
        <v>28</v>
      </c>
      <c r="O57" s="194" t="s">
        <v>31</v>
      </c>
      <c r="Q57" s="193">
        <v>6</v>
      </c>
      <c r="R57" s="193">
        <v>13</v>
      </c>
      <c r="S57" s="193">
        <v>7</v>
      </c>
      <c r="T57" s="193">
        <v>9</v>
      </c>
      <c r="U57" s="193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34" t="s">
        <v>16</v>
      </c>
      <c r="AD57" s="200">
        <v>4</v>
      </c>
      <c r="AE57" s="200">
        <v>10</v>
      </c>
      <c r="AF57" s="200">
        <v>5</v>
      </c>
      <c r="AG57" s="200">
        <v>21</v>
      </c>
      <c r="AH57" s="200">
        <v>23</v>
      </c>
      <c r="AI57" s="5"/>
      <c r="AJ57" s="134" t="s">
        <v>16</v>
      </c>
      <c r="AK57" s="200">
        <v>4</v>
      </c>
      <c r="AL57" s="200">
        <v>10</v>
      </c>
      <c r="AM57" s="200">
        <v>5</v>
      </c>
      <c r="AN57" s="200">
        <v>21</v>
      </c>
      <c r="AO57" s="200">
        <v>23</v>
      </c>
    </row>
    <row r="58" spans="10:41" ht="16.5" customHeight="1">
      <c r="J58" s="23">
        <v>54</v>
      </c>
      <c r="K58" s="194" t="s">
        <v>29</v>
      </c>
      <c r="L58" s="194" t="s">
        <v>15</v>
      </c>
      <c r="M58" s="194" t="s">
        <v>13</v>
      </c>
      <c r="N58" s="194" t="s">
        <v>15</v>
      </c>
      <c r="O58" s="194" t="s">
        <v>13</v>
      </c>
      <c r="Q58" s="193">
        <v>8</v>
      </c>
      <c r="R58" s="193">
        <v>2</v>
      </c>
      <c r="S58" s="193">
        <v>5</v>
      </c>
      <c r="T58" s="193">
        <v>2</v>
      </c>
      <c r="U58" s="193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34" t="s">
        <v>12</v>
      </c>
      <c r="AD58" s="200">
        <v>4</v>
      </c>
      <c r="AE58" s="200">
        <v>9</v>
      </c>
      <c r="AF58" s="200">
        <v>5</v>
      </c>
      <c r="AG58" s="200">
        <v>21</v>
      </c>
      <c r="AH58" s="200">
        <v>22</v>
      </c>
      <c r="AI58" s="5"/>
      <c r="AJ58" s="134" t="s">
        <v>12</v>
      </c>
      <c r="AK58" s="200">
        <v>4</v>
      </c>
      <c r="AL58" s="200">
        <v>9</v>
      </c>
      <c r="AM58" s="200">
        <v>5</v>
      </c>
      <c r="AN58" s="200">
        <v>21</v>
      </c>
      <c r="AO58" s="200">
        <v>22</v>
      </c>
    </row>
    <row r="59" spans="10:41" ht="16.5" customHeight="1">
      <c r="J59" s="193">
        <v>55</v>
      </c>
      <c r="K59" s="194" t="s">
        <v>29</v>
      </c>
      <c r="L59" s="194" t="s">
        <v>29</v>
      </c>
      <c r="M59" s="194" t="s">
        <v>29</v>
      </c>
      <c r="N59" s="194" t="s">
        <v>85</v>
      </c>
      <c r="O59" s="194" t="s">
        <v>12</v>
      </c>
      <c r="Q59" s="193">
        <v>8</v>
      </c>
      <c r="R59" s="193">
        <v>8</v>
      </c>
      <c r="S59" s="193">
        <v>8</v>
      </c>
      <c r="T59" s="193">
        <v>18</v>
      </c>
      <c r="U59" s="193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34" t="s">
        <v>13</v>
      </c>
      <c r="AD59" s="200">
        <v>43</v>
      </c>
      <c r="AE59" s="200">
        <v>13</v>
      </c>
      <c r="AF59" s="200">
        <v>41</v>
      </c>
      <c r="AG59" s="200">
        <v>14</v>
      </c>
      <c r="AH59" s="200">
        <v>22</v>
      </c>
      <c r="AI59" s="5"/>
      <c r="AJ59" s="134" t="s">
        <v>13</v>
      </c>
      <c r="AK59" s="200">
        <v>43</v>
      </c>
      <c r="AL59" s="200">
        <v>13</v>
      </c>
      <c r="AM59" s="200">
        <v>41</v>
      </c>
      <c r="AN59" s="200">
        <v>14</v>
      </c>
      <c r="AO59" s="200">
        <v>22</v>
      </c>
    </row>
    <row r="60" spans="10:41" ht="16.5" customHeight="1">
      <c r="J60" s="23">
        <v>56</v>
      </c>
      <c r="K60" s="194" t="s">
        <v>13</v>
      </c>
      <c r="L60" s="194" t="s">
        <v>82</v>
      </c>
      <c r="M60" s="194" t="s">
        <v>31</v>
      </c>
      <c r="N60" s="194" t="s">
        <v>30</v>
      </c>
      <c r="O60" s="194" t="s">
        <v>28</v>
      </c>
      <c r="Q60" s="193">
        <v>5</v>
      </c>
      <c r="R60" s="193">
        <v>16</v>
      </c>
      <c r="S60" s="193">
        <v>7</v>
      </c>
      <c r="T60" s="193">
        <v>10</v>
      </c>
      <c r="U60" s="193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34" t="s">
        <v>95</v>
      </c>
      <c r="AD60" s="200">
        <v>43</v>
      </c>
      <c r="AE60" s="200">
        <v>14</v>
      </c>
      <c r="AF60" s="200">
        <v>41</v>
      </c>
      <c r="AG60" s="200">
        <v>14</v>
      </c>
      <c r="AH60" s="200">
        <v>22</v>
      </c>
      <c r="AI60" s="5"/>
      <c r="AJ60" s="134" t="s">
        <v>95</v>
      </c>
      <c r="AK60" s="200">
        <v>43</v>
      </c>
      <c r="AL60" s="200">
        <v>14</v>
      </c>
      <c r="AM60" s="200">
        <v>41</v>
      </c>
      <c r="AN60" s="200">
        <v>14</v>
      </c>
      <c r="AO60" s="200">
        <v>22</v>
      </c>
    </row>
    <row r="61" spans="10:41">
      <c r="J61" s="193">
        <v>57</v>
      </c>
      <c r="K61" s="194" t="s">
        <v>29</v>
      </c>
      <c r="L61" s="194" t="s">
        <v>14</v>
      </c>
      <c r="M61" s="194" t="s">
        <v>29</v>
      </c>
      <c r="N61" s="194" t="s">
        <v>13</v>
      </c>
      <c r="O61" s="194" t="s">
        <v>16</v>
      </c>
      <c r="Q61" s="193">
        <v>8</v>
      </c>
      <c r="R61" s="193">
        <v>1</v>
      </c>
      <c r="S61" s="193">
        <v>8</v>
      </c>
      <c r="T61" s="193">
        <v>5</v>
      </c>
      <c r="U61" s="193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4" t="s">
        <v>31</v>
      </c>
      <c r="AD61" s="200">
        <v>47</v>
      </c>
      <c r="AE61" s="200">
        <v>14</v>
      </c>
      <c r="AF61" s="200">
        <v>41</v>
      </c>
      <c r="AG61" s="200">
        <v>14</v>
      </c>
      <c r="AH61" s="200">
        <v>22</v>
      </c>
      <c r="AI61" s="5"/>
      <c r="AJ61" s="134" t="s">
        <v>31</v>
      </c>
      <c r="AK61" s="200">
        <v>47</v>
      </c>
      <c r="AL61" s="200">
        <v>14</v>
      </c>
      <c r="AM61" s="200">
        <v>41</v>
      </c>
      <c r="AN61" s="200">
        <v>14</v>
      </c>
      <c r="AO61" s="200">
        <v>22</v>
      </c>
    </row>
    <row r="62" spans="10:41">
      <c r="J62" s="23">
        <v>58</v>
      </c>
      <c r="K62" s="194" t="s">
        <v>95</v>
      </c>
      <c r="L62" s="194" t="s">
        <v>29</v>
      </c>
      <c r="M62" s="194" t="s">
        <v>31</v>
      </c>
      <c r="N62" s="194" t="s">
        <v>82</v>
      </c>
      <c r="O62" s="194" t="s">
        <v>12</v>
      </c>
      <c r="Q62" s="193">
        <v>6</v>
      </c>
      <c r="R62" s="193">
        <v>8</v>
      </c>
      <c r="S62" s="193">
        <v>7</v>
      </c>
      <c r="T62" s="193">
        <v>16</v>
      </c>
      <c r="U62" s="193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4" t="s">
        <v>29</v>
      </c>
      <c r="AD62" s="200">
        <v>47</v>
      </c>
      <c r="AE62" s="200">
        <v>18</v>
      </c>
      <c r="AF62" s="200">
        <v>41</v>
      </c>
      <c r="AG62" s="200">
        <v>14</v>
      </c>
      <c r="AH62" s="200">
        <v>22</v>
      </c>
      <c r="AI62" s="5"/>
      <c r="AJ62" s="134" t="s">
        <v>29</v>
      </c>
      <c r="AK62" s="200">
        <v>47</v>
      </c>
      <c r="AL62" s="200">
        <v>18</v>
      </c>
      <c r="AM62" s="200">
        <v>41</v>
      </c>
      <c r="AN62" s="200">
        <v>14</v>
      </c>
      <c r="AO62" s="200">
        <v>22</v>
      </c>
    </row>
    <row r="63" spans="10:41" ht="16.5" customHeight="1">
      <c r="J63" s="193">
        <v>59</v>
      </c>
      <c r="K63" s="194" t="s">
        <v>31</v>
      </c>
      <c r="L63" s="194" t="s">
        <v>95</v>
      </c>
      <c r="M63" s="194" t="s">
        <v>16</v>
      </c>
      <c r="N63" s="194" t="s">
        <v>85</v>
      </c>
      <c r="O63" s="194" t="s">
        <v>31</v>
      </c>
      <c r="Q63" s="193">
        <v>7</v>
      </c>
      <c r="R63" s="193">
        <v>6</v>
      </c>
      <c r="S63" s="193">
        <v>3</v>
      </c>
      <c r="T63" s="193">
        <v>18</v>
      </c>
      <c r="U63" s="193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34" t="s">
        <v>28</v>
      </c>
      <c r="AD63" s="200">
        <v>4</v>
      </c>
      <c r="AE63" s="200">
        <v>5</v>
      </c>
      <c r="AF63" s="200">
        <v>5</v>
      </c>
      <c r="AG63" s="200">
        <v>20</v>
      </c>
      <c r="AH63" s="200">
        <v>22</v>
      </c>
      <c r="AI63" s="5"/>
      <c r="AJ63" s="134" t="s">
        <v>28</v>
      </c>
      <c r="AK63" s="200">
        <v>4</v>
      </c>
      <c r="AL63" s="200">
        <v>5</v>
      </c>
      <c r="AM63" s="200">
        <v>5</v>
      </c>
      <c r="AN63" s="200">
        <v>20</v>
      </c>
      <c r="AO63" s="200">
        <v>22</v>
      </c>
    </row>
    <row r="64" spans="10:41" ht="16.5" customHeight="1">
      <c r="J64" s="23">
        <v>60</v>
      </c>
      <c r="K64" s="194" t="s">
        <v>13</v>
      </c>
      <c r="L64" s="194" t="s">
        <v>80</v>
      </c>
      <c r="M64" s="194" t="s">
        <v>29</v>
      </c>
      <c r="N64" s="194" t="s">
        <v>29</v>
      </c>
      <c r="O64" s="194" t="s">
        <v>12</v>
      </c>
      <c r="Q64" s="193">
        <v>5</v>
      </c>
      <c r="R64" s="193">
        <v>13</v>
      </c>
      <c r="S64" s="193">
        <v>8</v>
      </c>
      <c r="T64" s="193">
        <v>8</v>
      </c>
      <c r="U64" s="193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34" t="s">
        <v>30</v>
      </c>
      <c r="AD64" s="200">
        <v>4</v>
      </c>
      <c r="AE64" s="200">
        <v>9</v>
      </c>
      <c r="AF64" s="200">
        <v>4</v>
      </c>
      <c r="AG64" s="200">
        <v>20</v>
      </c>
      <c r="AH64" s="200">
        <v>22</v>
      </c>
      <c r="AI64" s="5"/>
      <c r="AJ64" s="134" t="s">
        <v>30</v>
      </c>
      <c r="AK64" s="200">
        <v>4</v>
      </c>
      <c r="AL64" s="200">
        <v>9</v>
      </c>
      <c r="AM64" s="200">
        <v>4</v>
      </c>
      <c r="AN64" s="200">
        <v>20</v>
      </c>
      <c r="AO64" s="200">
        <v>22</v>
      </c>
    </row>
    <row r="65" spans="10:41" ht="16.5" customHeight="1">
      <c r="J65" s="193">
        <v>61</v>
      </c>
      <c r="K65" s="194" t="s">
        <v>29</v>
      </c>
      <c r="L65" s="194" t="s">
        <v>95</v>
      </c>
      <c r="M65" s="194" t="s">
        <v>13</v>
      </c>
      <c r="N65" s="194" t="s">
        <v>16</v>
      </c>
      <c r="O65" s="194" t="s">
        <v>95</v>
      </c>
      <c r="Q65" s="193">
        <v>8</v>
      </c>
      <c r="R65" s="193">
        <v>6</v>
      </c>
      <c r="S65" s="193">
        <v>5</v>
      </c>
      <c r="T65" s="193">
        <v>3</v>
      </c>
      <c r="U65" s="193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99" t="s">
        <v>78</v>
      </c>
      <c r="AD65" s="201">
        <v>0</v>
      </c>
      <c r="AE65" s="201">
        <v>48</v>
      </c>
      <c r="AF65" s="201">
        <v>0</v>
      </c>
      <c r="AG65" s="201">
        <v>12</v>
      </c>
      <c r="AH65" s="201">
        <v>0</v>
      </c>
      <c r="AI65" s="5"/>
      <c r="AJ65" s="199" t="s">
        <v>78</v>
      </c>
      <c r="AK65" s="201">
        <v>0</v>
      </c>
      <c r="AL65" s="201">
        <v>48</v>
      </c>
      <c r="AM65" s="201">
        <v>0</v>
      </c>
      <c r="AN65" s="201">
        <v>12</v>
      </c>
      <c r="AO65" s="201">
        <v>0</v>
      </c>
    </row>
    <row r="66" spans="10:41" ht="16.5" customHeight="1">
      <c r="J66" s="23">
        <v>62</v>
      </c>
      <c r="K66" s="194" t="s">
        <v>31</v>
      </c>
      <c r="L66" s="194" t="s">
        <v>28</v>
      </c>
      <c r="M66" s="194" t="s">
        <v>13</v>
      </c>
      <c r="N66" s="194" t="s">
        <v>30</v>
      </c>
      <c r="O66" s="194" t="s">
        <v>30</v>
      </c>
      <c r="Q66" s="193">
        <v>7</v>
      </c>
      <c r="R66" s="193">
        <v>9</v>
      </c>
      <c r="S66" s="193">
        <v>5</v>
      </c>
      <c r="T66" s="193">
        <v>10</v>
      </c>
      <c r="U66" s="193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99" t="s">
        <v>79</v>
      </c>
      <c r="AD66" s="201">
        <v>0</v>
      </c>
      <c r="AE66" s="201">
        <v>15</v>
      </c>
      <c r="AF66" s="201">
        <v>0</v>
      </c>
      <c r="AG66" s="201">
        <v>12</v>
      </c>
      <c r="AH66" s="201">
        <v>0</v>
      </c>
      <c r="AI66" s="5"/>
      <c r="AJ66" s="199" t="s">
        <v>79</v>
      </c>
      <c r="AK66" s="201">
        <v>0</v>
      </c>
      <c r="AL66" s="201">
        <v>15</v>
      </c>
      <c r="AM66" s="201">
        <v>0</v>
      </c>
      <c r="AN66" s="201">
        <v>12</v>
      </c>
      <c r="AO66" s="201">
        <v>0</v>
      </c>
    </row>
    <row r="67" spans="10:41" ht="16.5" customHeight="1">
      <c r="J67" s="193">
        <v>63</v>
      </c>
      <c r="K67" s="194" t="s">
        <v>95</v>
      </c>
      <c r="L67" s="194" t="s">
        <v>96</v>
      </c>
      <c r="M67" s="194" t="s">
        <v>29</v>
      </c>
      <c r="N67" s="194" t="s">
        <v>14</v>
      </c>
      <c r="O67" s="194" t="s">
        <v>31</v>
      </c>
      <c r="Q67" s="193">
        <v>6</v>
      </c>
      <c r="R67" s="193">
        <v>15</v>
      </c>
      <c r="S67" s="193">
        <v>8</v>
      </c>
      <c r="T67" s="193">
        <v>1</v>
      </c>
      <c r="U67" s="193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99" t="s">
        <v>80</v>
      </c>
      <c r="AD67" s="201">
        <v>0</v>
      </c>
      <c r="AE67" s="201">
        <v>21</v>
      </c>
      <c r="AF67" s="201">
        <v>0</v>
      </c>
      <c r="AG67" s="201">
        <v>12</v>
      </c>
      <c r="AH67" s="201">
        <v>0</v>
      </c>
      <c r="AI67" s="5"/>
      <c r="AJ67" s="199" t="s">
        <v>80</v>
      </c>
      <c r="AK67" s="201">
        <v>0</v>
      </c>
      <c r="AL67" s="201">
        <v>21</v>
      </c>
      <c r="AM67" s="201">
        <v>0</v>
      </c>
      <c r="AN67" s="201">
        <v>12</v>
      </c>
      <c r="AO67" s="201">
        <v>0</v>
      </c>
    </row>
    <row r="68" spans="10:41" ht="16.5" customHeight="1">
      <c r="J68" s="23">
        <v>64</v>
      </c>
      <c r="K68" s="194" t="s">
        <v>13</v>
      </c>
      <c r="L68" s="194" t="s">
        <v>79</v>
      </c>
      <c r="M68" s="194" t="s">
        <v>94</v>
      </c>
      <c r="N68" s="194" t="s">
        <v>15</v>
      </c>
      <c r="O68" s="194" t="s">
        <v>95</v>
      </c>
      <c r="Q68" s="193">
        <v>5</v>
      </c>
      <c r="R68" s="193">
        <v>12</v>
      </c>
      <c r="S68" s="193">
        <v>17</v>
      </c>
      <c r="T68" s="193">
        <v>2</v>
      </c>
      <c r="U68" s="193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99" t="s">
        <v>81</v>
      </c>
      <c r="AD68" s="201">
        <v>0</v>
      </c>
      <c r="AE68" s="201">
        <v>30</v>
      </c>
      <c r="AF68" s="201">
        <v>9</v>
      </c>
      <c r="AG68" s="201">
        <v>9</v>
      </c>
      <c r="AH68" s="201">
        <v>0</v>
      </c>
      <c r="AI68" s="5"/>
      <c r="AJ68" s="199" t="s">
        <v>81</v>
      </c>
      <c r="AK68" s="201">
        <v>0</v>
      </c>
      <c r="AL68" s="201">
        <v>30</v>
      </c>
      <c r="AM68" s="201">
        <v>9</v>
      </c>
      <c r="AN68" s="201">
        <v>9</v>
      </c>
      <c r="AO68" s="201">
        <v>0</v>
      </c>
    </row>
    <row r="69" spans="10:41" ht="16.5" customHeight="1">
      <c r="J69" s="193">
        <v>65</v>
      </c>
      <c r="K69" s="194" t="s">
        <v>29</v>
      </c>
      <c r="L69" s="194" t="s">
        <v>14</v>
      </c>
      <c r="M69" s="194" t="s">
        <v>95</v>
      </c>
      <c r="N69" s="194" t="s">
        <v>31</v>
      </c>
      <c r="O69" s="194" t="s">
        <v>12</v>
      </c>
      <c r="Q69" s="193">
        <v>8</v>
      </c>
      <c r="R69" s="193">
        <v>1</v>
      </c>
      <c r="S69" s="193">
        <v>6</v>
      </c>
      <c r="T69" s="193">
        <v>7</v>
      </c>
      <c r="U69" s="193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99" t="s">
        <v>96</v>
      </c>
      <c r="AD69" s="201">
        <v>0</v>
      </c>
      <c r="AE69" s="201">
        <v>33</v>
      </c>
      <c r="AF69" s="201">
        <v>9</v>
      </c>
      <c r="AG69" s="201">
        <v>9</v>
      </c>
      <c r="AH69" s="201">
        <v>0</v>
      </c>
      <c r="AI69" s="5"/>
      <c r="AJ69" s="199" t="s">
        <v>96</v>
      </c>
      <c r="AK69" s="201">
        <v>0</v>
      </c>
      <c r="AL69" s="201">
        <v>33</v>
      </c>
      <c r="AM69" s="201">
        <v>9</v>
      </c>
      <c r="AN69" s="201">
        <v>9</v>
      </c>
      <c r="AO69" s="201">
        <v>0</v>
      </c>
    </row>
    <row r="70" spans="10:41" ht="16.5" customHeight="1">
      <c r="J70" s="23">
        <v>66</v>
      </c>
      <c r="K70" s="194" t="s">
        <v>29</v>
      </c>
      <c r="L70" s="194" t="s">
        <v>95</v>
      </c>
      <c r="M70" s="194" t="s">
        <v>13</v>
      </c>
      <c r="N70" s="194" t="s">
        <v>31</v>
      </c>
      <c r="O70" s="194" t="s">
        <v>95</v>
      </c>
      <c r="Q70" s="193">
        <v>8</v>
      </c>
      <c r="R70" s="193">
        <v>6</v>
      </c>
      <c r="S70" s="193">
        <v>5</v>
      </c>
      <c r="T70" s="193">
        <v>7</v>
      </c>
      <c r="U70" s="193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99" t="s">
        <v>82</v>
      </c>
      <c r="AD70" s="201">
        <v>0</v>
      </c>
      <c r="AE70" s="201">
        <v>33</v>
      </c>
      <c r="AF70" s="201">
        <v>9</v>
      </c>
      <c r="AG70" s="201">
        <v>9</v>
      </c>
      <c r="AH70" s="201">
        <v>0</v>
      </c>
      <c r="AI70" s="5"/>
      <c r="AJ70" s="199" t="s">
        <v>82</v>
      </c>
      <c r="AK70" s="201">
        <v>0</v>
      </c>
      <c r="AL70" s="201">
        <v>33</v>
      </c>
      <c r="AM70" s="201">
        <v>9</v>
      </c>
      <c r="AN70" s="201">
        <v>9</v>
      </c>
      <c r="AO70" s="201">
        <v>0</v>
      </c>
    </row>
    <row r="71" spans="10:41" ht="16.5" customHeight="1">
      <c r="J71" s="193">
        <v>67</v>
      </c>
      <c r="K71" s="194" t="s">
        <v>13</v>
      </c>
      <c r="L71" s="194" t="s">
        <v>95</v>
      </c>
      <c r="M71" s="194" t="s">
        <v>28</v>
      </c>
      <c r="N71" s="194" t="s">
        <v>82</v>
      </c>
      <c r="O71" s="194" t="s">
        <v>30</v>
      </c>
      <c r="Q71" s="193">
        <v>5</v>
      </c>
      <c r="R71" s="193">
        <v>6</v>
      </c>
      <c r="S71" s="193">
        <v>9</v>
      </c>
      <c r="T71" s="193">
        <v>16</v>
      </c>
      <c r="U71" s="193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99" t="s">
        <v>94</v>
      </c>
      <c r="AD71" s="201">
        <v>0</v>
      </c>
      <c r="AE71" s="201">
        <v>24</v>
      </c>
      <c r="AF71" s="201">
        <v>9</v>
      </c>
      <c r="AG71" s="201">
        <v>9</v>
      </c>
      <c r="AH71" s="201">
        <v>0</v>
      </c>
      <c r="AI71" s="5"/>
      <c r="AJ71" s="199" t="s">
        <v>94</v>
      </c>
      <c r="AK71" s="201">
        <v>0</v>
      </c>
      <c r="AL71" s="201">
        <v>24</v>
      </c>
      <c r="AM71" s="201">
        <v>9</v>
      </c>
      <c r="AN71" s="201">
        <v>9</v>
      </c>
      <c r="AO71" s="201">
        <v>0</v>
      </c>
    </row>
    <row r="72" spans="10:41" ht="16.5" customHeight="1">
      <c r="J72" s="23">
        <v>68</v>
      </c>
      <c r="K72" s="194" t="s">
        <v>30</v>
      </c>
      <c r="L72" s="194" t="s">
        <v>78</v>
      </c>
      <c r="M72" s="194" t="s">
        <v>95</v>
      </c>
      <c r="N72" s="194" t="s">
        <v>16</v>
      </c>
      <c r="O72" s="194" t="s">
        <v>28</v>
      </c>
      <c r="Q72" s="193">
        <v>10</v>
      </c>
      <c r="R72" s="193">
        <v>11</v>
      </c>
      <c r="S72" s="193">
        <v>6</v>
      </c>
      <c r="T72" s="193">
        <v>3</v>
      </c>
      <c r="U72" s="193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99" t="s">
        <v>85</v>
      </c>
      <c r="AD72" s="201">
        <v>0</v>
      </c>
      <c r="AE72" s="201">
        <v>18</v>
      </c>
      <c r="AF72" s="201">
        <v>0</v>
      </c>
      <c r="AG72" s="201">
        <v>12</v>
      </c>
      <c r="AH72" s="201">
        <v>0</v>
      </c>
      <c r="AI72" s="5"/>
      <c r="AJ72" s="199" t="s">
        <v>85</v>
      </c>
      <c r="AK72" s="201">
        <v>0</v>
      </c>
      <c r="AL72" s="201">
        <v>18</v>
      </c>
      <c r="AM72" s="201">
        <v>0</v>
      </c>
      <c r="AN72" s="201">
        <v>12</v>
      </c>
      <c r="AO72" s="201">
        <v>0</v>
      </c>
    </row>
    <row r="73" spans="10:41" ht="16.5" customHeight="1">
      <c r="J73" s="193">
        <v>69</v>
      </c>
      <c r="K73" s="194" t="s">
        <v>13</v>
      </c>
      <c r="L73" s="194" t="s">
        <v>12</v>
      </c>
      <c r="M73" s="194" t="s">
        <v>95</v>
      </c>
      <c r="N73" s="194" t="s">
        <v>12</v>
      </c>
      <c r="O73" s="194" t="s">
        <v>12</v>
      </c>
      <c r="Q73" s="193">
        <v>5</v>
      </c>
      <c r="R73" s="193">
        <v>4</v>
      </c>
      <c r="S73" s="193">
        <v>6</v>
      </c>
      <c r="T73" s="193">
        <v>4</v>
      </c>
      <c r="U73" s="193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99" t="s">
        <v>87</v>
      </c>
      <c r="AD73" s="201">
        <v>0</v>
      </c>
      <c r="AE73" s="201">
        <v>18</v>
      </c>
      <c r="AF73" s="201">
        <v>0</v>
      </c>
      <c r="AG73" s="201">
        <v>12</v>
      </c>
      <c r="AH73" s="201">
        <v>0</v>
      </c>
      <c r="AI73" s="5"/>
      <c r="AJ73" s="199" t="s">
        <v>87</v>
      </c>
      <c r="AK73" s="201">
        <v>0</v>
      </c>
      <c r="AL73" s="201">
        <v>18</v>
      </c>
      <c r="AM73" s="201">
        <v>0</v>
      </c>
      <c r="AN73" s="201">
        <v>12</v>
      </c>
      <c r="AO73" s="201">
        <v>0</v>
      </c>
    </row>
    <row r="74" spans="10:41" ht="16.5" customHeight="1">
      <c r="J74" s="23">
        <v>70</v>
      </c>
      <c r="K74" s="194" t="s">
        <v>29</v>
      </c>
      <c r="L74" s="194" t="s">
        <v>29</v>
      </c>
      <c r="M74" s="194" t="s">
        <v>29</v>
      </c>
      <c r="N74" s="194" t="s">
        <v>28</v>
      </c>
      <c r="O74" s="194" t="s">
        <v>95</v>
      </c>
      <c r="Q74" s="193">
        <v>8</v>
      </c>
      <c r="R74" s="193">
        <v>8</v>
      </c>
      <c r="S74" s="193">
        <v>8</v>
      </c>
      <c r="T74" s="193">
        <v>9</v>
      </c>
      <c r="U74" s="193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103">
        <v>200</v>
      </c>
      <c r="AE74" s="103">
        <v>360</v>
      </c>
      <c r="AF74" s="103">
        <v>224</v>
      </c>
      <c r="AG74" s="103">
        <v>264</v>
      </c>
      <c r="AH74" s="103">
        <v>200</v>
      </c>
      <c r="AI74" s="5"/>
      <c r="AK74" s="103">
        <v>200</v>
      </c>
      <c r="AL74" s="103">
        <v>360</v>
      </c>
      <c r="AM74" s="103">
        <v>224</v>
      </c>
      <c r="AN74" s="103">
        <v>264</v>
      </c>
      <c r="AO74" s="103">
        <v>200</v>
      </c>
    </row>
    <row r="75" spans="10:41" ht="16.5" customHeight="1">
      <c r="J75" s="193">
        <v>71</v>
      </c>
      <c r="K75" s="194" t="s">
        <v>12</v>
      </c>
      <c r="L75" s="194" t="s">
        <v>78</v>
      </c>
      <c r="M75" s="194" t="s">
        <v>95</v>
      </c>
      <c r="N75" s="194" t="s">
        <v>95</v>
      </c>
      <c r="O75" s="194" t="s">
        <v>15</v>
      </c>
      <c r="Q75" s="193">
        <v>4</v>
      </c>
      <c r="R75" s="193">
        <v>11</v>
      </c>
      <c r="S75" s="193">
        <v>6</v>
      </c>
      <c r="T75" s="193">
        <v>6</v>
      </c>
      <c r="U75" s="193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4" t="s">
        <v>16</v>
      </c>
      <c r="L76" s="194" t="s">
        <v>30</v>
      </c>
      <c r="M76" s="194" t="s">
        <v>13</v>
      </c>
      <c r="N76" s="194" t="s">
        <v>14</v>
      </c>
      <c r="O76" s="194" t="s">
        <v>31</v>
      </c>
      <c r="Q76" s="193">
        <v>3</v>
      </c>
      <c r="R76" s="193">
        <v>10</v>
      </c>
      <c r="S76" s="193">
        <v>5</v>
      </c>
      <c r="T76" s="193">
        <v>1</v>
      </c>
      <c r="U76" s="193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93">
        <v>73</v>
      </c>
      <c r="K77" s="194" t="s">
        <v>13</v>
      </c>
      <c r="L77" s="194" t="s">
        <v>87</v>
      </c>
      <c r="M77" s="194" t="s">
        <v>29</v>
      </c>
      <c r="N77" s="194" t="s">
        <v>28</v>
      </c>
      <c r="O77" s="194" t="s">
        <v>95</v>
      </c>
      <c r="Q77" s="193">
        <v>5</v>
      </c>
      <c r="R77" s="193">
        <v>19</v>
      </c>
      <c r="S77" s="193">
        <v>8</v>
      </c>
      <c r="T77" s="193">
        <v>9</v>
      </c>
      <c r="U77" s="193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94" t="s">
        <v>29</v>
      </c>
      <c r="L78" s="194" t="s">
        <v>15</v>
      </c>
      <c r="M78" s="194" t="s">
        <v>95</v>
      </c>
      <c r="N78" s="194" t="s">
        <v>16</v>
      </c>
      <c r="O78" s="194" t="s">
        <v>16</v>
      </c>
      <c r="Q78" s="193">
        <v>8</v>
      </c>
      <c r="R78" s="193">
        <v>2</v>
      </c>
      <c r="S78" s="193">
        <v>6</v>
      </c>
      <c r="T78" s="193">
        <v>3</v>
      </c>
      <c r="U78" s="193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93">
        <v>75</v>
      </c>
      <c r="K79" s="194" t="s">
        <v>95</v>
      </c>
      <c r="L79" s="194" t="s">
        <v>15</v>
      </c>
      <c r="M79" s="194" t="s">
        <v>95</v>
      </c>
      <c r="N79" s="194" t="s">
        <v>95</v>
      </c>
      <c r="O79" s="194" t="s">
        <v>16</v>
      </c>
      <c r="Q79" s="193">
        <v>6</v>
      </c>
      <c r="R79" s="193">
        <v>2</v>
      </c>
      <c r="S79" s="193">
        <v>6</v>
      </c>
      <c r="T79" s="193">
        <v>6</v>
      </c>
      <c r="U79" s="193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94" t="s">
        <v>31</v>
      </c>
      <c r="L80" s="194" t="s">
        <v>78</v>
      </c>
      <c r="M80" s="194" t="s">
        <v>96</v>
      </c>
      <c r="N80" s="194" t="s">
        <v>13</v>
      </c>
      <c r="O80" s="194" t="s">
        <v>13</v>
      </c>
      <c r="Q80" s="193">
        <v>7</v>
      </c>
      <c r="R80" s="193">
        <v>11</v>
      </c>
      <c r="S80" s="193">
        <v>15</v>
      </c>
      <c r="T80" s="193">
        <v>5</v>
      </c>
      <c r="U80" s="193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93">
        <v>77</v>
      </c>
      <c r="K81" s="194" t="s">
        <v>31</v>
      </c>
      <c r="L81" s="194" t="s">
        <v>28</v>
      </c>
      <c r="M81" s="194" t="s">
        <v>29</v>
      </c>
      <c r="N81" s="194" t="s">
        <v>15</v>
      </c>
      <c r="O81" s="194" t="s">
        <v>31</v>
      </c>
      <c r="Q81" s="193">
        <v>7</v>
      </c>
      <c r="R81" s="193">
        <v>9</v>
      </c>
      <c r="S81" s="193">
        <v>8</v>
      </c>
      <c r="T81" s="193">
        <v>2</v>
      </c>
      <c r="U81" s="193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94" t="s">
        <v>95</v>
      </c>
      <c r="L82" s="194" t="s">
        <v>15</v>
      </c>
      <c r="M82" s="194" t="s">
        <v>95</v>
      </c>
      <c r="N82" s="194" t="s">
        <v>12</v>
      </c>
      <c r="O82" s="194" t="s">
        <v>15</v>
      </c>
      <c r="Q82" s="193">
        <v>6</v>
      </c>
      <c r="R82" s="193">
        <v>2</v>
      </c>
      <c r="S82" s="193">
        <v>6</v>
      </c>
      <c r="T82" s="193">
        <v>4</v>
      </c>
      <c r="U82" s="193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93">
        <v>79</v>
      </c>
      <c r="K83" s="194" t="s">
        <v>31</v>
      </c>
      <c r="L83" s="194" t="s">
        <v>94</v>
      </c>
      <c r="M83" s="194" t="s">
        <v>29</v>
      </c>
      <c r="N83" s="194" t="s">
        <v>12</v>
      </c>
      <c r="O83" s="194" t="s">
        <v>31</v>
      </c>
      <c r="Q83" s="193">
        <v>7</v>
      </c>
      <c r="R83" s="193">
        <v>17</v>
      </c>
      <c r="S83" s="193">
        <v>8</v>
      </c>
      <c r="T83" s="193">
        <v>4</v>
      </c>
      <c r="U83" s="193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4" t="s">
        <v>13</v>
      </c>
      <c r="L84" s="194" t="s">
        <v>13</v>
      </c>
      <c r="M84" s="194" t="s">
        <v>31</v>
      </c>
      <c r="N84" s="194" t="s">
        <v>12</v>
      </c>
      <c r="O84" s="194" t="s">
        <v>15</v>
      </c>
      <c r="Q84" s="193">
        <v>5</v>
      </c>
      <c r="R84" s="193">
        <v>5</v>
      </c>
      <c r="S84" s="193">
        <v>7</v>
      </c>
      <c r="T84" s="193">
        <v>4</v>
      </c>
      <c r="U84" s="193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93">
        <v>81</v>
      </c>
      <c r="K85" s="194" t="s">
        <v>13</v>
      </c>
      <c r="L85" s="194" t="s">
        <v>80</v>
      </c>
      <c r="M85" s="194" t="s">
        <v>31</v>
      </c>
      <c r="N85" s="194" t="s">
        <v>31</v>
      </c>
      <c r="O85" s="194" t="s">
        <v>30</v>
      </c>
      <c r="Q85" s="193">
        <v>5</v>
      </c>
      <c r="R85" s="193">
        <v>13</v>
      </c>
      <c r="S85" s="193">
        <v>7</v>
      </c>
      <c r="T85" s="193">
        <v>7</v>
      </c>
      <c r="U85" s="193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4" t="s">
        <v>29</v>
      </c>
      <c r="L86" s="194" t="s">
        <v>96</v>
      </c>
      <c r="M86" s="194" t="s">
        <v>29</v>
      </c>
      <c r="N86" s="194" t="s">
        <v>29</v>
      </c>
      <c r="O86" s="194" t="s">
        <v>16</v>
      </c>
      <c r="Q86" s="193">
        <v>8</v>
      </c>
      <c r="R86" s="193">
        <v>15</v>
      </c>
      <c r="S86" s="193">
        <v>8</v>
      </c>
      <c r="T86" s="193">
        <v>8</v>
      </c>
      <c r="U86" s="193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3">
        <v>83</v>
      </c>
      <c r="K87" s="194" t="s">
        <v>13</v>
      </c>
      <c r="L87" s="194" t="s">
        <v>96</v>
      </c>
      <c r="M87" s="194" t="s">
        <v>13</v>
      </c>
      <c r="N87" s="194" t="s">
        <v>30</v>
      </c>
      <c r="O87" s="194" t="s">
        <v>29</v>
      </c>
      <c r="Q87" s="193">
        <v>5</v>
      </c>
      <c r="R87" s="193">
        <v>15</v>
      </c>
      <c r="S87" s="193">
        <v>5</v>
      </c>
      <c r="T87" s="193">
        <v>10</v>
      </c>
      <c r="U87" s="193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4" t="s">
        <v>29</v>
      </c>
      <c r="L88" s="194" t="s">
        <v>30</v>
      </c>
      <c r="M88" s="194" t="s">
        <v>16</v>
      </c>
      <c r="N88" s="194" t="s">
        <v>30</v>
      </c>
      <c r="O88" s="194" t="s">
        <v>15</v>
      </c>
      <c r="Q88" s="193">
        <v>8</v>
      </c>
      <c r="R88" s="193">
        <v>10</v>
      </c>
      <c r="S88" s="193">
        <v>3</v>
      </c>
      <c r="T88" s="193">
        <v>10</v>
      </c>
      <c r="U88" s="193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93">
        <v>85</v>
      </c>
      <c r="K89" s="194" t="s">
        <v>95</v>
      </c>
      <c r="L89" s="194" t="s">
        <v>12</v>
      </c>
      <c r="M89" s="194" t="s">
        <v>82</v>
      </c>
      <c r="N89" s="194" t="s">
        <v>29</v>
      </c>
      <c r="O89" s="194" t="s">
        <v>13</v>
      </c>
      <c r="Q89" s="193">
        <v>6</v>
      </c>
      <c r="R89" s="193">
        <v>4</v>
      </c>
      <c r="S89" s="193">
        <v>16</v>
      </c>
      <c r="T89" s="193">
        <v>8</v>
      </c>
      <c r="U89" s="193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94" t="s">
        <v>95</v>
      </c>
      <c r="L90" s="194" t="s">
        <v>12</v>
      </c>
      <c r="M90" s="194" t="s">
        <v>13</v>
      </c>
      <c r="N90" s="194" t="s">
        <v>85</v>
      </c>
      <c r="O90" s="194" t="s">
        <v>15</v>
      </c>
      <c r="Q90" s="193">
        <v>6</v>
      </c>
      <c r="R90" s="193">
        <v>4</v>
      </c>
      <c r="S90" s="193">
        <v>5</v>
      </c>
      <c r="T90" s="193">
        <v>18</v>
      </c>
      <c r="U90" s="193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93">
        <v>87</v>
      </c>
      <c r="K91" s="194" t="s">
        <v>29</v>
      </c>
      <c r="L91" s="194" t="s">
        <v>87</v>
      </c>
      <c r="M91" s="194" t="s">
        <v>31</v>
      </c>
      <c r="N91" s="194" t="s">
        <v>95</v>
      </c>
      <c r="O91" s="194" t="s">
        <v>15</v>
      </c>
      <c r="Q91" s="193">
        <v>8</v>
      </c>
      <c r="R91" s="193">
        <v>19</v>
      </c>
      <c r="S91" s="193">
        <v>7</v>
      </c>
      <c r="T91" s="193">
        <v>6</v>
      </c>
      <c r="U91" s="193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94" t="s">
        <v>95</v>
      </c>
      <c r="L92" s="194" t="s">
        <v>81</v>
      </c>
      <c r="M92" s="194" t="s">
        <v>95</v>
      </c>
      <c r="N92" s="194" t="s">
        <v>95</v>
      </c>
      <c r="O92" s="194" t="s">
        <v>16</v>
      </c>
      <c r="Q92" s="193">
        <v>6</v>
      </c>
      <c r="R92" s="193">
        <v>14</v>
      </c>
      <c r="S92" s="193">
        <v>6</v>
      </c>
      <c r="T92" s="193">
        <v>6</v>
      </c>
      <c r="U92" s="193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93">
        <v>89</v>
      </c>
      <c r="K93" s="194" t="s">
        <v>31</v>
      </c>
      <c r="L93" s="194" t="s">
        <v>16</v>
      </c>
      <c r="M93" s="194" t="s">
        <v>81</v>
      </c>
      <c r="N93" s="194" t="s">
        <v>78</v>
      </c>
      <c r="O93" s="194" t="s">
        <v>13</v>
      </c>
      <c r="Q93" s="193">
        <v>7</v>
      </c>
      <c r="R93" s="193">
        <v>3</v>
      </c>
      <c r="S93" s="193">
        <v>14</v>
      </c>
      <c r="T93" s="193">
        <v>11</v>
      </c>
      <c r="U93" s="193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94" t="s">
        <v>29</v>
      </c>
      <c r="L94" s="194" t="s">
        <v>16</v>
      </c>
      <c r="M94" s="194" t="s">
        <v>29</v>
      </c>
      <c r="N94" s="194" t="s">
        <v>95</v>
      </c>
      <c r="O94" s="194" t="s">
        <v>31</v>
      </c>
      <c r="Q94" s="193">
        <v>8</v>
      </c>
      <c r="R94" s="193">
        <v>3</v>
      </c>
      <c r="S94" s="193">
        <v>8</v>
      </c>
      <c r="T94" s="193">
        <v>6</v>
      </c>
      <c r="U94" s="193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93">
        <v>91</v>
      </c>
      <c r="K95" s="194" t="s">
        <v>29</v>
      </c>
      <c r="L95" s="194" t="s">
        <v>31</v>
      </c>
      <c r="M95" s="194" t="s">
        <v>29</v>
      </c>
      <c r="N95" s="194" t="s">
        <v>81</v>
      </c>
      <c r="O95" s="194" t="s">
        <v>30</v>
      </c>
      <c r="Q95" s="193">
        <v>8</v>
      </c>
      <c r="R95" s="193">
        <v>7</v>
      </c>
      <c r="S95" s="193">
        <v>8</v>
      </c>
      <c r="T95" s="193">
        <v>14</v>
      </c>
      <c r="U95" s="193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94" t="s">
        <v>29</v>
      </c>
      <c r="L96" s="194" t="s">
        <v>82</v>
      </c>
      <c r="M96" s="194" t="s">
        <v>29</v>
      </c>
      <c r="N96" s="194" t="s">
        <v>16</v>
      </c>
      <c r="O96" s="194" t="s">
        <v>95</v>
      </c>
      <c r="Q96" s="193">
        <v>8</v>
      </c>
      <c r="R96" s="193">
        <v>16</v>
      </c>
      <c r="S96" s="193">
        <v>8</v>
      </c>
      <c r="T96" s="193">
        <v>3</v>
      </c>
      <c r="U96" s="193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93">
        <v>93</v>
      </c>
      <c r="K97" s="194" t="s">
        <v>95</v>
      </c>
      <c r="L97" s="194" t="s">
        <v>28</v>
      </c>
      <c r="M97" s="194" t="s">
        <v>31</v>
      </c>
      <c r="N97" s="194" t="s">
        <v>12</v>
      </c>
      <c r="O97" s="194" t="s">
        <v>95</v>
      </c>
      <c r="Q97" s="193">
        <v>6</v>
      </c>
      <c r="R97" s="193">
        <v>9</v>
      </c>
      <c r="S97" s="193">
        <v>7</v>
      </c>
      <c r="T97" s="193">
        <v>4</v>
      </c>
      <c r="U97" s="193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94" t="s">
        <v>29</v>
      </c>
      <c r="L98" s="194" t="s">
        <v>30</v>
      </c>
      <c r="M98" s="194" t="s">
        <v>95</v>
      </c>
      <c r="N98" s="194" t="s">
        <v>12</v>
      </c>
      <c r="O98" s="194" t="s">
        <v>15</v>
      </c>
      <c r="Q98" s="193">
        <v>8</v>
      </c>
      <c r="R98" s="193">
        <v>10</v>
      </c>
      <c r="S98" s="193">
        <v>6</v>
      </c>
      <c r="T98" s="193">
        <v>4</v>
      </c>
      <c r="U98" s="193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93">
        <v>95</v>
      </c>
      <c r="K99" s="194" t="s">
        <v>30</v>
      </c>
      <c r="L99" s="194" t="s">
        <v>79</v>
      </c>
      <c r="M99" s="194" t="s">
        <v>31</v>
      </c>
      <c r="N99" s="194" t="s">
        <v>15</v>
      </c>
      <c r="O99" s="194" t="s">
        <v>13</v>
      </c>
      <c r="Q99" s="193">
        <v>10</v>
      </c>
      <c r="R99" s="193">
        <v>12</v>
      </c>
      <c r="S99" s="193">
        <v>7</v>
      </c>
      <c r="T99" s="193">
        <v>2</v>
      </c>
      <c r="U99" s="193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94" t="s">
        <v>13</v>
      </c>
      <c r="L100" s="194" t="s">
        <v>29</v>
      </c>
      <c r="M100" s="194" t="s">
        <v>15</v>
      </c>
      <c r="N100" s="194" t="s">
        <v>15</v>
      </c>
      <c r="O100" s="194" t="s">
        <v>28</v>
      </c>
      <c r="Q100" s="193">
        <v>5</v>
      </c>
      <c r="R100" s="193">
        <v>8</v>
      </c>
      <c r="S100" s="193">
        <v>2</v>
      </c>
      <c r="T100" s="193">
        <v>2</v>
      </c>
      <c r="U100" s="193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93">
        <v>97</v>
      </c>
      <c r="K101" s="194" t="s">
        <v>29</v>
      </c>
      <c r="L101" s="194" t="s">
        <v>78</v>
      </c>
      <c r="M101" s="194" t="s">
        <v>13</v>
      </c>
      <c r="N101" s="194" t="s">
        <v>15</v>
      </c>
      <c r="O101" s="194" t="s">
        <v>30</v>
      </c>
      <c r="Q101" s="193">
        <v>8</v>
      </c>
      <c r="R101" s="193">
        <v>11</v>
      </c>
      <c r="S101" s="193">
        <v>5</v>
      </c>
      <c r="T101" s="193">
        <v>2</v>
      </c>
      <c r="U101" s="193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94" t="s">
        <v>31</v>
      </c>
      <c r="L102" s="194" t="s">
        <v>16</v>
      </c>
      <c r="M102" s="194" t="s">
        <v>29</v>
      </c>
      <c r="N102" s="194" t="s">
        <v>95</v>
      </c>
      <c r="O102" s="194" t="s">
        <v>28</v>
      </c>
      <c r="Q102" s="193">
        <v>7</v>
      </c>
      <c r="R102" s="193">
        <v>3</v>
      </c>
      <c r="S102" s="193">
        <v>8</v>
      </c>
      <c r="T102" s="193">
        <v>6</v>
      </c>
      <c r="U102" s="193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93">
        <v>99</v>
      </c>
      <c r="K103" s="194" t="s">
        <v>31</v>
      </c>
      <c r="L103" s="194" t="s">
        <v>14</v>
      </c>
      <c r="M103" s="194" t="s">
        <v>95</v>
      </c>
      <c r="N103" s="194" t="s">
        <v>31</v>
      </c>
      <c r="O103" s="194" t="s">
        <v>16</v>
      </c>
      <c r="Q103" s="193">
        <v>7</v>
      </c>
      <c r="R103" s="193">
        <v>1</v>
      </c>
      <c r="S103" s="193">
        <v>6</v>
      </c>
      <c r="T103" s="193">
        <v>7</v>
      </c>
      <c r="U103" s="193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94" t="s">
        <v>31</v>
      </c>
      <c r="L104" s="194" t="s">
        <v>15</v>
      </c>
      <c r="M104" s="194" t="s">
        <v>95</v>
      </c>
      <c r="N104" s="194" t="s">
        <v>95</v>
      </c>
      <c r="O104" s="194" t="s">
        <v>13</v>
      </c>
      <c r="Q104" s="193">
        <v>7</v>
      </c>
      <c r="R104" s="193">
        <v>2</v>
      </c>
      <c r="S104" s="193">
        <v>6</v>
      </c>
      <c r="T104" s="193">
        <v>6</v>
      </c>
      <c r="U104" s="193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94" t="s">
        <v>95</v>
      </c>
      <c r="L105" s="194" t="s">
        <v>81</v>
      </c>
      <c r="M105" s="194" t="s">
        <v>95</v>
      </c>
      <c r="N105" s="194" t="s">
        <v>80</v>
      </c>
      <c r="O105" s="194" t="s">
        <v>95</v>
      </c>
      <c r="Q105" s="193">
        <v>6</v>
      </c>
      <c r="R105" s="193">
        <v>14</v>
      </c>
      <c r="S105" s="193">
        <v>6</v>
      </c>
      <c r="T105" s="193">
        <v>13</v>
      </c>
      <c r="U105" s="193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93">
        <v>102</v>
      </c>
      <c r="K106" s="194" t="s">
        <v>95</v>
      </c>
      <c r="L106" s="194" t="s">
        <v>81</v>
      </c>
      <c r="M106" s="194" t="s">
        <v>29</v>
      </c>
      <c r="N106" s="194" t="s">
        <v>30</v>
      </c>
      <c r="O106" s="194" t="s">
        <v>29</v>
      </c>
      <c r="Q106" s="193">
        <v>6</v>
      </c>
      <c r="R106" s="193">
        <v>14</v>
      </c>
      <c r="S106" s="193">
        <v>8</v>
      </c>
      <c r="T106" s="193">
        <v>10</v>
      </c>
      <c r="U106" s="193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94" t="s">
        <v>29</v>
      </c>
      <c r="L107" s="194" t="s">
        <v>12</v>
      </c>
      <c r="M107" s="194" t="s">
        <v>31</v>
      </c>
      <c r="N107" s="194" t="s">
        <v>13</v>
      </c>
      <c r="O107" s="194" t="s">
        <v>12</v>
      </c>
      <c r="Q107" s="193">
        <v>8</v>
      </c>
      <c r="R107" s="193">
        <v>4</v>
      </c>
      <c r="S107" s="193">
        <v>7</v>
      </c>
      <c r="T107" s="193">
        <v>5</v>
      </c>
      <c r="U107" s="193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93">
        <v>104</v>
      </c>
      <c r="K108" s="194" t="s">
        <v>13</v>
      </c>
      <c r="L108" s="194" t="s">
        <v>94</v>
      </c>
      <c r="M108" s="194" t="s">
        <v>95</v>
      </c>
      <c r="N108" s="194" t="s">
        <v>95</v>
      </c>
      <c r="O108" s="194" t="s">
        <v>16</v>
      </c>
      <c r="Q108" s="193">
        <v>5</v>
      </c>
      <c r="R108" s="193">
        <v>17</v>
      </c>
      <c r="S108" s="193">
        <v>6</v>
      </c>
      <c r="T108" s="193">
        <v>6</v>
      </c>
      <c r="U108" s="193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94" t="s">
        <v>95</v>
      </c>
      <c r="L109" s="194" t="s">
        <v>16</v>
      </c>
      <c r="M109" s="194" t="s">
        <v>29</v>
      </c>
      <c r="N109" s="194" t="s">
        <v>30</v>
      </c>
      <c r="O109" s="194" t="s">
        <v>16</v>
      </c>
      <c r="Q109" s="193">
        <v>6</v>
      </c>
      <c r="R109" s="193">
        <v>3</v>
      </c>
      <c r="S109" s="193">
        <v>8</v>
      </c>
      <c r="T109" s="193">
        <v>10</v>
      </c>
      <c r="U109" s="193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93">
        <v>106</v>
      </c>
      <c r="K110" s="194" t="s">
        <v>29</v>
      </c>
      <c r="L110" s="194" t="s">
        <v>29</v>
      </c>
      <c r="M110" s="194" t="s">
        <v>29</v>
      </c>
      <c r="N110" s="194" t="s">
        <v>14</v>
      </c>
      <c r="O110" s="194" t="s">
        <v>29</v>
      </c>
      <c r="Q110" s="193">
        <v>8</v>
      </c>
      <c r="R110" s="193">
        <v>8</v>
      </c>
      <c r="S110" s="193">
        <v>8</v>
      </c>
      <c r="T110" s="193">
        <v>1</v>
      </c>
      <c r="U110" s="193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94" t="s">
        <v>16</v>
      </c>
      <c r="L111" s="194" t="s">
        <v>80</v>
      </c>
      <c r="M111" s="194" t="s">
        <v>31</v>
      </c>
      <c r="N111" s="194" t="s">
        <v>16</v>
      </c>
      <c r="O111" s="194" t="s">
        <v>28</v>
      </c>
      <c r="Q111" s="193">
        <v>3</v>
      </c>
      <c r="R111" s="193">
        <v>13</v>
      </c>
      <c r="S111" s="193">
        <v>7</v>
      </c>
      <c r="T111" s="193">
        <v>3</v>
      </c>
      <c r="U111" s="193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93">
        <v>108</v>
      </c>
      <c r="K112" s="194" t="s">
        <v>31</v>
      </c>
      <c r="L112" s="194" t="s">
        <v>31</v>
      </c>
      <c r="M112" s="194" t="s">
        <v>31</v>
      </c>
      <c r="N112" s="194" t="s">
        <v>96</v>
      </c>
      <c r="O112" s="194" t="s">
        <v>28</v>
      </c>
      <c r="Q112" s="193">
        <v>7</v>
      </c>
      <c r="R112" s="193">
        <v>7</v>
      </c>
      <c r="S112" s="193">
        <v>7</v>
      </c>
      <c r="T112" s="193">
        <v>15</v>
      </c>
      <c r="U112" s="193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94" t="s">
        <v>31</v>
      </c>
      <c r="L113" s="194" t="s">
        <v>13</v>
      </c>
      <c r="M113" s="194" t="s">
        <v>95</v>
      </c>
      <c r="N113" s="194" t="s">
        <v>12</v>
      </c>
      <c r="O113" s="194" t="s">
        <v>30</v>
      </c>
      <c r="Q113" s="193">
        <v>7</v>
      </c>
      <c r="R113" s="193">
        <v>5</v>
      </c>
      <c r="S113" s="193">
        <v>6</v>
      </c>
      <c r="T113" s="193">
        <v>4</v>
      </c>
      <c r="U113" s="193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93">
        <v>110</v>
      </c>
      <c r="K114" s="194" t="s">
        <v>31</v>
      </c>
      <c r="L114" s="194" t="s">
        <v>81</v>
      </c>
      <c r="M114" s="194" t="s">
        <v>13</v>
      </c>
      <c r="N114" s="194" t="s">
        <v>29</v>
      </c>
      <c r="O114" s="194" t="s">
        <v>30</v>
      </c>
      <c r="Q114" s="193">
        <v>7</v>
      </c>
      <c r="R114" s="193">
        <v>14</v>
      </c>
      <c r="S114" s="193">
        <v>5</v>
      </c>
      <c r="T114" s="193">
        <v>8</v>
      </c>
      <c r="U114" s="193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4" t="s">
        <v>95</v>
      </c>
      <c r="L115" s="194" t="s">
        <v>81</v>
      </c>
      <c r="M115" s="194" t="s">
        <v>13</v>
      </c>
      <c r="N115" s="194" t="s">
        <v>15</v>
      </c>
      <c r="O115" s="194" t="s">
        <v>13</v>
      </c>
      <c r="Q115" s="193">
        <v>6</v>
      </c>
      <c r="R115" s="193">
        <v>14</v>
      </c>
      <c r="S115" s="193">
        <v>5</v>
      </c>
      <c r="T115" s="193">
        <v>2</v>
      </c>
      <c r="U115" s="193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93">
        <v>112</v>
      </c>
      <c r="K116" s="194" t="s">
        <v>13</v>
      </c>
      <c r="L116" s="194" t="s">
        <v>15</v>
      </c>
      <c r="M116" s="194" t="s">
        <v>31</v>
      </c>
      <c r="N116" s="194" t="s">
        <v>87</v>
      </c>
      <c r="O116" s="194" t="s">
        <v>29</v>
      </c>
      <c r="Q116" s="193">
        <v>5</v>
      </c>
      <c r="R116" s="193">
        <v>2</v>
      </c>
      <c r="S116" s="193">
        <v>7</v>
      </c>
      <c r="T116" s="193">
        <v>19</v>
      </c>
      <c r="U116" s="193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94" t="s">
        <v>31</v>
      </c>
      <c r="L117" s="194" t="s">
        <v>15</v>
      </c>
      <c r="M117" s="194" t="s">
        <v>13</v>
      </c>
      <c r="N117" s="194" t="s">
        <v>30</v>
      </c>
      <c r="O117" s="194" t="s">
        <v>15</v>
      </c>
      <c r="Q117" s="193">
        <v>7</v>
      </c>
      <c r="R117" s="193">
        <v>2</v>
      </c>
      <c r="S117" s="193">
        <v>5</v>
      </c>
      <c r="T117" s="193">
        <v>10</v>
      </c>
      <c r="U117" s="193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93">
        <v>114</v>
      </c>
      <c r="K118" s="194" t="s">
        <v>29</v>
      </c>
      <c r="L118" s="194" t="s">
        <v>87</v>
      </c>
      <c r="M118" s="194" t="s">
        <v>30</v>
      </c>
      <c r="N118" s="194" t="s">
        <v>16</v>
      </c>
      <c r="O118" s="194" t="s">
        <v>30</v>
      </c>
      <c r="Q118" s="193">
        <v>8</v>
      </c>
      <c r="R118" s="193">
        <v>19</v>
      </c>
      <c r="S118" s="193">
        <v>10</v>
      </c>
      <c r="T118" s="193">
        <v>3</v>
      </c>
      <c r="U118" s="193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94" t="s">
        <v>29</v>
      </c>
      <c r="L119" s="194" t="s">
        <v>85</v>
      </c>
      <c r="M119" s="194" t="s">
        <v>95</v>
      </c>
      <c r="N119" s="194" t="s">
        <v>16</v>
      </c>
      <c r="O119" s="194" t="s">
        <v>13</v>
      </c>
      <c r="Q119" s="193">
        <v>8</v>
      </c>
      <c r="R119" s="193">
        <v>18</v>
      </c>
      <c r="S119" s="193">
        <v>6</v>
      </c>
      <c r="T119" s="193">
        <v>3</v>
      </c>
      <c r="U119" s="193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93">
        <v>116</v>
      </c>
      <c r="K120" s="194" t="s">
        <v>29</v>
      </c>
      <c r="L120" s="194" t="s">
        <v>29</v>
      </c>
      <c r="M120" s="194" t="s">
        <v>15</v>
      </c>
      <c r="N120" s="194" t="s">
        <v>78</v>
      </c>
      <c r="O120" s="194" t="s">
        <v>31</v>
      </c>
      <c r="Q120" s="193">
        <v>8</v>
      </c>
      <c r="R120" s="193">
        <v>8</v>
      </c>
      <c r="S120" s="193">
        <v>2</v>
      </c>
      <c r="T120" s="193">
        <v>11</v>
      </c>
      <c r="U120" s="193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94" t="s">
        <v>31</v>
      </c>
      <c r="L121" s="194" t="s">
        <v>15</v>
      </c>
      <c r="M121" s="194" t="s">
        <v>13</v>
      </c>
      <c r="N121" s="194" t="s">
        <v>14</v>
      </c>
      <c r="O121" s="194" t="s">
        <v>15</v>
      </c>
      <c r="Q121" s="193">
        <v>7</v>
      </c>
      <c r="R121" s="193">
        <v>2</v>
      </c>
      <c r="S121" s="193">
        <v>5</v>
      </c>
      <c r="T121" s="193">
        <v>1</v>
      </c>
      <c r="U121" s="193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93">
        <v>118</v>
      </c>
      <c r="K122" s="194" t="s">
        <v>95</v>
      </c>
      <c r="L122" s="194" t="s">
        <v>29</v>
      </c>
      <c r="M122" s="194" t="s">
        <v>95</v>
      </c>
      <c r="N122" s="194" t="s">
        <v>28</v>
      </c>
      <c r="O122" s="194" t="s">
        <v>12</v>
      </c>
      <c r="Q122" s="193">
        <v>6</v>
      </c>
      <c r="R122" s="193">
        <v>8</v>
      </c>
      <c r="S122" s="193">
        <v>6</v>
      </c>
      <c r="T122" s="193">
        <v>9</v>
      </c>
      <c r="U122" s="193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94" t="s">
        <v>95</v>
      </c>
      <c r="L123" s="194" t="s">
        <v>14</v>
      </c>
      <c r="M123" s="194" t="s">
        <v>95</v>
      </c>
      <c r="N123" s="194" t="s">
        <v>29</v>
      </c>
      <c r="O123" s="194" t="s">
        <v>16</v>
      </c>
      <c r="Q123" s="193">
        <v>6</v>
      </c>
      <c r="R123" s="193">
        <v>1</v>
      </c>
      <c r="S123" s="193">
        <v>6</v>
      </c>
      <c r="T123" s="193">
        <v>8</v>
      </c>
      <c r="U123" s="193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3">
        <v>120</v>
      </c>
      <c r="K124" s="194" t="s">
        <v>29</v>
      </c>
      <c r="L124" s="194" t="s">
        <v>78</v>
      </c>
      <c r="M124" s="194" t="s">
        <v>31</v>
      </c>
      <c r="N124" s="194" t="s">
        <v>12</v>
      </c>
      <c r="O124" s="194" t="s">
        <v>13</v>
      </c>
      <c r="Q124" s="193">
        <v>8</v>
      </c>
      <c r="R124" s="193">
        <v>11</v>
      </c>
      <c r="S124" s="193">
        <v>7</v>
      </c>
      <c r="T124" s="193">
        <v>4</v>
      </c>
      <c r="U124" s="193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94" t="s">
        <v>31</v>
      </c>
      <c r="L125" s="194" t="s">
        <v>13</v>
      </c>
      <c r="M125" s="194" t="s">
        <v>13</v>
      </c>
      <c r="N125" s="194" t="s">
        <v>87</v>
      </c>
      <c r="O125" s="194" t="s">
        <v>29</v>
      </c>
      <c r="Q125" s="193">
        <v>7</v>
      </c>
      <c r="R125" s="193">
        <v>5</v>
      </c>
      <c r="S125" s="193">
        <v>5</v>
      </c>
      <c r="T125" s="193">
        <v>19</v>
      </c>
      <c r="U125" s="193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93">
        <v>122</v>
      </c>
      <c r="K126" s="194" t="s">
        <v>31</v>
      </c>
      <c r="L126" s="194" t="s">
        <v>15</v>
      </c>
      <c r="M126" s="194" t="s">
        <v>31</v>
      </c>
      <c r="N126" s="194" t="s">
        <v>96</v>
      </c>
      <c r="O126" s="194" t="s">
        <v>12</v>
      </c>
      <c r="Q126" s="193">
        <v>7</v>
      </c>
      <c r="R126" s="193">
        <v>2</v>
      </c>
      <c r="S126" s="193">
        <v>7</v>
      </c>
      <c r="T126" s="193">
        <v>15</v>
      </c>
      <c r="U126" s="193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94" t="s">
        <v>29</v>
      </c>
      <c r="L127" s="194" t="s">
        <v>94</v>
      </c>
      <c r="M127" s="194" t="s">
        <v>29</v>
      </c>
      <c r="N127" s="194" t="s">
        <v>16</v>
      </c>
      <c r="O127" s="194" t="s">
        <v>15</v>
      </c>
      <c r="Q127" s="193">
        <v>8</v>
      </c>
      <c r="R127" s="193">
        <v>17</v>
      </c>
      <c r="S127" s="193">
        <v>8</v>
      </c>
      <c r="T127" s="193">
        <v>3</v>
      </c>
      <c r="U127" s="193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3">
        <v>124</v>
      </c>
      <c r="K128" s="194" t="s">
        <v>13</v>
      </c>
      <c r="L128" s="194" t="s">
        <v>16</v>
      </c>
      <c r="M128" s="194" t="s">
        <v>13</v>
      </c>
      <c r="N128" s="194" t="s">
        <v>31</v>
      </c>
      <c r="O128" s="194" t="s">
        <v>15</v>
      </c>
      <c r="Q128" s="193">
        <v>5</v>
      </c>
      <c r="R128" s="193">
        <v>3</v>
      </c>
      <c r="S128" s="193">
        <v>5</v>
      </c>
      <c r="T128" s="193">
        <v>7</v>
      </c>
      <c r="U128" s="193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4" t="s">
        <v>29</v>
      </c>
      <c r="L129" s="194" t="s">
        <v>82</v>
      </c>
      <c r="M129" s="194" t="s">
        <v>13</v>
      </c>
      <c r="N129" s="194" t="s">
        <v>95</v>
      </c>
      <c r="O129" s="194" t="s">
        <v>31</v>
      </c>
      <c r="Q129" s="193">
        <v>8</v>
      </c>
      <c r="R129" s="193">
        <v>16</v>
      </c>
      <c r="S129" s="193">
        <v>5</v>
      </c>
      <c r="T129" s="193">
        <v>6</v>
      </c>
      <c r="U129" s="193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3">
        <v>126</v>
      </c>
      <c r="K130" s="194" t="s">
        <v>31</v>
      </c>
      <c r="L130" s="194" t="s">
        <v>29</v>
      </c>
      <c r="M130" s="194" t="s">
        <v>95</v>
      </c>
      <c r="N130" s="194" t="s">
        <v>31</v>
      </c>
      <c r="O130" s="194" t="s">
        <v>28</v>
      </c>
      <c r="Q130" s="193">
        <v>7</v>
      </c>
      <c r="R130" s="193">
        <v>8</v>
      </c>
      <c r="S130" s="193">
        <v>6</v>
      </c>
      <c r="T130" s="193">
        <v>7</v>
      </c>
      <c r="U130" s="193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4" t="s">
        <v>13</v>
      </c>
      <c r="L131" s="194" t="s">
        <v>29</v>
      </c>
      <c r="M131" s="194" t="s">
        <v>31</v>
      </c>
      <c r="N131" s="194" t="s">
        <v>30</v>
      </c>
      <c r="O131" s="194" t="s">
        <v>28</v>
      </c>
      <c r="Q131" s="193">
        <v>5</v>
      </c>
      <c r="R131" s="193">
        <v>8</v>
      </c>
      <c r="S131" s="193">
        <v>7</v>
      </c>
      <c r="T131" s="193">
        <v>10</v>
      </c>
      <c r="U131" s="193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93">
        <v>128</v>
      </c>
      <c r="K132" s="194" t="s">
        <v>31</v>
      </c>
      <c r="L132" s="194" t="s">
        <v>78</v>
      </c>
      <c r="M132" s="194" t="s">
        <v>31</v>
      </c>
      <c r="N132" s="194" t="s">
        <v>80</v>
      </c>
      <c r="O132" s="194" t="s">
        <v>29</v>
      </c>
      <c r="Q132" s="193">
        <v>7</v>
      </c>
      <c r="R132" s="193">
        <v>11</v>
      </c>
      <c r="S132" s="193">
        <v>7</v>
      </c>
      <c r="T132" s="193">
        <v>13</v>
      </c>
      <c r="U132" s="193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94" t="s">
        <v>13</v>
      </c>
      <c r="L133" s="194" t="s">
        <v>16</v>
      </c>
      <c r="M133" s="194" t="s">
        <v>31</v>
      </c>
      <c r="N133" s="194" t="s">
        <v>14</v>
      </c>
      <c r="O133" s="194" t="s">
        <v>95</v>
      </c>
      <c r="Q133" s="193">
        <v>5</v>
      </c>
      <c r="R133" s="193">
        <v>3</v>
      </c>
      <c r="S133" s="193">
        <v>7</v>
      </c>
      <c r="T133" s="193">
        <v>1</v>
      </c>
      <c r="U133" s="193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93">
        <v>130</v>
      </c>
      <c r="K134" s="194" t="s">
        <v>31</v>
      </c>
      <c r="L134" s="194" t="s">
        <v>16</v>
      </c>
      <c r="M134" s="194" t="s">
        <v>95</v>
      </c>
      <c r="N134" s="194" t="s">
        <v>15</v>
      </c>
      <c r="O134" s="194" t="s">
        <v>29</v>
      </c>
      <c r="Q134" s="193">
        <v>7</v>
      </c>
      <c r="R134" s="193">
        <v>3</v>
      </c>
      <c r="S134" s="193">
        <v>6</v>
      </c>
      <c r="T134" s="193">
        <v>2</v>
      </c>
      <c r="U134" s="193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4" t="s">
        <v>31</v>
      </c>
      <c r="L135" s="194" t="s">
        <v>87</v>
      </c>
      <c r="M135" s="194" t="s">
        <v>95</v>
      </c>
      <c r="N135" s="194" t="s">
        <v>15</v>
      </c>
      <c r="O135" s="194" t="s">
        <v>15</v>
      </c>
      <c r="Q135" s="193">
        <v>7</v>
      </c>
      <c r="R135" s="193">
        <v>19</v>
      </c>
      <c r="S135" s="193">
        <v>6</v>
      </c>
      <c r="T135" s="193">
        <v>2</v>
      </c>
      <c r="U135" s="193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93">
        <v>132</v>
      </c>
      <c r="K136" s="194" t="s">
        <v>29</v>
      </c>
      <c r="L136" s="194" t="s">
        <v>14</v>
      </c>
      <c r="M136" s="194" t="s">
        <v>95</v>
      </c>
      <c r="N136" s="194" t="s">
        <v>82</v>
      </c>
      <c r="O136" s="194" t="s">
        <v>28</v>
      </c>
      <c r="Q136" s="193">
        <v>8</v>
      </c>
      <c r="R136" s="193">
        <v>1</v>
      </c>
      <c r="S136" s="193">
        <v>6</v>
      </c>
      <c r="T136" s="193">
        <v>16</v>
      </c>
      <c r="U136" s="193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94" t="s">
        <v>95</v>
      </c>
      <c r="L137" s="194" t="s">
        <v>95</v>
      </c>
      <c r="M137" s="194" t="s">
        <v>95</v>
      </c>
      <c r="N137" s="194" t="s">
        <v>94</v>
      </c>
      <c r="O137" s="194" t="s">
        <v>13</v>
      </c>
      <c r="Q137" s="193">
        <v>6</v>
      </c>
      <c r="R137" s="193">
        <v>6</v>
      </c>
      <c r="S137" s="193">
        <v>6</v>
      </c>
      <c r="T137" s="193">
        <v>17</v>
      </c>
      <c r="U137" s="193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93">
        <v>134</v>
      </c>
      <c r="K138" s="194" t="s">
        <v>29</v>
      </c>
      <c r="L138" s="194" t="s">
        <v>15</v>
      </c>
      <c r="M138" s="194" t="s">
        <v>29</v>
      </c>
      <c r="N138" s="194" t="s">
        <v>28</v>
      </c>
      <c r="O138" s="194" t="s">
        <v>16</v>
      </c>
      <c r="Q138" s="193">
        <v>8</v>
      </c>
      <c r="R138" s="193">
        <v>2</v>
      </c>
      <c r="S138" s="193">
        <v>8</v>
      </c>
      <c r="T138" s="193">
        <v>9</v>
      </c>
      <c r="U138" s="193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94" t="s">
        <v>13</v>
      </c>
      <c r="L139" s="194" t="s">
        <v>81</v>
      </c>
      <c r="M139" s="194" t="s">
        <v>94</v>
      </c>
      <c r="N139" s="194" t="s">
        <v>12</v>
      </c>
      <c r="O139" s="194" t="s">
        <v>16</v>
      </c>
      <c r="Q139" s="193">
        <v>5</v>
      </c>
      <c r="R139" s="193">
        <v>14</v>
      </c>
      <c r="S139" s="193">
        <v>17</v>
      </c>
      <c r="T139" s="193">
        <v>4</v>
      </c>
      <c r="U139" s="193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3">
        <v>136</v>
      </c>
      <c r="K140" s="194" t="s">
        <v>31</v>
      </c>
      <c r="L140" s="194" t="s">
        <v>31</v>
      </c>
      <c r="M140" s="194" t="s">
        <v>13</v>
      </c>
      <c r="N140" s="194" t="s">
        <v>12</v>
      </c>
      <c r="O140" s="194" t="s">
        <v>30</v>
      </c>
      <c r="Q140" s="193">
        <v>7</v>
      </c>
      <c r="R140" s="193">
        <v>7</v>
      </c>
      <c r="S140" s="193">
        <v>5</v>
      </c>
      <c r="T140" s="193">
        <v>4</v>
      </c>
      <c r="U140" s="193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4" t="s">
        <v>29</v>
      </c>
      <c r="L141" s="194" t="s">
        <v>95</v>
      </c>
      <c r="M141" s="194" t="s">
        <v>16</v>
      </c>
      <c r="N141" s="194" t="s">
        <v>94</v>
      </c>
      <c r="O141" s="194" t="s">
        <v>29</v>
      </c>
      <c r="Q141" s="193">
        <v>8</v>
      </c>
      <c r="R141" s="193">
        <v>6</v>
      </c>
      <c r="S141" s="193">
        <v>3</v>
      </c>
      <c r="T141" s="193">
        <v>17</v>
      </c>
      <c r="U141" s="193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3">
        <v>138</v>
      </c>
      <c r="K142" s="194" t="s">
        <v>31</v>
      </c>
      <c r="L142" s="194" t="s">
        <v>79</v>
      </c>
      <c r="M142" s="194" t="s">
        <v>31</v>
      </c>
      <c r="N142" s="194" t="s">
        <v>85</v>
      </c>
      <c r="O142" s="194" t="s">
        <v>30</v>
      </c>
      <c r="Q142" s="193">
        <v>7</v>
      </c>
      <c r="R142" s="193">
        <v>12</v>
      </c>
      <c r="S142" s="193">
        <v>7</v>
      </c>
      <c r="T142" s="193">
        <v>18</v>
      </c>
      <c r="U142" s="193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94" t="s">
        <v>29</v>
      </c>
      <c r="L143" s="194" t="s">
        <v>82</v>
      </c>
      <c r="M143" s="194" t="s">
        <v>96</v>
      </c>
      <c r="N143" s="194" t="s">
        <v>95</v>
      </c>
      <c r="O143" s="194" t="s">
        <v>31</v>
      </c>
      <c r="Q143" s="193">
        <v>8</v>
      </c>
      <c r="R143" s="193">
        <v>16</v>
      </c>
      <c r="S143" s="193">
        <v>15</v>
      </c>
      <c r="T143" s="193">
        <v>6</v>
      </c>
      <c r="U143" s="193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93">
        <v>140</v>
      </c>
      <c r="K144" s="194" t="s">
        <v>29</v>
      </c>
      <c r="L144" s="194" t="s">
        <v>31</v>
      </c>
      <c r="M144" s="194" t="s">
        <v>28</v>
      </c>
      <c r="N144" s="194" t="s">
        <v>15</v>
      </c>
      <c r="O144" s="194" t="s">
        <v>31</v>
      </c>
      <c r="Q144" s="193">
        <v>8</v>
      </c>
      <c r="R144" s="193">
        <v>7</v>
      </c>
      <c r="S144" s="193">
        <v>9</v>
      </c>
      <c r="T144" s="193">
        <v>2</v>
      </c>
      <c r="U144" s="193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4" t="s">
        <v>31</v>
      </c>
      <c r="L145" s="194" t="s">
        <v>31</v>
      </c>
      <c r="M145" s="194" t="s">
        <v>29</v>
      </c>
      <c r="N145" s="194" t="s">
        <v>79</v>
      </c>
      <c r="O145" s="194" t="s">
        <v>13</v>
      </c>
      <c r="Q145" s="193">
        <v>7</v>
      </c>
      <c r="R145" s="193">
        <v>7</v>
      </c>
      <c r="S145" s="193">
        <v>8</v>
      </c>
      <c r="T145" s="193">
        <v>12</v>
      </c>
      <c r="U145" s="193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3">
        <v>142</v>
      </c>
      <c r="K146" s="194" t="s">
        <v>95</v>
      </c>
      <c r="L146" s="194" t="s">
        <v>81</v>
      </c>
      <c r="M146" s="194" t="s">
        <v>29</v>
      </c>
      <c r="N146" s="194" t="s">
        <v>31</v>
      </c>
      <c r="O146" s="194" t="s">
        <v>28</v>
      </c>
      <c r="Q146" s="193">
        <v>6</v>
      </c>
      <c r="R146" s="193">
        <v>14</v>
      </c>
      <c r="S146" s="193">
        <v>8</v>
      </c>
      <c r="T146" s="193">
        <v>7</v>
      </c>
      <c r="U146" s="193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4" t="s">
        <v>31</v>
      </c>
      <c r="L147" s="194" t="s">
        <v>30</v>
      </c>
      <c r="M147" s="194" t="s">
        <v>95</v>
      </c>
      <c r="N147" s="194" t="s">
        <v>96</v>
      </c>
      <c r="O147" s="194" t="s">
        <v>29</v>
      </c>
      <c r="Q147" s="193">
        <v>7</v>
      </c>
      <c r="R147" s="193">
        <v>10</v>
      </c>
      <c r="S147" s="193">
        <v>6</v>
      </c>
      <c r="T147" s="193">
        <v>15</v>
      </c>
      <c r="U147" s="193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3">
        <v>144</v>
      </c>
      <c r="K148" s="194" t="s">
        <v>95</v>
      </c>
      <c r="L148" s="194" t="s">
        <v>31</v>
      </c>
      <c r="M148" s="194" t="s">
        <v>31</v>
      </c>
      <c r="N148" s="194" t="s">
        <v>29</v>
      </c>
      <c r="O148" s="194" t="s">
        <v>15</v>
      </c>
      <c r="Q148" s="193">
        <v>6</v>
      </c>
      <c r="R148" s="193">
        <v>7</v>
      </c>
      <c r="S148" s="193">
        <v>7</v>
      </c>
      <c r="T148" s="193">
        <v>8</v>
      </c>
      <c r="U148" s="193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94" t="s">
        <v>31</v>
      </c>
      <c r="L149" s="194" t="s">
        <v>78</v>
      </c>
      <c r="M149" s="194" t="s">
        <v>31</v>
      </c>
      <c r="N149" s="194" t="s">
        <v>29</v>
      </c>
      <c r="O149" s="194" t="s">
        <v>16</v>
      </c>
      <c r="Q149" s="193">
        <v>7</v>
      </c>
      <c r="R149" s="193">
        <v>11</v>
      </c>
      <c r="S149" s="193">
        <v>7</v>
      </c>
      <c r="T149" s="193">
        <v>8</v>
      </c>
      <c r="U149" s="193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93">
        <v>146</v>
      </c>
      <c r="K150" s="194" t="s">
        <v>29</v>
      </c>
      <c r="L150" s="194" t="s">
        <v>15</v>
      </c>
      <c r="M150" s="194" t="s">
        <v>31</v>
      </c>
      <c r="N150" s="194" t="s">
        <v>12</v>
      </c>
      <c r="O150" s="194" t="s">
        <v>28</v>
      </c>
      <c r="Q150" s="193">
        <v>8</v>
      </c>
      <c r="R150" s="193">
        <v>2</v>
      </c>
      <c r="S150" s="193">
        <v>7</v>
      </c>
      <c r="T150" s="193">
        <v>4</v>
      </c>
      <c r="U150" s="193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94" t="s">
        <v>95</v>
      </c>
      <c r="L151" s="194" t="s">
        <v>15</v>
      </c>
      <c r="M151" s="194" t="s">
        <v>81</v>
      </c>
      <c r="N151" s="194" t="s">
        <v>29</v>
      </c>
      <c r="O151" s="194" t="s">
        <v>28</v>
      </c>
      <c r="Q151" s="193">
        <v>6</v>
      </c>
      <c r="R151" s="193">
        <v>2</v>
      </c>
      <c r="S151" s="193">
        <v>14</v>
      </c>
      <c r="T151" s="193">
        <v>8</v>
      </c>
      <c r="U151" s="193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93">
        <v>148</v>
      </c>
      <c r="K152" s="194" t="s">
        <v>29</v>
      </c>
      <c r="L152" s="194" t="s">
        <v>82</v>
      </c>
      <c r="M152" s="194" t="s">
        <v>29</v>
      </c>
      <c r="N152" s="194" t="s">
        <v>31</v>
      </c>
      <c r="O152" s="194" t="s">
        <v>16</v>
      </c>
      <c r="Q152" s="193">
        <v>8</v>
      </c>
      <c r="R152" s="193">
        <v>16</v>
      </c>
      <c r="S152" s="193">
        <v>8</v>
      </c>
      <c r="T152" s="193">
        <v>7</v>
      </c>
      <c r="U152" s="193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94" t="s">
        <v>28</v>
      </c>
      <c r="L153" s="194" t="s">
        <v>28</v>
      </c>
      <c r="M153" s="194" t="s">
        <v>95</v>
      </c>
      <c r="N153" s="194" t="s">
        <v>15</v>
      </c>
      <c r="O153" s="194" t="s">
        <v>95</v>
      </c>
      <c r="Q153" s="193">
        <v>9</v>
      </c>
      <c r="R153" s="193">
        <v>9</v>
      </c>
      <c r="S153" s="193">
        <v>6</v>
      </c>
      <c r="T153" s="193">
        <v>2</v>
      </c>
      <c r="U153" s="193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93">
        <v>150</v>
      </c>
      <c r="K154" s="194" t="s">
        <v>13</v>
      </c>
      <c r="L154" s="194" t="s">
        <v>94</v>
      </c>
      <c r="M154" s="194" t="s">
        <v>29</v>
      </c>
      <c r="N154" s="194" t="s">
        <v>28</v>
      </c>
      <c r="O154" s="194" t="s">
        <v>30</v>
      </c>
      <c r="Q154" s="193">
        <v>5</v>
      </c>
      <c r="R154" s="193">
        <v>17</v>
      </c>
      <c r="S154" s="193">
        <v>8</v>
      </c>
      <c r="T154" s="193">
        <v>9</v>
      </c>
      <c r="U154" s="193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94" t="s">
        <v>31</v>
      </c>
      <c r="L155" s="194" t="s">
        <v>80</v>
      </c>
      <c r="M155" s="194" t="s">
        <v>31</v>
      </c>
      <c r="N155" s="194" t="s">
        <v>13</v>
      </c>
      <c r="O155" s="194" t="s">
        <v>28</v>
      </c>
      <c r="Q155" s="193">
        <v>7</v>
      </c>
      <c r="R155" s="193">
        <v>13</v>
      </c>
      <c r="S155" s="193">
        <v>7</v>
      </c>
      <c r="T155" s="193">
        <v>5</v>
      </c>
      <c r="U155" s="193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93">
        <v>152</v>
      </c>
      <c r="K156" s="194" t="s">
        <v>13</v>
      </c>
      <c r="L156" s="194" t="s">
        <v>95</v>
      </c>
      <c r="M156" s="194" t="s">
        <v>82</v>
      </c>
      <c r="N156" s="194" t="s">
        <v>81</v>
      </c>
      <c r="O156" s="194" t="s">
        <v>15</v>
      </c>
      <c r="Q156" s="193">
        <v>5</v>
      </c>
      <c r="R156" s="193">
        <v>6</v>
      </c>
      <c r="S156" s="193">
        <v>16</v>
      </c>
      <c r="T156" s="193">
        <v>14</v>
      </c>
      <c r="U156" s="193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94" t="s">
        <v>31</v>
      </c>
      <c r="L157" s="194" t="s">
        <v>29</v>
      </c>
      <c r="M157" s="194" t="s">
        <v>31</v>
      </c>
      <c r="N157" s="194" t="s">
        <v>13</v>
      </c>
      <c r="O157" s="194" t="s">
        <v>28</v>
      </c>
      <c r="Q157" s="193">
        <v>7</v>
      </c>
      <c r="R157" s="193">
        <v>8</v>
      </c>
      <c r="S157" s="193">
        <v>7</v>
      </c>
      <c r="T157" s="193">
        <v>5</v>
      </c>
      <c r="U157" s="193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93">
        <v>154</v>
      </c>
      <c r="K158" s="194" t="s">
        <v>13</v>
      </c>
      <c r="L158" s="194" t="s">
        <v>96</v>
      </c>
      <c r="M158" s="194" t="s">
        <v>28</v>
      </c>
      <c r="N158" s="194" t="s">
        <v>13</v>
      </c>
      <c r="O158" s="194" t="s">
        <v>30</v>
      </c>
      <c r="Q158" s="193">
        <v>5</v>
      </c>
      <c r="R158" s="193">
        <v>15</v>
      </c>
      <c r="S158" s="193">
        <v>9</v>
      </c>
      <c r="T158" s="193">
        <v>5</v>
      </c>
      <c r="U158" s="193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94" t="s">
        <v>28</v>
      </c>
      <c r="L159" s="194" t="s">
        <v>15</v>
      </c>
      <c r="M159" s="194" t="s">
        <v>13</v>
      </c>
      <c r="N159" s="194" t="s">
        <v>28</v>
      </c>
      <c r="O159" s="194" t="s">
        <v>29</v>
      </c>
      <c r="Q159" s="193">
        <v>9</v>
      </c>
      <c r="R159" s="193">
        <v>2</v>
      </c>
      <c r="S159" s="193">
        <v>5</v>
      </c>
      <c r="T159" s="193">
        <v>9</v>
      </c>
      <c r="U159" s="193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93">
        <v>156</v>
      </c>
      <c r="K160" s="194" t="s">
        <v>13</v>
      </c>
      <c r="L160" s="194" t="s">
        <v>15</v>
      </c>
      <c r="M160" s="194" t="s">
        <v>29</v>
      </c>
      <c r="N160" s="194" t="s">
        <v>15</v>
      </c>
      <c r="O160" s="194" t="s">
        <v>16</v>
      </c>
      <c r="Q160" s="193">
        <v>5</v>
      </c>
      <c r="R160" s="193">
        <v>2</v>
      </c>
      <c r="S160" s="193">
        <v>8</v>
      </c>
      <c r="T160" s="193">
        <v>2</v>
      </c>
      <c r="U160" s="193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94" t="s">
        <v>29</v>
      </c>
      <c r="L161" s="194" t="s">
        <v>29</v>
      </c>
      <c r="M161" s="194" t="s">
        <v>13</v>
      </c>
      <c r="N161" s="194" t="s">
        <v>28</v>
      </c>
      <c r="O161" s="194" t="s">
        <v>15</v>
      </c>
      <c r="Q161" s="193">
        <v>8</v>
      </c>
      <c r="R161" s="193">
        <v>8</v>
      </c>
      <c r="S161" s="193">
        <v>5</v>
      </c>
      <c r="T161" s="193">
        <v>9</v>
      </c>
      <c r="U161" s="193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93">
        <v>158</v>
      </c>
      <c r="K162" s="194" t="s">
        <v>13</v>
      </c>
      <c r="L162" s="194" t="s">
        <v>87</v>
      </c>
      <c r="M162" s="194" t="s">
        <v>31</v>
      </c>
      <c r="N162" s="194" t="s">
        <v>28</v>
      </c>
      <c r="O162" s="194" t="s">
        <v>31</v>
      </c>
      <c r="Q162" s="193">
        <v>5</v>
      </c>
      <c r="R162" s="193">
        <v>19</v>
      </c>
      <c r="S162" s="193">
        <v>7</v>
      </c>
      <c r="T162" s="193">
        <v>9</v>
      </c>
      <c r="U162" s="193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94" t="s">
        <v>16</v>
      </c>
      <c r="L163" s="194" t="s">
        <v>96</v>
      </c>
      <c r="M163" s="194" t="s">
        <v>13</v>
      </c>
      <c r="N163" s="194" t="s">
        <v>28</v>
      </c>
      <c r="O163" s="194" t="s">
        <v>13</v>
      </c>
      <c r="Q163" s="193">
        <v>3</v>
      </c>
      <c r="R163" s="193">
        <v>15</v>
      </c>
      <c r="S163" s="193">
        <v>5</v>
      </c>
      <c r="T163" s="193">
        <v>9</v>
      </c>
      <c r="U163" s="193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93">
        <v>160</v>
      </c>
      <c r="K164" s="194" t="s">
        <v>13</v>
      </c>
      <c r="L164" s="194" t="s">
        <v>31</v>
      </c>
      <c r="M164" s="194" t="s">
        <v>29</v>
      </c>
      <c r="N164" s="194" t="s">
        <v>30</v>
      </c>
      <c r="O164" s="194" t="s">
        <v>15</v>
      </c>
      <c r="Q164" s="193">
        <v>5</v>
      </c>
      <c r="R164" s="193">
        <v>7</v>
      </c>
      <c r="S164" s="193">
        <v>8</v>
      </c>
      <c r="T164" s="193">
        <v>10</v>
      </c>
      <c r="U164" s="193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94" t="s">
        <v>31</v>
      </c>
      <c r="L165" s="194" t="s">
        <v>30</v>
      </c>
      <c r="M165" s="194" t="s">
        <v>13</v>
      </c>
      <c r="N165" s="194" t="s">
        <v>81</v>
      </c>
      <c r="O165" s="194" t="s">
        <v>95</v>
      </c>
      <c r="Q165" s="193">
        <v>7</v>
      </c>
      <c r="R165" s="193">
        <v>10</v>
      </c>
      <c r="S165" s="193">
        <v>5</v>
      </c>
      <c r="T165" s="193">
        <v>14</v>
      </c>
      <c r="U165" s="193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93">
        <v>162</v>
      </c>
      <c r="K166" s="194" t="s">
        <v>13</v>
      </c>
      <c r="L166" s="194" t="s">
        <v>95</v>
      </c>
      <c r="M166" s="194" t="s">
        <v>29</v>
      </c>
      <c r="N166" s="194" t="s">
        <v>29</v>
      </c>
      <c r="O166" s="194" t="s">
        <v>16</v>
      </c>
      <c r="Q166" s="193">
        <v>5</v>
      </c>
      <c r="R166" s="193">
        <v>6</v>
      </c>
      <c r="S166" s="193">
        <v>8</v>
      </c>
      <c r="T166" s="193">
        <v>8</v>
      </c>
      <c r="U166" s="193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94" t="s">
        <v>95</v>
      </c>
      <c r="L167" s="194" t="s">
        <v>85</v>
      </c>
      <c r="M167" s="194" t="s">
        <v>31</v>
      </c>
      <c r="N167" s="194" t="s">
        <v>15</v>
      </c>
      <c r="O167" s="194" t="s">
        <v>28</v>
      </c>
      <c r="Q167" s="193">
        <v>6</v>
      </c>
      <c r="R167" s="193">
        <v>18</v>
      </c>
      <c r="S167" s="193">
        <v>7</v>
      </c>
      <c r="T167" s="193">
        <v>2</v>
      </c>
      <c r="U167" s="193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93">
        <v>164</v>
      </c>
      <c r="K168" s="194" t="s">
        <v>13</v>
      </c>
      <c r="L168" s="194" t="s">
        <v>31</v>
      </c>
      <c r="M168" s="194" t="s">
        <v>29</v>
      </c>
      <c r="N168" s="194" t="s">
        <v>16</v>
      </c>
      <c r="O168" s="194" t="s">
        <v>30</v>
      </c>
      <c r="Q168" s="193">
        <v>5</v>
      </c>
      <c r="R168" s="193">
        <v>7</v>
      </c>
      <c r="S168" s="193">
        <v>8</v>
      </c>
      <c r="T168" s="193">
        <v>3</v>
      </c>
      <c r="U168" s="193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94" t="s">
        <v>31</v>
      </c>
      <c r="L169" s="194" t="s">
        <v>15</v>
      </c>
      <c r="M169" s="194" t="s">
        <v>29</v>
      </c>
      <c r="N169" s="194" t="s">
        <v>16</v>
      </c>
      <c r="O169" s="194" t="s">
        <v>13</v>
      </c>
      <c r="Q169" s="193">
        <v>7</v>
      </c>
      <c r="R169" s="193">
        <v>2</v>
      </c>
      <c r="S169" s="193">
        <v>8</v>
      </c>
      <c r="T169" s="193">
        <v>3</v>
      </c>
      <c r="U169" s="193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93">
        <v>166</v>
      </c>
      <c r="K170" s="194" t="s">
        <v>95</v>
      </c>
      <c r="L170" s="194" t="s">
        <v>31</v>
      </c>
      <c r="M170" s="194" t="s">
        <v>29</v>
      </c>
      <c r="N170" s="194" t="s">
        <v>16</v>
      </c>
      <c r="O170" s="194" t="s">
        <v>95</v>
      </c>
      <c r="Q170" s="193">
        <v>6</v>
      </c>
      <c r="R170" s="193">
        <v>7</v>
      </c>
      <c r="S170" s="193">
        <v>8</v>
      </c>
      <c r="T170" s="193">
        <v>3</v>
      </c>
      <c r="U170" s="193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94" t="s">
        <v>29</v>
      </c>
      <c r="L171" s="194" t="s">
        <v>78</v>
      </c>
      <c r="M171" s="194" t="s">
        <v>31</v>
      </c>
      <c r="N171" s="194" t="s">
        <v>28</v>
      </c>
      <c r="O171" s="194" t="s">
        <v>12</v>
      </c>
      <c r="Q171" s="193">
        <v>8</v>
      </c>
      <c r="R171" s="193">
        <v>11</v>
      </c>
      <c r="S171" s="193">
        <v>7</v>
      </c>
      <c r="T171" s="193">
        <v>9</v>
      </c>
      <c r="U171" s="193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93">
        <v>168</v>
      </c>
      <c r="K172" s="194" t="s">
        <v>31</v>
      </c>
      <c r="L172" s="194" t="s">
        <v>78</v>
      </c>
      <c r="M172" s="194" t="s">
        <v>31</v>
      </c>
      <c r="N172" s="194" t="s">
        <v>13</v>
      </c>
      <c r="O172" s="194" t="s">
        <v>12</v>
      </c>
      <c r="Q172" s="193">
        <v>7</v>
      </c>
      <c r="R172" s="193">
        <v>11</v>
      </c>
      <c r="S172" s="193">
        <v>7</v>
      </c>
      <c r="T172" s="193">
        <v>5</v>
      </c>
      <c r="U172" s="193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94" t="s">
        <v>95</v>
      </c>
      <c r="L173" s="194" t="s">
        <v>30</v>
      </c>
      <c r="M173" s="194" t="s">
        <v>95</v>
      </c>
      <c r="N173" s="194" t="s">
        <v>13</v>
      </c>
      <c r="O173" s="194" t="s">
        <v>30</v>
      </c>
      <c r="Q173" s="193">
        <v>6</v>
      </c>
      <c r="R173" s="193">
        <v>10</v>
      </c>
      <c r="S173" s="193">
        <v>6</v>
      </c>
      <c r="T173" s="193">
        <v>5</v>
      </c>
      <c r="U173" s="193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93">
        <v>170</v>
      </c>
      <c r="K174" s="194" t="s">
        <v>95</v>
      </c>
      <c r="L174" s="194" t="s">
        <v>15</v>
      </c>
      <c r="M174" s="194" t="s">
        <v>29</v>
      </c>
      <c r="N174" s="194" t="s">
        <v>12</v>
      </c>
      <c r="O174" s="194" t="s">
        <v>30</v>
      </c>
      <c r="Q174" s="193">
        <v>6</v>
      </c>
      <c r="R174" s="193">
        <v>2</v>
      </c>
      <c r="S174" s="193">
        <v>8</v>
      </c>
      <c r="T174" s="193">
        <v>4</v>
      </c>
      <c r="U174" s="193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94" t="s">
        <v>95</v>
      </c>
      <c r="L175" s="194" t="s">
        <v>95</v>
      </c>
      <c r="M175" s="194" t="s">
        <v>29</v>
      </c>
      <c r="N175" s="194" t="s">
        <v>87</v>
      </c>
      <c r="O175" s="194" t="s">
        <v>12</v>
      </c>
      <c r="Q175" s="193">
        <v>6</v>
      </c>
      <c r="R175" s="193">
        <v>6</v>
      </c>
      <c r="S175" s="193">
        <v>8</v>
      </c>
      <c r="T175" s="193">
        <v>19</v>
      </c>
      <c r="U175" s="193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93">
        <v>172</v>
      </c>
      <c r="K176" s="194" t="s">
        <v>30</v>
      </c>
      <c r="L176" s="194" t="s">
        <v>96</v>
      </c>
      <c r="M176" s="194" t="s">
        <v>31</v>
      </c>
      <c r="N176" s="194" t="s">
        <v>30</v>
      </c>
      <c r="O176" s="194" t="s">
        <v>95</v>
      </c>
      <c r="Q176" s="193">
        <v>10</v>
      </c>
      <c r="R176" s="193">
        <v>15</v>
      </c>
      <c r="S176" s="193">
        <v>7</v>
      </c>
      <c r="T176" s="193">
        <v>10</v>
      </c>
      <c r="U176" s="193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94" t="s">
        <v>31</v>
      </c>
      <c r="L177" s="194" t="s">
        <v>79</v>
      </c>
      <c r="M177" s="194" t="s">
        <v>13</v>
      </c>
      <c r="N177" s="194" t="s">
        <v>12</v>
      </c>
      <c r="O177" s="194" t="s">
        <v>31</v>
      </c>
      <c r="Q177" s="193">
        <v>7</v>
      </c>
      <c r="R177" s="193">
        <v>12</v>
      </c>
      <c r="S177" s="193">
        <v>5</v>
      </c>
      <c r="T177" s="193">
        <v>4</v>
      </c>
      <c r="U177" s="193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93">
        <v>174</v>
      </c>
      <c r="K178" s="194" t="s">
        <v>12</v>
      </c>
      <c r="L178" s="194" t="s">
        <v>13</v>
      </c>
      <c r="M178" s="194" t="s">
        <v>28</v>
      </c>
      <c r="N178" s="194" t="s">
        <v>95</v>
      </c>
      <c r="O178" s="194" t="s">
        <v>13</v>
      </c>
      <c r="Q178" s="193">
        <v>4</v>
      </c>
      <c r="R178" s="193">
        <v>5</v>
      </c>
      <c r="S178" s="193">
        <v>9</v>
      </c>
      <c r="T178" s="193">
        <v>6</v>
      </c>
      <c r="U178" s="193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94" t="s">
        <v>95</v>
      </c>
      <c r="L179" s="194" t="s">
        <v>13</v>
      </c>
      <c r="M179" s="194" t="s">
        <v>31</v>
      </c>
      <c r="N179" s="194" t="s">
        <v>15</v>
      </c>
      <c r="O179" s="194" t="s">
        <v>12</v>
      </c>
      <c r="Q179" s="193">
        <v>6</v>
      </c>
      <c r="R179" s="193">
        <v>5</v>
      </c>
      <c r="S179" s="193">
        <v>7</v>
      </c>
      <c r="T179" s="193">
        <v>2</v>
      </c>
      <c r="U179" s="193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93">
        <v>176</v>
      </c>
      <c r="K180" s="194" t="s">
        <v>29</v>
      </c>
      <c r="L180" s="194" t="s">
        <v>82</v>
      </c>
      <c r="M180" s="194" t="s">
        <v>16</v>
      </c>
      <c r="N180" s="194" t="s">
        <v>14</v>
      </c>
      <c r="O180" s="194" t="s">
        <v>28</v>
      </c>
      <c r="Q180" s="193">
        <v>8</v>
      </c>
      <c r="R180" s="193">
        <v>16</v>
      </c>
      <c r="S180" s="193">
        <v>3</v>
      </c>
      <c r="T180" s="193">
        <v>1</v>
      </c>
      <c r="U180" s="193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4" t="s">
        <v>31</v>
      </c>
      <c r="L181" s="194" t="s">
        <v>13</v>
      </c>
      <c r="M181" s="194" t="s">
        <v>15</v>
      </c>
      <c r="N181" s="194" t="s">
        <v>31</v>
      </c>
      <c r="O181" s="194" t="s">
        <v>16</v>
      </c>
      <c r="Q181" s="193">
        <v>7</v>
      </c>
      <c r="R181" s="193">
        <v>5</v>
      </c>
      <c r="S181" s="193">
        <v>2</v>
      </c>
      <c r="T181" s="193">
        <v>7</v>
      </c>
      <c r="U181" s="193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93">
        <v>178</v>
      </c>
      <c r="K182" s="194" t="s">
        <v>31</v>
      </c>
      <c r="L182" s="194" t="s">
        <v>29</v>
      </c>
      <c r="M182" s="194" t="s">
        <v>15</v>
      </c>
      <c r="N182" s="194" t="s">
        <v>78</v>
      </c>
      <c r="O182" s="194" t="s">
        <v>31</v>
      </c>
      <c r="Q182" s="193">
        <v>7</v>
      </c>
      <c r="R182" s="193">
        <v>8</v>
      </c>
      <c r="S182" s="193">
        <v>2</v>
      </c>
      <c r="T182" s="193">
        <v>11</v>
      </c>
      <c r="U182" s="193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94" t="s">
        <v>29</v>
      </c>
      <c r="L183" s="194" t="s">
        <v>78</v>
      </c>
      <c r="M183" s="194" t="s">
        <v>95</v>
      </c>
      <c r="N183" s="194" t="s">
        <v>12</v>
      </c>
      <c r="O183" s="194" t="s">
        <v>13</v>
      </c>
      <c r="Q183" s="193">
        <v>8</v>
      </c>
      <c r="R183" s="193">
        <v>11</v>
      </c>
      <c r="S183" s="193">
        <v>6</v>
      </c>
      <c r="T183" s="193">
        <v>4</v>
      </c>
      <c r="U183" s="193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93">
        <v>180</v>
      </c>
      <c r="K184" s="194" t="s">
        <v>29</v>
      </c>
      <c r="L184" s="194" t="s">
        <v>31</v>
      </c>
      <c r="M184" s="194" t="s">
        <v>95</v>
      </c>
      <c r="N184" s="194" t="s">
        <v>79</v>
      </c>
      <c r="O184" s="194" t="s">
        <v>29</v>
      </c>
      <c r="Q184" s="193">
        <v>8</v>
      </c>
      <c r="R184" s="193">
        <v>7</v>
      </c>
      <c r="S184" s="193">
        <v>6</v>
      </c>
      <c r="T184" s="193">
        <v>12</v>
      </c>
      <c r="U184" s="193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94" t="s">
        <v>95</v>
      </c>
      <c r="L185" s="194" t="s">
        <v>78</v>
      </c>
      <c r="M185" s="194" t="s">
        <v>81</v>
      </c>
      <c r="N185" s="194" t="s">
        <v>12</v>
      </c>
      <c r="O185" s="194" t="s">
        <v>28</v>
      </c>
      <c r="Q185" s="193">
        <v>6</v>
      </c>
      <c r="R185" s="193">
        <v>11</v>
      </c>
      <c r="S185" s="193">
        <v>14</v>
      </c>
      <c r="T185" s="193">
        <v>4</v>
      </c>
      <c r="U185" s="193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93">
        <v>182</v>
      </c>
      <c r="K186" s="194" t="s">
        <v>31</v>
      </c>
      <c r="L186" s="194" t="s">
        <v>29</v>
      </c>
      <c r="M186" s="194" t="s">
        <v>13</v>
      </c>
      <c r="N186" s="194" t="s">
        <v>28</v>
      </c>
      <c r="O186" s="194" t="s">
        <v>29</v>
      </c>
      <c r="Q186" s="193">
        <v>7</v>
      </c>
      <c r="R186" s="193">
        <v>8</v>
      </c>
      <c r="S186" s="193">
        <v>5</v>
      </c>
      <c r="T186" s="193">
        <v>9</v>
      </c>
      <c r="U186" s="193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94" t="s">
        <v>29</v>
      </c>
      <c r="L187" s="194" t="s">
        <v>81</v>
      </c>
      <c r="M187" s="194" t="s">
        <v>12</v>
      </c>
      <c r="N187" s="194" t="s">
        <v>28</v>
      </c>
      <c r="O187" s="194" t="s">
        <v>30</v>
      </c>
      <c r="Q187" s="193">
        <v>8</v>
      </c>
      <c r="R187" s="193">
        <v>14</v>
      </c>
      <c r="S187" s="193">
        <v>4</v>
      </c>
      <c r="T187" s="193">
        <v>9</v>
      </c>
      <c r="U187" s="193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93">
        <v>184</v>
      </c>
      <c r="K188" s="194" t="s">
        <v>95</v>
      </c>
      <c r="L188" s="194" t="s">
        <v>94</v>
      </c>
      <c r="M188" s="194" t="s">
        <v>31</v>
      </c>
      <c r="N188" s="194" t="s">
        <v>80</v>
      </c>
      <c r="O188" s="194" t="s">
        <v>95</v>
      </c>
      <c r="Q188" s="193">
        <v>6</v>
      </c>
      <c r="R188" s="193">
        <v>17</v>
      </c>
      <c r="S188" s="193">
        <v>7</v>
      </c>
      <c r="T188" s="193">
        <v>13</v>
      </c>
      <c r="U188" s="193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94" t="s">
        <v>31</v>
      </c>
      <c r="L189" s="194" t="s">
        <v>31</v>
      </c>
      <c r="M189" s="194" t="s">
        <v>30</v>
      </c>
      <c r="N189" s="194" t="s">
        <v>16</v>
      </c>
      <c r="O189" s="194" t="s">
        <v>31</v>
      </c>
      <c r="Q189" s="193">
        <v>7</v>
      </c>
      <c r="R189" s="193">
        <v>7</v>
      </c>
      <c r="S189" s="193">
        <v>10</v>
      </c>
      <c r="T189" s="193">
        <v>3</v>
      </c>
      <c r="U189" s="193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3">
        <v>186</v>
      </c>
      <c r="K190" s="194" t="s">
        <v>13</v>
      </c>
      <c r="L190" s="194" t="s">
        <v>79</v>
      </c>
      <c r="M190" s="194" t="s">
        <v>31</v>
      </c>
      <c r="N190" s="194" t="s">
        <v>79</v>
      </c>
      <c r="O190" s="194" t="s">
        <v>31</v>
      </c>
      <c r="Q190" s="193">
        <v>5</v>
      </c>
      <c r="R190" s="193">
        <v>12</v>
      </c>
      <c r="S190" s="193">
        <v>7</v>
      </c>
      <c r="T190" s="193">
        <v>12</v>
      </c>
      <c r="U190" s="193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4" t="s">
        <v>13</v>
      </c>
      <c r="L191" s="194" t="s">
        <v>87</v>
      </c>
      <c r="M191" s="194" t="s">
        <v>95</v>
      </c>
      <c r="N191" s="194" t="s">
        <v>29</v>
      </c>
      <c r="O191" s="194" t="s">
        <v>16</v>
      </c>
      <c r="Q191" s="193">
        <v>5</v>
      </c>
      <c r="R191" s="193">
        <v>19</v>
      </c>
      <c r="S191" s="193">
        <v>6</v>
      </c>
      <c r="T191" s="193">
        <v>8</v>
      </c>
      <c r="U191" s="193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93">
        <v>188</v>
      </c>
      <c r="K192" s="194" t="s">
        <v>13</v>
      </c>
      <c r="L192" s="194" t="s">
        <v>95</v>
      </c>
      <c r="M192" s="194" t="s">
        <v>82</v>
      </c>
      <c r="N192" s="194" t="s">
        <v>30</v>
      </c>
      <c r="O192" s="194" t="s">
        <v>28</v>
      </c>
      <c r="Q192" s="193">
        <v>5</v>
      </c>
      <c r="R192" s="193">
        <v>6</v>
      </c>
      <c r="S192" s="193">
        <v>16</v>
      </c>
      <c r="T192" s="193">
        <v>10</v>
      </c>
      <c r="U192" s="193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94" t="s">
        <v>16</v>
      </c>
      <c r="L193" s="194" t="s">
        <v>15</v>
      </c>
      <c r="M193" s="194" t="s">
        <v>29</v>
      </c>
      <c r="N193" s="194" t="s">
        <v>16</v>
      </c>
      <c r="O193" s="194" t="s">
        <v>16</v>
      </c>
      <c r="Q193" s="193">
        <v>3</v>
      </c>
      <c r="R193" s="193">
        <v>2</v>
      </c>
      <c r="S193" s="193">
        <v>8</v>
      </c>
      <c r="T193" s="193">
        <v>3</v>
      </c>
      <c r="U193" s="193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93">
        <v>190</v>
      </c>
      <c r="K194" s="194" t="s">
        <v>15</v>
      </c>
      <c r="L194" s="194" t="s">
        <v>15</v>
      </c>
      <c r="M194" s="194" t="s">
        <v>15</v>
      </c>
      <c r="N194" s="194" t="s">
        <v>15</v>
      </c>
      <c r="O194" s="194" t="s">
        <v>30</v>
      </c>
      <c r="Q194" s="193">
        <v>2</v>
      </c>
      <c r="R194" s="193">
        <v>2</v>
      </c>
      <c r="S194" s="193">
        <v>2</v>
      </c>
      <c r="T194" s="193">
        <v>2</v>
      </c>
      <c r="U194" s="193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94" t="s">
        <v>95</v>
      </c>
      <c r="L195" s="194" t="s">
        <v>85</v>
      </c>
      <c r="M195" s="194" t="s">
        <v>13</v>
      </c>
      <c r="N195" s="194" t="s">
        <v>15</v>
      </c>
      <c r="O195" s="194" t="s">
        <v>13</v>
      </c>
      <c r="Q195" s="193">
        <v>6</v>
      </c>
      <c r="R195" s="193">
        <v>18</v>
      </c>
      <c r="S195" s="193">
        <v>5</v>
      </c>
      <c r="T195" s="193">
        <v>2</v>
      </c>
      <c r="U195" s="193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93">
        <v>192</v>
      </c>
      <c r="K196" s="194" t="s">
        <v>29</v>
      </c>
      <c r="L196" s="194" t="s">
        <v>96</v>
      </c>
      <c r="M196" s="194" t="s">
        <v>13</v>
      </c>
      <c r="N196" s="194" t="s">
        <v>29</v>
      </c>
      <c r="O196" s="194" t="s">
        <v>13</v>
      </c>
      <c r="Q196" s="193">
        <v>8</v>
      </c>
      <c r="R196" s="193">
        <v>15</v>
      </c>
      <c r="S196" s="193">
        <v>5</v>
      </c>
      <c r="T196" s="193">
        <v>8</v>
      </c>
      <c r="U196" s="193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4" t="s">
        <v>13</v>
      </c>
      <c r="L197" s="194" t="s">
        <v>13</v>
      </c>
      <c r="M197" s="194" t="s">
        <v>13</v>
      </c>
      <c r="N197" s="194" t="s">
        <v>29</v>
      </c>
      <c r="O197" s="194" t="s">
        <v>29</v>
      </c>
      <c r="Q197" s="193">
        <v>5</v>
      </c>
      <c r="R197" s="193">
        <v>5</v>
      </c>
      <c r="S197" s="193">
        <v>5</v>
      </c>
      <c r="T197" s="193">
        <v>8</v>
      </c>
      <c r="U197" s="193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3">
        <v>194</v>
      </c>
      <c r="K198" s="194" t="s">
        <v>13</v>
      </c>
      <c r="L198" s="194" t="s">
        <v>31</v>
      </c>
      <c r="M198" s="194" t="s">
        <v>31</v>
      </c>
      <c r="N198" s="194" t="s">
        <v>16</v>
      </c>
      <c r="O198" s="194" t="s">
        <v>16</v>
      </c>
      <c r="Q198" s="193">
        <v>5</v>
      </c>
      <c r="R198" s="193">
        <v>7</v>
      </c>
      <c r="S198" s="193">
        <v>7</v>
      </c>
      <c r="T198" s="193">
        <v>3</v>
      </c>
      <c r="U198" s="193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94" t="s">
        <v>15</v>
      </c>
      <c r="L199" s="194" t="s">
        <v>16</v>
      </c>
      <c r="M199" s="194" t="s">
        <v>16</v>
      </c>
      <c r="N199" s="194" t="s">
        <v>30</v>
      </c>
      <c r="O199" s="194" t="s">
        <v>95</v>
      </c>
      <c r="Q199" s="193">
        <v>2</v>
      </c>
      <c r="R199" s="193">
        <v>3</v>
      </c>
      <c r="S199" s="193">
        <v>3</v>
      </c>
      <c r="T199" s="193">
        <v>10</v>
      </c>
      <c r="U199" s="193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93">
        <v>196</v>
      </c>
      <c r="K200" s="194" t="s">
        <v>95</v>
      </c>
      <c r="L200" s="194" t="s">
        <v>82</v>
      </c>
      <c r="M200" s="194" t="s">
        <v>95</v>
      </c>
      <c r="N200" s="194" t="s">
        <v>12</v>
      </c>
      <c r="O200" s="194" t="s">
        <v>29</v>
      </c>
      <c r="Q200" s="193">
        <v>6</v>
      </c>
      <c r="R200" s="193">
        <v>16</v>
      </c>
      <c r="S200" s="193">
        <v>6</v>
      </c>
      <c r="T200" s="193">
        <v>4</v>
      </c>
      <c r="U200" s="193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94" t="s">
        <v>13</v>
      </c>
      <c r="L201" s="194" t="s">
        <v>13</v>
      </c>
      <c r="M201" s="194" t="s">
        <v>13</v>
      </c>
      <c r="N201" s="194" t="s">
        <v>16</v>
      </c>
      <c r="O201" s="194" t="s">
        <v>12</v>
      </c>
      <c r="Q201" s="193">
        <v>5</v>
      </c>
      <c r="R201" s="193">
        <v>5</v>
      </c>
      <c r="S201" s="193">
        <v>5</v>
      </c>
      <c r="T201" s="193">
        <v>3</v>
      </c>
      <c r="U201" s="193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93">
        <v>198</v>
      </c>
      <c r="K202" s="194" t="s">
        <v>31</v>
      </c>
      <c r="L202" s="194" t="s">
        <v>95</v>
      </c>
      <c r="M202" s="194" t="s">
        <v>95</v>
      </c>
      <c r="N202" s="194" t="s">
        <v>28</v>
      </c>
      <c r="O202" s="194" t="s">
        <v>30</v>
      </c>
      <c r="Q202" s="193">
        <v>7</v>
      </c>
      <c r="R202" s="193">
        <v>6</v>
      </c>
      <c r="S202" s="193">
        <v>6</v>
      </c>
      <c r="T202" s="193">
        <v>9</v>
      </c>
      <c r="U202" s="193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94" t="s">
        <v>95</v>
      </c>
      <c r="L203" s="194" t="s">
        <v>30</v>
      </c>
      <c r="M203" s="194" t="s">
        <v>13</v>
      </c>
      <c r="N203" s="194" t="s">
        <v>30</v>
      </c>
      <c r="O203" s="194" t="s">
        <v>28</v>
      </c>
      <c r="Q203" s="193">
        <v>6</v>
      </c>
      <c r="R203" s="193">
        <v>10</v>
      </c>
      <c r="S203" s="193">
        <v>5</v>
      </c>
      <c r="T203" s="193">
        <v>10</v>
      </c>
      <c r="U203" s="193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2" priority="26">
      <formula>_xlfn.LET(_xlpm.x, W4, AND(NOT(_xlfn.ISFORMULA(_xlpm.x)), _xlpm.x&lt;&gt;""))</formula>
    </cfRule>
  </conditionalFormatting>
  <conditionalFormatting sqref="W5:AA203 X4:AA4">
    <cfRule type="expression" dxfId="151" priority="22">
      <formula>_xlfn.LET(_xlpm.x, W4, AND(NOT(_xlfn.ISFORMULA(_xlpm.x)), _xlpm.x&lt;&gt;""))</formula>
    </cfRule>
  </conditionalFormatting>
  <conditionalFormatting sqref="W5:AA203 X4:AA4">
    <cfRule type="expression" dxfId="150" priority="21">
      <formula>_xlfn.LET(_xlpm.x, W4, AND(NOT(_xlfn.ISFORMULA(_xlpm.x)), _xlpm.x&lt;&gt;""))</formula>
    </cfRule>
  </conditionalFormatting>
  <conditionalFormatting sqref="W4:AA203">
    <cfRule type="expression" dxfId="149" priority="20">
      <formula>_xlfn.LET(_xlpm.x, W4, AND(NOT(_xlfn.ISFORMULA(_xlpm.x)), _xlpm.x&lt;&gt;""))</formula>
    </cfRule>
  </conditionalFormatting>
  <conditionalFormatting sqref="K1:O1048576">
    <cfRule type="cellIs" dxfId="148" priority="15" operator="equal">
      <formula>"C1"</formula>
    </cfRule>
    <cfRule type="cellIs" dxfId="147" priority="16" operator="between">
      <formula>"G1"</formula>
      <formula>"G5"</formula>
    </cfRule>
    <cfRule type="cellIs" dxfId="146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45" priority="10" operator="equal">
      <formula>"C1"</formula>
    </cfRule>
    <cfRule type="cellIs" dxfId="144" priority="11" operator="between">
      <formula>"G1"</formula>
      <formula>"G4"</formula>
    </cfRule>
    <cfRule type="cellIs" dxfId="143" priority="12" operator="between">
      <formula>"GA"</formula>
      <formula>"GQ"</formula>
    </cfRule>
    <cfRule type="cellIs" dxfId="142" priority="13" operator="between">
      <formula>"M1"</formula>
      <formula>"M4"</formula>
    </cfRule>
  </conditionalFormatting>
  <conditionalFormatting sqref="E52:E54">
    <cfRule type="cellIs" dxfId="141" priority="6" operator="equal">
      <formula>"C1"</formula>
    </cfRule>
    <cfRule type="cellIs" dxfId="140" priority="7" operator="between">
      <formula>"G1"</formula>
      <formula>"G4"</formula>
    </cfRule>
    <cfRule type="cellIs" dxfId="139" priority="8" operator="between">
      <formula>"GA"</formula>
      <formula>"GQ"</formula>
    </cfRule>
    <cfRule type="cellIs" dxfId="138" priority="9" operator="between">
      <formula>"M1"</formula>
      <formula>"M4"</formula>
    </cfRule>
  </conditionalFormatting>
  <conditionalFormatting sqref="F52:F54">
    <cfRule type="cellIs" dxfId="137" priority="2" operator="equal">
      <formula>"C1"</formula>
    </cfRule>
    <cfRule type="cellIs" dxfId="136" priority="3" operator="between">
      <formula>"G1"</formula>
      <formula>"G4"</formula>
    </cfRule>
    <cfRule type="cellIs" dxfId="135" priority="4" operator="between">
      <formula>"GA"</formula>
      <formula>"GQ"</formula>
    </cfRule>
    <cfRule type="cellIs" dxfId="134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{98DDF7C1-13DB-4528-AB70-60261071591D}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98DDF7C1-13DB-4528-AB70-6026107159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290</v>
      </c>
      <c r="W2" s="25" t="s">
        <v>99</v>
      </c>
      <c r="AC2" s="25" t="s">
        <v>292</v>
      </c>
      <c r="AH2" s="5"/>
      <c r="AI2" s="5"/>
      <c r="AJ2" s="25" t="s">
        <v>93</v>
      </c>
      <c r="AO2" s="5"/>
    </row>
    <row r="3" spans="1:41" ht="15.9" customHeight="1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297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201" t="s">
        <v>293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294</v>
      </c>
      <c r="AH4" s="5"/>
      <c r="AI4" s="5"/>
      <c r="AJ4" s="25" t="s">
        <v>294</v>
      </c>
      <c r="AO4" s="5"/>
    </row>
    <row r="5" spans="1:41" ht="15.9" customHeight="1">
      <c r="A5" s="201" t="s">
        <v>14</v>
      </c>
      <c r="B5" s="199" t="s">
        <v>39</v>
      </c>
      <c r="C5" s="201">
        <v>0</v>
      </c>
      <c r="D5" s="201">
        <v>6</v>
      </c>
      <c r="E5" s="201">
        <v>0</v>
      </c>
      <c r="F5" s="201">
        <v>9</v>
      </c>
      <c r="G5" s="201">
        <v>0</v>
      </c>
      <c r="H5" s="199">
        <v>1</v>
      </c>
      <c r="I5" s="82"/>
      <c r="J5" s="193">
        <v>1</v>
      </c>
      <c r="K5" s="194" t="s">
        <v>31</v>
      </c>
      <c r="L5" s="194" t="s">
        <v>31</v>
      </c>
      <c r="M5" s="194" t="s">
        <v>85</v>
      </c>
      <c r="N5" s="194" t="s">
        <v>15</v>
      </c>
      <c r="O5" s="194" t="s">
        <v>12</v>
      </c>
      <c r="Q5" s="193">
        <v>7</v>
      </c>
      <c r="R5" s="193">
        <v>7</v>
      </c>
      <c r="S5" s="193">
        <v>18</v>
      </c>
      <c r="T5" s="193">
        <v>2</v>
      </c>
      <c r="U5" s="193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>
      <c r="A6" s="200" t="s">
        <v>15</v>
      </c>
      <c r="B6" s="134" t="s">
        <v>15</v>
      </c>
      <c r="C6" s="200">
        <v>4</v>
      </c>
      <c r="D6" s="200">
        <v>6</v>
      </c>
      <c r="E6" s="200">
        <v>0</v>
      </c>
      <c r="F6" s="200">
        <v>22</v>
      </c>
      <c r="G6" s="200">
        <v>28</v>
      </c>
      <c r="H6" s="134">
        <v>2</v>
      </c>
      <c r="I6" s="82"/>
      <c r="J6" s="23">
        <v>2</v>
      </c>
      <c r="K6" s="194" t="s">
        <v>15</v>
      </c>
      <c r="L6" s="194" t="s">
        <v>82</v>
      </c>
      <c r="M6" s="194" t="s">
        <v>81</v>
      </c>
      <c r="N6" s="194" t="s">
        <v>12</v>
      </c>
      <c r="O6" s="194" t="s">
        <v>16</v>
      </c>
      <c r="Q6" s="193">
        <v>2</v>
      </c>
      <c r="R6" s="193">
        <v>16</v>
      </c>
      <c r="S6" s="193">
        <v>14</v>
      </c>
      <c r="T6" s="193">
        <v>4</v>
      </c>
      <c r="U6" s="193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99" t="s">
        <v>293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293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>
      <c r="A7" s="200" t="s">
        <v>16</v>
      </c>
      <c r="B7" s="134" t="s">
        <v>16</v>
      </c>
      <c r="C7" s="200">
        <v>4</v>
      </c>
      <c r="D7" s="200">
        <v>6</v>
      </c>
      <c r="E7" s="200">
        <v>0</v>
      </c>
      <c r="F7" s="200">
        <v>22</v>
      </c>
      <c r="G7" s="200">
        <v>27</v>
      </c>
      <c r="H7" s="134">
        <v>3</v>
      </c>
      <c r="I7" s="82"/>
      <c r="J7" s="193">
        <v>3</v>
      </c>
      <c r="K7" s="194" t="s">
        <v>13</v>
      </c>
      <c r="L7" s="194" t="s">
        <v>28</v>
      </c>
      <c r="M7" s="24" t="s">
        <v>96</v>
      </c>
      <c r="N7" s="194" t="s">
        <v>12</v>
      </c>
      <c r="O7" s="194" t="s">
        <v>16</v>
      </c>
      <c r="Q7" s="193">
        <v>5</v>
      </c>
      <c r="R7" s="193">
        <v>9</v>
      </c>
      <c r="S7" s="193">
        <v>15</v>
      </c>
      <c r="T7" s="193">
        <v>4</v>
      </c>
      <c r="U7" s="193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99" t="s">
        <v>14</v>
      </c>
      <c r="AD7" s="201">
        <v>0</v>
      </c>
      <c r="AE7" s="201">
        <v>6</v>
      </c>
      <c r="AF7" s="201">
        <v>0</v>
      </c>
      <c r="AG7" s="201">
        <v>9</v>
      </c>
      <c r="AH7" s="201">
        <v>0</v>
      </c>
      <c r="AI7" s="5"/>
      <c r="AJ7" s="199" t="s">
        <v>14</v>
      </c>
      <c r="AK7" s="199">
        <v>0</v>
      </c>
      <c r="AL7" s="199">
        <v>6</v>
      </c>
      <c r="AM7" s="199">
        <v>0</v>
      </c>
      <c r="AN7" s="199">
        <v>9</v>
      </c>
      <c r="AO7" s="199">
        <v>0</v>
      </c>
    </row>
    <row r="8" spans="1:41" ht="15.9" customHeight="1">
      <c r="A8" s="200" t="s">
        <v>12</v>
      </c>
      <c r="B8" s="134" t="s">
        <v>12</v>
      </c>
      <c r="C8" s="200">
        <v>4</v>
      </c>
      <c r="D8" s="200">
        <v>6</v>
      </c>
      <c r="E8" s="200">
        <v>0</v>
      </c>
      <c r="F8" s="200">
        <v>22</v>
      </c>
      <c r="G8" s="200">
        <v>27</v>
      </c>
      <c r="H8" s="134">
        <v>4</v>
      </c>
      <c r="I8" s="82"/>
      <c r="J8" s="23">
        <v>4</v>
      </c>
      <c r="K8" s="194" t="s">
        <v>29</v>
      </c>
      <c r="L8" s="194" t="s">
        <v>82</v>
      </c>
      <c r="M8" s="194" t="s">
        <v>81</v>
      </c>
      <c r="N8" s="194" t="s">
        <v>16</v>
      </c>
      <c r="O8" s="194" t="s">
        <v>29</v>
      </c>
      <c r="Q8" s="193">
        <v>8</v>
      </c>
      <c r="R8" s="193">
        <v>16</v>
      </c>
      <c r="S8" s="193">
        <v>14</v>
      </c>
      <c r="T8" s="193">
        <v>3</v>
      </c>
      <c r="U8" s="193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34" t="s">
        <v>15</v>
      </c>
      <c r="AD8" s="200">
        <v>4</v>
      </c>
      <c r="AE8" s="200">
        <v>11</v>
      </c>
      <c r="AF8" s="200">
        <v>0</v>
      </c>
      <c r="AG8" s="200">
        <v>22</v>
      </c>
      <c r="AH8" s="200">
        <v>28</v>
      </c>
      <c r="AI8" s="5"/>
      <c r="AJ8" s="134" t="s">
        <v>15</v>
      </c>
      <c r="AK8" s="200">
        <v>4</v>
      </c>
      <c r="AL8" s="200">
        <v>11</v>
      </c>
      <c r="AM8" s="200">
        <v>0</v>
      </c>
      <c r="AN8" s="200">
        <v>22</v>
      </c>
      <c r="AO8" s="200">
        <v>28</v>
      </c>
    </row>
    <row r="9" spans="1:41" ht="15.9" customHeight="1">
      <c r="A9" s="200" t="s">
        <v>13</v>
      </c>
      <c r="B9" s="134" t="s">
        <v>13</v>
      </c>
      <c r="C9" s="200">
        <v>43</v>
      </c>
      <c r="D9" s="200">
        <v>19</v>
      </c>
      <c r="E9" s="200">
        <v>0</v>
      </c>
      <c r="F9" s="200">
        <v>12</v>
      </c>
      <c r="G9" s="200">
        <v>16</v>
      </c>
      <c r="H9" s="134">
        <v>5</v>
      </c>
      <c r="I9" s="82"/>
      <c r="J9" s="193">
        <v>5</v>
      </c>
      <c r="K9" s="194" t="s">
        <v>95</v>
      </c>
      <c r="L9" s="194" t="s">
        <v>12</v>
      </c>
      <c r="M9" s="194" t="s">
        <v>94</v>
      </c>
      <c r="N9" s="194" t="s">
        <v>16</v>
      </c>
      <c r="O9" s="194" t="s">
        <v>16</v>
      </c>
      <c r="Q9" s="193">
        <v>6</v>
      </c>
      <c r="R9" s="193">
        <v>4</v>
      </c>
      <c r="S9" s="193">
        <v>17</v>
      </c>
      <c r="T9" s="193">
        <v>3</v>
      </c>
      <c r="U9" s="193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34" t="s">
        <v>16</v>
      </c>
      <c r="AD9" s="200">
        <v>4</v>
      </c>
      <c r="AE9" s="200">
        <v>11</v>
      </c>
      <c r="AF9" s="200">
        <v>0</v>
      </c>
      <c r="AG9" s="200">
        <v>22</v>
      </c>
      <c r="AH9" s="200">
        <v>27</v>
      </c>
      <c r="AI9" s="5"/>
      <c r="AJ9" s="134" t="s">
        <v>16</v>
      </c>
      <c r="AK9" s="200">
        <v>4</v>
      </c>
      <c r="AL9" s="200">
        <v>11</v>
      </c>
      <c r="AM9" s="200">
        <v>0</v>
      </c>
      <c r="AN9" s="200">
        <v>22</v>
      </c>
      <c r="AO9" s="200">
        <v>27</v>
      </c>
    </row>
    <row r="10" spans="1:41" ht="15.9" customHeight="1">
      <c r="A10" s="200" t="s">
        <v>95</v>
      </c>
      <c r="B10" s="134" t="s">
        <v>95</v>
      </c>
      <c r="C10" s="200">
        <v>43</v>
      </c>
      <c r="D10" s="200">
        <v>19</v>
      </c>
      <c r="E10" s="200">
        <v>0</v>
      </c>
      <c r="F10" s="200">
        <v>12</v>
      </c>
      <c r="G10" s="200">
        <v>16</v>
      </c>
      <c r="H10" s="134">
        <v>6</v>
      </c>
      <c r="I10" s="82"/>
      <c r="J10" s="23">
        <v>6</v>
      </c>
      <c r="K10" s="194" t="s">
        <v>29</v>
      </c>
      <c r="L10" s="194" t="s">
        <v>13</v>
      </c>
      <c r="M10" s="194" t="s">
        <v>82</v>
      </c>
      <c r="N10" s="194" t="s">
        <v>30</v>
      </c>
      <c r="O10" s="194" t="s">
        <v>31</v>
      </c>
      <c r="Q10" s="193">
        <v>8</v>
      </c>
      <c r="R10" s="193">
        <v>5</v>
      </c>
      <c r="S10" s="193">
        <v>16</v>
      </c>
      <c r="T10" s="193">
        <v>10</v>
      </c>
      <c r="U10" s="193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34" t="s">
        <v>12</v>
      </c>
      <c r="AD10" s="200">
        <v>4</v>
      </c>
      <c r="AE10" s="200">
        <v>11</v>
      </c>
      <c r="AF10" s="200">
        <v>0</v>
      </c>
      <c r="AG10" s="200">
        <v>22</v>
      </c>
      <c r="AH10" s="200">
        <v>27</v>
      </c>
      <c r="AI10" s="5"/>
      <c r="AJ10" s="134" t="s">
        <v>12</v>
      </c>
      <c r="AK10" s="200">
        <v>4</v>
      </c>
      <c r="AL10" s="200">
        <v>11</v>
      </c>
      <c r="AM10" s="200">
        <v>0</v>
      </c>
      <c r="AN10" s="200">
        <v>22</v>
      </c>
      <c r="AO10" s="200">
        <v>27</v>
      </c>
    </row>
    <row r="11" spans="1:41" ht="15.9" customHeight="1">
      <c r="A11" s="200" t="s">
        <v>31</v>
      </c>
      <c r="B11" s="134" t="s">
        <v>31</v>
      </c>
      <c r="C11" s="200">
        <v>47</v>
      </c>
      <c r="D11" s="200">
        <v>22</v>
      </c>
      <c r="E11" s="200">
        <v>0</v>
      </c>
      <c r="F11" s="200">
        <v>12</v>
      </c>
      <c r="G11" s="200">
        <v>16</v>
      </c>
      <c r="H11" s="134">
        <v>7</v>
      </c>
      <c r="I11" s="82"/>
      <c r="J11" s="193">
        <v>7</v>
      </c>
      <c r="K11" s="194" t="s">
        <v>95</v>
      </c>
      <c r="L11" s="194" t="s">
        <v>80</v>
      </c>
      <c r="M11" s="194" t="s">
        <v>96</v>
      </c>
      <c r="N11" s="194" t="s">
        <v>30</v>
      </c>
      <c r="O11" s="194" t="s">
        <v>95</v>
      </c>
      <c r="Q11" s="193">
        <v>6</v>
      </c>
      <c r="R11" s="193">
        <v>13</v>
      </c>
      <c r="S11" s="193">
        <v>15</v>
      </c>
      <c r="T11" s="193">
        <v>10</v>
      </c>
      <c r="U11" s="193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34" t="s">
        <v>13</v>
      </c>
      <c r="AD11" s="200">
        <v>43</v>
      </c>
      <c r="AE11" s="200">
        <v>19</v>
      </c>
      <c r="AF11" s="200">
        <v>0</v>
      </c>
      <c r="AG11" s="200">
        <v>12</v>
      </c>
      <c r="AH11" s="200">
        <v>16</v>
      </c>
      <c r="AI11" s="5"/>
      <c r="AJ11" s="134" t="s">
        <v>13</v>
      </c>
      <c r="AK11" s="200">
        <v>43</v>
      </c>
      <c r="AL11" s="200">
        <v>19</v>
      </c>
      <c r="AM11" s="200">
        <v>0</v>
      </c>
      <c r="AN11" s="200">
        <v>12</v>
      </c>
      <c r="AO11" s="200">
        <v>16</v>
      </c>
    </row>
    <row r="12" spans="1:41" ht="15.9" customHeight="1">
      <c r="A12" s="200" t="s">
        <v>29</v>
      </c>
      <c r="B12" s="134" t="s">
        <v>29</v>
      </c>
      <c r="C12" s="200">
        <v>47</v>
      </c>
      <c r="D12" s="200">
        <v>24</v>
      </c>
      <c r="E12" s="200">
        <v>0</v>
      </c>
      <c r="F12" s="200">
        <v>12</v>
      </c>
      <c r="G12" s="200">
        <v>16</v>
      </c>
      <c r="H12" s="134">
        <v>8</v>
      </c>
      <c r="I12" s="82"/>
      <c r="J12" s="23">
        <v>8</v>
      </c>
      <c r="K12" s="194" t="s">
        <v>13</v>
      </c>
      <c r="L12" s="194" t="s">
        <v>31</v>
      </c>
      <c r="M12" s="194" t="s">
        <v>94</v>
      </c>
      <c r="N12" s="194" t="s">
        <v>95</v>
      </c>
      <c r="O12" s="194" t="s">
        <v>95</v>
      </c>
      <c r="Q12" s="193">
        <v>5</v>
      </c>
      <c r="R12" s="193">
        <v>7</v>
      </c>
      <c r="S12" s="193">
        <v>17</v>
      </c>
      <c r="T12" s="193">
        <v>6</v>
      </c>
      <c r="U12" s="193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34" t="s">
        <v>95</v>
      </c>
      <c r="AD12" s="200">
        <v>43</v>
      </c>
      <c r="AE12" s="200">
        <v>20</v>
      </c>
      <c r="AF12" s="200">
        <v>0</v>
      </c>
      <c r="AG12" s="200">
        <v>12</v>
      </c>
      <c r="AH12" s="200">
        <v>16</v>
      </c>
      <c r="AI12" s="5"/>
      <c r="AJ12" s="134" t="s">
        <v>95</v>
      </c>
      <c r="AK12" s="200">
        <v>43</v>
      </c>
      <c r="AL12" s="200">
        <v>20</v>
      </c>
      <c r="AM12" s="200">
        <v>0</v>
      </c>
      <c r="AN12" s="200">
        <v>12</v>
      </c>
      <c r="AO12" s="200">
        <v>16</v>
      </c>
    </row>
    <row r="13" spans="1:41" ht="15.9" customHeight="1">
      <c r="A13" s="200" t="s">
        <v>28</v>
      </c>
      <c r="B13" s="134" t="s">
        <v>28</v>
      </c>
      <c r="C13" s="200">
        <v>4</v>
      </c>
      <c r="D13" s="200">
        <v>5</v>
      </c>
      <c r="E13" s="200">
        <v>0</v>
      </c>
      <c r="F13" s="200">
        <v>21</v>
      </c>
      <c r="G13" s="200">
        <v>27</v>
      </c>
      <c r="H13" s="134">
        <v>9</v>
      </c>
      <c r="I13" s="82"/>
      <c r="J13" s="193">
        <v>9</v>
      </c>
      <c r="K13" s="194" t="s">
        <v>29</v>
      </c>
      <c r="L13" s="194" t="s">
        <v>87</v>
      </c>
      <c r="M13" s="194" t="s">
        <v>96</v>
      </c>
      <c r="N13" s="194" t="s">
        <v>87</v>
      </c>
      <c r="O13" s="194" t="s">
        <v>15</v>
      </c>
      <c r="Q13" s="193">
        <v>8</v>
      </c>
      <c r="R13" s="193">
        <v>19</v>
      </c>
      <c r="S13" s="193">
        <v>15</v>
      </c>
      <c r="T13" s="193">
        <v>19</v>
      </c>
      <c r="U13" s="193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34" t="s">
        <v>31</v>
      </c>
      <c r="AD13" s="200">
        <v>47</v>
      </c>
      <c r="AE13" s="200">
        <v>20</v>
      </c>
      <c r="AF13" s="200">
        <v>0</v>
      </c>
      <c r="AG13" s="200">
        <v>12</v>
      </c>
      <c r="AH13" s="200">
        <v>16</v>
      </c>
      <c r="AI13" s="5"/>
      <c r="AJ13" s="134" t="s">
        <v>31</v>
      </c>
      <c r="AK13" s="200">
        <v>47</v>
      </c>
      <c r="AL13" s="200">
        <v>20</v>
      </c>
      <c r="AM13" s="200">
        <v>0</v>
      </c>
      <c r="AN13" s="200">
        <v>12</v>
      </c>
      <c r="AO13" s="200">
        <v>16</v>
      </c>
    </row>
    <row r="14" spans="1:41" ht="15.9" customHeight="1">
      <c r="A14" s="200" t="s">
        <v>30</v>
      </c>
      <c r="B14" s="134" t="s">
        <v>30</v>
      </c>
      <c r="C14" s="200">
        <v>4</v>
      </c>
      <c r="D14" s="200">
        <v>7</v>
      </c>
      <c r="E14" s="200">
        <v>0</v>
      </c>
      <c r="F14" s="200">
        <v>21</v>
      </c>
      <c r="G14" s="200">
        <v>27</v>
      </c>
      <c r="H14" s="134">
        <v>10</v>
      </c>
      <c r="I14" s="82"/>
      <c r="J14" s="23">
        <v>10</v>
      </c>
      <c r="K14" s="194" t="s">
        <v>28</v>
      </c>
      <c r="L14" s="194" t="s">
        <v>96</v>
      </c>
      <c r="M14" s="194" t="s">
        <v>82</v>
      </c>
      <c r="N14" s="194" t="s">
        <v>15</v>
      </c>
      <c r="O14" s="194" t="s">
        <v>29</v>
      </c>
      <c r="Q14" s="193">
        <v>9</v>
      </c>
      <c r="R14" s="193">
        <v>15</v>
      </c>
      <c r="S14" s="193">
        <v>16</v>
      </c>
      <c r="T14" s="193">
        <v>2</v>
      </c>
      <c r="U14" s="193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34" t="s">
        <v>29</v>
      </c>
      <c r="AD14" s="200">
        <v>47</v>
      </c>
      <c r="AE14" s="200">
        <v>20</v>
      </c>
      <c r="AF14" s="200">
        <v>0</v>
      </c>
      <c r="AG14" s="200">
        <v>12</v>
      </c>
      <c r="AH14" s="200">
        <v>16</v>
      </c>
      <c r="AI14" s="5"/>
      <c r="AJ14" s="134" t="s">
        <v>29</v>
      </c>
      <c r="AK14" s="200">
        <v>47</v>
      </c>
      <c r="AL14" s="200">
        <v>20</v>
      </c>
      <c r="AM14" s="200">
        <v>0</v>
      </c>
      <c r="AN14" s="200">
        <v>12</v>
      </c>
      <c r="AO14" s="200">
        <v>16</v>
      </c>
    </row>
    <row r="15" spans="1:41" ht="15.9" customHeight="1">
      <c r="A15" s="201" t="s">
        <v>78</v>
      </c>
      <c r="B15" s="199" t="s">
        <v>312</v>
      </c>
      <c r="C15" s="201">
        <v>0</v>
      </c>
      <c r="D15" s="201">
        <v>4</v>
      </c>
      <c r="E15" s="201">
        <v>5</v>
      </c>
      <c r="F15" s="201">
        <v>5</v>
      </c>
      <c r="G15" s="201">
        <v>0</v>
      </c>
      <c r="H15" s="199">
        <v>11</v>
      </c>
      <c r="I15" s="82"/>
      <c r="J15" s="193">
        <v>11</v>
      </c>
      <c r="K15" s="194" t="s">
        <v>31</v>
      </c>
      <c r="L15" s="194" t="s">
        <v>13</v>
      </c>
      <c r="M15" s="194" t="s">
        <v>81</v>
      </c>
      <c r="N15" s="194" t="s">
        <v>31</v>
      </c>
      <c r="O15" s="194" t="s">
        <v>29</v>
      </c>
      <c r="Q15" s="193">
        <v>7</v>
      </c>
      <c r="R15" s="193">
        <v>5</v>
      </c>
      <c r="S15" s="193">
        <v>14</v>
      </c>
      <c r="T15" s="193">
        <v>7</v>
      </c>
      <c r="U15" s="193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34" t="s">
        <v>28</v>
      </c>
      <c r="AD15" s="200">
        <v>4</v>
      </c>
      <c r="AE15" s="200">
        <v>11</v>
      </c>
      <c r="AF15" s="200">
        <v>0</v>
      </c>
      <c r="AG15" s="200">
        <v>21</v>
      </c>
      <c r="AH15" s="200">
        <v>27</v>
      </c>
      <c r="AI15" s="5"/>
      <c r="AJ15" s="134" t="s">
        <v>28</v>
      </c>
      <c r="AK15" s="200">
        <v>4</v>
      </c>
      <c r="AL15" s="200">
        <v>11</v>
      </c>
      <c r="AM15" s="200">
        <v>0</v>
      </c>
      <c r="AN15" s="200">
        <v>21</v>
      </c>
      <c r="AO15" s="200">
        <v>27</v>
      </c>
    </row>
    <row r="16" spans="1:41" ht="15.9" customHeight="1">
      <c r="A16" s="201" t="s">
        <v>79</v>
      </c>
      <c r="B16" s="199" t="s">
        <v>313</v>
      </c>
      <c r="C16" s="201">
        <v>0</v>
      </c>
      <c r="D16" s="201">
        <v>4</v>
      </c>
      <c r="E16" s="201">
        <v>5</v>
      </c>
      <c r="F16" s="201">
        <v>5</v>
      </c>
      <c r="G16" s="201">
        <v>0</v>
      </c>
      <c r="H16" s="199">
        <v>12</v>
      </c>
      <c r="I16" s="82"/>
      <c r="J16" s="23">
        <v>12</v>
      </c>
      <c r="K16" s="194" t="s">
        <v>28</v>
      </c>
      <c r="L16" s="194" t="s">
        <v>13</v>
      </c>
      <c r="M16" s="194" t="s">
        <v>94</v>
      </c>
      <c r="N16" s="194" t="s">
        <v>82</v>
      </c>
      <c r="O16" s="194" t="s">
        <v>28</v>
      </c>
      <c r="Q16" s="193">
        <v>9</v>
      </c>
      <c r="R16" s="193">
        <v>5</v>
      </c>
      <c r="S16" s="193">
        <v>17</v>
      </c>
      <c r="T16" s="193">
        <v>16</v>
      </c>
      <c r="U16" s="193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34" t="s">
        <v>30</v>
      </c>
      <c r="AD16" s="200">
        <v>4</v>
      </c>
      <c r="AE16" s="200">
        <v>11</v>
      </c>
      <c r="AF16" s="200">
        <v>0</v>
      </c>
      <c r="AG16" s="200">
        <v>21</v>
      </c>
      <c r="AH16" s="200">
        <v>27</v>
      </c>
      <c r="AI16" s="5"/>
      <c r="AJ16" s="134" t="s">
        <v>30</v>
      </c>
      <c r="AK16" s="200">
        <v>4</v>
      </c>
      <c r="AL16" s="200">
        <v>11</v>
      </c>
      <c r="AM16" s="200">
        <v>0</v>
      </c>
      <c r="AN16" s="200">
        <v>21</v>
      </c>
      <c r="AO16" s="200">
        <v>27</v>
      </c>
    </row>
    <row r="17" spans="1:41" ht="15.9" customHeight="1">
      <c r="A17" s="201" t="s">
        <v>80</v>
      </c>
      <c r="B17" s="199" t="s">
        <v>314</v>
      </c>
      <c r="C17" s="201">
        <v>0</v>
      </c>
      <c r="D17" s="201">
        <v>4</v>
      </c>
      <c r="E17" s="201">
        <v>5</v>
      </c>
      <c r="F17" s="201">
        <v>5</v>
      </c>
      <c r="G17" s="201">
        <v>0</v>
      </c>
      <c r="H17" s="199">
        <v>13</v>
      </c>
      <c r="I17" s="82"/>
      <c r="J17" s="193">
        <v>13</v>
      </c>
      <c r="K17" s="194" t="s">
        <v>29</v>
      </c>
      <c r="L17" s="194" t="s">
        <v>28</v>
      </c>
      <c r="M17" s="194" t="s">
        <v>96</v>
      </c>
      <c r="N17" s="194" t="s">
        <v>29</v>
      </c>
      <c r="O17" s="194" t="s">
        <v>16</v>
      </c>
      <c r="Q17" s="193">
        <v>8</v>
      </c>
      <c r="R17" s="193">
        <v>9</v>
      </c>
      <c r="S17" s="193">
        <v>15</v>
      </c>
      <c r="T17" s="193">
        <v>8</v>
      </c>
      <c r="U17" s="193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99" t="s">
        <v>78</v>
      </c>
      <c r="AD17" s="201">
        <v>0</v>
      </c>
      <c r="AE17" s="201">
        <v>7</v>
      </c>
      <c r="AF17" s="201">
        <v>7</v>
      </c>
      <c r="AG17" s="201">
        <v>9</v>
      </c>
      <c r="AH17" s="201">
        <v>0</v>
      </c>
      <c r="AI17" s="5"/>
      <c r="AJ17" s="199" t="s">
        <v>78</v>
      </c>
      <c r="AK17" s="201">
        <v>0</v>
      </c>
      <c r="AL17" s="201">
        <v>7</v>
      </c>
      <c r="AM17" s="201">
        <v>7</v>
      </c>
      <c r="AN17" s="201">
        <v>9</v>
      </c>
      <c r="AO17" s="201">
        <v>0</v>
      </c>
    </row>
    <row r="18" spans="1:41" ht="15.9" customHeight="1">
      <c r="A18" s="201" t="s">
        <v>81</v>
      </c>
      <c r="B18" s="199" t="s">
        <v>315</v>
      </c>
      <c r="C18" s="201">
        <v>0</v>
      </c>
      <c r="D18" s="201">
        <v>15</v>
      </c>
      <c r="E18" s="201">
        <v>44</v>
      </c>
      <c r="F18" s="201">
        <v>3</v>
      </c>
      <c r="G18" s="201">
        <v>0</v>
      </c>
      <c r="H18" s="199">
        <v>14</v>
      </c>
      <c r="I18" s="82"/>
      <c r="J18" s="23">
        <v>14</v>
      </c>
      <c r="K18" s="194" t="s">
        <v>31</v>
      </c>
      <c r="L18" s="194" t="s">
        <v>82</v>
      </c>
      <c r="M18" s="194" t="s">
        <v>81</v>
      </c>
      <c r="N18" s="194" t="s">
        <v>31</v>
      </c>
      <c r="O18" s="194" t="s">
        <v>30</v>
      </c>
      <c r="Q18" s="193">
        <v>7</v>
      </c>
      <c r="R18" s="193">
        <v>16</v>
      </c>
      <c r="S18" s="193">
        <v>14</v>
      </c>
      <c r="T18" s="193">
        <v>7</v>
      </c>
      <c r="U18" s="193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99" t="s">
        <v>79</v>
      </c>
      <c r="AD18" s="201">
        <v>0</v>
      </c>
      <c r="AE18" s="201">
        <v>9</v>
      </c>
      <c r="AF18" s="201">
        <v>7</v>
      </c>
      <c r="AG18" s="201">
        <v>9</v>
      </c>
      <c r="AH18" s="201">
        <v>0</v>
      </c>
      <c r="AI18" s="5"/>
      <c r="AJ18" s="199" t="s">
        <v>79</v>
      </c>
      <c r="AK18" s="201">
        <v>0</v>
      </c>
      <c r="AL18" s="201">
        <v>9</v>
      </c>
      <c r="AM18" s="201">
        <v>7</v>
      </c>
      <c r="AN18" s="201">
        <v>9</v>
      </c>
      <c r="AO18" s="201">
        <v>0</v>
      </c>
    </row>
    <row r="19" spans="1:41" ht="15.9" customHeight="1">
      <c r="A19" s="201" t="s">
        <v>96</v>
      </c>
      <c r="B19" s="199" t="s">
        <v>316</v>
      </c>
      <c r="C19" s="201">
        <v>0</v>
      </c>
      <c r="D19" s="201">
        <v>16</v>
      </c>
      <c r="E19" s="201">
        <v>44</v>
      </c>
      <c r="F19" s="201">
        <v>3</v>
      </c>
      <c r="G19" s="201">
        <v>0</v>
      </c>
      <c r="H19" s="199">
        <v>15</v>
      </c>
      <c r="I19" s="82"/>
      <c r="J19" s="193">
        <v>15</v>
      </c>
      <c r="K19" s="194" t="s">
        <v>31</v>
      </c>
      <c r="L19" s="194" t="s">
        <v>87</v>
      </c>
      <c r="M19" s="194" t="s">
        <v>82</v>
      </c>
      <c r="N19" s="194" t="s">
        <v>31</v>
      </c>
      <c r="O19" s="194" t="s">
        <v>95</v>
      </c>
      <c r="Q19" s="193">
        <v>7</v>
      </c>
      <c r="R19" s="193">
        <v>19</v>
      </c>
      <c r="S19" s="193">
        <v>16</v>
      </c>
      <c r="T19" s="193">
        <v>7</v>
      </c>
      <c r="U19" s="193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99" t="s">
        <v>80</v>
      </c>
      <c r="AD19" s="201">
        <v>0</v>
      </c>
      <c r="AE19" s="201">
        <v>9</v>
      </c>
      <c r="AF19" s="201">
        <v>7</v>
      </c>
      <c r="AG19" s="201">
        <v>9</v>
      </c>
      <c r="AH19" s="201">
        <v>0</v>
      </c>
      <c r="AI19" s="5"/>
      <c r="AJ19" s="199" t="s">
        <v>80</v>
      </c>
      <c r="AK19" s="201">
        <v>0</v>
      </c>
      <c r="AL19" s="201">
        <v>9</v>
      </c>
      <c r="AM19" s="201">
        <v>7</v>
      </c>
      <c r="AN19" s="201">
        <v>9</v>
      </c>
      <c r="AO19" s="201">
        <v>0</v>
      </c>
    </row>
    <row r="20" spans="1:41" ht="15.9" customHeight="1">
      <c r="A20" s="201" t="s">
        <v>82</v>
      </c>
      <c r="B20" s="199" t="s">
        <v>317</v>
      </c>
      <c r="C20" s="201">
        <v>0</v>
      </c>
      <c r="D20" s="201">
        <v>15</v>
      </c>
      <c r="E20" s="201">
        <v>44</v>
      </c>
      <c r="F20" s="201">
        <v>3</v>
      </c>
      <c r="G20" s="201">
        <v>0</v>
      </c>
      <c r="H20" s="199">
        <v>16</v>
      </c>
      <c r="I20" s="82"/>
      <c r="J20" s="23">
        <v>16</v>
      </c>
      <c r="K20" s="194" t="s">
        <v>31</v>
      </c>
      <c r="L20" s="194" t="s">
        <v>16</v>
      </c>
      <c r="M20" s="194" t="s">
        <v>85</v>
      </c>
      <c r="N20" s="194" t="s">
        <v>79</v>
      </c>
      <c r="O20" s="194" t="s">
        <v>15</v>
      </c>
      <c r="Q20" s="193">
        <v>7</v>
      </c>
      <c r="R20" s="193">
        <v>3</v>
      </c>
      <c r="S20" s="193">
        <v>18</v>
      </c>
      <c r="T20" s="193">
        <v>12</v>
      </c>
      <c r="U20" s="193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99" t="s">
        <v>81</v>
      </c>
      <c r="AD20" s="201">
        <v>0</v>
      </c>
      <c r="AE20" s="201">
        <v>15</v>
      </c>
      <c r="AF20" s="201">
        <v>66</v>
      </c>
      <c r="AG20" s="201">
        <v>6</v>
      </c>
      <c r="AH20" s="201">
        <v>0</v>
      </c>
      <c r="AI20" s="5"/>
      <c r="AJ20" s="199" t="s">
        <v>81</v>
      </c>
      <c r="AK20" s="201">
        <v>0</v>
      </c>
      <c r="AL20" s="201">
        <v>15</v>
      </c>
      <c r="AM20" s="201">
        <v>66</v>
      </c>
      <c r="AN20" s="201">
        <v>6</v>
      </c>
      <c r="AO20" s="201">
        <v>0</v>
      </c>
    </row>
    <row r="21" spans="1:41" ht="15.9" customHeight="1">
      <c r="A21" s="201" t="s">
        <v>94</v>
      </c>
      <c r="B21" s="199" t="s">
        <v>318</v>
      </c>
      <c r="C21" s="201">
        <v>0</v>
      </c>
      <c r="D21" s="201">
        <v>14</v>
      </c>
      <c r="E21" s="201">
        <v>44</v>
      </c>
      <c r="F21" s="201">
        <v>3</v>
      </c>
      <c r="G21" s="201">
        <v>0</v>
      </c>
      <c r="H21" s="199">
        <v>17</v>
      </c>
      <c r="I21" s="82"/>
      <c r="J21" s="193">
        <v>17</v>
      </c>
      <c r="K21" s="194" t="s">
        <v>29</v>
      </c>
      <c r="L21" s="194" t="s">
        <v>96</v>
      </c>
      <c r="M21" s="194" t="s">
        <v>82</v>
      </c>
      <c r="N21" s="194" t="s">
        <v>94</v>
      </c>
      <c r="O21" s="194" t="s">
        <v>31</v>
      </c>
      <c r="Q21" s="193">
        <v>8</v>
      </c>
      <c r="R21" s="193">
        <v>15</v>
      </c>
      <c r="S21" s="193">
        <v>16</v>
      </c>
      <c r="T21" s="193">
        <v>17</v>
      </c>
      <c r="U21" s="193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99" t="s">
        <v>96</v>
      </c>
      <c r="AD21" s="201">
        <v>0</v>
      </c>
      <c r="AE21" s="201">
        <v>15</v>
      </c>
      <c r="AF21" s="201">
        <v>66</v>
      </c>
      <c r="AG21" s="201">
        <v>6</v>
      </c>
      <c r="AH21" s="201">
        <v>0</v>
      </c>
      <c r="AI21" s="5"/>
      <c r="AJ21" s="199" t="s">
        <v>96</v>
      </c>
      <c r="AK21" s="201">
        <v>0</v>
      </c>
      <c r="AL21" s="201">
        <v>15</v>
      </c>
      <c r="AM21" s="201">
        <v>66</v>
      </c>
      <c r="AN21" s="201">
        <v>6</v>
      </c>
      <c r="AO21" s="201">
        <v>0</v>
      </c>
    </row>
    <row r="22" spans="1:41" ht="15.9" customHeight="1">
      <c r="A22" s="201" t="s">
        <v>85</v>
      </c>
      <c r="B22" s="199" t="s">
        <v>319</v>
      </c>
      <c r="C22" s="201">
        <v>0</v>
      </c>
      <c r="D22" s="201">
        <v>5</v>
      </c>
      <c r="E22" s="201">
        <v>5</v>
      </c>
      <c r="F22" s="201">
        <v>4</v>
      </c>
      <c r="G22" s="201">
        <v>0</v>
      </c>
      <c r="H22" s="199">
        <v>18</v>
      </c>
      <c r="I22" s="82"/>
      <c r="J22" s="23">
        <v>18</v>
      </c>
      <c r="K22" s="194" t="s">
        <v>95</v>
      </c>
      <c r="L22" s="194" t="s">
        <v>95</v>
      </c>
      <c r="M22" s="194" t="s">
        <v>96</v>
      </c>
      <c r="N22" s="194" t="s">
        <v>28</v>
      </c>
      <c r="O22" s="194" t="s">
        <v>30</v>
      </c>
      <c r="Q22" s="193">
        <v>6</v>
      </c>
      <c r="R22" s="193">
        <v>6</v>
      </c>
      <c r="S22" s="193">
        <v>15</v>
      </c>
      <c r="T22" s="193">
        <v>9</v>
      </c>
      <c r="U22" s="193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99" t="s">
        <v>82</v>
      </c>
      <c r="AD22" s="201">
        <v>0</v>
      </c>
      <c r="AE22" s="201">
        <v>15</v>
      </c>
      <c r="AF22" s="201">
        <v>66</v>
      </c>
      <c r="AG22" s="201">
        <v>6</v>
      </c>
      <c r="AH22" s="201">
        <v>0</v>
      </c>
      <c r="AI22" s="5"/>
      <c r="AJ22" s="199" t="s">
        <v>82</v>
      </c>
      <c r="AK22" s="201">
        <v>0</v>
      </c>
      <c r="AL22" s="201">
        <v>15</v>
      </c>
      <c r="AM22" s="201">
        <v>66</v>
      </c>
      <c r="AN22" s="201">
        <v>6</v>
      </c>
      <c r="AO22" s="201">
        <v>0</v>
      </c>
    </row>
    <row r="23" spans="1:41" ht="15.9" customHeight="1">
      <c r="A23" s="201" t="s">
        <v>87</v>
      </c>
      <c r="B23" s="199" t="s">
        <v>320</v>
      </c>
      <c r="C23" s="201">
        <v>0</v>
      </c>
      <c r="D23" s="201">
        <v>3</v>
      </c>
      <c r="E23" s="201">
        <v>4</v>
      </c>
      <c r="F23" s="201">
        <v>4</v>
      </c>
      <c r="G23" s="201">
        <v>0</v>
      </c>
      <c r="H23" s="199">
        <v>19</v>
      </c>
      <c r="I23" s="82"/>
      <c r="J23" s="193">
        <v>19</v>
      </c>
      <c r="K23" s="194" t="s">
        <v>13</v>
      </c>
      <c r="L23" s="194" t="s">
        <v>31</v>
      </c>
      <c r="M23" s="194" t="s">
        <v>94</v>
      </c>
      <c r="N23" s="194" t="s">
        <v>28</v>
      </c>
      <c r="O23" s="194" t="s">
        <v>15</v>
      </c>
      <c r="Q23" s="193">
        <v>5</v>
      </c>
      <c r="R23" s="193">
        <v>7</v>
      </c>
      <c r="S23" s="193">
        <v>17</v>
      </c>
      <c r="T23" s="193">
        <v>9</v>
      </c>
      <c r="U23" s="193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99" t="s">
        <v>94</v>
      </c>
      <c r="AD23" s="201">
        <v>0</v>
      </c>
      <c r="AE23" s="201">
        <v>15</v>
      </c>
      <c r="AF23" s="201">
        <v>66</v>
      </c>
      <c r="AG23" s="201">
        <v>6</v>
      </c>
      <c r="AH23" s="201">
        <v>0</v>
      </c>
      <c r="AI23" s="5"/>
      <c r="AJ23" s="199" t="s">
        <v>94</v>
      </c>
      <c r="AK23" s="201">
        <v>0</v>
      </c>
      <c r="AL23" s="201">
        <v>15</v>
      </c>
      <c r="AM23" s="201">
        <v>66</v>
      </c>
      <c r="AN23" s="201">
        <v>6</v>
      </c>
      <c r="AO23" s="201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95</v>
      </c>
      <c r="L24" s="194" t="s">
        <v>94</v>
      </c>
      <c r="M24" s="194" t="s">
        <v>81</v>
      </c>
      <c r="N24" s="194" t="s">
        <v>12</v>
      </c>
      <c r="O24" s="194" t="s">
        <v>28</v>
      </c>
      <c r="Q24" s="193">
        <v>6</v>
      </c>
      <c r="R24" s="193">
        <v>17</v>
      </c>
      <c r="S24" s="193">
        <v>14</v>
      </c>
      <c r="T24" s="193">
        <v>4</v>
      </c>
      <c r="U24" s="193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99" t="s">
        <v>85</v>
      </c>
      <c r="AD24" s="201">
        <v>0</v>
      </c>
      <c r="AE24" s="201">
        <v>9</v>
      </c>
      <c r="AF24" s="201">
        <v>7</v>
      </c>
      <c r="AG24" s="201">
        <v>7</v>
      </c>
      <c r="AH24" s="201">
        <v>0</v>
      </c>
      <c r="AI24" s="5"/>
      <c r="AJ24" s="199" t="s">
        <v>85</v>
      </c>
      <c r="AK24" s="201">
        <v>0</v>
      </c>
      <c r="AL24" s="201">
        <v>9</v>
      </c>
      <c r="AM24" s="201">
        <v>7</v>
      </c>
      <c r="AN24" s="201">
        <v>7</v>
      </c>
      <c r="AO24" s="201">
        <v>0</v>
      </c>
    </row>
    <row r="25" spans="1:41" ht="16.5" customHeight="1">
      <c r="I25" s="82"/>
      <c r="J25" s="193">
        <v>21</v>
      </c>
      <c r="K25" s="194" t="s">
        <v>12</v>
      </c>
      <c r="L25" s="194" t="s">
        <v>94</v>
      </c>
      <c r="M25" s="194" t="s">
        <v>94</v>
      </c>
      <c r="N25" s="194" t="s">
        <v>14</v>
      </c>
      <c r="O25" s="194" t="s">
        <v>30</v>
      </c>
      <c r="Q25" s="193">
        <v>4</v>
      </c>
      <c r="R25" s="193">
        <v>17</v>
      </c>
      <c r="S25" s="193">
        <v>17</v>
      </c>
      <c r="T25" s="193">
        <v>1</v>
      </c>
      <c r="U25" s="193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99" t="s">
        <v>87</v>
      </c>
      <c r="AD25" s="201">
        <v>0</v>
      </c>
      <c r="AE25" s="201">
        <v>9</v>
      </c>
      <c r="AF25" s="201">
        <v>6</v>
      </c>
      <c r="AG25" s="201">
        <v>7</v>
      </c>
      <c r="AH25" s="201">
        <v>0</v>
      </c>
      <c r="AI25" s="5"/>
      <c r="AJ25" s="199" t="s">
        <v>87</v>
      </c>
      <c r="AK25" s="201">
        <v>0</v>
      </c>
      <c r="AL25" s="201">
        <v>9</v>
      </c>
      <c r="AM25" s="201">
        <v>6</v>
      </c>
      <c r="AN25" s="201">
        <v>7</v>
      </c>
      <c r="AO25" s="201">
        <v>0</v>
      </c>
    </row>
    <row r="26" spans="1:41" ht="16.5" customHeight="1">
      <c r="B26" s="5" t="s">
        <v>298</v>
      </c>
      <c r="C26" s="5">
        <v>1</v>
      </c>
      <c r="D26" s="156">
        <v>0.6</v>
      </c>
      <c r="E26" s="156">
        <v>0</v>
      </c>
      <c r="F26" s="156">
        <v>0.82499999999999996</v>
      </c>
      <c r="G26" s="5">
        <v>1</v>
      </c>
      <c r="I26" s="82"/>
      <c r="J26" s="23">
        <v>22</v>
      </c>
      <c r="K26" s="194" t="s">
        <v>29</v>
      </c>
      <c r="L26" s="194" t="s">
        <v>95</v>
      </c>
      <c r="M26" s="194" t="s">
        <v>87</v>
      </c>
      <c r="N26" s="194" t="s">
        <v>96</v>
      </c>
      <c r="O26" s="194" t="s">
        <v>12</v>
      </c>
      <c r="Q26" s="193">
        <v>8</v>
      </c>
      <c r="R26" s="193">
        <v>6</v>
      </c>
      <c r="S26" s="193">
        <v>19</v>
      </c>
      <c r="T26" s="193">
        <v>15</v>
      </c>
      <c r="U26" s="193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103">
        <v>200</v>
      </c>
      <c r="AE26" s="103">
        <v>243</v>
      </c>
      <c r="AF26" s="103">
        <v>298</v>
      </c>
      <c r="AG26" s="103">
        <v>230</v>
      </c>
      <c r="AH26" s="103">
        <v>200</v>
      </c>
      <c r="AI26" s="5"/>
      <c r="AK26" s="103">
        <v>200</v>
      </c>
      <c r="AL26" s="103">
        <v>243</v>
      </c>
      <c r="AM26" s="103">
        <v>298</v>
      </c>
      <c r="AN26" s="103">
        <v>230</v>
      </c>
      <c r="AO26" s="103">
        <v>200</v>
      </c>
    </row>
    <row r="27" spans="1:41" ht="16.5" customHeight="1">
      <c r="B27" s="5" t="s">
        <v>321</v>
      </c>
      <c r="C27" s="5">
        <v>0</v>
      </c>
      <c r="D27" s="156">
        <v>0.4</v>
      </c>
      <c r="E27" s="156">
        <v>1</v>
      </c>
      <c r="F27" s="156">
        <v>0.17499999999999999</v>
      </c>
      <c r="G27" s="5">
        <v>0</v>
      </c>
      <c r="I27" s="82"/>
      <c r="J27" s="193">
        <v>23</v>
      </c>
      <c r="K27" s="194" t="s">
        <v>13</v>
      </c>
      <c r="L27" s="194" t="s">
        <v>29</v>
      </c>
      <c r="M27" s="194" t="s">
        <v>81</v>
      </c>
      <c r="N27" s="194" t="s">
        <v>30</v>
      </c>
      <c r="O27" s="194" t="s">
        <v>16</v>
      </c>
      <c r="Q27" s="193">
        <v>5</v>
      </c>
      <c r="R27" s="193">
        <v>8</v>
      </c>
      <c r="S27" s="193">
        <v>14</v>
      </c>
      <c r="T27" s="193">
        <v>10</v>
      </c>
      <c r="U27" s="193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4" t="s">
        <v>95</v>
      </c>
      <c r="L28" s="194" t="s">
        <v>96</v>
      </c>
      <c r="M28" s="194" t="s">
        <v>96</v>
      </c>
      <c r="N28" s="194" t="s">
        <v>29</v>
      </c>
      <c r="O28" s="194" t="s">
        <v>15</v>
      </c>
      <c r="Q28" s="193">
        <v>6</v>
      </c>
      <c r="R28" s="193">
        <v>15</v>
      </c>
      <c r="S28" s="193">
        <v>15</v>
      </c>
      <c r="T28" s="193">
        <v>8</v>
      </c>
      <c r="U28" s="193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295</v>
      </c>
      <c r="AH28" s="5"/>
      <c r="AI28" s="5"/>
      <c r="AJ28" s="25" t="s">
        <v>295</v>
      </c>
      <c r="AO28" s="5"/>
    </row>
    <row r="29" spans="1:41" ht="16.5" customHeight="1">
      <c r="I29" s="82"/>
      <c r="J29" s="193">
        <v>25</v>
      </c>
      <c r="K29" s="194" t="s">
        <v>30</v>
      </c>
      <c r="L29" s="194" t="s">
        <v>16</v>
      </c>
      <c r="M29" s="194" t="s">
        <v>94</v>
      </c>
      <c r="N29" s="194" t="s">
        <v>28</v>
      </c>
      <c r="O29" s="194" t="s">
        <v>12</v>
      </c>
      <c r="Q29" s="193">
        <v>10</v>
      </c>
      <c r="R29" s="193">
        <v>3</v>
      </c>
      <c r="S29" s="193">
        <v>17</v>
      </c>
      <c r="T29" s="193">
        <v>9</v>
      </c>
      <c r="U29" s="193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>
      <c r="I30" s="82"/>
      <c r="J30" s="23">
        <v>26</v>
      </c>
      <c r="K30" s="194" t="s">
        <v>95</v>
      </c>
      <c r="L30" s="194" t="s">
        <v>29</v>
      </c>
      <c r="M30" s="194" t="s">
        <v>81</v>
      </c>
      <c r="N30" s="194" t="s">
        <v>95</v>
      </c>
      <c r="O30" s="194" t="s">
        <v>15</v>
      </c>
      <c r="Q30" s="193">
        <v>6</v>
      </c>
      <c r="R30" s="193">
        <v>8</v>
      </c>
      <c r="S30" s="193">
        <v>14</v>
      </c>
      <c r="T30" s="193">
        <v>6</v>
      </c>
      <c r="U30" s="193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99" t="s">
        <v>293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293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>
      <c r="I31" s="82"/>
      <c r="J31" s="193">
        <v>27</v>
      </c>
      <c r="K31" s="194" t="s">
        <v>15</v>
      </c>
      <c r="L31" s="194" t="s">
        <v>29</v>
      </c>
      <c r="M31" s="194" t="s">
        <v>87</v>
      </c>
      <c r="N31" s="194" t="s">
        <v>15</v>
      </c>
      <c r="O31" s="194" t="s">
        <v>12</v>
      </c>
      <c r="Q31" s="193">
        <v>2</v>
      </c>
      <c r="R31" s="193">
        <v>8</v>
      </c>
      <c r="S31" s="193">
        <v>19</v>
      </c>
      <c r="T31" s="193">
        <v>2</v>
      </c>
      <c r="U31" s="193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99" t="s">
        <v>14</v>
      </c>
      <c r="AD31" s="199">
        <v>0</v>
      </c>
      <c r="AE31" s="199">
        <v>6</v>
      </c>
      <c r="AF31" s="199">
        <v>0</v>
      </c>
      <c r="AG31" s="199">
        <v>9</v>
      </c>
      <c r="AH31" s="199">
        <v>0</v>
      </c>
      <c r="AI31" s="5"/>
      <c r="AJ31" s="199" t="s">
        <v>14</v>
      </c>
      <c r="AK31" s="199">
        <v>0</v>
      </c>
      <c r="AL31" s="199">
        <v>6</v>
      </c>
      <c r="AM31" s="199">
        <v>0</v>
      </c>
      <c r="AN31" s="199">
        <v>9</v>
      </c>
      <c r="AO31" s="199">
        <v>0</v>
      </c>
    </row>
    <row r="32" spans="1:41" ht="16.5" customHeight="1">
      <c r="J32" s="23">
        <v>28</v>
      </c>
      <c r="K32" s="194" t="s">
        <v>95</v>
      </c>
      <c r="L32" s="194" t="s">
        <v>82</v>
      </c>
      <c r="M32" s="194" t="s">
        <v>82</v>
      </c>
      <c r="N32" s="194" t="s">
        <v>14</v>
      </c>
      <c r="O32" s="194" t="s">
        <v>15</v>
      </c>
      <c r="Q32" s="193">
        <v>6</v>
      </c>
      <c r="R32" s="193">
        <v>16</v>
      </c>
      <c r="S32" s="193">
        <v>16</v>
      </c>
      <c r="T32" s="193">
        <v>1</v>
      </c>
      <c r="U32" s="193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34" t="s">
        <v>15</v>
      </c>
      <c r="AD32" s="200">
        <v>4</v>
      </c>
      <c r="AE32" s="200">
        <v>11</v>
      </c>
      <c r="AF32" s="200">
        <v>0</v>
      </c>
      <c r="AG32" s="200">
        <v>22</v>
      </c>
      <c r="AH32" s="200">
        <v>28</v>
      </c>
      <c r="AI32" s="5"/>
      <c r="AJ32" s="134" t="s">
        <v>15</v>
      </c>
      <c r="AK32" s="200">
        <v>4</v>
      </c>
      <c r="AL32" s="200">
        <v>11</v>
      </c>
      <c r="AM32" s="200">
        <v>0</v>
      </c>
      <c r="AN32" s="200">
        <v>22</v>
      </c>
      <c r="AO32" s="200">
        <v>28</v>
      </c>
    </row>
    <row r="33" spans="10:41" ht="16.5" customHeight="1">
      <c r="J33" s="193">
        <v>29</v>
      </c>
      <c r="K33" s="194" t="s">
        <v>95</v>
      </c>
      <c r="L33" s="194" t="s">
        <v>82</v>
      </c>
      <c r="M33" s="194" t="s">
        <v>81</v>
      </c>
      <c r="N33" s="194" t="s">
        <v>12</v>
      </c>
      <c r="O33" s="194" t="s">
        <v>16</v>
      </c>
      <c r="Q33" s="193">
        <v>6</v>
      </c>
      <c r="R33" s="193">
        <v>16</v>
      </c>
      <c r="S33" s="193">
        <v>14</v>
      </c>
      <c r="T33" s="193">
        <v>4</v>
      </c>
      <c r="U33" s="193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34" t="s">
        <v>16</v>
      </c>
      <c r="AD33" s="200">
        <v>4</v>
      </c>
      <c r="AE33" s="200">
        <v>11</v>
      </c>
      <c r="AF33" s="200">
        <v>0</v>
      </c>
      <c r="AG33" s="200">
        <v>22</v>
      </c>
      <c r="AH33" s="200">
        <v>27</v>
      </c>
      <c r="AI33" s="5"/>
      <c r="AJ33" s="134" t="s">
        <v>16</v>
      </c>
      <c r="AK33" s="200">
        <v>4</v>
      </c>
      <c r="AL33" s="200">
        <v>11</v>
      </c>
      <c r="AM33" s="200">
        <v>0</v>
      </c>
      <c r="AN33" s="200">
        <v>22</v>
      </c>
      <c r="AO33" s="200">
        <v>27</v>
      </c>
    </row>
    <row r="34" spans="10:41" ht="16.5" customHeight="1">
      <c r="J34" s="23">
        <v>30</v>
      </c>
      <c r="K34" s="194" t="s">
        <v>95</v>
      </c>
      <c r="L34" s="194" t="s">
        <v>16</v>
      </c>
      <c r="M34" s="194" t="s">
        <v>80</v>
      </c>
      <c r="N34" s="194" t="s">
        <v>78</v>
      </c>
      <c r="O34" s="194" t="s">
        <v>15</v>
      </c>
      <c r="Q34" s="193">
        <v>6</v>
      </c>
      <c r="R34" s="193">
        <v>3</v>
      </c>
      <c r="S34" s="193">
        <v>13</v>
      </c>
      <c r="T34" s="193">
        <v>11</v>
      </c>
      <c r="U34" s="193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34" t="s">
        <v>12</v>
      </c>
      <c r="AD34" s="200">
        <v>4</v>
      </c>
      <c r="AE34" s="200">
        <v>11</v>
      </c>
      <c r="AF34" s="200">
        <v>0</v>
      </c>
      <c r="AG34" s="200">
        <v>22</v>
      </c>
      <c r="AH34" s="200">
        <v>27</v>
      </c>
      <c r="AI34" s="5"/>
      <c r="AJ34" s="134" t="s">
        <v>12</v>
      </c>
      <c r="AK34" s="200">
        <v>4</v>
      </c>
      <c r="AL34" s="200">
        <v>11</v>
      </c>
      <c r="AM34" s="200">
        <v>0</v>
      </c>
      <c r="AN34" s="200">
        <v>22</v>
      </c>
      <c r="AO34" s="200">
        <v>27</v>
      </c>
    </row>
    <row r="35" spans="10:41" ht="16.5" customHeight="1">
      <c r="J35" s="193">
        <v>31</v>
      </c>
      <c r="K35" s="194" t="s">
        <v>29</v>
      </c>
      <c r="L35" s="194" t="s">
        <v>29</v>
      </c>
      <c r="M35" s="194" t="s">
        <v>81</v>
      </c>
      <c r="N35" s="194" t="s">
        <v>31</v>
      </c>
      <c r="O35" s="194" t="s">
        <v>15</v>
      </c>
      <c r="Q35" s="193">
        <v>8</v>
      </c>
      <c r="R35" s="193">
        <v>8</v>
      </c>
      <c r="S35" s="193">
        <v>14</v>
      </c>
      <c r="T35" s="193">
        <v>7</v>
      </c>
      <c r="U35" s="193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34" t="s">
        <v>13</v>
      </c>
      <c r="AD35" s="200">
        <v>43</v>
      </c>
      <c r="AE35" s="200">
        <v>19</v>
      </c>
      <c r="AF35" s="200">
        <v>0</v>
      </c>
      <c r="AG35" s="200">
        <v>12</v>
      </c>
      <c r="AH35" s="200">
        <v>16</v>
      </c>
      <c r="AI35" s="5"/>
      <c r="AJ35" s="134" t="s">
        <v>13</v>
      </c>
      <c r="AK35" s="200">
        <v>43</v>
      </c>
      <c r="AL35" s="200">
        <v>19</v>
      </c>
      <c r="AM35" s="200">
        <v>0</v>
      </c>
      <c r="AN35" s="200">
        <v>12</v>
      </c>
      <c r="AO35" s="200">
        <v>16</v>
      </c>
    </row>
    <row r="36" spans="10:41" ht="16.5" customHeight="1">
      <c r="J36" s="23">
        <v>32</v>
      </c>
      <c r="K36" s="194" t="s">
        <v>31</v>
      </c>
      <c r="L36" s="194" t="s">
        <v>87</v>
      </c>
      <c r="M36" s="194" t="s">
        <v>96</v>
      </c>
      <c r="N36" s="194" t="s">
        <v>12</v>
      </c>
      <c r="O36" s="194" t="s">
        <v>28</v>
      </c>
      <c r="Q36" s="193">
        <v>7</v>
      </c>
      <c r="R36" s="193">
        <v>19</v>
      </c>
      <c r="S36" s="193">
        <v>15</v>
      </c>
      <c r="T36" s="193">
        <v>4</v>
      </c>
      <c r="U36" s="193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34" t="s">
        <v>95</v>
      </c>
      <c r="AD36" s="200">
        <v>43</v>
      </c>
      <c r="AE36" s="200">
        <v>20</v>
      </c>
      <c r="AF36" s="200">
        <v>0</v>
      </c>
      <c r="AG36" s="200">
        <v>12</v>
      </c>
      <c r="AH36" s="200">
        <v>16</v>
      </c>
      <c r="AI36" s="5"/>
      <c r="AJ36" s="134" t="s">
        <v>95</v>
      </c>
      <c r="AK36" s="200">
        <v>43</v>
      </c>
      <c r="AL36" s="200">
        <v>20</v>
      </c>
      <c r="AM36" s="200">
        <v>0</v>
      </c>
      <c r="AN36" s="200">
        <v>12</v>
      </c>
      <c r="AO36" s="200">
        <v>16</v>
      </c>
    </row>
    <row r="37" spans="10:41" ht="16.5" customHeight="1">
      <c r="J37" s="193">
        <v>33</v>
      </c>
      <c r="K37" s="194" t="s">
        <v>95</v>
      </c>
      <c r="L37" s="194" t="s">
        <v>29</v>
      </c>
      <c r="M37" s="194" t="s">
        <v>94</v>
      </c>
      <c r="N37" s="194" t="s">
        <v>94</v>
      </c>
      <c r="O37" s="194" t="s">
        <v>30</v>
      </c>
      <c r="Q37" s="193">
        <v>6</v>
      </c>
      <c r="R37" s="193">
        <v>8</v>
      </c>
      <c r="S37" s="193">
        <v>17</v>
      </c>
      <c r="T37" s="193">
        <v>17</v>
      </c>
      <c r="U37" s="193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34" t="s">
        <v>31</v>
      </c>
      <c r="AD37" s="200">
        <v>47</v>
      </c>
      <c r="AE37" s="200">
        <v>20</v>
      </c>
      <c r="AF37" s="200">
        <v>0</v>
      </c>
      <c r="AG37" s="200">
        <v>12</v>
      </c>
      <c r="AH37" s="200">
        <v>16</v>
      </c>
      <c r="AI37" s="5"/>
      <c r="AJ37" s="134" t="s">
        <v>31</v>
      </c>
      <c r="AK37" s="200">
        <v>47</v>
      </c>
      <c r="AL37" s="200">
        <v>20</v>
      </c>
      <c r="AM37" s="200">
        <v>0</v>
      </c>
      <c r="AN37" s="200">
        <v>12</v>
      </c>
      <c r="AO37" s="200">
        <v>16</v>
      </c>
    </row>
    <row r="38" spans="10:41" ht="16.5" customHeight="1">
      <c r="J38" s="23">
        <v>34</v>
      </c>
      <c r="K38" s="194" t="s">
        <v>13</v>
      </c>
      <c r="L38" s="194" t="s">
        <v>81</v>
      </c>
      <c r="M38" s="194" t="s">
        <v>82</v>
      </c>
      <c r="N38" s="194" t="s">
        <v>15</v>
      </c>
      <c r="O38" s="194" t="s">
        <v>29</v>
      </c>
      <c r="Q38" s="193">
        <v>5</v>
      </c>
      <c r="R38" s="193">
        <v>14</v>
      </c>
      <c r="S38" s="193">
        <v>16</v>
      </c>
      <c r="T38" s="193">
        <v>2</v>
      </c>
      <c r="U38" s="193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34" t="s">
        <v>29</v>
      </c>
      <c r="AD38" s="200">
        <v>47</v>
      </c>
      <c r="AE38" s="200">
        <v>20</v>
      </c>
      <c r="AF38" s="200">
        <v>0</v>
      </c>
      <c r="AG38" s="200">
        <v>12</v>
      </c>
      <c r="AH38" s="200">
        <v>16</v>
      </c>
      <c r="AI38" s="5"/>
      <c r="AJ38" s="134" t="s">
        <v>29</v>
      </c>
      <c r="AK38" s="200">
        <v>47</v>
      </c>
      <c r="AL38" s="200">
        <v>20</v>
      </c>
      <c r="AM38" s="200">
        <v>0</v>
      </c>
      <c r="AN38" s="200">
        <v>12</v>
      </c>
      <c r="AO38" s="200">
        <v>16</v>
      </c>
    </row>
    <row r="39" spans="10:41" ht="16.5" customHeight="1">
      <c r="J39" s="193">
        <v>35</v>
      </c>
      <c r="K39" s="194" t="s">
        <v>29</v>
      </c>
      <c r="L39" s="194" t="s">
        <v>12</v>
      </c>
      <c r="M39" s="194" t="s">
        <v>96</v>
      </c>
      <c r="N39" s="194" t="s">
        <v>13</v>
      </c>
      <c r="O39" s="194" t="s">
        <v>13</v>
      </c>
      <c r="Q39" s="193">
        <v>8</v>
      </c>
      <c r="R39" s="193">
        <v>4</v>
      </c>
      <c r="S39" s="193">
        <v>15</v>
      </c>
      <c r="T39" s="193">
        <v>5</v>
      </c>
      <c r="U39" s="193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34" t="s">
        <v>28</v>
      </c>
      <c r="AD39" s="200">
        <v>4</v>
      </c>
      <c r="AE39" s="200">
        <v>11</v>
      </c>
      <c r="AF39" s="200">
        <v>0</v>
      </c>
      <c r="AG39" s="200">
        <v>21</v>
      </c>
      <c r="AH39" s="200">
        <v>27</v>
      </c>
      <c r="AI39" s="5"/>
      <c r="AJ39" s="134" t="s">
        <v>28</v>
      </c>
      <c r="AK39" s="200">
        <v>4</v>
      </c>
      <c r="AL39" s="200">
        <v>11</v>
      </c>
      <c r="AM39" s="200">
        <v>0</v>
      </c>
      <c r="AN39" s="200">
        <v>21</v>
      </c>
      <c r="AO39" s="200">
        <v>27</v>
      </c>
    </row>
    <row r="40" spans="10:41" ht="16.5" customHeight="1">
      <c r="J40" s="23">
        <v>36</v>
      </c>
      <c r="K40" s="194" t="s">
        <v>13</v>
      </c>
      <c r="L40" s="194" t="s">
        <v>12</v>
      </c>
      <c r="M40" s="194" t="s">
        <v>81</v>
      </c>
      <c r="N40" s="194" t="s">
        <v>13</v>
      </c>
      <c r="O40" s="194" t="s">
        <v>12</v>
      </c>
      <c r="Q40" s="193">
        <v>5</v>
      </c>
      <c r="R40" s="193">
        <v>4</v>
      </c>
      <c r="S40" s="193">
        <v>14</v>
      </c>
      <c r="T40" s="193">
        <v>5</v>
      </c>
      <c r="U40" s="193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34" t="s">
        <v>30</v>
      </c>
      <c r="AD40" s="200">
        <v>4</v>
      </c>
      <c r="AE40" s="200">
        <v>11</v>
      </c>
      <c r="AF40" s="200">
        <v>0</v>
      </c>
      <c r="AG40" s="200">
        <v>21</v>
      </c>
      <c r="AH40" s="200">
        <v>27</v>
      </c>
      <c r="AI40" s="5"/>
      <c r="AJ40" s="134" t="s">
        <v>30</v>
      </c>
      <c r="AK40" s="200">
        <v>4</v>
      </c>
      <c r="AL40" s="200">
        <v>11</v>
      </c>
      <c r="AM40" s="200">
        <v>0</v>
      </c>
      <c r="AN40" s="200">
        <v>21</v>
      </c>
      <c r="AO40" s="200">
        <v>27</v>
      </c>
    </row>
    <row r="41" spans="10:41" ht="16.5" customHeight="1">
      <c r="J41" s="193">
        <v>37</v>
      </c>
      <c r="K41" s="194" t="s">
        <v>95</v>
      </c>
      <c r="L41" s="194" t="s">
        <v>96</v>
      </c>
      <c r="M41" s="194" t="s">
        <v>94</v>
      </c>
      <c r="N41" s="194" t="s">
        <v>78</v>
      </c>
      <c r="O41" s="194" t="s">
        <v>13</v>
      </c>
      <c r="Q41" s="193">
        <v>6</v>
      </c>
      <c r="R41" s="193">
        <v>15</v>
      </c>
      <c r="S41" s="193">
        <v>17</v>
      </c>
      <c r="T41" s="193">
        <v>11</v>
      </c>
      <c r="U41" s="193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99" t="s">
        <v>78</v>
      </c>
      <c r="AD41" s="201">
        <v>0</v>
      </c>
      <c r="AE41" s="201">
        <v>7</v>
      </c>
      <c r="AF41" s="201">
        <v>7</v>
      </c>
      <c r="AG41" s="201">
        <v>9</v>
      </c>
      <c r="AH41" s="201">
        <v>0</v>
      </c>
      <c r="AI41" s="5"/>
      <c r="AJ41" s="199" t="s">
        <v>78</v>
      </c>
      <c r="AK41" s="201">
        <v>0</v>
      </c>
      <c r="AL41" s="201">
        <v>7</v>
      </c>
      <c r="AM41" s="201">
        <v>7</v>
      </c>
      <c r="AN41" s="201">
        <v>9</v>
      </c>
      <c r="AO41" s="201">
        <v>0</v>
      </c>
    </row>
    <row r="42" spans="10:41" ht="16.5" customHeight="1">
      <c r="J42" s="23">
        <v>38</v>
      </c>
      <c r="K42" s="194" t="s">
        <v>13</v>
      </c>
      <c r="L42" s="194" t="s">
        <v>82</v>
      </c>
      <c r="M42" s="194" t="s">
        <v>82</v>
      </c>
      <c r="N42" s="194" t="s">
        <v>28</v>
      </c>
      <c r="O42" s="194" t="s">
        <v>16</v>
      </c>
      <c r="Q42" s="193">
        <v>5</v>
      </c>
      <c r="R42" s="193">
        <v>16</v>
      </c>
      <c r="S42" s="193">
        <v>16</v>
      </c>
      <c r="T42" s="193">
        <v>9</v>
      </c>
      <c r="U42" s="193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99" t="s">
        <v>79</v>
      </c>
      <c r="AD42" s="201">
        <v>0</v>
      </c>
      <c r="AE42" s="201">
        <v>9</v>
      </c>
      <c r="AF42" s="201">
        <v>7</v>
      </c>
      <c r="AG42" s="201">
        <v>9</v>
      </c>
      <c r="AH42" s="201">
        <v>0</v>
      </c>
      <c r="AI42" s="5"/>
      <c r="AJ42" s="199" t="s">
        <v>79</v>
      </c>
      <c r="AK42" s="201">
        <v>0</v>
      </c>
      <c r="AL42" s="201">
        <v>9</v>
      </c>
      <c r="AM42" s="201">
        <v>7</v>
      </c>
      <c r="AN42" s="201">
        <v>9</v>
      </c>
      <c r="AO42" s="201">
        <v>0</v>
      </c>
    </row>
    <row r="43" spans="10:41" ht="16.5" customHeight="1">
      <c r="J43" s="193">
        <v>39</v>
      </c>
      <c r="K43" s="194" t="s">
        <v>13</v>
      </c>
      <c r="L43" s="194" t="s">
        <v>13</v>
      </c>
      <c r="M43" s="194" t="s">
        <v>78</v>
      </c>
      <c r="N43" s="194" t="s">
        <v>16</v>
      </c>
      <c r="O43" s="194" t="s">
        <v>16</v>
      </c>
      <c r="Q43" s="193">
        <v>5</v>
      </c>
      <c r="R43" s="193">
        <v>5</v>
      </c>
      <c r="S43" s="193">
        <v>11</v>
      </c>
      <c r="T43" s="193">
        <v>3</v>
      </c>
      <c r="U43" s="193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99" t="s">
        <v>80</v>
      </c>
      <c r="AD43" s="201">
        <v>0</v>
      </c>
      <c r="AE43" s="201">
        <v>9</v>
      </c>
      <c r="AF43" s="201">
        <v>7</v>
      </c>
      <c r="AG43" s="201">
        <v>9</v>
      </c>
      <c r="AH43" s="201">
        <v>0</v>
      </c>
      <c r="AI43" s="5"/>
      <c r="AJ43" s="199" t="s">
        <v>80</v>
      </c>
      <c r="AK43" s="201">
        <v>0</v>
      </c>
      <c r="AL43" s="201">
        <v>9</v>
      </c>
      <c r="AM43" s="201">
        <v>7</v>
      </c>
      <c r="AN43" s="201">
        <v>9</v>
      </c>
      <c r="AO43" s="201">
        <v>0</v>
      </c>
    </row>
    <row r="44" spans="10:41" ht="16.5" customHeight="1">
      <c r="J44" s="23">
        <v>40</v>
      </c>
      <c r="K44" s="194" t="s">
        <v>13</v>
      </c>
      <c r="L44" s="194" t="s">
        <v>78</v>
      </c>
      <c r="M44" s="194" t="s">
        <v>82</v>
      </c>
      <c r="N44" s="194" t="s">
        <v>81</v>
      </c>
      <c r="O44" s="194" t="s">
        <v>28</v>
      </c>
      <c r="Q44" s="193">
        <v>5</v>
      </c>
      <c r="R44" s="193">
        <v>11</v>
      </c>
      <c r="S44" s="193">
        <v>16</v>
      </c>
      <c r="T44" s="193">
        <v>14</v>
      </c>
      <c r="U44" s="193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99" t="s">
        <v>81</v>
      </c>
      <c r="AD44" s="201">
        <v>0</v>
      </c>
      <c r="AE44" s="201">
        <v>15</v>
      </c>
      <c r="AF44" s="201">
        <v>66</v>
      </c>
      <c r="AG44" s="201">
        <v>6</v>
      </c>
      <c r="AH44" s="201">
        <v>0</v>
      </c>
      <c r="AI44" s="5"/>
      <c r="AJ44" s="199" t="s">
        <v>81</v>
      </c>
      <c r="AK44" s="201">
        <v>0</v>
      </c>
      <c r="AL44" s="201">
        <v>15</v>
      </c>
      <c r="AM44" s="201">
        <v>66</v>
      </c>
      <c r="AN44" s="201">
        <v>6</v>
      </c>
      <c r="AO44" s="201">
        <v>0</v>
      </c>
    </row>
    <row r="45" spans="10:41" ht="16.5" customHeight="1">
      <c r="J45" s="193">
        <v>41</v>
      </c>
      <c r="K45" s="194" t="s">
        <v>95</v>
      </c>
      <c r="L45" s="194" t="s">
        <v>31</v>
      </c>
      <c r="M45" s="194" t="s">
        <v>94</v>
      </c>
      <c r="N45" s="194" t="s">
        <v>85</v>
      </c>
      <c r="O45" s="194" t="s">
        <v>29</v>
      </c>
      <c r="Q45" s="193">
        <v>6</v>
      </c>
      <c r="R45" s="193">
        <v>7</v>
      </c>
      <c r="S45" s="193">
        <v>17</v>
      </c>
      <c r="T45" s="193">
        <v>18</v>
      </c>
      <c r="U45" s="193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99" t="s">
        <v>96</v>
      </c>
      <c r="AD45" s="201">
        <v>0</v>
      </c>
      <c r="AE45" s="201">
        <v>15</v>
      </c>
      <c r="AF45" s="201">
        <v>66</v>
      </c>
      <c r="AG45" s="201">
        <v>6</v>
      </c>
      <c r="AH45" s="201">
        <v>0</v>
      </c>
      <c r="AI45" s="5"/>
      <c r="AJ45" s="199" t="s">
        <v>96</v>
      </c>
      <c r="AK45" s="201">
        <v>0</v>
      </c>
      <c r="AL45" s="201">
        <v>15</v>
      </c>
      <c r="AM45" s="201">
        <v>66</v>
      </c>
      <c r="AN45" s="201">
        <v>6</v>
      </c>
      <c r="AO45" s="201">
        <v>0</v>
      </c>
    </row>
    <row r="46" spans="10:41" ht="16.5" customHeight="1">
      <c r="J46" s="23">
        <v>42</v>
      </c>
      <c r="K46" s="194" t="s">
        <v>31</v>
      </c>
      <c r="L46" s="194" t="s">
        <v>13</v>
      </c>
      <c r="M46" s="194" t="s">
        <v>81</v>
      </c>
      <c r="N46" s="194" t="s">
        <v>29</v>
      </c>
      <c r="O46" s="194" t="s">
        <v>29</v>
      </c>
      <c r="Q46" s="193">
        <v>7</v>
      </c>
      <c r="R46" s="193">
        <v>5</v>
      </c>
      <c r="S46" s="193">
        <v>14</v>
      </c>
      <c r="T46" s="193">
        <v>8</v>
      </c>
      <c r="U46" s="193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99" t="s">
        <v>82</v>
      </c>
      <c r="AD46" s="201">
        <v>0</v>
      </c>
      <c r="AE46" s="201">
        <v>15</v>
      </c>
      <c r="AF46" s="201">
        <v>66</v>
      </c>
      <c r="AG46" s="201">
        <v>6</v>
      </c>
      <c r="AH46" s="201">
        <v>0</v>
      </c>
      <c r="AI46" s="5"/>
      <c r="AJ46" s="199" t="s">
        <v>82</v>
      </c>
      <c r="AK46" s="201">
        <v>0</v>
      </c>
      <c r="AL46" s="201">
        <v>15</v>
      </c>
      <c r="AM46" s="201">
        <v>66</v>
      </c>
      <c r="AN46" s="201">
        <v>6</v>
      </c>
      <c r="AO46" s="201">
        <v>0</v>
      </c>
    </row>
    <row r="47" spans="10:41" ht="16.5" customHeight="1">
      <c r="J47" s="193">
        <v>43</v>
      </c>
      <c r="K47" s="194" t="s">
        <v>13</v>
      </c>
      <c r="L47" s="194" t="s">
        <v>94</v>
      </c>
      <c r="M47" s="194" t="s">
        <v>82</v>
      </c>
      <c r="N47" s="194" t="s">
        <v>30</v>
      </c>
      <c r="O47" s="194" t="s">
        <v>13</v>
      </c>
      <c r="Q47" s="193">
        <v>5</v>
      </c>
      <c r="R47" s="193">
        <v>17</v>
      </c>
      <c r="S47" s="193">
        <v>16</v>
      </c>
      <c r="T47" s="193">
        <v>10</v>
      </c>
      <c r="U47" s="193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99" t="s">
        <v>94</v>
      </c>
      <c r="AD47" s="201">
        <v>0</v>
      </c>
      <c r="AE47" s="201">
        <v>15</v>
      </c>
      <c r="AF47" s="201">
        <v>66</v>
      </c>
      <c r="AG47" s="201">
        <v>6</v>
      </c>
      <c r="AH47" s="201">
        <v>0</v>
      </c>
      <c r="AI47" s="5"/>
      <c r="AJ47" s="199" t="s">
        <v>94</v>
      </c>
      <c r="AK47" s="201">
        <v>0</v>
      </c>
      <c r="AL47" s="201">
        <v>15</v>
      </c>
      <c r="AM47" s="201">
        <v>66</v>
      </c>
      <c r="AN47" s="201">
        <v>6</v>
      </c>
      <c r="AO47" s="201">
        <v>0</v>
      </c>
    </row>
    <row r="48" spans="10:41" ht="16.5" customHeight="1">
      <c r="J48" s="23">
        <v>44</v>
      </c>
      <c r="K48" s="194" t="s">
        <v>95</v>
      </c>
      <c r="L48" s="194" t="s">
        <v>14</v>
      </c>
      <c r="M48" s="194" t="s">
        <v>96</v>
      </c>
      <c r="N48" s="194" t="s">
        <v>95</v>
      </c>
      <c r="O48" s="194" t="s">
        <v>15</v>
      </c>
      <c r="Q48" s="193">
        <v>6</v>
      </c>
      <c r="R48" s="193">
        <v>1</v>
      </c>
      <c r="S48" s="193">
        <v>15</v>
      </c>
      <c r="T48" s="193">
        <v>6</v>
      </c>
      <c r="U48" s="193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99" t="s">
        <v>85</v>
      </c>
      <c r="AD48" s="201">
        <v>0</v>
      </c>
      <c r="AE48" s="201">
        <v>9</v>
      </c>
      <c r="AF48" s="201">
        <v>7</v>
      </c>
      <c r="AG48" s="201">
        <v>7</v>
      </c>
      <c r="AH48" s="201">
        <v>0</v>
      </c>
      <c r="AI48" s="5"/>
      <c r="AJ48" s="199" t="s">
        <v>85</v>
      </c>
      <c r="AK48" s="201">
        <v>0</v>
      </c>
      <c r="AL48" s="201">
        <v>9</v>
      </c>
      <c r="AM48" s="201">
        <v>7</v>
      </c>
      <c r="AN48" s="201">
        <v>7</v>
      </c>
      <c r="AO48" s="201">
        <v>0</v>
      </c>
    </row>
    <row r="49" spans="10:41" ht="16.5" customHeight="1">
      <c r="J49" s="193">
        <v>45</v>
      </c>
      <c r="K49" s="194" t="s">
        <v>13</v>
      </c>
      <c r="L49" s="194" t="s">
        <v>96</v>
      </c>
      <c r="M49" s="194" t="s">
        <v>94</v>
      </c>
      <c r="N49" s="194" t="s">
        <v>95</v>
      </c>
      <c r="O49" s="194" t="s">
        <v>16</v>
      </c>
      <c r="Q49" s="193">
        <v>5</v>
      </c>
      <c r="R49" s="193">
        <v>15</v>
      </c>
      <c r="S49" s="193">
        <v>17</v>
      </c>
      <c r="T49" s="193">
        <v>6</v>
      </c>
      <c r="U49" s="193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99" t="s">
        <v>87</v>
      </c>
      <c r="AD49" s="201">
        <v>0</v>
      </c>
      <c r="AE49" s="201">
        <v>9</v>
      </c>
      <c r="AF49" s="201">
        <v>6</v>
      </c>
      <c r="AG49" s="201">
        <v>7</v>
      </c>
      <c r="AH49" s="201">
        <v>0</v>
      </c>
      <c r="AI49" s="5"/>
      <c r="AJ49" s="199" t="s">
        <v>87</v>
      </c>
      <c r="AK49" s="201">
        <v>0</v>
      </c>
      <c r="AL49" s="201">
        <v>9</v>
      </c>
      <c r="AM49" s="201">
        <v>6</v>
      </c>
      <c r="AN49" s="201">
        <v>7</v>
      </c>
      <c r="AO49" s="201">
        <v>0</v>
      </c>
    </row>
    <row r="50" spans="10:41" ht="16.5" customHeight="1">
      <c r="J50" s="23">
        <v>46</v>
      </c>
      <c r="K50" s="194" t="s">
        <v>12</v>
      </c>
      <c r="L50" s="194" t="s">
        <v>95</v>
      </c>
      <c r="M50" s="194" t="s">
        <v>81</v>
      </c>
      <c r="N50" s="194" t="s">
        <v>16</v>
      </c>
      <c r="O50" s="194" t="s">
        <v>31</v>
      </c>
      <c r="Q50" s="193">
        <v>4</v>
      </c>
      <c r="R50" s="193">
        <v>6</v>
      </c>
      <c r="S50" s="193">
        <v>14</v>
      </c>
      <c r="T50" s="193">
        <v>3</v>
      </c>
      <c r="U50" s="193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103">
        <v>200</v>
      </c>
      <c r="AE50" s="103">
        <v>243</v>
      </c>
      <c r="AF50" s="103">
        <v>298</v>
      </c>
      <c r="AG50" s="103">
        <v>230</v>
      </c>
      <c r="AH50" s="103">
        <v>200</v>
      </c>
      <c r="AI50" s="5"/>
      <c r="AK50" s="103">
        <v>200</v>
      </c>
      <c r="AL50" s="103">
        <v>243</v>
      </c>
      <c r="AM50" s="103">
        <v>298</v>
      </c>
      <c r="AN50" s="103">
        <v>230</v>
      </c>
      <c r="AO50" s="103">
        <v>200</v>
      </c>
    </row>
    <row r="51" spans="10:41" ht="16.5" customHeight="1">
      <c r="J51" s="193">
        <v>47</v>
      </c>
      <c r="K51" s="194" t="s">
        <v>13</v>
      </c>
      <c r="L51" s="194" t="s">
        <v>31</v>
      </c>
      <c r="M51" s="194" t="s">
        <v>94</v>
      </c>
      <c r="N51" s="194" t="s">
        <v>28</v>
      </c>
      <c r="O51" s="194" t="s">
        <v>31</v>
      </c>
      <c r="Q51" s="193">
        <v>5</v>
      </c>
      <c r="R51" s="193">
        <v>7</v>
      </c>
      <c r="S51" s="193">
        <v>17</v>
      </c>
      <c r="T51" s="193">
        <v>9</v>
      </c>
      <c r="U51" s="193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4" t="s">
        <v>95</v>
      </c>
      <c r="L52" s="194" t="s">
        <v>31</v>
      </c>
      <c r="M52" s="194" t="s">
        <v>82</v>
      </c>
      <c r="N52" s="194" t="s">
        <v>16</v>
      </c>
      <c r="O52" s="194" t="s">
        <v>13</v>
      </c>
      <c r="Q52" s="193">
        <v>6</v>
      </c>
      <c r="R52" s="193">
        <v>7</v>
      </c>
      <c r="S52" s="193">
        <v>16</v>
      </c>
      <c r="T52" s="193">
        <v>3</v>
      </c>
      <c r="U52" s="193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296</v>
      </c>
      <c r="AH52" s="5"/>
      <c r="AI52" s="5"/>
      <c r="AJ52" s="25" t="s">
        <v>296</v>
      </c>
      <c r="AO52" s="5"/>
    </row>
    <row r="53" spans="10:41" ht="16.5" customHeight="1">
      <c r="J53" s="193">
        <v>49</v>
      </c>
      <c r="K53" s="194" t="s">
        <v>29</v>
      </c>
      <c r="L53" s="194" t="s">
        <v>96</v>
      </c>
      <c r="M53" s="194" t="s">
        <v>96</v>
      </c>
      <c r="N53" s="194" t="s">
        <v>95</v>
      </c>
      <c r="O53" s="194" t="s">
        <v>31</v>
      </c>
      <c r="Q53" s="193">
        <v>8</v>
      </c>
      <c r="R53" s="193">
        <v>15</v>
      </c>
      <c r="S53" s="193">
        <v>15</v>
      </c>
      <c r="T53" s="193">
        <v>6</v>
      </c>
      <c r="U53" s="193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>
      <c r="J54" s="23">
        <v>50</v>
      </c>
      <c r="K54" s="194" t="s">
        <v>31</v>
      </c>
      <c r="L54" s="194" t="s">
        <v>96</v>
      </c>
      <c r="M54" s="194" t="s">
        <v>80</v>
      </c>
      <c r="N54" s="194" t="s">
        <v>95</v>
      </c>
      <c r="O54" s="194" t="s">
        <v>16</v>
      </c>
      <c r="Q54" s="193">
        <v>7</v>
      </c>
      <c r="R54" s="193">
        <v>15</v>
      </c>
      <c r="S54" s="193">
        <v>13</v>
      </c>
      <c r="T54" s="193">
        <v>6</v>
      </c>
      <c r="U54" s="193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99" t="s">
        <v>293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293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>
      <c r="J55" s="193">
        <v>51</v>
      </c>
      <c r="K55" s="194" t="s">
        <v>29</v>
      </c>
      <c r="L55" s="194" t="s">
        <v>29</v>
      </c>
      <c r="M55" s="194" t="s">
        <v>96</v>
      </c>
      <c r="N55" s="194" t="s">
        <v>80</v>
      </c>
      <c r="O55" s="194" t="s">
        <v>13</v>
      </c>
      <c r="Q55" s="193">
        <v>8</v>
      </c>
      <c r="R55" s="193">
        <v>8</v>
      </c>
      <c r="S55" s="193">
        <v>15</v>
      </c>
      <c r="T55" s="193">
        <v>13</v>
      </c>
      <c r="U55" s="193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99" t="s">
        <v>14</v>
      </c>
      <c r="AD55" s="199">
        <v>0</v>
      </c>
      <c r="AE55" s="199">
        <v>6</v>
      </c>
      <c r="AF55" s="199">
        <v>0</v>
      </c>
      <c r="AG55" s="199">
        <v>9</v>
      </c>
      <c r="AH55" s="199">
        <v>0</v>
      </c>
      <c r="AI55" s="5"/>
      <c r="AJ55" s="199" t="s">
        <v>14</v>
      </c>
      <c r="AK55" s="199">
        <v>0</v>
      </c>
      <c r="AL55" s="199">
        <v>6</v>
      </c>
      <c r="AM55" s="199">
        <v>0</v>
      </c>
      <c r="AN55" s="199">
        <v>9</v>
      </c>
      <c r="AO55" s="199">
        <v>0</v>
      </c>
    </row>
    <row r="56" spans="10:41" ht="16.5" customHeight="1">
      <c r="J56" s="23">
        <v>52</v>
      </c>
      <c r="K56" s="194" t="s">
        <v>29</v>
      </c>
      <c r="L56" s="194" t="s">
        <v>31</v>
      </c>
      <c r="M56" s="194" t="s">
        <v>81</v>
      </c>
      <c r="N56" s="194" t="s">
        <v>30</v>
      </c>
      <c r="O56" s="194" t="s">
        <v>30</v>
      </c>
      <c r="Q56" s="193">
        <v>8</v>
      </c>
      <c r="R56" s="193">
        <v>7</v>
      </c>
      <c r="S56" s="193">
        <v>14</v>
      </c>
      <c r="T56" s="193">
        <v>10</v>
      </c>
      <c r="U56" s="193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34" t="s">
        <v>15</v>
      </c>
      <c r="AD56" s="200">
        <v>4</v>
      </c>
      <c r="AE56" s="200">
        <v>11</v>
      </c>
      <c r="AF56" s="200">
        <v>0</v>
      </c>
      <c r="AG56" s="200">
        <v>22</v>
      </c>
      <c r="AH56" s="200">
        <v>28</v>
      </c>
      <c r="AI56" s="5"/>
      <c r="AJ56" s="134" t="s">
        <v>15</v>
      </c>
      <c r="AK56" s="200">
        <v>4</v>
      </c>
      <c r="AL56" s="200">
        <v>11</v>
      </c>
      <c r="AM56" s="200">
        <v>0</v>
      </c>
      <c r="AN56" s="200">
        <v>22</v>
      </c>
      <c r="AO56" s="200">
        <v>28</v>
      </c>
    </row>
    <row r="57" spans="10:41" ht="16.5" customHeight="1">
      <c r="J57" s="193">
        <v>53</v>
      </c>
      <c r="K57" s="194" t="s">
        <v>13</v>
      </c>
      <c r="L57" s="194" t="s">
        <v>81</v>
      </c>
      <c r="M57" s="194" t="s">
        <v>96</v>
      </c>
      <c r="N57" s="194" t="s">
        <v>79</v>
      </c>
      <c r="O57" s="194" t="s">
        <v>12</v>
      </c>
      <c r="Q57" s="193">
        <v>5</v>
      </c>
      <c r="R57" s="193">
        <v>14</v>
      </c>
      <c r="S57" s="193">
        <v>15</v>
      </c>
      <c r="T57" s="193">
        <v>12</v>
      </c>
      <c r="U57" s="193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34" t="s">
        <v>16</v>
      </c>
      <c r="AD57" s="200">
        <v>4</v>
      </c>
      <c r="AE57" s="200">
        <v>11</v>
      </c>
      <c r="AF57" s="200">
        <v>0</v>
      </c>
      <c r="AG57" s="200">
        <v>22</v>
      </c>
      <c r="AH57" s="200">
        <v>27</v>
      </c>
      <c r="AI57" s="5"/>
      <c r="AJ57" s="134" t="s">
        <v>16</v>
      </c>
      <c r="AK57" s="200">
        <v>4</v>
      </c>
      <c r="AL57" s="200">
        <v>11</v>
      </c>
      <c r="AM57" s="200">
        <v>0</v>
      </c>
      <c r="AN57" s="200">
        <v>22</v>
      </c>
      <c r="AO57" s="200">
        <v>27</v>
      </c>
    </row>
    <row r="58" spans="10:41" ht="16.5" customHeight="1">
      <c r="J58" s="23">
        <v>54</v>
      </c>
      <c r="K58" s="194" t="s">
        <v>29</v>
      </c>
      <c r="L58" s="194" t="s">
        <v>82</v>
      </c>
      <c r="M58" s="194" t="s">
        <v>82</v>
      </c>
      <c r="N58" s="194" t="s">
        <v>31</v>
      </c>
      <c r="O58" s="194" t="s">
        <v>13</v>
      </c>
      <c r="Q58" s="193">
        <v>8</v>
      </c>
      <c r="R58" s="193">
        <v>16</v>
      </c>
      <c r="S58" s="193">
        <v>16</v>
      </c>
      <c r="T58" s="193">
        <v>7</v>
      </c>
      <c r="U58" s="193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34" t="s">
        <v>12</v>
      </c>
      <c r="AD58" s="200">
        <v>4</v>
      </c>
      <c r="AE58" s="200">
        <v>11</v>
      </c>
      <c r="AF58" s="200">
        <v>0</v>
      </c>
      <c r="AG58" s="200">
        <v>22</v>
      </c>
      <c r="AH58" s="200">
        <v>27</v>
      </c>
      <c r="AI58" s="5"/>
      <c r="AJ58" s="134" t="s">
        <v>12</v>
      </c>
      <c r="AK58" s="200">
        <v>4</v>
      </c>
      <c r="AL58" s="200">
        <v>11</v>
      </c>
      <c r="AM58" s="200">
        <v>0</v>
      </c>
      <c r="AN58" s="200">
        <v>22</v>
      </c>
      <c r="AO58" s="200">
        <v>27</v>
      </c>
    </row>
    <row r="59" spans="10:41" ht="16.5" customHeight="1">
      <c r="J59" s="193">
        <v>55</v>
      </c>
      <c r="K59" s="194" t="s">
        <v>31</v>
      </c>
      <c r="L59" s="194" t="s">
        <v>31</v>
      </c>
      <c r="M59" s="194" t="s">
        <v>96</v>
      </c>
      <c r="N59" s="194" t="s">
        <v>80</v>
      </c>
      <c r="O59" s="194" t="s">
        <v>16</v>
      </c>
      <c r="Q59" s="193">
        <v>7</v>
      </c>
      <c r="R59" s="193">
        <v>7</v>
      </c>
      <c r="S59" s="193">
        <v>15</v>
      </c>
      <c r="T59" s="193">
        <v>13</v>
      </c>
      <c r="U59" s="193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34" t="s">
        <v>13</v>
      </c>
      <c r="AD59" s="200">
        <v>43</v>
      </c>
      <c r="AE59" s="200">
        <v>19</v>
      </c>
      <c r="AF59" s="200">
        <v>0</v>
      </c>
      <c r="AG59" s="200">
        <v>12</v>
      </c>
      <c r="AH59" s="200">
        <v>16</v>
      </c>
      <c r="AI59" s="5"/>
      <c r="AJ59" s="134" t="s">
        <v>13</v>
      </c>
      <c r="AK59" s="200">
        <v>43</v>
      </c>
      <c r="AL59" s="200">
        <v>19</v>
      </c>
      <c r="AM59" s="200">
        <v>0</v>
      </c>
      <c r="AN59" s="200">
        <v>12</v>
      </c>
      <c r="AO59" s="200">
        <v>16</v>
      </c>
    </row>
    <row r="60" spans="10:41" ht="16.5" customHeight="1">
      <c r="J60" s="23">
        <v>56</v>
      </c>
      <c r="K60" s="194" t="s">
        <v>13</v>
      </c>
      <c r="L60" s="194" t="s">
        <v>13</v>
      </c>
      <c r="M60" s="194" t="s">
        <v>78</v>
      </c>
      <c r="N60" s="194" t="s">
        <v>16</v>
      </c>
      <c r="O60" s="194" t="s">
        <v>95</v>
      </c>
      <c r="Q60" s="193">
        <v>5</v>
      </c>
      <c r="R60" s="193">
        <v>5</v>
      </c>
      <c r="S60" s="193">
        <v>11</v>
      </c>
      <c r="T60" s="193">
        <v>3</v>
      </c>
      <c r="U60" s="193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34" t="s">
        <v>95</v>
      </c>
      <c r="AD60" s="200">
        <v>43</v>
      </c>
      <c r="AE60" s="200">
        <v>20</v>
      </c>
      <c r="AF60" s="200">
        <v>0</v>
      </c>
      <c r="AG60" s="200">
        <v>12</v>
      </c>
      <c r="AH60" s="200">
        <v>16</v>
      </c>
      <c r="AI60" s="5"/>
      <c r="AJ60" s="134" t="s">
        <v>95</v>
      </c>
      <c r="AK60" s="200">
        <v>43</v>
      </c>
      <c r="AL60" s="200">
        <v>20</v>
      </c>
      <c r="AM60" s="200">
        <v>0</v>
      </c>
      <c r="AN60" s="200">
        <v>12</v>
      </c>
      <c r="AO60" s="200">
        <v>16</v>
      </c>
    </row>
    <row r="61" spans="10:41">
      <c r="J61" s="193">
        <v>57</v>
      </c>
      <c r="K61" s="194" t="s">
        <v>13</v>
      </c>
      <c r="L61" s="194" t="s">
        <v>96</v>
      </c>
      <c r="M61" s="194" t="s">
        <v>94</v>
      </c>
      <c r="N61" s="194" t="s">
        <v>16</v>
      </c>
      <c r="O61" s="194" t="s">
        <v>95</v>
      </c>
      <c r="Q61" s="193">
        <v>5</v>
      </c>
      <c r="R61" s="193">
        <v>15</v>
      </c>
      <c r="S61" s="193">
        <v>17</v>
      </c>
      <c r="T61" s="193">
        <v>3</v>
      </c>
      <c r="U61" s="193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34" t="s">
        <v>31</v>
      </c>
      <c r="AD61" s="200">
        <v>47</v>
      </c>
      <c r="AE61" s="200">
        <v>20</v>
      </c>
      <c r="AF61" s="200">
        <v>0</v>
      </c>
      <c r="AG61" s="200">
        <v>12</v>
      </c>
      <c r="AH61" s="200">
        <v>16</v>
      </c>
      <c r="AI61" s="5"/>
      <c r="AJ61" s="134" t="s">
        <v>31</v>
      </c>
      <c r="AK61" s="200">
        <v>47</v>
      </c>
      <c r="AL61" s="200">
        <v>20</v>
      </c>
      <c r="AM61" s="200">
        <v>0</v>
      </c>
      <c r="AN61" s="200">
        <v>12</v>
      </c>
      <c r="AO61" s="200">
        <v>16</v>
      </c>
    </row>
    <row r="62" spans="10:41">
      <c r="J62" s="23">
        <v>58</v>
      </c>
      <c r="K62" s="194" t="s">
        <v>13</v>
      </c>
      <c r="L62" s="194" t="s">
        <v>95</v>
      </c>
      <c r="M62" s="194" t="s">
        <v>79</v>
      </c>
      <c r="N62" s="194" t="s">
        <v>16</v>
      </c>
      <c r="O62" s="194" t="s">
        <v>15</v>
      </c>
      <c r="Q62" s="193">
        <v>5</v>
      </c>
      <c r="R62" s="193">
        <v>6</v>
      </c>
      <c r="S62" s="193">
        <v>12</v>
      </c>
      <c r="T62" s="193">
        <v>3</v>
      </c>
      <c r="U62" s="193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34" t="s">
        <v>29</v>
      </c>
      <c r="AD62" s="200">
        <v>47</v>
      </c>
      <c r="AE62" s="200">
        <v>20</v>
      </c>
      <c r="AF62" s="200">
        <v>0</v>
      </c>
      <c r="AG62" s="200">
        <v>12</v>
      </c>
      <c r="AH62" s="200">
        <v>16</v>
      </c>
      <c r="AI62" s="5"/>
      <c r="AJ62" s="134" t="s">
        <v>29</v>
      </c>
      <c r="AK62" s="200">
        <v>47</v>
      </c>
      <c r="AL62" s="200">
        <v>20</v>
      </c>
      <c r="AM62" s="200">
        <v>0</v>
      </c>
      <c r="AN62" s="200">
        <v>12</v>
      </c>
      <c r="AO62" s="200">
        <v>16</v>
      </c>
    </row>
    <row r="63" spans="10:41" ht="16.5" customHeight="1">
      <c r="J63" s="193">
        <v>59</v>
      </c>
      <c r="K63" s="194" t="s">
        <v>31</v>
      </c>
      <c r="L63" s="194" t="s">
        <v>13</v>
      </c>
      <c r="M63" s="194" t="s">
        <v>78</v>
      </c>
      <c r="N63" s="194" t="s">
        <v>81</v>
      </c>
      <c r="O63" s="194" t="s">
        <v>31</v>
      </c>
      <c r="Q63" s="193">
        <v>7</v>
      </c>
      <c r="R63" s="193">
        <v>5</v>
      </c>
      <c r="S63" s="193">
        <v>11</v>
      </c>
      <c r="T63" s="193">
        <v>14</v>
      </c>
      <c r="U63" s="193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34" t="s">
        <v>28</v>
      </c>
      <c r="AD63" s="200">
        <v>4</v>
      </c>
      <c r="AE63" s="200">
        <v>11</v>
      </c>
      <c r="AF63" s="200">
        <v>0</v>
      </c>
      <c r="AG63" s="200">
        <v>21</v>
      </c>
      <c r="AH63" s="200">
        <v>27</v>
      </c>
      <c r="AI63" s="5"/>
      <c r="AJ63" s="134" t="s">
        <v>28</v>
      </c>
      <c r="AK63" s="200">
        <v>4</v>
      </c>
      <c r="AL63" s="200">
        <v>11</v>
      </c>
      <c r="AM63" s="200">
        <v>0</v>
      </c>
      <c r="AN63" s="200">
        <v>21</v>
      </c>
      <c r="AO63" s="200">
        <v>27</v>
      </c>
    </row>
    <row r="64" spans="10:41" ht="16.5" customHeight="1">
      <c r="J64" s="23">
        <v>60</v>
      </c>
      <c r="K64" s="194" t="s">
        <v>13</v>
      </c>
      <c r="L64" s="194" t="s">
        <v>81</v>
      </c>
      <c r="M64" s="194" t="s">
        <v>80</v>
      </c>
      <c r="N64" s="194" t="s">
        <v>15</v>
      </c>
      <c r="O64" s="194" t="s">
        <v>28</v>
      </c>
      <c r="Q64" s="193">
        <v>5</v>
      </c>
      <c r="R64" s="193">
        <v>14</v>
      </c>
      <c r="S64" s="193">
        <v>13</v>
      </c>
      <c r="T64" s="193">
        <v>2</v>
      </c>
      <c r="U64" s="193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34" t="s">
        <v>30</v>
      </c>
      <c r="AD64" s="200">
        <v>4</v>
      </c>
      <c r="AE64" s="200">
        <v>11</v>
      </c>
      <c r="AF64" s="200">
        <v>0</v>
      </c>
      <c r="AG64" s="200">
        <v>21</v>
      </c>
      <c r="AH64" s="200">
        <v>27</v>
      </c>
      <c r="AI64" s="5"/>
      <c r="AJ64" s="134" t="s">
        <v>30</v>
      </c>
      <c r="AK64" s="200">
        <v>4</v>
      </c>
      <c r="AL64" s="200">
        <v>11</v>
      </c>
      <c r="AM64" s="200">
        <v>0</v>
      </c>
      <c r="AN64" s="200">
        <v>21</v>
      </c>
      <c r="AO64" s="200">
        <v>27</v>
      </c>
    </row>
    <row r="65" spans="10:41" ht="16.5" customHeight="1">
      <c r="J65" s="193">
        <v>61</v>
      </c>
      <c r="K65" s="194" t="s">
        <v>31</v>
      </c>
      <c r="L65" s="194" t="s">
        <v>31</v>
      </c>
      <c r="M65" s="194" t="s">
        <v>94</v>
      </c>
      <c r="N65" s="194" t="s">
        <v>95</v>
      </c>
      <c r="O65" s="194" t="s">
        <v>15</v>
      </c>
      <c r="Q65" s="193">
        <v>7</v>
      </c>
      <c r="R65" s="193">
        <v>7</v>
      </c>
      <c r="S65" s="193">
        <v>17</v>
      </c>
      <c r="T65" s="193">
        <v>6</v>
      </c>
      <c r="U65" s="193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99" t="s">
        <v>78</v>
      </c>
      <c r="AD65" s="201">
        <v>0</v>
      </c>
      <c r="AE65" s="201">
        <v>7</v>
      </c>
      <c r="AF65" s="201">
        <v>7</v>
      </c>
      <c r="AG65" s="201">
        <v>9</v>
      </c>
      <c r="AH65" s="201">
        <v>0</v>
      </c>
      <c r="AI65" s="5"/>
      <c r="AJ65" s="199" t="s">
        <v>78</v>
      </c>
      <c r="AK65" s="201">
        <v>0</v>
      </c>
      <c r="AL65" s="201">
        <v>7</v>
      </c>
      <c r="AM65" s="201">
        <v>7</v>
      </c>
      <c r="AN65" s="201">
        <v>9</v>
      </c>
      <c r="AO65" s="201">
        <v>0</v>
      </c>
    </row>
    <row r="66" spans="10:41" ht="16.5" customHeight="1">
      <c r="J66" s="23">
        <v>62</v>
      </c>
      <c r="K66" s="194" t="s">
        <v>29</v>
      </c>
      <c r="L66" s="194" t="s">
        <v>96</v>
      </c>
      <c r="M66" s="194" t="s">
        <v>81</v>
      </c>
      <c r="N66" s="194" t="s">
        <v>15</v>
      </c>
      <c r="O66" s="194" t="s">
        <v>30</v>
      </c>
      <c r="Q66" s="193">
        <v>8</v>
      </c>
      <c r="R66" s="193">
        <v>15</v>
      </c>
      <c r="S66" s="193">
        <v>14</v>
      </c>
      <c r="T66" s="193">
        <v>2</v>
      </c>
      <c r="U66" s="193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99" t="s">
        <v>79</v>
      </c>
      <c r="AD66" s="201">
        <v>0</v>
      </c>
      <c r="AE66" s="201">
        <v>9</v>
      </c>
      <c r="AF66" s="201">
        <v>7</v>
      </c>
      <c r="AG66" s="201">
        <v>9</v>
      </c>
      <c r="AH66" s="201">
        <v>0</v>
      </c>
      <c r="AI66" s="5"/>
      <c r="AJ66" s="199" t="s">
        <v>79</v>
      </c>
      <c r="AK66" s="201">
        <v>0</v>
      </c>
      <c r="AL66" s="201">
        <v>9</v>
      </c>
      <c r="AM66" s="201">
        <v>7</v>
      </c>
      <c r="AN66" s="201">
        <v>9</v>
      </c>
      <c r="AO66" s="201">
        <v>0</v>
      </c>
    </row>
    <row r="67" spans="10:41" ht="16.5" customHeight="1">
      <c r="J67" s="193">
        <v>63</v>
      </c>
      <c r="K67" s="194" t="s">
        <v>13</v>
      </c>
      <c r="L67" s="194" t="s">
        <v>15</v>
      </c>
      <c r="M67" s="194" t="s">
        <v>82</v>
      </c>
      <c r="N67" s="194" t="s">
        <v>85</v>
      </c>
      <c r="O67" s="194" t="s">
        <v>28</v>
      </c>
      <c r="Q67" s="193">
        <v>5</v>
      </c>
      <c r="R67" s="193">
        <v>2</v>
      </c>
      <c r="S67" s="193">
        <v>16</v>
      </c>
      <c r="T67" s="193">
        <v>18</v>
      </c>
      <c r="U67" s="193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99" t="s">
        <v>80</v>
      </c>
      <c r="AD67" s="201">
        <v>0</v>
      </c>
      <c r="AE67" s="201">
        <v>9</v>
      </c>
      <c r="AF67" s="201">
        <v>7</v>
      </c>
      <c r="AG67" s="201">
        <v>9</v>
      </c>
      <c r="AH67" s="201">
        <v>0</v>
      </c>
      <c r="AI67" s="5"/>
      <c r="AJ67" s="199" t="s">
        <v>80</v>
      </c>
      <c r="AK67" s="201">
        <v>0</v>
      </c>
      <c r="AL67" s="201">
        <v>9</v>
      </c>
      <c r="AM67" s="201">
        <v>7</v>
      </c>
      <c r="AN67" s="201">
        <v>9</v>
      </c>
      <c r="AO67" s="201">
        <v>0</v>
      </c>
    </row>
    <row r="68" spans="10:41" ht="16.5" customHeight="1">
      <c r="J68" s="23">
        <v>64</v>
      </c>
      <c r="K68" s="194" t="s">
        <v>16</v>
      </c>
      <c r="L68" s="194" t="s">
        <v>30</v>
      </c>
      <c r="M68" s="194" t="s">
        <v>79</v>
      </c>
      <c r="N68" s="194" t="s">
        <v>28</v>
      </c>
      <c r="O68" s="194" t="s">
        <v>30</v>
      </c>
      <c r="Q68" s="193">
        <v>3</v>
      </c>
      <c r="R68" s="193">
        <v>10</v>
      </c>
      <c r="S68" s="193">
        <v>12</v>
      </c>
      <c r="T68" s="193">
        <v>9</v>
      </c>
      <c r="U68" s="193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99" t="s">
        <v>81</v>
      </c>
      <c r="AD68" s="201">
        <v>0</v>
      </c>
      <c r="AE68" s="201">
        <v>15</v>
      </c>
      <c r="AF68" s="201">
        <v>66</v>
      </c>
      <c r="AG68" s="201">
        <v>6</v>
      </c>
      <c r="AH68" s="201">
        <v>0</v>
      </c>
      <c r="AI68" s="5"/>
      <c r="AJ68" s="199" t="s">
        <v>81</v>
      </c>
      <c r="AK68" s="201">
        <v>0</v>
      </c>
      <c r="AL68" s="201">
        <v>15</v>
      </c>
      <c r="AM68" s="201">
        <v>66</v>
      </c>
      <c r="AN68" s="201">
        <v>6</v>
      </c>
      <c r="AO68" s="201">
        <v>0</v>
      </c>
    </row>
    <row r="69" spans="10:41" ht="16.5" customHeight="1">
      <c r="J69" s="193">
        <v>65</v>
      </c>
      <c r="K69" s="194" t="s">
        <v>30</v>
      </c>
      <c r="L69" s="194" t="s">
        <v>30</v>
      </c>
      <c r="M69" s="194" t="s">
        <v>81</v>
      </c>
      <c r="N69" s="194" t="s">
        <v>16</v>
      </c>
      <c r="O69" s="194" t="s">
        <v>28</v>
      </c>
      <c r="Q69" s="193">
        <v>10</v>
      </c>
      <c r="R69" s="193">
        <v>10</v>
      </c>
      <c r="S69" s="193">
        <v>14</v>
      </c>
      <c r="T69" s="193">
        <v>3</v>
      </c>
      <c r="U69" s="193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99" t="s">
        <v>96</v>
      </c>
      <c r="AD69" s="201">
        <v>0</v>
      </c>
      <c r="AE69" s="201">
        <v>15</v>
      </c>
      <c r="AF69" s="201">
        <v>66</v>
      </c>
      <c r="AG69" s="201">
        <v>6</v>
      </c>
      <c r="AH69" s="201">
        <v>0</v>
      </c>
      <c r="AI69" s="5"/>
      <c r="AJ69" s="199" t="s">
        <v>96</v>
      </c>
      <c r="AK69" s="201">
        <v>0</v>
      </c>
      <c r="AL69" s="201">
        <v>15</v>
      </c>
      <c r="AM69" s="201">
        <v>66</v>
      </c>
      <c r="AN69" s="201">
        <v>6</v>
      </c>
      <c r="AO69" s="201">
        <v>0</v>
      </c>
    </row>
    <row r="70" spans="10:41" ht="16.5" customHeight="1">
      <c r="J70" s="23">
        <v>66</v>
      </c>
      <c r="K70" s="194" t="s">
        <v>29</v>
      </c>
      <c r="L70" s="194" t="s">
        <v>94</v>
      </c>
      <c r="M70" s="194" t="s">
        <v>94</v>
      </c>
      <c r="N70" s="194" t="s">
        <v>80</v>
      </c>
      <c r="O70" s="194" t="s">
        <v>15</v>
      </c>
      <c r="Q70" s="193">
        <v>8</v>
      </c>
      <c r="R70" s="193">
        <v>17</v>
      </c>
      <c r="S70" s="193">
        <v>17</v>
      </c>
      <c r="T70" s="193">
        <v>13</v>
      </c>
      <c r="U70" s="193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99" t="s">
        <v>82</v>
      </c>
      <c r="AD70" s="201">
        <v>0</v>
      </c>
      <c r="AE70" s="201">
        <v>15</v>
      </c>
      <c r="AF70" s="201">
        <v>66</v>
      </c>
      <c r="AG70" s="201">
        <v>6</v>
      </c>
      <c r="AH70" s="201">
        <v>0</v>
      </c>
      <c r="AI70" s="5"/>
      <c r="AJ70" s="199" t="s">
        <v>82</v>
      </c>
      <c r="AK70" s="201">
        <v>0</v>
      </c>
      <c r="AL70" s="201">
        <v>15</v>
      </c>
      <c r="AM70" s="201">
        <v>66</v>
      </c>
      <c r="AN70" s="201">
        <v>6</v>
      </c>
      <c r="AO70" s="201">
        <v>0</v>
      </c>
    </row>
    <row r="71" spans="10:41" ht="16.5" customHeight="1">
      <c r="J71" s="193">
        <v>67</v>
      </c>
      <c r="K71" s="194" t="s">
        <v>29</v>
      </c>
      <c r="L71" s="194" t="s">
        <v>82</v>
      </c>
      <c r="M71" s="194" t="s">
        <v>81</v>
      </c>
      <c r="N71" s="194" t="s">
        <v>14</v>
      </c>
      <c r="O71" s="194" t="s">
        <v>30</v>
      </c>
      <c r="Q71" s="193">
        <v>8</v>
      </c>
      <c r="R71" s="193">
        <v>16</v>
      </c>
      <c r="S71" s="193">
        <v>14</v>
      </c>
      <c r="T71" s="193">
        <v>1</v>
      </c>
      <c r="U71" s="193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99" t="s">
        <v>94</v>
      </c>
      <c r="AD71" s="201">
        <v>0</v>
      </c>
      <c r="AE71" s="201">
        <v>15</v>
      </c>
      <c r="AF71" s="201">
        <v>66</v>
      </c>
      <c r="AG71" s="201">
        <v>6</v>
      </c>
      <c r="AH71" s="201">
        <v>0</v>
      </c>
      <c r="AI71" s="5"/>
      <c r="AJ71" s="199" t="s">
        <v>94</v>
      </c>
      <c r="AK71" s="201">
        <v>0</v>
      </c>
      <c r="AL71" s="201">
        <v>15</v>
      </c>
      <c r="AM71" s="201">
        <v>66</v>
      </c>
      <c r="AN71" s="201">
        <v>6</v>
      </c>
      <c r="AO71" s="201">
        <v>0</v>
      </c>
    </row>
    <row r="72" spans="10:41" ht="16.5" customHeight="1">
      <c r="J72" s="23">
        <v>68</v>
      </c>
      <c r="K72" s="194" t="s">
        <v>28</v>
      </c>
      <c r="L72" s="194" t="s">
        <v>30</v>
      </c>
      <c r="M72" s="194" t="s">
        <v>85</v>
      </c>
      <c r="N72" s="194" t="s">
        <v>16</v>
      </c>
      <c r="O72" s="194" t="s">
        <v>15</v>
      </c>
      <c r="Q72" s="193">
        <v>9</v>
      </c>
      <c r="R72" s="193">
        <v>10</v>
      </c>
      <c r="S72" s="193">
        <v>18</v>
      </c>
      <c r="T72" s="193">
        <v>3</v>
      </c>
      <c r="U72" s="193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99" t="s">
        <v>85</v>
      </c>
      <c r="AD72" s="201">
        <v>0</v>
      </c>
      <c r="AE72" s="201">
        <v>9</v>
      </c>
      <c r="AF72" s="201">
        <v>7</v>
      </c>
      <c r="AG72" s="201">
        <v>7</v>
      </c>
      <c r="AH72" s="201">
        <v>0</v>
      </c>
      <c r="AI72" s="5"/>
      <c r="AJ72" s="199" t="s">
        <v>85</v>
      </c>
      <c r="AK72" s="201">
        <v>0</v>
      </c>
      <c r="AL72" s="201">
        <v>9</v>
      </c>
      <c r="AM72" s="201">
        <v>7</v>
      </c>
      <c r="AN72" s="201">
        <v>7</v>
      </c>
      <c r="AO72" s="201">
        <v>0</v>
      </c>
    </row>
    <row r="73" spans="10:41" ht="16.5" customHeight="1">
      <c r="J73" s="193">
        <v>69</v>
      </c>
      <c r="K73" s="194" t="s">
        <v>15</v>
      </c>
      <c r="L73" s="194" t="s">
        <v>13</v>
      </c>
      <c r="M73" s="194" t="s">
        <v>82</v>
      </c>
      <c r="N73" s="194" t="s">
        <v>15</v>
      </c>
      <c r="O73" s="194" t="s">
        <v>31</v>
      </c>
      <c r="Q73" s="193">
        <v>2</v>
      </c>
      <c r="R73" s="193">
        <v>5</v>
      </c>
      <c r="S73" s="193">
        <v>16</v>
      </c>
      <c r="T73" s="193">
        <v>2</v>
      </c>
      <c r="U73" s="193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99" t="s">
        <v>87</v>
      </c>
      <c r="AD73" s="201">
        <v>0</v>
      </c>
      <c r="AE73" s="201">
        <v>9</v>
      </c>
      <c r="AF73" s="201">
        <v>6</v>
      </c>
      <c r="AG73" s="201">
        <v>7</v>
      </c>
      <c r="AH73" s="201">
        <v>0</v>
      </c>
      <c r="AI73" s="5"/>
      <c r="AJ73" s="199" t="s">
        <v>87</v>
      </c>
      <c r="AK73" s="201">
        <v>0</v>
      </c>
      <c r="AL73" s="201">
        <v>9</v>
      </c>
      <c r="AM73" s="201">
        <v>6</v>
      </c>
      <c r="AN73" s="201">
        <v>7</v>
      </c>
      <c r="AO73" s="201">
        <v>0</v>
      </c>
    </row>
    <row r="74" spans="10:41" ht="16.5" customHeight="1">
      <c r="J74" s="23">
        <v>70</v>
      </c>
      <c r="K74" s="194" t="s">
        <v>13</v>
      </c>
      <c r="L74" s="194" t="s">
        <v>13</v>
      </c>
      <c r="M74" s="194" t="s">
        <v>81</v>
      </c>
      <c r="N74" s="194" t="s">
        <v>31</v>
      </c>
      <c r="O74" s="194" t="s">
        <v>31</v>
      </c>
      <c r="Q74" s="193">
        <v>5</v>
      </c>
      <c r="R74" s="193">
        <v>5</v>
      </c>
      <c r="S74" s="193">
        <v>14</v>
      </c>
      <c r="T74" s="193">
        <v>7</v>
      </c>
      <c r="U74" s="193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103">
        <v>200</v>
      </c>
      <c r="AE74" s="103">
        <v>243</v>
      </c>
      <c r="AF74" s="103">
        <v>298</v>
      </c>
      <c r="AG74" s="103">
        <v>230</v>
      </c>
      <c r="AH74" s="103">
        <v>200</v>
      </c>
      <c r="AI74" s="5"/>
      <c r="AK74" s="103">
        <v>200</v>
      </c>
      <c r="AL74" s="103">
        <v>243</v>
      </c>
      <c r="AM74" s="103">
        <v>298</v>
      </c>
      <c r="AN74" s="103">
        <v>230</v>
      </c>
      <c r="AO74" s="103">
        <v>200</v>
      </c>
    </row>
    <row r="75" spans="10:41" ht="16.5" customHeight="1">
      <c r="J75" s="193">
        <v>71</v>
      </c>
      <c r="K75" s="194" t="s">
        <v>95</v>
      </c>
      <c r="L75" s="194" t="s">
        <v>94</v>
      </c>
      <c r="M75" s="194" t="s">
        <v>82</v>
      </c>
      <c r="N75" s="194" t="s">
        <v>12</v>
      </c>
      <c r="O75" s="194" t="s">
        <v>16</v>
      </c>
      <c r="Q75" s="193">
        <v>6</v>
      </c>
      <c r="R75" s="193">
        <v>17</v>
      </c>
      <c r="S75" s="193">
        <v>16</v>
      </c>
      <c r="T75" s="193">
        <v>4</v>
      </c>
      <c r="U75" s="193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4" t="s">
        <v>29</v>
      </c>
      <c r="L76" s="194" t="s">
        <v>31</v>
      </c>
      <c r="M76" s="194" t="s">
        <v>79</v>
      </c>
      <c r="N76" s="194" t="s">
        <v>15</v>
      </c>
      <c r="O76" s="194" t="s">
        <v>12</v>
      </c>
      <c r="Q76" s="193">
        <v>8</v>
      </c>
      <c r="R76" s="193">
        <v>7</v>
      </c>
      <c r="S76" s="193">
        <v>12</v>
      </c>
      <c r="T76" s="193">
        <v>2</v>
      </c>
      <c r="U76" s="193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3">
        <v>73</v>
      </c>
      <c r="K77" s="194" t="s">
        <v>29</v>
      </c>
      <c r="L77" s="194" t="s">
        <v>80</v>
      </c>
      <c r="M77" s="194" t="s">
        <v>94</v>
      </c>
      <c r="N77" s="194" t="s">
        <v>15</v>
      </c>
      <c r="O77" s="194" t="s">
        <v>95</v>
      </c>
      <c r="Q77" s="193">
        <v>8</v>
      </c>
      <c r="R77" s="193">
        <v>13</v>
      </c>
      <c r="S77" s="193">
        <v>17</v>
      </c>
      <c r="T77" s="193">
        <v>2</v>
      </c>
      <c r="U77" s="193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4" t="s">
        <v>95</v>
      </c>
      <c r="L78" s="194" t="s">
        <v>13</v>
      </c>
      <c r="M78" s="194" t="s">
        <v>81</v>
      </c>
      <c r="N78" s="194" t="s">
        <v>14</v>
      </c>
      <c r="O78" s="194" t="s">
        <v>12</v>
      </c>
      <c r="Q78" s="193">
        <v>6</v>
      </c>
      <c r="R78" s="193">
        <v>5</v>
      </c>
      <c r="S78" s="193">
        <v>14</v>
      </c>
      <c r="T78" s="193">
        <v>1</v>
      </c>
      <c r="U78" s="193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3">
        <v>75</v>
      </c>
      <c r="K79" s="194" t="s">
        <v>95</v>
      </c>
      <c r="L79" s="194" t="s">
        <v>13</v>
      </c>
      <c r="M79" s="194" t="s">
        <v>96</v>
      </c>
      <c r="N79" s="194" t="s">
        <v>87</v>
      </c>
      <c r="O79" s="194" t="s">
        <v>30</v>
      </c>
      <c r="Q79" s="193">
        <v>6</v>
      </c>
      <c r="R79" s="193">
        <v>5</v>
      </c>
      <c r="S79" s="193">
        <v>15</v>
      </c>
      <c r="T79" s="193">
        <v>19</v>
      </c>
      <c r="U79" s="193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4" t="s">
        <v>31</v>
      </c>
      <c r="L80" s="194" t="s">
        <v>81</v>
      </c>
      <c r="M80" s="194" t="s">
        <v>82</v>
      </c>
      <c r="N80" s="194" t="s">
        <v>28</v>
      </c>
      <c r="O80" s="194" t="s">
        <v>28</v>
      </c>
      <c r="Q80" s="193">
        <v>7</v>
      </c>
      <c r="R80" s="193">
        <v>14</v>
      </c>
      <c r="S80" s="193">
        <v>16</v>
      </c>
      <c r="T80" s="193">
        <v>9</v>
      </c>
      <c r="U80" s="193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93">
        <v>77</v>
      </c>
      <c r="K81" s="194" t="s">
        <v>29</v>
      </c>
      <c r="L81" s="194" t="s">
        <v>95</v>
      </c>
      <c r="M81" s="194" t="s">
        <v>81</v>
      </c>
      <c r="N81" s="194" t="s">
        <v>16</v>
      </c>
      <c r="O81" s="194" t="s">
        <v>28</v>
      </c>
      <c r="Q81" s="193">
        <v>8</v>
      </c>
      <c r="R81" s="193">
        <v>6</v>
      </c>
      <c r="S81" s="193">
        <v>14</v>
      </c>
      <c r="T81" s="193">
        <v>3</v>
      </c>
      <c r="U81" s="193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4" t="s">
        <v>31</v>
      </c>
      <c r="L82" s="194" t="s">
        <v>95</v>
      </c>
      <c r="M82" s="194" t="s">
        <v>94</v>
      </c>
      <c r="N82" s="194" t="s">
        <v>13</v>
      </c>
      <c r="O82" s="194" t="s">
        <v>16</v>
      </c>
      <c r="Q82" s="193">
        <v>7</v>
      </c>
      <c r="R82" s="193">
        <v>6</v>
      </c>
      <c r="S82" s="193">
        <v>17</v>
      </c>
      <c r="T82" s="193">
        <v>5</v>
      </c>
      <c r="U82" s="193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93">
        <v>79</v>
      </c>
      <c r="K83" s="194" t="s">
        <v>30</v>
      </c>
      <c r="L83" s="194" t="s">
        <v>81</v>
      </c>
      <c r="M83" s="194" t="s">
        <v>82</v>
      </c>
      <c r="N83" s="194" t="s">
        <v>28</v>
      </c>
      <c r="O83" s="194" t="s">
        <v>28</v>
      </c>
      <c r="Q83" s="193">
        <v>10</v>
      </c>
      <c r="R83" s="193">
        <v>14</v>
      </c>
      <c r="S83" s="193">
        <v>16</v>
      </c>
      <c r="T83" s="193">
        <v>9</v>
      </c>
      <c r="U83" s="193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4" t="s">
        <v>29</v>
      </c>
      <c r="L84" s="194" t="s">
        <v>95</v>
      </c>
      <c r="M84" s="194" t="s">
        <v>96</v>
      </c>
      <c r="N84" s="194" t="s">
        <v>28</v>
      </c>
      <c r="O84" s="194" t="s">
        <v>12</v>
      </c>
      <c r="Q84" s="193">
        <v>8</v>
      </c>
      <c r="R84" s="193">
        <v>6</v>
      </c>
      <c r="S84" s="193">
        <v>15</v>
      </c>
      <c r="T84" s="193">
        <v>9</v>
      </c>
      <c r="U84" s="193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93">
        <v>81</v>
      </c>
      <c r="K85" s="194" t="s">
        <v>95</v>
      </c>
      <c r="L85" s="194" t="s">
        <v>15</v>
      </c>
      <c r="M85" s="194" t="s">
        <v>82</v>
      </c>
      <c r="N85" s="194" t="s">
        <v>28</v>
      </c>
      <c r="O85" s="194" t="s">
        <v>30</v>
      </c>
      <c r="Q85" s="193">
        <v>6</v>
      </c>
      <c r="R85" s="193">
        <v>2</v>
      </c>
      <c r="S85" s="193">
        <v>16</v>
      </c>
      <c r="T85" s="193">
        <v>9</v>
      </c>
      <c r="U85" s="193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4" t="s">
        <v>95</v>
      </c>
      <c r="L86" s="194" t="s">
        <v>96</v>
      </c>
      <c r="M86" s="194" t="s">
        <v>85</v>
      </c>
      <c r="N86" s="194" t="s">
        <v>15</v>
      </c>
      <c r="O86" s="194" t="s">
        <v>95</v>
      </c>
      <c r="Q86" s="193">
        <v>6</v>
      </c>
      <c r="R86" s="193">
        <v>15</v>
      </c>
      <c r="S86" s="193">
        <v>18</v>
      </c>
      <c r="T86" s="193">
        <v>2</v>
      </c>
      <c r="U86" s="193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93">
        <v>83</v>
      </c>
      <c r="K87" s="194" t="s">
        <v>95</v>
      </c>
      <c r="L87" s="194" t="s">
        <v>29</v>
      </c>
      <c r="M87" s="194" t="s">
        <v>81</v>
      </c>
      <c r="N87" s="194" t="s">
        <v>13</v>
      </c>
      <c r="O87" s="194" t="s">
        <v>16</v>
      </c>
      <c r="Q87" s="193">
        <v>6</v>
      </c>
      <c r="R87" s="193">
        <v>8</v>
      </c>
      <c r="S87" s="193">
        <v>14</v>
      </c>
      <c r="T87" s="193">
        <v>5</v>
      </c>
      <c r="U87" s="193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4" t="s">
        <v>31</v>
      </c>
      <c r="L88" s="194" t="s">
        <v>81</v>
      </c>
      <c r="M88" s="194" t="s">
        <v>94</v>
      </c>
      <c r="N88" s="194" t="s">
        <v>78</v>
      </c>
      <c r="O88" s="194" t="s">
        <v>28</v>
      </c>
      <c r="Q88" s="193">
        <v>7</v>
      </c>
      <c r="R88" s="193">
        <v>14</v>
      </c>
      <c r="S88" s="193">
        <v>17</v>
      </c>
      <c r="T88" s="193">
        <v>11</v>
      </c>
      <c r="U88" s="193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93">
        <v>85</v>
      </c>
      <c r="K89" s="194" t="s">
        <v>31</v>
      </c>
      <c r="L89" s="194" t="s">
        <v>13</v>
      </c>
      <c r="M89" s="194" t="s">
        <v>96</v>
      </c>
      <c r="N89" s="194" t="s">
        <v>16</v>
      </c>
      <c r="O89" s="194" t="s">
        <v>95</v>
      </c>
      <c r="Q89" s="193">
        <v>7</v>
      </c>
      <c r="R89" s="193">
        <v>5</v>
      </c>
      <c r="S89" s="193">
        <v>15</v>
      </c>
      <c r="T89" s="193">
        <v>3</v>
      </c>
      <c r="U89" s="193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4" t="s">
        <v>31</v>
      </c>
      <c r="L90" s="194" t="s">
        <v>13</v>
      </c>
      <c r="M90" s="194" t="s">
        <v>82</v>
      </c>
      <c r="N90" s="194" t="s">
        <v>13</v>
      </c>
      <c r="O90" s="194" t="s">
        <v>31</v>
      </c>
      <c r="Q90" s="193">
        <v>7</v>
      </c>
      <c r="R90" s="193">
        <v>5</v>
      </c>
      <c r="S90" s="193">
        <v>16</v>
      </c>
      <c r="T90" s="193">
        <v>5</v>
      </c>
      <c r="U90" s="193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93">
        <v>87</v>
      </c>
      <c r="K91" s="194" t="s">
        <v>29</v>
      </c>
      <c r="L91" s="194" t="s">
        <v>30</v>
      </c>
      <c r="M91" s="194" t="s">
        <v>81</v>
      </c>
      <c r="N91" s="194" t="s">
        <v>13</v>
      </c>
      <c r="O91" s="194" t="s">
        <v>28</v>
      </c>
      <c r="Q91" s="193">
        <v>8</v>
      </c>
      <c r="R91" s="193">
        <v>10</v>
      </c>
      <c r="S91" s="193">
        <v>14</v>
      </c>
      <c r="T91" s="193">
        <v>5</v>
      </c>
      <c r="U91" s="193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4" t="s">
        <v>31</v>
      </c>
      <c r="L92" s="194" t="s">
        <v>96</v>
      </c>
      <c r="M92" s="194" t="s">
        <v>82</v>
      </c>
      <c r="N92" s="194" t="s">
        <v>14</v>
      </c>
      <c r="O92" s="194" t="s">
        <v>13</v>
      </c>
      <c r="Q92" s="193">
        <v>7</v>
      </c>
      <c r="R92" s="193">
        <v>15</v>
      </c>
      <c r="S92" s="193">
        <v>16</v>
      </c>
      <c r="T92" s="193">
        <v>1</v>
      </c>
      <c r="U92" s="193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93">
        <v>89</v>
      </c>
      <c r="K93" s="194" t="s">
        <v>12</v>
      </c>
      <c r="L93" s="194" t="s">
        <v>96</v>
      </c>
      <c r="M93" s="194" t="s">
        <v>94</v>
      </c>
      <c r="N93" s="194" t="s">
        <v>15</v>
      </c>
      <c r="O93" s="194" t="s">
        <v>28</v>
      </c>
      <c r="Q93" s="193">
        <v>4</v>
      </c>
      <c r="R93" s="193">
        <v>15</v>
      </c>
      <c r="S93" s="193">
        <v>17</v>
      </c>
      <c r="T93" s="193">
        <v>2</v>
      </c>
      <c r="U93" s="193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4" t="s">
        <v>16</v>
      </c>
      <c r="L94" s="194" t="s">
        <v>29</v>
      </c>
      <c r="M94" s="194" t="s">
        <v>81</v>
      </c>
      <c r="N94" s="194" t="s">
        <v>16</v>
      </c>
      <c r="O94" s="194" t="s">
        <v>29</v>
      </c>
      <c r="Q94" s="193">
        <v>3</v>
      </c>
      <c r="R94" s="193">
        <v>8</v>
      </c>
      <c r="S94" s="193">
        <v>14</v>
      </c>
      <c r="T94" s="193">
        <v>3</v>
      </c>
      <c r="U94" s="193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93">
        <v>91</v>
      </c>
      <c r="K95" s="194" t="s">
        <v>13</v>
      </c>
      <c r="L95" s="194" t="s">
        <v>29</v>
      </c>
      <c r="M95" s="194" t="s">
        <v>94</v>
      </c>
      <c r="N95" s="194" t="s">
        <v>15</v>
      </c>
      <c r="O95" s="194" t="s">
        <v>16</v>
      </c>
      <c r="Q95" s="193">
        <v>5</v>
      </c>
      <c r="R95" s="193">
        <v>8</v>
      </c>
      <c r="S95" s="193">
        <v>17</v>
      </c>
      <c r="T95" s="193">
        <v>2</v>
      </c>
      <c r="U95" s="193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4" t="s">
        <v>31</v>
      </c>
      <c r="L96" s="194" t="s">
        <v>82</v>
      </c>
      <c r="M96" s="194" t="s">
        <v>81</v>
      </c>
      <c r="N96" s="194" t="s">
        <v>15</v>
      </c>
      <c r="O96" s="194" t="s">
        <v>15</v>
      </c>
      <c r="Q96" s="193">
        <v>7</v>
      </c>
      <c r="R96" s="193">
        <v>16</v>
      </c>
      <c r="S96" s="193">
        <v>14</v>
      </c>
      <c r="T96" s="193">
        <v>2</v>
      </c>
      <c r="U96" s="193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93">
        <v>93</v>
      </c>
      <c r="K97" s="194" t="s">
        <v>13</v>
      </c>
      <c r="L97" s="194" t="s">
        <v>29</v>
      </c>
      <c r="M97" s="194" t="s">
        <v>82</v>
      </c>
      <c r="N97" s="194" t="s">
        <v>15</v>
      </c>
      <c r="O97" s="194" t="s">
        <v>30</v>
      </c>
      <c r="Q97" s="193">
        <v>5</v>
      </c>
      <c r="R97" s="193">
        <v>8</v>
      </c>
      <c r="S97" s="193">
        <v>16</v>
      </c>
      <c r="T97" s="193">
        <v>2</v>
      </c>
      <c r="U97" s="193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4" t="s">
        <v>31</v>
      </c>
      <c r="L98" s="194" t="s">
        <v>31</v>
      </c>
      <c r="M98" s="194" t="s">
        <v>96</v>
      </c>
      <c r="N98" s="194" t="s">
        <v>78</v>
      </c>
      <c r="O98" s="194" t="s">
        <v>16</v>
      </c>
      <c r="Q98" s="193">
        <v>7</v>
      </c>
      <c r="R98" s="193">
        <v>7</v>
      </c>
      <c r="S98" s="193">
        <v>15</v>
      </c>
      <c r="T98" s="193">
        <v>11</v>
      </c>
      <c r="U98" s="193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93">
        <v>95</v>
      </c>
      <c r="K99" s="194" t="s">
        <v>13</v>
      </c>
      <c r="L99" s="194" t="s">
        <v>94</v>
      </c>
      <c r="M99" s="194" t="s">
        <v>94</v>
      </c>
      <c r="N99" s="194" t="s">
        <v>12</v>
      </c>
      <c r="O99" s="194" t="s">
        <v>29</v>
      </c>
      <c r="Q99" s="193">
        <v>5</v>
      </c>
      <c r="R99" s="193">
        <v>17</v>
      </c>
      <c r="S99" s="193">
        <v>17</v>
      </c>
      <c r="T99" s="193">
        <v>4</v>
      </c>
      <c r="U99" s="193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4" t="s">
        <v>95</v>
      </c>
      <c r="L100" s="194" t="s">
        <v>29</v>
      </c>
      <c r="M100" s="194" t="s">
        <v>96</v>
      </c>
      <c r="N100" s="194" t="s">
        <v>29</v>
      </c>
      <c r="O100" s="194" t="s">
        <v>13</v>
      </c>
      <c r="Q100" s="193">
        <v>6</v>
      </c>
      <c r="R100" s="193">
        <v>8</v>
      </c>
      <c r="S100" s="193">
        <v>15</v>
      </c>
      <c r="T100" s="193">
        <v>8</v>
      </c>
      <c r="U100" s="193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93">
        <v>97</v>
      </c>
      <c r="K101" s="194" t="s">
        <v>13</v>
      </c>
      <c r="L101" s="194" t="s">
        <v>82</v>
      </c>
      <c r="M101" s="194" t="s">
        <v>82</v>
      </c>
      <c r="N101" s="194" t="s">
        <v>29</v>
      </c>
      <c r="O101" s="194" t="s">
        <v>12</v>
      </c>
      <c r="Q101" s="193">
        <v>5</v>
      </c>
      <c r="R101" s="193">
        <v>16</v>
      </c>
      <c r="S101" s="193">
        <v>16</v>
      </c>
      <c r="T101" s="193">
        <v>8</v>
      </c>
      <c r="U101" s="193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4" t="s">
        <v>31</v>
      </c>
      <c r="L102" s="194" t="s">
        <v>15</v>
      </c>
      <c r="M102" s="194" t="s">
        <v>94</v>
      </c>
      <c r="N102" s="194" t="s">
        <v>12</v>
      </c>
      <c r="O102" s="194" t="s">
        <v>15</v>
      </c>
      <c r="Q102" s="193">
        <v>7</v>
      </c>
      <c r="R102" s="193">
        <v>2</v>
      </c>
      <c r="S102" s="193">
        <v>17</v>
      </c>
      <c r="T102" s="193">
        <v>4</v>
      </c>
      <c r="U102" s="193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93">
        <v>99</v>
      </c>
      <c r="K103" s="194" t="s">
        <v>29</v>
      </c>
      <c r="L103" s="194" t="s">
        <v>81</v>
      </c>
      <c r="M103" s="194" t="s">
        <v>78</v>
      </c>
      <c r="N103" s="194" t="s">
        <v>30</v>
      </c>
      <c r="O103" s="194" t="s">
        <v>15</v>
      </c>
      <c r="Q103" s="193">
        <v>8</v>
      </c>
      <c r="R103" s="193">
        <v>14</v>
      </c>
      <c r="S103" s="193">
        <v>11</v>
      </c>
      <c r="T103" s="193">
        <v>10</v>
      </c>
      <c r="U103" s="193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4" t="s">
        <v>31</v>
      </c>
      <c r="L104" s="194" t="s">
        <v>14</v>
      </c>
      <c r="M104" s="194" t="s">
        <v>81</v>
      </c>
      <c r="N104" s="194" t="s">
        <v>16</v>
      </c>
      <c r="O104" s="194" t="s">
        <v>12</v>
      </c>
      <c r="Q104" s="193">
        <v>7</v>
      </c>
      <c r="R104" s="193">
        <v>1</v>
      </c>
      <c r="S104" s="193">
        <v>14</v>
      </c>
      <c r="T104" s="193">
        <v>3</v>
      </c>
      <c r="U104" s="193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4" t="s">
        <v>29</v>
      </c>
      <c r="L105" s="194" t="s">
        <v>95</v>
      </c>
      <c r="M105" s="194" t="s">
        <v>94</v>
      </c>
      <c r="N105" s="194" t="s">
        <v>16</v>
      </c>
      <c r="O105" s="194" t="s">
        <v>30</v>
      </c>
      <c r="Q105" s="193">
        <v>8</v>
      </c>
      <c r="R105" s="193">
        <v>6</v>
      </c>
      <c r="S105" s="193">
        <v>17</v>
      </c>
      <c r="T105" s="193">
        <v>3</v>
      </c>
      <c r="U105" s="193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93">
        <v>102</v>
      </c>
      <c r="K106" s="194" t="s">
        <v>29</v>
      </c>
      <c r="L106" s="194" t="s">
        <v>29</v>
      </c>
      <c r="M106" s="194" t="s">
        <v>81</v>
      </c>
      <c r="N106" s="194" t="s">
        <v>15</v>
      </c>
      <c r="O106" s="194" t="s">
        <v>95</v>
      </c>
      <c r="Q106" s="193">
        <v>8</v>
      </c>
      <c r="R106" s="193">
        <v>8</v>
      </c>
      <c r="S106" s="193">
        <v>14</v>
      </c>
      <c r="T106" s="193">
        <v>2</v>
      </c>
      <c r="U106" s="193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4" t="s">
        <v>31</v>
      </c>
      <c r="L107" s="194" t="s">
        <v>29</v>
      </c>
      <c r="M107" s="194" t="s">
        <v>96</v>
      </c>
      <c r="N107" s="194" t="s">
        <v>80</v>
      </c>
      <c r="O107" s="194" t="s">
        <v>28</v>
      </c>
      <c r="Q107" s="193">
        <v>7</v>
      </c>
      <c r="R107" s="193">
        <v>8</v>
      </c>
      <c r="S107" s="193">
        <v>15</v>
      </c>
      <c r="T107" s="193">
        <v>13</v>
      </c>
      <c r="U107" s="193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93">
        <v>104</v>
      </c>
      <c r="K108" s="194" t="s">
        <v>29</v>
      </c>
      <c r="L108" s="194" t="s">
        <v>81</v>
      </c>
      <c r="M108" s="194" t="s">
        <v>82</v>
      </c>
      <c r="N108" s="194" t="s">
        <v>16</v>
      </c>
      <c r="O108" s="194" t="s">
        <v>30</v>
      </c>
      <c r="Q108" s="193">
        <v>8</v>
      </c>
      <c r="R108" s="193">
        <v>14</v>
      </c>
      <c r="S108" s="193">
        <v>16</v>
      </c>
      <c r="T108" s="193">
        <v>3</v>
      </c>
      <c r="U108" s="193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4" t="s">
        <v>29</v>
      </c>
      <c r="L109" s="194" t="s">
        <v>79</v>
      </c>
      <c r="M109" s="194" t="s">
        <v>96</v>
      </c>
      <c r="N109" s="194" t="s">
        <v>13</v>
      </c>
      <c r="O109" s="194" t="s">
        <v>30</v>
      </c>
      <c r="Q109" s="193">
        <v>8</v>
      </c>
      <c r="R109" s="193">
        <v>12</v>
      </c>
      <c r="S109" s="193">
        <v>15</v>
      </c>
      <c r="T109" s="193">
        <v>5</v>
      </c>
      <c r="U109" s="193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93">
        <v>106</v>
      </c>
      <c r="K110" s="194" t="s">
        <v>29</v>
      </c>
      <c r="L110" s="194" t="s">
        <v>16</v>
      </c>
      <c r="M110" s="194" t="s">
        <v>82</v>
      </c>
      <c r="N110" s="194" t="s">
        <v>78</v>
      </c>
      <c r="O110" s="194" t="s">
        <v>13</v>
      </c>
      <c r="Q110" s="193">
        <v>8</v>
      </c>
      <c r="R110" s="193">
        <v>3</v>
      </c>
      <c r="S110" s="193">
        <v>16</v>
      </c>
      <c r="T110" s="193">
        <v>11</v>
      </c>
      <c r="U110" s="193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4" t="s">
        <v>31</v>
      </c>
      <c r="L111" s="194" t="s">
        <v>13</v>
      </c>
      <c r="M111" s="194" t="s">
        <v>96</v>
      </c>
      <c r="N111" s="194" t="s">
        <v>12</v>
      </c>
      <c r="O111" s="194" t="s">
        <v>13</v>
      </c>
      <c r="Q111" s="193">
        <v>7</v>
      </c>
      <c r="R111" s="193">
        <v>5</v>
      </c>
      <c r="S111" s="193">
        <v>15</v>
      </c>
      <c r="T111" s="193">
        <v>4</v>
      </c>
      <c r="U111" s="193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3">
        <v>108</v>
      </c>
      <c r="K112" s="194" t="s">
        <v>95</v>
      </c>
      <c r="L112" s="194" t="s">
        <v>79</v>
      </c>
      <c r="M112" s="194" t="s">
        <v>81</v>
      </c>
      <c r="N112" s="194" t="s">
        <v>28</v>
      </c>
      <c r="O112" s="194" t="s">
        <v>29</v>
      </c>
      <c r="Q112" s="193">
        <v>6</v>
      </c>
      <c r="R112" s="193">
        <v>12</v>
      </c>
      <c r="S112" s="193">
        <v>14</v>
      </c>
      <c r="T112" s="193">
        <v>9</v>
      </c>
      <c r="U112" s="193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4" t="s">
        <v>29</v>
      </c>
      <c r="L113" s="194" t="s">
        <v>81</v>
      </c>
      <c r="M113" s="194" t="s">
        <v>96</v>
      </c>
      <c r="N113" s="194" t="s">
        <v>30</v>
      </c>
      <c r="O113" s="194" t="s">
        <v>30</v>
      </c>
      <c r="Q113" s="193">
        <v>8</v>
      </c>
      <c r="R113" s="193">
        <v>14</v>
      </c>
      <c r="S113" s="193">
        <v>15</v>
      </c>
      <c r="T113" s="193">
        <v>10</v>
      </c>
      <c r="U113" s="193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93">
        <v>110</v>
      </c>
      <c r="K114" s="194" t="s">
        <v>15</v>
      </c>
      <c r="L114" s="194" t="s">
        <v>31</v>
      </c>
      <c r="M114" s="194" t="s">
        <v>94</v>
      </c>
      <c r="N114" s="194" t="s">
        <v>31</v>
      </c>
      <c r="O114" s="194" t="s">
        <v>15</v>
      </c>
      <c r="Q114" s="193">
        <v>2</v>
      </c>
      <c r="R114" s="193">
        <v>7</v>
      </c>
      <c r="S114" s="193">
        <v>17</v>
      </c>
      <c r="T114" s="193">
        <v>7</v>
      </c>
      <c r="U114" s="193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4" t="s">
        <v>28</v>
      </c>
      <c r="L115" s="194" t="s">
        <v>31</v>
      </c>
      <c r="M115" s="194" t="s">
        <v>81</v>
      </c>
      <c r="N115" s="194" t="s">
        <v>95</v>
      </c>
      <c r="O115" s="194" t="s">
        <v>12</v>
      </c>
      <c r="Q115" s="193">
        <v>9</v>
      </c>
      <c r="R115" s="193">
        <v>7</v>
      </c>
      <c r="S115" s="193">
        <v>14</v>
      </c>
      <c r="T115" s="193">
        <v>6</v>
      </c>
      <c r="U115" s="193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93">
        <v>112</v>
      </c>
      <c r="K116" s="194" t="s">
        <v>95</v>
      </c>
      <c r="L116" s="194" t="s">
        <v>81</v>
      </c>
      <c r="M116" s="194" t="s">
        <v>94</v>
      </c>
      <c r="N116" s="194" t="s">
        <v>12</v>
      </c>
      <c r="O116" s="194" t="s">
        <v>13</v>
      </c>
      <c r="Q116" s="193">
        <v>6</v>
      </c>
      <c r="R116" s="193">
        <v>14</v>
      </c>
      <c r="S116" s="193">
        <v>17</v>
      </c>
      <c r="T116" s="193">
        <v>4</v>
      </c>
      <c r="U116" s="193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4" t="s">
        <v>29</v>
      </c>
      <c r="L117" s="194" t="s">
        <v>13</v>
      </c>
      <c r="M117" s="194" t="s">
        <v>96</v>
      </c>
      <c r="N117" s="194" t="s">
        <v>30</v>
      </c>
      <c r="O117" s="194" t="s">
        <v>13</v>
      </c>
      <c r="Q117" s="193">
        <v>8</v>
      </c>
      <c r="R117" s="193">
        <v>5</v>
      </c>
      <c r="S117" s="193">
        <v>15</v>
      </c>
      <c r="T117" s="193">
        <v>10</v>
      </c>
      <c r="U117" s="193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93">
        <v>114</v>
      </c>
      <c r="K118" s="194" t="s">
        <v>13</v>
      </c>
      <c r="L118" s="194" t="s">
        <v>13</v>
      </c>
      <c r="M118" s="194" t="s">
        <v>82</v>
      </c>
      <c r="N118" s="194" t="s">
        <v>95</v>
      </c>
      <c r="O118" s="194" t="s">
        <v>31</v>
      </c>
      <c r="Q118" s="193">
        <v>5</v>
      </c>
      <c r="R118" s="193">
        <v>5</v>
      </c>
      <c r="S118" s="193">
        <v>16</v>
      </c>
      <c r="T118" s="193">
        <v>6</v>
      </c>
      <c r="U118" s="193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4" t="s">
        <v>29</v>
      </c>
      <c r="L119" s="194" t="s">
        <v>96</v>
      </c>
      <c r="M119" s="194" t="s">
        <v>94</v>
      </c>
      <c r="N119" s="194" t="s">
        <v>82</v>
      </c>
      <c r="O119" s="194" t="s">
        <v>16</v>
      </c>
      <c r="Q119" s="193">
        <v>8</v>
      </c>
      <c r="R119" s="193">
        <v>15</v>
      </c>
      <c r="S119" s="193">
        <v>17</v>
      </c>
      <c r="T119" s="193">
        <v>16</v>
      </c>
      <c r="U119" s="193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93">
        <v>116</v>
      </c>
      <c r="K120" s="194" t="s">
        <v>13</v>
      </c>
      <c r="L120" s="194" t="s">
        <v>95</v>
      </c>
      <c r="M120" s="194" t="s">
        <v>82</v>
      </c>
      <c r="N120" s="194" t="s">
        <v>95</v>
      </c>
      <c r="O120" s="194" t="s">
        <v>29</v>
      </c>
      <c r="Q120" s="193">
        <v>5</v>
      </c>
      <c r="R120" s="193">
        <v>6</v>
      </c>
      <c r="S120" s="193">
        <v>16</v>
      </c>
      <c r="T120" s="193">
        <v>6</v>
      </c>
      <c r="U120" s="193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4" t="s">
        <v>13</v>
      </c>
      <c r="L121" s="194" t="s">
        <v>82</v>
      </c>
      <c r="M121" s="194" t="s">
        <v>96</v>
      </c>
      <c r="N121" s="194" t="s">
        <v>16</v>
      </c>
      <c r="O121" s="194" t="s">
        <v>16</v>
      </c>
      <c r="Q121" s="193">
        <v>5</v>
      </c>
      <c r="R121" s="193">
        <v>16</v>
      </c>
      <c r="S121" s="193">
        <v>15</v>
      </c>
      <c r="T121" s="193">
        <v>3</v>
      </c>
      <c r="U121" s="193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3">
        <v>118</v>
      </c>
      <c r="K122" s="194" t="s">
        <v>31</v>
      </c>
      <c r="L122" s="194" t="s">
        <v>29</v>
      </c>
      <c r="M122" s="194" t="s">
        <v>87</v>
      </c>
      <c r="N122" s="194" t="s">
        <v>31</v>
      </c>
      <c r="O122" s="194" t="s">
        <v>28</v>
      </c>
      <c r="Q122" s="193">
        <v>7</v>
      </c>
      <c r="R122" s="193">
        <v>8</v>
      </c>
      <c r="S122" s="193">
        <v>19</v>
      </c>
      <c r="T122" s="193">
        <v>7</v>
      </c>
      <c r="U122" s="193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4" t="s">
        <v>29</v>
      </c>
      <c r="L123" s="194" t="s">
        <v>85</v>
      </c>
      <c r="M123" s="194" t="s">
        <v>96</v>
      </c>
      <c r="N123" s="194" t="s">
        <v>31</v>
      </c>
      <c r="O123" s="194" t="s">
        <v>29</v>
      </c>
      <c r="Q123" s="193">
        <v>8</v>
      </c>
      <c r="R123" s="193">
        <v>18</v>
      </c>
      <c r="S123" s="193">
        <v>15</v>
      </c>
      <c r="T123" s="193">
        <v>7</v>
      </c>
      <c r="U123" s="193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93">
        <v>120</v>
      </c>
      <c r="K124" s="194" t="s">
        <v>12</v>
      </c>
      <c r="L124" s="194" t="s">
        <v>81</v>
      </c>
      <c r="M124" s="194" t="s">
        <v>85</v>
      </c>
      <c r="N124" s="194" t="s">
        <v>14</v>
      </c>
      <c r="O124" s="194" t="s">
        <v>16</v>
      </c>
      <c r="Q124" s="193">
        <v>4</v>
      </c>
      <c r="R124" s="193">
        <v>14</v>
      </c>
      <c r="S124" s="193">
        <v>18</v>
      </c>
      <c r="T124" s="193">
        <v>1</v>
      </c>
      <c r="U124" s="193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4" t="s">
        <v>95</v>
      </c>
      <c r="L125" s="194" t="s">
        <v>14</v>
      </c>
      <c r="M125" s="194" t="s">
        <v>94</v>
      </c>
      <c r="N125" s="194" t="s">
        <v>12</v>
      </c>
      <c r="O125" s="194" t="s">
        <v>28</v>
      </c>
      <c r="Q125" s="193">
        <v>6</v>
      </c>
      <c r="R125" s="193">
        <v>1</v>
      </c>
      <c r="S125" s="193">
        <v>17</v>
      </c>
      <c r="T125" s="193">
        <v>4</v>
      </c>
      <c r="U125" s="193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93">
        <v>122</v>
      </c>
      <c r="K126" s="194" t="s">
        <v>95</v>
      </c>
      <c r="L126" s="194" t="s">
        <v>16</v>
      </c>
      <c r="M126" s="194" t="s">
        <v>82</v>
      </c>
      <c r="N126" s="194" t="s">
        <v>16</v>
      </c>
      <c r="O126" s="194" t="s">
        <v>28</v>
      </c>
      <c r="Q126" s="193">
        <v>6</v>
      </c>
      <c r="R126" s="193">
        <v>3</v>
      </c>
      <c r="S126" s="193">
        <v>16</v>
      </c>
      <c r="T126" s="193">
        <v>3</v>
      </c>
      <c r="U126" s="193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4" t="s">
        <v>13</v>
      </c>
      <c r="L127" s="194" t="s">
        <v>30</v>
      </c>
      <c r="M127" s="194" t="s">
        <v>81</v>
      </c>
      <c r="N127" s="194" t="s">
        <v>12</v>
      </c>
      <c r="O127" s="194" t="s">
        <v>16</v>
      </c>
      <c r="Q127" s="193">
        <v>5</v>
      </c>
      <c r="R127" s="193">
        <v>10</v>
      </c>
      <c r="S127" s="193">
        <v>14</v>
      </c>
      <c r="T127" s="193">
        <v>4</v>
      </c>
      <c r="U127" s="193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3">
        <v>124</v>
      </c>
      <c r="K128" s="194" t="s">
        <v>95</v>
      </c>
      <c r="L128" s="194" t="s">
        <v>96</v>
      </c>
      <c r="M128" s="194" t="s">
        <v>96</v>
      </c>
      <c r="N128" s="194" t="s">
        <v>12</v>
      </c>
      <c r="O128" s="194" t="s">
        <v>29</v>
      </c>
      <c r="Q128" s="193">
        <v>6</v>
      </c>
      <c r="R128" s="193">
        <v>15</v>
      </c>
      <c r="S128" s="193">
        <v>15</v>
      </c>
      <c r="T128" s="193">
        <v>4</v>
      </c>
      <c r="U128" s="193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4" t="s">
        <v>29</v>
      </c>
      <c r="L129" s="194" t="s">
        <v>78</v>
      </c>
      <c r="M129" s="194" t="s">
        <v>79</v>
      </c>
      <c r="N129" s="194" t="s">
        <v>85</v>
      </c>
      <c r="O129" s="194" t="s">
        <v>29</v>
      </c>
      <c r="Q129" s="193">
        <v>8</v>
      </c>
      <c r="R129" s="193">
        <v>11</v>
      </c>
      <c r="S129" s="193">
        <v>12</v>
      </c>
      <c r="T129" s="193">
        <v>18</v>
      </c>
      <c r="U129" s="193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93">
        <v>126</v>
      </c>
      <c r="K130" s="194" t="s">
        <v>95</v>
      </c>
      <c r="L130" s="194" t="s">
        <v>28</v>
      </c>
      <c r="M130" s="194" t="s">
        <v>94</v>
      </c>
      <c r="N130" s="194" t="s">
        <v>95</v>
      </c>
      <c r="O130" s="194" t="s">
        <v>16</v>
      </c>
      <c r="Q130" s="193">
        <v>6</v>
      </c>
      <c r="R130" s="193">
        <v>9</v>
      </c>
      <c r="S130" s="193">
        <v>17</v>
      </c>
      <c r="T130" s="193">
        <v>6</v>
      </c>
      <c r="U130" s="193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4" t="s">
        <v>29</v>
      </c>
      <c r="L131" s="194" t="s">
        <v>94</v>
      </c>
      <c r="M131" s="194" t="s">
        <v>81</v>
      </c>
      <c r="N131" s="194" t="s">
        <v>28</v>
      </c>
      <c r="O131" s="194" t="s">
        <v>28</v>
      </c>
      <c r="Q131" s="193">
        <v>8</v>
      </c>
      <c r="R131" s="193">
        <v>17</v>
      </c>
      <c r="S131" s="193">
        <v>14</v>
      </c>
      <c r="T131" s="193">
        <v>9</v>
      </c>
      <c r="U131" s="193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93">
        <v>128</v>
      </c>
      <c r="K132" s="194" t="s">
        <v>95</v>
      </c>
      <c r="L132" s="194" t="s">
        <v>14</v>
      </c>
      <c r="M132" s="194" t="s">
        <v>96</v>
      </c>
      <c r="N132" s="194" t="s">
        <v>12</v>
      </c>
      <c r="O132" s="194" t="s">
        <v>12</v>
      </c>
      <c r="Q132" s="193">
        <v>6</v>
      </c>
      <c r="R132" s="193">
        <v>1</v>
      </c>
      <c r="S132" s="193">
        <v>15</v>
      </c>
      <c r="T132" s="193">
        <v>4</v>
      </c>
      <c r="U132" s="193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4" t="s">
        <v>29</v>
      </c>
      <c r="L133" s="194" t="s">
        <v>13</v>
      </c>
      <c r="M133" s="194" t="s">
        <v>94</v>
      </c>
      <c r="N133" s="194" t="s">
        <v>79</v>
      </c>
      <c r="O133" s="194" t="s">
        <v>15</v>
      </c>
      <c r="Q133" s="193">
        <v>8</v>
      </c>
      <c r="R133" s="193">
        <v>5</v>
      </c>
      <c r="S133" s="193">
        <v>17</v>
      </c>
      <c r="T133" s="193">
        <v>12</v>
      </c>
      <c r="U133" s="193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93">
        <v>130</v>
      </c>
      <c r="K134" s="194" t="s">
        <v>95</v>
      </c>
      <c r="L134" s="194" t="s">
        <v>85</v>
      </c>
      <c r="M134" s="194" t="s">
        <v>82</v>
      </c>
      <c r="N134" s="194" t="s">
        <v>87</v>
      </c>
      <c r="O134" s="194" t="s">
        <v>16</v>
      </c>
      <c r="Q134" s="193">
        <v>6</v>
      </c>
      <c r="R134" s="193">
        <v>18</v>
      </c>
      <c r="S134" s="193">
        <v>16</v>
      </c>
      <c r="T134" s="193">
        <v>19</v>
      </c>
      <c r="U134" s="193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4" t="s">
        <v>31</v>
      </c>
      <c r="L135" s="194" t="s">
        <v>95</v>
      </c>
      <c r="M135" s="194" t="s">
        <v>94</v>
      </c>
      <c r="N135" s="194" t="s">
        <v>95</v>
      </c>
      <c r="O135" s="194" t="s">
        <v>31</v>
      </c>
      <c r="Q135" s="193">
        <v>7</v>
      </c>
      <c r="R135" s="193">
        <v>6</v>
      </c>
      <c r="S135" s="193">
        <v>17</v>
      </c>
      <c r="T135" s="193">
        <v>6</v>
      </c>
      <c r="U135" s="193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93">
        <v>132</v>
      </c>
      <c r="K136" s="194" t="s">
        <v>31</v>
      </c>
      <c r="L136" s="194" t="s">
        <v>29</v>
      </c>
      <c r="M136" s="194" t="s">
        <v>80</v>
      </c>
      <c r="N136" s="194" t="s">
        <v>29</v>
      </c>
      <c r="O136" s="194" t="s">
        <v>31</v>
      </c>
      <c r="Q136" s="193">
        <v>7</v>
      </c>
      <c r="R136" s="193">
        <v>8</v>
      </c>
      <c r="S136" s="193">
        <v>13</v>
      </c>
      <c r="T136" s="193">
        <v>8</v>
      </c>
      <c r="U136" s="193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4" t="s">
        <v>95</v>
      </c>
      <c r="L137" s="194" t="s">
        <v>94</v>
      </c>
      <c r="M137" s="194" t="s">
        <v>82</v>
      </c>
      <c r="N137" s="194" t="s">
        <v>30</v>
      </c>
      <c r="O137" s="194" t="s">
        <v>15</v>
      </c>
      <c r="Q137" s="193">
        <v>6</v>
      </c>
      <c r="R137" s="193">
        <v>17</v>
      </c>
      <c r="S137" s="193">
        <v>16</v>
      </c>
      <c r="T137" s="193">
        <v>10</v>
      </c>
      <c r="U137" s="193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93">
        <v>134</v>
      </c>
      <c r="K138" s="194" t="s">
        <v>16</v>
      </c>
      <c r="L138" s="194" t="s">
        <v>29</v>
      </c>
      <c r="M138" s="194" t="s">
        <v>96</v>
      </c>
      <c r="N138" s="194" t="s">
        <v>87</v>
      </c>
      <c r="O138" s="194" t="s">
        <v>29</v>
      </c>
      <c r="Q138" s="193">
        <v>3</v>
      </c>
      <c r="R138" s="193">
        <v>8</v>
      </c>
      <c r="S138" s="193">
        <v>15</v>
      </c>
      <c r="T138" s="193">
        <v>19</v>
      </c>
      <c r="U138" s="193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4" t="s">
        <v>29</v>
      </c>
      <c r="L139" s="194" t="s">
        <v>14</v>
      </c>
      <c r="M139" s="194" t="s">
        <v>81</v>
      </c>
      <c r="N139" s="194" t="s">
        <v>14</v>
      </c>
      <c r="O139" s="194" t="s">
        <v>15</v>
      </c>
      <c r="Q139" s="193">
        <v>8</v>
      </c>
      <c r="R139" s="193">
        <v>1</v>
      </c>
      <c r="S139" s="193">
        <v>14</v>
      </c>
      <c r="T139" s="193">
        <v>1</v>
      </c>
      <c r="U139" s="193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3">
        <v>136</v>
      </c>
      <c r="K140" s="194" t="s">
        <v>95</v>
      </c>
      <c r="L140" s="194" t="s">
        <v>82</v>
      </c>
      <c r="M140" s="194" t="s">
        <v>87</v>
      </c>
      <c r="N140" s="194" t="s">
        <v>31</v>
      </c>
      <c r="O140" s="194" t="s">
        <v>95</v>
      </c>
      <c r="Q140" s="193">
        <v>6</v>
      </c>
      <c r="R140" s="193">
        <v>16</v>
      </c>
      <c r="S140" s="193">
        <v>19</v>
      </c>
      <c r="T140" s="193">
        <v>7</v>
      </c>
      <c r="U140" s="193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4" t="s">
        <v>29</v>
      </c>
      <c r="L141" s="194" t="s">
        <v>13</v>
      </c>
      <c r="M141" s="194" t="s">
        <v>81</v>
      </c>
      <c r="N141" s="194" t="s">
        <v>30</v>
      </c>
      <c r="O141" s="194" t="s">
        <v>30</v>
      </c>
      <c r="Q141" s="193">
        <v>8</v>
      </c>
      <c r="R141" s="193">
        <v>5</v>
      </c>
      <c r="S141" s="193">
        <v>14</v>
      </c>
      <c r="T141" s="193">
        <v>10</v>
      </c>
      <c r="U141" s="193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3">
        <v>138</v>
      </c>
      <c r="K142" s="194" t="s">
        <v>31</v>
      </c>
      <c r="L142" s="194" t="s">
        <v>29</v>
      </c>
      <c r="M142" s="194" t="s">
        <v>96</v>
      </c>
      <c r="N142" s="194" t="s">
        <v>30</v>
      </c>
      <c r="O142" s="194" t="s">
        <v>28</v>
      </c>
      <c r="Q142" s="193">
        <v>7</v>
      </c>
      <c r="R142" s="193">
        <v>8</v>
      </c>
      <c r="S142" s="193">
        <v>15</v>
      </c>
      <c r="T142" s="193">
        <v>10</v>
      </c>
      <c r="U142" s="193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4" t="s">
        <v>16</v>
      </c>
      <c r="L143" s="194" t="s">
        <v>30</v>
      </c>
      <c r="M143" s="194" t="s">
        <v>81</v>
      </c>
      <c r="N143" s="194" t="s">
        <v>12</v>
      </c>
      <c r="O143" s="194" t="s">
        <v>31</v>
      </c>
      <c r="Q143" s="193">
        <v>3</v>
      </c>
      <c r="R143" s="193">
        <v>10</v>
      </c>
      <c r="S143" s="193">
        <v>14</v>
      </c>
      <c r="T143" s="193">
        <v>4</v>
      </c>
      <c r="U143" s="193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93">
        <v>140</v>
      </c>
      <c r="K144" s="194" t="s">
        <v>31</v>
      </c>
      <c r="L144" s="194" t="s">
        <v>94</v>
      </c>
      <c r="M144" s="194" t="s">
        <v>94</v>
      </c>
      <c r="N144" s="194" t="s">
        <v>30</v>
      </c>
      <c r="O144" s="194" t="s">
        <v>12</v>
      </c>
      <c r="Q144" s="193">
        <v>7</v>
      </c>
      <c r="R144" s="193">
        <v>17</v>
      </c>
      <c r="S144" s="193">
        <v>17</v>
      </c>
      <c r="T144" s="193">
        <v>10</v>
      </c>
      <c r="U144" s="193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4" t="s">
        <v>30</v>
      </c>
      <c r="L145" s="194" t="s">
        <v>28</v>
      </c>
      <c r="M145" s="194" t="s">
        <v>82</v>
      </c>
      <c r="N145" s="194" t="s">
        <v>30</v>
      </c>
      <c r="O145" s="194" t="s">
        <v>12</v>
      </c>
      <c r="Q145" s="193">
        <v>10</v>
      </c>
      <c r="R145" s="193">
        <v>9</v>
      </c>
      <c r="S145" s="193">
        <v>16</v>
      </c>
      <c r="T145" s="193">
        <v>10</v>
      </c>
      <c r="U145" s="193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93">
        <v>142</v>
      </c>
      <c r="K146" s="194" t="s">
        <v>31</v>
      </c>
      <c r="L146" s="194" t="s">
        <v>82</v>
      </c>
      <c r="M146" s="194" t="s">
        <v>96</v>
      </c>
      <c r="N146" s="194" t="s">
        <v>30</v>
      </c>
      <c r="O146" s="194" t="s">
        <v>95</v>
      </c>
      <c r="Q146" s="193">
        <v>7</v>
      </c>
      <c r="R146" s="193">
        <v>16</v>
      </c>
      <c r="S146" s="193">
        <v>15</v>
      </c>
      <c r="T146" s="193">
        <v>10</v>
      </c>
      <c r="U146" s="193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4" t="s">
        <v>31</v>
      </c>
      <c r="L147" s="194" t="s">
        <v>15</v>
      </c>
      <c r="M147" s="194" t="s">
        <v>81</v>
      </c>
      <c r="N147" s="194" t="s">
        <v>80</v>
      </c>
      <c r="O147" s="194" t="s">
        <v>12</v>
      </c>
      <c r="Q147" s="193">
        <v>7</v>
      </c>
      <c r="R147" s="193">
        <v>2</v>
      </c>
      <c r="S147" s="193">
        <v>14</v>
      </c>
      <c r="T147" s="193">
        <v>13</v>
      </c>
      <c r="U147" s="193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3">
        <v>144</v>
      </c>
      <c r="K148" s="194" t="s">
        <v>13</v>
      </c>
      <c r="L148" s="194" t="s">
        <v>16</v>
      </c>
      <c r="M148" s="194" t="s">
        <v>96</v>
      </c>
      <c r="N148" s="194" t="s">
        <v>96</v>
      </c>
      <c r="O148" s="194" t="s">
        <v>15</v>
      </c>
      <c r="Q148" s="193">
        <v>5</v>
      </c>
      <c r="R148" s="193">
        <v>3</v>
      </c>
      <c r="S148" s="193">
        <v>15</v>
      </c>
      <c r="T148" s="193">
        <v>15</v>
      </c>
      <c r="U148" s="193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4" t="s">
        <v>31</v>
      </c>
      <c r="L149" s="194" t="s">
        <v>79</v>
      </c>
      <c r="M149" s="194" t="s">
        <v>81</v>
      </c>
      <c r="N149" s="194" t="s">
        <v>94</v>
      </c>
      <c r="O149" s="194" t="s">
        <v>15</v>
      </c>
      <c r="Q149" s="193">
        <v>7</v>
      </c>
      <c r="R149" s="193">
        <v>12</v>
      </c>
      <c r="S149" s="193">
        <v>14</v>
      </c>
      <c r="T149" s="193">
        <v>17</v>
      </c>
      <c r="U149" s="193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3">
        <v>146</v>
      </c>
      <c r="K150" s="194" t="s">
        <v>95</v>
      </c>
      <c r="L150" s="194" t="s">
        <v>31</v>
      </c>
      <c r="M150" s="194" t="s">
        <v>96</v>
      </c>
      <c r="N150" s="194" t="s">
        <v>12</v>
      </c>
      <c r="O150" s="194" t="s">
        <v>30</v>
      </c>
      <c r="Q150" s="193">
        <v>6</v>
      </c>
      <c r="R150" s="193">
        <v>7</v>
      </c>
      <c r="S150" s="193">
        <v>15</v>
      </c>
      <c r="T150" s="193">
        <v>4</v>
      </c>
      <c r="U150" s="193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4" t="s">
        <v>31</v>
      </c>
      <c r="L151" s="194" t="s">
        <v>30</v>
      </c>
      <c r="M151" s="194" t="s">
        <v>81</v>
      </c>
      <c r="N151" s="194" t="s">
        <v>79</v>
      </c>
      <c r="O151" s="194" t="s">
        <v>28</v>
      </c>
      <c r="Q151" s="193">
        <v>7</v>
      </c>
      <c r="R151" s="193">
        <v>10</v>
      </c>
      <c r="S151" s="193">
        <v>14</v>
      </c>
      <c r="T151" s="193">
        <v>12</v>
      </c>
      <c r="U151" s="193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93">
        <v>148</v>
      </c>
      <c r="K152" s="194" t="s">
        <v>31</v>
      </c>
      <c r="L152" s="194" t="s">
        <v>85</v>
      </c>
      <c r="M152" s="194" t="s">
        <v>82</v>
      </c>
      <c r="N152" s="194" t="s">
        <v>30</v>
      </c>
      <c r="O152" s="194" t="s">
        <v>12</v>
      </c>
      <c r="Q152" s="193">
        <v>7</v>
      </c>
      <c r="R152" s="193">
        <v>18</v>
      </c>
      <c r="S152" s="193">
        <v>16</v>
      </c>
      <c r="T152" s="193">
        <v>10</v>
      </c>
      <c r="U152" s="193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4" t="s">
        <v>95</v>
      </c>
      <c r="L153" s="194" t="s">
        <v>96</v>
      </c>
      <c r="M153" s="194" t="s">
        <v>96</v>
      </c>
      <c r="N153" s="194" t="s">
        <v>31</v>
      </c>
      <c r="O153" s="194" t="s">
        <v>15</v>
      </c>
      <c r="Q153" s="193">
        <v>6</v>
      </c>
      <c r="R153" s="193">
        <v>15</v>
      </c>
      <c r="S153" s="193">
        <v>15</v>
      </c>
      <c r="T153" s="193">
        <v>7</v>
      </c>
      <c r="U153" s="193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93">
        <v>150</v>
      </c>
      <c r="K154" s="194" t="s">
        <v>31</v>
      </c>
      <c r="L154" s="194" t="s">
        <v>31</v>
      </c>
      <c r="M154" s="194" t="s">
        <v>94</v>
      </c>
      <c r="N154" s="194" t="s">
        <v>28</v>
      </c>
      <c r="O154" s="194" t="s">
        <v>16</v>
      </c>
      <c r="Q154" s="193">
        <v>7</v>
      </c>
      <c r="R154" s="193">
        <v>7</v>
      </c>
      <c r="S154" s="193">
        <v>17</v>
      </c>
      <c r="T154" s="193">
        <v>9</v>
      </c>
      <c r="U154" s="193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4" t="s">
        <v>13</v>
      </c>
      <c r="L155" s="194" t="s">
        <v>29</v>
      </c>
      <c r="M155" s="194" t="s">
        <v>96</v>
      </c>
      <c r="N155" s="194" t="s">
        <v>15</v>
      </c>
      <c r="O155" s="194" t="s">
        <v>30</v>
      </c>
      <c r="Q155" s="193">
        <v>5</v>
      </c>
      <c r="R155" s="193">
        <v>8</v>
      </c>
      <c r="S155" s="193">
        <v>15</v>
      </c>
      <c r="T155" s="193">
        <v>2</v>
      </c>
      <c r="U155" s="193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93">
        <v>152</v>
      </c>
      <c r="K156" s="194" t="s">
        <v>31</v>
      </c>
      <c r="L156" s="194" t="s">
        <v>78</v>
      </c>
      <c r="M156" s="194" t="s">
        <v>94</v>
      </c>
      <c r="N156" s="194" t="s">
        <v>14</v>
      </c>
      <c r="O156" s="194" t="s">
        <v>28</v>
      </c>
      <c r="Q156" s="193">
        <v>7</v>
      </c>
      <c r="R156" s="193">
        <v>11</v>
      </c>
      <c r="S156" s="193">
        <v>17</v>
      </c>
      <c r="T156" s="193">
        <v>1</v>
      </c>
      <c r="U156" s="193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4" t="s">
        <v>95</v>
      </c>
      <c r="L157" s="194" t="s">
        <v>31</v>
      </c>
      <c r="M157" s="194" t="s">
        <v>96</v>
      </c>
      <c r="N157" s="194" t="s">
        <v>16</v>
      </c>
      <c r="O157" s="194" t="s">
        <v>12</v>
      </c>
      <c r="Q157" s="193">
        <v>6</v>
      </c>
      <c r="R157" s="193">
        <v>7</v>
      </c>
      <c r="S157" s="193">
        <v>15</v>
      </c>
      <c r="T157" s="193">
        <v>3</v>
      </c>
      <c r="U157" s="193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93">
        <v>154</v>
      </c>
      <c r="K158" s="194" t="s">
        <v>13</v>
      </c>
      <c r="L158" s="194" t="s">
        <v>95</v>
      </c>
      <c r="M158" s="194" t="s">
        <v>82</v>
      </c>
      <c r="N158" s="194" t="s">
        <v>13</v>
      </c>
      <c r="O158" s="194" t="s">
        <v>95</v>
      </c>
      <c r="Q158" s="193">
        <v>5</v>
      </c>
      <c r="R158" s="193">
        <v>6</v>
      </c>
      <c r="S158" s="193">
        <v>16</v>
      </c>
      <c r="T158" s="193">
        <v>5</v>
      </c>
      <c r="U158" s="193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4" t="s">
        <v>29</v>
      </c>
      <c r="L159" s="194" t="s">
        <v>85</v>
      </c>
      <c r="M159" s="194" t="s">
        <v>94</v>
      </c>
      <c r="N159" s="194" t="s">
        <v>28</v>
      </c>
      <c r="O159" s="194" t="s">
        <v>15</v>
      </c>
      <c r="Q159" s="193">
        <v>8</v>
      </c>
      <c r="R159" s="193">
        <v>18</v>
      </c>
      <c r="S159" s="193">
        <v>17</v>
      </c>
      <c r="T159" s="193">
        <v>9</v>
      </c>
      <c r="U159" s="193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93">
        <v>156</v>
      </c>
      <c r="K160" s="194" t="s">
        <v>13</v>
      </c>
      <c r="L160" s="194" t="s">
        <v>94</v>
      </c>
      <c r="M160" s="194" t="s">
        <v>82</v>
      </c>
      <c r="N160" s="194" t="s">
        <v>28</v>
      </c>
      <c r="O160" s="194" t="s">
        <v>95</v>
      </c>
      <c r="Q160" s="193">
        <v>5</v>
      </c>
      <c r="R160" s="193">
        <v>17</v>
      </c>
      <c r="S160" s="193">
        <v>16</v>
      </c>
      <c r="T160" s="193">
        <v>9</v>
      </c>
      <c r="U160" s="193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4" t="s">
        <v>29</v>
      </c>
      <c r="L161" s="194" t="s">
        <v>95</v>
      </c>
      <c r="M161" s="194" t="s">
        <v>94</v>
      </c>
      <c r="N161" s="194" t="s">
        <v>12</v>
      </c>
      <c r="O161" s="194" t="s">
        <v>13</v>
      </c>
      <c r="Q161" s="193">
        <v>8</v>
      </c>
      <c r="R161" s="193">
        <v>6</v>
      </c>
      <c r="S161" s="193">
        <v>17</v>
      </c>
      <c r="T161" s="193">
        <v>4</v>
      </c>
      <c r="U161" s="193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93">
        <v>158</v>
      </c>
      <c r="K162" s="194" t="s">
        <v>31</v>
      </c>
      <c r="L162" s="194" t="s">
        <v>31</v>
      </c>
      <c r="M162" s="194" t="s">
        <v>82</v>
      </c>
      <c r="N162" s="194" t="s">
        <v>79</v>
      </c>
      <c r="O162" s="194" t="s">
        <v>13</v>
      </c>
      <c r="Q162" s="193">
        <v>7</v>
      </c>
      <c r="R162" s="193">
        <v>7</v>
      </c>
      <c r="S162" s="193">
        <v>16</v>
      </c>
      <c r="T162" s="193">
        <v>12</v>
      </c>
      <c r="U162" s="193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4" t="s">
        <v>95</v>
      </c>
      <c r="L163" s="194" t="s">
        <v>82</v>
      </c>
      <c r="M163" s="194" t="s">
        <v>94</v>
      </c>
      <c r="N163" s="194" t="s">
        <v>13</v>
      </c>
      <c r="O163" s="194" t="s">
        <v>30</v>
      </c>
      <c r="Q163" s="193">
        <v>6</v>
      </c>
      <c r="R163" s="193">
        <v>16</v>
      </c>
      <c r="S163" s="193">
        <v>17</v>
      </c>
      <c r="T163" s="193">
        <v>5</v>
      </c>
      <c r="U163" s="193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93">
        <v>160</v>
      </c>
      <c r="K164" s="194" t="s">
        <v>13</v>
      </c>
      <c r="L164" s="194" t="s">
        <v>31</v>
      </c>
      <c r="M164" s="194" t="s">
        <v>81</v>
      </c>
      <c r="N164" s="194" t="s">
        <v>15</v>
      </c>
      <c r="O164" s="194" t="s">
        <v>16</v>
      </c>
      <c r="Q164" s="193">
        <v>5</v>
      </c>
      <c r="R164" s="193">
        <v>7</v>
      </c>
      <c r="S164" s="193">
        <v>14</v>
      </c>
      <c r="T164" s="193">
        <v>2</v>
      </c>
      <c r="U164" s="193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4" t="s">
        <v>29</v>
      </c>
      <c r="L165" s="194" t="s">
        <v>78</v>
      </c>
      <c r="M165" s="194" t="s">
        <v>94</v>
      </c>
      <c r="N165" s="194" t="s">
        <v>29</v>
      </c>
      <c r="O165" s="194" t="s">
        <v>29</v>
      </c>
      <c r="Q165" s="193">
        <v>8</v>
      </c>
      <c r="R165" s="193">
        <v>11</v>
      </c>
      <c r="S165" s="193">
        <v>17</v>
      </c>
      <c r="T165" s="193">
        <v>8</v>
      </c>
      <c r="U165" s="193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93">
        <v>162</v>
      </c>
      <c r="K166" s="194" t="s">
        <v>31</v>
      </c>
      <c r="L166" s="194" t="s">
        <v>28</v>
      </c>
      <c r="M166" s="194" t="s">
        <v>81</v>
      </c>
      <c r="N166" s="194" t="s">
        <v>16</v>
      </c>
      <c r="O166" s="194" t="s">
        <v>16</v>
      </c>
      <c r="Q166" s="193">
        <v>7</v>
      </c>
      <c r="R166" s="193">
        <v>9</v>
      </c>
      <c r="S166" s="193">
        <v>14</v>
      </c>
      <c r="T166" s="193">
        <v>3</v>
      </c>
      <c r="U166" s="193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4" t="s">
        <v>29</v>
      </c>
      <c r="L167" s="194" t="s">
        <v>29</v>
      </c>
      <c r="M167" s="194" t="s">
        <v>82</v>
      </c>
      <c r="N167" s="194" t="s">
        <v>13</v>
      </c>
      <c r="O167" s="194" t="s">
        <v>16</v>
      </c>
      <c r="Q167" s="193">
        <v>8</v>
      </c>
      <c r="R167" s="193">
        <v>8</v>
      </c>
      <c r="S167" s="193">
        <v>16</v>
      </c>
      <c r="T167" s="193">
        <v>5</v>
      </c>
      <c r="U167" s="193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93">
        <v>164</v>
      </c>
      <c r="K168" s="194" t="s">
        <v>13</v>
      </c>
      <c r="L168" s="194" t="s">
        <v>81</v>
      </c>
      <c r="M168" s="194" t="s">
        <v>94</v>
      </c>
      <c r="N168" s="194" t="s">
        <v>81</v>
      </c>
      <c r="O168" s="194" t="s">
        <v>30</v>
      </c>
      <c r="Q168" s="193">
        <v>5</v>
      </c>
      <c r="R168" s="193">
        <v>14</v>
      </c>
      <c r="S168" s="193">
        <v>17</v>
      </c>
      <c r="T168" s="193">
        <v>14</v>
      </c>
      <c r="U168" s="193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4" t="s">
        <v>13</v>
      </c>
      <c r="L169" s="194" t="s">
        <v>31</v>
      </c>
      <c r="M169" s="194" t="s">
        <v>82</v>
      </c>
      <c r="N169" s="194" t="s">
        <v>30</v>
      </c>
      <c r="O169" s="194" t="s">
        <v>16</v>
      </c>
      <c r="Q169" s="193">
        <v>5</v>
      </c>
      <c r="R169" s="193">
        <v>7</v>
      </c>
      <c r="S169" s="193">
        <v>16</v>
      </c>
      <c r="T169" s="193">
        <v>10</v>
      </c>
      <c r="U169" s="193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93">
        <v>166</v>
      </c>
      <c r="K170" s="194" t="s">
        <v>95</v>
      </c>
      <c r="L170" s="194" t="s">
        <v>94</v>
      </c>
      <c r="M170" s="194" t="s">
        <v>81</v>
      </c>
      <c r="N170" s="194" t="s">
        <v>82</v>
      </c>
      <c r="O170" s="194" t="s">
        <v>95</v>
      </c>
      <c r="Q170" s="193">
        <v>6</v>
      </c>
      <c r="R170" s="193">
        <v>17</v>
      </c>
      <c r="S170" s="193">
        <v>14</v>
      </c>
      <c r="T170" s="193">
        <v>16</v>
      </c>
      <c r="U170" s="193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4" t="s">
        <v>29</v>
      </c>
      <c r="L171" s="194" t="s">
        <v>29</v>
      </c>
      <c r="M171" s="194" t="s">
        <v>82</v>
      </c>
      <c r="N171" s="194" t="s">
        <v>28</v>
      </c>
      <c r="O171" s="194" t="s">
        <v>12</v>
      </c>
      <c r="Q171" s="193">
        <v>8</v>
      </c>
      <c r="R171" s="193">
        <v>8</v>
      </c>
      <c r="S171" s="193">
        <v>16</v>
      </c>
      <c r="T171" s="193">
        <v>9</v>
      </c>
      <c r="U171" s="193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93">
        <v>168</v>
      </c>
      <c r="K172" s="194" t="s">
        <v>95</v>
      </c>
      <c r="L172" s="194" t="s">
        <v>12</v>
      </c>
      <c r="M172" s="194" t="s">
        <v>94</v>
      </c>
      <c r="N172" s="194" t="s">
        <v>15</v>
      </c>
      <c r="O172" s="194" t="s">
        <v>28</v>
      </c>
      <c r="Q172" s="193">
        <v>6</v>
      </c>
      <c r="R172" s="193">
        <v>4</v>
      </c>
      <c r="S172" s="193">
        <v>17</v>
      </c>
      <c r="T172" s="193">
        <v>2</v>
      </c>
      <c r="U172" s="193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4" t="s">
        <v>95</v>
      </c>
      <c r="L173" s="194" t="s">
        <v>95</v>
      </c>
      <c r="M173" s="194" t="s">
        <v>96</v>
      </c>
      <c r="N173" s="194" t="s">
        <v>28</v>
      </c>
      <c r="O173" s="194" t="s">
        <v>12</v>
      </c>
      <c r="Q173" s="193">
        <v>6</v>
      </c>
      <c r="R173" s="193">
        <v>6</v>
      </c>
      <c r="S173" s="193">
        <v>15</v>
      </c>
      <c r="T173" s="193">
        <v>9</v>
      </c>
      <c r="U173" s="193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93">
        <v>170</v>
      </c>
      <c r="K174" s="194" t="s">
        <v>29</v>
      </c>
      <c r="L174" s="194" t="s">
        <v>80</v>
      </c>
      <c r="M174" s="194" t="s">
        <v>94</v>
      </c>
      <c r="N174" s="194" t="s">
        <v>30</v>
      </c>
      <c r="O174" s="194" t="s">
        <v>31</v>
      </c>
      <c r="Q174" s="193">
        <v>8</v>
      </c>
      <c r="R174" s="193">
        <v>13</v>
      </c>
      <c r="S174" s="193">
        <v>17</v>
      </c>
      <c r="T174" s="193">
        <v>10</v>
      </c>
      <c r="U174" s="193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4" t="s">
        <v>29</v>
      </c>
      <c r="L175" s="194" t="s">
        <v>94</v>
      </c>
      <c r="M175" s="194" t="s">
        <v>81</v>
      </c>
      <c r="N175" s="194" t="s">
        <v>12</v>
      </c>
      <c r="O175" s="194" t="s">
        <v>15</v>
      </c>
      <c r="Q175" s="193">
        <v>8</v>
      </c>
      <c r="R175" s="193">
        <v>17</v>
      </c>
      <c r="S175" s="193">
        <v>14</v>
      </c>
      <c r="T175" s="193">
        <v>4</v>
      </c>
      <c r="U175" s="193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93">
        <v>172</v>
      </c>
      <c r="K176" s="194" t="s">
        <v>29</v>
      </c>
      <c r="L176" s="194" t="s">
        <v>95</v>
      </c>
      <c r="M176" s="194" t="s">
        <v>94</v>
      </c>
      <c r="N176" s="194" t="s">
        <v>85</v>
      </c>
      <c r="O176" s="194" t="s">
        <v>28</v>
      </c>
      <c r="Q176" s="193">
        <v>8</v>
      </c>
      <c r="R176" s="193">
        <v>6</v>
      </c>
      <c r="S176" s="193">
        <v>17</v>
      </c>
      <c r="T176" s="193">
        <v>18</v>
      </c>
      <c r="U176" s="193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4" t="s">
        <v>31</v>
      </c>
      <c r="L177" s="194" t="s">
        <v>15</v>
      </c>
      <c r="M177" s="194" t="s">
        <v>96</v>
      </c>
      <c r="N177" s="194" t="s">
        <v>16</v>
      </c>
      <c r="O177" s="194" t="s">
        <v>95</v>
      </c>
      <c r="Q177" s="193">
        <v>7</v>
      </c>
      <c r="R177" s="193">
        <v>2</v>
      </c>
      <c r="S177" s="193">
        <v>15</v>
      </c>
      <c r="T177" s="193">
        <v>3</v>
      </c>
      <c r="U177" s="193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93">
        <v>174</v>
      </c>
      <c r="K178" s="194" t="s">
        <v>31</v>
      </c>
      <c r="L178" s="194" t="s">
        <v>81</v>
      </c>
      <c r="M178" s="194" t="s">
        <v>82</v>
      </c>
      <c r="N178" s="194" t="s">
        <v>28</v>
      </c>
      <c r="O178" s="194" t="s">
        <v>95</v>
      </c>
      <c r="Q178" s="193">
        <v>7</v>
      </c>
      <c r="R178" s="193">
        <v>14</v>
      </c>
      <c r="S178" s="193">
        <v>16</v>
      </c>
      <c r="T178" s="193">
        <v>9</v>
      </c>
      <c r="U178" s="193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4" t="s">
        <v>95</v>
      </c>
      <c r="L179" s="194" t="s">
        <v>31</v>
      </c>
      <c r="M179" s="194" t="s">
        <v>80</v>
      </c>
      <c r="N179" s="194" t="s">
        <v>15</v>
      </c>
      <c r="O179" s="194" t="s">
        <v>12</v>
      </c>
      <c r="Q179" s="193">
        <v>6</v>
      </c>
      <c r="R179" s="193">
        <v>7</v>
      </c>
      <c r="S179" s="193">
        <v>13</v>
      </c>
      <c r="T179" s="193">
        <v>2</v>
      </c>
      <c r="U179" s="193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93">
        <v>176</v>
      </c>
      <c r="K180" s="194" t="s">
        <v>95</v>
      </c>
      <c r="L180" s="194" t="s">
        <v>29</v>
      </c>
      <c r="M180" s="194" t="s">
        <v>94</v>
      </c>
      <c r="N180" s="194" t="s">
        <v>28</v>
      </c>
      <c r="O180" s="194" t="s">
        <v>12</v>
      </c>
      <c r="Q180" s="193">
        <v>6</v>
      </c>
      <c r="R180" s="193">
        <v>8</v>
      </c>
      <c r="S180" s="193">
        <v>17</v>
      </c>
      <c r="T180" s="193">
        <v>9</v>
      </c>
      <c r="U180" s="193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4" t="s">
        <v>13</v>
      </c>
      <c r="L181" s="194" t="s">
        <v>85</v>
      </c>
      <c r="M181" s="194" t="s">
        <v>79</v>
      </c>
      <c r="N181" s="194" t="s">
        <v>29</v>
      </c>
      <c r="O181" s="194" t="s">
        <v>29</v>
      </c>
      <c r="Q181" s="193">
        <v>5</v>
      </c>
      <c r="R181" s="193">
        <v>18</v>
      </c>
      <c r="S181" s="193">
        <v>12</v>
      </c>
      <c r="T181" s="193">
        <v>8</v>
      </c>
      <c r="U181" s="193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3">
        <v>178</v>
      </c>
      <c r="K182" s="194" t="s">
        <v>31</v>
      </c>
      <c r="L182" s="194" t="s">
        <v>29</v>
      </c>
      <c r="M182" s="194" t="s">
        <v>81</v>
      </c>
      <c r="N182" s="194" t="s">
        <v>29</v>
      </c>
      <c r="O182" s="194" t="s">
        <v>30</v>
      </c>
      <c r="Q182" s="193">
        <v>7</v>
      </c>
      <c r="R182" s="193">
        <v>8</v>
      </c>
      <c r="S182" s="193">
        <v>14</v>
      </c>
      <c r="T182" s="193">
        <v>8</v>
      </c>
      <c r="U182" s="193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4" t="s">
        <v>95</v>
      </c>
      <c r="L183" s="194" t="s">
        <v>13</v>
      </c>
      <c r="M183" s="194" t="s">
        <v>96</v>
      </c>
      <c r="N183" s="194" t="s">
        <v>13</v>
      </c>
      <c r="O183" s="194" t="s">
        <v>15</v>
      </c>
      <c r="Q183" s="193">
        <v>6</v>
      </c>
      <c r="R183" s="193">
        <v>5</v>
      </c>
      <c r="S183" s="193">
        <v>15</v>
      </c>
      <c r="T183" s="193">
        <v>5</v>
      </c>
      <c r="U183" s="193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93">
        <v>180</v>
      </c>
      <c r="K184" s="194" t="s">
        <v>31</v>
      </c>
      <c r="L184" s="194" t="s">
        <v>94</v>
      </c>
      <c r="M184" s="194" t="s">
        <v>94</v>
      </c>
      <c r="N184" s="194" t="s">
        <v>12</v>
      </c>
      <c r="O184" s="194" t="s">
        <v>12</v>
      </c>
      <c r="Q184" s="193">
        <v>7</v>
      </c>
      <c r="R184" s="193">
        <v>17</v>
      </c>
      <c r="S184" s="193">
        <v>17</v>
      </c>
      <c r="T184" s="193">
        <v>4</v>
      </c>
      <c r="U184" s="193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4" t="s">
        <v>13</v>
      </c>
      <c r="L185" s="194" t="s">
        <v>80</v>
      </c>
      <c r="M185" s="194" t="s">
        <v>82</v>
      </c>
      <c r="N185" s="194" t="s">
        <v>15</v>
      </c>
      <c r="O185" s="194" t="s">
        <v>30</v>
      </c>
      <c r="Q185" s="193">
        <v>5</v>
      </c>
      <c r="R185" s="193">
        <v>13</v>
      </c>
      <c r="S185" s="193">
        <v>16</v>
      </c>
      <c r="T185" s="193">
        <v>2</v>
      </c>
      <c r="U185" s="193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93">
        <v>182</v>
      </c>
      <c r="K186" s="194" t="s">
        <v>31</v>
      </c>
      <c r="L186" s="194" t="s">
        <v>95</v>
      </c>
      <c r="M186" s="194" t="s">
        <v>81</v>
      </c>
      <c r="N186" s="194" t="s">
        <v>15</v>
      </c>
      <c r="O186" s="194" t="s">
        <v>30</v>
      </c>
      <c r="Q186" s="193">
        <v>7</v>
      </c>
      <c r="R186" s="193">
        <v>6</v>
      </c>
      <c r="S186" s="193">
        <v>14</v>
      </c>
      <c r="T186" s="193">
        <v>2</v>
      </c>
      <c r="U186" s="193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4" t="s">
        <v>95</v>
      </c>
      <c r="L187" s="194" t="s">
        <v>15</v>
      </c>
      <c r="M187" s="194" t="s">
        <v>96</v>
      </c>
      <c r="N187" s="194" t="s">
        <v>12</v>
      </c>
      <c r="O187" s="194" t="s">
        <v>28</v>
      </c>
      <c r="Q187" s="193">
        <v>6</v>
      </c>
      <c r="R187" s="193">
        <v>2</v>
      </c>
      <c r="S187" s="193">
        <v>15</v>
      </c>
      <c r="T187" s="193">
        <v>4</v>
      </c>
      <c r="U187" s="193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93">
        <v>184</v>
      </c>
      <c r="K188" s="194" t="s">
        <v>13</v>
      </c>
      <c r="L188" s="194" t="s">
        <v>96</v>
      </c>
      <c r="M188" s="194" t="s">
        <v>82</v>
      </c>
      <c r="N188" s="194" t="s">
        <v>12</v>
      </c>
      <c r="O188" s="194" t="s">
        <v>30</v>
      </c>
      <c r="Q188" s="193">
        <v>5</v>
      </c>
      <c r="R188" s="193">
        <v>15</v>
      </c>
      <c r="S188" s="193">
        <v>16</v>
      </c>
      <c r="T188" s="193">
        <v>4</v>
      </c>
      <c r="U188" s="193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4" t="s">
        <v>29</v>
      </c>
      <c r="L189" s="194" t="s">
        <v>95</v>
      </c>
      <c r="M189" s="194" t="s">
        <v>96</v>
      </c>
      <c r="N189" s="194" t="s">
        <v>12</v>
      </c>
      <c r="O189" s="194" t="s">
        <v>12</v>
      </c>
      <c r="Q189" s="193">
        <v>8</v>
      </c>
      <c r="R189" s="193">
        <v>6</v>
      </c>
      <c r="S189" s="193">
        <v>15</v>
      </c>
      <c r="T189" s="193">
        <v>4</v>
      </c>
      <c r="U189" s="193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93">
        <v>186</v>
      </c>
      <c r="K190" s="194" t="s">
        <v>31</v>
      </c>
      <c r="L190" s="194" t="s">
        <v>95</v>
      </c>
      <c r="M190" s="194" t="s">
        <v>81</v>
      </c>
      <c r="N190" s="194" t="s">
        <v>30</v>
      </c>
      <c r="O190" s="194" t="s">
        <v>12</v>
      </c>
      <c r="Q190" s="193">
        <v>7</v>
      </c>
      <c r="R190" s="193">
        <v>6</v>
      </c>
      <c r="S190" s="193">
        <v>14</v>
      </c>
      <c r="T190" s="193">
        <v>10</v>
      </c>
      <c r="U190" s="193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4" t="s">
        <v>29</v>
      </c>
      <c r="L191" s="194" t="s">
        <v>31</v>
      </c>
      <c r="M191" s="194" t="s">
        <v>94</v>
      </c>
      <c r="N191" s="194" t="s">
        <v>31</v>
      </c>
      <c r="O191" s="194" t="s">
        <v>13</v>
      </c>
      <c r="Q191" s="193">
        <v>8</v>
      </c>
      <c r="R191" s="193">
        <v>7</v>
      </c>
      <c r="S191" s="193">
        <v>17</v>
      </c>
      <c r="T191" s="193">
        <v>7</v>
      </c>
      <c r="U191" s="193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93">
        <v>188</v>
      </c>
      <c r="K192" s="194" t="s">
        <v>13</v>
      </c>
      <c r="L192" s="194" t="s">
        <v>82</v>
      </c>
      <c r="M192" s="194" t="s">
        <v>81</v>
      </c>
      <c r="N192" s="194" t="s">
        <v>15</v>
      </c>
      <c r="O192" s="194" t="s">
        <v>31</v>
      </c>
      <c r="Q192" s="193">
        <v>5</v>
      </c>
      <c r="R192" s="193">
        <v>16</v>
      </c>
      <c r="S192" s="193">
        <v>14</v>
      </c>
      <c r="T192" s="193">
        <v>2</v>
      </c>
      <c r="U192" s="193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4" t="s">
        <v>13</v>
      </c>
      <c r="L193" s="194" t="s">
        <v>29</v>
      </c>
      <c r="M193" s="194" t="s">
        <v>96</v>
      </c>
      <c r="N193" s="194" t="s">
        <v>28</v>
      </c>
      <c r="O193" s="194" t="s">
        <v>12</v>
      </c>
      <c r="Q193" s="193">
        <v>5</v>
      </c>
      <c r="R193" s="193">
        <v>8</v>
      </c>
      <c r="S193" s="193">
        <v>15</v>
      </c>
      <c r="T193" s="193">
        <v>9</v>
      </c>
      <c r="U193" s="193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93">
        <v>190</v>
      </c>
      <c r="K194" s="194" t="s">
        <v>29</v>
      </c>
      <c r="L194" s="194" t="s">
        <v>29</v>
      </c>
      <c r="M194" s="194" t="s">
        <v>82</v>
      </c>
      <c r="N194" s="194" t="s">
        <v>29</v>
      </c>
      <c r="O194" s="194" t="s">
        <v>30</v>
      </c>
      <c r="Q194" s="193">
        <v>8</v>
      </c>
      <c r="R194" s="193">
        <v>8</v>
      </c>
      <c r="S194" s="193">
        <v>16</v>
      </c>
      <c r="T194" s="193">
        <v>8</v>
      </c>
      <c r="U194" s="193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4" t="s">
        <v>31</v>
      </c>
      <c r="L195" s="194" t="s">
        <v>94</v>
      </c>
      <c r="M195" s="194" t="s">
        <v>81</v>
      </c>
      <c r="N195" s="194" t="s">
        <v>16</v>
      </c>
      <c r="O195" s="194" t="s">
        <v>30</v>
      </c>
      <c r="Q195" s="193">
        <v>7</v>
      </c>
      <c r="R195" s="193">
        <v>17</v>
      </c>
      <c r="S195" s="193">
        <v>14</v>
      </c>
      <c r="T195" s="193">
        <v>3</v>
      </c>
      <c r="U195" s="193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93">
        <v>192</v>
      </c>
      <c r="K196" s="194" t="s">
        <v>95</v>
      </c>
      <c r="L196" s="194" t="s">
        <v>79</v>
      </c>
      <c r="M196" s="194" t="s">
        <v>94</v>
      </c>
      <c r="N196" s="194" t="s">
        <v>30</v>
      </c>
      <c r="O196" s="194" t="s">
        <v>28</v>
      </c>
      <c r="Q196" s="193">
        <v>6</v>
      </c>
      <c r="R196" s="193">
        <v>12</v>
      </c>
      <c r="S196" s="193">
        <v>17</v>
      </c>
      <c r="T196" s="193">
        <v>10</v>
      </c>
      <c r="U196" s="193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4" t="s">
        <v>13</v>
      </c>
      <c r="L197" s="194" t="s">
        <v>14</v>
      </c>
      <c r="M197" s="194" t="s">
        <v>78</v>
      </c>
      <c r="N197" s="194" t="s">
        <v>28</v>
      </c>
      <c r="O197" s="194" t="s">
        <v>12</v>
      </c>
      <c r="Q197" s="193">
        <v>5</v>
      </c>
      <c r="R197" s="193">
        <v>1</v>
      </c>
      <c r="S197" s="193">
        <v>11</v>
      </c>
      <c r="T197" s="193">
        <v>9</v>
      </c>
      <c r="U197" s="193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93">
        <v>194</v>
      </c>
      <c r="K198" s="194" t="s">
        <v>13</v>
      </c>
      <c r="L198" s="194" t="s">
        <v>95</v>
      </c>
      <c r="M198" s="194" t="s">
        <v>96</v>
      </c>
      <c r="N198" s="194" t="s">
        <v>30</v>
      </c>
      <c r="O198" s="194" t="s">
        <v>28</v>
      </c>
      <c r="Q198" s="193">
        <v>5</v>
      </c>
      <c r="R198" s="193">
        <v>6</v>
      </c>
      <c r="S198" s="193">
        <v>15</v>
      </c>
      <c r="T198" s="193">
        <v>10</v>
      </c>
      <c r="U198" s="193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4" t="s">
        <v>31</v>
      </c>
      <c r="L199" s="194" t="s">
        <v>81</v>
      </c>
      <c r="M199" s="194" t="s">
        <v>82</v>
      </c>
      <c r="N199" s="194" t="s">
        <v>14</v>
      </c>
      <c r="O199" s="194" t="s">
        <v>28</v>
      </c>
      <c r="Q199" s="193">
        <v>7</v>
      </c>
      <c r="R199" s="193">
        <v>14</v>
      </c>
      <c r="S199" s="193">
        <v>16</v>
      </c>
      <c r="T199" s="193">
        <v>1</v>
      </c>
      <c r="U199" s="193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93">
        <v>196</v>
      </c>
      <c r="K200" s="194" t="s">
        <v>13</v>
      </c>
      <c r="L200" s="194" t="s">
        <v>12</v>
      </c>
      <c r="M200" s="194" t="s">
        <v>96</v>
      </c>
      <c r="N200" s="194" t="s">
        <v>13</v>
      </c>
      <c r="O200" s="194" t="s">
        <v>31</v>
      </c>
      <c r="Q200" s="193">
        <v>5</v>
      </c>
      <c r="R200" s="193">
        <v>4</v>
      </c>
      <c r="S200" s="193">
        <v>15</v>
      </c>
      <c r="T200" s="193">
        <v>5</v>
      </c>
      <c r="U200" s="193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4" t="s">
        <v>31</v>
      </c>
      <c r="L201" s="194" t="s">
        <v>12</v>
      </c>
      <c r="M201" s="194" t="s">
        <v>82</v>
      </c>
      <c r="N201" s="194" t="s">
        <v>29</v>
      </c>
      <c r="O201" s="194" t="s">
        <v>15</v>
      </c>
      <c r="Q201" s="193">
        <v>7</v>
      </c>
      <c r="R201" s="193">
        <v>4</v>
      </c>
      <c r="S201" s="193">
        <v>16</v>
      </c>
      <c r="T201" s="193">
        <v>8</v>
      </c>
      <c r="U201" s="193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93">
        <v>198</v>
      </c>
      <c r="K202" s="194" t="s">
        <v>13</v>
      </c>
      <c r="L202" s="194" t="s">
        <v>81</v>
      </c>
      <c r="M202" s="194" t="s">
        <v>96</v>
      </c>
      <c r="N202" s="194" t="s">
        <v>96</v>
      </c>
      <c r="O202" s="194" t="s">
        <v>13</v>
      </c>
      <c r="Q202" s="193">
        <v>5</v>
      </c>
      <c r="R202" s="193">
        <v>14</v>
      </c>
      <c r="S202" s="193">
        <v>15</v>
      </c>
      <c r="T202" s="193">
        <v>15</v>
      </c>
      <c r="U202" s="193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4" t="s">
        <v>31</v>
      </c>
      <c r="L203" s="194" t="s">
        <v>95</v>
      </c>
      <c r="M203" s="194" t="s">
        <v>82</v>
      </c>
      <c r="N203" s="194" t="s">
        <v>29</v>
      </c>
      <c r="O203" s="194" t="s">
        <v>30</v>
      </c>
      <c r="Q203" s="193">
        <v>7</v>
      </c>
      <c r="R203" s="193">
        <v>6</v>
      </c>
      <c r="S203" s="193">
        <v>16</v>
      </c>
      <c r="T203" s="193">
        <v>8</v>
      </c>
      <c r="U203" s="193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2" priority="78">
      <formula>_xlfn.LET(_xlpm.x, W4, AND(NOT(_xlfn.ISFORMULA(_xlpm.x)), _xlpm.x&lt;&gt;""))</formula>
    </cfRule>
  </conditionalFormatting>
  <conditionalFormatting sqref="W5:AA203 X4:AA4">
    <cfRule type="expression" dxfId="131" priority="73">
      <formula>_xlfn.LET(_xlpm.x, W4, AND(NOT(_xlfn.ISFORMULA(_xlpm.x)), _xlpm.x&lt;&gt;""))</formula>
    </cfRule>
  </conditionalFormatting>
  <conditionalFormatting sqref="W4:AA203">
    <cfRule type="expression" dxfId="130" priority="23">
      <formula>_xlfn.LET(_xlpm.x, W4, AND(NOT(_xlfn.ISFORMULA(_xlpm.x)), _xlpm.x&lt;&gt;""))</formula>
    </cfRule>
  </conditionalFormatting>
  <conditionalFormatting sqref="K1:K1048576">
    <cfRule type="cellIs" dxfId="129" priority="19" operator="equal">
      <formula>"C1"</formula>
    </cfRule>
    <cfRule type="cellIs" dxfId="128" priority="20" operator="between">
      <formula>"G1"</formula>
      <formula>"G5"</formula>
    </cfRule>
    <cfRule type="cellIs" dxfId="127" priority="22" operator="between">
      <formula>"M1"</formula>
      <formula>"M5"</formula>
    </cfRule>
  </conditionalFormatting>
  <conditionalFormatting sqref="L1:O1048576">
    <cfRule type="cellIs" dxfId="126" priority="15" operator="equal">
      <formula>"C1"</formula>
    </cfRule>
    <cfRule type="cellIs" dxfId="125" priority="16" operator="between">
      <formula>"G1"</formula>
      <formula>"G5"</formula>
    </cfRule>
    <cfRule type="cellIs" dxfId="124" priority="18" operator="between">
      <formula>"M1"</formula>
      <formula>"M5"</formula>
    </cfRule>
  </conditionalFormatting>
  <conditionalFormatting sqref="C28:G28 D27:G27 C29 C31:G46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23" priority="10" operator="equal">
      <formula>"C1"</formula>
    </cfRule>
    <cfRule type="cellIs" dxfId="122" priority="11" operator="between">
      <formula>"G1"</formula>
      <formula>"G4"</formula>
    </cfRule>
    <cfRule type="cellIs" dxfId="121" priority="12" operator="between">
      <formula>"GA"</formula>
      <formula>"GQ"</formula>
    </cfRule>
    <cfRule type="cellIs" dxfId="120" priority="13" operator="between">
      <formula>"M1"</formula>
      <formula>"M4"</formula>
    </cfRule>
  </conditionalFormatting>
  <conditionalFormatting sqref="E52:E54">
    <cfRule type="cellIs" dxfId="119" priority="6" operator="equal">
      <formula>"C1"</formula>
    </cfRule>
    <cfRule type="cellIs" dxfId="118" priority="7" operator="between">
      <formula>"G1"</formula>
      <formula>"G4"</formula>
    </cfRule>
    <cfRule type="cellIs" dxfId="117" priority="8" operator="between">
      <formula>"GA"</formula>
      <formula>"GQ"</formula>
    </cfRule>
    <cfRule type="cellIs" dxfId="116" priority="9" operator="between">
      <formula>"M1"</formula>
      <formula>"M4"</formula>
    </cfRule>
  </conditionalFormatting>
  <conditionalFormatting sqref="F52:F54">
    <cfRule type="cellIs" dxfId="115" priority="2" operator="equal">
      <formula>"C1"</formula>
    </cfRule>
    <cfRule type="cellIs" dxfId="114" priority="3" operator="between">
      <formula>"G1"</formula>
      <formula>"G4"</formula>
    </cfRule>
    <cfRule type="cellIs" dxfId="113" priority="4" operator="between">
      <formula>"GA"</formula>
      <formula>"GQ"</formula>
    </cfRule>
    <cfRule type="cellIs" dxfId="112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C29 C31:G46 G29:G30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1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17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290</v>
      </c>
      <c r="W2" s="25" t="s">
        <v>99</v>
      </c>
      <c r="AC2" s="25" t="s">
        <v>292</v>
      </c>
      <c r="AH2" s="5"/>
      <c r="AI2" s="5"/>
      <c r="AJ2" s="25" t="s">
        <v>93</v>
      </c>
      <c r="AO2" s="5"/>
    </row>
    <row r="3" spans="1:41" ht="15.9" customHeight="1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297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201" t="s">
        <v>293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294</v>
      </c>
      <c r="AH4" s="5"/>
      <c r="AI4" s="5"/>
      <c r="AJ4" s="25" t="s">
        <v>294</v>
      </c>
      <c r="AO4" s="5"/>
    </row>
    <row r="5" spans="1:41" ht="15.9" customHeight="1">
      <c r="A5" s="201" t="s">
        <v>14</v>
      </c>
      <c r="B5" s="199" t="s">
        <v>39</v>
      </c>
      <c r="C5" s="201">
        <v>6</v>
      </c>
      <c r="D5" s="201">
        <v>6</v>
      </c>
      <c r="E5" s="201">
        <v>6</v>
      </c>
      <c r="F5" s="201">
        <v>9</v>
      </c>
      <c r="G5" s="201">
        <v>9</v>
      </c>
      <c r="H5" s="199">
        <v>1</v>
      </c>
      <c r="I5" s="82"/>
      <c r="J5" s="193">
        <v>1</v>
      </c>
      <c r="K5" s="194" t="s">
        <v>29</v>
      </c>
      <c r="L5" s="194" t="s">
        <v>87</v>
      </c>
      <c r="M5" s="194" t="s">
        <v>16</v>
      </c>
      <c r="N5" s="194" t="s">
        <v>31</v>
      </c>
      <c r="O5" s="194" t="s">
        <v>30</v>
      </c>
      <c r="Q5" s="193">
        <v>8</v>
      </c>
      <c r="R5" s="193">
        <v>19</v>
      </c>
      <c r="S5" s="193">
        <v>3</v>
      </c>
      <c r="T5" s="193">
        <v>7</v>
      </c>
      <c r="U5" s="193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>
      <c r="A6" s="200" t="s">
        <v>15</v>
      </c>
      <c r="B6" s="134" t="s">
        <v>15</v>
      </c>
      <c r="C6" s="200">
        <v>4</v>
      </c>
      <c r="D6" s="200">
        <v>14</v>
      </c>
      <c r="E6" s="200">
        <v>4</v>
      </c>
      <c r="F6" s="200">
        <v>21</v>
      </c>
      <c r="G6" s="200">
        <v>22</v>
      </c>
      <c r="H6" s="134">
        <v>2</v>
      </c>
      <c r="I6" s="82"/>
      <c r="J6" s="23">
        <v>2</v>
      </c>
      <c r="K6" s="194" t="s">
        <v>29</v>
      </c>
      <c r="L6" s="194" t="s">
        <v>79</v>
      </c>
      <c r="M6" s="194" t="s">
        <v>14</v>
      </c>
      <c r="N6" s="194" t="s">
        <v>30</v>
      </c>
      <c r="O6" s="194" t="s">
        <v>14</v>
      </c>
      <c r="Q6" s="193">
        <v>8</v>
      </c>
      <c r="R6" s="193">
        <v>12</v>
      </c>
      <c r="S6" s="193">
        <v>1</v>
      </c>
      <c r="T6" s="193">
        <v>10</v>
      </c>
      <c r="U6" s="193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99" t="s">
        <v>293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293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>
      <c r="A7" s="200" t="s">
        <v>16</v>
      </c>
      <c r="B7" s="134" t="s">
        <v>16</v>
      </c>
      <c r="C7" s="200">
        <v>4</v>
      </c>
      <c r="D7" s="200">
        <v>13</v>
      </c>
      <c r="E7" s="200">
        <v>4</v>
      </c>
      <c r="F7" s="200">
        <v>20</v>
      </c>
      <c r="G7" s="200">
        <v>22</v>
      </c>
      <c r="H7" s="134">
        <v>3</v>
      </c>
      <c r="I7" s="82"/>
      <c r="J7" s="193">
        <v>3</v>
      </c>
      <c r="K7" s="194" t="s">
        <v>95</v>
      </c>
      <c r="L7" s="24" t="s">
        <v>95</v>
      </c>
      <c r="M7" s="194" t="s">
        <v>29</v>
      </c>
      <c r="N7" s="194" t="s">
        <v>16</v>
      </c>
      <c r="O7" s="194" t="s">
        <v>16</v>
      </c>
      <c r="Q7" s="193">
        <v>6</v>
      </c>
      <c r="R7" s="193">
        <v>6</v>
      </c>
      <c r="S7" s="193">
        <v>8</v>
      </c>
      <c r="T7" s="193">
        <v>3</v>
      </c>
      <c r="U7" s="193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99" t="s">
        <v>14</v>
      </c>
      <c r="AD7" s="201">
        <v>0</v>
      </c>
      <c r="AE7" s="201">
        <v>6</v>
      </c>
      <c r="AF7" s="201">
        <v>0</v>
      </c>
      <c r="AG7" s="201">
        <v>9</v>
      </c>
      <c r="AH7" s="201">
        <v>0</v>
      </c>
      <c r="AI7" s="5"/>
      <c r="AJ7" s="199" t="s">
        <v>14</v>
      </c>
      <c r="AK7" s="199">
        <v>0</v>
      </c>
      <c r="AL7" s="199">
        <v>6</v>
      </c>
      <c r="AM7" s="199">
        <v>0</v>
      </c>
      <c r="AN7" s="199">
        <v>9</v>
      </c>
      <c r="AO7" s="199">
        <v>0</v>
      </c>
    </row>
    <row r="8" spans="1:41" ht="15.9" customHeight="1">
      <c r="A8" s="200" t="s">
        <v>12</v>
      </c>
      <c r="B8" s="134" t="s">
        <v>12</v>
      </c>
      <c r="C8" s="200">
        <v>4</v>
      </c>
      <c r="D8" s="200">
        <v>13</v>
      </c>
      <c r="E8" s="200">
        <v>4</v>
      </c>
      <c r="F8" s="200">
        <v>20</v>
      </c>
      <c r="G8" s="200">
        <v>21</v>
      </c>
      <c r="H8" s="134">
        <v>4</v>
      </c>
      <c r="I8" s="82"/>
      <c r="J8" s="23">
        <v>4</v>
      </c>
      <c r="K8" s="194" t="s">
        <v>29</v>
      </c>
      <c r="L8" s="194" t="s">
        <v>95</v>
      </c>
      <c r="M8" s="194" t="s">
        <v>13</v>
      </c>
      <c r="N8" s="194" t="s">
        <v>80</v>
      </c>
      <c r="O8" s="194" t="s">
        <v>16</v>
      </c>
      <c r="Q8" s="193">
        <v>8</v>
      </c>
      <c r="R8" s="193">
        <v>6</v>
      </c>
      <c r="S8" s="193">
        <v>5</v>
      </c>
      <c r="T8" s="193">
        <v>13</v>
      </c>
      <c r="U8" s="193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34" t="s">
        <v>15</v>
      </c>
      <c r="AD8" s="200">
        <v>4</v>
      </c>
      <c r="AE8" s="200">
        <v>14</v>
      </c>
      <c r="AF8" s="200">
        <v>4</v>
      </c>
      <c r="AG8" s="200">
        <v>21</v>
      </c>
      <c r="AH8" s="200">
        <v>22</v>
      </c>
      <c r="AI8" s="5"/>
      <c r="AJ8" s="134" t="s">
        <v>15</v>
      </c>
      <c r="AK8" s="200">
        <v>4</v>
      </c>
      <c r="AL8" s="200">
        <v>14</v>
      </c>
      <c r="AM8" s="200">
        <v>4</v>
      </c>
      <c r="AN8" s="200">
        <v>21</v>
      </c>
      <c r="AO8" s="200">
        <v>22</v>
      </c>
    </row>
    <row r="9" spans="1:41" ht="15.9" customHeight="1">
      <c r="A9" s="200" t="s">
        <v>13</v>
      </c>
      <c r="B9" s="134" t="s">
        <v>13</v>
      </c>
      <c r="C9" s="200">
        <v>40</v>
      </c>
      <c r="D9" s="200">
        <v>9</v>
      </c>
      <c r="E9" s="200">
        <v>41</v>
      </c>
      <c r="F9" s="200">
        <v>14</v>
      </c>
      <c r="G9" s="200">
        <v>21</v>
      </c>
      <c r="H9" s="134">
        <v>5</v>
      </c>
      <c r="I9" s="82"/>
      <c r="J9" s="193">
        <v>5</v>
      </c>
      <c r="K9" s="194" t="s">
        <v>31</v>
      </c>
      <c r="L9" s="194" t="s">
        <v>94</v>
      </c>
      <c r="M9" s="194" t="s">
        <v>31</v>
      </c>
      <c r="N9" s="194" t="s">
        <v>30</v>
      </c>
      <c r="O9" s="194" t="s">
        <v>30</v>
      </c>
      <c r="Q9" s="193">
        <v>7</v>
      </c>
      <c r="R9" s="193">
        <v>17</v>
      </c>
      <c r="S9" s="193">
        <v>7</v>
      </c>
      <c r="T9" s="193">
        <v>10</v>
      </c>
      <c r="U9" s="193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34" t="s">
        <v>16</v>
      </c>
      <c r="AD9" s="200">
        <v>4</v>
      </c>
      <c r="AE9" s="200">
        <v>13</v>
      </c>
      <c r="AF9" s="200">
        <v>4</v>
      </c>
      <c r="AG9" s="200">
        <v>20</v>
      </c>
      <c r="AH9" s="200">
        <v>22</v>
      </c>
      <c r="AI9" s="5"/>
      <c r="AJ9" s="134" t="s">
        <v>16</v>
      </c>
      <c r="AK9" s="200">
        <v>4</v>
      </c>
      <c r="AL9" s="200">
        <v>13</v>
      </c>
      <c r="AM9" s="200">
        <v>4</v>
      </c>
      <c r="AN9" s="200">
        <v>20</v>
      </c>
      <c r="AO9" s="200">
        <v>22</v>
      </c>
    </row>
    <row r="10" spans="1:41" ht="15.9" customHeight="1">
      <c r="A10" s="200" t="s">
        <v>95</v>
      </c>
      <c r="B10" s="134" t="s">
        <v>95</v>
      </c>
      <c r="C10" s="200">
        <v>40</v>
      </c>
      <c r="D10" s="200">
        <v>13</v>
      </c>
      <c r="E10" s="200">
        <v>41</v>
      </c>
      <c r="F10" s="200">
        <v>14</v>
      </c>
      <c r="G10" s="200">
        <v>21</v>
      </c>
      <c r="H10" s="134">
        <v>6</v>
      </c>
      <c r="I10" s="82"/>
      <c r="J10" s="23">
        <v>6</v>
      </c>
      <c r="K10" s="194" t="s">
        <v>95</v>
      </c>
      <c r="L10" s="194" t="s">
        <v>95</v>
      </c>
      <c r="M10" s="194" t="s">
        <v>13</v>
      </c>
      <c r="N10" s="194" t="s">
        <v>30</v>
      </c>
      <c r="O10" s="194" t="s">
        <v>13</v>
      </c>
      <c r="Q10" s="193">
        <v>6</v>
      </c>
      <c r="R10" s="193">
        <v>6</v>
      </c>
      <c r="S10" s="193">
        <v>5</v>
      </c>
      <c r="T10" s="193">
        <v>10</v>
      </c>
      <c r="U10" s="193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34" t="s">
        <v>12</v>
      </c>
      <c r="AD10" s="200">
        <v>4</v>
      </c>
      <c r="AE10" s="200">
        <v>13</v>
      </c>
      <c r="AF10" s="200">
        <v>4</v>
      </c>
      <c r="AG10" s="200">
        <v>20</v>
      </c>
      <c r="AH10" s="200">
        <v>21</v>
      </c>
      <c r="AI10" s="5"/>
      <c r="AJ10" s="134" t="s">
        <v>12</v>
      </c>
      <c r="AK10" s="200">
        <v>4</v>
      </c>
      <c r="AL10" s="200">
        <v>13</v>
      </c>
      <c r="AM10" s="200">
        <v>4</v>
      </c>
      <c r="AN10" s="200">
        <v>20</v>
      </c>
      <c r="AO10" s="200">
        <v>21</v>
      </c>
    </row>
    <row r="11" spans="1:41" ht="15.9" customHeight="1">
      <c r="A11" s="200" t="s">
        <v>31</v>
      </c>
      <c r="B11" s="134" t="s">
        <v>31</v>
      </c>
      <c r="C11" s="200">
        <v>47</v>
      </c>
      <c r="D11" s="200">
        <v>10</v>
      </c>
      <c r="E11" s="200">
        <v>41</v>
      </c>
      <c r="F11" s="200">
        <v>14</v>
      </c>
      <c r="G11" s="200">
        <v>21</v>
      </c>
      <c r="H11" s="134">
        <v>7</v>
      </c>
      <c r="I11" s="82"/>
      <c r="J11" s="193">
        <v>7</v>
      </c>
      <c r="K11" s="194" t="s">
        <v>95</v>
      </c>
      <c r="L11" s="194" t="s">
        <v>95</v>
      </c>
      <c r="M11" s="194" t="s">
        <v>31</v>
      </c>
      <c r="N11" s="194" t="s">
        <v>31</v>
      </c>
      <c r="O11" s="194" t="s">
        <v>95</v>
      </c>
      <c r="Q11" s="193">
        <v>6</v>
      </c>
      <c r="R11" s="193">
        <v>6</v>
      </c>
      <c r="S11" s="193">
        <v>7</v>
      </c>
      <c r="T11" s="193">
        <v>7</v>
      </c>
      <c r="U11" s="193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34" t="s">
        <v>13</v>
      </c>
      <c r="AD11" s="200">
        <v>40</v>
      </c>
      <c r="AE11" s="200">
        <v>9</v>
      </c>
      <c r="AF11" s="200">
        <v>41</v>
      </c>
      <c r="AG11" s="200">
        <v>14</v>
      </c>
      <c r="AH11" s="200">
        <v>21</v>
      </c>
      <c r="AI11" s="5"/>
      <c r="AJ11" s="134" t="s">
        <v>13</v>
      </c>
      <c r="AK11" s="200">
        <v>40</v>
      </c>
      <c r="AL11" s="200">
        <v>9</v>
      </c>
      <c r="AM11" s="200">
        <v>41</v>
      </c>
      <c r="AN11" s="200">
        <v>14</v>
      </c>
      <c r="AO11" s="200">
        <v>21</v>
      </c>
    </row>
    <row r="12" spans="1:41" ht="15.9" customHeight="1">
      <c r="A12" s="200" t="s">
        <v>29</v>
      </c>
      <c r="B12" s="134" t="s">
        <v>29</v>
      </c>
      <c r="C12" s="200">
        <v>47</v>
      </c>
      <c r="D12" s="200">
        <v>10</v>
      </c>
      <c r="E12" s="200">
        <v>41</v>
      </c>
      <c r="F12" s="200">
        <v>14</v>
      </c>
      <c r="G12" s="200">
        <v>21</v>
      </c>
      <c r="H12" s="134">
        <v>8</v>
      </c>
      <c r="I12" s="82"/>
      <c r="J12" s="23">
        <v>8</v>
      </c>
      <c r="K12" s="194" t="s">
        <v>31</v>
      </c>
      <c r="L12" s="194" t="s">
        <v>79</v>
      </c>
      <c r="M12" s="194" t="s">
        <v>96</v>
      </c>
      <c r="N12" s="194" t="s">
        <v>12</v>
      </c>
      <c r="O12" s="194" t="s">
        <v>28</v>
      </c>
      <c r="Q12" s="193">
        <v>7</v>
      </c>
      <c r="R12" s="193">
        <v>12</v>
      </c>
      <c r="S12" s="193">
        <v>15</v>
      </c>
      <c r="T12" s="193">
        <v>4</v>
      </c>
      <c r="U12" s="193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34" t="s">
        <v>95</v>
      </c>
      <c r="AD12" s="200">
        <v>40</v>
      </c>
      <c r="AE12" s="200">
        <v>13</v>
      </c>
      <c r="AF12" s="200">
        <v>41</v>
      </c>
      <c r="AG12" s="200">
        <v>14</v>
      </c>
      <c r="AH12" s="200">
        <v>21</v>
      </c>
      <c r="AI12" s="5"/>
      <c r="AJ12" s="134" t="s">
        <v>95</v>
      </c>
      <c r="AK12" s="200">
        <v>40</v>
      </c>
      <c r="AL12" s="200">
        <v>13</v>
      </c>
      <c r="AM12" s="200">
        <v>41</v>
      </c>
      <c r="AN12" s="200">
        <v>14</v>
      </c>
      <c r="AO12" s="200">
        <v>21</v>
      </c>
    </row>
    <row r="13" spans="1:41" ht="15.9" customHeight="1">
      <c r="A13" s="200" t="s">
        <v>28</v>
      </c>
      <c r="B13" s="134" t="s">
        <v>28</v>
      </c>
      <c r="C13" s="200">
        <v>4</v>
      </c>
      <c r="D13" s="200">
        <v>15</v>
      </c>
      <c r="E13" s="200">
        <v>3</v>
      </c>
      <c r="F13" s="200">
        <v>21</v>
      </c>
      <c r="G13" s="200">
        <v>21</v>
      </c>
      <c r="H13" s="134">
        <v>9</v>
      </c>
      <c r="I13" s="82"/>
      <c r="J13" s="193">
        <v>9</v>
      </c>
      <c r="K13" s="194" t="s">
        <v>95</v>
      </c>
      <c r="L13" s="194" t="s">
        <v>14</v>
      </c>
      <c r="M13" s="194" t="s">
        <v>31</v>
      </c>
      <c r="N13" s="194" t="s">
        <v>95</v>
      </c>
      <c r="O13" s="194" t="s">
        <v>28</v>
      </c>
      <c r="Q13" s="193">
        <v>6</v>
      </c>
      <c r="R13" s="193">
        <v>1</v>
      </c>
      <c r="S13" s="193">
        <v>7</v>
      </c>
      <c r="T13" s="193">
        <v>6</v>
      </c>
      <c r="U13" s="193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34" t="s">
        <v>31</v>
      </c>
      <c r="AD13" s="200">
        <v>47</v>
      </c>
      <c r="AE13" s="200">
        <v>10</v>
      </c>
      <c r="AF13" s="200">
        <v>41</v>
      </c>
      <c r="AG13" s="200">
        <v>14</v>
      </c>
      <c r="AH13" s="200">
        <v>21</v>
      </c>
      <c r="AI13" s="5"/>
      <c r="AJ13" s="134" t="s">
        <v>31</v>
      </c>
      <c r="AK13" s="200">
        <v>47</v>
      </c>
      <c r="AL13" s="200">
        <v>10</v>
      </c>
      <c r="AM13" s="200">
        <v>41</v>
      </c>
      <c r="AN13" s="200">
        <v>14</v>
      </c>
      <c r="AO13" s="200">
        <v>21</v>
      </c>
    </row>
    <row r="14" spans="1:41" ht="15.9" customHeight="1">
      <c r="A14" s="200" t="s">
        <v>30</v>
      </c>
      <c r="B14" s="134" t="s">
        <v>30</v>
      </c>
      <c r="C14" s="200">
        <v>4</v>
      </c>
      <c r="D14" s="200">
        <v>17</v>
      </c>
      <c r="E14" s="200">
        <v>3</v>
      </c>
      <c r="F14" s="200">
        <v>21</v>
      </c>
      <c r="G14" s="200">
        <v>21</v>
      </c>
      <c r="H14" s="134">
        <v>10</v>
      </c>
      <c r="I14" s="82"/>
      <c r="J14" s="23">
        <v>10</v>
      </c>
      <c r="K14" s="194" t="s">
        <v>29</v>
      </c>
      <c r="L14" s="194" t="s">
        <v>31</v>
      </c>
      <c r="M14" s="194" t="s">
        <v>29</v>
      </c>
      <c r="N14" s="194" t="s">
        <v>16</v>
      </c>
      <c r="O14" s="194" t="s">
        <v>15</v>
      </c>
      <c r="Q14" s="193">
        <v>8</v>
      </c>
      <c r="R14" s="193">
        <v>7</v>
      </c>
      <c r="S14" s="193">
        <v>8</v>
      </c>
      <c r="T14" s="193">
        <v>3</v>
      </c>
      <c r="U14" s="193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34" t="s">
        <v>29</v>
      </c>
      <c r="AD14" s="200">
        <v>47</v>
      </c>
      <c r="AE14" s="200">
        <v>10</v>
      </c>
      <c r="AF14" s="200">
        <v>41</v>
      </c>
      <c r="AG14" s="200">
        <v>14</v>
      </c>
      <c r="AH14" s="200">
        <v>21</v>
      </c>
      <c r="AI14" s="5"/>
      <c r="AJ14" s="134" t="s">
        <v>29</v>
      </c>
      <c r="AK14" s="200">
        <v>47</v>
      </c>
      <c r="AL14" s="200">
        <v>10</v>
      </c>
      <c r="AM14" s="200">
        <v>41</v>
      </c>
      <c r="AN14" s="200">
        <v>14</v>
      </c>
      <c r="AO14" s="200">
        <v>21</v>
      </c>
    </row>
    <row r="15" spans="1:41" ht="15.9" customHeight="1">
      <c r="A15" s="201" t="s">
        <v>78</v>
      </c>
      <c r="B15" s="199" t="s">
        <v>312</v>
      </c>
      <c r="C15" s="201">
        <v>0</v>
      </c>
      <c r="D15" s="201">
        <v>10</v>
      </c>
      <c r="E15" s="201">
        <v>0</v>
      </c>
      <c r="F15" s="201">
        <v>4</v>
      </c>
      <c r="G15" s="201">
        <v>0</v>
      </c>
      <c r="H15" s="199">
        <v>11</v>
      </c>
      <c r="I15" s="82"/>
      <c r="J15" s="193">
        <v>11</v>
      </c>
      <c r="K15" s="194" t="s">
        <v>95</v>
      </c>
      <c r="L15" s="194" t="s">
        <v>87</v>
      </c>
      <c r="M15" s="194" t="s">
        <v>95</v>
      </c>
      <c r="N15" s="194" t="s">
        <v>12</v>
      </c>
      <c r="O15" s="194" t="s">
        <v>12</v>
      </c>
      <c r="Q15" s="193">
        <v>6</v>
      </c>
      <c r="R15" s="193">
        <v>19</v>
      </c>
      <c r="S15" s="193">
        <v>6</v>
      </c>
      <c r="T15" s="193">
        <v>4</v>
      </c>
      <c r="U15" s="193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34" t="s">
        <v>28</v>
      </c>
      <c r="AD15" s="200">
        <v>4</v>
      </c>
      <c r="AE15" s="200">
        <v>15</v>
      </c>
      <c r="AF15" s="200">
        <v>3</v>
      </c>
      <c r="AG15" s="200">
        <v>21</v>
      </c>
      <c r="AH15" s="200">
        <v>21</v>
      </c>
      <c r="AI15" s="5"/>
      <c r="AJ15" s="134" t="s">
        <v>28</v>
      </c>
      <c r="AK15" s="200">
        <v>4</v>
      </c>
      <c r="AL15" s="200">
        <v>15</v>
      </c>
      <c r="AM15" s="200">
        <v>3</v>
      </c>
      <c r="AN15" s="200">
        <v>21</v>
      </c>
      <c r="AO15" s="200">
        <v>21</v>
      </c>
    </row>
    <row r="16" spans="1:41" ht="15.9" customHeight="1">
      <c r="A16" s="201" t="s">
        <v>79</v>
      </c>
      <c r="B16" s="199" t="s">
        <v>313</v>
      </c>
      <c r="C16" s="201">
        <v>0</v>
      </c>
      <c r="D16" s="201">
        <v>12</v>
      </c>
      <c r="E16" s="201">
        <v>0</v>
      </c>
      <c r="F16" s="201">
        <v>4</v>
      </c>
      <c r="G16" s="201">
        <v>0</v>
      </c>
      <c r="H16" s="199">
        <v>12</v>
      </c>
      <c r="I16" s="82"/>
      <c r="J16" s="23">
        <v>12</v>
      </c>
      <c r="K16" s="194" t="s">
        <v>13</v>
      </c>
      <c r="L16" s="194" t="s">
        <v>85</v>
      </c>
      <c r="M16" s="194" t="s">
        <v>95</v>
      </c>
      <c r="N16" s="194" t="s">
        <v>30</v>
      </c>
      <c r="O16" s="194" t="s">
        <v>12</v>
      </c>
      <c r="Q16" s="193">
        <v>5</v>
      </c>
      <c r="R16" s="193">
        <v>18</v>
      </c>
      <c r="S16" s="193">
        <v>6</v>
      </c>
      <c r="T16" s="193">
        <v>10</v>
      </c>
      <c r="U16" s="193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34" t="s">
        <v>30</v>
      </c>
      <c r="AD16" s="200">
        <v>4</v>
      </c>
      <c r="AE16" s="200">
        <v>17</v>
      </c>
      <c r="AF16" s="200">
        <v>3</v>
      </c>
      <c r="AG16" s="200">
        <v>21</v>
      </c>
      <c r="AH16" s="200">
        <v>21</v>
      </c>
      <c r="AI16" s="5"/>
      <c r="AJ16" s="134" t="s">
        <v>30</v>
      </c>
      <c r="AK16" s="200">
        <v>4</v>
      </c>
      <c r="AL16" s="200">
        <v>17</v>
      </c>
      <c r="AM16" s="200">
        <v>3</v>
      </c>
      <c r="AN16" s="200">
        <v>21</v>
      </c>
      <c r="AO16" s="200">
        <v>21</v>
      </c>
    </row>
    <row r="17" spans="1:41" ht="15.9" customHeight="1">
      <c r="A17" s="201" t="s">
        <v>80</v>
      </c>
      <c r="B17" s="199" t="s">
        <v>314</v>
      </c>
      <c r="C17" s="201">
        <v>0</v>
      </c>
      <c r="D17" s="201">
        <v>12</v>
      </c>
      <c r="E17" s="201">
        <v>0</v>
      </c>
      <c r="F17" s="201">
        <v>4</v>
      </c>
      <c r="G17" s="201">
        <v>0</v>
      </c>
      <c r="H17" s="199">
        <v>13</v>
      </c>
      <c r="I17" s="82"/>
      <c r="J17" s="193">
        <v>13</v>
      </c>
      <c r="K17" s="194" t="s">
        <v>13</v>
      </c>
      <c r="L17" s="194" t="s">
        <v>95</v>
      </c>
      <c r="M17" s="194" t="s">
        <v>15</v>
      </c>
      <c r="N17" s="194" t="s">
        <v>30</v>
      </c>
      <c r="O17" s="194" t="s">
        <v>16</v>
      </c>
      <c r="Q17" s="193">
        <v>5</v>
      </c>
      <c r="R17" s="193">
        <v>6</v>
      </c>
      <c r="S17" s="193">
        <v>2</v>
      </c>
      <c r="T17" s="193">
        <v>10</v>
      </c>
      <c r="U17" s="193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99" t="s">
        <v>78</v>
      </c>
      <c r="AD17" s="201">
        <v>0</v>
      </c>
      <c r="AE17" s="201">
        <v>15</v>
      </c>
      <c r="AF17" s="201">
        <v>0</v>
      </c>
      <c r="AG17" s="201">
        <v>6</v>
      </c>
      <c r="AH17" s="201">
        <v>0</v>
      </c>
      <c r="AI17" s="5"/>
      <c r="AJ17" s="199" t="s">
        <v>78</v>
      </c>
      <c r="AK17" s="201">
        <v>0</v>
      </c>
      <c r="AL17" s="201">
        <v>15</v>
      </c>
      <c r="AM17" s="201">
        <v>0</v>
      </c>
      <c r="AN17" s="201">
        <v>6</v>
      </c>
      <c r="AO17" s="201">
        <v>0</v>
      </c>
    </row>
    <row r="18" spans="1:41" ht="15.9" customHeight="1">
      <c r="A18" s="201" t="s">
        <v>81</v>
      </c>
      <c r="B18" s="199" t="s">
        <v>315</v>
      </c>
      <c r="C18" s="201">
        <v>0</v>
      </c>
      <c r="D18" s="201">
        <v>9</v>
      </c>
      <c r="E18" s="201">
        <v>3</v>
      </c>
      <c r="F18" s="201">
        <v>3</v>
      </c>
      <c r="G18" s="201">
        <v>0</v>
      </c>
      <c r="H18" s="199">
        <v>14</v>
      </c>
      <c r="I18" s="82"/>
      <c r="J18" s="23">
        <v>14</v>
      </c>
      <c r="K18" s="194" t="s">
        <v>95</v>
      </c>
      <c r="L18" s="194" t="s">
        <v>78</v>
      </c>
      <c r="M18" s="194" t="s">
        <v>29</v>
      </c>
      <c r="N18" s="194" t="s">
        <v>29</v>
      </c>
      <c r="O18" s="194" t="s">
        <v>16</v>
      </c>
      <c r="Q18" s="193">
        <v>6</v>
      </c>
      <c r="R18" s="193">
        <v>11</v>
      </c>
      <c r="S18" s="193">
        <v>8</v>
      </c>
      <c r="T18" s="193">
        <v>8</v>
      </c>
      <c r="U18" s="193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99" t="s">
        <v>79</v>
      </c>
      <c r="AD18" s="201">
        <v>0</v>
      </c>
      <c r="AE18" s="201">
        <v>18</v>
      </c>
      <c r="AF18" s="201">
        <v>0</v>
      </c>
      <c r="AG18" s="201">
        <v>6</v>
      </c>
      <c r="AH18" s="201">
        <v>0</v>
      </c>
      <c r="AI18" s="5"/>
      <c r="AJ18" s="199" t="s">
        <v>79</v>
      </c>
      <c r="AK18" s="201">
        <v>0</v>
      </c>
      <c r="AL18" s="201">
        <v>18</v>
      </c>
      <c r="AM18" s="201">
        <v>0</v>
      </c>
      <c r="AN18" s="201">
        <v>6</v>
      </c>
      <c r="AO18" s="201">
        <v>0</v>
      </c>
    </row>
    <row r="19" spans="1:41" ht="15.9" customHeight="1">
      <c r="A19" s="201" t="s">
        <v>96</v>
      </c>
      <c r="B19" s="199" t="s">
        <v>316</v>
      </c>
      <c r="C19" s="201">
        <v>0</v>
      </c>
      <c r="D19" s="201">
        <v>5</v>
      </c>
      <c r="E19" s="201">
        <v>3</v>
      </c>
      <c r="F19" s="201">
        <v>3</v>
      </c>
      <c r="G19" s="201">
        <v>0</v>
      </c>
      <c r="H19" s="199">
        <v>15</v>
      </c>
      <c r="I19" s="82"/>
      <c r="J19" s="193">
        <v>15</v>
      </c>
      <c r="K19" s="194" t="s">
        <v>31</v>
      </c>
      <c r="L19" s="194" t="s">
        <v>16</v>
      </c>
      <c r="M19" s="194" t="s">
        <v>31</v>
      </c>
      <c r="N19" s="194" t="s">
        <v>15</v>
      </c>
      <c r="O19" s="194" t="s">
        <v>31</v>
      </c>
      <c r="Q19" s="193">
        <v>7</v>
      </c>
      <c r="R19" s="193">
        <v>3</v>
      </c>
      <c r="S19" s="193">
        <v>7</v>
      </c>
      <c r="T19" s="193">
        <v>2</v>
      </c>
      <c r="U19" s="193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99" t="s">
        <v>80</v>
      </c>
      <c r="AD19" s="201">
        <v>0</v>
      </c>
      <c r="AE19" s="201">
        <v>18</v>
      </c>
      <c r="AF19" s="201">
        <v>0</v>
      </c>
      <c r="AG19" s="201">
        <v>6</v>
      </c>
      <c r="AH19" s="201">
        <v>0</v>
      </c>
      <c r="AI19" s="5"/>
      <c r="AJ19" s="199" t="s">
        <v>80</v>
      </c>
      <c r="AK19" s="201">
        <v>0</v>
      </c>
      <c r="AL19" s="201">
        <v>18</v>
      </c>
      <c r="AM19" s="201">
        <v>0</v>
      </c>
      <c r="AN19" s="201">
        <v>6</v>
      </c>
      <c r="AO19" s="201">
        <v>0</v>
      </c>
    </row>
    <row r="20" spans="1:41" ht="15.9" customHeight="1">
      <c r="A20" s="201" t="s">
        <v>82</v>
      </c>
      <c r="B20" s="199" t="s">
        <v>317</v>
      </c>
      <c r="C20" s="201">
        <v>0</v>
      </c>
      <c r="D20" s="201">
        <v>7</v>
      </c>
      <c r="E20" s="201">
        <v>3</v>
      </c>
      <c r="F20" s="201">
        <v>3</v>
      </c>
      <c r="G20" s="201">
        <v>0</v>
      </c>
      <c r="H20" s="199">
        <v>16</v>
      </c>
      <c r="I20" s="82"/>
      <c r="J20" s="23">
        <v>16</v>
      </c>
      <c r="K20" s="194" t="s">
        <v>16</v>
      </c>
      <c r="L20" s="194" t="s">
        <v>78</v>
      </c>
      <c r="M20" s="194" t="s">
        <v>15</v>
      </c>
      <c r="N20" s="194" t="s">
        <v>85</v>
      </c>
      <c r="O20" s="194" t="s">
        <v>13</v>
      </c>
      <c r="Q20" s="193">
        <v>3</v>
      </c>
      <c r="R20" s="193">
        <v>11</v>
      </c>
      <c r="S20" s="193">
        <v>2</v>
      </c>
      <c r="T20" s="193">
        <v>18</v>
      </c>
      <c r="U20" s="193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99" t="s">
        <v>81</v>
      </c>
      <c r="AD20" s="201">
        <v>0</v>
      </c>
      <c r="AE20" s="201">
        <v>13</v>
      </c>
      <c r="AF20" s="201">
        <v>4</v>
      </c>
      <c r="AG20" s="201">
        <v>4</v>
      </c>
      <c r="AH20" s="201">
        <v>0</v>
      </c>
      <c r="AI20" s="5"/>
      <c r="AJ20" s="199" t="s">
        <v>81</v>
      </c>
      <c r="AK20" s="201">
        <v>0</v>
      </c>
      <c r="AL20" s="201">
        <v>13</v>
      </c>
      <c r="AM20" s="201">
        <v>4</v>
      </c>
      <c r="AN20" s="201">
        <v>4</v>
      </c>
      <c r="AO20" s="201">
        <v>0</v>
      </c>
    </row>
    <row r="21" spans="1:41" ht="15.9" customHeight="1">
      <c r="A21" s="201" t="s">
        <v>94</v>
      </c>
      <c r="B21" s="199" t="s">
        <v>318</v>
      </c>
      <c r="C21" s="201">
        <v>0</v>
      </c>
      <c r="D21" s="201">
        <v>7</v>
      </c>
      <c r="E21" s="201">
        <v>3</v>
      </c>
      <c r="F21" s="201">
        <v>3</v>
      </c>
      <c r="G21" s="201">
        <v>0</v>
      </c>
      <c r="H21" s="199">
        <v>17</v>
      </c>
      <c r="I21" s="82"/>
      <c r="J21" s="193">
        <v>17</v>
      </c>
      <c r="K21" s="194" t="s">
        <v>31</v>
      </c>
      <c r="L21" s="194" t="s">
        <v>96</v>
      </c>
      <c r="M21" s="194" t="s">
        <v>30</v>
      </c>
      <c r="N21" s="194" t="s">
        <v>28</v>
      </c>
      <c r="O21" s="194" t="s">
        <v>95</v>
      </c>
      <c r="Q21" s="193">
        <v>7</v>
      </c>
      <c r="R21" s="193">
        <v>15</v>
      </c>
      <c r="S21" s="193">
        <v>10</v>
      </c>
      <c r="T21" s="193">
        <v>9</v>
      </c>
      <c r="U21" s="193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99" t="s">
        <v>96</v>
      </c>
      <c r="AD21" s="201">
        <v>0</v>
      </c>
      <c r="AE21" s="201">
        <v>7</v>
      </c>
      <c r="AF21" s="201">
        <v>4</v>
      </c>
      <c r="AG21" s="201">
        <v>4</v>
      </c>
      <c r="AH21" s="201">
        <v>0</v>
      </c>
      <c r="AI21" s="5"/>
      <c r="AJ21" s="199" t="s">
        <v>96</v>
      </c>
      <c r="AK21" s="201">
        <v>0</v>
      </c>
      <c r="AL21" s="201">
        <v>7</v>
      </c>
      <c r="AM21" s="201">
        <v>4</v>
      </c>
      <c r="AN21" s="201">
        <v>4</v>
      </c>
      <c r="AO21" s="201">
        <v>0</v>
      </c>
    </row>
    <row r="22" spans="1:41" ht="15.9" customHeight="1">
      <c r="A22" s="201" t="s">
        <v>85</v>
      </c>
      <c r="B22" s="199" t="s">
        <v>319</v>
      </c>
      <c r="C22" s="201">
        <v>0</v>
      </c>
      <c r="D22" s="201">
        <v>10</v>
      </c>
      <c r="E22" s="201">
        <v>0</v>
      </c>
      <c r="F22" s="201">
        <v>4</v>
      </c>
      <c r="G22" s="201">
        <v>0</v>
      </c>
      <c r="H22" s="199">
        <v>18</v>
      </c>
      <c r="I22" s="82"/>
      <c r="J22" s="23">
        <v>18</v>
      </c>
      <c r="K22" s="194" t="s">
        <v>29</v>
      </c>
      <c r="L22" s="194" t="s">
        <v>95</v>
      </c>
      <c r="M22" s="194" t="s">
        <v>29</v>
      </c>
      <c r="N22" s="194" t="s">
        <v>12</v>
      </c>
      <c r="O22" s="194" t="s">
        <v>15</v>
      </c>
      <c r="Q22" s="193">
        <v>8</v>
      </c>
      <c r="R22" s="193">
        <v>6</v>
      </c>
      <c r="S22" s="193">
        <v>8</v>
      </c>
      <c r="T22" s="193">
        <v>4</v>
      </c>
      <c r="U22" s="193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99" t="s">
        <v>82</v>
      </c>
      <c r="AD22" s="201">
        <v>0</v>
      </c>
      <c r="AE22" s="201">
        <v>10</v>
      </c>
      <c r="AF22" s="201">
        <v>4</v>
      </c>
      <c r="AG22" s="201">
        <v>4</v>
      </c>
      <c r="AH22" s="201">
        <v>0</v>
      </c>
      <c r="AI22" s="5"/>
      <c r="AJ22" s="199" t="s">
        <v>82</v>
      </c>
      <c r="AK22" s="201">
        <v>0</v>
      </c>
      <c r="AL22" s="201">
        <v>10</v>
      </c>
      <c r="AM22" s="201">
        <v>4</v>
      </c>
      <c r="AN22" s="201">
        <v>4</v>
      </c>
      <c r="AO22" s="201">
        <v>0</v>
      </c>
    </row>
    <row r="23" spans="1:41" ht="15.9" customHeight="1">
      <c r="A23" s="201" t="s">
        <v>87</v>
      </c>
      <c r="B23" s="199" t="s">
        <v>320</v>
      </c>
      <c r="C23" s="201">
        <v>0</v>
      </c>
      <c r="D23" s="201">
        <v>8</v>
      </c>
      <c r="E23" s="201">
        <v>0</v>
      </c>
      <c r="F23" s="201">
        <v>4</v>
      </c>
      <c r="G23" s="201">
        <v>0</v>
      </c>
      <c r="H23" s="199">
        <v>19</v>
      </c>
      <c r="I23" s="82"/>
      <c r="J23" s="193">
        <v>19</v>
      </c>
      <c r="K23" s="194" t="s">
        <v>95</v>
      </c>
      <c r="L23" s="194" t="s">
        <v>13</v>
      </c>
      <c r="M23" s="194" t="s">
        <v>95</v>
      </c>
      <c r="N23" s="194" t="s">
        <v>82</v>
      </c>
      <c r="O23" s="194" t="s">
        <v>15</v>
      </c>
      <c r="Q23" s="193">
        <v>6</v>
      </c>
      <c r="R23" s="193">
        <v>5</v>
      </c>
      <c r="S23" s="193">
        <v>6</v>
      </c>
      <c r="T23" s="193">
        <v>16</v>
      </c>
      <c r="U23" s="193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99" t="s">
        <v>94</v>
      </c>
      <c r="AD23" s="201">
        <v>0</v>
      </c>
      <c r="AE23" s="201">
        <v>10</v>
      </c>
      <c r="AF23" s="201">
        <v>4</v>
      </c>
      <c r="AG23" s="201">
        <v>4</v>
      </c>
      <c r="AH23" s="201">
        <v>0</v>
      </c>
      <c r="AI23" s="5"/>
      <c r="AJ23" s="199" t="s">
        <v>94</v>
      </c>
      <c r="AK23" s="201">
        <v>0</v>
      </c>
      <c r="AL23" s="201">
        <v>10</v>
      </c>
      <c r="AM23" s="201">
        <v>4</v>
      </c>
      <c r="AN23" s="201">
        <v>4</v>
      </c>
      <c r="AO23" s="201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31</v>
      </c>
      <c r="L24" s="194" t="s">
        <v>94</v>
      </c>
      <c r="M24" s="194" t="s">
        <v>31</v>
      </c>
      <c r="N24" s="194" t="s">
        <v>28</v>
      </c>
      <c r="O24" s="194" t="s">
        <v>13</v>
      </c>
      <c r="Q24" s="193">
        <v>7</v>
      </c>
      <c r="R24" s="193">
        <v>17</v>
      </c>
      <c r="S24" s="193">
        <v>7</v>
      </c>
      <c r="T24" s="193">
        <v>9</v>
      </c>
      <c r="U24" s="193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99" t="s">
        <v>85</v>
      </c>
      <c r="AD24" s="201">
        <v>0</v>
      </c>
      <c r="AE24" s="201">
        <v>15</v>
      </c>
      <c r="AF24" s="201">
        <v>0</v>
      </c>
      <c r="AG24" s="201">
        <v>6</v>
      </c>
      <c r="AH24" s="201">
        <v>0</v>
      </c>
      <c r="AI24" s="5"/>
      <c r="AJ24" s="199" t="s">
        <v>85</v>
      </c>
      <c r="AK24" s="201">
        <v>0</v>
      </c>
      <c r="AL24" s="201">
        <v>15</v>
      </c>
      <c r="AM24" s="201">
        <v>0</v>
      </c>
      <c r="AN24" s="201">
        <v>6</v>
      </c>
      <c r="AO24" s="201">
        <v>0</v>
      </c>
    </row>
    <row r="25" spans="1:41" ht="16.5" customHeight="1">
      <c r="I25" s="82"/>
      <c r="J25" s="193">
        <v>21</v>
      </c>
      <c r="K25" s="194" t="s">
        <v>29</v>
      </c>
      <c r="L25" s="194" t="s">
        <v>94</v>
      </c>
      <c r="M25" s="194" t="s">
        <v>12</v>
      </c>
      <c r="N25" s="194" t="s">
        <v>15</v>
      </c>
      <c r="O25" s="194" t="s">
        <v>15</v>
      </c>
      <c r="Q25" s="193">
        <v>8</v>
      </c>
      <c r="R25" s="193">
        <v>17</v>
      </c>
      <c r="S25" s="193">
        <v>4</v>
      </c>
      <c r="T25" s="193">
        <v>2</v>
      </c>
      <c r="U25" s="193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99" t="s">
        <v>87</v>
      </c>
      <c r="AD25" s="201">
        <v>0</v>
      </c>
      <c r="AE25" s="201">
        <v>12</v>
      </c>
      <c r="AF25" s="201">
        <v>0</v>
      </c>
      <c r="AG25" s="201">
        <v>6</v>
      </c>
      <c r="AH25" s="201">
        <v>0</v>
      </c>
      <c r="AI25" s="5"/>
      <c r="AJ25" s="199" t="s">
        <v>87</v>
      </c>
      <c r="AK25" s="201">
        <v>0</v>
      </c>
      <c r="AL25" s="201">
        <v>12</v>
      </c>
      <c r="AM25" s="201">
        <v>0</v>
      </c>
      <c r="AN25" s="201">
        <v>6</v>
      </c>
      <c r="AO25" s="201">
        <v>0</v>
      </c>
    </row>
    <row r="26" spans="1:41" ht="16.5" customHeight="1">
      <c r="B26" s="5" t="s">
        <v>298</v>
      </c>
      <c r="C26" s="5">
        <v>1</v>
      </c>
      <c r="D26" s="156">
        <v>0.6</v>
      </c>
      <c r="E26" s="156">
        <v>0.94</v>
      </c>
      <c r="F26" s="156">
        <v>0.84</v>
      </c>
      <c r="G26" s="5">
        <v>1</v>
      </c>
      <c r="I26" s="82"/>
      <c r="J26" s="23">
        <v>22</v>
      </c>
      <c r="K26" s="194" t="s">
        <v>29</v>
      </c>
      <c r="L26" s="194" t="s">
        <v>16</v>
      </c>
      <c r="M26" s="194" t="s">
        <v>29</v>
      </c>
      <c r="N26" s="194" t="s">
        <v>31</v>
      </c>
      <c r="O26" s="194" t="s">
        <v>13</v>
      </c>
      <c r="Q26" s="193">
        <v>8</v>
      </c>
      <c r="R26" s="193">
        <v>3</v>
      </c>
      <c r="S26" s="193">
        <v>8</v>
      </c>
      <c r="T26" s="193">
        <v>7</v>
      </c>
      <c r="U26" s="193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103">
        <v>194</v>
      </c>
      <c r="AE26" s="103">
        <v>238</v>
      </c>
      <c r="AF26" s="103">
        <v>198</v>
      </c>
      <c r="AG26" s="103">
        <v>214</v>
      </c>
      <c r="AH26" s="103">
        <v>191</v>
      </c>
      <c r="AI26" s="5"/>
      <c r="AK26" s="103">
        <v>194</v>
      </c>
      <c r="AL26" s="103">
        <v>238</v>
      </c>
      <c r="AM26" s="103">
        <v>198</v>
      </c>
      <c r="AN26" s="103">
        <v>214</v>
      </c>
      <c r="AO26" s="103">
        <v>191</v>
      </c>
    </row>
    <row r="27" spans="1:41" ht="16.5" customHeight="1">
      <c r="B27" s="5" t="s">
        <v>321</v>
      </c>
      <c r="C27" s="5">
        <v>0</v>
      </c>
      <c r="D27" s="156">
        <v>0.4</v>
      </c>
      <c r="E27" s="156">
        <v>0.06</v>
      </c>
      <c r="F27" s="156">
        <v>0.16</v>
      </c>
      <c r="G27" s="5">
        <v>0</v>
      </c>
      <c r="I27" s="82"/>
      <c r="J27" s="193">
        <v>23</v>
      </c>
      <c r="K27" s="194" t="s">
        <v>29</v>
      </c>
      <c r="L27" s="194" t="s">
        <v>12</v>
      </c>
      <c r="M27" s="194" t="s">
        <v>95</v>
      </c>
      <c r="N27" s="194" t="s">
        <v>14</v>
      </c>
      <c r="O27" s="194" t="s">
        <v>95</v>
      </c>
      <c r="Q27" s="193">
        <v>8</v>
      </c>
      <c r="R27" s="193">
        <v>4</v>
      </c>
      <c r="S27" s="193">
        <v>6</v>
      </c>
      <c r="T27" s="193">
        <v>1</v>
      </c>
      <c r="U27" s="193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82"/>
      <c r="J28" s="23">
        <v>24</v>
      </c>
      <c r="K28" s="194" t="s">
        <v>13</v>
      </c>
      <c r="L28" s="194" t="s">
        <v>80</v>
      </c>
      <c r="M28" s="194" t="s">
        <v>28</v>
      </c>
      <c r="N28" s="194" t="s">
        <v>87</v>
      </c>
      <c r="O28" s="194" t="s">
        <v>29</v>
      </c>
      <c r="Q28" s="193">
        <v>5</v>
      </c>
      <c r="R28" s="193">
        <v>13</v>
      </c>
      <c r="S28" s="193">
        <v>9</v>
      </c>
      <c r="T28" s="193">
        <v>19</v>
      </c>
      <c r="U28" s="193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295</v>
      </c>
      <c r="AH28" s="5"/>
      <c r="AI28" s="5"/>
      <c r="AJ28" s="25" t="s">
        <v>295</v>
      </c>
      <c r="AO28" s="5"/>
    </row>
    <row r="29" spans="1:41" ht="16.5" customHeight="1">
      <c r="I29" s="82"/>
      <c r="J29" s="193">
        <v>25</v>
      </c>
      <c r="K29" s="194" t="s">
        <v>29</v>
      </c>
      <c r="L29" s="194" t="s">
        <v>29</v>
      </c>
      <c r="M29" s="194" t="s">
        <v>29</v>
      </c>
      <c r="N29" s="194" t="s">
        <v>12</v>
      </c>
      <c r="O29" s="194" t="s">
        <v>12</v>
      </c>
      <c r="Q29" s="193">
        <v>8</v>
      </c>
      <c r="R29" s="193">
        <v>8</v>
      </c>
      <c r="S29" s="193">
        <v>8</v>
      </c>
      <c r="T29" s="193">
        <v>4</v>
      </c>
      <c r="U29" s="193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>
      <c r="I30" s="82"/>
      <c r="J30" s="23">
        <v>26</v>
      </c>
      <c r="K30" s="194" t="s">
        <v>31</v>
      </c>
      <c r="L30" s="194" t="s">
        <v>29</v>
      </c>
      <c r="M30" s="194" t="s">
        <v>95</v>
      </c>
      <c r="N30" s="194" t="s">
        <v>30</v>
      </c>
      <c r="O30" s="194" t="s">
        <v>95</v>
      </c>
      <c r="Q30" s="193">
        <v>7</v>
      </c>
      <c r="R30" s="193">
        <v>8</v>
      </c>
      <c r="S30" s="193">
        <v>6</v>
      </c>
      <c r="T30" s="193">
        <v>10</v>
      </c>
      <c r="U30" s="193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99" t="s">
        <v>293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293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>
      <c r="I31" s="82"/>
      <c r="J31" s="193">
        <v>27</v>
      </c>
      <c r="K31" s="194" t="s">
        <v>13</v>
      </c>
      <c r="L31" s="194" t="s">
        <v>85</v>
      </c>
      <c r="M31" s="194" t="s">
        <v>31</v>
      </c>
      <c r="N31" s="194" t="s">
        <v>87</v>
      </c>
      <c r="O31" s="194" t="s">
        <v>28</v>
      </c>
      <c r="Q31" s="193">
        <v>5</v>
      </c>
      <c r="R31" s="193">
        <v>18</v>
      </c>
      <c r="S31" s="193">
        <v>7</v>
      </c>
      <c r="T31" s="193">
        <v>19</v>
      </c>
      <c r="U31" s="193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99" t="s">
        <v>14</v>
      </c>
      <c r="AD31" s="199">
        <v>0</v>
      </c>
      <c r="AE31" s="199">
        <v>6</v>
      </c>
      <c r="AF31" s="199">
        <v>0</v>
      </c>
      <c r="AG31" s="199">
        <v>9</v>
      </c>
      <c r="AH31" s="199">
        <v>0</v>
      </c>
      <c r="AI31" s="5"/>
      <c r="AJ31" s="199" t="s">
        <v>14</v>
      </c>
      <c r="AK31" s="199">
        <v>0</v>
      </c>
      <c r="AL31" s="199">
        <v>6</v>
      </c>
      <c r="AM31" s="199">
        <v>0</v>
      </c>
      <c r="AN31" s="199">
        <v>9</v>
      </c>
      <c r="AO31" s="199">
        <v>0</v>
      </c>
    </row>
    <row r="32" spans="1:41" ht="16.5" customHeight="1">
      <c r="J32" s="23">
        <v>28</v>
      </c>
      <c r="K32" s="194" t="s">
        <v>29</v>
      </c>
      <c r="L32" s="194" t="s">
        <v>81</v>
      </c>
      <c r="M32" s="194" t="s">
        <v>95</v>
      </c>
      <c r="N32" s="194" t="s">
        <v>78</v>
      </c>
      <c r="O32" s="194" t="s">
        <v>28</v>
      </c>
      <c r="Q32" s="193">
        <v>8</v>
      </c>
      <c r="R32" s="193">
        <v>14</v>
      </c>
      <c r="S32" s="193">
        <v>6</v>
      </c>
      <c r="T32" s="193">
        <v>11</v>
      </c>
      <c r="U32" s="193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34" t="s">
        <v>15</v>
      </c>
      <c r="AD32" s="200">
        <v>4</v>
      </c>
      <c r="AE32" s="200">
        <v>14</v>
      </c>
      <c r="AF32" s="200">
        <v>4</v>
      </c>
      <c r="AG32" s="200">
        <v>21</v>
      </c>
      <c r="AH32" s="200">
        <v>22</v>
      </c>
      <c r="AI32" s="5"/>
      <c r="AJ32" s="134" t="s">
        <v>15</v>
      </c>
      <c r="AK32" s="200">
        <v>4</v>
      </c>
      <c r="AL32" s="200">
        <v>14</v>
      </c>
      <c r="AM32" s="200">
        <v>4</v>
      </c>
      <c r="AN32" s="200">
        <v>21</v>
      </c>
      <c r="AO32" s="200">
        <v>22</v>
      </c>
    </row>
    <row r="33" spans="10:41" ht="16.5" customHeight="1">
      <c r="J33" s="193">
        <v>29</v>
      </c>
      <c r="K33" s="194" t="s">
        <v>15</v>
      </c>
      <c r="L33" s="194" t="s">
        <v>80</v>
      </c>
      <c r="M33" s="194" t="s">
        <v>13</v>
      </c>
      <c r="N33" s="194" t="s">
        <v>16</v>
      </c>
      <c r="O33" s="194" t="s">
        <v>15</v>
      </c>
      <c r="Q33" s="193">
        <v>2</v>
      </c>
      <c r="R33" s="193">
        <v>13</v>
      </c>
      <c r="S33" s="193">
        <v>5</v>
      </c>
      <c r="T33" s="193">
        <v>3</v>
      </c>
      <c r="U33" s="193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34" t="s">
        <v>16</v>
      </c>
      <c r="AD33" s="200">
        <v>4</v>
      </c>
      <c r="AE33" s="200">
        <v>13</v>
      </c>
      <c r="AF33" s="200">
        <v>4</v>
      </c>
      <c r="AG33" s="200">
        <v>20</v>
      </c>
      <c r="AH33" s="200">
        <v>22</v>
      </c>
      <c r="AI33" s="5"/>
      <c r="AJ33" s="134" t="s">
        <v>16</v>
      </c>
      <c r="AK33" s="200">
        <v>4</v>
      </c>
      <c r="AL33" s="200">
        <v>13</v>
      </c>
      <c r="AM33" s="200">
        <v>4</v>
      </c>
      <c r="AN33" s="200">
        <v>20</v>
      </c>
      <c r="AO33" s="200">
        <v>22</v>
      </c>
    </row>
    <row r="34" spans="10:41" ht="16.5" customHeight="1">
      <c r="J34" s="23">
        <v>30</v>
      </c>
      <c r="K34" s="194" t="s">
        <v>29</v>
      </c>
      <c r="L34" s="194" t="s">
        <v>30</v>
      </c>
      <c r="M34" s="194" t="s">
        <v>29</v>
      </c>
      <c r="N34" s="194" t="s">
        <v>15</v>
      </c>
      <c r="O34" s="194" t="s">
        <v>15</v>
      </c>
      <c r="Q34" s="193">
        <v>8</v>
      </c>
      <c r="R34" s="193">
        <v>10</v>
      </c>
      <c r="S34" s="193">
        <v>8</v>
      </c>
      <c r="T34" s="193">
        <v>2</v>
      </c>
      <c r="U34" s="193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34" t="s">
        <v>12</v>
      </c>
      <c r="AD34" s="200">
        <v>4</v>
      </c>
      <c r="AE34" s="200">
        <v>13</v>
      </c>
      <c r="AF34" s="200">
        <v>4</v>
      </c>
      <c r="AG34" s="200">
        <v>20</v>
      </c>
      <c r="AH34" s="200">
        <v>21</v>
      </c>
      <c r="AI34" s="5"/>
      <c r="AJ34" s="134" t="s">
        <v>12</v>
      </c>
      <c r="AK34" s="200">
        <v>4</v>
      </c>
      <c r="AL34" s="200">
        <v>13</v>
      </c>
      <c r="AM34" s="200">
        <v>4</v>
      </c>
      <c r="AN34" s="200">
        <v>20</v>
      </c>
      <c r="AO34" s="200">
        <v>21</v>
      </c>
    </row>
    <row r="35" spans="10:41" ht="16.5" customHeight="1">
      <c r="J35" s="193">
        <v>31</v>
      </c>
      <c r="K35" s="194" t="s">
        <v>13</v>
      </c>
      <c r="L35" s="194" t="s">
        <v>30</v>
      </c>
      <c r="M35" s="194" t="s">
        <v>31</v>
      </c>
      <c r="N35" s="194" t="s">
        <v>95</v>
      </c>
      <c r="O35" s="194" t="s">
        <v>14</v>
      </c>
      <c r="Q35" s="193">
        <v>5</v>
      </c>
      <c r="R35" s="193">
        <v>10</v>
      </c>
      <c r="S35" s="193">
        <v>7</v>
      </c>
      <c r="T35" s="193">
        <v>6</v>
      </c>
      <c r="U35" s="193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34" t="s">
        <v>13</v>
      </c>
      <c r="AD35" s="200">
        <v>40</v>
      </c>
      <c r="AE35" s="200">
        <v>9</v>
      </c>
      <c r="AF35" s="200">
        <v>41</v>
      </c>
      <c r="AG35" s="200">
        <v>14</v>
      </c>
      <c r="AH35" s="200">
        <v>21</v>
      </c>
      <c r="AI35" s="5"/>
      <c r="AJ35" s="134" t="s">
        <v>13</v>
      </c>
      <c r="AK35" s="200">
        <v>40</v>
      </c>
      <c r="AL35" s="200">
        <v>9</v>
      </c>
      <c r="AM35" s="200">
        <v>41</v>
      </c>
      <c r="AN35" s="200">
        <v>14</v>
      </c>
      <c r="AO35" s="200">
        <v>21</v>
      </c>
    </row>
    <row r="36" spans="10:41" ht="16.5" customHeight="1">
      <c r="J36" s="23">
        <v>32</v>
      </c>
      <c r="K36" s="194" t="s">
        <v>31</v>
      </c>
      <c r="L36" s="194" t="s">
        <v>13</v>
      </c>
      <c r="M36" s="194" t="s">
        <v>12</v>
      </c>
      <c r="N36" s="194" t="s">
        <v>95</v>
      </c>
      <c r="O36" s="194" t="s">
        <v>28</v>
      </c>
      <c r="Q36" s="193">
        <v>7</v>
      </c>
      <c r="R36" s="193">
        <v>5</v>
      </c>
      <c r="S36" s="193">
        <v>4</v>
      </c>
      <c r="T36" s="193">
        <v>6</v>
      </c>
      <c r="U36" s="193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34" t="s">
        <v>95</v>
      </c>
      <c r="AD36" s="200">
        <v>40</v>
      </c>
      <c r="AE36" s="200">
        <v>13</v>
      </c>
      <c r="AF36" s="200">
        <v>41</v>
      </c>
      <c r="AG36" s="200">
        <v>14</v>
      </c>
      <c r="AH36" s="200">
        <v>21</v>
      </c>
      <c r="AI36" s="5"/>
      <c r="AJ36" s="134" t="s">
        <v>95</v>
      </c>
      <c r="AK36" s="200">
        <v>40</v>
      </c>
      <c r="AL36" s="200">
        <v>13</v>
      </c>
      <c r="AM36" s="200">
        <v>41</v>
      </c>
      <c r="AN36" s="200">
        <v>14</v>
      </c>
      <c r="AO36" s="200">
        <v>21</v>
      </c>
    </row>
    <row r="37" spans="10:41" ht="16.5" customHeight="1">
      <c r="J37" s="193">
        <v>33</v>
      </c>
      <c r="K37" s="194" t="s">
        <v>13</v>
      </c>
      <c r="L37" s="194" t="s">
        <v>94</v>
      </c>
      <c r="M37" s="194" t="s">
        <v>29</v>
      </c>
      <c r="N37" s="194" t="s">
        <v>82</v>
      </c>
      <c r="O37" s="194" t="s">
        <v>29</v>
      </c>
      <c r="Q37" s="193">
        <v>5</v>
      </c>
      <c r="R37" s="193">
        <v>17</v>
      </c>
      <c r="S37" s="193">
        <v>8</v>
      </c>
      <c r="T37" s="193">
        <v>16</v>
      </c>
      <c r="U37" s="193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34" t="s">
        <v>31</v>
      </c>
      <c r="AD37" s="200">
        <v>47</v>
      </c>
      <c r="AE37" s="200">
        <v>10</v>
      </c>
      <c r="AF37" s="200">
        <v>41</v>
      </c>
      <c r="AG37" s="200">
        <v>14</v>
      </c>
      <c r="AH37" s="200">
        <v>21</v>
      </c>
      <c r="AI37" s="5"/>
      <c r="AJ37" s="134" t="s">
        <v>31</v>
      </c>
      <c r="AK37" s="200">
        <v>47</v>
      </c>
      <c r="AL37" s="200">
        <v>10</v>
      </c>
      <c r="AM37" s="200">
        <v>41</v>
      </c>
      <c r="AN37" s="200">
        <v>14</v>
      </c>
      <c r="AO37" s="200">
        <v>21</v>
      </c>
    </row>
    <row r="38" spans="10:41" ht="16.5" customHeight="1">
      <c r="J38" s="23">
        <v>34</v>
      </c>
      <c r="K38" s="194" t="s">
        <v>95</v>
      </c>
      <c r="L38" s="194" t="s">
        <v>79</v>
      </c>
      <c r="M38" s="194" t="s">
        <v>13</v>
      </c>
      <c r="N38" s="194" t="s">
        <v>29</v>
      </c>
      <c r="O38" s="194" t="s">
        <v>16</v>
      </c>
      <c r="Q38" s="193">
        <v>6</v>
      </c>
      <c r="R38" s="193">
        <v>12</v>
      </c>
      <c r="S38" s="193">
        <v>5</v>
      </c>
      <c r="T38" s="193">
        <v>8</v>
      </c>
      <c r="U38" s="193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34" t="s">
        <v>29</v>
      </c>
      <c r="AD38" s="200">
        <v>47</v>
      </c>
      <c r="AE38" s="200">
        <v>10</v>
      </c>
      <c r="AF38" s="200">
        <v>41</v>
      </c>
      <c r="AG38" s="200">
        <v>14</v>
      </c>
      <c r="AH38" s="200">
        <v>21</v>
      </c>
      <c r="AI38" s="5"/>
      <c r="AJ38" s="134" t="s">
        <v>29</v>
      </c>
      <c r="AK38" s="200">
        <v>47</v>
      </c>
      <c r="AL38" s="200">
        <v>10</v>
      </c>
      <c r="AM38" s="200">
        <v>41</v>
      </c>
      <c r="AN38" s="200">
        <v>14</v>
      </c>
      <c r="AO38" s="200">
        <v>21</v>
      </c>
    </row>
    <row r="39" spans="10:41" ht="16.5" customHeight="1">
      <c r="J39" s="193">
        <v>35</v>
      </c>
      <c r="K39" s="194" t="s">
        <v>95</v>
      </c>
      <c r="L39" s="194" t="s">
        <v>31</v>
      </c>
      <c r="M39" s="194" t="s">
        <v>95</v>
      </c>
      <c r="N39" s="194" t="s">
        <v>15</v>
      </c>
      <c r="O39" s="194" t="s">
        <v>30</v>
      </c>
      <c r="Q39" s="193">
        <v>6</v>
      </c>
      <c r="R39" s="193">
        <v>7</v>
      </c>
      <c r="S39" s="193">
        <v>6</v>
      </c>
      <c r="T39" s="193">
        <v>2</v>
      </c>
      <c r="U39" s="193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34" t="s">
        <v>28</v>
      </c>
      <c r="AD39" s="200">
        <v>4</v>
      </c>
      <c r="AE39" s="200">
        <v>15</v>
      </c>
      <c r="AF39" s="200">
        <v>3</v>
      </c>
      <c r="AG39" s="200">
        <v>21</v>
      </c>
      <c r="AH39" s="200">
        <v>21</v>
      </c>
      <c r="AI39" s="5"/>
      <c r="AJ39" s="134" t="s">
        <v>28</v>
      </c>
      <c r="AK39" s="200">
        <v>4</v>
      </c>
      <c r="AL39" s="200">
        <v>15</v>
      </c>
      <c r="AM39" s="200">
        <v>3</v>
      </c>
      <c r="AN39" s="200">
        <v>21</v>
      </c>
      <c r="AO39" s="200">
        <v>21</v>
      </c>
    </row>
    <row r="40" spans="10:41" ht="16.5" customHeight="1">
      <c r="J40" s="23">
        <v>36</v>
      </c>
      <c r="K40" s="194" t="s">
        <v>31</v>
      </c>
      <c r="L40" s="194" t="s">
        <v>82</v>
      </c>
      <c r="M40" s="194" t="s">
        <v>29</v>
      </c>
      <c r="N40" s="194" t="s">
        <v>81</v>
      </c>
      <c r="O40" s="194" t="s">
        <v>15</v>
      </c>
      <c r="Q40" s="193">
        <v>7</v>
      </c>
      <c r="R40" s="193">
        <v>16</v>
      </c>
      <c r="S40" s="193">
        <v>8</v>
      </c>
      <c r="T40" s="193">
        <v>14</v>
      </c>
      <c r="U40" s="193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34" t="s">
        <v>30</v>
      </c>
      <c r="AD40" s="200">
        <v>4</v>
      </c>
      <c r="AE40" s="200">
        <v>17</v>
      </c>
      <c r="AF40" s="200">
        <v>3</v>
      </c>
      <c r="AG40" s="200">
        <v>21</v>
      </c>
      <c r="AH40" s="200">
        <v>21</v>
      </c>
      <c r="AI40" s="5"/>
      <c r="AJ40" s="134" t="s">
        <v>30</v>
      </c>
      <c r="AK40" s="200">
        <v>4</v>
      </c>
      <c r="AL40" s="200">
        <v>17</v>
      </c>
      <c r="AM40" s="200">
        <v>3</v>
      </c>
      <c r="AN40" s="200">
        <v>21</v>
      </c>
      <c r="AO40" s="200">
        <v>21</v>
      </c>
    </row>
    <row r="41" spans="10:41" ht="16.5" customHeight="1">
      <c r="J41" s="193">
        <v>37</v>
      </c>
      <c r="K41" s="194" t="s">
        <v>13</v>
      </c>
      <c r="L41" s="194" t="s">
        <v>82</v>
      </c>
      <c r="M41" s="194" t="s">
        <v>31</v>
      </c>
      <c r="N41" s="194" t="s">
        <v>14</v>
      </c>
      <c r="O41" s="194" t="s">
        <v>28</v>
      </c>
      <c r="Q41" s="193">
        <v>5</v>
      </c>
      <c r="R41" s="193">
        <v>16</v>
      </c>
      <c r="S41" s="193">
        <v>7</v>
      </c>
      <c r="T41" s="193">
        <v>1</v>
      </c>
      <c r="U41" s="193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99" t="s">
        <v>78</v>
      </c>
      <c r="AD41" s="201">
        <v>0</v>
      </c>
      <c r="AE41" s="201">
        <v>15</v>
      </c>
      <c r="AF41" s="201">
        <v>0</v>
      </c>
      <c r="AG41" s="201">
        <v>6</v>
      </c>
      <c r="AH41" s="201">
        <v>0</v>
      </c>
      <c r="AI41" s="5"/>
      <c r="AJ41" s="199" t="s">
        <v>78</v>
      </c>
      <c r="AK41" s="201">
        <v>0</v>
      </c>
      <c r="AL41" s="201">
        <v>15</v>
      </c>
      <c r="AM41" s="201">
        <v>0</v>
      </c>
      <c r="AN41" s="201">
        <v>6</v>
      </c>
      <c r="AO41" s="201">
        <v>0</v>
      </c>
    </row>
    <row r="42" spans="10:41" ht="16.5" customHeight="1">
      <c r="J42" s="23">
        <v>38</v>
      </c>
      <c r="K42" s="194" t="s">
        <v>13</v>
      </c>
      <c r="L42" s="194" t="s">
        <v>30</v>
      </c>
      <c r="M42" s="194" t="s">
        <v>30</v>
      </c>
      <c r="N42" s="194" t="s">
        <v>95</v>
      </c>
      <c r="O42" s="194" t="s">
        <v>13</v>
      </c>
      <c r="Q42" s="193">
        <v>5</v>
      </c>
      <c r="R42" s="193">
        <v>10</v>
      </c>
      <c r="S42" s="193">
        <v>10</v>
      </c>
      <c r="T42" s="193">
        <v>6</v>
      </c>
      <c r="U42" s="193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99" t="s">
        <v>79</v>
      </c>
      <c r="AD42" s="201">
        <v>0</v>
      </c>
      <c r="AE42" s="201">
        <v>18</v>
      </c>
      <c r="AF42" s="201">
        <v>0</v>
      </c>
      <c r="AG42" s="201">
        <v>6</v>
      </c>
      <c r="AH42" s="201">
        <v>0</v>
      </c>
      <c r="AI42" s="5"/>
      <c r="AJ42" s="199" t="s">
        <v>79</v>
      </c>
      <c r="AK42" s="201">
        <v>0</v>
      </c>
      <c r="AL42" s="201">
        <v>18</v>
      </c>
      <c r="AM42" s="201">
        <v>0</v>
      </c>
      <c r="AN42" s="201">
        <v>6</v>
      </c>
      <c r="AO42" s="201">
        <v>0</v>
      </c>
    </row>
    <row r="43" spans="10:41" ht="16.5" customHeight="1">
      <c r="J43" s="193">
        <v>39</v>
      </c>
      <c r="K43" s="194" t="s">
        <v>13</v>
      </c>
      <c r="L43" s="194" t="s">
        <v>13</v>
      </c>
      <c r="M43" s="194" t="s">
        <v>31</v>
      </c>
      <c r="N43" s="194" t="s">
        <v>95</v>
      </c>
      <c r="O43" s="194" t="s">
        <v>13</v>
      </c>
      <c r="Q43" s="193">
        <v>5</v>
      </c>
      <c r="R43" s="193">
        <v>5</v>
      </c>
      <c r="S43" s="193">
        <v>7</v>
      </c>
      <c r="T43" s="193">
        <v>6</v>
      </c>
      <c r="U43" s="193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99" t="s">
        <v>80</v>
      </c>
      <c r="AD43" s="201">
        <v>0</v>
      </c>
      <c r="AE43" s="201">
        <v>18</v>
      </c>
      <c r="AF43" s="201">
        <v>0</v>
      </c>
      <c r="AG43" s="201">
        <v>6</v>
      </c>
      <c r="AH43" s="201">
        <v>0</v>
      </c>
      <c r="AI43" s="5"/>
      <c r="AJ43" s="199" t="s">
        <v>80</v>
      </c>
      <c r="AK43" s="201">
        <v>0</v>
      </c>
      <c r="AL43" s="201">
        <v>18</v>
      </c>
      <c r="AM43" s="201">
        <v>0</v>
      </c>
      <c r="AN43" s="201">
        <v>6</v>
      </c>
      <c r="AO43" s="201">
        <v>0</v>
      </c>
    </row>
    <row r="44" spans="10:41" ht="16.5" customHeight="1">
      <c r="J44" s="23">
        <v>40</v>
      </c>
      <c r="K44" s="194" t="s">
        <v>29</v>
      </c>
      <c r="L44" s="194" t="s">
        <v>79</v>
      </c>
      <c r="M44" s="194" t="s">
        <v>13</v>
      </c>
      <c r="N44" s="194" t="s">
        <v>94</v>
      </c>
      <c r="O44" s="194" t="s">
        <v>31</v>
      </c>
      <c r="Q44" s="193">
        <v>8</v>
      </c>
      <c r="R44" s="193">
        <v>12</v>
      </c>
      <c r="S44" s="193">
        <v>5</v>
      </c>
      <c r="T44" s="193">
        <v>17</v>
      </c>
      <c r="U44" s="193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99" t="s">
        <v>81</v>
      </c>
      <c r="AD44" s="201">
        <v>0</v>
      </c>
      <c r="AE44" s="201">
        <v>13</v>
      </c>
      <c r="AF44" s="201">
        <v>4</v>
      </c>
      <c r="AG44" s="201">
        <v>4</v>
      </c>
      <c r="AH44" s="201">
        <v>0</v>
      </c>
      <c r="AI44" s="5"/>
      <c r="AJ44" s="199" t="s">
        <v>81</v>
      </c>
      <c r="AK44" s="201">
        <v>0</v>
      </c>
      <c r="AL44" s="201">
        <v>13</v>
      </c>
      <c r="AM44" s="201">
        <v>4</v>
      </c>
      <c r="AN44" s="201">
        <v>4</v>
      </c>
      <c r="AO44" s="201">
        <v>0</v>
      </c>
    </row>
    <row r="45" spans="10:41" ht="16.5" customHeight="1">
      <c r="J45" s="193">
        <v>41</v>
      </c>
      <c r="K45" s="194" t="s">
        <v>95</v>
      </c>
      <c r="L45" s="194" t="s">
        <v>30</v>
      </c>
      <c r="M45" s="194" t="s">
        <v>95</v>
      </c>
      <c r="N45" s="194" t="s">
        <v>15</v>
      </c>
      <c r="O45" s="194" t="s">
        <v>13</v>
      </c>
      <c r="Q45" s="193">
        <v>6</v>
      </c>
      <c r="R45" s="193">
        <v>10</v>
      </c>
      <c r="S45" s="193">
        <v>6</v>
      </c>
      <c r="T45" s="193">
        <v>2</v>
      </c>
      <c r="U45" s="193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99" t="s">
        <v>96</v>
      </c>
      <c r="AD45" s="201">
        <v>0</v>
      </c>
      <c r="AE45" s="201">
        <v>7</v>
      </c>
      <c r="AF45" s="201">
        <v>4</v>
      </c>
      <c r="AG45" s="201">
        <v>4</v>
      </c>
      <c r="AH45" s="201">
        <v>0</v>
      </c>
      <c r="AI45" s="5"/>
      <c r="AJ45" s="199" t="s">
        <v>96</v>
      </c>
      <c r="AK45" s="201">
        <v>0</v>
      </c>
      <c r="AL45" s="201">
        <v>7</v>
      </c>
      <c r="AM45" s="201">
        <v>4</v>
      </c>
      <c r="AN45" s="201">
        <v>4</v>
      </c>
      <c r="AO45" s="201">
        <v>0</v>
      </c>
    </row>
    <row r="46" spans="10:41" ht="16.5" customHeight="1">
      <c r="J46" s="23">
        <v>42</v>
      </c>
      <c r="K46" s="194" t="s">
        <v>95</v>
      </c>
      <c r="L46" s="194" t="s">
        <v>95</v>
      </c>
      <c r="M46" s="194" t="s">
        <v>31</v>
      </c>
      <c r="N46" s="194" t="s">
        <v>16</v>
      </c>
      <c r="O46" s="194" t="s">
        <v>30</v>
      </c>
      <c r="Q46" s="193">
        <v>6</v>
      </c>
      <c r="R46" s="193">
        <v>6</v>
      </c>
      <c r="S46" s="193">
        <v>7</v>
      </c>
      <c r="T46" s="193">
        <v>3</v>
      </c>
      <c r="U46" s="193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99" t="s">
        <v>82</v>
      </c>
      <c r="AD46" s="201">
        <v>0</v>
      </c>
      <c r="AE46" s="201">
        <v>10</v>
      </c>
      <c r="AF46" s="201">
        <v>4</v>
      </c>
      <c r="AG46" s="201">
        <v>4</v>
      </c>
      <c r="AH46" s="201">
        <v>0</v>
      </c>
      <c r="AI46" s="5"/>
      <c r="AJ46" s="199" t="s">
        <v>82</v>
      </c>
      <c r="AK46" s="201">
        <v>0</v>
      </c>
      <c r="AL46" s="201">
        <v>10</v>
      </c>
      <c r="AM46" s="201">
        <v>4</v>
      </c>
      <c r="AN46" s="201">
        <v>4</v>
      </c>
      <c r="AO46" s="201">
        <v>0</v>
      </c>
    </row>
    <row r="47" spans="10:41" ht="16.5" customHeight="1">
      <c r="J47" s="193">
        <v>43</v>
      </c>
      <c r="K47" s="194" t="s">
        <v>95</v>
      </c>
      <c r="L47" s="194" t="s">
        <v>85</v>
      </c>
      <c r="M47" s="194" t="s">
        <v>29</v>
      </c>
      <c r="N47" s="194" t="s">
        <v>16</v>
      </c>
      <c r="O47" s="194" t="s">
        <v>14</v>
      </c>
      <c r="Q47" s="193">
        <v>6</v>
      </c>
      <c r="R47" s="193">
        <v>18</v>
      </c>
      <c r="S47" s="193">
        <v>8</v>
      </c>
      <c r="T47" s="193">
        <v>3</v>
      </c>
      <c r="U47" s="193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99" t="s">
        <v>94</v>
      </c>
      <c r="AD47" s="201">
        <v>0</v>
      </c>
      <c r="AE47" s="201">
        <v>10</v>
      </c>
      <c r="AF47" s="201">
        <v>4</v>
      </c>
      <c r="AG47" s="201">
        <v>4</v>
      </c>
      <c r="AH47" s="201">
        <v>0</v>
      </c>
      <c r="AI47" s="5"/>
      <c r="AJ47" s="199" t="s">
        <v>94</v>
      </c>
      <c r="AK47" s="201">
        <v>0</v>
      </c>
      <c r="AL47" s="201">
        <v>10</v>
      </c>
      <c r="AM47" s="201">
        <v>4</v>
      </c>
      <c r="AN47" s="201">
        <v>4</v>
      </c>
      <c r="AO47" s="201">
        <v>0</v>
      </c>
    </row>
    <row r="48" spans="10:41" ht="16.5" customHeight="1">
      <c r="J48" s="23">
        <v>44</v>
      </c>
      <c r="K48" s="194" t="s">
        <v>13</v>
      </c>
      <c r="L48" s="194" t="s">
        <v>14</v>
      </c>
      <c r="M48" s="194" t="s">
        <v>31</v>
      </c>
      <c r="N48" s="194" t="s">
        <v>15</v>
      </c>
      <c r="O48" s="194" t="s">
        <v>13</v>
      </c>
      <c r="Q48" s="193">
        <v>5</v>
      </c>
      <c r="R48" s="193">
        <v>1</v>
      </c>
      <c r="S48" s="193">
        <v>7</v>
      </c>
      <c r="T48" s="193">
        <v>2</v>
      </c>
      <c r="U48" s="193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99" t="s">
        <v>85</v>
      </c>
      <c r="AD48" s="201">
        <v>0</v>
      </c>
      <c r="AE48" s="201">
        <v>15</v>
      </c>
      <c r="AF48" s="201">
        <v>0</v>
      </c>
      <c r="AG48" s="201">
        <v>6</v>
      </c>
      <c r="AH48" s="201">
        <v>0</v>
      </c>
      <c r="AI48" s="5"/>
      <c r="AJ48" s="199" t="s">
        <v>85</v>
      </c>
      <c r="AK48" s="201">
        <v>0</v>
      </c>
      <c r="AL48" s="201">
        <v>15</v>
      </c>
      <c r="AM48" s="201">
        <v>0</v>
      </c>
      <c r="AN48" s="201">
        <v>6</v>
      </c>
      <c r="AO48" s="201">
        <v>0</v>
      </c>
    </row>
    <row r="49" spans="10:41" ht="16.5" customHeight="1">
      <c r="J49" s="193">
        <v>45</v>
      </c>
      <c r="K49" s="194" t="s">
        <v>29</v>
      </c>
      <c r="L49" s="194" t="s">
        <v>12</v>
      </c>
      <c r="M49" s="194" t="s">
        <v>95</v>
      </c>
      <c r="N49" s="194" t="s">
        <v>30</v>
      </c>
      <c r="O49" s="194" t="s">
        <v>12</v>
      </c>
      <c r="Q49" s="193">
        <v>8</v>
      </c>
      <c r="R49" s="193">
        <v>4</v>
      </c>
      <c r="S49" s="193">
        <v>6</v>
      </c>
      <c r="T49" s="193">
        <v>10</v>
      </c>
      <c r="U49" s="193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99" t="s">
        <v>87</v>
      </c>
      <c r="AD49" s="201">
        <v>0</v>
      </c>
      <c r="AE49" s="201">
        <v>12</v>
      </c>
      <c r="AF49" s="201">
        <v>0</v>
      </c>
      <c r="AG49" s="201">
        <v>6</v>
      </c>
      <c r="AH49" s="201">
        <v>0</v>
      </c>
      <c r="AI49" s="5"/>
      <c r="AJ49" s="199" t="s">
        <v>87</v>
      </c>
      <c r="AK49" s="201">
        <v>0</v>
      </c>
      <c r="AL49" s="201">
        <v>12</v>
      </c>
      <c r="AM49" s="201">
        <v>0</v>
      </c>
      <c r="AN49" s="201">
        <v>6</v>
      </c>
      <c r="AO49" s="201">
        <v>0</v>
      </c>
    </row>
    <row r="50" spans="10:41" ht="16.5" customHeight="1">
      <c r="J50" s="23">
        <v>46</v>
      </c>
      <c r="K50" s="194" t="s">
        <v>31</v>
      </c>
      <c r="L50" s="194" t="s">
        <v>15</v>
      </c>
      <c r="M50" s="194" t="s">
        <v>31</v>
      </c>
      <c r="N50" s="194" t="s">
        <v>16</v>
      </c>
      <c r="O50" s="194" t="s">
        <v>30</v>
      </c>
      <c r="Q50" s="193">
        <v>7</v>
      </c>
      <c r="R50" s="193">
        <v>2</v>
      </c>
      <c r="S50" s="193">
        <v>7</v>
      </c>
      <c r="T50" s="193">
        <v>3</v>
      </c>
      <c r="U50" s="193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103">
        <v>194</v>
      </c>
      <c r="AE50" s="103">
        <v>238</v>
      </c>
      <c r="AF50" s="103">
        <v>198</v>
      </c>
      <c r="AG50" s="103">
        <v>214</v>
      </c>
      <c r="AH50" s="103">
        <v>191</v>
      </c>
      <c r="AI50" s="5"/>
      <c r="AK50" s="103">
        <v>194</v>
      </c>
      <c r="AL50" s="103">
        <v>238</v>
      </c>
      <c r="AM50" s="103">
        <v>198</v>
      </c>
      <c r="AN50" s="103">
        <v>214</v>
      </c>
      <c r="AO50" s="103">
        <v>191</v>
      </c>
    </row>
    <row r="51" spans="10:41" ht="16.5" customHeight="1">
      <c r="J51" s="193">
        <v>47</v>
      </c>
      <c r="K51" s="194" t="s">
        <v>14</v>
      </c>
      <c r="L51" s="194" t="s">
        <v>78</v>
      </c>
      <c r="M51" s="194" t="s">
        <v>16</v>
      </c>
      <c r="N51" s="194" t="s">
        <v>15</v>
      </c>
      <c r="O51" s="194" t="s">
        <v>28</v>
      </c>
      <c r="Q51" s="193">
        <v>1</v>
      </c>
      <c r="R51" s="193">
        <v>11</v>
      </c>
      <c r="S51" s="193">
        <v>3</v>
      </c>
      <c r="T51" s="193">
        <v>2</v>
      </c>
      <c r="U51" s="193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94" t="s">
        <v>29</v>
      </c>
      <c r="L52" s="194" t="s">
        <v>81</v>
      </c>
      <c r="M52" s="194" t="s">
        <v>31</v>
      </c>
      <c r="N52" s="194" t="s">
        <v>31</v>
      </c>
      <c r="O52" s="194" t="s">
        <v>15</v>
      </c>
      <c r="Q52" s="193">
        <v>8</v>
      </c>
      <c r="R52" s="193">
        <v>14</v>
      </c>
      <c r="S52" s="193">
        <v>7</v>
      </c>
      <c r="T52" s="193">
        <v>7</v>
      </c>
      <c r="U52" s="193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296</v>
      </c>
      <c r="AH52" s="5"/>
      <c r="AI52" s="5"/>
      <c r="AJ52" s="25" t="s">
        <v>296</v>
      </c>
      <c r="AO52" s="5"/>
    </row>
    <row r="53" spans="10:41" ht="16.5" customHeight="1">
      <c r="J53" s="193">
        <v>49</v>
      </c>
      <c r="K53" s="194" t="s">
        <v>31</v>
      </c>
      <c r="L53" s="194" t="s">
        <v>29</v>
      </c>
      <c r="M53" s="194" t="s">
        <v>31</v>
      </c>
      <c r="N53" s="194" t="s">
        <v>28</v>
      </c>
      <c r="O53" s="194" t="s">
        <v>31</v>
      </c>
      <c r="Q53" s="193">
        <v>7</v>
      </c>
      <c r="R53" s="193">
        <v>8</v>
      </c>
      <c r="S53" s="193">
        <v>7</v>
      </c>
      <c r="T53" s="193">
        <v>9</v>
      </c>
      <c r="U53" s="193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>
      <c r="J54" s="23">
        <v>50</v>
      </c>
      <c r="K54" s="194" t="s">
        <v>31</v>
      </c>
      <c r="L54" s="194" t="s">
        <v>29</v>
      </c>
      <c r="M54" s="194" t="s">
        <v>31</v>
      </c>
      <c r="N54" s="194" t="s">
        <v>28</v>
      </c>
      <c r="O54" s="194" t="s">
        <v>12</v>
      </c>
      <c r="Q54" s="193">
        <v>7</v>
      </c>
      <c r="R54" s="193">
        <v>8</v>
      </c>
      <c r="S54" s="193">
        <v>7</v>
      </c>
      <c r="T54" s="193">
        <v>9</v>
      </c>
      <c r="U54" s="193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99" t="s">
        <v>293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293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>
      <c r="J55" s="193">
        <v>51</v>
      </c>
      <c r="K55" s="194" t="s">
        <v>95</v>
      </c>
      <c r="L55" s="194" t="s">
        <v>94</v>
      </c>
      <c r="M55" s="194" t="s">
        <v>29</v>
      </c>
      <c r="N55" s="194" t="s">
        <v>81</v>
      </c>
      <c r="O55" s="194" t="s">
        <v>15</v>
      </c>
      <c r="Q55" s="193">
        <v>6</v>
      </c>
      <c r="R55" s="193">
        <v>17</v>
      </c>
      <c r="S55" s="193">
        <v>8</v>
      </c>
      <c r="T55" s="193">
        <v>14</v>
      </c>
      <c r="U55" s="193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99" t="s">
        <v>14</v>
      </c>
      <c r="AD55" s="199">
        <v>0</v>
      </c>
      <c r="AE55" s="199">
        <v>6</v>
      </c>
      <c r="AF55" s="199">
        <v>0</v>
      </c>
      <c r="AG55" s="199">
        <v>9</v>
      </c>
      <c r="AH55" s="199">
        <v>0</v>
      </c>
      <c r="AI55" s="5"/>
      <c r="AJ55" s="199" t="s">
        <v>14</v>
      </c>
      <c r="AK55" s="199">
        <v>0</v>
      </c>
      <c r="AL55" s="199">
        <v>6</v>
      </c>
      <c r="AM55" s="199">
        <v>0</v>
      </c>
      <c r="AN55" s="199">
        <v>9</v>
      </c>
      <c r="AO55" s="199">
        <v>0</v>
      </c>
    </row>
    <row r="56" spans="10:41" ht="16.5" customHeight="1">
      <c r="J56" s="23">
        <v>52</v>
      </c>
      <c r="K56" s="194" t="s">
        <v>29</v>
      </c>
      <c r="L56" s="194" t="s">
        <v>28</v>
      </c>
      <c r="M56" s="194" t="s">
        <v>31</v>
      </c>
      <c r="N56" s="194" t="s">
        <v>12</v>
      </c>
      <c r="O56" s="194" t="s">
        <v>13</v>
      </c>
      <c r="Q56" s="193">
        <v>8</v>
      </c>
      <c r="R56" s="193">
        <v>9</v>
      </c>
      <c r="S56" s="193">
        <v>7</v>
      </c>
      <c r="T56" s="193">
        <v>4</v>
      </c>
      <c r="U56" s="193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34" t="s">
        <v>15</v>
      </c>
      <c r="AD56" s="200">
        <v>4</v>
      </c>
      <c r="AE56" s="200">
        <v>14</v>
      </c>
      <c r="AF56" s="200">
        <v>4</v>
      </c>
      <c r="AG56" s="200">
        <v>21</v>
      </c>
      <c r="AH56" s="200">
        <v>22</v>
      </c>
      <c r="AI56" s="5"/>
      <c r="AJ56" s="134" t="s">
        <v>15</v>
      </c>
      <c r="AK56" s="200">
        <v>4</v>
      </c>
      <c r="AL56" s="200">
        <v>14</v>
      </c>
      <c r="AM56" s="200">
        <v>4</v>
      </c>
      <c r="AN56" s="200">
        <v>21</v>
      </c>
      <c r="AO56" s="200">
        <v>22</v>
      </c>
    </row>
    <row r="57" spans="10:41" ht="16.5" customHeight="1">
      <c r="J57" s="193">
        <v>53</v>
      </c>
      <c r="K57" s="194" t="s">
        <v>31</v>
      </c>
      <c r="L57" s="194" t="s">
        <v>28</v>
      </c>
      <c r="M57" s="194" t="s">
        <v>95</v>
      </c>
      <c r="N57" s="194" t="s">
        <v>12</v>
      </c>
      <c r="O57" s="194" t="s">
        <v>16</v>
      </c>
      <c r="Q57" s="193">
        <v>7</v>
      </c>
      <c r="R57" s="193">
        <v>9</v>
      </c>
      <c r="S57" s="193">
        <v>6</v>
      </c>
      <c r="T57" s="193">
        <v>4</v>
      </c>
      <c r="U57" s="193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34" t="s">
        <v>16</v>
      </c>
      <c r="AD57" s="200">
        <v>4</v>
      </c>
      <c r="AE57" s="200">
        <v>13</v>
      </c>
      <c r="AF57" s="200">
        <v>4</v>
      </c>
      <c r="AG57" s="200">
        <v>20</v>
      </c>
      <c r="AH57" s="200">
        <v>22</v>
      </c>
      <c r="AI57" s="5"/>
      <c r="AJ57" s="134" t="s">
        <v>16</v>
      </c>
      <c r="AK57" s="200">
        <v>4</v>
      </c>
      <c r="AL57" s="200">
        <v>13</v>
      </c>
      <c r="AM57" s="200">
        <v>4</v>
      </c>
      <c r="AN57" s="200">
        <v>20</v>
      </c>
      <c r="AO57" s="200">
        <v>22</v>
      </c>
    </row>
    <row r="58" spans="10:41" ht="16.5" customHeight="1">
      <c r="J58" s="23">
        <v>54</v>
      </c>
      <c r="K58" s="194" t="s">
        <v>31</v>
      </c>
      <c r="L58" s="194" t="s">
        <v>80</v>
      </c>
      <c r="M58" s="194" t="s">
        <v>29</v>
      </c>
      <c r="N58" s="194" t="s">
        <v>78</v>
      </c>
      <c r="O58" s="194" t="s">
        <v>15</v>
      </c>
      <c r="Q58" s="193">
        <v>7</v>
      </c>
      <c r="R58" s="193">
        <v>13</v>
      </c>
      <c r="S58" s="193">
        <v>8</v>
      </c>
      <c r="T58" s="193">
        <v>11</v>
      </c>
      <c r="U58" s="193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34" t="s">
        <v>12</v>
      </c>
      <c r="AD58" s="200">
        <v>4</v>
      </c>
      <c r="AE58" s="200">
        <v>13</v>
      </c>
      <c r="AF58" s="200">
        <v>4</v>
      </c>
      <c r="AG58" s="200">
        <v>20</v>
      </c>
      <c r="AH58" s="200">
        <v>21</v>
      </c>
      <c r="AI58" s="5"/>
      <c r="AJ58" s="134" t="s">
        <v>12</v>
      </c>
      <c r="AK58" s="200">
        <v>4</v>
      </c>
      <c r="AL58" s="200">
        <v>13</v>
      </c>
      <c r="AM58" s="200">
        <v>4</v>
      </c>
      <c r="AN58" s="200">
        <v>20</v>
      </c>
      <c r="AO58" s="200">
        <v>21</v>
      </c>
    </row>
    <row r="59" spans="10:41" ht="16.5" customHeight="1">
      <c r="J59" s="193">
        <v>55</v>
      </c>
      <c r="K59" s="194" t="s">
        <v>31</v>
      </c>
      <c r="L59" s="194" t="s">
        <v>12</v>
      </c>
      <c r="M59" s="194" t="s">
        <v>29</v>
      </c>
      <c r="N59" s="194" t="s">
        <v>12</v>
      </c>
      <c r="O59" s="194" t="s">
        <v>29</v>
      </c>
      <c r="Q59" s="193">
        <v>7</v>
      </c>
      <c r="R59" s="193">
        <v>4</v>
      </c>
      <c r="S59" s="193">
        <v>8</v>
      </c>
      <c r="T59" s="193">
        <v>4</v>
      </c>
      <c r="U59" s="193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34" t="s">
        <v>13</v>
      </c>
      <c r="AD59" s="200">
        <v>40</v>
      </c>
      <c r="AE59" s="200">
        <v>9</v>
      </c>
      <c r="AF59" s="200">
        <v>41</v>
      </c>
      <c r="AG59" s="200">
        <v>14</v>
      </c>
      <c r="AH59" s="200">
        <v>21</v>
      </c>
      <c r="AI59" s="5"/>
      <c r="AJ59" s="134" t="s">
        <v>13</v>
      </c>
      <c r="AK59" s="200">
        <v>40</v>
      </c>
      <c r="AL59" s="200">
        <v>9</v>
      </c>
      <c r="AM59" s="200">
        <v>41</v>
      </c>
      <c r="AN59" s="200">
        <v>14</v>
      </c>
      <c r="AO59" s="200">
        <v>21</v>
      </c>
    </row>
    <row r="60" spans="10:41" ht="16.5" customHeight="1">
      <c r="J60" s="23">
        <v>56</v>
      </c>
      <c r="K60" s="194" t="s">
        <v>13</v>
      </c>
      <c r="L60" s="194" t="s">
        <v>81</v>
      </c>
      <c r="M60" s="194" t="s">
        <v>29</v>
      </c>
      <c r="N60" s="194" t="s">
        <v>29</v>
      </c>
      <c r="O60" s="194" t="s">
        <v>30</v>
      </c>
      <c r="Q60" s="193">
        <v>5</v>
      </c>
      <c r="R60" s="193">
        <v>14</v>
      </c>
      <c r="S60" s="193">
        <v>8</v>
      </c>
      <c r="T60" s="193">
        <v>8</v>
      </c>
      <c r="U60" s="193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34" t="s">
        <v>95</v>
      </c>
      <c r="AD60" s="200">
        <v>40</v>
      </c>
      <c r="AE60" s="200">
        <v>13</v>
      </c>
      <c r="AF60" s="200">
        <v>41</v>
      </c>
      <c r="AG60" s="200">
        <v>14</v>
      </c>
      <c r="AH60" s="200">
        <v>21</v>
      </c>
      <c r="AI60" s="5"/>
      <c r="AJ60" s="134" t="s">
        <v>95</v>
      </c>
      <c r="AK60" s="200">
        <v>40</v>
      </c>
      <c r="AL60" s="200">
        <v>13</v>
      </c>
      <c r="AM60" s="200">
        <v>41</v>
      </c>
      <c r="AN60" s="200">
        <v>14</v>
      </c>
      <c r="AO60" s="200">
        <v>21</v>
      </c>
    </row>
    <row r="61" spans="10:41">
      <c r="J61" s="193">
        <v>57</v>
      </c>
      <c r="K61" s="194" t="s">
        <v>95</v>
      </c>
      <c r="L61" s="194" t="s">
        <v>81</v>
      </c>
      <c r="M61" s="194" t="s">
        <v>95</v>
      </c>
      <c r="N61" s="194" t="s">
        <v>12</v>
      </c>
      <c r="O61" s="194" t="s">
        <v>30</v>
      </c>
      <c r="Q61" s="193">
        <v>6</v>
      </c>
      <c r="R61" s="193">
        <v>14</v>
      </c>
      <c r="S61" s="193">
        <v>6</v>
      </c>
      <c r="T61" s="193">
        <v>4</v>
      </c>
      <c r="U61" s="193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34" t="s">
        <v>31</v>
      </c>
      <c r="AD61" s="200">
        <v>47</v>
      </c>
      <c r="AE61" s="200">
        <v>10</v>
      </c>
      <c r="AF61" s="200">
        <v>41</v>
      </c>
      <c r="AG61" s="200">
        <v>14</v>
      </c>
      <c r="AH61" s="200">
        <v>21</v>
      </c>
      <c r="AI61" s="5"/>
      <c r="AJ61" s="134" t="s">
        <v>31</v>
      </c>
      <c r="AK61" s="200">
        <v>47</v>
      </c>
      <c r="AL61" s="200">
        <v>10</v>
      </c>
      <c r="AM61" s="200">
        <v>41</v>
      </c>
      <c r="AN61" s="200">
        <v>14</v>
      </c>
      <c r="AO61" s="200">
        <v>21</v>
      </c>
    </row>
    <row r="62" spans="10:41">
      <c r="J62" s="23">
        <v>58</v>
      </c>
      <c r="K62" s="194" t="s">
        <v>30</v>
      </c>
      <c r="L62" s="194" t="s">
        <v>28</v>
      </c>
      <c r="M62" s="194" t="s">
        <v>95</v>
      </c>
      <c r="N62" s="194" t="s">
        <v>94</v>
      </c>
      <c r="O62" s="194" t="s">
        <v>16</v>
      </c>
      <c r="Q62" s="193">
        <v>10</v>
      </c>
      <c r="R62" s="193">
        <v>9</v>
      </c>
      <c r="S62" s="193">
        <v>6</v>
      </c>
      <c r="T62" s="193">
        <v>17</v>
      </c>
      <c r="U62" s="193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34" t="s">
        <v>29</v>
      </c>
      <c r="AD62" s="200">
        <v>47</v>
      </c>
      <c r="AE62" s="200">
        <v>10</v>
      </c>
      <c r="AF62" s="200">
        <v>41</v>
      </c>
      <c r="AG62" s="200">
        <v>14</v>
      </c>
      <c r="AH62" s="200">
        <v>21</v>
      </c>
      <c r="AI62" s="5"/>
      <c r="AJ62" s="134" t="s">
        <v>29</v>
      </c>
      <c r="AK62" s="200">
        <v>47</v>
      </c>
      <c r="AL62" s="200">
        <v>10</v>
      </c>
      <c r="AM62" s="200">
        <v>41</v>
      </c>
      <c r="AN62" s="200">
        <v>14</v>
      </c>
      <c r="AO62" s="200">
        <v>21</v>
      </c>
    </row>
    <row r="63" spans="10:41" ht="16.5" customHeight="1">
      <c r="J63" s="193">
        <v>59</v>
      </c>
      <c r="K63" s="194" t="s">
        <v>29</v>
      </c>
      <c r="L63" s="194" t="s">
        <v>80</v>
      </c>
      <c r="M63" s="194" t="s">
        <v>14</v>
      </c>
      <c r="N63" s="194" t="s">
        <v>85</v>
      </c>
      <c r="O63" s="194" t="s">
        <v>13</v>
      </c>
      <c r="Q63" s="193">
        <v>8</v>
      </c>
      <c r="R63" s="193">
        <v>13</v>
      </c>
      <c r="S63" s="193">
        <v>1</v>
      </c>
      <c r="T63" s="193">
        <v>18</v>
      </c>
      <c r="U63" s="193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34" t="s">
        <v>28</v>
      </c>
      <c r="AD63" s="200">
        <v>4</v>
      </c>
      <c r="AE63" s="200">
        <v>15</v>
      </c>
      <c r="AF63" s="200">
        <v>3</v>
      </c>
      <c r="AG63" s="200">
        <v>21</v>
      </c>
      <c r="AH63" s="200">
        <v>21</v>
      </c>
      <c r="AI63" s="5"/>
      <c r="AJ63" s="134" t="s">
        <v>28</v>
      </c>
      <c r="AK63" s="200">
        <v>4</v>
      </c>
      <c r="AL63" s="200">
        <v>15</v>
      </c>
      <c r="AM63" s="200">
        <v>3</v>
      </c>
      <c r="AN63" s="200">
        <v>21</v>
      </c>
      <c r="AO63" s="200">
        <v>21</v>
      </c>
    </row>
    <row r="64" spans="10:41" ht="16.5" customHeight="1">
      <c r="J64" s="23">
        <v>60</v>
      </c>
      <c r="K64" s="194" t="s">
        <v>95</v>
      </c>
      <c r="L64" s="194" t="s">
        <v>28</v>
      </c>
      <c r="M64" s="194" t="s">
        <v>13</v>
      </c>
      <c r="N64" s="194" t="s">
        <v>12</v>
      </c>
      <c r="O64" s="194" t="s">
        <v>28</v>
      </c>
      <c r="Q64" s="193">
        <v>6</v>
      </c>
      <c r="R64" s="193">
        <v>9</v>
      </c>
      <c r="S64" s="193">
        <v>5</v>
      </c>
      <c r="T64" s="193">
        <v>4</v>
      </c>
      <c r="U64" s="193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34" t="s">
        <v>30</v>
      </c>
      <c r="AD64" s="200">
        <v>4</v>
      </c>
      <c r="AE64" s="200">
        <v>17</v>
      </c>
      <c r="AF64" s="200">
        <v>3</v>
      </c>
      <c r="AG64" s="200">
        <v>21</v>
      </c>
      <c r="AH64" s="200">
        <v>21</v>
      </c>
      <c r="AI64" s="5"/>
      <c r="AJ64" s="134" t="s">
        <v>30</v>
      </c>
      <c r="AK64" s="200">
        <v>4</v>
      </c>
      <c r="AL64" s="200">
        <v>17</v>
      </c>
      <c r="AM64" s="200">
        <v>3</v>
      </c>
      <c r="AN64" s="200">
        <v>21</v>
      </c>
      <c r="AO64" s="200">
        <v>21</v>
      </c>
    </row>
    <row r="65" spans="10:41" ht="16.5" customHeight="1">
      <c r="J65" s="193">
        <v>61</v>
      </c>
      <c r="K65" s="194" t="s">
        <v>31</v>
      </c>
      <c r="L65" s="194" t="s">
        <v>30</v>
      </c>
      <c r="M65" s="194" t="s">
        <v>81</v>
      </c>
      <c r="N65" s="194" t="s">
        <v>16</v>
      </c>
      <c r="O65" s="194" t="s">
        <v>29</v>
      </c>
      <c r="Q65" s="193">
        <v>7</v>
      </c>
      <c r="R65" s="193">
        <v>10</v>
      </c>
      <c r="S65" s="193">
        <v>14</v>
      </c>
      <c r="T65" s="193">
        <v>3</v>
      </c>
      <c r="U65" s="193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99" t="s">
        <v>78</v>
      </c>
      <c r="AD65" s="201">
        <v>0</v>
      </c>
      <c r="AE65" s="201">
        <v>15</v>
      </c>
      <c r="AF65" s="201">
        <v>0</v>
      </c>
      <c r="AG65" s="201">
        <v>6</v>
      </c>
      <c r="AH65" s="201">
        <v>0</v>
      </c>
      <c r="AI65" s="5"/>
      <c r="AJ65" s="199" t="s">
        <v>78</v>
      </c>
      <c r="AK65" s="201">
        <v>0</v>
      </c>
      <c r="AL65" s="201">
        <v>15</v>
      </c>
      <c r="AM65" s="201">
        <v>0</v>
      </c>
      <c r="AN65" s="201">
        <v>6</v>
      </c>
      <c r="AO65" s="201">
        <v>0</v>
      </c>
    </row>
    <row r="66" spans="10:41" ht="16.5" customHeight="1">
      <c r="J66" s="23">
        <v>62</v>
      </c>
      <c r="K66" s="194" t="s">
        <v>15</v>
      </c>
      <c r="L66" s="194" t="s">
        <v>79</v>
      </c>
      <c r="M66" s="194" t="s">
        <v>13</v>
      </c>
      <c r="N66" s="194" t="s">
        <v>28</v>
      </c>
      <c r="O66" s="194" t="s">
        <v>28</v>
      </c>
      <c r="Q66" s="193">
        <v>2</v>
      </c>
      <c r="R66" s="193">
        <v>12</v>
      </c>
      <c r="S66" s="193">
        <v>5</v>
      </c>
      <c r="T66" s="193">
        <v>9</v>
      </c>
      <c r="U66" s="193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99" t="s">
        <v>79</v>
      </c>
      <c r="AD66" s="201">
        <v>0</v>
      </c>
      <c r="AE66" s="201">
        <v>18</v>
      </c>
      <c r="AF66" s="201">
        <v>0</v>
      </c>
      <c r="AG66" s="201">
        <v>6</v>
      </c>
      <c r="AH66" s="201">
        <v>0</v>
      </c>
      <c r="AI66" s="5"/>
      <c r="AJ66" s="199" t="s">
        <v>79</v>
      </c>
      <c r="AK66" s="201">
        <v>0</v>
      </c>
      <c r="AL66" s="201">
        <v>18</v>
      </c>
      <c r="AM66" s="201">
        <v>0</v>
      </c>
      <c r="AN66" s="201">
        <v>6</v>
      </c>
      <c r="AO66" s="201">
        <v>0</v>
      </c>
    </row>
    <row r="67" spans="10:41" ht="16.5" customHeight="1">
      <c r="J67" s="193">
        <v>63</v>
      </c>
      <c r="K67" s="194" t="s">
        <v>31</v>
      </c>
      <c r="L67" s="194" t="s">
        <v>85</v>
      </c>
      <c r="M67" s="194" t="s">
        <v>95</v>
      </c>
      <c r="N67" s="194" t="s">
        <v>96</v>
      </c>
      <c r="O67" s="194" t="s">
        <v>16</v>
      </c>
      <c r="Q67" s="193">
        <v>7</v>
      </c>
      <c r="R67" s="193">
        <v>18</v>
      </c>
      <c r="S67" s="193">
        <v>6</v>
      </c>
      <c r="T67" s="193">
        <v>15</v>
      </c>
      <c r="U67" s="193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99" t="s">
        <v>80</v>
      </c>
      <c r="AD67" s="201">
        <v>0</v>
      </c>
      <c r="AE67" s="201">
        <v>18</v>
      </c>
      <c r="AF67" s="201">
        <v>0</v>
      </c>
      <c r="AG67" s="201">
        <v>6</v>
      </c>
      <c r="AH67" s="201">
        <v>0</v>
      </c>
      <c r="AI67" s="5"/>
      <c r="AJ67" s="199" t="s">
        <v>80</v>
      </c>
      <c r="AK67" s="201">
        <v>0</v>
      </c>
      <c r="AL67" s="201">
        <v>18</v>
      </c>
      <c r="AM67" s="201">
        <v>0</v>
      </c>
      <c r="AN67" s="201">
        <v>6</v>
      </c>
      <c r="AO67" s="201">
        <v>0</v>
      </c>
    </row>
    <row r="68" spans="10:41" ht="16.5" customHeight="1">
      <c r="J68" s="23">
        <v>64</v>
      </c>
      <c r="K68" s="194" t="s">
        <v>95</v>
      </c>
      <c r="L68" s="194" t="s">
        <v>16</v>
      </c>
      <c r="M68" s="194" t="s">
        <v>13</v>
      </c>
      <c r="N68" s="194" t="s">
        <v>29</v>
      </c>
      <c r="O68" s="194" t="s">
        <v>30</v>
      </c>
      <c r="Q68" s="193">
        <v>6</v>
      </c>
      <c r="R68" s="193">
        <v>3</v>
      </c>
      <c r="S68" s="193">
        <v>5</v>
      </c>
      <c r="T68" s="193">
        <v>8</v>
      </c>
      <c r="U68" s="193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99" t="s">
        <v>81</v>
      </c>
      <c r="AD68" s="201">
        <v>0</v>
      </c>
      <c r="AE68" s="201">
        <v>13</v>
      </c>
      <c r="AF68" s="201">
        <v>4</v>
      </c>
      <c r="AG68" s="201">
        <v>4</v>
      </c>
      <c r="AH68" s="201">
        <v>0</v>
      </c>
      <c r="AI68" s="5"/>
      <c r="AJ68" s="199" t="s">
        <v>81</v>
      </c>
      <c r="AK68" s="201">
        <v>0</v>
      </c>
      <c r="AL68" s="201">
        <v>13</v>
      </c>
      <c r="AM68" s="201">
        <v>4</v>
      </c>
      <c r="AN68" s="201">
        <v>4</v>
      </c>
      <c r="AO68" s="201">
        <v>0</v>
      </c>
    </row>
    <row r="69" spans="10:41" ht="16.5" customHeight="1">
      <c r="J69" s="193">
        <v>65</v>
      </c>
      <c r="K69" s="194" t="s">
        <v>14</v>
      </c>
      <c r="L69" s="194" t="s">
        <v>16</v>
      </c>
      <c r="M69" s="194" t="s">
        <v>95</v>
      </c>
      <c r="N69" s="194" t="s">
        <v>16</v>
      </c>
      <c r="O69" s="194" t="s">
        <v>28</v>
      </c>
      <c r="Q69" s="193">
        <v>1</v>
      </c>
      <c r="R69" s="193">
        <v>3</v>
      </c>
      <c r="S69" s="193">
        <v>6</v>
      </c>
      <c r="T69" s="193">
        <v>3</v>
      </c>
      <c r="U69" s="193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99" t="s">
        <v>96</v>
      </c>
      <c r="AD69" s="201">
        <v>0</v>
      </c>
      <c r="AE69" s="201">
        <v>7</v>
      </c>
      <c r="AF69" s="201">
        <v>4</v>
      </c>
      <c r="AG69" s="201">
        <v>4</v>
      </c>
      <c r="AH69" s="201">
        <v>0</v>
      </c>
      <c r="AI69" s="5"/>
      <c r="AJ69" s="199" t="s">
        <v>96</v>
      </c>
      <c r="AK69" s="201">
        <v>0</v>
      </c>
      <c r="AL69" s="201">
        <v>7</v>
      </c>
      <c r="AM69" s="201">
        <v>4</v>
      </c>
      <c r="AN69" s="201">
        <v>4</v>
      </c>
      <c r="AO69" s="201">
        <v>0</v>
      </c>
    </row>
    <row r="70" spans="10:41" ht="16.5" customHeight="1">
      <c r="J70" s="23">
        <v>66</v>
      </c>
      <c r="K70" s="194" t="s">
        <v>31</v>
      </c>
      <c r="L70" s="194" t="s">
        <v>29</v>
      </c>
      <c r="M70" s="194" t="s">
        <v>96</v>
      </c>
      <c r="N70" s="194" t="s">
        <v>30</v>
      </c>
      <c r="O70" s="194" t="s">
        <v>95</v>
      </c>
      <c r="Q70" s="193">
        <v>7</v>
      </c>
      <c r="R70" s="193">
        <v>8</v>
      </c>
      <c r="S70" s="193">
        <v>15</v>
      </c>
      <c r="T70" s="193">
        <v>10</v>
      </c>
      <c r="U70" s="193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99" t="s">
        <v>82</v>
      </c>
      <c r="AD70" s="201">
        <v>0</v>
      </c>
      <c r="AE70" s="201">
        <v>10</v>
      </c>
      <c r="AF70" s="201">
        <v>4</v>
      </c>
      <c r="AG70" s="201">
        <v>4</v>
      </c>
      <c r="AH70" s="201">
        <v>0</v>
      </c>
      <c r="AI70" s="5"/>
      <c r="AJ70" s="199" t="s">
        <v>82</v>
      </c>
      <c r="AK70" s="201">
        <v>0</v>
      </c>
      <c r="AL70" s="201">
        <v>10</v>
      </c>
      <c r="AM70" s="201">
        <v>4</v>
      </c>
      <c r="AN70" s="201">
        <v>4</v>
      </c>
      <c r="AO70" s="201">
        <v>0</v>
      </c>
    </row>
    <row r="71" spans="10:41" ht="16.5" customHeight="1">
      <c r="J71" s="193">
        <v>67</v>
      </c>
      <c r="K71" s="194" t="s">
        <v>30</v>
      </c>
      <c r="L71" s="194" t="s">
        <v>78</v>
      </c>
      <c r="M71" s="194" t="s">
        <v>95</v>
      </c>
      <c r="N71" s="194" t="s">
        <v>78</v>
      </c>
      <c r="O71" s="194" t="s">
        <v>15</v>
      </c>
      <c r="Q71" s="193">
        <v>10</v>
      </c>
      <c r="R71" s="193">
        <v>11</v>
      </c>
      <c r="S71" s="193">
        <v>6</v>
      </c>
      <c r="T71" s="193">
        <v>11</v>
      </c>
      <c r="U71" s="193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99" t="s">
        <v>94</v>
      </c>
      <c r="AD71" s="201">
        <v>0</v>
      </c>
      <c r="AE71" s="201">
        <v>10</v>
      </c>
      <c r="AF71" s="201">
        <v>4</v>
      </c>
      <c r="AG71" s="201">
        <v>4</v>
      </c>
      <c r="AH71" s="201">
        <v>0</v>
      </c>
      <c r="AI71" s="5"/>
      <c r="AJ71" s="199" t="s">
        <v>94</v>
      </c>
      <c r="AK71" s="201">
        <v>0</v>
      </c>
      <c r="AL71" s="201">
        <v>10</v>
      </c>
      <c r="AM71" s="201">
        <v>4</v>
      </c>
      <c r="AN71" s="201">
        <v>4</v>
      </c>
      <c r="AO71" s="201">
        <v>0</v>
      </c>
    </row>
    <row r="72" spans="10:41" ht="16.5" customHeight="1">
      <c r="J72" s="23">
        <v>68</v>
      </c>
      <c r="K72" s="194" t="s">
        <v>95</v>
      </c>
      <c r="L72" s="194" t="s">
        <v>14</v>
      </c>
      <c r="M72" s="194" t="s">
        <v>29</v>
      </c>
      <c r="N72" s="194" t="s">
        <v>30</v>
      </c>
      <c r="O72" s="194" t="s">
        <v>95</v>
      </c>
      <c r="Q72" s="193">
        <v>6</v>
      </c>
      <c r="R72" s="193">
        <v>1</v>
      </c>
      <c r="S72" s="193">
        <v>8</v>
      </c>
      <c r="T72" s="193">
        <v>10</v>
      </c>
      <c r="U72" s="193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99" t="s">
        <v>85</v>
      </c>
      <c r="AD72" s="201">
        <v>0</v>
      </c>
      <c r="AE72" s="201">
        <v>15</v>
      </c>
      <c r="AF72" s="201">
        <v>0</v>
      </c>
      <c r="AG72" s="201">
        <v>6</v>
      </c>
      <c r="AH72" s="201">
        <v>0</v>
      </c>
      <c r="AI72" s="5"/>
      <c r="AJ72" s="199" t="s">
        <v>85</v>
      </c>
      <c r="AK72" s="201">
        <v>0</v>
      </c>
      <c r="AL72" s="201">
        <v>15</v>
      </c>
      <c r="AM72" s="201">
        <v>0</v>
      </c>
      <c r="AN72" s="201">
        <v>6</v>
      </c>
      <c r="AO72" s="201">
        <v>0</v>
      </c>
    </row>
    <row r="73" spans="10:41" ht="16.5" customHeight="1">
      <c r="J73" s="193">
        <v>69</v>
      </c>
      <c r="K73" s="194" t="s">
        <v>30</v>
      </c>
      <c r="L73" s="194" t="s">
        <v>87</v>
      </c>
      <c r="M73" s="194" t="s">
        <v>95</v>
      </c>
      <c r="N73" s="194" t="s">
        <v>95</v>
      </c>
      <c r="O73" s="194" t="s">
        <v>31</v>
      </c>
      <c r="Q73" s="193">
        <v>10</v>
      </c>
      <c r="R73" s="193">
        <v>19</v>
      </c>
      <c r="S73" s="193">
        <v>6</v>
      </c>
      <c r="T73" s="193">
        <v>6</v>
      </c>
      <c r="U73" s="193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99" t="s">
        <v>87</v>
      </c>
      <c r="AD73" s="201">
        <v>0</v>
      </c>
      <c r="AE73" s="201">
        <v>12</v>
      </c>
      <c r="AF73" s="201">
        <v>0</v>
      </c>
      <c r="AG73" s="201">
        <v>6</v>
      </c>
      <c r="AH73" s="201">
        <v>0</v>
      </c>
      <c r="AI73" s="5"/>
      <c r="AJ73" s="199" t="s">
        <v>87</v>
      </c>
      <c r="AK73" s="201">
        <v>0</v>
      </c>
      <c r="AL73" s="201">
        <v>12</v>
      </c>
      <c r="AM73" s="201">
        <v>0</v>
      </c>
      <c r="AN73" s="201">
        <v>6</v>
      </c>
      <c r="AO73" s="201">
        <v>0</v>
      </c>
    </row>
    <row r="74" spans="10:41" ht="16.5" customHeight="1">
      <c r="J74" s="23">
        <v>70</v>
      </c>
      <c r="K74" s="194" t="s">
        <v>29</v>
      </c>
      <c r="L74" s="194" t="s">
        <v>28</v>
      </c>
      <c r="M74" s="194" t="s">
        <v>31</v>
      </c>
      <c r="N74" s="194" t="s">
        <v>16</v>
      </c>
      <c r="O74" s="194" t="s">
        <v>12</v>
      </c>
      <c r="Q74" s="193">
        <v>8</v>
      </c>
      <c r="R74" s="193">
        <v>9</v>
      </c>
      <c r="S74" s="193">
        <v>7</v>
      </c>
      <c r="T74" s="193">
        <v>3</v>
      </c>
      <c r="U74" s="193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103">
        <v>194</v>
      </c>
      <c r="AE74" s="103">
        <v>238</v>
      </c>
      <c r="AF74" s="103">
        <v>198</v>
      </c>
      <c r="AG74" s="103">
        <v>214</v>
      </c>
      <c r="AH74" s="103">
        <v>191</v>
      </c>
      <c r="AI74" s="5"/>
      <c r="AK74" s="103">
        <v>194</v>
      </c>
      <c r="AL74" s="103">
        <v>238</v>
      </c>
      <c r="AM74" s="103">
        <v>198</v>
      </c>
      <c r="AN74" s="103">
        <v>214</v>
      </c>
      <c r="AO74" s="103">
        <v>191</v>
      </c>
    </row>
    <row r="75" spans="10:41" ht="16.5" customHeight="1">
      <c r="J75" s="193">
        <v>71</v>
      </c>
      <c r="K75" s="194" t="s">
        <v>13</v>
      </c>
      <c r="L75" s="194" t="s">
        <v>16</v>
      </c>
      <c r="M75" s="194" t="s">
        <v>95</v>
      </c>
      <c r="N75" s="194" t="s">
        <v>14</v>
      </c>
      <c r="O75" s="194" t="s">
        <v>30</v>
      </c>
      <c r="Q75" s="193">
        <v>5</v>
      </c>
      <c r="R75" s="193">
        <v>3</v>
      </c>
      <c r="S75" s="193">
        <v>6</v>
      </c>
      <c r="T75" s="193">
        <v>1</v>
      </c>
      <c r="U75" s="193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94" t="s">
        <v>28</v>
      </c>
      <c r="L76" s="194" t="s">
        <v>79</v>
      </c>
      <c r="M76" s="194" t="s">
        <v>81</v>
      </c>
      <c r="N76" s="194" t="s">
        <v>78</v>
      </c>
      <c r="O76" s="194" t="s">
        <v>31</v>
      </c>
      <c r="Q76" s="193">
        <v>9</v>
      </c>
      <c r="R76" s="193">
        <v>12</v>
      </c>
      <c r="S76" s="193">
        <v>14</v>
      </c>
      <c r="T76" s="193">
        <v>11</v>
      </c>
      <c r="U76" s="193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93">
        <v>73</v>
      </c>
      <c r="K77" s="194" t="s">
        <v>13</v>
      </c>
      <c r="L77" s="194" t="s">
        <v>81</v>
      </c>
      <c r="M77" s="194" t="s">
        <v>13</v>
      </c>
      <c r="N77" s="194" t="s">
        <v>15</v>
      </c>
      <c r="O77" s="194" t="s">
        <v>12</v>
      </c>
      <c r="Q77" s="193">
        <v>5</v>
      </c>
      <c r="R77" s="193">
        <v>14</v>
      </c>
      <c r="S77" s="193">
        <v>5</v>
      </c>
      <c r="T77" s="193">
        <v>2</v>
      </c>
      <c r="U77" s="193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94" t="s">
        <v>31</v>
      </c>
      <c r="L78" s="194" t="s">
        <v>15</v>
      </c>
      <c r="M78" s="194" t="s">
        <v>95</v>
      </c>
      <c r="N78" s="194" t="s">
        <v>28</v>
      </c>
      <c r="O78" s="194" t="s">
        <v>30</v>
      </c>
      <c r="Q78" s="193">
        <v>7</v>
      </c>
      <c r="R78" s="193">
        <v>2</v>
      </c>
      <c r="S78" s="193">
        <v>6</v>
      </c>
      <c r="T78" s="193">
        <v>9</v>
      </c>
      <c r="U78" s="193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93">
        <v>75</v>
      </c>
      <c r="K79" s="194" t="s">
        <v>31</v>
      </c>
      <c r="L79" s="194" t="s">
        <v>30</v>
      </c>
      <c r="M79" s="194" t="s">
        <v>31</v>
      </c>
      <c r="N79" s="194" t="s">
        <v>80</v>
      </c>
      <c r="O79" s="194" t="s">
        <v>31</v>
      </c>
      <c r="Q79" s="193">
        <v>7</v>
      </c>
      <c r="R79" s="193">
        <v>10</v>
      </c>
      <c r="S79" s="193">
        <v>7</v>
      </c>
      <c r="T79" s="193">
        <v>13</v>
      </c>
      <c r="U79" s="193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94" t="s">
        <v>29</v>
      </c>
      <c r="L80" s="194" t="s">
        <v>78</v>
      </c>
      <c r="M80" s="194" t="s">
        <v>30</v>
      </c>
      <c r="N80" s="194" t="s">
        <v>31</v>
      </c>
      <c r="O80" s="194" t="s">
        <v>13</v>
      </c>
      <c r="Q80" s="193">
        <v>8</v>
      </c>
      <c r="R80" s="193">
        <v>11</v>
      </c>
      <c r="S80" s="193">
        <v>10</v>
      </c>
      <c r="T80" s="193">
        <v>7</v>
      </c>
      <c r="U80" s="193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93">
        <v>77</v>
      </c>
      <c r="K81" s="194" t="s">
        <v>31</v>
      </c>
      <c r="L81" s="194" t="s">
        <v>95</v>
      </c>
      <c r="M81" s="194" t="s">
        <v>13</v>
      </c>
      <c r="N81" s="194" t="s">
        <v>29</v>
      </c>
      <c r="O81" s="194" t="s">
        <v>31</v>
      </c>
      <c r="Q81" s="193">
        <v>7</v>
      </c>
      <c r="R81" s="193">
        <v>6</v>
      </c>
      <c r="S81" s="193">
        <v>5</v>
      </c>
      <c r="T81" s="193">
        <v>8</v>
      </c>
      <c r="U81" s="193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94" t="s">
        <v>13</v>
      </c>
      <c r="L82" s="194" t="s">
        <v>79</v>
      </c>
      <c r="M82" s="194" t="s">
        <v>29</v>
      </c>
      <c r="N82" s="194" t="s">
        <v>12</v>
      </c>
      <c r="O82" s="194" t="s">
        <v>13</v>
      </c>
      <c r="Q82" s="193">
        <v>5</v>
      </c>
      <c r="R82" s="193">
        <v>12</v>
      </c>
      <c r="S82" s="193">
        <v>8</v>
      </c>
      <c r="T82" s="193">
        <v>4</v>
      </c>
      <c r="U82" s="193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93">
        <v>79</v>
      </c>
      <c r="K83" s="194" t="s">
        <v>95</v>
      </c>
      <c r="L83" s="194" t="s">
        <v>30</v>
      </c>
      <c r="M83" s="194" t="s">
        <v>95</v>
      </c>
      <c r="N83" s="194" t="s">
        <v>16</v>
      </c>
      <c r="O83" s="194" t="s">
        <v>15</v>
      </c>
      <c r="Q83" s="193">
        <v>6</v>
      </c>
      <c r="R83" s="193">
        <v>10</v>
      </c>
      <c r="S83" s="193">
        <v>6</v>
      </c>
      <c r="T83" s="193">
        <v>3</v>
      </c>
      <c r="U83" s="193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94" t="s">
        <v>29</v>
      </c>
      <c r="L84" s="194" t="s">
        <v>30</v>
      </c>
      <c r="M84" s="194" t="s">
        <v>94</v>
      </c>
      <c r="N84" s="194" t="s">
        <v>14</v>
      </c>
      <c r="O84" s="194" t="s">
        <v>30</v>
      </c>
      <c r="Q84" s="193">
        <v>8</v>
      </c>
      <c r="R84" s="193">
        <v>10</v>
      </c>
      <c r="S84" s="193">
        <v>17</v>
      </c>
      <c r="T84" s="193">
        <v>1</v>
      </c>
      <c r="U84" s="193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93">
        <v>81</v>
      </c>
      <c r="K85" s="194" t="s">
        <v>31</v>
      </c>
      <c r="L85" s="194" t="s">
        <v>82</v>
      </c>
      <c r="M85" s="194" t="s">
        <v>31</v>
      </c>
      <c r="N85" s="194" t="s">
        <v>31</v>
      </c>
      <c r="O85" s="194" t="s">
        <v>29</v>
      </c>
      <c r="Q85" s="193">
        <v>7</v>
      </c>
      <c r="R85" s="193">
        <v>16</v>
      </c>
      <c r="S85" s="193">
        <v>7</v>
      </c>
      <c r="T85" s="193">
        <v>7</v>
      </c>
      <c r="U85" s="193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94" t="s">
        <v>12</v>
      </c>
      <c r="L86" s="194" t="s">
        <v>81</v>
      </c>
      <c r="M86" s="194" t="s">
        <v>12</v>
      </c>
      <c r="N86" s="194" t="s">
        <v>31</v>
      </c>
      <c r="O86" s="194" t="s">
        <v>15</v>
      </c>
      <c r="Q86" s="193">
        <v>4</v>
      </c>
      <c r="R86" s="193">
        <v>14</v>
      </c>
      <c r="S86" s="193">
        <v>4</v>
      </c>
      <c r="T86" s="193">
        <v>7</v>
      </c>
      <c r="U86" s="193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93">
        <v>83</v>
      </c>
      <c r="K87" s="194" t="s">
        <v>95</v>
      </c>
      <c r="L87" s="194" t="s">
        <v>16</v>
      </c>
      <c r="M87" s="194" t="s">
        <v>13</v>
      </c>
      <c r="N87" s="194" t="s">
        <v>13</v>
      </c>
      <c r="O87" s="194" t="s">
        <v>16</v>
      </c>
      <c r="Q87" s="193">
        <v>6</v>
      </c>
      <c r="R87" s="193">
        <v>3</v>
      </c>
      <c r="S87" s="193">
        <v>5</v>
      </c>
      <c r="T87" s="193">
        <v>5</v>
      </c>
      <c r="U87" s="193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94" t="s">
        <v>95</v>
      </c>
      <c r="L88" s="194" t="s">
        <v>28</v>
      </c>
      <c r="M88" s="194" t="s">
        <v>29</v>
      </c>
      <c r="N88" s="194" t="s">
        <v>16</v>
      </c>
      <c r="O88" s="194" t="s">
        <v>12</v>
      </c>
      <c r="Q88" s="193">
        <v>6</v>
      </c>
      <c r="R88" s="193">
        <v>9</v>
      </c>
      <c r="S88" s="193">
        <v>8</v>
      </c>
      <c r="T88" s="193">
        <v>3</v>
      </c>
      <c r="U88" s="193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93">
        <v>85</v>
      </c>
      <c r="K89" s="194" t="s">
        <v>14</v>
      </c>
      <c r="L89" s="194" t="s">
        <v>78</v>
      </c>
      <c r="M89" s="194" t="s">
        <v>29</v>
      </c>
      <c r="N89" s="194" t="s">
        <v>16</v>
      </c>
      <c r="O89" s="194" t="s">
        <v>29</v>
      </c>
      <c r="Q89" s="193">
        <v>1</v>
      </c>
      <c r="R89" s="193">
        <v>11</v>
      </c>
      <c r="S89" s="193">
        <v>8</v>
      </c>
      <c r="T89" s="193">
        <v>3</v>
      </c>
      <c r="U89" s="193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94" t="s">
        <v>29</v>
      </c>
      <c r="L90" s="194" t="s">
        <v>16</v>
      </c>
      <c r="M90" s="194" t="s">
        <v>29</v>
      </c>
      <c r="N90" s="194" t="s">
        <v>16</v>
      </c>
      <c r="O90" s="194" t="s">
        <v>12</v>
      </c>
      <c r="Q90" s="193">
        <v>8</v>
      </c>
      <c r="R90" s="193">
        <v>3</v>
      </c>
      <c r="S90" s="193">
        <v>8</v>
      </c>
      <c r="T90" s="193">
        <v>3</v>
      </c>
      <c r="U90" s="193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93">
        <v>87</v>
      </c>
      <c r="K91" s="194" t="s">
        <v>31</v>
      </c>
      <c r="L91" s="194" t="s">
        <v>14</v>
      </c>
      <c r="M91" s="194" t="s">
        <v>31</v>
      </c>
      <c r="N91" s="194" t="s">
        <v>79</v>
      </c>
      <c r="O91" s="194" t="s">
        <v>12</v>
      </c>
      <c r="Q91" s="193">
        <v>7</v>
      </c>
      <c r="R91" s="193">
        <v>1</v>
      </c>
      <c r="S91" s="193">
        <v>7</v>
      </c>
      <c r="T91" s="193">
        <v>12</v>
      </c>
      <c r="U91" s="193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94" t="s">
        <v>13</v>
      </c>
      <c r="L92" s="194" t="s">
        <v>81</v>
      </c>
      <c r="M92" s="194" t="s">
        <v>95</v>
      </c>
      <c r="N92" s="194" t="s">
        <v>28</v>
      </c>
      <c r="O92" s="194" t="s">
        <v>13</v>
      </c>
      <c r="Q92" s="193">
        <v>5</v>
      </c>
      <c r="R92" s="193">
        <v>14</v>
      </c>
      <c r="S92" s="193">
        <v>6</v>
      </c>
      <c r="T92" s="193">
        <v>9</v>
      </c>
      <c r="U92" s="193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93">
        <v>89</v>
      </c>
      <c r="K93" s="194" t="s">
        <v>13</v>
      </c>
      <c r="L93" s="194" t="s">
        <v>13</v>
      </c>
      <c r="M93" s="194" t="s">
        <v>14</v>
      </c>
      <c r="N93" s="194" t="s">
        <v>30</v>
      </c>
      <c r="O93" s="194" t="s">
        <v>13</v>
      </c>
      <c r="Q93" s="193">
        <v>5</v>
      </c>
      <c r="R93" s="193">
        <v>5</v>
      </c>
      <c r="S93" s="193">
        <v>1</v>
      </c>
      <c r="T93" s="193">
        <v>10</v>
      </c>
      <c r="U93" s="193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94" t="s">
        <v>95</v>
      </c>
      <c r="L94" s="194" t="s">
        <v>30</v>
      </c>
      <c r="M94" s="194" t="s">
        <v>82</v>
      </c>
      <c r="N94" s="194" t="s">
        <v>12</v>
      </c>
      <c r="O94" s="194" t="s">
        <v>14</v>
      </c>
      <c r="Q94" s="193">
        <v>6</v>
      </c>
      <c r="R94" s="193">
        <v>10</v>
      </c>
      <c r="S94" s="193">
        <v>16</v>
      </c>
      <c r="T94" s="193">
        <v>4</v>
      </c>
      <c r="U94" s="193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93">
        <v>91</v>
      </c>
      <c r="K95" s="194" t="s">
        <v>13</v>
      </c>
      <c r="L95" s="194" t="s">
        <v>16</v>
      </c>
      <c r="M95" s="194" t="s">
        <v>29</v>
      </c>
      <c r="N95" s="194" t="s">
        <v>12</v>
      </c>
      <c r="O95" s="194" t="s">
        <v>16</v>
      </c>
      <c r="Q95" s="193">
        <v>5</v>
      </c>
      <c r="R95" s="193">
        <v>3</v>
      </c>
      <c r="S95" s="193">
        <v>8</v>
      </c>
      <c r="T95" s="193">
        <v>4</v>
      </c>
      <c r="U95" s="193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94" t="s">
        <v>29</v>
      </c>
      <c r="L96" s="194" t="s">
        <v>78</v>
      </c>
      <c r="M96" s="194" t="s">
        <v>95</v>
      </c>
      <c r="N96" s="194" t="s">
        <v>28</v>
      </c>
      <c r="O96" s="194" t="s">
        <v>16</v>
      </c>
      <c r="Q96" s="193">
        <v>8</v>
      </c>
      <c r="R96" s="193">
        <v>11</v>
      </c>
      <c r="S96" s="193">
        <v>6</v>
      </c>
      <c r="T96" s="193">
        <v>9</v>
      </c>
      <c r="U96" s="193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93">
        <v>93</v>
      </c>
      <c r="K97" s="194" t="s">
        <v>15</v>
      </c>
      <c r="L97" s="194" t="s">
        <v>30</v>
      </c>
      <c r="M97" s="194" t="s">
        <v>31</v>
      </c>
      <c r="N97" s="194" t="s">
        <v>94</v>
      </c>
      <c r="O97" s="194" t="s">
        <v>31</v>
      </c>
      <c r="Q97" s="193">
        <v>2</v>
      </c>
      <c r="R97" s="193">
        <v>10</v>
      </c>
      <c r="S97" s="193">
        <v>7</v>
      </c>
      <c r="T97" s="193">
        <v>17</v>
      </c>
      <c r="U97" s="193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94" t="s">
        <v>13</v>
      </c>
      <c r="L98" s="194" t="s">
        <v>79</v>
      </c>
      <c r="M98" s="194" t="s">
        <v>13</v>
      </c>
      <c r="N98" s="194" t="s">
        <v>15</v>
      </c>
      <c r="O98" s="194" t="s">
        <v>30</v>
      </c>
      <c r="Q98" s="193">
        <v>5</v>
      </c>
      <c r="R98" s="193">
        <v>12</v>
      </c>
      <c r="S98" s="193">
        <v>5</v>
      </c>
      <c r="T98" s="193">
        <v>2</v>
      </c>
      <c r="U98" s="193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93">
        <v>95</v>
      </c>
      <c r="K99" s="194" t="s">
        <v>13</v>
      </c>
      <c r="L99" s="194" t="s">
        <v>15</v>
      </c>
      <c r="M99" s="194" t="s">
        <v>28</v>
      </c>
      <c r="N99" s="194" t="s">
        <v>30</v>
      </c>
      <c r="O99" s="194" t="s">
        <v>13</v>
      </c>
      <c r="Q99" s="193">
        <v>5</v>
      </c>
      <c r="R99" s="193">
        <v>2</v>
      </c>
      <c r="S99" s="193">
        <v>9</v>
      </c>
      <c r="T99" s="193">
        <v>10</v>
      </c>
      <c r="U99" s="193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94" t="s">
        <v>31</v>
      </c>
      <c r="L100" s="194" t="s">
        <v>13</v>
      </c>
      <c r="M100" s="194" t="s">
        <v>29</v>
      </c>
      <c r="N100" s="194" t="s">
        <v>15</v>
      </c>
      <c r="O100" s="194" t="s">
        <v>15</v>
      </c>
      <c r="Q100" s="193">
        <v>7</v>
      </c>
      <c r="R100" s="193">
        <v>5</v>
      </c>
      <c r="S100" s="193">
        <v>8</v>
      </c>
      <c r="T100" s="193">
        <v>2</v>
      </c>
      <c r="U100" s="193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93">
        <v>97</v>
      </c>
      <c r="K101" s="194" t="s">
        <v>29</v>
      </c>
      <c r="L101" s="194" t="s">
        <v>13</v>
      </c>
      <c r="M101" s="194" t="s">
        <v>13</v>
      </c>
      <c r="N101" s="194" t="s">
        <v>15</v>
      </c>
      <c r="O101" s="194" t="s">
        <v>15</v>
      </c>
      <c r="Q101" s="193">
        <v>8</v>
      </c>
      <c r="R101" s="193">
        <v>5</v>
      </c>
      <c r="S101" s="193">
        <v>5</v>
      </c>
      <c r="T101" s="193">
        <v>2</v>
      </c>
      <c r="U101" s="193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94" t="s">
        <v>14</v>
      </c>
      <c r="L102" s="194" t="s">
        <v>78</v>
      </c>
      <c r="M102" s="194" t="s">
        <v>13</v>
      </c>
      <c r="N102" s="194" t="s">
        <v>13</v>
      </c>
      <c r="O102" s="194" t="s">
        <v>95</v>
      </c>
      <c r="Q102" s="193">
        <v>1</v>
      </c>
      <c r="R102" s="193">
        <v>11</v>
      </c>
      <c r="S102" s="193">
        <v>5</v>
      </c>
      <c r="T102" s="193">
        <v>5</v>
      </c>
      <c r="U102" s="193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93">
        <v>99</v>
      </c>
      <c r="K103" s="194" t="s">
        <v>15</v>
      </c>
      <c r="L103" s="194" t="s">
        <v>96</v>
      </c>
      <c r="M103" s="194" t="s">
        <v>29</v>
      </c>
      <c r="N103" s="194" t="s">
        <v>28</v>
      </c>
      <c r="O103" s="194" t="s">
        <v>28</v>
      </c>
      <c r="Q103" s="193">
        <v>2</v>
      </c>
      <c r="R103" s="193">
        <v>15</v>
      </c>
      <c r="S103" s="193">
        <v>8</v>
      </c>
      <c r="T103" s="193">
        <v>9</v>
      </c>
      <c r="U103" s="193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94" t="s">
        <v>16</v>
      </c>
      <c r="L104" s="194" t="s">
        <v>12</v>
      </c>
      <c r="M104" s="194" t="s">
        <v>31</v>
      </c>
      <c r="N104" s="194" t="s">
        <v>31</v>
      </c>
      <c r="O104" s="194" t="s">
        <v>12</v>
      </c>
      <c r="Q104" s="193">
        <v>3</v>
      </c>
      <c r="R104" s="193">
        <v>4</v>
      </c>
      <c r="S104" s="193">
        <v>7</v>
      </c>
      <c r="T104" s="193">
        <v>7</v>
      </c>
      <c r="U104" s="193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94" t="s">
        <v>28</v>
      </c>
      <c r="L105" s="194" t="s">
        <v>95</v>
      </c>
      <c r="M105" s="194" t="s">
        <v>31</v>
      </c>
      <c r="N105" s="194" t="s">
        <v>29</v>
      </c>
      <c r="O105" s="194" t="s">
        <v>13</v>
      </c>
      <c r="Q105" s="193">
        <v>9</v>
      </c>
      <c r="R105" s="193">
        <v>6</v>
      </c>
      <c r="S105" s="193">
        <v>7</v>
      </c>
      <c r="T105" s="193">
        <v>8</v>
      </c>
      <c r="U105" s="193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93">
        <v>102</v>
      </c>
      <c r="K106" s="194" t="s">
        <v>12</v>
      </c>
      <c r="L106" s="194" t="s">
        <v>95</v>
      </c>
      <c r="M106" s="194" t="s">
        <v>95</v>
      </c>
      <c r="N106" s="194" t="s">
        <v>29</v>
      </c>
      <c r="O106" s="194" t="s">
        <v>28</v>
      </c>
      <c r="Q106" s="193">
        <v>4</v>
      </c>
      <c r="R106" s="193">
        <v>6</v>
      </c>
      <c r="S106" s="193">
        <v>6</v>
      </c>
      <c r="T106" s="193">
        <v>8</v>
      </c>
      <c r="U106" s="193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94" t="s">
        <v>29</v>
      </c>
      <c r="L107" s="194" t="s">
        <v>96</v>
      </c>
      <c r="M107" s="194" t="s">
        <v>16</v>
      </c>
      <c r="N107" s="194" t="s">
        <v>13</v>
      </c>
      <c r="O107" s="194" t="s">
        <v>30</v>
      </c>
      <c r="Q107" s="193">
        <v>8</v>
      </c>
      <c r="R107" s="193">
        <v>15</v>
      </c>
      <c r="S107" s="193">
        <v>3</v>
      </c>
      <c r="T107" s="193">
        <v>5</v>
      </c>
      <c r="U107" s="193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93">
        <v>104</v>
      </c>
      <c r="K108" s="194" t="s">
        <v>13</v>
      </c>
      <c r="L108" s="194" t="s">
        <v>30</v>
      </c>
      <c r="M108" s="194" t="s">
        <v>29</v>
      </c>
      <c r="N108" s="194" t="s">
        <v>30</v>
      </c>
      <c r="O108" s="194" t="s">
        <v>30</v>
      </c>
      <c r="Q108" s="193">
        <v>5</v>
      </c>
      <c r="R108" s="193">
        <v>10</v>
      </c>
      <c r="S108" s="193">
        <v>8</v>
      </c>
      <c r="T108" s="193">
        <v>10</v>
      </c>
      <c r="U108" s="193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94" t="s">
        <v>30</v>
      </c>
      <c r="L109" s="194" t="s">
        <v>79</v>
      </c>
      <c r="M109" s="194" t="s">
        <v>31</v>
      </c>
      <c r="N109" s="194" t="s">
        <v>28</v>
      </c>
      <c r="O109" s="194" t="s">
        <v>16</v>
      </c>
      <c r="Q109" s="193">
        <v>10</v>
      </c>
      <c r="R109" s="193">
        <v>12</v>
      </c>
      <c r="S109" s="193">
        <v>7</v>
      </c>
      <c r="T109" s="193">
        <v>9</v>
      </c>
      <c r="U109" s="193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93">
        <v>106</v>
      </c>
      <c r="K110" s="194" t="s">
        <v>29</v>
      </c>
      <c r="L110" s="194" t="s">
        <v>12</v>
      </c>
      <c r="M110" s="194" t="s">
        <v>13</v>
      </c>
      <c r="N110" s="194" t="s">
        <v>14</v>
      </c>
      <c r="O110" s="194" t="s">
        <v>28</v>
      </c>
      <c r="Q110" s="193">
        <v>8</v>
      </c>
      <c r="R110" s="193">
        <v>4</v>
      </c>
      <c r="S110" s="193">
        <v>5</v>
      </c>
      <c r="T110" s="193">
        <v>1</v>
      </c>
      <c r="U110" s="193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94" t="s">
        <v>29</v>
      </c>
      <c r="L111" s="194" t="s">
        <v>87</v>
      </c>
      <c r="M111" s="194" t="s">
        <v>14</v>
      </c>
      <c r="N111" s="194" t="s">
        <v>95</v>
      </c>
      <c r="O111" s="194" t="s">
        <v>12</v>
      </c>
      <c r="Q111" s="193">
        <v>8</v>
      </c>
      <c r="R111" s="193">
        <v>19</v>
      </c>
      <c r="S111" s="193">
        <v>1</v>
      </c>
      <c r="T111" s="193">
        <v>6</v>
      </c>
      <c r="U111" s="193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93">
        <v>108</v>
      </c>
      <c r="K112" s="194" t="s">
        <v>29</v>
      </c>
      <c r="L112" s="194" t="s">
        <v>85</v>
      </c>
      <c r="M112" s="194" t="s">
        <v>96</v>
      </c>
      <c r="N112" s="194" t="s">
        <v>15</v>
      </c>
      <c r="O112" s="194" t="s">
        <v>16</v>
      </c>
      <c r="Q112" s="193">
        <v>8</v>
      </c>
      <c r="R112" s="193">
        <v>18</v>
      </c>
      <c r="S112" s="193">
        <v>15</v>
      </c>
      <c r="T112" s="193">
        <v>2</v>
      </c>
      <c r="U112" s="193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94" t="s">
        <v>31</v>
      </c>
      <c r="L113" s="194" t="s">
        <v>95</v>
      </c>
      <c r="M113" s="194" t="s">
        <v>82</v>
      </c>
      <c r="N113" s="194" t="s">
        <v>15</v>
      </c>
      <c r="O113" s="194" t="s">
        <v>15</v>
      </c>
      <c r="Q113" s="193">
        <v>7</v>
      </c>
      <c r="R113" s="193">
        <v>6</v>
      </c>
      <c r="S113" s="193">
        <v>16</v>
      </c>
      <c r="T113" s="193">
        <v>2</v>
      </c>
      <c r="U113" s="193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93">
        <v>110</v>
      </c>
      <c r="K114" s="194" t="s">
        <v>95</v>
      </c>
      <c r="L114" s="194" t="s">
        <v>94</v>
      </c>
      <c r="M114" s="194" t="s">
        <v>29</v>
      </c>
      <c r="N114" s="194" t="s">
        <v>15</v>
      </c>
      <c r="O114" s="194" t="s">
        <v>13</v>
      </c>
      <c r="Q114" s="193">
        <v>6</v>
      </c>
      <c r="R114" s="193">
        <v>17</v>
      </c>
      <c r="S114" s="193">
        <v>8</v>
      </c>
      <c r="T114" s="193">
        <v>2</v>
      </c>
      <c r="U114" s="193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94" t="s">
        <v>13</v>
      </c>
      <c r="L115" s="194" t="s">
        <v>29</v>
      </c>
      <c r="M115" s="194" t="s">
        <v>13</v>
      </c>
      <c r="N115" s="194" t="s">
        <v>30</v>
      </c>
      <c r="O115" s="194" t="s">
        <v>13</v>
      </c>
      <c r="Q115" s="193">
        <v>5</v>
      </c>
      <c r="R115" s="193">
        <v>8</v>
      </c>
      <c r="S115" s="193">
        <v>5</v>
      </c>
      <c r="T115" s="193">
        <v>10</v>
      </c>
      <c r="U115" s="193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93">
        <v>112</v>
      </c>
      <c r="K116" s="194" t="s">
        <v>31</v>
      </c>
      <c r="L116" s="194" t="s">
        <v>28</v>
      </c>
      <c r="M116" s="194" t="s">
        <v>95</v>
      </c>
      <c r="N116" s="194" t="s">
        <v>29</v>
      </c>
      <c r="O116" s="194" t="s">
        <v>31</v>
      </c>
      <c r="Q116" s="193">
        <v>7</v>
      </c>
      <c r="R116" s="193">
        <v>9</v>
      </c>
      <c r="S116" s="193">
        <v>6</v>
      </c>
      <c r="T116" s="193">
        <v>8</v>
      </c>
      <c r="U116" s="193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94" t="s">
        <v>95</v>
      </c>
      <c r="L117" s="194" t="s">
        <v>85</v>
      </c>
      <c r="M117" s="194" t="s">
        <v>94</v>
      </c>
      <c r="N117" s="194" t="s">
        <v>30</v>
      </c>
      <c r="O117" s="194" t="s">
        <v>16</v>
      </c>
      <c r="Q117" s="193">
        <v>6</v>
      </c>
      <c r="R117" s="193">
        <v>18</v>
      </c>
      <c r="S117" s="193">
        <v>17</v>
      </c>
      <c r="T117" s="193">
        <v>10</v>
      </c>
      <c r="U117" s="193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93">
        <v>114</v>
      </c>
      <c r="K118" s="194" t="s">
        <v>29</v>
      </c>
      <c r="L118" s="194" t="s">
        <v>80</v>
      </c>
      <c r="M118" s="194" t="s">
        <v>31</v>
      </c>
      <c r="N118" s="194" t="s">
        <v>16</v>
      </c>
      <c r="O118" s="194" t="s">
        <v>95</v>
      </c>
      <c r="Q118" s="193">
        <v>8</v>
      </c>
      <c r="R118" s="193">
        <v>13</v>
      </c>
      <c r="S118" s="193">
        <v>7</v>
      </c>
      <c r="T118" s="193">
        <v>3</v>
      </c>
      <c r="U118" s="193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94" t="s">
        <v>31</v>
      </c>
      <c r="L119" s="194" t="s">
        <v>29</v>
      </c>
      <c r="M119" s="194" t="s">
        <v>95</v>
      </c>
      <c r="N119" s="194" t="s">
        <v>13</v>
      </c>
      <c r="O119" s="194" t="s">
        <v>14</v>
      </c>
      <c r="Q119" s="193">
        <v>7</v>
      </c>
      <c r="R119" s="193">
        <v>8</v>
      </c>
      <c r="S119" s="193">
        <v>6</v>
      </c>
      <c r="T119" s="193">
        <v>5</v>
      </c>
      <c r="U119" s="193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93">
        <v>116</v>
      </c>
      <c r="K120" s="194" t="s">
        <v>13</v>
      </c>
      <c r="L120" s="194" t="s">
        <v>29</v>
      </c>
      <c r="M120" s="194" t="s">
        <v>81</v>
      </c>
      <c r="N120" s="194" t="s">
        <v>14</v>
      </c>
      <c r="O120" s="194" t="s">
        <v>31</v>
      </c>
      <c r="Q120" s="193">
        <v>5</v>
      </c>
      <c r="R120" s="193">
        <v>8</v>
      </c>
      <c r="S120" s="193">
        <v>14</v>
      </c>
      <c r="T120" s="193">
        <v>1</v>
      </c>
      <c r="U120" s="193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94" t="s">
        <v>31</v>
      </c>
      <c r="L121" s="194" t="s">
        <v>13</v>
      </c>
      <c r="M121" s="194" t="s">
        <v>95</v>
      </c>
      <c r="N121" s="194" t="s">
        <v>12</v>
      </c>
      <c r="O121" s="194" t="s">
        <v>16</v>
      </c>
      <c r="Q121" s="193">
        <v>7</v>
      </c>
      <c r="R121" s="193">
        <v>5</v>
      </c>
      <c r="S121" s="193">
        <v>6</v>
      </c>
      <c r="T121" s="193">
        <v>4</v>
      </c>
      <c r="U121" s="193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93">
        <v>118</v>
      </c>
      <c r="K122" s="194" t="s">
        <v>31</v>
      </c>
      <c r="L122" s="194" t="s">
        <v>81</v>
      </c>
      <c r="M122" s="194" t="s">
        <v>31</v>
      </c>
      <c r="N122" s="194" t="s">
        <v>31</v>
      </c>
      <c r="O122" s="194" t="s">
        <v>15</v>
      </c>
      <c r="Q122" s="193">
        <v>7</v>
      </c>
      <c r="R122" s="193">
        <v>14</v>
      </c>
      <c r="S122" s="193">
        <v>7</v>
      </c>
      <c r="T122" s="193">
        <v>7</v>
      </c>
      <c r="U122" s="193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94" t="s">
        <v>13</v>
      </c>
      <c r="L123" s="194" t="s">
        <v>13</v>
      </c>
      <c r="M123" s="194" t="s">
        <v>31</v>
      </c>
      <c r="N123" s="194" t="s">
        <v>31</v>
      </c>
      <c r="O123" s="194" t="s">
        <v>16</v>
      </c>
      <c r="Q123" s="193">
        <v>5</v>
      </c>
      <c r="R123" s="193">
        <v>5</v>
      </c>
      <c r="S123" s="193">
        <v>7</v>
      </c>
      <c r="T123" s="193">
        <v>7</v>
      </c>
      <c r="U123" s="193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93">
        <v>120</v>
      </c>
      <c r="K124" s="194" t="s">
        <v>13</v>
      </c>
      <c r="L124" s="194" t="s">
        <v>30</v>
      </c>
      <c r="M124" s="194" t="s">
        <v>95</v>
      </c>
      <c r="N124" s="194" t="s">
        <v>28</v>
      </c>
      <c r="O124" s="194" t="s">
        <v>12</v>
      </c>
      <c r="Q124" s="193">
        <v>5</v>
      </c>
      <c r="R124" s="193">
        <v>10</v>
      </c>
      <c r="S124" s="193">
        <v>6</v>
      </c>
      <c r="T124" s="193">
        <v>9</v>
      </c>
      <c r="U124" s="193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94" t="s">
        <v>31</v>
      </c>
      <c r="L125" s="194" t="s">
        <v>16</v>
      </c>
      <c r="M125" s="194" t="s">
        <v>95</v>
      </c>
      <c r="N125" s="194" t="s">
        <v>16</v>
      </c>
      <c r="O125" s="194" t="s">
        <v>13</v>
      </c>
      <c r="Q125" s="193">
        <v>7</v>
      </c>
      <c r="R125" s="193">
        <v>3</v>
      </c>
      <c r="S125" s="193">
        <v>6</v>
      </c>
      <c r="T125" s="193">
        <v>3</v>
      </c>
      <c r="U125" s="193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93">
        <v>122</v>
      </c>
      <c r="K126" s="194" t="s">
        <v>95</v>
      </c>
      <c r="L126" s="194" t="s">
        <v>85</v>
      </c>
      <c r="M126" s="194" t="s">
        <v>14</v>
      </c>
      <c r="N126" s="194" t="s">
        <v>80</v>
      </c>
      <c r="O126" s="194" t="s">
        <v>28</v>
      </c>
      <c r="Q126" s="193">
        <v>6</v>
      </c>
      <c r="R126" s="193">
        <v>18</v>
      </c>
      <c r="S126" s="193">
        <v>1</v>
      </c>
      <c r="T126" s="193">
        <v>13</v>
      </c>
      <c r="U126" s="193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94" t="s">
        <v>29</v>
      </c>
      <c r="L127" s="194" t="s">
        <v>30</v>
      </c>
      <c r="M127" s="194" t="s">
        <v>29</v>
      </c>
      <c r="N127" s="194" t="s">
        <v>79</v>
      </c>
      <c r="O127" s="194" t="s">
        <v>16</v>
      </c>
      <c r="Q127" s="193">
        <v>8</v>
      </c>
      <c r="R127" s="193">
        <v>10</v>
      </c>
      <c r="S127" s="193">
        <v>8</v>
      </c>
      <c r="T127" s="193">
        <v>12</v>
      </c>
      <c r="U127" s="193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93">
        <v>124</v>
      </c>
      <c r="K128" s="194" t="s">
        <v>13</v>
      </c>
      <c r="L128" s="194" t="s">
        <v>87</v>
      </c>
      <c r="M128" s="194" t="s">
        <v>15</v>
      </c>
      <c r="N128" s="194" t="s">
        <v>30</v>
      </c>
      <c r="O128" s="194" t="s">
        <v>30</v>
      </c>
      <c r="Q128" s="193">
        <v>5</v>
      </c>
      <c r="R128" s="193">
        <v>19</v>
      </c>
      <c r="S128" s="193">
        <v>2</v>
      </c>
      <c r="T128" s="193">
        <v>10</v>
      </c>
      <c r="U128" s="193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94" t="s">
        <v>31</v>
      </c>
      <c r="L129" s="194" t="s">
        <v>15</v>
      </c>
      <c r="M129" s="194" t="s">
        <v>13</v>
      </c>
      <c r="N129" s="194" t="s">
        <v>30</v>
      </c>
      <c r="O129" s="194" t="s">
        <v>16</v>
      </c>
      <c r="Q129" s="193">
        <v>7</v>
      </c>
      <c r="R129" s="193">
        <v>2</v>
      </c>
      <c r="S129" s="193">
        <v>5</v>
      </c>
      <c r="T129" s="193">
        <v>10</v>
      </c>
      <c r="U129" s="193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93">
        <v>126</v>
      </c>
      <c r="K130" s="194" t="s">
        <v>29</v>
      </c>
      <c r="L130" s="194" t="s">
        <v>85</v>
      </c>
      <c r="M130" s="194" t="s">
        <v>29</v>
      </c>
      <c r="N130" s="194" t="s">
        <v>30</v>
      </c>
      <c r="O130" s="194" t="s">
        <v>15</v>
      </c>
      <c r="Q130" s="193">
        <v>8</v>
      </c>
      <c r="R130" s="193">
        <v>18</v>
      </c>
      <c r="S130" s="193">
        <v>8</v>
      </c>
      <c r="T130" s="193">
        <v>10</v>
      </c>
      <c r="U130" s="193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94" t="s">
        <v>95</v>
      </c>
      <c r="L131" s="194" t="s">
        <v>12</v>
      </c>
      <c r="M131" s="194" t="s">
        <v>31</v>
      </c>
      <c r="N131" s="194" t="s">
        <v>12</v>
      </c>
      <c r="O131" s="194" t="s">
        <v>12</v>
      </c>
      <c r="Q131" s="193">
        <v>6</v>
      </c>
      <c r="R131" s="193">
        <v>4</v>
      </c>
      <c r="S131" s="193">
        <v>7</v>
      </c>
      <c r="T131" s="193">
        <v>4</v>
      </c>
      <c r="U131" s="193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93">
        <v>128</v>
      </c>
      <c r="K132" s="194" t="s">
        <v>95</v>
      </c>
      <c r="L132" s="194" t="s">
        <v>87</v>
      </c>
      <c r="M132" s="194" t="s">
        <v>31</v>
      </c>
      <c r="N132" s="194" t="s">
        <v>95</v>
      </c>
      <c r="O132" s="194" t="s">
        <v>12</v>
      </c>
      <c r="Q132" s="193">
        <v>6</v>
      </c>
      <c r="R132" s="193">
        <v>19</v>
      </c>
      <c r="S132" s="193">
        <v>7</v>
      </c>
      <c r="T132" s="193">
        <v>6</v>
      </c>
      <c r="U132" s="193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94" t="s">
        <v>13</v>
      </c>
      <c r="L133" s="194" t="s">
        <v>87</v>
      </c>
      <c r="M133" s="194" t="s">
        <v>13</v>
      </c>
      <c r="N133" s="194" t="s">
        <v>30</v>
      </c>
      <c r="O133" s="194" t="s">
        <v>30</v>
      </c>
      <c r="Q133" s="193">
        <v>5</v>
      </c>
      <c r="R133" s="193">
        <v>19</v>
      </c>
      <c r="S133" s="193">
        <v>5</v>
      </c>
      <c r="T133" s="193">
        <v>10</v>
      </c>
      <c r="U133" s="193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93">
        <v>130</v>
      </c>
      <c r="K134" s="194" t="s">
        <v>29</v>
      </c>
      <c r="L134" s="194" t="s">
        <v>15</v>
      </c>
      <c r="M134" s="194" t="s">
        <v>13</v>
      </c>
      <c r="N134" s="194" t="s">
        <v>12</v>
      </c>
      <c r="O134" s="194" t="s">
        <v>28</v>
      </c>
      <c r="Q134" s="193">
        <v>8</v>
      </c>
      <c r="R134" s="193">
        <v>2</v>
      </c>
      <c r="S134" s="193">
        <v>5</v>
      </c>
      <c r="T134" s="193">
        <v>4</v>
      </c>
      <c r="U134" s="193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94" t="s">
        <v>29</v>
      </c>
      <c r="L135" s="194" t="s">
        <v>80</v>
      </c>
      <c r="M135" s="194" t="s">
        <v>31</v>
      </c>
      <c r="N135" s="194" t="s">
        <v>13</v>
      </c>
      <c r="O135" s="194" t="s">
        <v>95</v>
      </c>
      <c r="Q135" s="193">
        <v>8</v>
      </c>
      <c r="R135" s="193">
        <v>13</v>
      </c>
      <c r="S135" s="193">
        <v>7</v>
      </c>
      <c r="T135" s="193">
        <v>5</v>
      </c>
      <c r="U135" s="193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93">
        <v>132</v>
      </c>
      <c r="K136" s="194" t="s">
        <v>31</v>
      </c>
      <c r="L136" s="194" t="s">
        <v>29</v>
      </c>
      <c r="M136" s="194" t="s">
        <v>82</v>
      </c>
      <c r="N136" s="194" t="s">
        <v>79</v>
      </c>
      <c r="O136" s="194" t="s">
        <v>15</v>
      </c>
      <c r="Q136" s="193">
        <v>7</v>
      </c>
      <c r="R136" s="193">
        <v>8</v>
      </c>
      <c r="S136" s="193">
        <v>16</v>
      </c>
      <c r="T136" s="193">
        <v>12</v>
      </c>
      <c r="U136" s="193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94" t="s">
        <v>95</v>
      </c>
      <c r="L137" s="194" t="s">
        <v>12</v>
      </c>
      <c r="M137" s="194" t="s">
        <v>31</v>
      </c>
      <c r="N137" s="194" t="s">
        <v>15</v>
      </c>
      <c r="O137" s="194" t="s">
        <v>13</v>
      </c>
      <c r="Q137" s="193">
        <v>6</v>
      </c>
      <c r="R137" s="193">
        <v>4</v>
      </c>
      <c r="S137" s="193">
        <v>7</v>
      </c>
      <c r="T137" s="193">
        <v>2</v>
      </c>
      <c r="U137" s="193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93">
        <v>134</v>
      </c>
      <c r="K138" s="194" t="s">
        <v>29</v>
      </c>
      <c r="L138" s="194" t="s">
        <v>81</v>
      </c>
      <c r="M138" s="194" t="s">
        <v>13</v>
      </c>
      <c r="N138" s="194" t="s">
        <v>28</v>
      </c>
      <c r="O138" s="194" t="s">
        <v>16</v>
      </c>
      <c r="Q138" s="193">
        <v>8</v>
      </c>
      <c r="R138" s="193">
        <v>14</v>
      </c>
      <c r="S138" s="193">
        <v>5</v>
      </c>
      <c r="T138" s="193">
        <v>9</v>
      </c>
      <c r="U138" s="193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94" t="s">
        <v>31</v>
      </c>
      <c r="L139" s="194" t="s">
        <v>15</v>
      </c>
      <c r="M139" s="194" t="s">
        <v>29</v>
      </c>
      <c r="N139" s="194" t="s">
        <v>85</v>
      </c>
      <c r="O139" s="194" t="s">
        <v>30</v>
      </c>
      <c r="Q139" s="193">
        <v>7</v>
      </c>
      <c r="R139" s="193">
        <v>2</v>
      </c>
      <c r="S139" s="193">
        <v>8</v>
      </c>
      <c r="T139" s="193">
        <v>18</v>
      </c>
      <c r="U139" s="193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93">
        <v>136</v>
      </c>
      <c r="K140" s="194" t="s">
        <v>13</v>
      </c>
      <c r="L140" s="194" t="s">
        <v>31</v>
      </c>
      <c r="M140" s="194" t="s">
        <v>13</v>
      </c>
      <c r="N140" s="194" t="s">
        <v>28</v>
      </c>
      <c r="O140" s="194" t="s">
        <v>31</v>
      </c>
      <c r="Q140" s="193">
        <v>5</v>
      </c>
      <c r="R140" s="193">
        <v>7</v>
      </c>
      <c r="S140" s="193">
        <v>5</v>
      </c>
      <c r="T140" s="193">
        <v>9</v>
      </c>
      <c r="U140" s="193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94" t="s">
        <v>29</v>
      </c>
      <c r="L141" s="194" t="s">
        <v>82</v>
      </c>
      <c r="M141" s="194" t="s">
        <v>95</v>
      </c>
      <c r="N141" s="194" t="s">
        <v>15</v>
      </c>
      <c r="O141" s="194" t="s">
        <v>28</v>
      </c>
      <c r="Q141" s="193">
        <v>8</v>
      </c>
      <c r="R141" s="193">
        <v>16</v>
      </c>
      <c r="S141" s="193">
        <v>6</v>
      </c>
      <c r="T141" s="193">
        <v>2</v>
      </c>
      <c r="U141" s="193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93">
        <v>138</v>
      </c>
      <c r="K142" s="194" t="s">
        <v>31</v>
      </c>
      <c r="L142" s="194" t="s">
        <v>31</v>
      </c>
      <c r="M142" s="194" t="s">
        <v>94</v>
      </c>
      <c r="N142" s="194" t="s">
        <v>95</v>
      </c>
      <c r="O142" s="194" t="s">
        <v>12</v>
      </c>
      <c r="Q142" s="193">
        <v>7</v>
      </c>
      <c r="R142" s="193">
        <v>7</v>
      </c>
      <c r="S142" s="193">
        <v>17</v>
      </c>
      <c r="T142" s="193">
        <v>6</v>
      </c>
      <c r="U142" s="193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94" t="s">
        <v>13</v>
      </c>
      <c r="L143" s="194" t="s">
        <v>16</v>
      </c>
      <c r="M143" s="194" t="s">
        <v>29</v>
      </c>
      <c r="N143" s="194" t="s">
        <v>12</v>
      </c>
      <c r="O143" s="194" t="s">
        <v>31</v>
      </c>
      <c r="Q143" s="193">
        <v>5</v>
      </c>
      <c r="R143" s="193">
        <v>3</v>
      </c>
      <c r="S143" s="193">
        <v>8</v>
      </c>
      <c r="T143" s="193">
        <v>4</v>
      </c>
      <c r="U143" s="193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93">
        <v>140</v>
      </c>
      <c r="K144" s="194" t="s">
        <v>95</v>
      </c>
      <c r="L144" s="194" t="s">
        <v>82</v>
      </c>
      <c r="M144" s="194" t="s">
        <v>13</v>
      </c>
      <c r="N144" s="194" t="s">
        <v>29</v>
      </c>
      <c r="O144" s="194" t="s">
        <v>31</v>
      </c>
      <c r="Q144" s="193">
        <v>6</v>
      </c>
      <c r="R144" s="193">
        <v>16</v>
      </c>
      <c r="S144" s="193">
        <v>5</v>
      </c>
      <c r="T144" s="193">
        <v>8</v>
      </c>
      <c r="U144" s="193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94" t="s">
        <v>31</v>
      </c>
      <c r="L145" s="194" t="s">
        <v>31</v>
      </c>
      <c r="M145" s="194" t="s">
        <v>13</v>
      </c>
      <c r="N145" s="194" t="s">
        <v>31</v>
      </c>
      <c r="O145" s="194" t="s">
        <v>14</v>
      </c>
      <c r="Q145" s="193">
        <v>7</v>
      </c>
      <c r="R145" s="193">
        <v>7</v>
      </c>
      <c r="S145" s="193">
        <v>5</v>
      </c>
      <c r="T145" s="193">
        <v>7</v>
      </c>
      <c r="U145" s="193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93">
        <v>142</v>
      </c>
      <c r="K146" s="194" t="s">
        <v>95</v>
      </c>
      <c r="L146" s="194" t="s">
        <v>95</v>
      </c>
      <c r="M146" s="194" t="s">
        <v>13</v>
      </c>
      <c r="N146" s="194" t="s">
        <v>13</v>
      </c>
      <c r="O146" s="194" t="s">
        <v>95</v>
      </c>
      <c r="Q146" s="193">
        <v>6</v>
      </c>
      <c r="R146" s="193">
        <v>6</v>
      </c>
      <c r="S146" s="193">
        <v>5</v>
      </c>
      <c r="T146" s="193">
        <v>5</v>
      </c>
      <c r="U146" s="193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94" t="s">
        <v>13</v>
      </c>
      <c r="L147" s="194" t="s">
        <v>79</v>
      </c>
      <c r="M147" s="194" t="s">
        <v>95</v>
      </c>
      <c r="N147" s="194" t="s">
        <v>13</v>
      </c>
      <c r="O147" s="194" t="s">
        <v>31</v>
      </c>
      <c r="Q147" s="193">
        <v>5</v>
      </c>
      <c r="R147" s="193">
        <v>12</v>
      </c>
      <c r="S147" s="193">
        <v>6</v>
      </c>
      <c r="T147" s="193">
        <v>5</v>
      </c>
      <c r="U147" s="193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93">
        <v>144</v>
      </c>
      <c r="K148" s="194" t="s">
        <v>31</v>
      </c>
      <c r="L148" s="194" t="s">
        <v>28</v>
      </c>
      <c r="M148" s="194" t="s">
        <v>31</v>
      </c>
      <c r="N148" s="194" t="s">
        <v>31</v>
      </c>
      <c r="O148" s="194" t="s">
        <v>95</v>
      </c>
      <c r="Q148" s="193">
        <v>7</v>
      </c>
      <c r="R148" s="193">
        <v>9</v>
      </c>
      <c r="S148" s="193">
        <v>7</v>
      </c>
      <c r="T148" s="193">
        <v>7</v>
      </c>
      <c r="U148" s="193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94" t="s">
        <v>29</v>
      </c>
      <c r="L149" s="194" t="s">
        <v>14</v>
      </c>
      <c r="M149" s="194" t="s">
        <v>31</v>
      </c>
      <c r="N149" s="194" t="s">
        <v>12</v>
      </c>
      <c r="O149" s="194" t="s">
        <v>16</v>
      </c>
      <c r="Q149" s="193">
        <v>8</v>
      </c>
      <c r="R149" s="193">
        <v>1</v>
      </c>
      <c r="S149" s="193">
        <v>7</v>
      </c>
      <c r="T149" s="193">
        <v>4</v>
      </c>
      <c r="U149" s="193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93">
        <v>146</v>
      </c>
      <c r="K150" s="194" t="s">
        <v>31</v>
      </c>
      <c r="L150" s="194" t="s">
        <v>30</v>
      </c>
      <c r="M150" s="194" t="s">
        <v>31</v>
      </c>
      <c r="N150" s="194" t="s">
        <v>12</v>
      </c>
      <c r="O150" s="194" t="s">
        <v>95</v>
      </c>
      <c r="Q150" s="193">
        <v>7</v>
      </c>
      <c r="R150" s="193">
        <v>10</v>
      </c>
      <c r="S150" s="193">
        <v>7</v>
      </c>
      <c r="T150" s="193">
        <v>4</v>
      </c>
      <c r="U150" s="193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94" t="s">
        <v>95</v>
      </c>
      <c r="L151" s="194" t="s">
        <v>87</v>
      </c>
      <c r="M151" s="194" t="s">
        <v>95</v>
      </c>
      <c r="N151" s="194" t="s">
        <v>12</v>
      </c>
      <c r="O151" s="194" t="s">
        <v>15</v>
      </c>
      <c r="Q151" s="193">
        <v>6</v>
      </c>
      <c r="R151" s="193">
        <v>19</v>
      </c>
      <c r="S151" s="193">
        <v>6</v>
      </c>
      <c r="T151" s="193">
        <v>4</v>
      </c>
      <c r="U151" s="193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93">
        <v>148</v>
      </c>
      <c r="K152" s="194" t="s">
        <v>12</v>
      </c>
      <c r="L152" s="194" t="s">
        <v>16</v>
      </c>
      <c r="M152" s="194" t="s">
        <v>13</v>
      </c>
      <c r="N152" s="194" t="s">
        <v>30</v>
      </c>
      <c r="O152" s="194" t="s">
        <v>14</v>
      </c>
      <c r="Q152" s="193">
        <v>4</v>
      </c>
      <c r="R152" s="193">
        <v>3</v>
      </c>
      <c r="S152" s="193">
        <v>5</v>
      </c>
      <c r="T152" s="193">
        <v>10</v>
      </c>
      <c r="U152" s="193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94" t="s">
        <v>31</v>
      </c>
      <c r="L153" s="194" t="s">
        <v>12</v>
      </c>
      <c r="M153" s="194" t="s">
        <v>16</v>
      </c>
      <c r="N153" s="194" t="s">
        <v>80</v>
      </c>
      <c r="O153" s="194" t="s">
        <v>95</v>
      </c>
      <c r="Q153" s="193">
        <v>7</v>
      </c>
      <c r="R153" s="193">
        <v>4</v>
      </c>
      <c r="S153" s="193">
        <v>3</v>
      </c>
      <c r="T153" s="193">
        <v>13</v>
      </c>
      <c r="U153" s="193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93">
        <v>150</v>
      </c>
      <c r="K154" s="194" t="s">
        <v>31</v>
      </c>
      <c r="L154" s="194" t="s">
        <v>82</v>
      </c>
      <c r="M154" s="194" t="s">
        <v>29</v>
      </c>
      <c r="N154" s="194" t="s">
        <v>28</v>
      </c>
      <c r="O154" s="194" t="s">
        <v>28</v>
      </c>
      <c r="Q154" s="193">
        <v>7</v>
      </c>
      <c r="R154" s="193">
        <v>16</v>
      </c>
      <c r="S154" s="193">
        <v>8</v>
      </c>
      <c r="T154" s="193">
        <v>9</v>
      </c>
      <c r="U154" s="193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94" t="s">
        <v>95</v>
      </c>
      <c r="L155" s="194" t="s">
        <v>12</v>
      </c>
      <c r="M155" s="194" t="s">
        <v>13</v>
      </c>
      <c r="N155" s="194" t="s">
        <v>13</v>
      </c>
      <c r="O155" s="194" t="s">
        <v>28</v>
      </c>
      <c r="Q155" s="193">
        <v>6</v>
      </c>
      <c r="R155" s="193">
        <v>4</v>
      </c>
      <c r="S155" s="193">
        <v>5</v>
      </c>
      <c r="T155" s="193">
        <v>5</v>
      </c>
      <c r="U155" s="193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93">
        <v>152</v>
      </c>
      <c r="K156" s="194" t="s">
        <v>31</v>
      </c>
      <c r="L156" s="194" t="s">
        <v>30</v>
      </c>
      <c r="M156" s="194" t="s">
        <v>13</v>
      </c>
      <c r="N156" s="194" t="s">
        <v>29</v>
      </c>
      <c r="O156" s="194" t="s">
        <v>95</v>
      </c>
      <c r="Q156" s="193">
        <v>7</v>
      </c>
      <c r="R156" s="193">
        <v>10</v>
      </c>
      <c r="S156" s="193">
        <v>5</v>
      </c>
      <c r="T156" s="193">
        <v>8</v>
      </c>
      <c r="U156" s="193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94" t="s">
        <v>95</v>
      </c>
      <c r="L157" s="194" t="s">
        <v>15</v>
      </c>
      <c r="M157" s="194" t="s">
        <v>13</v>
      </c>
      <c r="N157" s="194" t="s">
        <v>82</v>
      </c>
      <c r="O157" s="194" t="s">
        <v>95</v>
      </c>
      <c r="Q157" s="193">
        <v>6</v>
      </c>
      <c r="R157" s="193">
        <v>2</v>
      </c>
      <c r="S157" s="193">
        <v>5</v>
      </c>
      <c r="T157" s="193">
        <v>16</v>
      </c>
      <c r="U157" s="193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93">
        <v>154</v>
      </c>
      <c r="K158" s="194" t="s">
        <v>29</v>
      </c>
      <c r="L158" s="194" t="s">
        <v>80</v>
      </c>
      <c r="M158" s="194" t="s">
        <v>29</v>
      </c>
      <c r="N158" s="194" t="s">
        <v>15</v>
      </c>
      <c r="O158" s="194" t="s">
        <v>29</v>
      </c>
      <c r="Q158" s="193">
        <v>8</v>
      </c>
      <c r="R158" s="193">
        <v>13</v>
      </c>
      <c r="S158" s="193">
        <v>8</v>
      </c>
      <c r="T158" s="193">
        <v>2</v>
      </c>
      <c r="U158" s="193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94" t="s">
        <v>29</v>
      </c>
      <c r="L159" s="194" t="s">
        <v>31</v>
      </c>
      <c r="M159" s="194" t="s">
        <v>29</v>
      </c>
      <c r="N159" s="194" t="s">
        <v>14</v>
      </c>
      <c r="O159" s="194" t="s">
        <v>14</v>
      </c>
      <c r="Q159" s="193">
        <v>8</v>
      </c>
      <c r="R159" s="193">
        <v>7</v>
      </c>
      <c r="S159" s="193">
        <v>8</v>
      </c>
      <c r="T159" s="193">
        <v>1</v>
      </c>
      <c r="U159" s="193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93">
        <v>156</v>
      </c>
      <c r="K160" s="194" t="s">
        <v>14</v>
      </c>
      <c r="L160" s="194" t="s">
        <v>96</v>
      </c>
      <c r="M160" s="194" t="s">
        <v>31</v>
      </c>
      <c r="N160" s="194" t="s">
        <v>31</v>
      </c>
      <c r="O160" s="194" t="s">
        <v>13</v>
      </c>
      <c r="Q160" s="193">
        <v>1</v>
      </c>
      <c r="R160" s="193">
        <v>15</v>
      </c>
      <c r="S160" s="193">
        <v>7</v>
      </c>
      <c r="T160" s="193">
        <v>7</v>
      </c>
      <c r="U160" s="193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94" t="s">
        <v>29</v>
      </c>
      <c r="L161" s="194" t="s">
        <v>15</v>
      </c>
      <c r="M161" s="194" t="s">
        <v>95</v>
      </c>
      <c r="N161" s="194" t="s">
        <v>28</v>
      </c>
      <c r="O161" s="194" t="s">
        <v>31</v>
      </c>
      <c r="Q161" s="193">
        <v>8</v>
      </c>
      <c r="R161" s="193">
        <v>2</v>
      </c>
      <c r="S161" s="193">
        <v>6</v>
      </c>
      <c r="T161" s="193">
        <v>9</v>
      </c>
      <c r="U161" s="193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93">
        <v>158</v>
      </c>
      <c r="K162" s="194" t="s">
        <v>28</v>
      </c>
      <c r="L162" s="194" t="s">
        <v>30</v>
      </c>
      <c r="M162" s="194" t="s">
        <v>95</v>
      </c>
      <c r="N162" s="194" t="s">
        <v>28</v>
      </c>
      <c r="O162" s="194" t="s">
        <v>95</v>
      </c>
      <c r="Q162" s="193">
        <v>9</v>
      </c>
      <c r="R162" s="193">
        <v>10</v>
      </c>
      <c r="S162" s="193">
        <v>6</v>
      </c>
      <c r="T162" s="193">
        <v>9</v>
      </c>
      <c r="U162" s="193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94" t="s">
        <v>29</v>
      </c>
      <c r="L163" s="194" t="s">
        <v>80</v>
      </c>
      <c r="M163" s="194" t="s">
        <v>95</v>
      </c>
      <c r="N163" s="194" t="s">
        <v>28</v>
      </c>
      <c r="O163" s="194" t="s">
        <v>95</v>
      </c>
      <c r="Q163" s="193">
        <v>8</v>
      </c>
      <c r="R163" s="193">
        <v>13</v>
      </c>
      <c r="S163" s="193">
        <v>6</v>
      </c>
      <c r="T163" s="193">
        <v>9</v>
      </c>
      <c r="U163" s="193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93">
        <v>160</v>
      </c>
      <c r="K164" s="194" t="s">
        <v>29</v>
      </c>
      <c r="L164" s="194" t="s">
        <v>16</v>
      </c>
      <c r="M164" s="194" t="s">
        <v>13</v>
      </c>
      <c r="N164" s="194" t="s">
        <v>30</v>
      </c>
      <c r="O164" s="194" t="s">
        <v>29</v>
      </c>
      <c r="Q164" s="193">
        <v>8</v>
      </c>
      <c r="R164" s="193">
        <v>3</v>
      </c>
      <c r="S164" s="193">
        <v>5</v>
      </c>
      <c r="T164" s="193">
        <v>10</v>
      </c>
      <c r="U164" s="193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94" t="s">
        <v>13</v>
      </c>
      <c r="L165" s="194" t="s">
        <v>78</v>
      </c>
      <c r="M165" s="194" t="s">
        <v>15</v>
      </c>
      <c r="N165" s="194" t="s">
        <v>29</v>
      </c>
      <c r="O165" s="194" t="s">
        <v>30</v>
      </c>
      <c r="Q165" s="193">
        <v>5</v>
      </c>
      <c r="R165" s="193">
        <v>11</v>
      </c>
      <c r="S165" s="193">
        <v>2</v>
      </c>
      <c r="T165" s="193">
        <v>8</v>
      </c>
      <c r="U165" s="193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93">
        <v>162</v>
      </c>
      <c r="K166" s="194" t="s">
        <v>95</v>
      </c>
      <c r="L166" s="194" t="s">
        <v>12</v>
      </c>
      <c r="M166" s="194" t="s">
        <v>31</v>
      </c>
      <c r="N166" s="194" t="s">
        <v>29</v>
      </c>
      <c r="O166" s="194" t="s">
        <v>29</v>
      </c>
      <c r="Q166" s="193">
        <v>6</v>
      </c>
      <c r="R166" s="193">
        <v>4</v>
      </c>
      <c r="S166" s="193">
        <v>7</v>
      </c>
      <c r="T166" s="193">
        <v>8</v>
      </c>
      <c r="U166" s="193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94" t="s">
        <v>29</v>
      </c>
      <c r="L167" s="194" t="s">
        <v>16</v>
      </c>
      <c r="M167" s="194" t="s">
        <v>13</v>
      </c>
      <c r="N167" s="194" t="s">
        <v>13</v>
      </c>
      <c r="O167" s="194" t="s">
        <v>15</v>
      </c>
      <c r="Q167" s="193">
        <v>8</v>
      </c>
      <c r="R167" s="193">
        <v>3</v>
      </c>
      <c r="S167" s="193">
        <v>5</v>
      </c>
      <c r="T167" s="193">
        <v>5</v>
      </c>
      <c r="U167" s="193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93">
        <v>164</v>
      </c>
      <c r="K168" s="194" t="s">
        <v>31</v>
      </c>
      <c r="L168" s="194" t="s">
        <v>80</v>
      </c>
      <c r="M168" s="194" t="s">
        <v>95</v>
      </c>
      <c r="N168" s="194" t="s">
        <v>15</v>
      </c>
      <c r="O168" s="194" t="s">
        <v>28</v>
      </c>
      <c r="Q168" s="193">
        <v>7</v>
      </c>
      <c r="R168" s="193">
        <v>13</v>
      </c>
      <c r="S168" s="193">
        <v>6</v>
      </c>
      <c r="T168" s="193">
        <v>2</v>
      </c>
      <c r="U168" s="193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94" t="s">
        <v>31</v>
      </c>
      <c r="L169" s="194" t="s">
        <v>28</v>
      </c>
      <c r="M169" s="194" t="s">
        <v>95</v>
      </c>
      <c r="N169" s="194" t="s">
        <v>15</v>
      </c>
      <c r="O169" s="194" t="s">
        <v>12</v>
      </c>
      <c r="Q169" s="193">
        <v>7</v>
      </c>
      <c r="R169" s="193">
        <v>9</v>
      </c>
      <c r="S169" s="193">
        <v>6</v>
      </c>
      <c r="T169" s="193">
        <v>2</v>
      </c>
      <c r="U169" s="193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93">
        <v>166</v>
      </c>
      <c r="K170" s="194" t="s">
        <v>31</v>
      </c>
      <c r="L170" s="194" t="s">
        <v>15</v>
      </c>
      <c r="M170" s="194" t="s">
        <v>95</v>
      </c>
      <c r="N170" s="194" t="s">
        <v>13</v>
      </c>
      <c r="O170" s="194" t="s">
        <v>16</v>
      </c>
      <c r="Q170" s="193">
        <v>7</v>
      </c>
      <c r="R170" s="193">
        <v>2</v>
      </c>
      <c r="S170" s="193">
        <v>6</v>
      </c>
      <c r="T170" s="193">
        <v>5</v>
      </c>
      <c r="U170" s="193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94" t="s">
        <v>29</v>
      </c>
      <c r="L171" s="194" t="s">
        <v>29</v>
      </c>
      <c r="M171" s="194" t="s">
        <v>13</v>
      </c>
      <c r="N171" s="194" t="s">
        <v>15</v>
      </c>
      <c r="O171" s="194" t="s">
        <v>29</v>
      </c>
      <c r="Q171" s="193">
        <v>8</v>
      </c>
      <c r="R171" s="193">
        <v>8</v>
      </c>
      <c r="S171" s="193">
        <v>5</v>
      </c>
      <c r="T171" s="193">
        <v>2</v>
      </c>
      <c r="U171" s="193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93">
        <v>168</v>
      </c>
      <c r="K172" s="194" t="s">
        <v>31</v>
      </c>
      <c r="L172" s="194" t="s">
        <v>79</v>
      </c>
      <c r="M172" s="194" t="s">
        <v>95</v>
      </c>
      <c r="N172" s="194" t="s">
        <v>95</v>
      </c>
      <c r="O172" s="194" t="s">
        <v>15</v>
      </c>
      <c r="Q172" s="193">
        <v>7</v>
      </c>
      <c r="R172" s="193">
        <v>12</v>
      </c>
      <c r="S172" s="193">
        <v>6</v>
      </c>
      <c r="T172" s="193">
        <v>6</v>
      </c>
      <c r="U172" s="193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94" t="s">
        <v>13</v>
      </c>
      <c r="L173" s="194" t="s">
        <v>28</v>
      </c>
      <c r="M173" s="194" t="s">
        <v>13</v>
      </c>
      <c r="N173" s="194" t="s">
        <v>16</v>
      </c>
      <c r="O173" s="194" t="s">
        <v>12</v>
      </c>
      <c r="Q173" s="193">
        <v>5</v>
      </c>
      <c r="R173" s="193">
        <v>9</v>
      </c>
      <c r="S173" s="193">
        <v>5</v>
      </c>
      <c r="T173" s="193">
        <v>3</v>
      </c>
      <c r="U173" s="193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93">
        <v>170</v>
      </c>
      <c r="K174" s="194" t="s">
        <v>95</v>
      </c>
      <c r="L174" s="194" t="s">
        <v>31</v>
      </c>
      <c r="M174" s="194" t="s">
        <v>14</v>
      </c>
      <c r="N174" s="194" t="s">
        <v>95</v>
      </c>
      <c r="O174" s="194" t="s">
        <v>31</v>
      </c>
      <c r="Q174" s="193">
        <v>6</v>
      </c>
      <c r="R174" s="193">
        <v>7</v>
      </c>
      <c r="S174" s="193">
        <v>1</v>
      </c>
      <c r="T174" s="193">
        <v>6</v>
      </c>
      <c r="U174" s="193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94" t="s">
        <v>31</v>
      </c>
      <c r="L175" s="194" t="s">
        <v>31</v>
      </c>
      <c r="M175" s="194" t="s">
        <v>29</v>
      </c>
      <c r="N175" s="194" t="s">
        <v>31</v>
      </c>
      <c r="O175" s="194" t="s">
        <v>29</v>
      </c>
      <c r="Q175" s="193">
        <v>7</v>
      </c>
      <c r="R175" s="193">
        <v>7</v>
      </c>
      <c r="S175" s="193">
        <v>8</v>
      </c>
      <c r="T175" s="193">
        <v>7</v>
      </c>
      <c r="U175" s="193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93">
        <v>172</v>
      </c>
      <c r="K176" s="194" t="s">
        <v>95</v>
      </c>
      <c r="L176" s="194" t="s">
        <v>12</v>
      </c>
      <c r="M176" s="194" t="s">
        <v>29</v>
      </c>
      <c r="N176" s="194" t="s">
        <v>81</v>
      </c>
      <c r="O176" s="194" t="s">
        <v>14</v>
      </c>
      <c r="Q176" s="193">
        <v>6</v>
      </c>
      <c r="R176" s="193">
        <v>4</v>
      </c>
      <c r="S176" s="193">
        <v>8</v>
      </c>
      <c r="T176" s="193">
        <v>14</v>
      </c>
      <c r="U176" s="193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94" t="s">
        <v>95</v>
      </c>
      <c r="L177" s="194" t="s">
        <v>80</v>
      </c>
      <c r="M177" s="194" t="s">
        <v>13</v>
      </c>
      <c r="N177" s="194" t="s">
        <v>85</v>
      </c>
      <c r="O177" s="194" t="s">
        <v>29</v>
      </c>
      <c r="Q177" s="193">
        <v>6</v>
      </c>
      <c r="R177" s="193">
        <v>13</v>
      </c>
      <c r="S177" s="193">
        <v>5</v>
      </c>
      <c r="T177" s="193">
        <v>18</v>
      </c>
      <c r="U177" s="193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93">
        <v>174</v>
      </c>
      <c r="K178" s="194" t="s">
        <v>95</v>
      </c>
      <c r="L178" s="194" t="s">
        <v>15</v>
      </c>
      <c r="M178" s="194" t="s">
        <v>29</v>
      </c>
      <c r="N178" s="194" t="s">
        <v>87</v>
      </c>
      <c r="O178" s="194" t="s">
        <v>29</v>
      </c>
      <c r="Q178" s="193">
        <v>6</v>
      </c>
      <c r="R178" s="193">
        <v>2</v>
      </c>
      <c r="S178" s="193">
        <v>8</v>
      </c>
      <c r="T178" s="193">
        <v>19</v>
      </c>
      <c r="U178" s="193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94" t="s">
        <v>14</v>
      </c>
      <c r="L179" s="194" t="s">
        <v>15</v>
      </c>
      <c r="M179" s="194" t="s">
        <v>13</v>
      </c>
      <c r="N179" s="194" t="s">
        <v>28</v>
      </c>
      <c r="O179" s="194" t="s">
        <v>31</v>
      </c>
      <c r="Q179" s="193">
        <v>1</v>
      </c>
      <c r="R179" s="193">
        <v>2</v>
      </c>
      <c r="S179" s="193">
        <v>5</v>
      </c>
      <c r="T179" s="193">
        <v>9</v>
      </c>
      <c r="U179" s="193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93">
        <v>176</v>
      </c>
      <c r="K180" s="194" t="s">
        <v>31</v>
      </c>
      <c r="L180" s="194" t="s">
        <v>15</v>
      </c>
      <c r="M180" s="194" t="s">
        <v>13</v>
      </c>
      <c r="N180" s="194" t="s">
        <v>13</v>
      </c>
      <c r="O180" s="194" t="s">
        <v>30</v>
      </c>
      <c r="Q180" s="193">
        <v>7</v>
      </c>
      <c r="R180" s="193">
        <v>2</v>
      </c>
      <c r="S180" s="193">
        <v>5</v>
      </c>
      <c r="T180" s="193">
        <v>5</v>
      </c>
      <c r="U180" s="193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94" t="s">
        <v>16</v>
      </c>
      <c r="L181" s="194" t="s">
        <v>78</v>
      </c>
      <c r="M181" s="194" t="s">
        <v>31</v>
      </c>
      <c r="N181" s="194" t="s">
        <v>15</v>
      </c>
      <c r="O181" s="194" t="s">
        <v>30</v>
      </c>
      <c r="Q181" s="193">
        <v>3</v>
      </c>
      <c r="R181" s="193">
        <v>11</v>
      </c>
      <c r="S181" s="193">
        <v>7</v>
      </c>
      <c r="T181" s="193">
        <v>2</v>
      </c>
      <c r="U181" s="193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93">
        <v>178</v>
      </c>
      <c r="K182" s="194" t="s">
        <v>13</v>
      </c>
      <c r="L182" s="194" t="s">
        <v>30</v>
      </c>
      <c r="M182" s="194" t="s">
        <v>29</v>
      </c>
      <c r="N182" s="194" t="s">
        <v>14</v>
      </c>
      <c r="O182" s="194" t="s">
        <v>29</v>
      </c>
      <c r="Q182" s="193">
        <v>5</v>
      </c>
      <c r="R182" s="193">
        <v>10</v>
      </c>
      <c r="S182" s="193">
        <v>8</v>
      </c>
      <c r="T182" s="193">
        <v>1</v>
      </c>
      <c r="U182" s="193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94" t="s">
        <v>13</v>
      </c>
      <c r="L183" s="194" t="s">
        <v>28</v>
      </c>
      <c r="M183" s="194" t="s">
        <v>95</v>
      </c>
      <c r="N183" s="194" t="s">
        <v>29</v>
      </c>
      <c r="O183" s="194" t="s">
        <v>95</v>
      </c>
      <c r="Q183" s="193">
        <v>5</v>
      </c>
      <c r="R183" s="193">
        <v>9</v>
      </c>
      <c r="S183" s="193">
        <v>6</v>
      </c>
      <c r="T183" s="193">
        <v>8</v>
      </c>
      <c r="U183" s="193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93">
        <v>180</v>
      </c>
      <c r="K184" s="194" t="s">
        <v>13</v>
      </c>
      <c r="L184" s="194" t="s">
        <v>96</v>
      </c>
      <c r="M184" s="194" t="s">
        <v>95</v>
      </c>
      <c r="N184" s="194" t="s">
        <v>16</v>
      </c>
      <c r="O184" s="194" t="s">
        <v>12</v>
      </c>
      <c r="Q184" s="193">
        <v>5</v>
      </c>
      <c r="R184" s="193">
        <v>15</v>
      </c>
      <c r="S184" s="193">
        <v>6</v>
      </c>
      <c r="T184" s="193">
        <v>3</v>
      </c>
      <c r="U184" s="193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94" t="s">
        <v>29</v>
      </c>
      <c r="L185" s="194" t="s">
        <v>94</v>
      </c>
      <c r="M185" s="194" t="s">
        <v>13</v>
      </c>
      <c r="N185" s="194" t="s">
        <v>16</v>
      </c>
      <c r="O185" s="194" t="s">
        <v>29</v>
      </c>
      <c r="Q185" s="193">
        <v>8</v>
      </c>
      <c r="R185" s="193">
        <v>17</v>
      </c>
      <c r="S185" s="193">
        <v>5</v>
      </c>
      <c r="T185" s="193">
        <v>3</v>
      </c>
      <c r="U185" s="193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93">
        <v>182</v>
      </c>
      <c r="K186" s="194" t="s">
        <v>13</v>
      </c>
      <c r="L186" s="194" t="s">
        <v>31</v>
      </c>
      <c r="M186" s="194" t="s">
        <v>31</v>
      </c>
      <c r="N186" s="194" t="s">
        <v>95</v>
      </c>
      <c r="O186" s="194" t="s">
        <v>29</v>
      </c>
      <c r="Q186" s="193">
        <v>5</v>
      </c>
      <c r="R186" s="193">
        <v>7</v>
      </c>
      <c r="S186" s="193">
        <v>7</v>
      </c>
      <c r="T186" s="193">
        <v>6</v>
      </c>
      <c r="U186" s="193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94" t="s">
        <v>29</v>
      </c>
      <c r="L187" s="194" t="s">
        <v>28</v>
      </c>
      <c r="M187" s="194" t="s">
        <v>13</v>
      </c>
      <c r="N187" s="194" t="s">
        <v>96</v>
      </c>
      <c r="O187" s="194" t="s">
        <v>28</v>
      </c>
      <c r="Q187" s="193">
        <v>8</v>
      </c>
      <c r="R187" s="193">
        <v>9</v>
      </c>
      <c r="S187" s="193">
        <v>5</v>
      </c>
      <c r="T187" s="193">
        <v>15</v>
      </c>
      <c r="U187" s="193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93">
        <v>184</v>
      </c>
      <c r="K188" s="194" t="s">
        <v>12</v>
      </c>
      <c r="L188" s="194" t="s">
        <v>80</v>
      </c>
      <c r="M188" s="194" t="s">
        <v>29</v>
      </c>
      <c r="N188" s="194" t="s">
        <v>28</v>
      </c>
      <c r="O188" s="194" t="s">
        <v>30</v>
      </c>
      <c r="Q188" s="193">
        <v>4</v>
      </c>
      <c r="R188" s="193">
        <v>13</v>
      </c>
      <c r="S188" s="193">
        <v>8</v>
      </c>
      <c r="T188" s="193">
        <v>9</v>
      </c>
      <c r="U188" s="193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94" t="s">
        <v>29</v>
      </c>
      <c r="L189" s="194" t="s">
        <v>14</v>
      </c>
      <c r="M189" s="194" t="s">
        <v>13</v>
      </c>
      <c r="N189" s="194" t="s">
        <v>12</v>
      </c>
      <c r="O189" s="194" t="s">
        <v>29</v>
      </c>
      <c r="Q189" s="193">
        <v>8</v>
      </c>
      <c r="R189" s="193">
        <v>1</v>
      </c>
      <c r="S189" s="193">
        <v>5</v>
      </c>
      <c r="T189" s="193">
        <v>4</v>
      </c>
      <c r="U189" s="193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93">
        <v>186</v>
      </c>
      <c r="K190" s="194" t="s">
        <v>13</v>
      </c>
      <c r="L190" s="194" t="s">
        <v>85</v>
      </c>
      <c r="M190" s="194" t="s">
        <v>13</v>
      </c>
      <c r="N190" s="194" t="s">
        <v>14</v>
      </c>
      <c r="O190" s="194" t="s">
        <v>29</v>
      </c>
      <c r="Q190" s="193">
        <v>5</v>
      </c>
      <c r="R190" s="193">
        <v>18</v>
      </c>
      <c r="S190" s="193">
        <v>5</v>
      </c>
      <c r="T190" s="193">
        <v>1</v>
      </c>
      <c r="U190" s="193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94" t="s">
        <v>29</v>
      </c>
      <c r="L191" s="194" t="s">
        <v>15</v>
      </c>
      <c r="M191" s="194" t="s">
        <v>29</v>
      </c>
      <c r="N191" s="194" t="s">
        <v>95</v>
      </c>
      <c r="O191" s="194" t="s">
        <v>31</v>
      </c>
      <c r="Q191" s="193">
        <v>8</v>
      </c>
      <c r="R191" s="193">
        <v>2</v>
      </c>
      <c r="S191" s="193">
        <v>8</v>
      </c>
      <c r="T191" s="193">
        <v>6</v>
      </c>
      <c r="U191" s="193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93">
        <v>188</v>
      </c>
      <c r="K192" s="194" t="s">
        <v>95</v>
      </c>
      <c r="L192" s="194" t="s">
        <v>31</v>
      </c>
      <c r="M192" s="194" t="s">
        <v>29</v>
      </c>
      <c r="N192" s="194" t="s">
        <v>16</v>
      </c>
      <c r="O192" s="194" t="s">
        <v>31</v>
      </c>
      <c r="Q192" s="193">
        <v>6</v>
      </c>
      <c r="R192" s="193">
        <v>7</v>
      </c>
      <c r="S192" s="193">
        <v>8</v>
      </c>
      <c r="T192" s="193">
        <v>3</v>
      </c>
      <c r="U192" s="193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94" t="s">
        <v>13</v>
      </c>
      <c r="L193" s="194" t="s">
        <v>28</v>
      </c>
      <c r="M193" s="194" t="s">
        <v>31</v>
      </c>
      <c r="N193" s="194" t="s">
        <v>13</v>
      </c>
      <c r="O193" s="194" t="s">
        <v>28</v>
      </c>
      <c r="Q193" s="193">
        <v>5</v>
      </c>
      <c r="R193" s="193">
        <v>9</v>
      </c>
      <c r="S193" s="193">
        <v>7</v>
      </c>
      <c r="T193" s="193">
        <v>5</v>
      </c>
      <c r="U193" s="193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93">
        <v>190</v>
      </c>
      <c r="K194" s="194" t="s">
        <v>29</v>
      </c>
      <c r="L194" s="194" t="s">
        <v>80</v>
      </c>
      <c r="M194" s="194" t="s">
        <v>95</v>
      </c>
      <c r="N194" s="194" t="s">
        <v>13</v>
      </c>
      <c r="O194" s="194" t="s">
        <v>12</v>
      </c>
      <c r="Q194" s="193">
        <v>8</v>
      </c>
      <c r="R194" s="193">
        <v>13</v>
      </c>
      <c r="S194" s="193">
        <v>6</v>
      </c>
      <c r="T194" s="193">
        <v>5</v>
      </c>
      <c r="U194" s="193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94" t="s">
        <v>28</v>
      </c>
      <c r="L195" s="194" t="s">
        <v>95</v>
      </c>
      <c r="M195" s="194" t="s">
        <v>28</v>
      </c>
      <c r="N195" s="194" t="s">
        <v>87</v>
      </c>
      <c r="O195" s="194" t="s">
        <v>29</v>
      </c>
      <c r="Q195" s="193">
        <v>9</v>
      </c>
      <c r="R195" s="193">
        <v>6</v>
      </c>
      <c r="S195" s="193">
        <v>9</v>
      </c>
      <c r="T195" s="193">
        <v>19</v>
      </c>
      <c r="U195" s="193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93">
        <v>192</v>
      </c>
      <c r="K196" s="194" t="s">
        <v>13</v>
      </c>
      <c r="L196" s="194" t="s">
        <v>15</v>
      </c>
      <c r="M196" s="194" t="s">
        <v>13</v>
      </c>
      <c r="N196" s="194" t="s">
        <v>29</v>
      </c>
      <c r="O196" s="194" t="s">
        <v>95</v>
      </c>
      <c r="Q196" s="193">
        <v>5</v>
      </c>
      <c r="R196" s="193">
        <v>2</v>
      </c>
      <c r="S196" s="193">
        <v>5</v>
      </c>
      <c r="T196" s="193">
        <v>8</v>
      </c>
      <c r="U196" s="193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94" t="s">
        <v>29</v>
      </c>
      <c r="L197" s="194" t="s">
        <v>82</v>
      </c>
      <c r="M197" s="194" t="s">
        <v>31</v>
      </c>
      <c r="N197" s="194" t="s">
        <v>16</v>
      </c>
      <c r="O197" s="194" t="s">
        <v>29</v>
      </c>
      <c r="Q197" s="193">
        <v>8</v>
      </c>
      <c r="R197" s="193">
        <v>16</v>
      </c>
      <c r="S197" s="193">
        <v>7</v>
      </c>
      <c r="T197" s="193">
        <v>3</v>
      </c>
      <c r="U197" s="193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93">
        <v>194</v>
      </c>
      <c r="K198" s="194" t="s">
        <v>31</v>
      </c>
      <c r="L198" s="194" t="s">
        <v>12</v>
      </c>
      <c r="M198" s="194" t="s">
        <v>31</v>
      </c>
      <c r="N198" s="194" t="s">
        <v>30</v>
      </c>
      <c r="O198" s="194" t="s">
        <v>16</v>
      </c>
      <c r="Q198" s="193">
        <v>7</v>
      </c>
      <c r="R198" s="193">
        <v>4</v>
      </c>
      <c r="S198" s="193">
        <v>7</v>
      </c>
      <c r="T198" s="193">
        <v>10</v>
      </c>
      <c r="U198" s="193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94" t="s">
        <v>13</v>
      </c>
      <c r="L199" s="194" t="s">
        <v>28</v>
      </c>
      <c r="M199" s="194" t="s">
        <v>13</v>
      </c>
      <c r="N199" s="194" t="s">
        <v>13</v>
      </c>
      <c r="O199" s="194" t="s">
        <v>31</v>
      </c>
      <c r="Q199" s="193">
        <v>5</v>
      </c>
      <c r="R199" s="193">
        <v>9</v>
      </c>
      <c r="S199" s="193">
        <v>5</v>
      </c>
      <c r="T199" s="193">
        <v>5</v>
      </c>
      <c r="U199" s="193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93">
        <v>196</v>
      </c>
      <c r="K200" s="194" t="s">
        <v>95</v>
      </c>
      <c r="L200" s="194" t="s">
        <v>85</v>
      </c>
      <c r="M200" s="194" t="s">
        <v>29</v>
      </c>
      <c r="N200" s="194" t="s">
        <v>28</v>
      </c>
      <c r="O200" s="194" t="s">
        <v>31</v>
      </c>
      <c r="Q200" s="193">
        <v>6</v>
      </c>
      <c r="R200" s="193">
        <v>18</v>
      </c>
      <c r="S200" s="193">
        <v>8</v>
      </c>
      <c r="T200" s="193">
        <v>9</v>
      </c>
      <c r="U200" s="193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94" t="s">
        <v>13</v>
      </c>
      <c r="L201" s="194" t="s">
        <v>28</v>
      </c>
      <c r="M201" s="194" t="s">
        <v>95</v>
      </c>
      <c r="N201" s="194" t="s">
        <v>28</v>
      </c>
      <c r="O201" s="194" t="s">
        <v>95</v>
      </c>
      <c r="Q201" s="193">
        <v>5</v>
      </c>
      <c r="R201" s="193">
        <v>9</v>
      </c>
      <c r="S201" s="193">
        <v>6</v>
      </c>
      <c r="T201" s="193">
        <v>9</v>
      </c>
      <c r="U201" s="193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93">
        <v>198</v>
      </c>
      <c r="K202" s="194" t="s">
        <v>95</v>
      </c>
      <c r="L202" s="194" t="s">
        <v>13</v>
      </c>
      <c r="M202" s="194" t="s">
        <v>29</v>
      </c>
      <c r="N202" s="194" t="s">
        <v>96</v>
      </c>
      <c r="O202" s="194" t="s">
        <v>95</v>
      </c>
      <c r="Q202" s="193">
        <v>6</v>
      </c>
      <c r="R202" s="193">
        <v>5</v>
      </c>
      <c r="S202" s="193">
        <v>8</v>
      </c>
      <c r="T202" s="193">
        <v>15</v>
      </c>
      <c r="U202" s="193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94" t="s">
        <v>31</v>
      </c>
      <c r="L203" s="194" t="s">
        <v>79</v>
      </c>
      <c r="M203" s="194" t="s">
        <v>29</v>
      </c>
      <c r="N203" s="194" t="s">
        <v>79</v>
      </c>
      <c r="O203" s="194" t="s">
        <v>12</v>
      </c>
      <c r="Q203" s="193">
        <v>7</v>
      </c>
      <c r="R203" s="193">
        <v>12</v>
      </c>
      <c r="S203" s="193">
        <v>8</v>
      </c>
      <c r="T203" s="193">
        <v>12</v>
      </c>
      <c r="U203" s="193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09" priority="65">
      <formula>_xlfn.LET(_xlpm.x, W4, AND(NOT(_xlfn.ISFORMULA(_xlpm.x)), _xlpm.x&lt;&gt;""))</formula>
    </cfRule>
  </conditionalFormatting>
  <conditionalFormatting sqref="W5:AA203 X4:AA4">
    <cfRule type="expression" dxfId="108" priority="60">
      <formula>_xlfn.LET(_xlpm.x, W4, AND(NOT(_xlfn.ISFORMULA(_xlpm.x)), _xlpm.x&lt;&gt;""))</formula>
    </cfRule>
  </conditionalFormatting>
  <conditionalFormatting sqref="W4:AA203">
    <cfRule type="expression" dxfId="107" priority="19">
      <formula>_xlfn.LET(_xlpm.x, W4, AND(NOT(_xlfn.ISFORMULA(_xlpm.x)), _xlpm.x&lt;&gt;""))</formula>
    </cfRule>
  </conditionalFormatting>
  <conditionalFormatting sqref="K1:O1048576">
    <cfRule type="cellIs" dxfId="106" priority="15" operator="equal">
      <formula>"C1"</formula>
    </cfRule>
    <cfRule type="cellIs" dxfId="105" priority="16" operator="between">
      <formula>"G1"</formula>
      <formula>"G5"</formula>
    </cfRule>
    <cfRule type="cellIs" dxfId="104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03" priority="10" operator="equal">
      <formula>"C1"</formula>
    </cfRule>
    <cfRule type="cellIs" dxfId="102" priority="11" operator="between">
      <formula>"G1"</formula>
      <formula>"G4"</formula>
    </cfRule>
    <cfRule type="cellIs" dxfId="101" priority="12" operator="between">
      <formula>"GA"</formula>
      <formula>"GQ"</formula>
    </cfRule>
    <cfRule type="cellIs" dxfId="100" priority="13" operator="between">
      <formula>"M1"</formula>
      <formula>"M4"</formula>
    </cfRule>
  </conditionalFormatting>
  <conditionalFormatting sqref="E52:E54">
    <cfRule type="cellIs" dxfId="99" priority="6" operator="equal">
      <formula>"C1"</formula>
    </cfRule>
    <cfRule type="cellIs" dxfId="98" priority="7" operator="between">
      <formula>"G1"</formula>
      <formula>"G4"</formula>
    </cfRule>
    <cfRule type="cellIs" dxfId="97" priority="8" operator="between">
      <formula>"GA"</formula>
      <formula>"GQ"</formula>
    </cfRule>
    <cfRule type="cellIs" dxfId="96" priority="9" operator="between">
      <formula>"M1"</formula>
      <formula>"M4"</formula>
    </cfRule>
  </conditionalFormatting>
  <conditionalFormatting sqref="F52:F54">
    <cfRule type="cellIs" dxfId="95" priority="2" operator="equal">
      <formula>"C1"</formula>
    </cfRule>
    <cfRule type="cellIs" dxfId="94" priority="3" operator="between">
      <formula>"G1"</formula>
      <formula>"G4"</formula>
    </cfRule>
    <cfRule type="cellIs" dxfId="93" priority="4" operator="between">
      <formula>"GA"</formula>
      <formula>"GQ"</formula>
    </cfRule>
    <cfRule type="cellIs" dxfId="92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290</v>
      </c>
      <c r="W2" s="25" t="s">
        <v>99</v>
      </c>
      <c r="AC2" s="25" t="s">
        <v>292</v>
      </c>
      <c r="AH2" s="5"/>
      <c r="AI2" s="5"/>
      <c r="AJ2" s="25" t="s">
        <v>93</v>
      </c>
      <c r="AO2" s="5"/>
    </row>
    <row r="3" spans="1:41" ht="15.9" customHeight="1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297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5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>
      <c r="A4" s="201" t="s">
        <v>293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31</v>
      </c>
      <c r="L4" s="24" t="s">
        <v>95</v>
      </c>
      <c r="M4" s="24" t="s">
        <v>81</v>
      </c>
      <c r="N4" s="24" t="s">
        <v>94</v>
      </c>
      <c r="O4" s="24" t="s">
        <v>29</v>
      </c>
      <c r="Q4" s="23">
        <v>7</v>
      </c>
      <c r="R4" s="23">
        <v>6</v>
      </c>
      <c r="S4" s="23">
        <v>14</v>
      </c>
      <c r="T4" s="23">
        <v>17</v>
      </c>
      <c r="U4" s="23">
        <v>8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294</v>
      </c>
      <c r="AH4" s="5"/>
      <c r="AI4" s="5"/>
      <c r="AJ4" s="25" t="s">
        <v>294</v>
      </c>
      <c r="AO4" s="5"/>
    </row>
    <row r="5" spans="1:41" ht="15.9" customHeight="1">
      <c r="A5" s="201" t="s">
        <v>14</v>
      </c>
      <c r="B5" s="199" t="s">
        <v>39</v>
      </c>
      <c r="C5" s="201">
        <v>2</v>
      </c>
      <c r="D5" s="201">
        <v>2</v>
      </c>
      <c r="E5" s="201">
        <v>0</v>
      </c>
      <c r="F5" s="201">
        <v>3</v>
      </c>
      <c r="G5" s="201">
        <v>3</v>
      </c>
      <c r="H5" s="199">
        <v>1</v>
      </c>
      <c r="I5" s="82"/>
      <c r="J5" s="193">
        <v>1</v>
      </c>
      <c r="K5" s="194" t="s">
        <v>12</v>
      </c>
      <c r="L5" s="194" t="s">
        <v>96</v>
      </c>
      <c r="M5" s="194" t="s">
        <v>96</v>
      </c>
      <c r="N5" s="194" t="s">
        <v>29</v>
      </c>
      <c r="O5" s="194" t="s">
        <v>31</v>
      </c>
      <c r="Q5" s="193">
        <v>4</v>
      </c>
      <c r="R5" s="193">
        <v>15</v>
      </c>
      <c r="S5" s="193">
        <v>15</v>
      </c>
      <c r="T5" s="193">
        <v>8</v>
      </c>
      <c r="U5" s="193">
        <v>7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>
      <c r="A6" s="200" t="s">
        <v>15</v>
      </c>
      <c r="B6" s="134" t="s">
        <v>15</v>
      </c>
      <c r="C6" s="200">
        <v>3</v>
      </c>
      <c r="D6" s="200">
        <v>10</v>
      </c>
      <c r="E6" s="200">
        <v>0</v>
      </c>
      <c r="F6" s="200">
        <v>3</v>
      </c>
      <c r="G6" s="200">
        <v>9</v>
      </c>
      <c r="H6" s="134">
        <v>2</v>
      </c>
      <c r="I6" s="82"/>
      <c r="J6" s="23">
        <v>2</v>
      </c>
      <c r="K6" s="194" t="s">
        <v>95</v>
      </c>
      <c r="L6" s="194" t="s">
        <v>13</v>
      </c>
      <c r="M6" s="194" t="s">
        <v>94</v>
      </c>
      <c r="N6" s="194" t="s">
        <v>30</v>
      </c>
      <c r="O6" s="194" t="s">
        <v>29</v>
      </c>
      <c r="Q6" s="193">
        <v>6</v>
      </c>
      <c r="R6" s="193">
        <v>5</v>
      </c>
      <c r="S6" s="193">
        <v>17</v>
      </c>
      <c r="T6" s="193">
        <v>10</v>
      </c>
      <c r="U6" s="193">
        <v>8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9" t="s">
        <v>293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293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>
      <c r="A7" s="200" t="s">
        <v>16</v>
      </c>
      <c r="B7" s="134" t="s">
        <v>16</v>
      </c>
      <c r="C7" s="200">
        <v>3</v>
      </c>
      <c r="D7" s="200">
        <v>12</v>
      </c>
      <c r="E7" s="200">
        <v>0</v>
      </c>
      <c r="F7" s="200">
        <v>3</v>
      </c>
      <c r="G7" s="200">
        <v>8</v>
      </c>
      <c r="H7" s="134">
        <v>3</v>
      </c>
      <c r="I7" s="82"/>
      <c r="J7" s="193">
        <v>3</v>
      </c>
      <c r="K7" s="194" t="s">
        <v>31</v>
      </c>
      <c r="L7" s="24" t="s">
        <v>31</v>
      </c>
      <c r="M7" s="194" t="s">
        <v>81</v>
      </c>
      <c r="N7" s="194" t="s">
        <v>13</v>
      </c>
      <c r="O7" s="194" t="s">
        <v>95</v>
      </c>
      <c r="Q7" s="193">
        <v>7</v>
      </c>
      <c r="R7" s="193">
        <v>7</v>
      </c>
      <c r="S7" s="193">
        <v>14</v>
      </c>
      <c r="T7" s="193">
        <v>5</v>
      </c>
      <c r="U7" s="193">
        <v>6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9" t="s">
        <v>14</v>
      </c>
      <c r="AD7" s="199">
        <v>1</v>
      </c>
      <c r="AE7" s="199">
        <v>1</v>
      </c>
      <c r="AF7" s="199">
        <v>0</v>
      </c>
      <c r="AG7" s="199">
        <v>1</v>
      </c>
      <c r="AH7" s="199">
        <v>1</v>
      </c>
      <c r="AI7" s="5"/>
      <c r="AJ7" s="199" t="s">
        <v>14</v>
      </c>
      <c r="AK7" s="199">
        <v>1</v>
      </c>
      <c r="AL7" s="199">
        <v>1</v>
      </c>
      <c r="AM7" s="199">
        <v>0</v>
      </c>
      <c r="AN7" s="199">
        <v>1</v>
      </c>
      <c r="AO7" s="199">
        <v>1</v>
      </c>
    </row>
    <row r="8" spans="1:41" ht="15.9" customHeight="1">
      <c r="A8" s="200" t="s">
        <v>12</v>
      </c>
      <c r="B8" s="134" t="s">
        <v>12</v>
      </c>
      <c r="C8" s="200">
        <v>7</v>
      </c>
      <c r="D8" s="200">
        <v>13</v>
      </c>
      <c r="E8" s="200">
        <v>0</v>
      </c>
      <c r="F8" s="200">
        <v>7</v>
      </c>
      <c r="G8" s="200">
        <v>14</v>
      </c>
      <c r="H8" s="134">
        <v>4</v>
      </c>
      <c r="I8" s="82"/>
      <c r="J8" s="23">
        <v>4</v>
      </c>
      <c r="K8" s="194" t="s">
        <v>28</v>
      </c>
      <c r="L8" s="194" t="s">
        <v>13</v>
      </c>
      <c r="M8" s="194" t="s">
        <v>82</v>
      </c>
      <c r="N8" s="194" t="s">
        <v>30</v>
      </c>
      <c r="O8" s="194" t="s">
        <v>13</v>
      </c>
      <c r="Q8" s="193">
        <v>9</v>
      </c>
      <c r="R8" s="193">
        <v>5</v>
      </c>
      <c r="S8" s="193">
        <v>16</v>
      </c>
      <c r="T8" s="193">
        <v>10</v>
      </c>
      <c r="U8" s="193">
        <v>5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4" t="s">
        <v>15</v>
      </c>
      <c r="AD8" s="200">
        <v>3</v>
      </c>
      <c r="AE8" s="200">
        <v>10</v>
      </c>
      <c r="AF8" s="200">
        <v>0</v>
      </c>
      <c r="AG8" s="200">
        <v>3</v>
      </c>
      <c r="AH8" s="200">
        <v>9</v>
      </c>
      <c r="AI8" s="5"/>
      <c r="AJ8" s="134" t="s">
        <v>15</v>
      </c>
      <c r="AK8" s="200">
        <v>3</v>
      </c>
      <c r="AL8" s="200">
        <v>10</v>
      </c>
      <c r="AM8" s="200">
        <v>0</v>
      </c>
      <c r="AN8" s="200">
        <v>3</v>
      </c>
      <c r="AO8" s="200">
        <v>9</v>
      </c>
    </row>
    <row r="9" spans="1:41" ht="15.9" customHeight="1">
      <c r="A9" s="200" t="s">
        <v>13</v>
      </c>
      <c r="B9" s="134" t="s">
        <v>13</v>
      </c>
      <c r="C9" s="200">
        <v>43</v>
      </c>
      <c r="D9" s="200">
        <v>22</v>
      </c>
      <c r="E9" s="200">
        <v>0</v>
      </c>
      <c r="F9" s="200">
        <v>31</v>
      </c>
      <c r="G9" s="200">
        <v>36</v>
      </c>
      <c r="H9" s="134">
        <v>5</v>
      </c>
      <c r="I9" s="82"/>
      <c r="J9" s="193">
        <v>5</v>
      </c>
      <c r="K9" s="194" t="s">
        <v>29</v>
      </c>
      <c r="L9" s="194" t="s">
        <v>31</v>
      </c>
      <c r="M9" s="194" t="s">
        <v>94</v>
      </c>
      <c r="N9" s="194" t="s">
        <v>29</v>
      </c>
      <c r="O9" s="194" t="s">
        <v>95</v>
      </c>
      <c r="Q9" s="193">
        <v>8</v>
      </c>
      <c r="R9" s="193">
        <v>7</v>
      </c>
      <c r="S9" s="193">
        <v>17</v>
      </c>
      <c r="T9" s="193">
        <v>8</v>
      </c>
      <c r="U9" s="193">
        <v>6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4" t="s">
        <v>16</v>
      </c>
      <c r="AD9" s="200">
        <v>3</v>
      </c>
      <c r="AE9" s="200">
        <v>12</v>
      </c>
      <c r="AF9" s="200">
        <v>0</v>
      </c>
      <c r="AG9" s="200">
        <v>3</v>
      </c>
      <c r="AH9" s="200">
        <v>8</v>
      </c>
      <c r="AI9" s="5"/>
      <c r="AJ9" s="134" t="s">
        <v>16</v>
      </c>
      <c r="AK9" s="200">
        <v>3</v>
      </c>
      <c r="AL9" s="200">
        <v>12</v>
      </c>
      <c r="AM9" s="200">
        <v>0</v>
      </c>
      <c r="AN9" s="200">
        <v>3</v>
      </c>
      <c r="AO9" s="200">
        <v>8</v>
      </c>
    </row>
    <row r="10" spans="1:41" ht="15.9" customHeight="1">
      <c r="A10" s="200" t="s">
        <v>95</v>
      </c>
      <c r="B10" s="134" t="s">
        <v>95</v>
      </c>
      <c r="C10" s="200">
        <v>42</v>
      </c>
      <c r="D10" s="200">
        <v>22</v>
      </c>
      <c r="E10" s="200">
        <v>0</v>
      </c>
      <c r="F10" s="200">
        <v>27</v>
      </c>
      <c r="G10" s="200">
        <v>34</v>
      </c>
      <c r="H10" s="134">
        <v>6</v>
      </c>
      <c r="I10" s="82"/>
      <c r="J10" s="23">
        <v>6</v>
      </c>
      <c r="K10" s="194" t="s">
        <v>12</v>
      </c>
      <c r="L10" s="194" t="s">
        <v>28</v>
      </c>
      <c r="M10" s="194" t="s">
        <v>82</v>
      </c>
      <c r="N10" s="194" t="s">
        <v>81</v>
      </c>
      <c r="O10" s="194" t="s">
        <v>13</v>
      </c>
      <c r="Q10" s="193">
        <v>4</v>
      </c>
      <c r="R10" s="193">
        <v>9</v>
      </c>
      <c r="S10" s="193">
        <v>16</v>
      </c>
      <c r="T10" s="193">
        <v>14</v>
      </c>
      <c r="U10" s="193">
        <v>5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4" t="s">
        <v>12</v>
      </c>
      <c r="AD10" s="200">
        <v>7</v>
      </c>
      <c r="AE10" s="200">
        <v>13</v>
      </c>
      <c r="AF10" s="200">
        <v>0</v>
      </c>
      <c r="AG10" s="200">
        <v>7</v>
      </c>
      <c r="AH10" s="200">
        <v>14</v>
      </c>
      <c r="AI10" s="5"/>
      <c r="AJ10" s="134" t="s">
        <v>12</v>
      </c>
      <c r="AK10" s="200">
        <v>7</v>
      </c>
      <c r="AL10" s="200">
        <v>13</v>
      </c>
      <c r="AM10" s="200">
        <v>0</v>
      </c>
      <c r="AN10" s="200">
        <v>7</v>
      </c>
      <c r="AO10" s="200">
        <v>14</v>
      </c>
    </row>
    <row r="11" spans="1:41" ht="15.9" customHeight="1">
      <c r="A11" s="200" t="s">
        <v>31</v>
      </c>
      <c r="B11" s="134" t="s">
        <v>31</v>
      </c>
      <c r="C11" s="200">
        <v>43</v>
      </c>
      <c r="D11" s="200">
        <v>27</v>
      </c>
      <c r="E11" s="200">
        <v>0</v>
      </c>
      <c r="F11" s="200">
        <v>31</v>
      </c>
      <c r="G11" s="200">
        <v>35</v>
      </c>
      <c r="H11" s="134">
        <v>7</v>
      </c>
      <c r="I11" s="82"/>
      <c r="J11" s="193">
        <v>7</v>
      </c>
      <c r="K11" s="194" t="s">
        <v>95</v>
      </c>
      <c r="L11" s="194" t="s">
        <v>85</v>
      </c>
      <c r="M11" s="194" t="s">
        <v>94</v>
      </c>
      <c r="N11" s="194" t="s">
        <v>94</v>
      </c>
      <c r="O11" s="194" t="s">
        <v>95</v>
      </c>
      <c r="Q11" s="193">
        <v>6</v>
      </c>
      <c r="R11" s="193">
        <v>18</v>
      </c>
      <c r="S11" s="193">
        <v>17</v>
      </c>
      <c r="T11" s="193">
        <v>17</v>
      </c>
      <c r="U11" s="193">
        <v>6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4" t="s">
        <v>13</v>
      </c>
      <c r="AD11" s="200">
        <v>43</v>
      </c>
      <c r="AE11" s="200">
        <v>22</v>
      </c>
      <c r="AF11" s="200">
        <v>0</v>
      </c>
      <c r="AG11" s="200">
        <v>31</v>
      </c>
      <c r="AH11" s="200">
        <v>36</v>
      </c>
      <c r="AI11" s="5"/>
      <c r="AJ11" s="134" t="s">
        <v>13</v>
      </c>
      <c r="AK11" s="200">
        <v>43</v>
      </c>
      <c r="AL11" s="200">
        <v>22</v>
      </c>
      <c r="AM11" s="200">
        <v>0</v>
      </c>
      <c r="AN11" s="200">
        <v>31</v>
      </c>
      <c r="AO11" s="200">
        <v>36</v>
      </c>
    </row>
    <row r="12" spans="1:41" ht="15.9" customHeight="1">
      <c r="A12" s="200" t="s">
        <v>29</v>
      </c>
      <c r="B12" s="134" t="s">
        <v>29</v>
      </c>
      <c r="C12" s="200">
        <v>43</v>
      </c>
      <c r="D12" s="200">
        <v>24</v>
      </c>
      <c r="E12" s="200">
        <v>0</v>
      </c>
      <c r="F12" s="200">
        <v>32</v>
      </c>
      <c r="G12" s="200">
        <v>34</v>
      </c>
      <c r="H12" s="134">
        <v>8</v>
      </c>
      <c r="I12" s="82"/>
      <c r="J12" s="23">
        <v>8</v>
      </c>
      <c r="K12" s="194" t="s">
        <v>30</v>
      </c>
      <c r="L12" s="194" t="s">
        <v>16</v>
      </c>
      <c r="M12" s="194" t="s">
        <v>82</v>
      </c>
      <c r="N12" s="194" t="s">
        <v>31</v>
      </c>
      <c r="O12" s="194" t="s">
        <v>31</v>
      </c>
      <c r="Q12" s="193">
        <v>10</v>
      </c>
      <c r="R12" s="193">
        <v>3</v>
      </c>
      <c r="S12" s="193">
        <v>16</v>
      </c>
      <c r="T12" s="193">
        <v>7</v>
      </c>
      <c r="U12" s="193">
        <v>7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4" t="s">
        <v>95</v>
      </c>
      <c r="AD12" s="200">
        <v>42</v>
      </c>
      <c r="AE12" s="200">
        <v>22</v>
      </c>
      <c r="AF12" s="200">
        <v>0</v>
      </c>
      <c r="AG12" s="200">
        <v>27</v>
      </c>
      <c r="AH12" s="200">
        <v>34</v>
      </c>
      <c r="AI12" s="5"/>
      <c r="AJ12" s="134" t="s">
        <v>95</v>
      </c>
      <c r="AK12" s="200">
        <v>42</v>
      </c>
      <c r="AL12" s="200">
        <v>22</v>
      </c>
      <c r="AM12" s="200">
        <v>0</v>
      </c>
      <c r="AN12" s="200">
        <v>27</v>
      </c>
      <c r="AO12" s="200">
        <v>34</v>
      </c>
    </row>
    <row r="13" spans="1:41" ht="15.9" customHeight="1">
      <c r="A13" s="200" t="s">
        <v>28</v>
      </c>
      <c r="B13" s="134" t="s">
        <v>28</v>
      </c>
      <c r="C13" s="200">
        <v>7</v>
      </c>
      <c r="D13" s="200">
        <v>12</v>
      </c>
      <c r="E13" s="200">
        <v>0</v>
      </c>
      <c r="F13" s="200">
        <v>6</v>
      </c>
      <c r="G13" s="200">
        <v>13</v>
      </c>
      <c r="H13" s="134">
        <v>9</v>
      </c>
      <c r="I13" s="82"/>
      <c r="J13" s="193">
        <v>9</v>
      </c>
      <c r="K13" s="194" t="s">
        <v>15</v>
      </c>
      <c r="L13" s="194" t="s">
        <v>82</v>
      </c>
      <c r="M13" s="194" t="s">
        <v>96</v>
      </c>
      <c r="N13" s="194" t="s">
        <v>81</v>
      </c>
      <c r="O13" s="194" t="s">
        <v>28</v>
      </c>
      <c r="Q13" s="193">
        <v>2</v>
      </c>
      <c r="R13" s="193">
        <v>16</v>
      </c>
      <c r="S13" s="193">
        <v>15</v>
      </c>
      <c r="T13" s="193">
        <v>14</v>
      </c>
      <c r="U13" s="193">
        <v>9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4" t="s">
        <v>31</v>
      </c>
      <c r="AD13" s="200">
        <v>43</v>
      </c>
      <c r="AE13" s="200">
        <v>27</v>
      </c>
      <c r="AF13" s="200">
        <v>0</v>
      </c>
      <c r="AG13" s="200">
        <v>31</v>
      </c>
      <c r="AH13" s="200">
        <v>35</v>
      </c>
      <c r="AI13" s="5"/>
      <c r="AJ13" s="134" t="s">
        <v>31</v>
      </c>
      <c r="AK13" s="200">
        <v>43</v>
      </c>
      <c r="AL13" s="200">
        <v>27</v>
      </c>
      <c r="AM13" s="200">
        <v>0</v>
      </c>
      <c r="AN13" s="200">
        <v>31</v>
      </c>
      <c r="AO13" s="200">
        <v>35</v>
      </c>
    </row>
    <row r="14" spans="1:41" ht="15.9" customHeight="1">
      <c r="A14" s="200" t="s">
        <v>30</v>
      </c>
      <c r="B14" s="134" t="s">
        <v>30</v>
      </c>
      <c r="C14" s="200">
        <v>7</v>
      </c>
      <c r="D14" s="200">
        <v>8</v>
      </c>
      <c r="E14" s="200">
        <v>0</v>
      </c>
      <c r="F14" s="200">
        <v>7</v>
      </c>
      <c r="G14" s="200">
        <v>14</v>
      </c>
      <c r="H14" s="134">
        <v>10</v>
      </c>
      <c r="I14" s="82"/>
      <c r="J14" s="23">
        <v>10</v>
      </c>
      <c r="K14" s="194" t="s">
        <v>31</v>
      </c>
      <c r="L14" s="194" t="s">
        <v>29</v>
      </c>
      <c r="M14" s="194" t="s">
        <v>82</v>
      </c>
      <c r="N14" s="194" t="s">
        <v>13</v>
      </c>
      <c r="O14" s="194" t="s">
        <v>15</v>
      </c>
      <c r="Q14" s="193">
        <v>7</v>
      </c>
      <c r="R14" s="193">
        <v>8</v>
      </c>
      <c r="S14" s="193">
        <v>16</v>
      </c>
      <c r="T14" s="193">
        <v>5</v>
      </c>
      <c r="U14" s="193">
        <v>2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4" t="s">
        <v>29</v>
      </c>
      <c r="AD14" s="200">
        <v>43</v>
      </c>
      <c r="AE14" s="200">
        <v>24</v>
      </c>
      <c r="AF14" s="200">
        <v>0</v>
      </c>
      <c r="AG14" s="200">
        <v>32</v>
      </c>
      <c r="AH14" s="200">
        <v>34</v>
      </c>
      <c r="AI14" s="5"/>
      <c r="AJ14" s="134" t="s">
        <v>29</v>
      </c>
      <c r="AK14" s="200">
        <v>43</v>
      </c>
      <c r="AL14" s="200">
        <v>24</v>
      </c>
      <c r="AM14" s="200">
        <v>0</v>
      </c>
      <c r="AN14" s="200">
        <v>32</v>
      </c>
      <c r="AO14" s="200">
        <v>34</v>
      </c>
    </row>
    <row r="15" spans="1:41" ht="15.9" customHeight="1">
      <c r="A15" s="201" t="s">
        <v>78</v>
      </c>
      <c r="B15" s="199" t="s">
        <v>312</v>
      </c>
      <c r="C15" s="201">
        <v>0</v>
      </c>
      <c r="D15" s="201">
        <v>2</v>
      </c>
      <c r="E15" s="201">
        <v>3</v>
      </c>
      <c r="F15" s="201">
        <v>1</v>
      </c>
      <c r="G15" s="201">
        <v>0</v>
      </c>
      <c r="H15" s="199">
        <v>11</v>
      </c>
      <c r="I15" s="82"/>
      <c r="J15" s="193">
        <v>11</v>
      </c>
      <c r="K15" s="194" t="s">
        <v>95</v>
      </c>
      <c r="L15" s="194" t="s">
        <v>94</v>
      </c>
      <c r="M15" s="194" t="s">
        <v>87</v>
      </c>
      <c r="N15" s="194" t="s">
        <v>30</v>
      </c>
      <c r="O15" s="194" t="s">
        <v>28</v>
      </c>
      <c r="Q15" s="193">
        <v>6</v>
      </c>
      <c r="R15" s="193">
        <v>17</v>
      </c>
      <c r="S15" s="193">
        <v>19</v>
      </c>
      <c r="T15" s="193">
        <v>10</v>
      </c>
      <c r="U15" s="193">
        <v>9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4" t="s">
        <v>28</v>
      </c>
      <c r="AD15" s="200">
        <v>7</v>
      </c>
      <c r="AE15" s="200">
        <v>12</v>
      </c>
      <c r="AF15" s="200">
        <v>0</v>
      </c>
      <c r="AG15" s="200">
        <v>6</v>
      </c>
      <c r="AH15" s="200">
        <v>13</v>
      </c>
      <c r="AI15" s="5"/>
      <c r="AJ15" s="134" t="s">
        <v>28</v>
      </c>
      <c r="AK15" s="200">
        <v>7</v>
      </c>
      <c r="AL15" s="200">
        <v>12</v>
      </c>
      <c r="AM15" s="200">
        <v>0</v>
      </c>
      <c r="AN15" s="200">
        <v>6</v>
      </c>
      <c r="AO15" s="200">
        <v>13</v>
      </c>
    </row>
    <row r="16" spans="1:41" ht="15.9" customHeight="1">
      <c r="A16" s="201" t="s">
        <v>79</v>
      </c>
      <c r="B16" s="199" t="s">
        <v>313</v>
      </c>
      <c r="C16" s="201">
        <v>0</v>
      </c>
      <c r="D16" s="201">
        <v>3</v>
      </c>
      <c r="E16" s="201">
        <v>3</v>
      </c>
      <c r="F16" s="201">
        <v>1</v>
      </c>
      <c r="G16" s="201">
        <v>0</v>
      </c>
      <c r="H16" s="199">
        <v>12</v>
      </c>
      <c r="I16" s="82"/>
      <c r="J16" s="23">
        <v>12</v>
      </c>
      <c r="K16" s="194" t="s">
        <v>30</v>
      </c>
      <c r="L16" s="194" t="s">
        <v>95</v>
      </c>
      <c r="M16" s="194" t="s">
        <v>80</v>
      </c>
      <c r="N16" s="194" t="s">
        <v>16</v>
      </c>
      <c r="O16" s="194" t="s">
        <v>12</v>
      </c>
      <c r="Q16" s="193">
        <v>10</v>
      </c>
      <c r="R16" s="193">
        <v>6</v>
      </c>
      <c r="S16" s="193">
        <v>13</v>
      </c>
      <c r="T16" s="193">
        <v>3</v>
      </c>
      <c r="U16" s="193">
        <v>4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4" t="s">
        <v>30</v>
      </c>
      <c r="AD16" s="200">
        <v>7</v>
      </c>
      <c r="AE16" s="200">
        <v>8</v>
      </c>
      <c r="AF16" s="200">
        <v>0</v>
      </c>
      <c r="AG16" s="200">
        <v>7</v>
      </c>
      <c r="AH16" s="200">
        <v>14</v>
      </c>
      <c r="AI16" s="5"/>
      <c r="AJ16" s="134" t="s">
        <v>30</v>
      </c>
      <c r="AK16" s="200">
        <v>7</v>
      </c>
      <c r="AL16" s="200">
        <v>8</v>
      </c>
      <c r="AM16" s="200">
        <v>0</v>
      </c>
      <c r="AN16" s="200">
        <v>7</v>
      </c>
      <c r="AO16" s="200">
        <v>14</v>
      </c>
    </row>
    <row r="17" spans="1:41" ht="15.9" customHeight="1">
      <c r="A17" s="201" t="s">
        <v>80</v>
      </c>
      <c r="B17" s="199" t="s">
        <v>314</v>
      </c>
      <c r="C17" s="201">
        <v>0</v>
      </c>
      <c r="D17" s="201">
        <v>3</v>
      </c>
      <c r="E17" s="201">
        <v>8</v>
      </c>
      <c r="F17" s="201">
        <v>2</v>
      </c>
      <c r="G17" s="201">
        <v>0</v>
      </c>
      <c r="H17" s="199">
        <v>13</v>
      </c>
      <c r="I17" s="82"/>
      <c r="J17" s="193">
        <v>13</v>
      </c>
      <c r="K17" s="194" t="s">
        <v>13</v>
      </c>
      <c r="L17" s="194" t="s">
        <v>81</v>
      </c>
      <c r="M17" s="194" t="s">
        <v>82</v>
      </c>
      <c r="N17" s="194" t="s">
        <v>29</v>
      </c>
      <c r="O17" s="194" t="s">
        <v>29</v>
      </c>
      <c r="Q17" s="193">
        <v>5</v>
      </c>
      <c r="R17" s="193">
        <v>14</v>
      </c>
      <c r="S17" s="193">
        <v>16</v>
      </c>
      <c r="T17" s="193">
        <v>8</v>
      </c>
      <c r="U17" s="193">
        <v>8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9" t="s">
        <v>78</v>
      </c>
      <c r="AD17" s="201">
        <v>0</v>
      </c>
      <c r="AE17" s="201">
        <v>3</v>
      </c>
      <c r="AF17" s="201">
        <v>3</v>
      </c>
      <c r="AG17" s="201">
        <v>2</v>
      </c>
      <c r="AH17" s="201">
        <v>0</v>
      </c>
      <c r="AI17" s="5"/>
      <c r="AJ17" s="199" t="s">
        <v>78</v>
      </c>
      <c r="AK17" s="201">
        <v>0</v>
      </c>
      <c r="AL17" s="201">
        <v>3</v>
      </c>
      <c r="AM17" s="201">
        <v>3</v>
      </c>
      <c r="AN17" s="201">
        <v>2</v>
      </c>
      <c r="AO17" s="201">
        <v>0</v>
      </c>
    </row>
    <row r="18" spans="1:41" ht="15.9" customHeight="1">
      <c r="A18" s="201" t="s">
        <v>81</v>
      </c>
      <c r="B18" s="199" t="s">
        <v>315</v>
      </c>
      <c r="C18" s="201">
        <v>0</v>
      </c>
      <c r="D18" s="201">
        <v>8</v>
      </c>
      <c r="E18" s="201">
        <v>43</v>
      </c>
      <c r="F18" s="201">
        <v>11</v>
      </c>
      <c r="G18" s="201">
        <v>0</v>
      </c>
      <c r="H18" s="199">
        <v>14</v>
      </c>
      <c r="I18" s="82"/>
      <c r="J18" s="23">
        <v>14</v>
      </c>
      <c r="K18" s="194" t="s">
        <v>95</v>
      </c>
      <c r="L18" s="194" t="s">
        <v>12</v>
      </c>
      <c r="M18" s="194" t="s">
        <v>81</v>
      </c>
      <c r="N18" s="194" t="s">
        <v>13</v>
      </c>
      <c r="O18" s="194" t="s">
        <v>30</v>
      </c>
      <c r="Q18" s="193">
        <v>6</v>
      </c>
      <c r="R18" s="193">
        <v>4</v>
      </c>
      <c r="S18" s="193">
        <v>14</v>
      </c>
      <c r="T18" s="193">
        <v>5</v>
      </c>
      <c r="U18" s="193">
        <v>10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9" t="s">
        <v>79</v>
      </c>
      <c r="AD18" s="201">
        <v>0</v>
      </c>
      <c r="AE18" s="201">
        <v>4</v>
      </c>
      <c r="AF18" s="201">
        <v>1</v>
      </c>
      <c r="AG18" s="201">
        <v>2</v>
      </c>
      <c r="AH18" s="201">
        <v>0</v>
      </c>
      <c r="AI18" s="5"/>
      <c r="AJ18" s="199" t="s">
        <v>79</v>
      </c>
      <c r="AK18" s="201">
        <v>0</v>
      </c>
      <c r="AL18" s="201">
        <v>4</v>
      </c>
      <c r="AM18" s="201">
        <v>1</v>
      </c>
      <c r="AN18" s="201">
        <v>2</v>
      </c>
      <c r="AO18" s="201">
        <v>0</v>
      </c>
    </row>
    <row r="19" spans="1:41" ht="15.9" customHeight="1">
      <c r="A19" s="201" t="s">
        <v>96</v>
      </c>
      <c r="B19" s="199" t="s">
        <v>316</v>
      </c>
      <c r="C19" s="201">
        <v>0</v>
      </c>
      <c r="D19" s="201">
        <v>8</v>
      </c>
      <c r="E19" s="201">
        <v>42</v>
      </c>
      <c r="F19" s="201">
        <v>12</v>
      </c>
      <c r="G19" s="201">
        <v>0</v>
      </c>
      <c r="H19" s="199">
        <v>15</v>
      </c>
      <c r="I19" s="82"/>
      <c r="J19" s="193">
        <v>15</v>
      </c>
      <c r="K19" s="194" t="s">
        <v>13</v>
      </c>
      <c r="L19" s="194" t="s">
        <v>29</v>
      </c>
      <c r="M19" s="194" t="s">
        <v>82</v>
      </c>
      <c r="N19" s="194" t="s">
        <v>95</v>
      </c>
      <c r="O19" s="194" t="s">
        <v>12</v>
      </c>
      <c r="Q19" s="193">
        <v>5</v>
      </c>
      <c r="R19" s="193">
        <v>8</v>
      </c>
      <c r="S19" s="193">
        <v>16</v>
      </c>
      <c r="T19" s="193">
        <v>6</v>
      </c>
      <c r="U19" s="193">
        <v>4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9" t="s">
        <v>80</v>
      </c>
      <c r="AD19" s="201">
        <v>0</v>
      </c>
      <c r="AE19" s="201">
        <v>4</v>
      </c>
      <c r="AF19" s="201">
        <v>8</v>
      </c>
      <c r="AG19" s="201">
        <v>3</v>
      </c>
      <c r="AH19" s="201">
        <v>0</v>
      </c>
      <c r="AI19" s="5"/>
      <c r="AJ19" s="199" t="s">
        <v>80</v>
      </c>
      <c r="AK19" s="201">
        <v>0</v>
      </c>
      <c r="AL19" s="201">
        <v>4</v>
      </c>
      <c r="AM19" s="201">
        <v>8</v>
      </c>
      <c r="AN19" s="201">
        <v>3</v>
      </c>
      <c r="AO19" s="201">
        <v>0</v>
      </c>
    </row>
    <row r="20" spans="1:41" ht="15.9" customHeight="1">
      <c r="A20" s="201" t="s">
        <v>82</v>
      </c>
      <c r="B20" s="199" t="s">
        <v>317</v>
      </c>
      <c r="C20" s="201">
        <v>0</v>
      </c>
      <c r="D20" s="201">
        <v>10</v>
      </c>
      <c r="E20" s="201">
        <v>42</v>
      </c>
      <c r="F20" s="201">
        <v>10</v>
      </c>
      <c r="G20" s="201">
        <v>0</v>
      </c>
      <c r="H20" s="199">
        <v>16</v>
      </c>
      <c r="I20" s="82"/>
      <c r="J20" s="23">
        <v>16</v>
      </c>
      <c r="K20" s="194" t="s">
        <v>29</v>
      </c>
      <c r="L20" s="194" t="s">
        <v>30</v>
      </c>
      <c r="M20" s="194" t="s">
        <v>81</v>
      </c>
      <c r="N20" s="194" t="s">
        <v>29</v>
      </c>
      <c r="O20" s="194" t="s">
        <v>95</v>
      </c>
      <c r="Q20" s="193">
        <v>8</v>
      </c>
      <c r="R20" s="193">
        <v>10</v>
      </c>
      <c r="S20" s="193">
        <v>14</v>
      </c>
      <c r="T20" s="193">
        <v>8</v>
      </c>
      <c r="U20" s="193">
        <v>6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9" t="s">
        <v>81</v>
      </c>
      <c r="AD20" s="201">
        <v>0</v>
      </c>
      <c r="AE20" s="201">
        <v>9</v>
      </c>
      <c r="AF20" s="201">
        <v>43</v>
      </c>
      <c r="AG20" s="201">
        <v>12</v>
      </c>
      <c r="AH20" s="201">
        <v>0</v>
      </c>
      <c r="AI20" s="5"/>
      <c r="AJ20" s="199" t="s">
        <v>81</v>
      </c>
      <c r="AK20" s="201">
        <v>0</v>
      </c>
      <c r="AL20" s="201">
        <v>9</v>
      </c>
      <c r="AM20" s="201">
        <v>43</v>
      </c>
      <c r="AN20" s="201">
        <v>12</v>
      </c>
      <c r="AO20" s="201">
        <v>0</v>
      </c>
    </row>
    <row r="21" spans="1:41" ht="15.9" customHeight="1">
      <c r="A21" s="201" t="s">
        <v>94</v>
      </c>
      <c r="B21" s="199" t="s">
        <v>318</v>
      </c>
      <c r="C21" s="201">
        <v>0</v>
      </c>
      <c r="D21" s="201">
        <v>9</v>
      </c>
      <c r="E21" s="201">
        <v>44</v>
      </c>
      <c r="F21" s="201">
        <v>10</v>
      </c>
      <c r="G21" s="201">
        <v>0</v>
      </c>
      <c r="H21" s="199">
        <v>17</v>
      </c>
      <c r="I21" s="82"/>
      <c r="J21" s="193">
        <v>17</v>
      </c>
      <c r="K21" s="194" t="s">
        <v>31</v>
      </c>
      <c r="L21" s="194" t="s">
        <v>95</v>
      </c>
      <c r="M21" s="194" t="s">
        <v>82</v>
      </c>
      <c r="N21" s="194" t="s">
        <v>96</v>
      </c>
      <c r="O21" s="194" t="s">
        <v>31</v>
      </c>
      <c r="Q21" s="193">
        <v>7</v>
      </c>
      <c r="R21" s="193">
        <v>6</v>
      </c>
      <c r="S21" s="193">
        <v>16</v>
      </c>
      <c r="T21" s="193">
        <v>15</v>
      </c>
      <c r="U21" s="193">
        <v>7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9" t="s">
        <v>96</v>
      </c>
      <c r="AD21" s="201">
        <v>0</v>
      </c>
      <c r="AE21" s="201">
        <v>9</v>
      </c>
      <c r="AF21" s="201">
        <v>42</v>
      </c>
      <c r="AG21" s="201">
        <v>13</v>
      </c>
      <c r="AH21" s="201">
        <v>0</v>
      </c>
      <c r="AI21" s="5"/>
      <c r="AJ21" s="199" t="s">
        <v>96</v>
      </c>
      <c r="AK21" s="201">
        <v>0</v>
      </c>
      <c r="AL21" s="201">
        <v>9</v>
      </c>
      <c r="AM21" s="201">
        <v>42</v>
      </c>
      <c r="AN21" s="201">
        <v>13</v>
      </c>
      <c r="AO21" s="201">
        <v>0</v>
      </c>
    </row>
    <row r="22" spans="1:41" ht="15.9" customHeight="1">
      <c r="A22" s="201" t="s">
        <v>85</v>
      </c>
      <c r="B22" s="199" t="s">
        <v>319</v>
      </c>
      <c r="C22" s="201">
        <v>0</v>
      </c>
      <c r="D22" s="201">
        <v>3</v>
      </c>
      <c r="E22" s="201">
        <v>6</v>
      </c>
      <c r="F22" s="201">
        <v>1</v>
      </c>
      <c r="G22" s="201">
        <v>0</v>
      </c>
      <c r="H22" s="199">
        <v>18</v>
      </c>
      <c r="I22" s="82"/>
      <c r="J22" s="23">
        <v>18</v>
      </c>
      <c r="K22" s="194" t="s">
        <v>28</v>
      </c>
      <c r="L22" s="194" t="s">
        <v>81</v>
      </c>
      <c r="M22" s="194" t="s">
        <v>94</v>
      </c>
      <c r="N22" s="194" t="s">
        <v>31</v>
      </c>
      <c r="O22" s="194" t="s">
        <v>13</v>
      </c>
      <c r="Q22" s="193">
        <v>9</v>
      </c>
      <c r="R22" s="193">
        <v>14</v>
      </c>
      <c r="S22" s="193">
        <v>17</v>
      </c>
      <c r="T22" s="193">
        <v>7</v>
      </c>
      <c r="U22" s="193">
        <v>5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9" t="s">
        <v>82</v>
      </c>
      <c r="AD22" s="201">
        <v>0</v>
      </c>
      <c r="AE22" s="201">
        <v>11</v>
      </c>
      <c r="AF22" s="201">
        <v>42</v>
      </c>
      <c r="AG22" s="201">
        <v>11</v>
      </c>
      <c r="AH22" s="201">
        <v>0</v>
      </c>
      <c r="AI22" s="5"/>
      <c r="AJ22" s="199" t="s">
        <v>82</v>
      </c>
      <c r="AK22" s="201">
        <v>0</v>
      </c>
      <c r="AL22" s="201">
        <v>11</v>
      </c>
      <c r="AM22" s="201">
        <v>42</v>
      </c>
      <c r="AN22" s="201">
        <v>11</v>
      </c>
      <c r="AO22" s="201">
        <v>0</v>
      </c>
    </row>
    <row r="23" spans="1:41" ht="15.9" customHeight="1">
      <c r="A23" s="201" t="s">
        <v>87</v>
      </c>
      <c r="B23" s="199" t="s">
        <v>320</v>
      </c>
      <c r="C23" s="201">
        <v>0</v>
      </c>
      <c r="D23" s="201">
        <v>2</v>
      </c>
      <c r="E23" s="201">
        <v>9</v>
      </c>
      <c r="F23" s="201">
        <v>2</v>
      </c>
      <c r="G23" s="201">
        <v>0</v>
      </c>
      <c r="H23" s="199">
        <v>19</v>
      </c>
      <c r="I23" s="82"/>
      <c r="J23" s="193">
        <v>19</v>
      </c>
      <c r="K23" s="194" t="s">
        <v>16</v>
      </c>
      <c r="L23" s="194" t="s">
        <v>30</v>
      </c>
      <c r="M23" s="194" t="s">
        <v>81</v>
      </c>
      <c r="N23" s="194" t="s">
        <v>29</v>
      </c>
      <c r="O23" s="194" t="s">
        <v>28</v>
      </c>
      <c r="Q23" s="193">
        <v>3</v>
      </c>
      <c r="R23" s="193">
        <v>10</v>
      </c>
      <c r="S23" s="193">
        <v>14</v>
      </c>
      <c r="T23" s="193">
        <v>8</v>
      </c>
      <c r="U23" s="193">
        <v>9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9" t="s">
        <v>94</v>
      </c>
      <c r="AD23" s="201">
        <v>0</v>
      </c>
      <c r="AE23" s="201">
        <v>10</v>
      </c>
      <c r="AF23" s="201">
        <v>44</v>
      </c>
      <c r="AG23" s="201">
        <v>11</v>
      </c>
      <c r="AH23" s="201">
        <v>0</v>
      </c>
      <c r="AI23" s="5"/>
      <c r="AJ23" s="199" t="s">
        <v>94</v>
      </c>
      <c r="AK23" s="201">
        <v>0</v>
      </c>
      <c r="AL23" s="201">
        <v>10</v>
      </c>
      <c r="AM23" s="201">
        <v>44</v>
      </c>
      <c r="AN23" s="201">
        <v>11</v>
      </c>
      <c r="AO23" s="201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14</v>
      </c>
      <c r="L24" s="194" t="s">
        <v>16</v>
      </c>
      <c r="M24" s="194" t="s">
        <v>82</v>
      </c>
      <c r="N24" s="194" t="s">
        <v>95</v>
      </c>
      <c r="O24" s="194" t="s">
        <v>31</v>
      </c>
      <c r="Q24" s="193">
        <v>1</v>
      </c>
      <c r="R24" s="193">
        <v>3</v>
      </c>
      <c r="S24" s="193">
        <v>16</v>
      </c>
      <c r="T24" s="193">
        <v>6</v>
      </c>
      <c r="U24" s="193">
        <v>7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9" t="s">
        <v>85</v>
      </c>
      <c r="AD24" s="201">
        <v>0</v>
      </c>
      <c r="AE24" s="201">
        <v>4</v>
      </c>
      <c r="AF24" s="201">
        <v>6</v>
      </c>
      <c r="AG24" s="201">
        <v>2</v>
      </c>
      <c r="AH24" s="201">
        <v>0</v>
      </c>
      <c r="AI24" s="5"/>
      <c r="AJ24" s="199" t="s">
        <v>85</v>
      </c>
      <c r="AK24" s="201">
        <v>0</v>
      </c>
      <c r="AL24" s="201">
        <v>4</v>
      </c>
      <c r="AM24" s="201">
        <v>6</v>
      </c>
      <c r="AN24" s="201">
        <v>2</v>
      </c>
      <c r="AO24" s="201">
        <v>0</v>
      </c>
    </row>
    <row r="25" spans="1:41" ht="16.5" customHeight="1">
      <c r="I25" s="82"/>
      <c r="J25" s="193">
        <v>21</v>
      </c>
      <c r="K25" s="194" t="s">
        <v>29</v>
      </c>
      <c r="L25" s="194" t="s">
        <v>31</v>
      </c>
      <c r="M25" s="194" t="s">
        <v>94</v>
      </c>
      <c r="N25" s="194" t="s">
        <v>31</v>
      </c>
      <c r="O25" s="194" t="s">
        <v>28</v>
      </c>
      <c r="Q25" s="193">
        <v>8</v>
      </c>
      <c r="R25" s="193">
        <v>7</v>
      </c>
      <c r="S25" s="193">
        <v>17</v>
      </c>
      <c r="T25" s="193">
        <v>7</v>
      </c>
      <c r="U25" s="193">
        <v>9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9" t="s">
        <v>87</v>
      </c>
      <c r="AD25" s="201">
        <v>0</v>
      </c>
      <c r="AE25" s="201">
        <v>3</v>
      </c>
      <c r="AF25" s="201">
        <v>9</v>
      </c>
      <c r="AG25" s="201">
        <v>3</v>
      </c>
      <c r="AH25" s="201">
        <v>0</v>
      </c>
      <c r="AI25" s="5"/>
      <c r="AJ25" s="199" t="s">
        <v>87</v>
      </c>
      <c r="AK25" s="201">
        <v>0</v>
      </c>
      <c r="AL25" s="201">
        <v>3</v>
      </c>
      <c r="AM25" s="201">
        <v>9</v>
      </c>
      <c r="AN25" s="201">
        <v>3</v>
      </c>
      <c r="AO25" s="201">
        <v>0</v>
      </c>
    </row>
    <row r="26" spans="1:41" ht="16.5" customHeight="1">
      <c r="B26" s="5" t="s">
        <v>298</v>
      </c>
      <c r="C26" s="5">
        <v>1</v>
      </c>
      <c r="D26" s="156">
        <v>0.76</v>
      </c>
      <c r="E26" s="156">
        <v>0</v>
      </c>
      <c r="F26" s="156">
        <v>0.75</v>
      </c>
      <c r="G26" s="5">
        <v>1</v>
      </c>
      <c r="I26" s="82"/>
      <c r="J26" s="23">
        <v>22</v>
      </c>
      <c r="K26" s="194" t="s">
        <v>95</v>
      </c>
      <c r="L26" s="194" t="s">
        <v>95</v>
      </c>
      <c r="M26" s="194" t="s">
        <v>87</v>
      </c>
      <c r="N26" s="194" t="s">
        <v>16</v>
      </c>
      <c r="O26" s="194" t="s">
        <v>29</v>
      </c>
      <c r="Q26" s="193">
        <v>6</v>
      </c>
      <c r="R26" s="193">
        <v>6</v>
      </c>
      <c r="S26" s="193">
        <v>19</v>
      </c>
      <c r="T26" s="193">
        <v>3</v>
      </c>
      <c r="U26" s="193">
        <v>8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3">
        <v>199</v>
      </c>
      <c r="AE26" s="103">
        <v>208</v>
      </c>
      <c r="AF26" s="103">
        <v>198</v>
      </c>
      <c r="AG26" s="103">
        <v>207</v>
      </c>
      <c r="AH26" s="103">
        <v>198</v>
      </c>
      <c r="AI26" s="5"/>
      <c r="AK26" s="103">
        <v>199</v>
      </c>
      <c r="AL26" s="103">
        <v>208</v>
      </c>
      <c r="AM26" s="103">
        <v>198</v>
      </c>
      <c r="AN26" s="103">
        <v>207</v>
      </c>
      <c r="AO26" s="103">
        <v>198</v>
      </c>
    </row>
    <row r="27" spans="1:41" ht="16.5" customHeight="1">
      <c r="B27" s="5" t="s">
        <v>321</v>
      </c>
      <c r="C27" s="5">
        <v>0</v>
      </c>
      <c r="D27" s="156">
        <v>0.24</v>
      </c>
      <c r="E27" s="156">
        <v>1</v>
      </c>
      <c r="F27" s="156">
        <v>0.25</v>
      </c>
      <c r="G27" s="5">
        <v>0</v>
      </c>
      <c r="I27" s="82"/>
      <c r="J27" s="193">
        <v>23</v>
      </c>
      <c r="K27" s="194" t="s">
        <v>31</v>
      </c>
      <c r="L27" s="194" t="s">
        <v>28</v>
      </c>
      <c r="M27" s="194" t="s">
        <v>94</v>
      </c>
      <c r="N27" s="194" t="s">
        <v>81</v>
      </c>
      <c r="O27" s="194" t="s">
        <v>16</v>
      </c>
      <c r="Q27" s="193">
        <v>7</v>
      </c>
      <c r="R27" s="193">
        <v>9</v>
      </c>
      <c r="S27" s="193">
        <v>17</v>
      </c>
      <c r="T27" s="193">
        <v>14</v>
      </c>
      <c r="U27" s="193">
        <v>3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4" t="s">
        <v>95</v>
      </c>
      <c r="L28" s="194" t="s">
        <v>31</v>
      </c>
      <c r="M28" s="194" t="s">
        <v>82</v>
      </c>
      <c r="N28" s="194" t="s">
        <v>29</v>
      </c>
      <c r="O28" s="194" t="s">
        <v>31</v>
      </c>
      <c r="Q28" s="193">
        <v>6</v>
      </c>
      <c r="R28" s="193">
        <v>7</v>
      </c>
      <c r="S28" s="193">
        <v>16</v>
      </c>
      <c r="T28" s="193">
        <v>8</v>
      </c>
      <c r="U28" s="193">
        <v>7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295</v>
      </c>
      <c r="AH28" s="5"/>
      <c r="AI28" s="5"/>
      <c r="AJ28" s="25" t="s">
        <v>295</v>
      </c>
      <c r="AO28" s="5"/>
    </row>
    <row r="29" spans="1:41" ht="16.5" customHeight="1">
      <c r="I29" s="82"/>
      <c r="J29" s="193">
        <v>25</v>
      </c>
      <c r="K29" s="194" t="s">
        <v>28</v>
      </c>
      <c r="L29" s="194" t="s">
        <v>13</v>
      </c>
      <c r="M29" s="194" t="s">
        <v>81</v>
      </c>
      <c r="N29" s="194" t="s">
        <v>31</v>
      </c>
      <c r="O29" s="194" t="s">
        <v>12</v>
      </c>
      <c r="Q29" s="193">
        <v>9</v>
      </c>
      <c r="R29" s="193">
        <v>5</v>
      </c>
      <c r="S29" s="193">
        <v>14</v>
      </c>
      <c r="T29" s="193">
        <v>7</v>
      </c>
      <c r="U29" s="193">
        <v>4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>
      <c r="I30" s="82"/>
      <c r="J30" s="23">
        <v>26</v>
      </c>
      <c r="K30" s="194" t="s">
        <v>31</v>
      </c>
      <c r="L30" s="194" t="s">
        <v>31</v>
      </c>
      <c r="M30" s="194" t="s">
        <v>87</v>
      </c>
      <c r="N30" s="194" t="s">
        <v>81</v>
      </c>
      <c r="O30" s="194" t="s">
        <v>15</v>
      </c>
      <c r="Q30" s="193">
        <v>7</v>
      </c>
      <c r="R30" s="193">
        <v>7</v>
      </c>
      <c r="S30" s="193">
        <v>19</v>
      </c>
      <c r="T30" s="193">
        <v>14</v>
      </c>
      <c r="U30" s="193">
        <v>2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9" t="s">
        <v>293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293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>
      <c r="I31" s="82"/>
      <c r="J31" s="193">
        <v>27</v>
      </c>
      <c r="K31" s="194" t="s">
        <v>95</v>
      </c>
      <c r="L31" s="194" t="s">
        <v>16</v>
      </c>
      <c r="M31" s="194" t="s">
        <v>94</v>
      </c>
      <c r="N31" s="194" t="s">
        <v>82</v>
      </c>
      <c r="O31" s="194" t="s">
        <v>30</v>
      </c>
      <c r="Q31" s="193">
        <v>6</v>
      </c>
      <c r="R31" s="193">
        <v>3</v>
      </c>
      <c r="S31" s="193">
        <v>17</v>
      </c>
      <c r="T31" s="193">
        <v>16</v>
      </c>
      <c r="U31" s="193">
        <v>10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9" t="s">
        <v>14</v>
      </c>
      <c r="AD31" s="199">
        <v>1</v>
      </c>
      <c r="AE31" s="199">
        <v>1</v>
      </c>
      <c r="AF31" s="199">
        <v>0</v>
      </c>
      <c r="AG31" s="199">
        <v>1</v>
      </c>
      <c r="AH31" s="199">
        <v>1</v>
      </c>
      <c r="AI31" s="5"/>
      <c r="AJ31" s="199" t="s">
        <v>14</v>
      </c>
      <c r="AK31" s="199">
        <v>1</v>
      </c>
      <c r="AL31" s="199">
        <v>1</v>
      </c>
      <c r="AM31" s="199">
        <v>0</v>
      </c>
      <c r="AN31" s="199">
        <v>1</v>
      </c>
      <c r="AO31" s="199">
        <v>1</v>
      </c>
    </row>
    <row r="32" spans="1:41" ht="16.5" customHeight="1">
      <c r="J32" s="23">
        <v>28</v>
      </c>
      <c r="K32" s="194" t="s">
        <v>29</v>
      </c>
      <c r="L32" s="194" t="s">
        <v>31</v>
      </c>
      <c r="M32" s="194" t="s">
        <v>82</v>
      </c>
      <c r="N32" s="194" t="s">
        <v>95</v>
      </c>
      <c r="O32" s="194" t="s">
        <v>31</v>
      </c>
      <c r="Q32" s="193">
        <v>8</v>
      </c>
      <c r="R32" s="193">
        <v>7</v>
      </c>
      <c r="S32" s="193">
        <v>16</v>
      </c>
      <c r="T32" s="193">
        <v>6</v>
      </c>
      <c r="U32" s="193">
        <v>7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4" t="s">
        <v>15</v>
      </c>
      <c r="AD32" s="200">
        <v>3</v>
      </c>
      <c r="AE32" s="200">
        <v>10</v>
      </c>
      <c r="AF32" s="200">
        <v>0</v>
      </c>
      <c r="AG32" s="200">
        <v>3</v>
      </c>
      <c r="AH32" s="200">
        <v>9</v>
      </c>
      <c r="AI32" s="5"/>
      <c r="AJ32" s="134" t="s">
        <v>15</v>
      </c>
      <c r="AK32" s="200">
        <v>3</v>
      </c>
      <c r="AL32" s="200">
        <v>10</v>
      </c>
      <c r="AM32" s="200">
        <v>0</v>
      </c>
      <c r="AN32" s="200">
        <v>3</v>
      </c>
      <c r="AO32" s="200">
        <v>9</v>
      </c>
    </row>
    <row r="33" spans="10:41" ht="16.5" customHeight="1">
      <c r="J33" s="193">
        <v>29</v>
      </c>
      <c r="K33" s="194" t="s">
        <v>13</v>
      </c>
      <c r="L33" s="194" t="s">
        <v>29</v>
      </c>
      <c r="M33" s="194" t="s">
        <v>94</v>
      </c>
      <c r="N33" s="194" t="s">
        <v>96</v>
      </c>
      <c r="O33" s="194" t="s">
        <v>15</v>
      </c>
      <c r="Q33" s="193">
        <v>5</v>
      </c>
      <c r="R33" s="193">
        <v>8</v>
      </c>
      <c r="S33" s="193">
        <v>17</v>
      </c>
      <c r="T33" s="193">
        <v>15</v>
      </c>
      <c r="U33" s="193">
        <v>2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4" t="s">
        <v>16</v>
      </c>
      <c r="AD33" s="200">
        <v>3</v>
      </c>
      <c r="AE33" s="200">
        <v>12</v>
      </c>
      <c r="AF33" s="200">
        <v>0</v>
      </c>
      <c r="AG33" s="200">
        <v>3</v>
      </c>
      <c r="AH33" s="200">
        <v>8</v>
      </c>
      <c r="AI33" s="5"/>
      <c r="AJ33" s="134" t="s">
        <v>16</v>
      </c>
      <c r="AK33" s="200">
        <v>3</v>
      </c>
      <c r="AL33" s="200">
        <v>12</v>
      </c>
      <c r="AM33" s="200">
        <v>0</v>
      </c>
      <c r="AN33" s="200">
        <v>3</v>
      </c>
      <c r="AO33" s="200">
        <v>8</v>
      </c>
    </row>
    <row r="34" spans="10:41" ht="16.5" customHeight="1">
      <c r="J34" s="23">
        <v>30</v>
      </c>
      <c r="K34" s="194" t="s">
        <v>30</v>
      </c>
      <c r="L34" s="194" t="s">
        <v>82</v>
      </c>
      <c r="M34" s="194" t="s">
        <v>82</v>
      </c>
      <c r="N34" s="194" t="s">
        <v>29</v>
      </c>
      <c r="O34" s="194" t="s">
        <v>13</v>
      </c>
      <c r="Q34" s="193">
        <v>10</v>
      </c>
      <c r="R34" s="193">
        <v>16</v>
      </c>
      <c r="S34" s="193">
        <v>16</v>
      </c>
      <c r="T34" s="193">
        <v>8</v>
      </c>
      <c r="U34" s="193">
        <v>5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4" t="s">
        <v>12</v>
      </c>
      <c r="AD34" s="200">
        <v>7</v>
      </c>
      <c r="AE34" s="200">
        <v>13</v>
      </c>
      <c r="AF34" s="200">
        <v>0</v>
      </c>
      <c r="AG34" s="200">
        <v>7</v>
      </c>
      <c r="AH34" s="200">
        <v>14</v>
      </c>
      <c r="AI34" s="5"/>
      <c r="AJ34" s="134" t="s">
        <v>12</v>
      </c>
      <c r="AK34" s="200">
        <v>7</v>
      </c>
      <c r="AL34" s="200">
        <v>13</v>
      </c>
      <c r="AM34" s="200">
        <v>0</v>
      </c>
      <c r="AN34" s="200">
        <v>7</v>
      </c>
      <c r="AO34" s="200">
        <v>14</v>
      </c>
    </row>
    <row r="35" spans="10:41" ht="16.5" customHeight="1">
      <c r="J35" s="193">
        <v>31</v>
      </c>
      <c r="K35" s="194" t="s">
        <v>13</v>
      </c>
      <c r="L35" s="194" t="s">
        <v>95</v>
      </c>
      <c r="M35" s="194" t="s">
        <v>94</v>
      </c>
      <c r="N35" s="194" t="s">
        <v>95</v>
      </c>
      <c r="O35" s="194" t="s">
        <v>29</v>
      </c>
      <c r="Q35" s="193">
        <v>5</v>
      </c>
      <c r="R35" s="193">
        <v>6</v>
      </c>
      <c r="S35" s="193">
        <v>17</v>
      </c>
      <c r="T35" s="193">
        <v>6</v>
      </c>
      <c r="U35" s="193">
        <v>8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4" t="s">
        <v>13</v>
      </c>
      <c r="AD35" s="200">
        <v>43</v>
      </c>
      <c r="AE35" s="200">
        <v>22</v>
      </c>
      <c r="AF35" s="200">
        <v>0</v>
      </c>
      <c r="AG35" s="200">
        <v>31</v>
      </c>
      <c r="AH35" s="200">
        <v>36</v>
      </c>
      <c r="AI35" s="5"/>
      <c r="AJ35" s="134" t="s">
        <v>13</v>
      </c>
      <c r="AK35" s="200">
        <v>43</v>
      </c>
      <c r="AL35" s="200">
        <v>22</v>
      </c>
      <c r="AM35" s="200">
        <v>0</v>
      </c>
      <c r="AN35" s="200">
        <v>31</v>
      </c>
      <c r="AO35" s="200">
        <v>36</v>
      </c>
    </row>
    <row r="36" spans="10:41" ht="16.5" customHeight="1">
      <c r="J36" s="23">
        <v>32</v>
      </c>
      <c r="K36" s="194" t="s">
        <v>95</v>
      </c>
      <c r="L36" s="194" t="s">
        <v>12</v>
      </c>
      <c r="M36" s="194" t="s">
        <v>80</v>
      </c>
      <c r="N36" s="194" t="s">
        <v>96</v>
      </c>
      <c r="O36" s="194" t="s">
        <v>12</v>
      </c>
      <c r="Q36" s="193">
        <v>6</v>
      </c>
      <c r="R36" s="193">
        <v>4</v>
      </c>
      <c r="S36" s="193">
        <v>13</v>
      </c>
      <c r="T36" s="193">
        <v>15</v>
      </c>
      <c r="U36" s="193">
        <v>4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4" t="s">
        <v>95</v>
      </c>
      <c r="AD36" s="200">
        <v>42</v>
      </c>
      <c r="AE36" s="200">
        <v>22</v>
      </c>
      <c r="AF36" s="200">
        <v>0</v>
      </c>
      <c r="AG36" s="200">
        <v>27</v>
      </c>
      <c r="AH36" s="200">
        <v>34</v>
      </c>
      <c r="AI36" s="5"/>
      <c r="AJ36" s="134" t="s">
        <v>95</v>
      </c>
      <c r="AK36" s="200">
        <v>42</v>
      </c>
      <c r="AL36" s="200">
        <v>22</v>
      </c>
      <c r="AM36" s="200">
        <v>0</v>
      </c>
      <c r="AN36" s="200">
        <v>27</v>
      </c>
      <c r="AO36" s="200">
        <v>34</v>
      </c>
    </row>
    <row r="37" spans="10:41" ht="16.5" customHeight="1">
      <c r="J37" s="193">
        <v>33</v>
      </c>
      <c r="K37" s="194" t="s">
        <v>29</v>
      </c>
      <c r="L37" s="194" t="s">
        <v>85</v>
      </c>
      <c r="M37" s="194" t="s">
        <v>82</v>
      </c>
      <c r="N37" s="194" t="s">
        <v>31</v>
      </c>
      <c r="O37" s="194" t="s">
        <v>15</v>
      </c>
      <c r="Q37" s="193">
        <v>8</v>
      </c>
      <c r="R37" s="193">
        <v>18</v>
      </c>
      <c r="S37" s="193">
        <v>16</v>
      </c>
      <c r="T37" s="193">
        <v>7</v>
      </c>
      <c r="U37" s="193">
        <v>2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4" t="s">
        <v>31</v>
      </c>
      <c r="AD37" s="200">
        <v>43</v>
      </c>
      <c r="AE37" s="200">
        <v>27</v>
      </c>
      <c r="AF37" s="200">
        <v>0</v>
      </c>
      <c r="AG37" s="200">
        <v>31</v>
      </c>
      <c r="AH37" s="200">
        <v>35</v>
      </c>
      <c r="AI37" s="5"/>
      <c r="AJ37" s="134" t="s">
        <v>31</v>
      </c>
      <c r="AK37" s="200">
        <v>43</v>
      </c>
      <c r="AL37" s="200">
        <v>27</v>
      </c>
      <c r="AM37" s="200">
        <v>0</v>
      </c>
      <c r="AN37" s="200">
        <v>31</v>
      </c>
      <c r="AO37" s="200">
        <v>35</v>
      </c>
    </row>
    <row r="38" spans="10:41" ht="16.5" customHeight="1">
      <c r="J38" s="23">
        <v>34</v>
      </c>
      <c r="K38" s="194" t="s">
        <v>31</v>
      </c>
      <c r="L38" s="194" t="s">
        <v>13</v>
      </c>
      <c r="M38" s="194" t="s">
        <v>85</v>
      </c>
      <c r="N38" s="194" t="s">
        <v>94</v>
      </c>
      <c r="O38" s="194" t="s">
        <v>95</v>
      </c>
      <c r="Q38" s="193">
        <v>7</v>
      </c>
      <c r="R38" s="193">
        <v>5</v>
      </c>
      <c r="S38" s="193">
        <v>18</v>
      </c>
      <c r="T38" s="193">
        <v>17</v>
      </c>
      <c r="U38" s="193">
        <v>6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4" t="s">
        <v>29</v>
      </c>
      <c r="AD38" s="200">
        <v>43</v>
      </c>
      <c r="AE38" s="200">
        <v>24</v>
      </c>
      <c r="AF38" s="200">
        <v>0</v>
      </c>
      <c r="AG38" s="200">
        <v>32</v>
      </c>
      <c r="AH38" s="200">
        <v>34</v>
      </c>
      <c r="AI38" s="5"/>
      <c r="AJ38" s="134" t="s">
        <v>29</v>
      </c>
      <c r="AK38" s="200">
        <v>43</v>
      </c>
      <c r="AL38" s="200">
        <v>24</v>
      </c>
      <c r="AM38" s="200">
        <v>0</v>
      </c>
      <c r="AN38" s="200">
        <v>32</v>
      </c>
      <c r="AO38" s="200">
        <v>34</v>
      </c>
    </row>
    <row r="39" spans="10:41" ht="16.5" customHeight="1">
      <c r="J39" s="193">
        <v>35</v>
      </c>
      <c r="K39" s="194" t="s">
        <v>95</v>
      </c>
      <c r="L39" s="194" t="s">
        <v>12</v>
      </c>
      <c r="M39" s="194" t="s">
        <v>96</v>
      </c>
      <c r="N39" s="194" t="s">
        <v>12</v>
      </c>
      <c r="O39" s="194" t="s">
        <v>13</v>
      </c>
      <c r="Q39" s="193">
        <v>6</v>
      </c>
      <c r="R39" s="193">
        <v>4</v>
      </c>
      <c r="S39" s="193">
        <v>15</v>
      </c>
      <c r="T39" s="193">
        <v>4</v>
      </c>
      <c r="U39" s="193">
        <v>5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4" t="s">
        <v>28</v>
      </c>
      <c r="AD39" s="200">
        <v>7</v>
      </c>
      <c r="AE39" s="200">
        <v>12</v>
      </c>
      <c r="AF39" s="200">
        <v>0</v>
      </c>
      <c r="AG39" s="200">
        <v>6</v>
      </c>
      <c r="AH39" s="200">
        <v>13</v>
      </c>
      <c r="AI39" s="5"/>
      <c r="AJ39" s="134" t="s">
        <v>28</v>
      </c>
      <c r="AK39" s="200">
        <v>7</v>
      </c>
      <c r="AL39" s="200">
        <v>12</v>
      </c>
      <c r="AM39" s="200">
        <v>0</v>
      </c>
      <c r="AN39" s="200">
        <v>6</v>
      </c>
      <c r="AO39" s="200">
        <v>13</v>
      </c>
    </row>
    <row r="40" spans="10:41" ht="16.5" customHeight="1">
      <c r="J40" s="23">
        <v>36</v>
      </c>
      <c r="K40" s="194" t="s">
        <v>13</v>
      </c>
      <c r="L40" s="194" t="s">
        <v>13</v>
      </c>
      <c r="M40" s="194" t="s">
        <v>82</v>
      </c>
      <c r="N40" s="194" t="s">
        <v>29</v>
      </c>
      <c r="O40" s="194" t="s">
        <v>31</v>
      </c>
      <c r="Q40" s="193">
        <v>5</v>
      </c>
      <c r="R40" s="193">
        <v>5</v>
      </c>
      <c r="S40" s="193">
        <v>16</v>
      </c>
      <c r="T40" s="193">
        <v>8</v>
      </c>
      <c r="U40" s="193">
        <v>7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4" t="s">
        <v>30</v>
      </c>
      <c r="AD40" s="200">
        <v>7</v>
      </c>
      <c r="AE40" s="200">
        <v>8</v>
      </c>
      <c r="AF40" s="200">
        <v>0</v>
      </c>
      <c r="AG40" s="200">
        <v>7</v>
      </c>
      <c r="AH40" s="200">
        <v>14</v>
      </c>
      <c r="AI40" s="5"/>
      <c r="AJ40" s="134" t="s">
        <v>30</v>
      </c>
      <c r="AK40" s="200">
        <v>7</v>
      </c>
      <c r="AL40" s="200">
        <v>8</v>
      </c>
      <c r="AM40" s="200">
        <v>0</v>
      </c>
      <c r="AN40" s="200">
        <v>7</v>
      </c>
      <c r="AO40" s="200">
        <v>14</v>
      </c>
    </row>
    <row r="41" spans="10:41" ht="16.5" customHeight="1">
      <c r="J41" s="193">
        <v>37</v>
      </c>
      <c r="K41" s="194" t="s">
        <v>95</v>
      </c>
      <c r="L41" s="194" t="s">
        <v>95</v>
      </c>
      <c r="M41" s="194" t="s">
        <v>87</v>
      </c>
      <c r="N41" s="194" t="s">
        <v>78</v>
      </c>
      <c r="O41" s="194" t="s">
        <v>95</v>
      </c>
      <c r="Q41" s="193">
        <v>6</v>
      </c>
      <c r="R41" s="193">
        <v>6</v>
      </c>
      <c r="S41" s="193">
        <v>19</v>
      </c>
      <c r="T41" s="193">
        <v>11</v>
      </c>
      <c r="U41" s="193">
        <v>6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9" t="s">
        <v>78</v>
      </c>
      <c r="AD41" s="201">
        <v>0</v>
      </c>
      <c r="AE41" s="201">
        <v>3</v>
      </c>
      <c r="AF41" s="201">
        <v>3</v>
      </c>
      <c r="AG41" s="201">
        <v>2</v>
      </c>
      <c r="AH41" s="201">
        <v>0</v>
      </c>
      <c r="AI41" s="5"/>
      <c r="AJ41" s="199" t="s">
        <v>78</v>
      </c>
      <c r="AK41" s="201">
        <v>0</v>
      </c>
      <c r="AL41" s="201">
        <v>3</v>
      </c>
      <c r="AM41" s="201">
        <v>3</v>
      </c>
      <c r="AN41" s="201">
        <v>2</v>
      </c>
      <c r="AO41" s="201">
        <v>0</v>
      </c>
    </row>
    <row r="42" spans="10:41" ht="16.5" customHeight="1">
      <c r="J42" s="23">
        <v>38</v>
      </c>
      <c r="K42" s="194" t="s">
        <v>29</v>
      </c>
      <c r="L42" s="194" t="s">
        <v>31</v>
      </c>
      <c r="M42" s="194" t="s">
        <v>81</v>
      </c>
      <c r="N42" s="194" t="s">
        <v>29</v>
      </c>
      <c r="O42" s="194" t="s">
        <v>29</v>
      </c>
      <c r="Q42" s="193">
        <v>8</v>
      </c>
      <c r="R42" s="193">
        <v>7</v>
      </c>
      <c r="S42" s="193">
        <v>14</v>
      </c>
      <c r="T42" s="193">
        <v>8</v>
      </c>
      <c r="U42" s="193">
        <v>8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9" t="s">
        <v>79</v>
      </c>
      <c r="AD42" s="201">
        <v>0</v>
      </c>
      <c r="AE42" s="201">
        <v>4</v>
      </c>
      <c r="AF42" s="201">
        <v>1</v>
      </c>
      <c r="AG42" s="201">
        <v>2</v>
      </c>
      <c r="AH42" s="201">
        <v>0</v>
      </c>
      <c r="AI42" s="5"/>
      <c r="AJ42" s="199" t="s">
        <v>79</v>
      </c>
      <c r="AK42" s="201">
        <v>0</v>
      </c>
      <c r="AL42" s="201">
        <v>4</v>
      </c>
      <c r="AM42" s="201">
        <v>1</v>
      </c>
      <c r="AN42" s="201">
        <v>2</v>
      </c>
      <c r="AO42" s="201">
        <v>0</v>
      </c>
    </row>
    <row r="43" spans="10:41" ht="16.5" customHeight="1">
      <c r="J43" s="193">
        <v>39</v>
      </c>
      <c r="K43" s="194" t="s">
        <v>31</v>
      </c>
      <c r="L43" s="194" t="s">
        <v>95</v>
      </c>
      <c r="M43" s="194" t="s">
        <v>82</v>
      </c>
      <c r="N43" s="194" t="s">
        <v>13</v>
      </c>
      <c r="O43" s="194" t="s">
        <v>31</v>
      </c>
      <c r="Q43" s="193">
        <v>7</v>
      </c>
      <c r="R43" s="193">
        <v>6</v>
      </c>
      <c r="S43" s="193">
        <v>16</v>
      </c>
      <c r="T43" s="193">
        <v>5</v>
      </c>
      <c r="U43" s="193">
        <v>7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9" t="s">
        <v>80</v>
      </c>
      <c r="AD43" s="201">
        <v>0</v>
      </c>
      <c r="AE43" s="201">
        <v>4</v>
      </c>
      <c r="AF43" s="201">
        <v>8</v>
      </c>
      <c r="AG43" s="201">
        <v>3</v>
      </c>
      <c r="AH43" s="201">
        <v>0</v>
      </c>
      <c r="AI43" s="5"/>
      <c r="AJ43" s="199" t="s">
        <v>80</v>
      </c>
      <c r="AK43" s="201">
        <v>0</v>
      </c>
      <c r="AL43" s="201">
        <v>4</v>
      </c>
      <c r="AM43" s="201">
        <v>8</v>
      </c>
      <c r="AN43" s="201">
        <v>3</v>
      </c>
      <c r="AO43" s="201">
        <v>0</v>
      </c>
    </row>
    <row r="44" spans="10:41" ht="16.5" customHeight="1">
      <c r="J44" s="23">
        <v>40</v>
      </c>
      <c r="K44" s="194" t="s">
        <v>30</v>
      </c>
      <c r="L44" s="194" t="s">
        <v>28</v>
      </c>
      <c r="M44" s="194" t="s">
        <v>81</v>
      </c>
      <c r="N44" s="194" t="s">
        <v>29</v>
      </c>
      <c r="O44" s="194" t="s">
        <v>29</v>
      </c>
      <c r="Q44" s="193">
        <v>10</v>
      </c>
      <c r="R44" s="193">
        <v>9</v>
      </c>
      <c r="S44" s="193">
        <v>14</v>
      </c>
      <c r="T44" s="193">
        <v>8</v>
      </c>
      <c r="U44" s="193">
        <v>8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9" t="s">
        <v>81</v>
      </c>
      <c r="AD44" s="201">
        <v>0</v>
      </c>
      <c r="AE44" s="201">
        <v>9</v>
      </c>
      <c r="AF44" s="201">
        <v>43</v>
      </c>
      <c r="AG44" s="201">
        <v>12</v>
      </c>
      <c r="AH44" s="201">
        <v>0</v>
      </c>
      <c r="AI44" s="5"/>
      <c r="AJ44" s="199" t="s">
        <v>81</v>
      </c>
      <c r="AK44" s="201">
        <v>0</v>
      </c>
      <c r="AL44" s="201">
        <v>9</v>
      </c>
      <c r="AM44" s="201">
        <v>43</v>
      </c>
      <c r="AN44" s="201">
        <v>12</v>
      </c>
      <c r="AO44" s="201">
        <v>0</v>
      </c>
    </row>
    <row r="45" spans="10:41" ht="16.5" customHeight="1">
      <c r="J45" s="193">
        <v>41</v>
      </c>
      <c r="K45" s="194" t="s">
        <v>31</v>
      </c>
      <c r="L45" s="194" t="s">
        <v>95</v>
      </c>
      <c r="M45" s="194" t="s">
        <v>96</v>
      </c>
      <c r="N45" s="194" t="s">
        <v>95</v>
      </c>
      <c r="O45" s="194" t="s">
        <v>15</v>
      </c>
      <c r="Q45" s="193">
        <v>7</v>
      </c>
      <c r="R45" s="193">
        <v>6</v>
      </c>
      <c r="S45" s="193">
        <v>15</v>
      </c>
      <c r="T45" s="193">
        <v>6</v>
      </c>
      <c r="U45" s="193">
        <v>2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9" t="s">
        <v>96</v>
      </c>
      <c r="AD45" s="201">
        <v>0</v>
      </c>
      <c r="AE45" s="201">
        <v>9</v>
      </c>
      <c r="AF45" s="201">
        <v>42</v>
      </c>
      <c r="AG45" s="201">
        <v>13</v>
      </c>
      <c r="AH45" s="201">
        <v>0</v>
      </c>
      <c r="AI45" s="5"/>
      <c r="AJ45" s="199" t="s">
        <v>96</v>
      </c>
      <c r="AK45" s="201">
        <v>0</v>
      </c>
      <c r="AL45" s="201">
        <v>9</v>
      </c>
      <c r="AM45" s="201">
        <v>42</v>
      </c>
      <c r="AN45" s="201">
        <v>13</v>
      </c>
      <c r="AO45" s="201">
        <v>0</v>
      </c>
    </row>
    <row r="46" spans="10:41" ht="16.5" customHeight="1">
      <c r="J46" s="23">
        <v>42</v>
      </c>
      <c r="K46" s="194" t="s">
        <v>29</v>
      </c>
      <c r="L46" s="194" t="s">
        <v>16</v>
      </c>
      <c r="M46" s="194" t="s">
        <v>82</v>
      </c>
      <c r="N46" s="194" t="s">
        <v>29</v>
      </c>
      <c r="O46" s="194" t="s">
        <v>13</v>
      </c>
      <c r="Q46" s="193">
        <v>8</v>
      </c>
      <c r="R46" s="193">
        <v>3</v>
      </c>
      <c r="S46" s="193">
        <v>16</v>
      </c>
      <c r="T46" s="193">
        <v>8</v>
      </c>
      <c r="U46" s="193">
        <v>5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9" t="s">
        <v>82</v>
      </c>
      <c r="AD46" s="201">
        <v>0</v>
      </c>
      <c r="AE46" s="201">
        <v>11</v>
      </c>
      <c r="AF46" s="201">
        <v>42</v>
      </c>
      <c r="AG46" s="201">
        <v>11</v>
      </c>
      <c r="AH46" s="201">
        <v>0</v>
      </c>
      <c r="AI46" s="5"/>
      <c r="AJ46" s="199" t="s">
        <v>82</v>
      </c>
      <c r="AK46" s="201">
        <v>0</v>
      </c>
      <c r="AL46" s="201">
        <v>11</v>
      </c>
      <c r="AM46" s="201">
        <v>42</v>
      </c>
      <c r="AN46" s="201">
        <v>11</v>
      </c>
      <c r="AO46" s="201">
        <v>0</v>
      </c>
    </row>
    <row r="47" spans="10:41" ht="16.5" customHeight="1">
      <c r="J47" s="193">
        <v>43</v>
      </c>
      <c r="K47" s="194" t="s">
        <v>95</v>
      </c>
      <c r="L47" s="194" t="s">
        <v>12</v>
      </c>
      <c r="M47" s="194" t="s">
        <v>96</v>
      </c>
      <c r="N47" s="194" t="s">
        <v>13</v>
      </c>
      <c r="O47" s="194" t="s">
        <v>29</v>
      </c>
      <c r="Q47" s="193">
        <v>6</v>
      </c>
      <c r="R47" s="193">
        <v>4</v>
      </c>
      <c r="S47" s="193">
        <v>15</v>
      </c>
      <c r="T47" s="193">
        <v>5</v>
      </c>
      <c r="U47" s="193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9" t="s">
        <v>94</v>
      </c>
      <c r="AD47" s="201">
        <v>0</v>
      </c>
      <c r="AE47" s="201">
        <v>10</v>
      </c>
      <c r="AF47" s="201">
        <v>44</v>
      </c>
      <c r="AG47" s="201">
        <v>11</v>
      </c>
      <c r="AH47" s="201">
        <v>0</v>
      </c>
      <c r="AI47" s="5"/>
      <c r="AJ47" s="199" t="s">
        <v>94</v>
      </c>
      <c r="AK47" s="201">
        <v>0</v>
      </c>
      <c r="AL47" s="201">
        <v>10</v>
      </c>
      <c r="AM47" s="201">
        <v>44</v>
      </c>
      <c r="AN47" s="201">
        <v>11</v>
      </c>
      <c r="AO47" s="201">
        <v>0</v>
      </c>
    </row>
    <row r="48" spans="10:41" ht="16.5" customHeight="1">
      <c r="J48" s="23">
        <v>44</v>
      </c>
      <c r="K48" s="194" t="s">
        <v>16</v>
      </c>
      <c r="L48" s="194" t="s">
        <v>31</v>
      </c>
      <c r="M48" s="194" t="s">
        <v>94</v>
      </c>
      <c r="N48" s="194" t="s">
        <v>31</v>
      </c>
      <c r="O48" s="194" t="s">
        <v>95</v>
      </c>
      <c r="Q48" s="193">
        <v>3</v>
      </c>
      <c r="R48" s="193">
        <v>7</v>
      </c>
      <c r="S48" s="193">
        <v>17</v>
      </c>
      <c r="T48" s="193">
        <v>7</v>
      </c>
      <c r="U48" s="193">
        <v>6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9" t="s">
        <v>85</v>
      </c>
      <c r="AD48" s="201">
        <v>0</v>
      </c>
      <c r="AE48" s="201">
        <v>4</v>
      </c>
      <c r="AF48" s="201">
        <v>6</v>
      </c>
      <c r="AG48" s="201">
        <v>2</v>
      </c>
      <c r="AH48" s="201">
        <v>0</v>
      </c>
      <c r="AI48" s="5"/>
      <c r="AJ48" s="199" t="s">
        <v>85</v>
      </c>
      <c r="AK48" s="201">
        <v>0</v>
      </c>
      <c r="AL48" s="201">
        <v>4</v>
      </c>
      <c r="AM48" s="201">
        <v>6</v>
      </c>
      <c r="AN48" s="201">
        <v>2</v>
      </c>
      <c r="AO48" s="201">
        <v>0</v>
      </c>
    </row>
    <row r="49" spans="10:41" ht="16.5" customHeight="1">
      <c r="J49" s="193">
        <v>45</v>
      </c>
      <c r="K49" s="194" t="s">
        <v>31</v>
      </c>
      <c r="L49" s="194" t="s">
        <v>95</v>
      </c>
      <c r="M49" s="194" t="s">
        <v>82</v>
      </c>
      <c r="N49" s="194" t="s">
        <v>96</v>
      </c>
      <c r="O49" s="194" t="s">
        <v>12</v>
      </c>
      <c r="Q49" s="193">
        <v>7</v>
      </c>
      <c r="R49" s="193">
        <v>6</v>
      </c>
      <c r="S49" s="193">
        <v>16</v>
      </c>
      <c r="T49" s="193">
        <v>15</v>
      </c>
      <c r="U49" s="193">
        <v>4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9" t="s">
        <v>87</v>
      </c>
      <c r="AD49" s="201">
        <v>0</v>
      </c>
      <c r="AE49" s="201">
        <v>3</v>
      </c>
      <c r="AF49" s="201">
        <v>9</v>
      </c>
      <c r="AG49" s="201">
        <v>3</v>
      </c>
      <c r="AH49" s="201">
        <v>0</v>
      </c>
      <c r="AI49" s="5"/>
      <c r="AJ49" s="199" t="s">
        <v>87</v>
      </c>
      <c r="AK49" s="201">
        <v>0</v>
      </c>
      <c r="AL49" s="201">
        <v>3</v>
      </c>
      <c r="AM49" s="201">
        <v>9</v>
      </c>
      <c r="AN49" s="201">
        <v>3</v>
      </c>
      <c r="AO49" s="201">
        <v>0</v>
      </c>
    </row>
    <row r="50" spans="10:41" ht="16.5" customHeight="1">
      <c r="J50" s="23">
        <v>46</v>
      </c>
      <c r="K50" s="194" t="s">
        <v>95</v>
      </c>
      <c r="L50" s="194" t="s">
        <v>96</v>
      </c>
      <c r="M50" s="194" t="s">
        <v>96</v>
      </c>
      <c r="N50" s="194" t="s">
        <v>31</v>
      </c>
      <c r="O50" s="194" t="s">
        <v>31</v>
      </c>
      <c r="Q50" s="193">
        <v>6</v>
      </c>
      <c r="R50" s="193">
        <v>15</v>
      </c>
      <c r="S50" s="193">
        <v>15</v>
      </c>
      <c r="T50" s="193">
        <v>7</v>
      </c>
      <c r="U50" s="193">
        <v>7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3">
        <v>199</v>
      </c>
      <c r="AE50" s="103">
        <v>208</v>
      </c>
      <c r="AF50" s="103">
        <v>198</v>
      </c>
      <c r="AG50" s="103">
        <v>207</v>
      </c>
      <c r="AH50" s="103">
        <v>198</v>
      </c>
      <c r="AI50" s="5"/>
      <c r="AK50" s="103">
        <v>199</v>
      </c>
      <c r="AL50" s="103">
        <v>208</v>
      </c>
      <c r="AM50" s="103">
        <v>198</v>
      </c>
      <c r="AN50" s="103">
        <v>207</v>
      </c>
      <c r="AO50" s="103">
        <v>198</v>
      </c>
    </row>
    <row r="51" spans="10:41" ht="16.5" customHeight="1">
      <c r="J51" s="193">
        <v>47</v>
      </c>
      <c r="K51" s="194" t="s">
        <v>29</v>
      </c>
      <c r="L51" s="194" t="s">
        <v>29</v>
      </c>
      <c r="M51" s="194" t="s">
        <v>82</v>
      </c>
      <c r="N51" s="194" t="s">
        <v>12</v>
      </c>
      <c r="O51" s="194" t="s">
        <v>30</v>
      </c>
      <c r="Q51" s="193">
        <v>8</v>
      </c>
      <c r="R51" s="193">
        <v>8</v>
      </c>
      <c r="S51" s="193">
        <v>16</v>
      </c>
      <c r="T51" s="193">
        <v>4</v>
      </c>
      <c r="U51" s="193">
        <v>10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4" t="s">
        <v>13</v>
      </c>
      <c r="L52" s="194" t="s">
        <v>95</v>
      </c>
      <c r="M52" s="194" t="s">
        <v>94</v>
      </c>
      <c r="N52" s="194" t="s">
        <v>94</v>
      </c>
      <c r="O52" s="194" t="s">
        <v>15</v>
      </c>
      <c r="Q52" s="193">
        <v>5</v>
      </c>
      <c r="R52" s="193">
        <v>6</v>
      </c>
      <c r="S52" s="193">
        <v>17</v>
      </c>
      <c r="T52" s="193">
        <v>17</v>
      </c>
      <c r="U52" s="193">
        <v>2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296</v>
      </c>
      <c r="AH52" s="5"/>
      <c r="AI52" s="5"/>
      <c r="AJ52" s="25" t="s">
        <v>296</v>
      </c>
      <c r="AO52" s="5"/>
    </row>
    <row r="53" spans="10:41" ht="16.5" customHeight="1">
      <c r="J53" s="193">
        <v>49</v>
      </c>
      <c r="K53" s="194" t="s">
        <v>95</v>
      </c>
      <c r="L53" s="194" t="s">
        <v>29</v>
      </c>
      <c r="M53" s="194" t="s">
        <v>81</v>
      </c>
      <c r="N53" s="194" t="s">
        <v>29</v>
      </c>
      <c r="O53" s="194" t="s">
        <v>31</v>
      </c>
      <c r="Q53" s="193">
        <v>6</v>
      </c>
      <c r="R53" s="193">
        <v>8</v>
      </c>
      <c r="S53" s="193">
        <v>14</v>
      </c>
      <c r="T53" s="193">
        <v>8</v>
      </c>
      <c r="U53" s="193">
        <v>7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>
      <c r="J54" s="23">
        <v>50</v>
      </c>
      <c r="K54" s="194" t="s">
        <v>31</v>
      </c>
      <c r="L54" s="194" t="s">
        <v>31</v>
      </c>
      <c r="M54" s="194" t="s">
        <v>82</v>
      </c>
      <c r="N54" s="194" t="s">
        <v>13</v>
      </c>
      <c r="O54" s="194" t="s">
        <v>29</v>
      </c>
      <c r="Q54" s="193">
        <v>7</v>
      </c>
      <c r="R54" s="193">
        <v>7</v>
      </c>
      <c r="S54" s="193">
        <v>16</v>
      </c>
      <c r="T54" s="193">
        <v>5</v>
      </c>
      <c r="U54" s="193">
        <v>8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9" t="s">
        <v>293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293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>
      <c r="J55" s="193">
        <v>51</v>
      </c>
      <c r="K55" s="194" t="s">
        <v>13</v>
      </c>
      <c r="L55" s="194" t="s">
        <v>16</v>
      </c>
      <c r="M55" s="194" t="s">
        <v>94</v>
      </c>
      <c r="N55" s="194" t="s">
        <v>81</v>
      </c>
      <c r="O55" s="194" t="s">
        <v>31</v>
      </c>
      <c r="Q55" s="193">
        <v>5</v>
      </c>
      <c r="R55" s="193">
        <v>3</v>
      </c>
      <c r="S55" s="193">
        <v>17</v>
      </c>
      <c r="T55" s="193">
        <v>14</v>
      </c>
      <c r="U55" s="193">
        <v>7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9" t="s">
        <v>14</v>
      </c>
      <c r="AD55" s="199">
        <v>1</v>
      </c>
      <c r="AE55" s="199">
        <v>1</v>
      </c>
      <c r="AF55" s="199">
        <v>0</v>
      </c>
      <c r="AG55" s="199">
        <v>1</v>
      </c>
      <c r="AH55" s="199">
        <v>1</v>
      </c>
      <c r="AI55" s="5"/>
      <c r="AJ55" s="199" t="s">
        <v>14</v>
      </c>
      <c r="AK55" s="199">
        <v>1</v>
      </c>
      <c r="AL55" s="199">
        <v>1</v>
      </c>
      <c r="AM55" s="199">
        <v>0</v>
      </c>
      <c r="AN55" s="199">
        <v>1</v>
      </c>
      <c r="AO55" s="199">
        <v>1</v>
      </c>
    </row>
    <row r="56" spans="10:41" ht="16.5" customHeight="1">
      <c r="J56" s="23">
        <v>52</v>
      </c>
      <c r="K56" s="194" t="s">
        <v>29</v>
      </c>
      <c r="L56" s="194" t="s">
        <v>31</v>
      </c>
      <c r="M56" s="194" t="s">
        <v>81</v>
      </c>
      <c r="N56" s="194" t="s">
        <v>95</v>
      </c>
      <c r="O56" s="194" t="s">
        <v>29</v>
      </c>
      <c r="Q56" s="193">
        <v>8</v>
      </c>
      <c r="R56" s="193">
        <v>7</v>
      </c>
      <c r="S56" s="193">
        <v>14</v>
      </c>
      <c r="T56" s="193">
        <v>6</v>
      </c>
      <c r="U56" s="193">
        <v>8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4" t="s">
        <v>15</v>
      </c>
      <c r="AD56" s="200">
        <v>3</v>
      </c>
      <c r="AE56" s="200">
        <v>10</v>
      </c>
      <c r="AF56" s="200">
        <v>0</v>
      </c>
      <c r="AG56" s="200">
        <v>3</v>
      </c>
      <c r="AH56" s="200">
        <v>9</v>
      </c>
      <c r="AI56" s="5"/>
      <c r="AJ56" s="134" t="s">
        <v>15</v>
      </c>
      <c r="AK56" s="200">
        <v>3</v>
      </c>
      <c r="AL56" s="200">
        <v>10</v>
      </c>
      <c r="AM56" s="200">
        <v>0</v>
      </c>
      <c r="AN56" s="200">
        <v>3</v>
      </c>
      <c r="AO56" s="200">
        <v>9</v>
      </c>
    </row>
    <row r="57" spans="10:41" ht="16.5" customHeight="1">
      <c r="J57" s="193">
        <v>53</v>
      </c>
      <c r="K57" s="194" t="s">
        <v>31</v>
      </c>
      <c r="L57" s="194" t="s">
        <v>81</v>
      </c>
      <c r="M57" s="194" t="s">
        <v>79</v>
      </c>
      <c r="N57" s="194" t="s">
        <v>12</v>
      </c>
      <c r="O57" s="194" t="s">
        <v>13</v>
      </c>
      <c r="Q57" s="193">
        <v>7</v>
      </c>
      <c r="R57" s="193">
        <v>14</v>
      </c>
      <c r="S57" s="193">
        <v>12</v>
      </c>
      <c r="T57" s="193">
        <v>4</v>
      </c>
      <c r="U57" s="193">
        <v>5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4" t="s">
        <v>16</v>
      </c>
      <c r="AD57" s="200">
        <v>3</v>
      </c>
      <c r="AE57" s="200">
        <v>12</v>
      </c>
      <c r="AF57" s="200">
        <v>0</v>
      </c>
      <c r="AG57" s="200">
        <v>3</v>
      </c>
      <c r="AH57" s="200">
        <v>8</v>
      </c>
      <c r="AI57" s="5"/>
      <c r="AJ57" s="134" t="s">
        <v>16</v>
      </c>
      <c r="AK57" s="200">
        <v>3</v>
      </c>
      <c r="AL57" s="200">
        <v>12</v>
      </c>
      <c r="AM57" s="200">
        <v>0</v>
      </c>
      <c r="AN57" s="200">
        <v>3</v>
      </c>
      <c r="AO57" s="200">
        <v>8</v>
      </c>
    </row>
    <row r="58" spans="10:41" ht="16.5" customHeight="1">
      <c r="J58" s="23">
        <v>54</v>
      </c>
      <c r="K58" s="194" t="s">
        <v>13</v>
      </c>
      <c r="L58" s="194" t="s">
        <v>28</v>
      </c>
      <c r="M58" s="194" t="s">
        <v>94</v>
      </c>
      <c r="N58" s="194" t="s">
        <v>29</v>
      </c>
      <c r="O58" s="194" t="s">
        <v>31</v>
      </c>
      <c r="Q58" s="193">
        <v>5</v>
      </c>
      <c r="R58" s="193">
        <v>9</v>
      </c>
      <c r="S58" s="193">
        <v>17</v>
      </c>
      <c r="T58" s="193">
        <v>8</v>
      </c>
      <c r="U58" s="193">
        <v>7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4" t="s">
        <v>12</v>
      </c>
      <c r="AD58" s="200">
        <v>7</v>
      </c>
      <c r="AE58" s="200">
        <v>13</v>
      </c>
      <c r="AF58" s="200">
        <v>0</v>
      </c>
      <c r="AG58" s="200">
        <v>7</v>
      </c>
      <c r="AH58" s="200">
        <v>14</v>
      </c>
      <c r="AI58" s="5"/>
      <c r="AJ58" s="134" t="s">
        <v>12</v>
      </c>
      <c r="AK58" s="200">
        <v>7</v>
      </c>
      <c r="AL58" s="200">
        <v>13</v>
      </c>
      <c r="AM58" s="200">
        <v>0</v>
      </c>
      <c r="AN58" s="200">
        <v>7</v>
      </c>
      <c r="AO58" s="200">
        <v>14</v>
      </c>
    </row>
    <row r="59" spans="10:41" ht="16.5" customHeight="1">
      <c r="J59" s="193">
        <v>55</v>
      </c>
      <c r="K59" s="194" t="s">
        <v>31</v>
      </c>
      <c r="L59" s="194" t="s">
        <v>12</v>
      </c>
      <c r="M59" s="194" t="s">
        <v>81</v>
      </c>
      <c r="N59" s="194" t="s">
        <v>28</v>
      </c>
      <c r="O59" s="194" t="s">
        <v>29</v>
      </c>
      <c r="Q59" s="193">
        <v>7</v>
      </c>
      <c r="R59" s="193">
        <v>4</v>
      </c>
      <c r="S59" s="193">
        <v>14</v>
      </c>
      <c r="T59" s="193">
        <v>9</v>
      </c>
      <c r="U59" s="193">
        <v>8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4" t="s">
        <v>13</v>
      </c>
      <c r="AD59" s="200">
        <v>43</v>
      </c>
      <c r="AE59" s="200">
        <v>22</v>
      </c>
      <c r="AF59" s="200">
        <v>0</v>
      </c>
      <c r="AG59" s="200">
        <v>31</v>
      </c>
      <c r="AH59" s="200">
        <v>36</v>
      </c>
      <c r="AI59" s="5"/>
      <c r="AJ59" s="134" t="s">
        <v>13</v>
      </c>
      <c r="AK59" s="200">
        <v>43</v>
      </c>
      <c r="AL59" s="200">
        <v>22</v>
      </c>
      <c r="AM59" s="200">
        <v>0</v>
      </c>
      <c r="AN59" s="200">
        <v>31</v>
      </c>
      <c r="AO59" s="200">
        <v>36</v>
      </c>
    </row>
    <row r="60" spans="10:41" ht="16.5" customHeight="1">
      <c r="J60" s="23">
        <v>56</v>
      </c>
      <c r="K60" s="194" t="s">
        <v>12</v>
      </c>
      <c r="L60" s="194" t="s">
        <v>16</v>
      </c>
      <c r="M60" s="194" t="s">
        <v>85</v>
      </c>
      <c r="N60" s="194" t="s">
        <v>95</v>
      </c>
      <c r="O60" s="194" t="s">
        <v>95</v>
      </c>
      <c r="Q60" s="193">
        <v>4</v>
      </c>
      <c r="R60" s="193">
        <v>3</v>
      </c>
      <c r="S60" s="193">
        <v>18</v>
      </c>
      <c r="T60" s="193">
        <v>6</v>
      </c>
      <c r="U60" s="193">
        <v>6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4" t="s">
        <v>95</v>
      </c>
      <c r="AD60" s="200">
        <v>42</v>
      </c>
      <c r="AE60" s="200">
        <v>22</v>
      </c>
      <c r="AF60" s="200">
        <v>0</v>
      </c>
      <c r="AG60" s="200">
        <v>27</v>
      </c>
      <c r="AH60" s="200">
        <v>34</v>
      </c>
      <c r="AI60" s="5"/>
      <c r="AJ60" s="134" t="s">
        <v>95</v>
      </c>
      <c r="AK60" s="200">
        <v>42</v>
      </c>
      <c r="AL60" s="200">
        <v>22</v>
      </c>
      <c r="AM60" s="200">
        <v>0</v>
      </c>
      <c r="AN60" s="200">
        <v>27</v>
      </c>
      <c r="AO60" s="200">
        <v>34</v>
      </c>
    </row>
    <row r="61" spans="10:41">
      <c r="J61" s="193">
        <v>57</v>
      </c>
      <c r="K61" s="194" t="s">
        <v>13</v>
      </c>
      <c r="L61" s="194" t="s">
        <v>29</v>
      </c>
      <c r="M61" s="194" t="s">
        <v>81</v>
      </c>
      <c r="N61" s="194" t="s">
        <v>81</v>
      </c>
      <c r="O61" s="194" t="s">
        <v>29</v>
      </c>
      <c r="Q61" s="193">
        <v>5</v>
      </c>
      <c r="R61" s="193">
        <v>8</v>
      </c>
      <c r="S61" s="193">
        <v>14</v>
      </c>
      <c r="T61" s="193">
        <v>14</v>
      </c>
      <c r="U61" s="193">
        <v>8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4" t="s">
        <v>31</v>
      </c>
      <c r="AD61" s="200">
        <v>43</v>
      </c>
      <c r="AE61" s="200">
        <v>27</v>
      </c>
      <c r="AF61" s="200">
        <v>0</v>
      </c>
      <c r="AG61" s="200">
        <v>31</v>
      </c>
      <c r="AH61" s="200">
        <v>35</v>
      </c>
      <c r="AI61" s="5"/>
      <c r="AJ61" s="134" t="s">
        <v>31</v>
      </c>
      <c r="AK61" s="200">
        <v>43</v>
      </c>
      <c r="AL61" s="200">
        <v>27</v>
      </c>
      <c r="AM61" s="200">
        <v>0</v>
      </c>
      <c r="AN61" s="200">
        <v>31</v>
      </c>
      <c r="AO61" s="200">
        <v>35</v>
      </c>
    </row>
    <row r="62" spans="10:41">
      <c r="J62" s="23">
        <v>58</v>
      </c>
      <c r="K62" s="194" t="s">
        <v>95</v>
      </c>
      <c r="L62" s="194" t="s">
        <v>14</v>
      </c>
      <c r="M62" s="194" t="s">
        <v>96</v>
      </c>
      <c r="N62" s="194" t="s">
        <v>28</v>
      </c>
      <c r="O62" s="194" t="s">
        <v>13</v>
      </c>
      <c r="Q62" s="193">
        <v>6</v>
      </c>
      <c r="R62" s="193">
        <v>1</v>
      </c>
      <c r="S62" s="193">
        <v>15</v>
      </c>
      <c r="T62" s="193">
        <v>9</v>
      </c>
      <c r="U62" s="193">
        <v>5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4" t="s">
        <v>29</v>
      </c>
      <c r="AD62" s="200">
        <v>43</v>
      </c>
      <c r="AE62" s="200">
        <v>24</v>
      </c>
      <c r="AF62" s="200">
        <v>0</v>
      </c>
      <c r="AG62" s="200">
        <v>32</v>
      </c>
      <c r="AH62" s="200">
        <v>34</v>
      </c>
      <c r="AI62" s="5"/>
      <c r="AJ62" s="134" t="s">
        <v>29</v>
      </c>
      <c r="AK62" s="200">
        <v>43</v>
      </c>
      <c r="AL62" s="200">
        <v>24</v>
      </c>
      <c r="AM62" s="200">
        <v>0</v>
      </c>
      <c r="AN62" s="200">
        <v>32</v>
      </c>
      <c r="AO62" s="200">
        <v>34</v>
      </c>
    </row>
    <row r="63" spans="10:41" ht="16.5" customHeight="1">
      <c r="J63" s="193">
        <v>59</v>
      </c>
      <c r="K63" s="194" t="s">
        <v>14</v>
      </c>
      <c r="L63" s="194" t="s">
        <v>16</v>
      </c>
      <c r="M63" s="194" t="s">
        <v>81</v>
      </c>
      <c r="N63" s="194" t="s">
        <v>15</v>
      </c>
      <c r="O63" s="194" t="s">
        <v>31</v>
      </c>
      <c r="Q63" s="193">
        <v>1</v>
      </c>
      <c r="R63" s="193">
        <v>3</v>
      </c>
      <c r="S63" s="193">
        <v>14</v>
      </c>
      <c r="T63" s="193">
        <v>2</v>
      </c>
      <c r="U63" s="193">
        <v>7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4" t="s">
        <v>28</v>
      </c>
      <c r="AD63" s="200">
        <v>7</v>
      </c>
      <c r="AE63" s="200">
        <v>12</v>
      </c>
      <c r="AF63" s="200">
        <v>0</v>
      </c>
      <c r="AG63" s="200">
        <v>6</v>
      </c>
      <c r="AH63" s="200">
        <v>13</v>
      </c>
      <c r="AI63" s="5"/>
      <c r="AJ63" s="134" t="s">
        <v>28</v>
      </c>
      <c r="AK63" s="200">
        <v>7</v>
      </c>
      <c r="AL63" s="200">
        <v>12</v>
      </c>
      <c r="AM63" s="200">
        <v>0</v>
      </c>
      <c r="AN63" s="200">
        <v>6</v>
      </c>
      <c r="AO63" s="200">
        <v>13</v>
      </c>
    </row>
    <row r="64" spans="10:41" ht="16.5" customHeight="1">
      <c r="J64" s="23">
        <v>60</v>
      </c>
      <c r="K64" s="194" t="s">
        <v>29</v>
      </c>
      <c r="L64" s="194" t="s">
        <v>30</v>
      </c>
      <c r="M64" s="194" t="s">
        <v>94</v>
      </c>
      <c r="N64" s="194" t="s">
        <v>28</v>
      </c>
      <c r="O64" s="194" t="s">
        <v>13</v>
      </c>
      <c r="Q64" s="193">
        <v>8</v>
      </c>
      <c r="R64" s="193">
        <v>10</v>
      </c>
      <c r="S64" s="193">
        <v>17</v>
      </c>
      <c r="T64" s="193">
        <v>9</v>
      </c>
      <c r="U64" s="193">
        <v>5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4" t="s">
        <v>30</v>
      </c>
      <c r="AD64" s="200">
        <v>7</v>
      </c>
      <c r="AE64" s="200">
        <v>8</v>
      </c>
      <c r="AF64" s="200">
        <v>0</v>
      </c>
      <c r="AG64" s="200">
        <v>7</v>
      </c>
      <c r="AH64" s="200">
        <v>14</v>
      </c>
      <c r="AI64" s="5"/>
      <c r="AJ64" s="134" t="s">
        <v>30</v>
      </c>
      <c r="AK64" s="200">
        <v>7</v>
      </c>
      <c r="AL64" s="200">
        <v>8</v>
      </c>
      <c r="AM64" s="200">
        <v>0</v>
      </c>
      <c r="AN64" s="200">
        <v>7</v>
      </c>
      <c r="AO64" s="200">
        <v>14</v>
      </c>
    </row>
    <row r="65" spans="10:41" ht="16.5" customHeight="1">
      <c r="J65" s="193">
        <v>61</v>
      </c>
      <c r="K65" s="194" t="s">
        <v>95</v>
      </c>
      <c r="L65" s="194" t="s">
        <v>31</v>
      </c>
      <c r="M65" s="194" t="s">
        <v>82</v>
      </c>
      <c r="N65" s="194" t="s">
        <v>82</v>
      </c>
      <c r="O65" s="194" t="s">
        <v>12</v>
      </c>
      <c r="Q65" s="193">
        <v>6</v>
      </c>
      <c r="R65" s="193">
        <v>7</v>
      </c>
      <c r="S65" s="193">
        <v>16</v>
      </c>
      <c r="T65" s="193">
        <v>16</v>
      </c>
      <c r="U65" s="193">
        <v>4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9" t="s">
        <v>78</v>
      </c>
      <c r="AD65" s="201">
        <v>0</v>
      </c>
      <c r="AE65" s="201">
        <v>3</v>
      </c>
      <c r="AF65" s="201">
        <v>3</v>
      </c>
      <c r="AG65" s="201">
        <v>2</v>
      </c>
      <c r="AH65" s="201">
        <v>0</v>
      </c>
      <c r="AI65" s="5"/>
      <c r="AJ65" s="199" t="s">
        <v>78</v>
      </c>
      <c r="AK65" s="201">
        <v>0</v>
      </c>
      <c r="AL65" s="201">
        <v>3</v>
      </c>
      <c r="AM65" s="201">
        <v>3</v>
      </c>
      <c r="AN65" s="201">
        <v>2</v>
      </c>
      <c r="AO65" s="201">
        <v>0</v>
      </c>
    </row>
    <row r="66" spans="10:41" ht="16.5" customHeight="1">
      <c r="J66" s="23">
        <v>62</v>
      </c>
      <c r="K66" s="194" t="s">
        <v>29</v>
      </c>
      <c r="L66" s="194" t="s">
        <v>81</v>
      </c>
      <c r="M66" s="194" t="s">
        <v>81</v>
      </c>
      <c r="N66" s="194" t="s">
        <v>95</v>
      </c>
      <c r="O66" s="194" t="s">
        <v>30</v>
      </c>
      <c r="Q66" s="193">
        <v>8</v>
      </c>
      <c r="R66" s="193">
        <v>14</v>
      </c>
      <c r="S66" s="193">
        <v>14</v>
      </c>
      <c r="T66" s="193">
        <v>6</v>
      </c>
      <c r="U66" s="193">
        <v>10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9" t="s">
        <v>79</v>
      </c>
      <c r="AD66" s="201">
        <v>0</v>
      </c>
      <c r="AE66" s="201">
        <v>4</v>
      </c>
      <c r="AF66" s="201">
        <v>1</v>
      </c>
      <c r="AG66" s="201">
        <v>2</v>
      </c>
      <c r="AH66" s="201">
        <v>0</v>
      </c>
      <c r="AI66" s="5"/>
      <c r="AJ66" s="199" t="s">
        <v>79</v>
      </c>
      <c r="AK66" s="201">
        <v>0</v>
      </c>
      <c r="AL66" s="201">
        <v>4</v>
      </c>
      <c r="AM66" s="201">
        <v>1</v>
      </c>
      <c r="AN66" s="201">
        <v>2</v>
      </c>
      <c r="AO66" s="201">
        <v>0</v>
      </c>
    </row>
    <row r="67" spans="10:41" ht="16.5" customHeight="1">
      <c r="J67" s="193">
        <v>63</v>
      </c>
      <c r="K67" s="194" t="s">
        <v>31</v>
      </c>
      <c r="L67" s="194" t="s">
        <v>13</v>
      </c>
      <c r="M67" s="194" t="s">
        <v>94</v>
      </c>
      <c r="N67" s="194" t="s">
        <v>13</v>
      </c>
      <c r="O67" s="194" t="s">
        <v>31</v>
      </c>
      <c r="Q67" s="193">
        <v>7</v>
      </c>
      <c r="R67" s="193">
        <v>5</v>
      </c>
      <c r="S67" s="193">
        <v>17</v>
      </c>
      <c r="T67" s="193">
        <v>5</v>
      </c>
      <c r="U67" s="193">
        <v>7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9" t="s">
        <v>80</v>
      </c>
      <c r="AD67" s="201">
        <v>0</v>
      </c>
      <c r="AE67" s="201">
        <v>4</v>
      </c>
      <c r="AF67" s="201">
        <v>8</v>
      </c>
      <c r="AG67" s="201">
        <v>3</v>
      </c>
      <c r="AH67" s="201">
        <v>0</v>
      </c>
      <c r="AI67" s="5"/>
      <c r="AJ67" s="199" t="s">
        <v>80</v>
      </c>
      <c r="AK67" s="201">
        <v>0</v>
      </c>
      <c r="AL67" s="201">
        <v>4</v>
      </c>
      <c r="AM67" s="201">
        <v>8</v>
      </c>
      <c r="AN67" s="201">
        <v>3</v>
      </c>
      <c r="AO67" s="201">
        <v>0</v>
      </c>
    </row>
    <row r="68" spans="10:41" ht="16.5" customHeight="1">
      <c r="J68" s="23">
        <v>64</v>
      </c>
      <c r="K68" s="194" t="s">
        <v>29</v>
      </c>
      <c r="L68" s="194" t="s">
        <v>31</v>
      </c>
      <c r="M68" s="194" t="s">
        <v>79</v>
      </c>
      <c r="N68" s="194" t="s">
        <v>15</v>
      </c>
      <c r="O68" s="194" t="s">
        <v>12</v>
      </c>
      <c r="Q68" s="193">
        <v>8</v>
      </c>
      <c r="R68" s="193">
        <v>7</v>
      </c>
      <c r="S68" s="193">
        <v>12</v>
      </c>
      <c r="T68" s="193">
        <v>2</v>
      </c>
      <c r="U68" s="193">
        <v>4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9" t="s">
        <v>81</v>
      </c>
      <c r="AD68" s="201">
        <v>0</v>
      </c>
      <c r="AE68" s="201">
        <v>9</v>
      </c>
      <c r="AF68" s="201">
        <v>43</v>
      </c>
      <c r="AG68" s="201">
        <v>12</v>
      </c>
      <c r="AH68" s="201">
        <v>0</v>
      </c>
      <c r="AI68" s="5"/>
      <c r="AJ68" s="199" t="s">
        <v>81</v>
      </c>
      <c r="AK68" s="201">
        <v>0</v>
      </c>
      <c r="AL68" s="201">
        <v>9</v>
      </c>
      <c r="AM68" s="201">
        <v>43</v>
      </c>
      <c r="AN68" s="201">
        <v>12</v>
      </c>
      <c r="AO68" s="201">
        <v>0</v>
      </c>
    </row>
    <row r="69" spans="10:41" ht="16.5" customHeight="1">
      <c r="J69" s="193">
        <v>65</v>
      </c>
      <c r="K69" s="194" t="s">
        <v>95</v>
      </c>
      <c r="L69" s="194" t="s">
        <v>28</v>
      </c>
      <c r="M69" s="194" t="s">
        <v>81</v>
      </c>
      <c r="N69" s="194" t="s">
        <v>29</v>
      </c>
      <c r="O69" s="194" t="s">
        <v>16</v>
      </c>
      <c r="Q69" s="193">
        <v>6</v>
      </c>
      <c r="R69" s="193">
        <v>9</v>
      </c>
      <c r="S69" s="193">
        <v>14</v>
      </c>
      <c r="T69" s="193">
        <v>8</v>
      </c>
      <c r="U69" s="193">
        <v>3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9" t="s">
        <v>96</v>
      </c>
      <c r="AD69" s="201">
        <v>0</v>
      </c>
      <c r="AE69" s="201">
        <v>9</v>
      </c>
      <c r="AF69" s="201">
        <v>42</v>
      </c>
      <c r="AG69" s="201">
        <v>13</v>
      </c>
      <c r="AH69" s="201">
        <v>0</v>
      </c>
      <c r="AI69" s="5"/>
      <c r="AJ69" s="199" t="s">
        <v>96</v>
      </c>
      <c r="AK69" s="201">
        <v>0</v>
      </c>
      <c r="AL69" s="201">
        <v>9</v>
      </c>
      <c r="AM69" s="201">
        <v>42</v>
      </c>
      <c r="AN69" s="201">
        <v>13</v>
      </c>
      <c r="AO69" s="201">
        <v>0</v>
      </c>
    </row>
    <row r="70" spans="10:41" ht="16.5" customHeight="1">
      <c r="J70" s="23">
        <v>66</v>
      </c>
      <c r="K70" s="194" t="s">
        <v>29</v>
      </c>
      <c r="L70" s="194" t="s">
        <v>29</v>
      </c>
      <c r="M70" s="194" t="s">
        <v>96</v>
      </c>
      <c r="N70" s="194" t="s">
        <v>95</v>
      </c>
      <c r="O70" s="194" t="s">
        <v>13</v>
      </c>
      <c r="Q70" s="193">
        <v>8</v>
      </c>
      <c r="R70" s="193">
        <v>8</v>
      </c>
      <c r="S70" s="193">
        <v>15</v>
      </c>
      <c r="T70" s="193">
        <v>6</v>
      </c>
      <c r="U70" s="193">
        <v>5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9" t="s">
        <v>82</v>
      </c>
      <c r="AD70" s="201">
        <v>0</v>
      </c>
      <c r="AE70" s="201">
        <v>11</v>
      </c>
      <c r="AF70" s="201">
        <v>42</v>
      </c>
      <c r="AG70" s="201">
        <v>11</v>
      </c>
      <c r="AH70" s="201">
        <v>0</v>
      </c>
      <c r="AI70" s="5"/>
      <c r="AJ70" s="199" t="s">
        <v>82</v>
      </c>
      <c r="AK70" s="201">
        <v>0</v>
      </c>
      <c r="AL70" s="201">
        <v>11</v>
      </c>
      <c r="AM70" s="201">
        <v>42</v>
      </c>
      <c r="AN70" s="201">
        <v>11</v>
      </c>
      <c r="AO70" s="201">
        <v>0</v>
      </c>
    </row>
    <row r="71" spans="10:41" ht="16.5" customHeight="1">
      <c r="J71" s="193">
        <v>67</v>
      </c>
      <c r="K71" s="194" t="s">
        <v>13</v>
      </c>
      <c r="L71" s="194" t="s">
        <v>13</v>
      </c>
      <c r="M71" s="194" t="s">
        <v>85</v>
      </c>
      <c r="N71" s="194" t="s">
        <v>13</v>
      </c>
      <c r="O71" s="194" t="s">
        <v>12</v>
      </c>
      <c r="Q71" s="193">
        <v>5</v>
      </c>
      <c r="R71" s="193">
        <v>5</v>
      </c>
      <c r="S71" s="193">
        <v>18</v>
      </c>
      <c r="T71" s="193">
        <v>5</v>
      </c>
      <c r="U71" s="193">
        <v>4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9" t="s">
        <v>94</v>
      </c>
      <c r="AD71" s="201">
        <v>0</v>
      </c>
      <c r="AE71" s="201">
        <v>10</v>
      </c>
      <c r="AF71" s="201">
        <v>44</v>
      </c>
      <c r="AG71" s="201">
        <v>11</v>
      </c>
      <c r="AH71" s="201">
        <v>0</v>
      </c>
      <c r="AI71" s="5"/>
      <c r="AJ71" s="199" t="s">
        <v>94</v>
      </c>
      <c r="AK71" s="201">
        <v>0</v>
      </c>
      <c r="AL71" s="201">
        <v>10</v>
      </c>
      <c r="AM71" s="201">
        <v>44</v>
      </c>
      <c r="AN71" s="201">
        <v>11</v>
      </c>
      <c r="AO71" s="201">
        <v>0</v>
      </c>
    </row>
    <row r="72" spans="10:41" ht="16.5" customHeight="1">
      <c r="J72" s="23">
        <v>68</v>
      </c>
      <c r="K72" s="194" t="s">
        <v>29</v>
      </c>
      <c r="L72" s="194" t="s">
        <v>15</v>
      </c>
      <c r="M72" s="194" t="s">
        <v>82</v>
      </c>
      <c r="N72" s="194" t="s">
        <v>82</v>
      </c>
      <c r="O72" s="194" t="s">
        <v>16</v>
      </c>
      <c r="Q72" s="193">
        <v>8</v>
      </c>
      <c r="R72" s="193">
        <v>2</v>
      </c>
      <c r="S72" s="193">
        <v>16</v>
      </c>
      <c r="T72" s="193">
        <v>16</v>
      </c>
      <c r="U72" s="193">
        <v>3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9" t="s">
        <v>85</v>
      </c>
      <c r="AD72" s="201">
        <v>0</v>
      </c>
      <c r="AE72" s="201">
        <v>4</v>
      </c>
      <c r="AF72" s="201">
        <v>6</v>
      </c>
      <c r="AG72" s="201">
        <v>2</v>
      </c>
      <c r="AH72" s="201">
        <v>0</v>
      </c>
      <c r="AI72" s="5"/>
      <c r="AJ72" s="199" t="s">
        <v>85</v>
      </c>
      <c r="AK72" s="201">
        <v>0</v>
      </c>
      <c r="AL72" s="201">
        <v>4</v>
      </c>
      <c r="AM72" s="201">
        <v>6</v>
      </c>
      <c r="AN72" s="201">
        <v>2</v>
      </c>
      <c r="AO72" s="201">
        <v>0</v>
      </c>
    </row>
    <row r="73" spans="10:41" ht="16.5" customHeight="1">
      <c r="J73" s="193">
        <v>69</v>
      </c>
      <c r="K73" s="194" t="s">
        <v>95</v>
      </c>
      <c r="L73" s="194" t="s">
        <v>28</v>
      </c>
      <c r="M73" s="194" t="s">
        <v>94</v>
      </c>
      <c r="N73" s="194" t="s">
        <v>30</v>
      </c>
      <c r="O73" s="194" t="s">
        <v>95</v>
      </c>
      <c r="Q73" s="193">
        <v>6</v>
      </c>
      <c r="R73" s="193">
        <v>9</v>
      </c>
      <c r="S73" s="193">
        <v>17</v>
      </c>
      <c r="T73" s="193">
        <v>10</v>
      </c>
      <c r="U73" s="193">
        <v>6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9" t="s">
        <v>87</v>
      </c>
      <c r="AD73" s="201">
        <v>0</v>
      </c>
      <c r="AE73" s="201">
        <v>3</v>
      </c>
      <c r="AF73" s="201">
        <v>9</v>
      </c>
      <c r="AG73" s="201">
        <v>3</v>
      </c>
      <c r="AH73" s="201">
        <v>0</v>
      </c>
      <c r="AI73" s="5"/>
      <c r="AJ73" s="199" t="s">
        <v>87</v>
      </c>
      <c r="AK73" s="201">
        <v>0</v>
      </c>
      <c r="AL73" s="201">
        <v>3</v>
      </c>
      <c r="AM73" s="201">
        <v>9</v>
      </c>
      <c r="AN73" s="201">
        <v>3</v>
      </c>
      <c r="AO73" s="201">
        <v>0</v>
      </c>
    </row>
    <row r="74" spans="10:41" ht="16.5" customHeight="1">
      <c r="J74" s="23">
        <v>70</v>
      </c>
      <c r="K74" s="194" t="s">
        <v>29</v>
      </c>
      <c r="L74" s="194" t="s">
        <v>13</v>
      </c>
      <c r="M74" s="194" t="s">
        <v>96</v>
      </c>
      <c r="N74" s="194" t="s">
        <v>31</v>
      </c>
      <c r="O74" s="194" t="s">
        <v>13</v>
      </c>
      <c r="Q74" s="193">
        <v>8</v>
      </c>
      <c r="R74" s="193">
        <v>5</v>
      </c>
      <c r="S74" s="193">
        <v>15</v>
      </c>
      <c r="T74" s="193">
        <v>7</v>
      </c>
      <c r="U74" s="193">
        <v>5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3">
        <v>199</v>
      </c>
      <c r="AE74" s="103">
        <v>208</v>
      </c>
      <c r="AF74" s="103">
        <v>198</v>
      </c>
      <c r="AG74" s="103">
        <v>207</v>
      </c>
      <c r="AH74" s="103">
        <v>198</v>
      </c>
      <c r="AI74" s="5"/>
      <c r="AK74" s="103">
        <v>199</v>
      </c>
      <c r="AL74" s="103">
        <v>208</v>
      </c>
      <c r="AM74" s="103">
        <v>198</v>
      </c>
      <c r="AN74" s="103">
        <v>207</v>
      </c>
      <c r="AO74" s="103">
        <v>198</v>
      </c>
    </row>
    <row r="75" spans="10:41" ht="16.5" customHeight="1">
      <c r="J75" s="193">
        <v>71</v>
      </c>
      <c r="K75" s="194" t="s">
        <v>30</v>
      </c>
      <c r="L75" s="194" t="s">
        <v>82</v>
      </c>
      <c r="M75" s="194" t="s">
        <v>82</v>
      </c>
      <c r="N75" s="194" t="s">
        <v>95</v>
      </c>
      <c r="O75" s="194" t="s">
        <v>28</v>
      </c>
      <c r="Q75" s="193">
        <v>10</v>
      </c>
      <c r="R75" s="193">
        <v>16</v>
      </c>
      <c r="S75" s="193">
        <v>16</v>
      </c>
      <c r="T75" s="193">
        <v>6</v>
      </c>
      <c r="U75" s="193">
        <v>9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4" t="s">
        <v>31</v>
      </c>
      <c r="L76" s="194" t="s">
        <v>31</v>
      </c>
      <c r="M76" s="194" t="s">
        <v>96</v>
      </c>
      <c r="N76" s="194" t="s">
        <v>29</v>
      </c>
      <c r="O76" s="194" t="s">
        <v>95</v>
      </c>
      <c r="Q76" s="193">
        <v>7</v>
      </c>
      <c r="R76" s="193">
        <v>7</v>
      </c>
      <c r="S76" s="193">
        <v>15</v>
      </c>
      <c r="T76" s="193">
        <v>8</v>
      </c>
      <c r="U76" s="193">
        <v>6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3">
        <v>73</v>
      </c>
      <c r="K77" s="194" t="s">
        <v>95</v>
      </c>
      <c r="L77" s="194" t="s">
        <v>30</v>
      </c>
      <c r="M77" s="194" t="s">
        <v>78</v>
      </c>
      <c r="N77" s="194" t="s">
        <v>80</v>
      </c>
      <c r="O77" s="194" t="s">
        <v>13</v>
      </c>
      <c r="Q77" s="193">
        <v>6</v>
      </c>
      <c r="R77" s="193">
        <v>10</v>
      </c>
      <c r="S77" s="193">
        <v>11</v>
      </c>
      <c r="T77" s="193">
        <v>13</v>
      </c>
      <c r="U77" s="193">
        <v>5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4" t="s">
        <v>31</v>
      </c>
      <c r="L78" s="194" t="s">
        <v>13</v>
      </c>
      <c r="M78" s="194" t="s">
        <v>96</v>
      </c>
      <c r="N78" s="194" t="s">
        <v>29</v>
      </c>
      <c r="O78" s="194" t="s">
        <v>31</v>
      </c>
      <c r="Q78" s="193">
        <v>7</v>
      </c>
      <c r="R78" s="193">
        <v>5</v>
      </c>
      <c r="S78" s="193">
        <v>15</v>
      </c>
      <c r="T78" s="193">
        <v>8</v>
      </c>
      <c r="U78" s="193">
        <v>7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3">
        <v>75</v>
      </c>
      <c r="K79" s="194" t="s">
        <v>29</v>
      </c>
      <c r="L79" s="194" t="s">
        <v>16</v>
      </c>
      <c r="M79" s="194" t="s">
        <v>81</v>
      </c>
      <c r="N79" s="194" t="s">
        <v>13</v>
      </c>
      <c r="O79" s="194" t="s">
        <v>13</v>
      </c>
      <c r="Q79" s="193">
        <v>8</v>
      </c>
      <c r="R79" s="193">
        <v>3</v>
      </c>
      <c r="S79" s="193">
        <v>14</v>
      </c>
      <c r="T79" s="193">
        <v>5</v>
      </c>
      <c r="U79" s="193">
        <v>5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4" t="s">
        <v>31</v>
      </c>
      <c r="L80" s="194" t="s">
        <v>31</v>
      </c>
      <c r="M80" s="194" t="s">
        <v>82</v>
      </c>
      <c r="N80" s="194" t="s">
        <v>31</v>
      </c>
      <c r="O80" s="194" t="s">
        <v>95</v>
      </c>
      <c r="Q80" s="193">
        <v>7</v>
      </c>
      <c r="R80" s="193">
        <v>7</v>
      </c>
      <c r="S80" s="193">
        <v>16</v>
      </c>
      <c r="T80" s="193">
        <v>7</v>
      </c>
      <c r="U80" s="193">
        <v>6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>
      <c r="J81" s="193">
        <v>77</v>
      </c>
      <c r="K81" s="194" t="s">
        <v>29</v>
      </c>
      <c r="L81" s="194" t="s">
        <v>13</v>
      </c>
      <c r="M81" s="194" t="s">
        <v>81</v>
      </c>
      <c r="N81" s="194" t="s">
        <v>13</v>
      </c>
      <c r="O81" s="194" t="s">
        <v>31</v>
      </c>
      <c r="Q81" s="193">
        <v>8</v>
      </c>
      <c r="R81" s="193">
        <v>5</v>
      </c>
      <c r="S81" s="193">
        <v>14</v>
      </c>
      <c r="T81" s="193">
        <v>5</v>
      </c>
      <c r="U81" s="193">
        <v>7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4" t="s">
        <v>31</v>
      </c>
      <c r="L82" s="194" t="s">
        <v>80</v>
      </c>
      <c r="M82" s="194" t="s">
        <v>82</v>
      </c>
      <c r="N82" s="194" t="s">
        <v>82</v>
      </c>
      <c r="O82" s="194" t="s">
        <v>30</v>
      </c>
      <c r="Q82" s="193">
        <v>7</v>
      </c>
      <c r="R82" s="193">
        <v>13</v>
      </c>
      <c r="S82" s="193">
        <v>16</v>
      </c>
      <c r="T82" s="193">
        <v>16</v>
      </c>
      <c r="U82" s="193">
        <v>10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>
      <c r="J83" s="193">
        <v>79</v>
      </c>
      <c r="K83" s="194" t="s">
        <v>13</v>
      </c>
      <c r="L83" s="194" t="s">
        <v>95</v>
      </c>
      <c r="M83" s="194" t="s">
        <v>87</v>
      </c>
      <c r="N83" s="194" t="s">
        <v>13</v>
      </c>
      <c r="O83" s="194" t="s">
        <v>15</v>
      </c>
      <c r="Q83" s="193">
        <v>5</v>
      </c>
      <c r="R83" s="193">
        <v>6</v>
      </c>
      <c r="S83" s="193">
        <v>19</v>
      </c>
      <c r="T83" s="193">
        <v>5</v>
      </c>
      <c r="U83" s="193">
        <v>2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4" t="s">
        <v>12</v>
      </c>
      <c r="L84" s="194" t="s">
        <v>87</v>
      </c>
      <c r="M84" s="194" t="s">
        <v>96</v>
      </c>
      <c r="N84" s="194" t="s">
        <v>29</v>
      </c>
      <c r="O84" s="194" t="s">
        <v>12</v>
      </c>
      <c r="Q84" s="193">
        <v>4</v>
      </c>
      <c r="R84" s="193">
        <v>19</v>
      </c>
      <c r="S84" s="193">
        <v>15</v>
      </c>
      <c r="T84" s="193">
        <v>8</v>
      </c>
      <c r="U84" s="193">
        <v>4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>
      <c r="J85" s="193">
        <v>81</v>
      </c>
      <c r="K85" s="194" t="s">
        <v>30</v>
      </c>
      <c r="L85" s="194" t="s">
        <v>81</v>
      </c>
      <c r="M85" s="194" t="s">
        <v>94</v>
      </c>
      <c r="N85" s="194" t="s">
        <v>82</v>
      </c>
      <c r="O85" s="194" t="s">
        <v>31</v>
      </c>
      <c r="Q85" s="193">
        <v>10</v>
      </c>
      <c r="R85" s="193">
        <v>14</v>
      </c>
      <c r="S85" s="193">
        <v>17</v>
      </c>
      <c r="T85" s="193">
        <v>16</v>
      </c>
      <c r="U85" s="193">
        <v>7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4" t="s">
        <v>13</v>
      </c>
      <c r="L86" s="194" t="s">
        <v>29</v>
      </c>
      <c r="M86" s="194" t="s">
        <v>87</v>
      </c>
      <c r="N86" s="194" t="s">
        <v>30</v>
      </c>
      <c r="O86" s="194" t="s">
        <v>29</v>
      </c>
      <c r="Q86" s="193">
        <v>5</v>
      </c>
      <c r="R86" s="193">
        <v>8</v>
      </c>
      <c r="S86" s="193">
        <v>19</v>
      </c>
      <c r="T86" s="193">
        <v>10</v>
      </c>
      <c r="U86" s="193">
        <v>8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3">
        <v>83</v>
      </c>
      <c r="K87" s="194" t="s">
        <v>31</v>
      </c>
      <c r="L87" s="194" t="s">
        <v>13</v>
      </c>
      <c r="M87" s="194" t="s">
        <v>80</v>
      </c>
      <c r="N87" s="194" t="s">
        <v>95</v>
      </c>
      <c r="O87" s="194" t="s">
        <v>95</v>
      </c>
      <c r="Q87" s="193">
        <v>7</v>
      </c>
      <c r="R87" s="193">
        <v>5</v>
      </c>
      <c r="S87" s="193">
        <v>13</v>
      </c>
      <c r="T87" s="193">
        <v>6</v>
      </c>
      <c r="U87" s="193">
        <v>6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4" t="s">
        <v>29</v>
      </c>
      <c r="L88" s="194" t="s">
        <v>31</v>
      </c>
      <c r="M88" s="194" t="s">
        <v>96</v>
      </c>
      <c r="N88" s="194" t="s">
        <v>13</v>
      </c>
      <c r="O88" s="194" t="s">
        <v>13</v>
      </c>
      <c r="Q88" s="193">
        <v>8</v>
      </c>
      <c r="R88" s="193">
        <v>7</v>
      </c>
      <c r="S88" s="193">
        <v>15</v>
      </c>
      <c r="T88" s="193">
        <v>5</v>
      </c>
      <c r="U88" s="193">
        <v>5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>
      <c r="J89" s="193">
        <v>85</v>
      </c>
      <c r="K89" s="194" t="s">
        <v>13</v>
      </c>
      <c r="L89" s="194" t="s">
        <v>29</v>
      </c>
      <c r="M89" s="194" t="s">
        <v>94</v>
      </c>
      <c r="N89" s="194" t="s">
        <v>14</v>
      </c>
      <c r="O89" s="194" t="s">
        <v>30</v>
      </c>
      <c r="Q89" s="193">
        <v>5</v>
      </c>
      <c r="R89" s="193">
        <v>8</v>
      </c>
      <c r="S89" s="193">
        <v>17</v>
      </c>
      <c r="T89" s="193">
        <v>1</v>
      </c>
      <c r="U89" s="193">
        <v>10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4" t="s">
        <v>31</v>
      </c>
      <c r="L90" s="194" t="s">
        <v>28</v>
      </c>
      <c r="M90" s="194" t="s">
        <v>96</v>
      </c>
      <c r="N90" s="194" t="s">
        <v>13</v>
      </c>
      <c r="O90" s="194" t="s">
        <v>31</v>
      </c>
      <c r="Q90" s="193">
        <v>7</v>
      </c>
      <c r="R90" s="193">
        <v>9</v>
      </c>
      <c r="S90" s="193">
        <v>15</v>
      </c>
      <c r="T90" s="193">
        <v>5</v>
      </c>
      <c r="U90" s="193">
        <v>7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3">
        <v>87</v>
      </c>
      <c r="K91" s="194" t="s">
        <v>95</v>
      </c>
      <c r="L91" s="194" t="s">
        <v>15</v>
      </c>
      <c r="M91" s="194" t="s">
        <v>78</v>
      </c>
      <c r="N91" s="194" t="s">
        <v>29</v>
      </c>
      <c r="O91" s="194" t="s">
        <v>29</v>
      </c>
      <c r="Q91" s="193">
        <v>6</v>
      </c>
      <c r="R91" s="193">
        <v>2</v>
      </c>
      <c r="S91" s="193">
        <v>11</v>
      </c>
      <c r="T91" s="193">
        <v>8</v>
      </c>
      <c r="U91" s="193">
        <v>8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4" t="s">
        <v>13</v>
      </c>
      <c r="L92" s="194" t="s">
        <v>13</v>
      </c>
      <c r="M92" s="194" t="s">
        <v>94</v>
      </c>
      <c r="N92" s="194" t="s">
        <v>31</v>
      </c>
      <c r="O92" s="194" t="s">
        <v>28</v>
      </c>
      <c r="Q92" s="193">
        <v>5</v>
      </c>
      <c r="R92" s="193">
        <v>5</v>
      </c>
      <c r="S92" s="193">
        <v>17</v>
      </c>
      <c r="T92" s="193">
        <v>7</v>
      </c>
      <c r="U92" s="193">
        <v>9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>
      <c r="J93" s="193">
        <v>89</v>
      </c>
      <c r="K93" s="194" t="s">
        <v>30</v>
      </c>
      <c r="L93" s="194" t="s">
        <v>95</v>
      </c>
      <c r="M93" s="194" t="s">
        <v>81</v>
      </c>
      <c r="N93" s="194" t="s">
        <v>95</v>
      </c>
      <c r="O93" s="194" t="s">
        <v>29</v>
      </c>
      <c r="Q93" s="193">
        <v>10</v>
      </c>
      <c r="R93" s="193">
        <v>6</v>
      </c>
      <c r="S93" s="193">
        <v>14</v>
      </c>
      <c r="T93" s="193">
        <v>6</v>
      </c>
      <c r="U93" s="193">
        <v>8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4" t="s">
        <v>29</v>
      </c>
      <c r="L94" s="194" t="s">
        <v>79</v>
      </c>
      <c r="M94" s="194" t="s">
        <v>94</v>
      </c>
      <c r="N94" s="194" t="s">
        <v>82</v>
      </c>
      <c r="O94" s="194" t="s">
        <v>14</v>
      </c>
      <c r="Q94" s="193">
        <v>8</v>
      </c>
      <c r="R94" s="193">
        <v>12</v>
      </c>
      <c r="S94" s="193">
        <v>17</v>
      </c>
      <c r="T94" s="193">
        <v>16</v>
      </c>
      <c r="U94" s="193">
        <v>1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>
      <c r="J95" s="193">
        <v>91</v>
      </c>
      <c r="K95" s="194" t="s">
        <v>95</v>
      </c>
      <c r="L95" s="194" t="s">
        <v>94</v>
      </c>
      <c r="M95" s="194" t="s">
        <v>78</v>
      </c>
      <c r="N95" s="194" t="s">
        <v>96</v>
      </c>
      <c r="O95" s="194" t="s">
        <v>29</v>
      </c>
      <c r="Q95" s="193">
        <v>6</v>
      </c>
      <c r="R95" s="193">
        <v>17</v>
      </c>
      <c r="S95" s="193">
        <v>11</v>
      </c>
      <c r="T95" s="193">
        <v>15</v>
      </c>
      <c r="U95" s="193">
        <v>8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4" t="s">
        <v>13</v>
      </c>
      <c r="L96" s="194" t="s">
        <v>95</v>
      </c>
      <c r="M96" s="194" t="s">
        <v>85</v>
      </c>
      <c r="N96" s="194" t="s">
        <v>14</v>
      </c>
      <c r="O96" s="194" t="s">
        <v>13</v>
      </c>
      <c r="Q96" s="193">
        <v>5</v>
      </c>
      <c r="R96" s="193">
        <v>6</v>
      </c>
      <c r="S96" s="193">
        <v>18</v>
      </c>
      <c r="T96" s="193">
        <v>1</v>
      </c>
      <c r="U96" s="193">
        <v>5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>
      <c r="J97" s="193">
        <v>93</v>
      </c>
      <c r="K97" s="194" t="s">
        <v>31</v>
      </c>
      <c r="L97" s="194" t="s">
        <v>94</v>
      </c>
      <c r="M97" s="194" t="s">
        <v>96</v>
      </c>
      <c r="N97" s="194" t="s">
        <v>29</v>
      </c>
      <c r="O97" s="194" t="s">
        <v>30</v>
      </c>
      <c r="Q97" s="193">
        <v>7</v>
      </c>
      <c r="R97" s="193">
        <v>17</v>
      </c>
      <c r="S97" s="193">
        <v>15</v>
      </c>
      <c r="T97" s="193">
        <v>8</v>
      </c>
      <c r="U97" s="193">
        <v>10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4" t="s">
        <v>29</v>
      </c>
      <c r="L98" s="194" t="s">
        <v>15</v>
      </c>
      <c r="M98" s="194" t="s">
        <v>81</v>
      </c>
      <c r="N98" s="194" t="s">
        <v>31</v>
      </c>
      <c r="O98" s="194" t="s">
        <v>13</v>
      </c>
      <c r="Q98" s="193">
        <v>8</v>
      </c>
      <c r="R98" s="193">
        <v>2</v>
      </c>
      <c r="S98" s="193">
        <v>14</v>
      </c>
      <c r="T98" s="193">
        <v>7</v>
      </c>
      <c r="U98" s="193">
        <v>5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>
      <c r="J99" s="193">
        <v>95</v>
      </c>
      <c r="K99" s="194" t="s">
        <v>95</v>
      </c>
      <c r="L99" s="194" t="s">
        <v>13</v>
      </c>
      <c r="M99" s="194" t="s">
        <v>96</v>
      </c>
      <c r="N99" s="194" t="s">
        <v>96</v>
      </c>
      <c r="O99" s="194" t="s">
        <v>95</v>
      </c>
      <c r="Q99" s="193">
        <v>6</v>
      </c>
      <c r="R99" s="193">
        <v>5</v>
      </c>
      <c r="S99" s="193">
        <v>15</v>
      </c>
      <c r="T99" s="193">
        <v>15</v>
      </c>
      <c r="U99" s="193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4" t="s">
        <v>13</v>
      </c>
      <c r="L100" s="194" t="s">
        <v>29</v>
      </c>
      <c r="M100" s="194" t="s">
        <v>94</v>
      </c>
      <c r="N100" s="194" t="s">
        <v>29</v>
      </c>
      <c r="O100" s="194" t="s">
        <v>29</v>
      </c>
      <c r="Q100" s="193">
        <v>5</v>
      </c>
      <c r="R100" s="193">
        <v>8</v>
      </c>
      <c r="S100" s="193">
        <v>17</v>
      </c>
      <c r="T100" s="193">
        <v>8</v>
      </c>
      <c r="U100" s="193">
        <v>8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>
      <c r="J101" s="193">
        <v>97</v>
      </c>
      <c r="K101" s="194" t="s">
        <v>31</v>
      </c>
      <c r="L101" s="194" t="s">
        <v>94</v>
      </c>
      <c r="M101" s="194" t="s">
        <v>81</v>
      </c>
      <c r="N101" s="194" t="s">
        <v>94</v>
      </c>
      <c r="O101" s="194" t="s">
        <v>28</v>
      </c>
      <c r="Q101" s="193">
        <v>7</v>
      </c>
      <c r="R101" s="193">
        <v>17</v>
      </c>
      <c r="S101" s="193">
        <v>14</v>
      </c>
      <c r="T101" s="193">
        <v>17</v>
      </c>
      <c r="U101" s="193">
        <v>9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4" t="s">
        <v>15</v>
      </c>
      <c r="L102" s="194" t="s">
        <v>29</v>
      </c>
      <c r="M102" s="194" t="s">
        <v>82</v>
      </c>
      <c r="N102" s="194" t="s">
        <v>28</v>
      </c>
      <c r="O102" s="194" t="s">
        <v>15</v>
      </c>
      <c r="Q102" s="193">
        <v>2</v>
      </c>
      <c r="R102" s="193">
        <v>8</v>
      </c>
      <c r="S102" s="193">
        <v>16</v>
      </c>
      <c r="T102" s="193">
        <v>9</v>
      </c>
      <c r="U102" s="193">
        <v>2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>
      <c r="J103" s="193">
        <v>99</v>
      </c>
      <c r="K103" s="194" t="s">
        <v>31</v>
      </c>
      <c r="L103" s="194" t="s">
        <v>15</v>
      </c>
      <c r="M103" s="194" t="s">
        <v>81</v>
      </c>
      <c r="N103" s="194" t="s">
        <v>31</v>
      </c>
      <c r="O103" s="194" t="s">
        <v>29</v>
      </c>
      <c r="Q103" s="193">
        <v>7</v>
      </c>
      <c r="R103" s="193">
        <v>2</v>
      </c>
      <c r="S103" s="193">
        <v>14</v>
      </c>
      <c r="T103" s="193">
        <v>7</v>
      </c>
      <c r="U103" s="193">
        <v>8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4" t="s">
        <v>13</v>
      </c>
      <c r="L104" s="194" t="s">
        <v>29</v>
      </c>
      <c r="M104" s="194" t="s">
        <v>94</v>
      </c>
      <c r="N104" s="194" t="s">
        <v>82</v>
      </c>
      <c r="O104" s="194" t="s">
        <v>95</v>
      </c>
      <c r="Q104" s="193">
        <v>5</v>
      </c>
      <c r="R104" s="193">
        <v>8</v>
      </c>
      <c r="S104" s="193">
        <v>17</v>
      </c>
      <c r="T104" s="193">
        <v>16</v>
      </c>
      <c r="U104" s="193">
        <v>6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4" t="s">
        <v>95</v>
      </c>
      <c r="L105" s="194" t="s">
        <v>14</v>
      </c>
      <c r="M105" s="194" t="s">
        <v>81</v>
      </c>
      <c r="N105" s="194" t="s">
        <v>96</v>
      </c>
      <c r="O105" s="194" t="s">
        <v>29</v>
      </c>
      <c r="Q105" s="193">
        <v>6</v>
      </c>
      <c r="R105" s="193">
        <v>1</v>
      </c>
      <c r="S105" s="193">
        <v>14</v>
      </c>
      <c r="T105" s="193">
        <v>15</v>
      </c>
      <c r="U105" s="193">
        <v>8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>
      <c r="J106" s="193">
        <v>102</v>
      </c>
      <c r="K106" s="194" t="s">
        <v>13</v>
      </c>
      <c r="L106" s="194" t="s">
        <v>31</v>
      </c>
      <c r="M106" s="194" t="s">
        <v>96</v>
      </c>
      <c r="N106" s="194" t="s">
        <v>12</v>
      </c>
      <c r="O106" s="194" t="s">
        <v>13</v>
      </c>
      <c r="Q106" s="193">
        <v>5</v>
      </c>
      <c r="R106" s="193">
        <v>7</v>
      </c>
      <c r="S106" s="193">
        <v>15</v>
      </c>
      <c r="T106" s="193">
        <v>4</v>
      </c>
      <c r="U106" s="193">
        <v>5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4" t="s">
        <v>31</v>
      </c>
      <c r="L107" s="194" t="s">
        <v>94</v>
      </c>
      <c r="M107" s="194" t="s">
        <v>81</v>
      </c>
      <c r="N107" s="194" t="s">
        <v>82</v>
      </c>
      <c r="O107" s="194" t="s">
        <v>28</v>
      </c>
      <c r="Q107" s="193">
        <v>7</v>
      </c>
      <c r="R107" s="193">
        <v>17</v>
      </c>
      <c r="S107" s="193">
        <v>14</v>
      </c>
      <c r="T107" s="193">
        <v>16</v>
      </c>
      <c r="U107" s="193">
        <v>9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>
      <c r="J108" s="193">
        <v>104</v>
      </c>
      <c r="K108" s="194" t="s">
        <v>95</v>
      </c>
      <c r="L108" s="194" t="s">
        <v>31</v>
      </c>
      <c r="M108" s="194" t="s">
        <v>96</v>
      </c>
      <c r="N108" s="194" t="s">
        <v>13</v>
      </c>
      <c r="O108" s="194" t="s">
        <v>29</v>
      </c>
      <c r="Q108" s="193">
        <v>6</v>
      </c>
      <c r="R108" s="193">
        <v>7</v>
      </c>
      <c r="S108" s="193">
        <v>15</v>
      </c>
      <c r="T108" s="193">
        <v>5</v>
      </c>
      <c r="U108" s="193">
        <v>8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4" t="s">
        <v>31</v>
      </c>
      <c r="L109" s="194" t="s">
        <v>29</v>
      </c>
      <c r="M109" s="194" t="s">
        <v>80</v>
      </c>
      <c r="N109" s="194" t="s">
        <v>29</v>
      </c>
      <c r="O109" s="194" t="s">
        <v>31</v>
      </c>
      <c r="Q109" s="193">
        <v>7</v>
      </c>
      <c r="R109" s="193">
        <v>8</v>
      </c>
      <c r="S109" s="193">
        <v>13</v>
      </c>
      <c r="T109" s="193">
        <v>8</v>
      </c>
      <c r="U109" s="193">
        <v>7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3">
        <v>106</v>
      </c>
      <c r="K110" s="194" t="s">
        <v>13</v>
      </c>
      <c r="L110" s="194" t="s">
        <v>30</v>
      </c>
      <c r="M110" s="194" t="s">
        <v>81</v>
      </c>
      <c r="N110" s="194" t="s">
        <v>13</v>
      </c>
      <c r="O110" s="194" t="s">
        <v>29</v>
      </c>
      <c r="Q110" s="193">
        <v>5</v>
      </c>
      <c r="R110" s="193">
        <v>10</v>
      </c>
      <c r="S110" s="193">
        <v>14</v>
      </c>
      <c r="T110" s="193">
        <v>5</v>
      </c>
      <c r="U110" s="193">
        <v>8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4" t="s">
        <v>31</v>
      </c>
      <c r="L111" s="194" t="s">
        <v>31</v>
      </c>
      <c r="M111" s="194" t="s">
        <v>94</v>
      </c>
      <c r="N111" s="194" t="s">
        <v>96</v>
      </c>
      <c r="O111" s="194" t="s">
        <v>95</v>
      </c>
      <c r="Q111" s="193">
        <v>7</v>
      </c>
      <c r="R111" s="193">
        <v>7</v>
      </c>
      <c r="S111" s="193">
        <v>17</v>
      </c>
      <c r="T111" s="193">
        <v>15</v>
      </c>
      <c r="U111" s="193">
        <v>6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3">
        <v>108</v>
      </c>
      <c r="K112" s="194" t="s">
        <v>13</v>
      </c>
      <c r="L112" s="194" t="s">
        <v>15</v>
      </c>
      <c r="M112" s="194" t="s">
        <v>82</v>
      </c>
      <c r="N112" s="194" t="s">
        <v>16</v>
      </c>
      <c r="O112" s="194" t="s">
        <v>31</v>
      </c>
      <c r="Q112" s="193">
        <v>5</v>
      </c>
      <c r="R112" s="193">
        <v>2</v>
      </c>
      <c r="S112" s="193">
        <v>16</v>
      </c>
      <c r="T112" s="193">
        <v>3</v>
      </c>
      <c r="U112" s="193">
        <v>7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4" t="s">
        <v>28</v>
      </c>
      <c r="L113" s="194" t="s">
        <v>29</v>
      </c>
      <c r="M113" s="194" t="s">
        <v>96</v>
      </c>
      <c r="N113" s="194" t="s">
        <v>31</v>
      </c>
      <c r="O113" s="194" t="s">
        <v>16</v>
      </c>
      <c r="Q113" s="193">
        <v>9</v>
      </c>
      <c r="R113" s="193">
        <v>8</v>
      </c>
      <c r="S113" s="193">
        <v>15</v>
      </c>
      <c r="T113" s="193">
        <v>7</v>
      </c>
      <c r="U113" s="193">
        <v>3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>
      <c r="J114" s="193">
        <v>110</v>
      </c>
      <c r="K114" s="194" t="s">
        <v>31</v>
      </c>
      <c r="L114" s="194" t="s">
        <v>94</v>
      </c>
      <c r="M114" s="194" t="s">
        <v>81</v>
      </c>
      <c r="N114" s="194" t="s">
        <v>13</v>
      </c>
      <c r="O114" s="194" t="s">
        <v>29</v>
      </c>
      <c r="Q114" s="193">
        <v>7</v>
      </c>
      <c r="R114" s="193">
        <v>17</v>
      </c>
      <c r="S114" s="193">
        <v>14</v>
      </c>
      <c r="T114" s="193">
        <v>5</v>
      </c>
      <c r="U114" s="193">
        <v>8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4" t="s">
        <v>13</v>
      </c>
      <c r="L115" s="194" t="s">
        <v>15</v>
      </c>
      <c r="M115" s="194" t="s">
        <v>82</v>
      </c>
      <c r="N115" s="194" t="s">
        <v>15</v>
      </c>
      <c r="O115" s="194" t="s">
        <v>13</v>
      </c>
      <c r="Q115" s="193">
        <v>5</v>
      </c>
      <c r="R115" s="193">
        <v>2</v>
      </c>
      <c r="S115" s="193">
        <v>16</v>
      </c>
      <c r="T115" s="193">
        <v>2</v>
      </c>
      <c r="U115" s="193">
        <v>5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>
      <c r="J116" s="193">
        <v>112</v>
      </c>
      <c r="K116" s="194" t="s">
        <v>31</v>
      </c>
      <c r="L116" s="194" t="s">
        <v>31</v>
      </c>
      <c r="M116" s="194" t="s">
        <v>81</v>
      </c>
      <c r="N116" s="194" t="s">
        <v>29</v>
      </c>
      <c r="O116" s="194" t="s">
        <v>28</v>
      </c>
      <c r="Q116" s="193">
        <v>7</v>
      </c>
      <c r="R116" s="193">
        <v>7</v>
      </c>
      <c r="S116" s="193">
        <v>14</v>
      </c>
      <c r="T116" s="193">
        <v>8</v>
      </c>
      <c r="U116" s="193">
        <v>9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4" t="s">
        <v>13</v>
      </c>
      <c r="L117" s="194" t="s">
        <v>81</v>
      </c>
      <c r="M117" s="194" t="s">
        <v>94</v>
      </c>
      <c r="N117" s="194" t="s">
        <v>95</v>
      </c>
      <c r="O117" s="194" t="s">
        <v>14</v>
      </c>
      <c r="Q117" s="193">
        <v>5</v>
      </c>
      <c r="R117" s="193">
        <v>14</v>
      </c>
      <c r="S117" s="193">
        <v>17</v>
      </c>
      <c r="T117" s="193">
        <v>6</v>
      </c>
      <c r="U117" s="193">
        <v>1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>
      <c r="J118" s="193">
        <v>114</v>
      </c>
      <c r="K118" s="194" t="s">
        <v>31</v>
      </c>
      <c r="L118" s="194" t="s">
        <v>96</v>
      </c>
      <c r="M118" s="194" t="s">
        <v>82</v>
      </c>
      <c r="N118" s="194" t="s">
        <v>13</v>
      </c>
      <c r="O118" s="194" t="s">
        <v>16</v>
      </c>
      <c r="Q118" s="193">
        <v>7</v>
      </c>
      <c r="R118" s="193">
        <v>15</v>
      </c>
      <c r="S118" s="193">
        <v>16</v>
      </c>
      <c r="T118" s="193">
        <v>5</v>
      </c>
      <c r="U118" s="193">
        <v>3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4" t="s">
        <v>13</v>
      </c>
      <c r="L119" s="194" t="s">
        <v>82</v>
      </c>
      <c r="M119" s="194" t="s">
        <v>81</v>
      </c>
      <c r="N119" s="194" t="s">
        <v>28</v>
      </c>
      <c r="O119" s="194" t="s">
        <v>13</v>
      </c>
      <c r="Q119" s="193">
        <v>5</v>
      </c>
      <c r="R119" s="193">
        <v>16</v>
      </c>
      <c r="S119" s="193">
        <v>14</v>
      </c>
      <c r="T119" s="193">
        <v>9</v>
      </c>
      <c r="U119" s="193">
        <v>5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>
      <c r="J120" s="193">
        <v>116</v>
      </c>
      <c r="K120" s="194" t="s">
        <v>31</v>
      </c>
      <c r="L120" s="194" t="s">
        <v>12</v>
      </c>
      <c r="M120" s="194" t="s">
        <v>96</v>
      </c>
      <c r="N120" s="194" t="s">
        <v>29</v>
      </c>
      <c r="O120" s="194" t="s">
        <v>95</v>
      </c>
      <c r="Q120" s="193">
        <v>7</v>
      </c>
      <c r="R120" s="193">
        <v>4</v>
      </c>
      <c r="S120" s="193">
        <v>15</v>
      </c>
      <c r="T120" s="193">
        <v>8</v>
      </c>
      <c r="U120" s="193">
        <v>6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4" t="s">
        <v>29</v>
      </c>
      <c r="L121" s="194" t="s">
        <v>95</v>
      </c>
      <c r="M121" s="194" t="s">
        <v>94</v>
      </c>
      <c r="N121" s="194" t="s">
        <v>31</v>
      </c>
      <c r="O121" s="194" t="s">
        <v>12</v>
      </c>
      <c r="Q121" s="193">
        <v>8</v>
      </c>
      <c r="R121" s="193">
        <v>6</v>
      </c>
      <c r="S121" s="193">
        <v>17</v>
      </c>
      <c r="T121" s="193">
        <v>7</v>
      </c>
      <c r="U121" s="193">
        <v>4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3">
        <v>118</v>
      </c>
      <c r="K122" s="194" t="s">
        <v>95</v>
      </c>
      <c r="L122" s="194" t="s">
        <v>12</v>
      </c>
      <c r="M122" s="194" t="s">
        <v>81</v>
      </c>
      <c r="N122" s="194" t="s">
        <v>13</v>
      </c>
      <c r="O122" s="194" t="s">
        <v>31</v>
      </c>
      <c r="Q122" s="193">
        <v>6</v>
      </c>
      <c r="R122" s="193">
        <v>4</v>
      </c>
      <c r="S122" s="193">
        <v>14</v>
      </c>
      <c r="T122" s="193">
        <v>5</v>
      </c>
      <c r="U122" s="193">
        <v>7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4" t="s">
        <v>31</v>
      </c>
      <c r="L123" s="194" t="s">
        <v>78</v>
      </c>
      <c r="M123" s="194" t="s">
        <v>94</v>
      </c>
      <c r="N123" s="194" t="s">
        <v>31</v>
      </c>
      <c r="O123" s="194" t="s">
        <v>29</v>
      </c>
      <c r="Q123" s="193">
        <v>7</v>
      </c>
      <c r="R123" s="193">
        <v>11</v>
      </c>
      <c r="S123" s="193">
        <v>17</v>
      </c>
      <c r="T123" s="193">
        <v>7</v>
      </c>
      <c r="U123" s="193">
        <v>8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3">
        <v>120</v>
      </c>
      <c r="K124" s="194" t="s">
        <v>29</v>
      </c>
      <c r="L124" s="194" t="s">
        <v>13</v>
      </c>
      <c r="M124" s="194" t="s">
        <v>96</v>
      </c>
      <c r="N124" s="194" t="s">
        <v>82</v>
      </c>
      <c r="O124" s="194" t="s">
        <v>95</v>
      </c>
      <c r="Q124" s="193">
        <v>8</v>
      </c>
      <c r="R124" s="193">
        <v>5</v>
      </c>
      <c r="S124" s="193">
        <v>15</v>
      </c>
      <c r="T124" s="193">
        <v>16</v>
      </c>
      <c r="U124" s="193">
        <v>6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4" t="s">
        <v>13</v>
      </c>
      <c r="L125" s="194" t="s">
        <v>95</v>
      </c>
      <c r="M125" s="194" t="s">
        <v>79</v>
      </c>
      <c r="N125" s="194" t="s">
        <v>95</v>
      </c>
      <c r="O125" s="194" t="s">
        <v>14</v>
      </c>
      <c r="Q125" s="193">
        <v>5</v>
      </c>
      <c r="R125" s="193">
        <v>6</v>
      </c>
      <c r="S125" s="193">
        <v>12</v>
      </c>
      <c r="T125" s="193">
        <v>6</v>
      </c>
      <c r="U125" s="193">
        <v>1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3">
        <v>122</v>
      </c>
      <c r="K126" s="194" t="s">
        <v>31</v>
      </c>
      <c r="L126" s="194" t="s">
        <v>31</v>
      </c>
      <c r="M126" s="194" t="s">
        <v>96</v>
      </c>
      <c r="N126" s="194" t="s">
        <v>29</v>
      </c>
      <c r="O126" s="194" t="s">
        <v>29</v>
      </c>
      <c r="Q126" s="193">
        <v>7</v>
      </c>
      <c r="R126" s="193">
        <v>7</v>
      </c>
      <c r="S126" s="193">
        <v>15</v>
      </c>
      <c r="T126" s="193">
        <v>8</v>
      </c>
      <c r="U126" s="193">
        <v>8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4" t="s">
        <v>95</v>
      </c>
      <c r="L127" s="194" t="s">
        <v>80</v>
      </c>
      <c r="M127" s="194" t="s">
        <v>82</v>
      </c>
      <c r="N127" s="194" t="s">
        <v>95</v>
      </c>
      <c r="O127" s="194" t="s">
        <v>31</v>
      </c>
      <c r="Q127" s="193">
        <v>6</v>
      </c>
      <c r="R127" s="193">
        <v>13</v>
      </c>
      <c r="S127" s="193">
        <v>16</v>
      </c>
      <c r="T127" s="193">
        <v>6</v>
      </c>
      <c r="U127" s="193">
        <v>7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3">
        <v>124</v>
      </c>
      <c r="K128" s="194" t="s">
        <v>12</v>
      </c>
      <c r="L128" s="194" t="s">
        <v>29</v>
      </c>
      <c r="M128" s="194" t="s">
        <v>96</v>
      </c>
      <c r="N128" s="194" t="s">
        <v>31</v>
      </c>
      <c r="O128" s="194" t="s">
        <v>30</v>
      </c>
      <c r="Q128" s="193">
        <v>4</v>
      </c>
      <c r="R128" s="193">
        <v>8</v>
      </c>
      <c r="S128" s="193">
        <v>15</v>
      </c>
      <c r="T128" s="193">
        <v>7</v>
      </c>
      <c r="U128" s="193">
        <v>10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4" t="s">
        <v>13</v>
      </c>
      <c r="L129" s="194" t="s">
        <v>13</v>
      </c>
      <c r="M129" s="194" t="s">
        <v>81</v>
      </c>
      <c r="N129" s="194" t="s">
        <v>29</v>
      </c>
      <c r="O129" s="194" t="s">
        <v>95</v>
      </c>
      <c r="Q129" s="193">
        <v>5</v>
      </c>
      <c r="R129" s="193">
        <v>5</v>
      </c>
      <c r="S129" s="193">
        <v>14</v>
      </c>
      <c r="T129" s="193">
        <v>8</v>
      </c>
      <c r="U129" s="193">
        <v>6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3">
        <v>126</v>
      </c>
      <c r="K130" s="194" t="s">
        <v>29</v>
      </c>
      <c r="L130" s="194" t="s">
        <v>96</v>
      </c>
      <c r="M130" s="194" t="s">
        <v>80</v>
      </c>
      <c r="N130" s="194" t="s">
        <v>31</v>
      </c>
      <c r="O130" s="194" t="s">
        <v>13</v>
      </c>
      <c r="Q130" s="193">
        <v>8</v>
      </c>
      <c r="R130" s="193">
        <v>15</v>
      </c>
      <c r="S130" s="193">
        <v>13</v>
      </c>
      <c r="T130" s="193">
        <v>7</v>
      </c>
      <c r="U130" s="193">
        <v>5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4" t="s">
        <v>95</v>
      </c>
      <c r="L131" s="194" t="s">
        <v>12</v>
      </c>
      <c r="M131" s="194" t="s">
        <v>82</v>
      </c>
      <c r="N131" s="194" t="s">
        <v>13</v>
      </c>
      <c r="O131" s="194" t="s">
        <v>16</v>
      </c>
      <c r="Q131" s="193">
        <v>6</v>
      </c>
      <c r="R131" s="193">
        <v>4</v>
      </c>
      <c r="S131" s="193">
        <v>16</v>
      </c>
      <c r="T131" s="193">
        <v>5</v>
      </c>
      <c r="U131" s="193">
        <v>3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>
      <c r="J132" s="193">
        <v>128</v>
      </c>
      <c r="K132" s="194" t="s">
        <v>29</v>
      </c>
      <c r="L132" s="194" t="s">
        <v>79</v>
      </c>
      <c r="M132" s="194" t="s">
        <v>87</v>
      </c>
      <c r="N132" s="194" t="s">
        <v>31</v>
      </c>
      <c r="O132" s="194" t="s">
        <v>95</v>
      </c>
      <c r="Q132" s="193">
        <v>8</v>
      </c>
      <c r="R132" s="193">
        <v>12</v>
      </c>
      <c r="S132" s="193">
        <v>19</v>
      </c>
      <c r="T132" s="193">
        <v>7</v>
      </c>
      <c r="U132" s="193">
        <v>6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4" t="s">
        <v>31</v>
      </c>
      <c r="L133" s="194" t="s">
        <v>29</v>
      </c>
      <c r="M133" s="194" t="s">
        <v>94</v>
      </c>
      <c r="N133" s="194" t="s">
        <v>29</v>
      </c>
      <c r="O133" s="194" t="s">
        <v>13</v>
      </c>
      <c r="Q133" s="193">
        <v>7</v>
      </c>
      <c r="R133" s="193">
        <v>8</v>
      </c>
      <c r="S133" s="193">
        <v>17</v>
      </c>
      <c r="T133" s="193">
        <v>8</v>
      </c>
      <c r="U133" s="193">
        <v>5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>
      <c r="J134" s="193">
        <v>130</v>
      </c>
      <c r="K134" s="194" t="s">
        <v>16</v>
      </c>
      <c r="L134" s="194" t="s">
        <v>31</v>
      </c>
      <c r="M134" s="194" t="s">
        <v>81</v>
      </c>
      <c r="N134" s="194" t="s">
        <v>31</v>
      </c>
      <c r="O134" s="194" t="s">
        <v>16</v>
      </c>
      <c r="Q134" s="193">
        <v>3</v>
      </c>
      <c r="R134" s="193">
        <v>7</v>
      </c>
      <c r="S134" s="193">
        <v>14</v>
      </c>
      <c r="T134" s="193">
        <v>7</v>
      </c>
      <c r="U134" s="193">
        <v>3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4" t="s">
        <v>29</v>
      </c>
      <c r="L135" s="194" t="s">
        <v>12</v>
      </c>
      <c r="M135" s="194" t="s">
        <v>85</v>
      </c>
      <c r="N135" s="194" t="s">
        <v>29</v>
      </c>
      <c r="O135" s="194" t="s">
        <v>95</v>
      </c>
      <c r="Q135" s="193">
        <v>8</v>
      </c>
      <c r="R135" s="193">
        <v>4</v>
      </c>
      <c r="S135" s="193">
        <v>18</v>
      </c>
      <c r="T135" s="193">
        <v>8</v>
      </c>
      <c r="U135" s="193">
        <v>6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>
      <c r="J136" s="193">
        <v>132</v>
      </c>
      <c r="K136" s="194" t="s">
        <v>95</v>
      </c>
      <c r="L136" s="194" t="s">
        <v>96</v>
      </c>
      <c r="M136" s="194" t="s">
        <v>96</v>
      </c>
      <c r="N136" s="194" t="s">
        <v>13</v>
      </c>
      <c r="O136" s="194" t="s">
        <v>13</v>
      </c>
      <c r="Q136" s="193">
        <v>6</v>
      </c>
      <c r="R136" s="193">
        <v>15</v>
      </c>
      <c r="S136" s="193">
        <v>15</v>
      </c>
      <c r="T136" s="193">
        <v>5</v>
      </c>
      <c r="U136" s="193">
        <v>5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4" t="s">
        <v>13</v>
      </c>
      <c r="L137" s="194" t="s">
        <v>15</v>
      </c>
      <c r="M137" s="194" t="s">
        <v>82</v>
      </c>
      <c r="N137" s="194" t="s">
        <v>29</v>
      </c>
      <c r="O137" s="194" t="s">
        <v>31</v>
      </c>
      <c r="Q137" s="193">
        <v>5</v>
      </c>
      <c r="R137" s="193">
        <v>2</v>
      </c>
      <c r="S137" s="193">
        <v>16</v>
      </c>
      <c r="T137" s="193">
        <v>8</v>
      </c>
      <c r="U137" s="193">
        <v>7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>
      <c r="J138" s="193">
        <v>134</v>
      </c>
      <c r="K138" s="194" t="s">
        <v>29</v>
      </c>
      <c r="L138" s="194" t="s">
        <v>95</v>
      </c>
      <c r="M138" s="194" t="s">
        <v>94</v>
      </c>
      <c r="N138" s="194" t="s">
        <v>31</v>
      </c>
      <c r="O138" s="194" t="s">
        <v>12</v>
      </c>
      <c r="Q138" s="193">
        <v>8</v>
      </c>
      <c r="R138" s="193">
        <v>6</v>
      </c>
      <c r="S138" s="193">
        <v>17</v>
      </c>
      <c r="T138" s="193">
        <v>7</v>
      </c>
      <c r="U138" s="193">
        <v>4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4" t="s">
        <v>95</v>
      </c>
      <c r="L139" s="194" t="s">
        <v>78</v>
      </c>
      <c r="M139" s="194" t="s">
        <v>82</v>
      </c>
      <c r="N139" s="194" t="s">
        <v>95</v>
      </c>
      <c r="O139" s="194" t="s">
        <v>13</v>
      </c>
      <c r="Q139" s="193">
        <v>6</v>
      </c>
      <c r="R139" s="193">
        <v>11</v>
      </c>
      <c r="S139" s="193">
        <v>16</v>
      </c>
      <c r="T139" s="193">
        <v>6</v>
      </c>
      <c r="U139" s="193">
        <v>5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3">
        <v>136</v>
      </c>
      <c r="K140" s="194" t="s">
        <v>29</v>
      </c>
      <c r="L140" s="194" t="s">
        <v>85</v>
      </c>
      <c r="M140" s="194" t="s">
        <v>81</v>
      </c>
      <c r="N140" s="194" t="s">
        <v>13</v>
      </c>
      <c r="O140" s="194" t="s">
        <v>30</v>
      </c>
      <c r="Q140" s="193">
        <v>8</v>
      </c>
      <c r="R140" s="193">
        <v>18</v>
      </c>
      <c r="S140" s="193">
        <v>14</v>
      </c>
      <c r="T140" s="193">
        <v>5</v>
      </c>
      <c r="U140" s="193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4" t="s">
        <v>95</v>
      </c>
      <c r="L141" s="194" t="s">
        <v>13</v>
      </c>
      <c r="M141" s="194" t="s">
        <v>96</v>
      </c>
      <c r="N141" s="194" t="s">
        <v>94</v>
      </c>
      <c r="O141" s="194" t="s">
        <v>31</v>
      </c>
      <c r="Q141" s="193">
        <v>6</v>
      </c>
      <c r="R141" s="193">
        <v>5</v>
      </c>
      <c r="S141" s="193">
        <v>15</v>
      </c>
      <c r="T141" s="193">
        <v>17</v>
      </c>
      <c r="U141" s="193">
        <v>7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3">
        <v>138</v>
      </c>
      <c r="K142" s="194" t="s">
        <v>29</v>
      </c>
      <c r="L142" s="194" t="s">
        <v>15</v>
      </c>
      <c r="M142" s="194" t="s">
        <v>94</v>
      </c>
      <c r="N142" s="194" t="s">
        <v>31</v>
      </c>
      <c r="O142" s="194" t="s">
        <v>95</v>
      </c>
      <c r="Q142" s="193">
        <v>8</v>
      </c>
      <c r="R142" s="193">
        <v>2</v>
      </c>
      <c r="S142" s="193">
        <v>17</v>
      </c>
      <c r="T142" s="193">
        <v>7</v>
      </c>
      <c r="U142" s="193">
        <v>6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4" t="s">
        <v>13</v>
      </c>
      <c r="L143" s="194" t="s">
        <v>31</v>
      </c>
      <c r="M143" s="194" t="s">
        <v>96</v>
      </c>
      <c r="N143" s="194" t="s">
        <v>95</v>
      </c>
      <c r="O143" s="194" t="s">
        <v>31</v>
      </c>
      <c r="Q143" s="193">
        <v>5</v>
      </c>
      <c r="R143" s="193">
        <v>7</v>
      </c>
      <c r="S143" s="193">
        <v>15</v>
      </c>
      <c r="T143" s="193">
        <v>6</v>
      </c>
      <c r="U143" s="193">
        <v>7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>
      <c r="J144" s="193">
        <v>140</v>
      </c>
      <c r="K144" s="194" t="s">
        <v>95</v>
      </c>
      <c r="L144" s="194" t="s">
        <v>29</v>
      </c>
      <c r="M144" s="194" t="s">
        <v>85</v>
      </c>
      <c r="N144" s="194" t="s">
        <v>96</v>
      </c>
      <c r="O144" s="194" t="s">
        <v>95</v>
      </c>
      <c r="Q144" s="193">
        <v>6</v>
      </c>
      <c r="R144" s="193">
        <v>8</v>
      </c>
      <c r="S144" s="193">
        <v>18</v>
      </c>
      <c r="T144" s="193">
        <v>15</v>
      </c>
      <c r="U144" s="193">
        <v>6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4" t="s">
        <v>31</v>
      </c>
      <c r="L145" s="194" t="s">
        <v>13</v>
      </c>
      <c r="M145" s="194" t="s">
        <v>94</v>
      </c>
      <c r="N145" s="194" t="s">
        <v>31</v>
      </c>
      <c r="O145" s="194" t="s">
        <v>12</v>
      </c>
      <c r="Q145" s="193">
        <v>7</v>
      </c>
      <c r="R145" s="193">
        <v>5</v>
      </c>
      <c r="S145" s="193">
        <v>17</v>
      </c>
      <c r="T145" s="193">
        <v>7</v>
      </c>
      <c r="U145" s="193">
        <v>4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3">
        <v>142</v>
      </c>
      <c r="K146" s="194" t="s">
        <v>95</v>
      </c>
      <c r="L146" s="194" t="s">
        <v>87</v>
      </c>
      <c r="M146" s="194" t="s">
        <v>81</v>
      </c>
      <c r="N146" s="194" t="s">
        <v>28</v>
      </c>
      <c r="O146" s="194" t="s">
        <v>95</v>
      </c>
      <c r="Q146" s="193">
        <v>6</v>
      </c>
      <c r="R146" s="193">
        <v>19</v>
      </c>
      <c r="S146" s="193">
        <v>14</v>
      </c>
      <c r="T146" s="193">
        <v>9</v>
      </c>
      <c r="U146" s="193">
        <v>6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4" t="s">
        <v>13</v>
      </c>
      <c r="L147" s="194" t="s">
        <v>95</v>
      </c>
      <c r="M147" s="194" t="s">
        <v>96</v>
      </c>
      <c r="N147" s="194" t="s">
        <v>31</v>
      </c>
      <c r="O147" s="194" t="s">
        <v>13</v>
      </c>
      <c r="Q147" s="193">
        <v>5</v>
      </c>
      <c r="R147" s="193">
        <v>6</v>
      </c>
      <c r="S147" s="193">
        <v>15</v>
      </c>
      <c r="T147" s="193">
        <v>7</v>
      </c>
      <c r="U147" s="193">
        <v>5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3">
        <v>144</v>
      </c>
      <c r="K148" s="194" t="s">
        <v>95</v>
      </c>
      <c r="L148" s="194" t="s">
        <v>16</v>
      </c>
      <c r="M148" s="194" t="s">
        <v>82</v>
      </c>
      <c r="N148" s="194" t="s">
        <v>13</v>
      </c>
      <c r="O148" s="194" t="s">
        <v>95</v>
      </c>
      <c r="Q148" s="193">
        <v>6</v>
      </c>
      <c r="R148" s="193">
        <v>3</v>
      </c>
      <c r="S148" s="193">
        <v>16</v>
      </c>
      <c r="T148" s="193">
        <v>5</v>
      </c>
      <c r="U148" s="193">
        <v>6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4" t="s">
        <v>29</v>
      </c>
      <c r="L149" s="194" t="s">
        <v>94</v>
      </c>
      <c r="M149" s="194" t="s">
        <v>94</v>
      </c>
      <c r="N149" s="194" t="s">
        <v>31</v>
      </c>
      <c r="O149" s="194" t="s">
        <v>13</v>
      </c>
      <c r="Q149" s="193">
        <v>8</v>
      </c>
      <c r="R149" s="193">
        <v>17</v>
      </c>
      <c r="S149" s="193">
        <v>17</v>
      </c>
      <c r="T149" s="193">
        <v>7</v>
      </c>
      <c r="U149" s="193">
        <v>5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3">
        <v>146</v>
      </c>
      <c r="K150" s="194" t="s">
        <v>95</v>
      </c>
      <c r="L150" s="194" t="s">
        <v>29</v>
      </c>
      <c r="M150" s="194" t="s">
        <v>81</v>
      </c>
      <c r="N150" s="194" t="s">
        <v>95</v>
      </c>
      <c r="O150" s="194" t="s">
        <v>28</v>
      </c>
      <c r="Q150" s="193">
        <v>6</v>
      </c>
      <c r="R150" s="193">
        <v>8</v>
      </c>
      <c r="S150" s="193">
        <v>14</v>
      </c>
      <c r="T150" s="193">
        <v>6</v>
      </c>
      <c r="U150" s="193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4" t="s">
        <v>31</v>
      </c>
      <c r="L151" s="194" t="s">
        <v>95</v>
      </c>
      <c r="M151" s="194" t="s">
        <v>96</v>
      </c>
      <c r="N151" s="194" t="s">
        <v>31</v>
      </c>
      <c r="O151" s="194" t="s">
        <v>31</v>
      </c>
      <c r="Q151" s="193">
        <v>7</v>
      </c>
      <c r="R151" s="193">
        <v>6</v>
      </c>
      <c r="S151" s="193">
        <v>15</v>
      </c>
      <c r="T151" s="193">
        <v>7</v>
      </c>
      <c r="U151" s="193">
        <v>7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>
      <c r="J152" s="193">
        <v>148</v>
      </c>
      <c r="K152" s="194" t="s">
        <v>13</v>
      </c>
      <c r="L152" s="194" t="s">
        <v>94</v>
      </c>
      <c r="M152" s="194" t="s">
        <v>80</v>
      </c>
      <c r="N152" s="194" t="s">
        <v>13</v>
      </c>
      <c r="O152" s="194" t="s">
        <v>95</v>
      </c>
      <c r="Q152" s="193">
        <v>5</v>
      </c>
      <c r="R152" s="193">
        <v>17</v>
      </c>
      <c r="S152" s="193">
        <v>13</v>
      </c>
      <c r="T152" s="193">
        <v>5</v>
      </c>
      <c r="U152" s="193">
        <v>6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4" t="s">
        <v>95</v>
      </c>
      <c r="L153" s="194" t="s">
        <v>12</v>
      </c>
      <c r="M153" s="194" t="s">
        <v>81</v>
      </c>
      <c r="N153" s="194" t="s">
        <v>95</v>
      </c>
      <c r="O153" s="194" t="s">
        <v>28</v>
      </c>
      <c r="Q153" s="193">
        <v>6</v>
      </c>
      <c r="R153" s="193">
        <v>4</v>
      </c>
      <c r="S153" s="193">
        <v>14</v>
      </c>
      <c r="T153" s="193">
        <v>6</v>
      </c>
      <c r="U153" s="193">
        <v>9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>
      <c r="J154" s="193">
        <v>150</v>
      </c>
      <c r="K154" s="194" t="s">
        <v>13</v>
      </c>
      <c r="L154" s="194" t="s">
        <v>30</v>
      </c>
      <c r="M154" s="194" t="s">
        <v>96</v>
      </c>
      <c r="N154" s="194" t="s">
        <v>31</v>
      </c>
      <c r="O154" s="194" t="s">
        <v>29</v>
      </c>
      <c r="Q154" s="193">
        <v>5</v>
      </c>
      <c r="R154" s="193">
        <v>10</v>
      </c>
      <c r="S154" s="193">
        <v>15</v>
      </c>
      <c r="T154" s="193">
        <v>7</v>
      </c>
      <c r="U154" s="193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4" t="s">
        <v>15</v>
      </c>
      <c r="L155" s="194" t="s">
        <v>95</v>
      </c>
      <c r="M155" s="194" t="s">
        <v>94</v>
      </c>
      <c r="N155" s="194" t="s">
        <v>13</v>
      </c>
      <c r="O155" s="194" t="s">
        <v>15</v>
      </c>
      <c r="Q155" s="193">
        <v>2</v>
      </c>
      <c r="R155" s="193">
        <v>6</v>
      </c>
      <c r="S155" s="193">
        <v>17</v>
      </c>
      <c r="T155" s="193">
        <v>5</v>
      </c>
      <c r="U155" s="193">
        <v>2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>
      <c r="J156" s="193">
        <v>152</v>
      </c>
      <c r="K156" s="194" t="s">
        <v>29</v>
      </c>
      <c r="L156" s="194" t="s">
        <v>82</v>
      </c>
      <c r="M156" s="194" t="s">
        <v>87</v>
      </c>
      <c r="N156" s="194" t="s">
        <v>81</v>
      </c>
      <c r="O156" s="194" t="s">
        <v>31</v>
      </c>
      <c r="Q156" s="193">
        <v>8</v>
      </c>
      <c r="R156" s="193">
        <v>16</v>
      </c>
      <c r="S156" s="193">
        <v>19</v>
      </c>
      <c r="T156" s="193">
        <v>14</v>
      </c>
      <c r="U156" s="193">
        <v>7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4" t="s">
        <v>31</v>
      </c>
      <c r="L157" s="194" t="s">
        <v>29</v>
      </c>
      <c r="M157" s="194" t="s">
        <v>96</v>
      </c>
      <c r="N157" s="194" t="s">
        <v>95</v>
      </c>
      <c r="O157" s="194" t="s">
        <v>29</v>
      </c>
      <c r="Q157" s="193">
        <v>7</v>
      </c>
      <c r="R157" s="193">
        <v>8</v>
      </c>
      <c r="S157" s="193">
        <v>15</v>
      </c>
      <c r="T157" s="193">
        <v>6</v>
      </c>
      <c r="U157" s="193">
        <v>8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>
      <c r="J158" s="193">
        <v>154</v>
      </c>
      <c r="K158" s="194" t="s">
        <v>29</v>
      </c>
      <c r="L158" s="194" t="s">
        <v>30</v>
      </c>
      <c r="M158" s="194" t="s">
        <v>94</v>
      </c>
      <c r="N158" s="194" t="s">
        <v>31</v>
      </c>
      <c r="O158" s="194" t="s">
        <v>13</v>
      </c>
      <c r="Q158" s="193">
        <v>8</v>
      </c>
      <c r="R158" s="193">
        <v>10</v>
      </c>
      <c r="S158" s="193">
        <v>17</v>
      </c>
      <c r="T158" s="193">
        <v>7</v>
      </c>
      <c r="U158" s="193">
        <v>5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4" t="s">
        <v>13</v>
      </c>
      <c r="L159" s="194" t="s">
        <v>95</v>
      </c>
      <c r="M159" s="194" t="s">
        <v>80</v>
      </c>
      <c r="N159" s="194" t="s">
        <v>94</v>
      </c>
      <c r="O159" s="194" t="s">
        <v>31</v>
      </c>
      <c r="Q159" s="193">
        <v>5</v>
      </c>
      <c r="R159" s="193">
        <v>6</v>
      </c>
      <c r="S159" s="193">
        <v>13</v>
      </c>
      <c r="T159" s="193">
        <v>17</v>
      </c>
      <c r="U159" s="193">
        <v>7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>
      <c r="J160" s="193">
        <v>156</v>
      </c>
      <c r="K160" s="194" t="s">
        <v>31</v>
      </c>
      <c r="L160" s="194" t="s">
        <v>29</v>
      </c>
      <c r="M160" s="194" t="s">
        <v>96</v>
      </c>
      <c r="N160" s="194" t="s">
        <v>87</v>
      </c>
      <c r="O160" s="194" t="s">
        <v>29</v>
      </c>
      <c r="Q160" s="193">
        <v>7</v>
      </c>
      <c r="R160" s="193">
        <v>8</v>
      </c>
      <c r="S160" s="193">
        <v>15</v>
      </c>
      <c r="T160" s="193">
        <v>19</v>
      </c>
      <c r="U160" s="193">
        <v>8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4" t="s">
        <v>29</v>
      </c>
      <c r="L161" s="194" t="s">
        <v>15</v>
      </c>
      <c r="M161" s="194" t="s">
        <v>94</v>
      </c>
      <c r="N161" s="194" t="s">
        <v>79</v>
      </c>
      <c r="O161" s="194" t="s">
        <v>95</v>
      </c>
      <c r="Q161" s="193">
        <v>8</v>
      </c>
      <c r="R161" s="193">
        <v>2</v>
      </c>
      <c r="S161" s="193">
        <v>17</v>
      </c>
      <c r="T161" s="193">
        <v>12</v>
      </c>
      <c r="U161" s="193">
        <v>6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>
      <c r="J162" s="193">
        <v>158</v>
      </c>
      <c r="K162" s="194" t="s">
        <v>13</v>
      </c>
      <c r="L162" s="194" t="s">
        <v>12</v>
      </c>
      <c r="M162" s="194" t="s">
        <v>96</v>
      </c>
      <c r="N162" s="194" t="s">
        <v>96</v>
      </c>
      <c r="O162" s="194" t="s">
        <v>29</v>
      </c>
      <c r="Q162" s="193">
        <v>5</v>
      </c>
      <c r="R162" s="193">
        <v>4</v>
      </c>
      <c r="S162" s="193">
        <v>15</v>
      </c>
      <c r="T162" s="193">
        <v>15</v>
      </c>
      <c r="U162" s="193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4" t="s">
        <v>29</v>
      </c>
      <c r="L163" s="194" t="s">
        <v>16</v>
      </c>
      <c r="M163" s="194" t="s">
        <v>82</v>
      </c>
      <c r="N163" s="194" t="s">
        <v>87</v>
      </c>
      <c r="O163" s="194" t="s">
        <v>31</v>
      </c>
      <c r="Q163" s="193">
        <v>8</v>
      </c>
      <c r="R163" s="193">
        <v>3</v>
      </c>
      <c r="S163" s="193">
        <v>16</v>
      </c>
      <c r="T163" s="193">
        <v>19</v>
      </c>
      <c r="U163" s="193">
        <v>7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>
      <c r="J164" s="193">
        <v>160</v>
      </c>
      <c r="K164" s="194" t="s">
        <v>28</v>
      </c>
      <c r="L164" s="194" t="s">
        <v>31</v>
      </c>
      <c r="M164" s="194" t="s">
        <v>94</v>
      </c>
      <c r="N164" s="194" t="s">
        <v>31</v>
      </c>
      <c r="O164" s="194" t="s">
        <v>12</v>
      </c>
      <c r="Q164" s="193">
        <v>9</v>
      </c>
      <c r="R164" s="193">
        <v>7</v>
      </c>
      <c r="S164" s="193">
        <v>17</v>
      </c>
      <c r="T164" s="193">
        <v>7</v>
      </c>
      <c r="U164" s="193">
        <v>4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4" t="s">
        <v>13</v>
      </c>
      <c r="L165" s="194" t="s">
        <v>29</v>
      </c>
      <c r="M165" s="194" t="s">
        <v>96</v>
      </c>
      <c r="N165" s="194" t="s">
        <v>96</v>
      </c>
      <c r="O165" s="194" t="s">
        <v>95</v>
      </c>
      <c r="Q165" s="193">
        <v>5</v>
      </c>
      <c r="R165" s="193">
        <v>8</v>
      </c>
      <c r="S165" s="193">
        <v>15</v>
      </c>
      <c r="T165" s="193">
        <v>15</v>
      </c>
      <c r="U165" s="193">
        <v>6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>
      <c r="J166" s="193">
        <v>162</v>
      </c>
      <c r="K166" s="194" t="s">
        <v>28</v>
      </c>
      <c r="L166" s="194" t="s">
        <v>80</v>
      </c>
      <c r="M166" s="194" t="s">
        <v>94</v>
      </c>
      <c r="N166" s="194" t="s">
        <v>95</v>
      </c>
      <c r="O166" s="194" t="s">
        <v>31</v>
      </c>
      <c r="Q166" s="193">
        <v>9</v>
      </c>
      <c r="R166" s="193">
        <v>13</v>
      </c>
      <c r="S166" s="193">
        <v>17</v>
      </c>
      <c r="T166" s="193">
        <v>6</v>
      </c>
      <c r="U166" s="193">
        <v>7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4" t="s">
        <v>95</v>
      </c>
      <c r="L167" s="194" t="s">
        <v>16</v>
      </c>
      <c r="M167" s="194" t="s">
        <v>81</v>
      </c>
      <c r="N167" s="194" t="s">
        <v>13</v>
      </c>
      <c r="O167" s="194" t="s">
        <v>30</v>
      </c>
      <c r="Q167" s="193">
        <v>6</v>
      </c>
      <c r="R167" s="193">
        <v>3</v>
      </c>
      <c r="S167" s="193">
        <v>14</v>
      </c>
      <c r="T167" s="193">
        <v>5</v>
      </c>
      <c r="U167" s="193">
        <v>10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>
      <c r="J168" s="193">
        <v>164</v>
      </c>
      <c r="K168" s="194" t="s">
        <v>13</v>
      </c>
      <c r="L168" s="194" t="s">
        <v>13</v>
      </c>
      <c r="M168" s="194" t="s">
        <v>96</v>
      </c>
      <c r="N168" s="194" t="s">
        <v>31</v>
      </c>
      <c r="O168" s="194" t="s">
        <v>13</v>
      </c>
      <c r="Q168" s="193">
        <v>5</v>
      </c>
      <c r="R168" s="193">
        <v>5</v>
      </c>
      <c r="S168" s="193">
        <v>15</v>
      </c>
      <c r="T168" s="193">
        <v>7</v>
      </c>
      <c r="U168" s="193">
        <v>5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4" t="s">
        <v>29</v>
      </c>
      <c r="L169" s="194" t="s">
        <v>16</v>
      </c>
      <c r="M169" s="194" t="s">
        <v>94</v>
      </c>
      <c r="N169" s="194" t="s">
        <v>29</v>
      </c>
      <c r="O169" s="194" t="s">
        <v>30</v>
      </c>
      <c r="Q169" s="193">
        <v>8</v>
      </c>
      <c r="R169" s="193">
        <v>3</v>
      </c>
      <c r="S169" s="193">
        <v>17</v>
      </c>
      <c r="T169" s="193">
        <v>8</v>
      </c>
      <c r="U169" s="193">
        <v>10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>
      <c r="J170" s="193">
        <v>166</v>
      </c>
      <c r="K170" s="194" t="s">
        <v>28</v>
      </c>
      <c r="L170" s="194" t="s">
        <v>95</v>
      </c>
      <c r="M170" s="194" t="s">
        <v>82</v>
      </c>
      <c r="N170" s="194" t="s">
        <v>31</v>
      </c>
      <c r="O170" s="194" t="s">
        <v>31</v>
      </c>
      <c r="Q170" s="193">
        <v>9</v>
      </c>
      <c r="R170" s="193">
        <v>6</v>
      </c>
      <c r="S170" s="193">
        <v>16</v>
      </c>
      <c r="T170" s="193">
        <v>7</v>
      </c>
      <c r="U170" s="193">
        <v>7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4" t="s">
        <v>95</v>
      </c>
      <c r="L171" s="194" t="s">
        <v>82</v>
      </c>
      <c r="M171" s="194" t="s">
        <v>96</v>
      </c>
      <c r="N171" s="194" t="s">
        <v>94</v>
      </c>
      <c r="O171" s="194" t="s">
        <v>29</v>
      </c>
      <c r="Q171" s="193">
        <v>6</v>
      </c>
      <c r="R171" s="193">
        <v>16</v>
      </c>
      <c r="S171" s="193">
        <v>15</v>
      </c>
      <c r="T171" s="193">
        <v>17</v>
      </c>
      <c r="U171" s="193">
        <v>8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3">
        <v>168</v>
      </c>
      <c r="K172" s="194" t="s">
        <v>31</v>
      </c>
      <c r="L172" s="194" t="s">
        <v>28</v>
      </c>
      <c r="M172" s="194" t="s">
        <v>94</v>
      </c>
      <c r="N172" s="194" t="s">
        <v>14</v>
      </c>
      <c r="O172" s="194" t="s">
        <v>28</v>
      </c>
      <c r="Q172" s="193">
        <v>7</v>
      </c>
      <c r="R172" s="193">
        <v>9</v>
      </c>
      <c r="S172" s="193">
        <v>17</v>
      </c>
      <c r="T172" s="193">
        <v>1</v>
      </c>
      <c r="U172" s="193">
        <v>9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4" t="s">
        <v>29</v>
      </c>
      <c r="L173" s="194" t="s">
        <v>15</v>
      </c>
      <c r="M173" s="194" t="s">
        <v>82</v>
      </c>
      <c r="N173" s="194" t="s">
        <v>81</v>
      </c>
      <c r="O173" s="194" t="s">
        <v>13</v>
      </c>
      <c r="Q173" s="193">
        <v>8</v>
      </c>
      <c r="R173" s="193">
        <v>2</v>
      </c>
      <c r="S173" s="193">
        <v>16</v>
      </c>
      <c r="T173" s="193">
        <v>14</v>
      </c>
      <c r="U173" s="193">
        <v>5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3">
        <v>170</v>
      </c>
      <c r="K174" s="194" t="s">
        <v>31</v>
      </c>
      <c r="L174" s="194" t="s">
        <v>96</v>
      </c>
      <c r="M174" s="194" t="s">
        <v>81</v>
      </c>
      <c r="N174" s="194" t="s">
        <v>13</v>
      </c>
      <c r="O174" s="194" t="s">
        <v>31</v>
      </c>
      <c r="Q174" s="193">
        <v>7</v>
      </c>
      <c r="R174" s="193">
        <v>15</v>
      </c>
      <c r="S174" s="193">
        <v>14</v>
      </c>
      <c r="T174" s="193">
        <v>5</v>
      </c>
      <c r="U174" s="193">
        <v>7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4" t="s">
        <v>29</v>
      </c>
      <c r="L175" s="194" t="s">
        <v>28</v>
      </c>
      <c r="M175" s="194" t="s">
        <v>82</v>
      </c>
      <c r="N175" s="194" t="s">
        <v>80</v>
      </c>
      <c r="O175" s="194" t="s">
        <v>16</v>
      </c>
      <c r="Q175" s="193">
        <v>8</v>
      </c>
      <c r="R175" s="193">
        <v>9</v>
      </c>
      <c r="S175" s="193">
        <v>16</v>
      </c>
      <c r="T175" s="193">
        <v>13</v>
      </c>
      <c r="U175" s="193">
        <v>3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>
      <c r="J176" s="193">
        <v>172</v>
      </c>
      <c r="K176" s="194" t="s">
        <v>12</v>
      </c>
      <c r="L176" s="194" t="s">
        <v>13</v>
      </c>
      <c r="M176" s="194" t="s">
        <v>87</v>
      </c>
      <c r="N176" s="194" t="s">
        <v>85</v>
      </c>
      <c r="O176" s="194" t="s">
        <v>13</v>
      </c>
      <c r="Q176" s="193">
        <v>4</v>
      </c>
      <c r="R176" s="193">
        <v>5</v>
      </c>
      <c r="S176" s="193">
        <v>19</v>
      </c>
      <c r="T176" s="193">
        <v>18</v>
      </c>
      <c r="U176" s="193">
        <v>5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4" t="s">
        <v>13</v>
      </c>
      <c r="L177" s="194" t="s">
        <v>82</v>
      </c>
      <c r="M177" s="194" t="s">
        <v>94</v>
      </c>
      <c r="N177" s="194" t="s">
        <v>29</v>
      </c>
      <c r="O177" s="194" t="s">
        <v>95</v>
      </c>
      <c r="Q177" s="193">
        <v>5</v>
      </c>
      <c r="R177" s="193">
        <v>16</v>
      </c>
      <c r="S177" s="193">
        <v>17</v>
      </c>
      <c r="T177" s="193">
        <v>8</v>
      </c>
      <c r="U177" s="193">
        <v>6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>
      <c r="J178" s="193">
        <v>174</v>
      </c>
      <c r="K178" s="194" t="s">
        <v>29</v>
      </c>
      <c r="L178" s="194" t="s">
        <v>96</v>
      </c>
      <c r="M178" s="194" t="s">
        <v>96</v>
      </c>
      <c r="N178" s="194" t="s">
        <v>94</v>
      </c>
      <c r="O178" s="194" t="s">
        <v>31</v>
      </c>
      <c r="Q178" s="193">
        <v>8</v>
      </c>
      <c r="R178" s="193">
        <v>15</v>
      </c>
      <c r="S178" s="193">
        <v>15</v>
      </c>
      <c r="T178" s="193">
        <v>17</v>
      </c>
      <c r="U178" s="193">
        <v>7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4" t="s">
        <v>31</v>
      </c>
      <c r="L179" s="194" t="s">
        <v>31</v>
      </c>
      <c r="M179" s="194" t="s">
        <v>82</v>
      </c>
      <c r="N179" s="194" t="s">
        <v>12</v>
      </c>
      <c r="O179" s="194" t="s">
        <v>13</v>
      </c>
      <c r="Q179" s="193">
        <v>7</v>
      </c>
      <c r="R179" s="193">
        <v>7</v>
      </c>
      <c r="S179" s="193">
        <v>16</v>
      </c>
      <c r="T179" s="193">
        <v>4</v>
      </c>
      <c r="U179" s="193">
        <v>5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>
      <c r="J180" s="193">
        <v>176</v>
      </c>
      <c r="K180" s="194" t="s">
        <v>95</v>
      </c>
      <c r="L180" s="194" t="s">
        <v>28</v>
      </c>
      <c r="M180" s="194" t="s">
        <v>96</v>
      </c>
      <c r="N180" s="194" t="s">
        <v>13</v>
      </c>
      <c r="O180" s="194" t="s">
        <v>31</v>
      </c>
      <c r="Q180" s="193">
        <v>6</v>
      </c>
      <c r="R180" s="193">
        <v>9</v>
      </c>
      <c r="S180" s="193">
        <v>15</v>
      </c>
      <c r="T180" s="193">
        <v>5</v>
      </c>
      <c r="U180" s="193">
        <v>7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4" t="s">
        <v>13</v>
      </c>
      <c r="L181" s="194" t="s">
        <v>29</v>
      </c>
      <c r="M181" s="194" t="s">
        <v>81</v>
      </c>
      <c r="N181" s="194" t="s">
        <v>95</v>
      </c>
      <c r="O181" s="194" t="s">
        <v>13</v>
      </c>
      <c r="Q181" s="193">
        <v>5</v>
      </c>
      <c r="R181" s="193">
        <v>8</v>
      </c>
      <c r="S181" s="193">
        <v>14</v>
      </c>
      <c r="T181" s="193">
        <v>6</v>
      </c>
      <c r="U181" s="193">
        <v>5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3">
        <v>178</v>
      </c>
      <c r="K182" s="194" t="s">
        <v>29</v>
      </c>
      <c r="L182" s="194" t="s">
        <v>31</v>
      </c>
      <c r="M182" s="194" t="s">
        <v>82</v>
      </c>
      <c r="N182" s="194" t="s">
        <v>94</v>
      </c>
      <c r="O182" s="194" t="s">
        <v>29</v>
      </c>
      <c r="Q182" s="193">
        <v>8</v>
      </c>
      <c r="R182" s="193">
        <v>7</v>
      </c>
      <c r="S182" s="193">
        <v>16</v>
      </c>
      <c r="T182" s="193">
        <v>17</v>
      </c>
      <c r="U182" s="193">
        <v>8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4" t="s">
        <v>95</v>
      </c>
      <c r="L183" s="194" t="s">
        <v>95</v>
      </c>
      <c r="M183" s="194" t="s">
        <v>81</v>
      </c>
      <c r="N183" s="194" t="s">
        <v>95</v>
      </c>
      <c r="O183" s="194" t="s">
        <v>95</v>
      </c>
      <c r="Q183" s="193">
        <v>6</v>
      </c>
      <c r="R183" s="193">
        <v>6</v>
      </c>
      <c r="S183" s="193">
        <v>14</v>
      </c>
      <c r="T183" s="193">
        <v>6</v>
      </c>
      <c r="U183" s="193">
        <v>6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>
      <c r="J184" s="193">
        <v>180</v>
      </c>
      <c r="K184" s="194" t="s">
        <v>13</v>
      </c>
      <c r="L184" s="194" t="s">
        <v>31</v>
      </c>
      <c r="M184" s="194" t="s">
        <v>82</v>
      </c>
      <c r="N184" s="194" t="s">
        <v>29</v>
      </c>
      <c r="O184" s="194" t="s">
        <v>30</v>
      </c>
      <c r="Q184" s="193">
        <v>5</v>
      </c>
      <c r="R184" s="193">
        <v>7</v>
      </c>
      <c r="S184" s="193">
        <v>16</v>
      </c>
      <c r="T184" s="193">
        <v>8</v>
      </c>
      <c r="U184" s="193">
        <v>10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4" t="s">
        <v>31</v>
      </c>
      <c r="L185" s="194" t="s">
        <v>81</v>
      </c>
      <c r="M185" s="194" t="s">
        <v>96</v>
      </c>
      <c r="N185" s="194" t="s">
        <v>96</v>
      </c>
      <c r="O185" s="194" t="s">
        <v>13</v>
      </c>
      <c r="Q185" s="193">
        <v>7</v>
      </c>
      <c r="R185" s="193">
        <v>14</v>
      </c>
      <c r="S185" s="193">
        <v>15</v>
      </c>
      <c r="T185" s="193">
        <v>15</v>
      </c>
      <c r="U185" s="193">
        <v>5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>
      <c r="J186" s="193">
        <v>182</v>
      </c>
      <c r="K186" s="194" t="s">
        <v>95</v>
      </c>
      <c r="L186" s="194" t="s">
        <v>29</v>
      </c>
      <c r="M186" s="194" t="s">
        <v>82</v>
      </c>
      <c r="N186" s="194" t="s">
        <v>13</v>
      </c>
      <c r="O186" s="194" t="s">
        <v>29</v>
      </c>
      <c r="Q186" s="193">
        <v>6</v>
      </c>
      <c r="R186" s="193">
        <v>8</v>
      </c>
      <c r="S186" s="193">
        <v>16</v>
      </c>
      <c r="T186" s="193">
        <v>5</v>
      </c>
      <c r="U186" s="193">
        <v>8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4" t="s">
        <v>29</v>
      </c>
      <c r="L187" s="194" t="s">
        <v>31</v>
      </c>
      <c r="M187" s="194" t="s">
        <v>81</v>
      </c>
      <c r="N187" s="194" t="s">
        <v>30</v>
      </c>
      <c r="O187" s="194" t="s">
        <v>31</v>
      </c>
      <c r="Q187" s="193">
        <v>8</v>
      </c>
      <c r="R187" s="193">
        <v>7</v>
      </c>
      <c r="S187" s="193">
        <v>14</v>
      </c>
      <c r="T187" s="193">
        <v>10</v>
      </c>
      <c r="U187" s="193">
        <v>7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>
      <c r="J188" s="193">
        <v>184</v>
      </c>
      <c r="K188" s="194" t="s">
        <v>13</v>
      </c>
      <c r="L188" s="194" t="s">
        <v>81</v>
      </c>
      <c r="M188" s="194" t="s">
        <v>96</v>
      </c>
      <c r="N188" s="194" t="s">
        <v>95</v>
      </c>
      <c r="O188" s="194" t="s">
        <v>29</v>
      </c>
      <c r="Q188" s="193">
        <v>5</v>
      </c>
      <c r="R188" s="193">
        <v>14</v>
      </c>
      <c r="S188" s="193">
        <v>15</v>
      </c>
      <c r="T188" s="193">
        <v>6</v>
      </c>
      <c r="U188" s="193">
        <v>8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4" t="s">
        <v>12</v>
      </c>
      <c r="L189" s="194" t="s">
        <v>82</v>
      </c>
      <c r="M189" s="194" t="s">
        <v>94</v>
      </c>
      <c r="N189" s="194" t="s">
        <v>13</v>
      </c>
      <c r="O189" s="194" t="s">
        <v>95</v>
      </c>
      <c r="Q189" s="193">
        <v>4</v>
      </c>
      <c r="R189" s="193">
        <v>16</v>
      </c>
      <c r="S189" s="193">
        <v>17</v>
      </c>
      <c r="T189" s="193">
        <v>5</v>
      </c>
      <c r="U189" s="193">
        <v>6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3">
        <v>186</v>
      </c>
      <c r="K190" s="194" t="s">
        <v>13</v>
      </c>
      <c r="L190" s="194" t="s">
        <v>96</v>
      </c>
      <c r="M190" s="194" t="s">
        <v>96</v>
      </c>
      <c r="N190" s="194" t="s">
        <v>31</v>
      </c>
      <c r="O190" s="194" t="s">
        <v>13</v>
      </c>
      <c r="Q190" s="193">
        <v>5</v>
      </c>
      <c r="R190" s="193">
        <v>15</v>
      </c>
      <c r="S190" s="193">
        <v>15</v>
      </c>
      <c r="T190" s="193">
        <v>7</v>
      </c>
      <c r="U190" s="193">
        <v>5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4" t="s">
        <v>95</v>
      </c>
      <c r="L191" s="194" t="s">
        <v>13</v>
      </c>
      <c r="M191" s="194" t="s">
        <v>81</v>
      </c>
      <c r="N191" s="194" t="s">
        <v>81</v>
      </c>
      <c r="O191" s="194" t="s">
        <v>28</v>
      </c>
      <c r="Q191" s="193">
        <v>6</v>
      </c>
      <c r="R191" s="193">
        <v>5</v>
      </c>
      <c r="S191" s="193">
        <v>14</v>
      </c>
      <c r="T191" s="193">
        <v>14</v>
      </c>
      <c r="U191" s="193">
        <v>9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>
      <c r="J192" s="193">
        <v>188</v>
      </c>
      <c r="K192" s="194" t="s">
        <v>13</v>
      </c>
      <c r="L192" s="194" t="s">
        <v>12</v>
      </c>
      <c r="M192" s="194" t="s">
        <v>94</v>
      </c>
      <c r="N192" s="194" t="s">
        <v>95</v>
      </c>
      <c r="O192" s="194" t="s">
        <v>13</v>
      </c>
      <c r="Q192" s="193">
        <v>5</v>
      </c>
      <c r="R192" s="193">
        <v>4</v>
      </c>
      <c r="S192" s="193">
        <v>17</v>
      </c>
      <c r="T192" s="193">
        <v>6</v>
      </c>
      <c r="U192" s="193">
        <v>5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4" t="s">
        <v>95</v>
      </c>
      <c r="L193" s="194" t="s">
        <v>29</v>
      </c>
      <c r="M193" s="194" t="s">
        <v>82</v>
      </c>
      <c r="N193" s="194" t="s">
        <v>12</v>
      </c>
      <c r="O193" s="194" t="s">
        <v>95</v>
      </c>
      <c r="Q193" s="193">
        <v>6</v>
      </c>
      <c r="R193" s="193">
        <v>8</v>
      </c>
      <c r="S193" s="193">
        <v>16</v>
      </c>
      <c r="T193" s="193">
        <v>4</v>
      </c>
      <c r="U193" s="193">
        <v>6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>
      <c r="J194" s="193">
        <v>190</v>
      </c>
      <c r="K194" s="194" t="s">
        <v>29</v>
      </c>
      <c r="L194" s="194" t="s">
        <v>82</v>
      </c>
      <c r="M194" s="194" t="s">
        <v>96</v>
      </c>
      <c r="N194" s="194" t="s">
        <v>82</v>
      </c>
      <c r="O194" s="194" t="s">
        <v>30</v>
      </c>
      <c r="Q194" s="193">
        <v>8</v>
      </c>
      <c r="R194" s="193">
        <v>16</v>
      </c>
      <c r="S194" s="193">
        <v>15</v>
      </c>
      <c r="T194" s="193">
        <v>16</v>
      </c>
      <c r="U194" s="193">
        <v>10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4" t="s">
        <v>31</v>
      </c>
      <c r="L195" s="194" t="s">
        <v>13</v>
      </c>
      <c r="M195" s="194" t="s">
        <v>82</v>
      </c>
      <c r="N195" s="194" t="s">
        <v>95</v>
      </c>
      <c r="O195" s="194" t="s">
        <v>29</v>
      </c>
      <c r="Q195" s="193">
        <v>7</v>
      </c>
      <c r="R195" s="193">
        <v>5</v>
      </c>
      <c r="S195" s="193">
        <v>16</v>
      </c>
      <c r="T195" s="193">
        <v>6</v>
      </c>
      <c r="U195" s="193">
        <v>8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>
      <c r="J196" s="193">
        <v>192</v>
      </c>
      <c r="K196" s="194" t="s">
        <v>29</v>
      </c>
      <c r="L196" s="194" t="s">
        <v>94</v>
      </c>
      <c r="M196" s="194" t="s">
        <v>94</v>
      </c>
      <c r="N196" s="194" t="s">
        <v>81</v>
      </c>
      <c r="O196" s="194" t="s">
        <v>13</v>
      </c>
      <c r="Q196" s="193">
        <v>8</v>
      </c>
      <c r="R196" s="193">
        <v>17</v>
      </c>
      <c r="S196" s="193">
        <v>17</v>
      </c>
      <c r="T196" s="193">
        <v>14</v>
      </c>
      <c r="U196" s="193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4" t="s">
        <v>13</v>
      </c>
      <c r="L197" s="194" t="s">
        <v>28</v>
      </c>
      <c r="M197" s="194" t="s">
        <v>81</v>
      </c>
      <c r="N197" s="194" t="s">
        <v>12</v>
      </c>
      <c r="O197" s="194" t="s">
        <v>95</v>
      </c>
      <c r="Q197" s="193">
        <v>5</v>
      </c>
      <c r="R197" s="193">
        <v>9</v>
      </c>
      <c r="S197" s="193">
        <v>14</v>
      </c>
      <c r="T197" s="193">
        <v>4</v>
      </c>
      <c r="U197" s="193">
        <v>6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3">
        <v>194</v>
      </c>
      <c r="K198" s="194" t="s">
        <v>29</v>
      </c>
      <c r="L198" s="194" t="s">
        <v>30</v>
      </c>
      <c r="M198" s="194" t="s">
        <v>94</v>
      </c>
      <c r="N198" s="194" t="s">
        <v>13</v>
      </c>
      <c r="O198" s="194" t="s">
        <v>29</v>
      </c>
      <c r="Q198" s="193">
        <v>8</v>
      </c>
      <c r="R198" s="193">
        <v>10</v>
      </c>
      <c r="S198" s="193">
        <v>17</v>
      </c>
      <c r="T198" s="193">
        <v>5</v>
      </c>
      <c r="U198" s="193">
        <v>8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4" t="s">
        <v>95</v>
      </c>
      <c r="L199" s="194" t="s">
        <v>82</v>
      </c>
      <c r="M199" s="194" t="s">
        <v>80</v>
      </c>
      <c r="N199" s="194" t="s">
        <v>95</v>
      </c>
      <c r="O199" s="194" t="s">
        <v>12</v>
      </c>
      <c r="Q199" s="193">
        <v>6</v>
      </c>
      <c r="R199" s="193">
        <v>16</v>
      </c>
      <c r="S199" s="193">
        <v>13</v>
      </c>
      <c r="T199" s="193">
        <v>6</v>
      </c>
      <c r="U199" s="193">
        <v>4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>
      <c r="J200" s="193">
        <v>196</v>
      </c>
      <c r="K200" s="194" t="s">
        <v>13</v>
      </c>
      <c r="L200" s="194" t="s">
        <v>28</v>
      </c>
      <c r="M200" s="194" t="s">
        <v>94</v>
      </c>
      <c r="N200" s="194" t="s">
        <v>30</v>
      </c>
      <c r="O200" s="194" t="s">
        <v>95</v>
      </c>
      <c r="Q200" s="193">
        <v>5</v>
      </c>
      <c r="R200" s="193">
        <v>9</v>
      </c>
      <c r="S200" s="193">
        <v>17</v>
      </c>
      <c r="T200" s="193">
        <v>10</v>
      </c>
      <c r="U200" s="193">
        <v>6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4" t="s">
        <v>31</v>
      </c>
      <c r="L201" s="194" t="s">
        <v>79</v>
      </c>
      <c r="M201" s="194" t="s">
        <v>81</v>
      </c>
      <c r="N201" s="194" t="s">
        <v>29</v>
      </c>
      <c r="O201" s="194" t="s">
        <v>30</v>
      </c>
      <c r="Q201" s="193">
        <v>7</v>
      </c>
      <c r="R201" s="193">
        <v>12</v>
      </c>
      <c r="S201" s="193">
        <v>14</v>
      </c>
      <c r="T201" s="193">
        <v>8</v>
      </c>
      <c r="U201" s="193">
        <v>10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>
      <c r="J202" s="193">
        <v>198</v>
      </c>
      <c r="K202" s="194" t="s">
        <v>29</v>
      </c>
      <c r="L202" s="194" t="s">
        <v>12</v>
      </c>
      <c r="M202" s="194" t="s">
        <v>96</v>
      </c>
      <c r="N202" s="194" t="s">
        <v>81</v>
      </c>
      <c r="O202" s="194" t="s">
        <v>95</v>
      </c>
      <c r="Q202" s="193">
        <v>8</v>
      </c>
      <c r="R202" s="193">
        <v>4</v>
      </c>
      <c r="S202" s="193">
        <v>15</v>
      </c>
      <c r="T202" s="193">
        <v>14</v>
      </c>
      <c r="U202" s="193">
        <v>6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4" t="s">
        <v>13</v>
      </c>
      <c r="L203" s="194" t="s">
        <v>13</v>
      </c>
      <c r="M203" s="194" t="s">
        <v>81</v>
      </c>
      <c r="N203" s="194" t="s">
        <v>13</v>
      </c>
      <c r="O203" s="194" t="s">
        <v>13</v>
      </c>
      <c r="Q203" s="193">
        <v>5</v>
      </c>
      <c r="R203" s="193">
        <v>5</v>
      </c>
      <c r="S203" s="193">
        <v>14</v>
      </c>
      <c r="T203" s="193">
        <v>5</v>
      </c>
      <c r="U203" s="193">
        <v>5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90" priority="24">
      <formula>_xlfn.LET(_xlpm.x, W4, AND(NOT(_xlfn.ISFORMULA(_xlpm.x)), _xlpm.x&lt;&gt;""))</formula>
    </cfRule>
  </conditionalFormatting>
  <conditionalFormatting sqref="W4:AA203">
    <cfRule type="expression" dxfId="89" priority="23">
      <formula>_xlfn.LET(_xlpm.x, W4, AND(NOT(_xlfn.ISFORMULA(_xlpm.x)), _xlpm.x&lt;&gt;""))</formula>
    </cfRule>
  </conditionalFormatting>
  <conditionalFormatting sqref="D52:D54">
    <cfRule type="cellIs" dxfId="88" priority="14" operator="equal">
      <formula>"C1"</formula>
    </cfRule>
    <cfRule type="cellIs" dxfId="87" priority="15" operator="between">
      <formula>"G1"</formula>
      <formula>"G4"</formula>
    </cfRule>
    <cfRule type="cellIs" dxfId="86" priority="16" operator="between">
      <formula>"GA"</formula>
      <formula>"GQ"</formula>
    </cfRule>
    <cfRule type="cellIs" dxfId="85" priority="17" operator="between">
      <formula>"M1"</formula>
      <formula>"M4"</formula>
    </cfRule>
  </conditionalFormatting>
  <conditionalFormatting sqref="E52:E54">
    <cfRule type="cellIs" dxfId="84" priority="10" operator="equal">
      <formula>"C1"</formula>
    </cfRule>
    <cfRule type="cellIs" dxfId="83" priority="11" operator="between">
      <formula>"G1"</formula>
      <formula>"G4"</formula>
    </cfRule>
    <cfRule type="cellIs" dxfId="82" priority="12" operator="between">
      <formula>"GA"</formula>
      <formula>"GQ"</formula>
    </cfRule>
    <cfRule type="cellIs" dxfId="81" priority="13" operator="between">
      <formula>"M1"</formula>
      <formula>"M4"</formula>
    </cfRule>
  </conditionalFormatting>
  <conditionalFormatting sqref="F52:F54">
    <cfRule type="cellIs" dxfId="80" priority="6" operator="equal">
      <formula>"C1"</formula>
    </cfRule>
    <cfRule type="cellIs" dxfId="79" priority="7" operator="between">
      <formula>"G1"</formula>
      <formula>"G4"</formula>
    </cfRule>
    <cfRule type="cellIs" dxfId="78" priority="8" operator="between">
      <formula>"GA"</formula>
      <formula>"GQ"</formula>
    </cfRule>
    <cfRule type="cellIs" dxfId="77" priority="9" operator="between">
      <formula>"M1"</formula>
      <formula>"M4"</formula>
    </cfRule>
  </conditionalFormatting>
  <conditionalFormatting sqref="C28:G28 D27:G27 C31:G46 C29:C30 G29:G3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K1:O1048576">
    <cfRule type="cellIs" dxfId="76" priority="1" operator="equal">
      <formula>"C1"</formula>
    </cfRule>
    <cfRule type="cellIs" dxfId="75" priority="2" operator="between">
      <formula>"G1"</formula>
      <formula>"G5"</formula>
    </cfRule>
    <cfRule type="cellIs" dxfId="74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65D744BA-FCF6-40A6-BB96-F311AFA89BB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290</v>
      </c>
      <c r="W2" s="25" t="s">
        <v>99</v>
      </c>
      <c r="AC2" s="25" t="s">
        <v>292</v>
      </c>
      <c r="AH2" s="5"/>
      <c r="AI2" s="5"/>
      <c r="AJ2" s="25" t="s">
        <v>93</v>
      </c>
      <c r="AO2" s="5"/>
    </row>
    <row r="3" spans="1:41" ht="15.9" customHeight="1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297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5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>
      <c r="A4" s="201" t="s">
        <v>293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31</v>
      </c>
      <c r="L4" s="24" t="s">
        <v>95</v>
      </c>
      <c r="M4" s="24" t="s">
        <v>81</v>
      </c>
      <c r="N4" s="24" t="s">
        <v>95</v>
      </c>
      <c r="O4" s="24" t="s">
        <v>31</v>
      </c>
      <c r="Q4" s="23">
        <v>7</v>
      </c>
      <c r="R4" s="23">
        <v>6</v>
      </c>
      <c r="S4" s="23">
        <v>14</v>
      </c>
      <c r="T4" s="23">
        <v>6</v>
      </c>
      <c r="U4" s="23">
        <v>7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294</v>
      </c>
      <c r="AH4" s="5"/>
      <c r="AI4" s="5"/>
      <c r="AJ4" s="25" t="s">
        <v>294</v>
      </c>
      <c r="AO4" s="5"/>
    </row>
    <row r="5" spans="1:41" ht="15.9" customHeight="1">
      <c r="A5" s="201" t="s">
        <v>14</v>
      </c>
      <c r="B5" s="199" t="s">
        <v>39</v>
      </c>
      <c r="C5" s="201">
        <v>3</v>
      </c>
      <c r="D5" s="201">
        <v>3</v>
      </c>
      <c r="E5" s="201">
        <v>0</v>
      </c>
      <c r="F5" s="201">
        <v>5</v>
      </c>
      <c r="G5" s="201">
        <v>5</v>
      </c>
      <c r="H5" s="199">
        <v>1</v>
      </c>
      <c r="I5" s="82"/>
      <c r="J5" s="193">
        <v>1</v>
      </c>
      <c r="K5" s="194" t="s">
        <v>95</v>
      </c>
      <c r="L5" s="194" t="s">
        <v>87</v>
      </c>
      <c r="M5" s="194" t="s">
        <v>94</v>
      </c>
      <c r="N5" s="194" t="s">
        <v>13</v>
      </c>
      <c r="O5" s="194" t="s">
        <v>16</v>
      </c>
      <c r="Q5" s="193">
        <v>6</v>
      </c>
      <c r="R5" s="193">
        <v>19</v>
      </c>
      <c r="S5" s="193">
        <v>17</v>
      </c>
      <c r="T5" s="193">
        <v>5</v>
      </c>
      <c r="U5" s="193">
        <v>3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>
      <c r="A6" s="200" t="s">
        <v>15</v>
      </c>
      <c r="B6" s="134" t="s">
        <v>15</v>
      </c>
      <c r="C6" s="200">
        <v>3</v>
      </c>
      <c r="D6" s="200">
        <v>10</v>
      </c>
      <c r="E6" s="200">
        <v>0</v>
      </c>
      <c r="F6" s="200">
        <v>3</v>
      </c>
      <c r="G6" s="200">
        <v>9</v>
      </c>
      <c r="H6" s="134">
        <v>2</v>
      </c>
      <c r="I6" s="82"/>
      <c r="J6" s="23">
        <v>2</v>
      </c>
      <c r="K6" s="194" t="s">
        <v>31</v>
      </c>
      <c r="L6" s="194" t="s">
        <v>82</v>
      </c>
      <c r="M6" s="194" t="s">
        <v>81</v>
      </c>
      <c r="N6" s="194" t="s">
        <v>30</v>
      </c>
      <c r="O6" s="194" t="s">
        <v>13</v>
      </c>
      <c r="Q6" s="193">
        <v>7</v>
      </c>
      <c r="R6" s="193">
        <v>16</v>
      </c>
      <c r="S6" s="193">
        <v>14</v>
      </c>
      <c r="T6" s="193">
        <v>10</v>
      </c>
      <c r="U6" s="193">
        <v>5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9" t="s">
        <v>293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293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>
      <c r="A7" s="200" t="s">
        <v>16</v>
      </c>
      <c r="B7" s="134" t="s">
        <v>16</v>
      </c>
      <c r="C7" s="200">
        <v>3</v>
      </c>
      <c r="D7" s="200">
        <v>12</v>
      </c>
      <c r="E7" s="200">
        <v>0</v>
      </c>
      <c r="F7" s="200">
        <v>3</v>
      </c>
      <c r="G7" s="200">
        <v>8</v>
      </c>
      <c r="H7" s="134">
        <v>3</v>
      </c>
      <c r="I7" s="82"/>
      <c r="J7" s="193">
        <v>3</v>
      </c>
      <c r="K7" s="194" t="s">
        <v>29</v>
      </c>
      <c r="L7" s="24" t="s">
        <v>95</v>
      </c>
      <c r="M7" s="194" t="s">
        <v>96</v>
      </c>
      <c r="N7" s="194" t="s">
        <v>31</v>
      </c>
      <c r="O7" s="194" t="s">
        <v>95</v>
      </c>
      <c r="Q7" s="193">
        <v>8</v>
      </c>
      <c r="R7" s="193">
        <v>6</v>
      </c>
      <c r="S7" s="193">
        <v>15</v>
      </c>
      <c r="T7" s="193">
        <v>7</v>
      </c>
      <c r="U7" s="193">
        <v>6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9" t="s">
        <v>14</v>
      </c>
      <c r="AD7" s="199">
        <v>1</v>
      </c>
      <c r="AE7" s="199">
        <v>1</v>
      </c>
      <c r="AF7" s="199">
        <v>0</v>
      </c>
      <c r="AG7" s="199">
        <v>1</v>
      </c>
      <c r="AH7" s="199">
        <v>1</v>
      </c>
      <c r="AI7" s="5"/>
      <c r="AJ7" s="199" t="s">
        <v>14</v>
      </c>
      <c r="AK7" s="199">
        <v>1</v>
      </c>
      <c r="AL7" s="199">
        <v>1</v>
      </c>
      <c r="AM7" s="199">
        <v>0</v>
      </c>
      <c r="AN7" s="199">
        <v>1</v>
      </c>
      <c r="AO7" s="199">
        <v>1</v>
      </c>
    </row>
    <row r="8" spans="1:41" ht="15.9" customHeight="1">
      <c r="A8" s="200" t="s">
        <v>12</v>
      </c>
      <c r="B8" s="134" t="s">
        <v>12</v>
      </c>
      <c r="C8" s="200">
        <v>7</v>
      </c>
      <c r="D8" s="200">
        <v>13</v>
      </c>
      <c r="E8" s="200">
        <v>0</v>
      </c>
      <c r="F8" s="200">
        <v>7</v>
      </c>
      <c r="G8" s="200">
        <v>14</v>
      </c>
      <c r="H8" s="134">
        <v>4</v>
      </c>
      <c r="I8" s="82"/>
      <c r="J8" s="23">
        <v>4</v>
      </c>
      <c r="K8" s="194" t="s">
        <v>95</v>
      </c>
      <c r="L8" s="194" t="s">
        <v>96</v>
      </c>
      <c r="M8" s="194" t="s">
        <v>82</v>
      </c>
      <c r="N8" s="194" t="s">
        <v>29</v>
      </c>
      <c r="O8" s="194" t="s">
        <v>12</v>
      </c>
      <c r="Q8" s="193">
        <v>6</v>
      </c>
      <c r="R8" s="193">
        <v>15</v>
      </c>
      <c r="S8" s="193">
        <v>16</v>
      </c>
      <c r="T8" s="193">
        <v>8</v>
      </c>
      <c r="U8" s="193">
        <v>4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4" t="s">
        <v>15</v>
      </c>
      <c r="AD8" s="200">
        <v>3</v>
      </c>
      <c r="AE8" s="200">
        <v>10</v>
      </c>
      <c r="AF8" s="200">
        <v>0</v>
      </c>
      <c r="AG8" s="200">
        <v>3</v>
      </c>
      <c r="AH8" s="200">
        <v>9</v>
      </c>
      <c r="AI8" s="5"/>
      <c r="AJ8" s="134" t="s">
        <v>15</v>
      </c>
      <c r="AK8" s="200">
        <v>3</v>
      </c>
      <c r="AL8" s="200">
        <v>10</v>
      </c>
      <c r="AM8" s="200">
        <v>0</v>
      </c>
      <c r="AN8" s="200">
        <v>3</v>
      </c>
      <c r="AO8" s="200">
        <v>9</v>
      </c>
    </row>
    <row r="9" spans="1:41" ht="15.9" customHeight="1">
      <c r="A9" s="200" t="s">
        <v>13</v>
      </c>
      <c r="B9" s="134" t="s">
        <v>13</v>
      </c>
      <c r="C9" s="200">
        <v>43</v>
      </c>
      <c r="D9" s="200">
        <v>23</v>
      </c>
      <c r="E9" s="200">
        <v>0</v>
      </c>
      <c r="F9" s="200">
        <v>33</v>
      </c>
      <c r="G9" s="200">
        <v>35</v>
      </c>
      <c r="H9" s="134">
        <v>5</v>
      </c>
      <c r="I9" s="82"/>
      <c r="J9" s="193">
        <v>5</v>
      </c>
      <c r="K9" s="194" t="s">
        <v>14</v>
      </c>
      <c r="L9" s="194" t="s">
        <v>29</v>
      </c>
      <c r="M9" s="194" t="s">
        <v>81</v>
      </c>
      <c r="N9" s="194" t="s">
        <v>96</v>
      </c>
      <c r="O9" s="194" t="s">
        <v>15</v>
      </c>
      <c r="Q9" s="193">
        <v>1</v>
      </c>
      <c r="R9" s="193">
        <v>8</v>
      </c>
      <c r="S9" s="193">
        <v>14</v>
      </c>
      <c r="T9" s="193">
        <v>15</v>
      </c>
      <c r="U9" s="193">
        <v>2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4" t="s">
        <v>16</v>
      </c>
      <c r="AD9" s="200">
        <v>3</v>
      </c>
      <c r="AE9" s="200">
        <v>12</v>
      </c>
      <c r="AF9" s="200">
        <v>0</v>
      </c>
      <c r="AG9" s="200">
        <v>3</v>
      </c>
      <c r="AH9" s="200">
        <v>8</v>
      </c>
      <c r="AI9" s="5"/>
      <c r="AJ9" s="134" t="s">
        <v>16</v>
      </c>
      <c r="AK9" s="200">
        <v>3</v>
      </c>
      <c r="AL9" s="200">
        <v>12</v>
      </c>
      <c r="AM9" s="200">
        <v>0</v>
      </c>
      <c r="AN9" s="200">
        <v>3</v>
      </c>
      <c r="AO9" s="200">
        <v>8</v>
      </c>
    </row>
    <row r="10" spans="1:41" ht="15.9" customHeight="1">
      <c r="A10" s="200" t="s">
        <v>95</v>
      </c>
      <c r="B10" s="134" t="s">
        <v>95</v>
      </c>
      <c r="C10" s="200">
        <v>42</v>
      </c>
      <c r="D10" s="200">
        <v>23</v>
      </c>
      <c r="E10" s="200">
        <v>0</v>
      </c>
      <c r="F10" s="200">
        <v>33</v>
      </c>
      <c r="G10" s="200">
        <v>34</v>
      </c>
      <c r="H10" s="134">
        <v>6</v>
      </c>
      <c r="I10" s="82"/>
      <c r="J10" s="23">
        <v>6</v>
      </c>
      <c r="K10" s="194" t="s">
        <v>31</v>
      </c>
      <c r="L10" s="194" t="s">
        <v>15</v>
      </c>
      <c r="M10" s="194" t="s">
        <v>96</v>
      </c>
      <c r="N10" s="194" t="s">
        <v>13</v>
      </c>
      <c r="O10" s="194" t="s">
        <v>29</v>
      </c>
      <c r="Q10" s="193">
        <v>7</v>
      </c>
      <c r="R10" s="193">
        <v>2</v>
      </c>
      <c r="S10" s="193">
        <v>15</v>
      </c>
      <c r="T10" s="193">
        <v>5</v>
      </c>
      <c r="U10" s="193">
        <v>8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4" t="s">
        <v>12</v>
      </c>
      <c r="AD10" s="200">
        <v>7</v>
      </c>
      <c r="AE10" s="200">
        <v>13</v>
      </c>
      <c r="AF10" s="200">
        <v>0</v>
      </c>
      <c r="AG10" s="200">
        <v>7</v>
      </c>
      <c r="AH10" s="200">
        <v>14</v>
      </c>
      <c r="AI10" s="5"/>
      <c r="AJ10" s="134" t="s">
        <v>12</v>
      </c>
      <c r="AK10" s="200">
        <v>7</v>
      </c>
      <c r="AL10" s="200">
        <v>13</v>
      </c>
      <c r="AM10" s="200">
        <v>0</v>
      </c>
      <c r="AN10" s="200">
        <v>7</v>
      </c>
      <c r="AO10" s="200">
        <v>14</v>
      </c>
    </row>
    <row r="11" spans="1:41" ht="15.9" customHeight="1">
      <c r="A11" s="200" t="s">
        <v>31</v>
      </c>
      <c r="B11" s="134" t="s">
        <v>31</v>
      </c>
      <c r="C11" s="200">
        <v>43</v>
      </c>
      <c r="D11" s="200">
        <v>27</v>
      </c>
      <c r="E11" s="200">
        <v>0</v>
      </c>
      <c r="F11" s="200">
        <v>33</v>
      </c>
      <c r="G11" s="200">
        <v>34</v>
      </c>
      <c r="H11" s="134">
        <v>7</v>
      </c>
      <c r="I11" s="82"/>
      <c r="J11" s="193">
        <v>7</v>
      </c>
      <c r="K11" s="194" t="s">
        <v>29</v>
      </c>
      <c r="L11" s="194" t="s">
        <v>81</v>
      </c>
      <c r="M11" s="194" t="s">
        <v>94</v>
      </c>
      <c r="N11" s="194" t="s">
        <v>16</v>
      </c>
      <c r="O11" s="194" t="s">
        <v>31</v>
      </c>
      <c r="Q11" s="193">
        <v>8</v>
      </c>
      <c r="R11" s="193">
        <v>14</v>
      </c>
      <c r="S11" s="193">
        <v>17</v>
      </c>
      <c r="T11" s="193">
        <v>3</v>
      </c>
      <c r="U11" s="193">
        <v>7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4" t="s">
        <v>13</v>
      </c>
      <c r="AD11" s="200">
        <v>43</v>
      </c>
      <c r="AE11" s="200">
        <v>22</v>
      </c>
      <c r="AF11" s="200">
        <v>0</v>
      </c>
      <c r="AG11" s="200">
        <v>31</v>
      </c>
      <c r="AH11" s="200">
        <v>36</v>
      </c>
      <c r="AI11" s="5"/>
      <c r="AJ11" s="134" t="s">
        <v>13</v>
      </c>
      <c r="AK11" s="200">
        <v>43</v>
      </c>
      <c r="AL11" s="200">
        <v>22</v>
      </c>
      <c r="AM11" s="200">
        <v>0</v>
      </c>
      <c r="AN11" s="200">
        <v>31</v>
      </c>
      <c r="AO11" s="200">
        <v>36</v>
      </c>
    </row>
    <row r="12" spans="1:41" ht="15.9" customHeight="1">
      <c r="A12" s="200" t="s">
        <v>29</v>
      </c>
      <c r="B12" s="134" t="s">
        <v>29</v>
      </c>
      <c r="C12" s="200">
        <v>43</v>
      </c>
      <c r="D12" s="200">
        <v>25</v>
      </c>
      <c r="E12" s="200">
        <v>0</v>
      </c>
      <c r="F12" s="200">
        <v>34</v>
      </c>
      <c r="G12" s="200">
        <v>34</v>
      </c>
      <c r="H12" s="134">
        <v>8</v>
      </c>
      <c r="I12" s="82"/>
      <c r="J12" s="23">
        <v>8</v>
      </c>
      <c r="K12" s="194" t="s">
        <v>31</v>
      </c>
      <c r="L12" s="194" t="s">
        <v>29</v>
      </c>
      <c r="M12" s="194" t="s">
        <v>80</v>
      </c>
      <c r="N12" s="194" t="s">
        <v>96</v>
      </c>
      <c r="O12" s="194" t="s">
        <v>30</v>
      </c>
      <c r="Q12" s="193">
        <v>7</v>
      </c>
      <c r="R12" s="193">
        <v>8</v>
      </c>
      <c r="S12" s="193">
        <v>13</v>
      </c>
      <c r="T12" s="193">
        <v>15</v>
      </c>
      <c r="U12" s="193">
        <v>10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4" t="s">
        <v>95</v>
      </c>
      <c r="AD12" s="200">
        <v>42</v>
      </c>
      <c r="AE12" s="200">
        <v>22</v>
      </c>
      <c r="AF12" s="200">
        <v>0</v>
      </c>
      <c r="AG12" s="200">
        <v>27</v>
      </c>
      <c r="AH12" s="200">
        <v>34</v>
      </c>
      <c r="AI12" s="5"/>
      <c r="AJ12" s="134" t="s">
        <v>95</v>
      </c>
      <c r="AK12" s="200">
        <v>42</v>
      </c>
      <c r="AL12" s="200">
        <v>22</v>
      </c>
      <c r="AM12" s="200">
        <v>0</v>
      </c>
      <c r="AN12" s="200">
        <v>27</v>
      </c>
      <c r="AO12" s="200">
        <v>34</v>
      </c>
    </row>
    <row r="13" spans="1:41" ht="15.9" customHeight="1">
      <c r="A13" s="200" t="s">
        <v>28</v>
      </c>
      <c r="B13" s="134" t="s">
        <v>28</v>
      </c>
      <c r="C13" s="200">
        <v>7</v>
      </c>
      <c r="D13" s="200">
        <v>12</v>
      </c>
      <c r="E13" s="200">
        <v>0</v>
      </c>
      <c r="F13" s="200">
        <v>6</v>
      </c>
      <c r="G13" s="200">
        <v>13</v>
      </c>
      <c r="H13" s="134">
        <v>9</v>
      </c>
      <c r="I13" s="82"/>
      <c r="J13" s="193">
        <v>9</v>
      </c>
      <c r="K13" s="194" t="s">
        <v>30</v>
      </c>
      <c r="L13" s="194" t="s">
        <v>15</v>
      </c>
      <c r="M13" s="194" t="s">
        <v>96</v>
      </c>
      <c r="N13" s="194" t="s">
        <v>85</v>
      </c>
      <c r="O13" s="194" t="s">
        <v>12</v>
      </c>
      <c r="Q13" s="193">
        <v>10</v>
      </c>
      <c r="R13" s="193">
        <v>2</v>
      </c>
      <c r="S13" s="193">
        <v>15</v>
      </c>
      <c r="T13" s="193">
        <v>18</v>
      </c>
      <c r="U13" s="193">
        <v>4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4" t="s">
        <v>31</v>
      </c>
      <c r="AD13" s="200">
        <v>43</v>
      </c>
      <c r="AE13" s="200">
        <v>27</v>
      </c>
      <c r="AF13" s="200">
        <v>0</v>
      </c>
      <c r="AG13" s="200">
        <v>31</v>
      </c>
      <c r="AH13" s="200">
        <v>35</v>
      </c>
      <c r="AI13" s="5"/>
      <c r="AJ13" s="134" t="s">
        <v>31</v>
      </c>
      <c r="AK13" s="200">
        <v>43</v>
      </c>
      <c r="AL13" s="200">
        <v>27</v>
      </c>
      <c r="AM13" s="200">
        <v>0</v>
      </c>
      <c r="AN13" s="200">
        <v>31</v>
      </c>
      <c r="AO13" s="200">
        <v>35</v>
      </c>
    </row>
    <row r="14" spans="1:41" ht="15.9" customHeight="1">
      <c r="A14" s="200" t="s">
        <v>30</v>
      </c>
      <c r="B14" s="134" t="s">
        <v>30</v>
      </c>
      <c r="C14" s="200">
        <v>6</v>
      </c>
      <c r="D14" s="200">
        <v>8</v>
      </c>
      <c r="E14" s="200">
        <v>0</v>
      </c>
      <c r="F14" s="200">
        <v>7</v>
      </c>
      <c r="G14" s="200">
        <v>14</v>
      </c>
      <c r="H14" s="134">
        <v>10</v>
      </c>
      <c r="I14" s="82"/>
      <c r="J14" s="23">
        <v>10</v>
      </c>
      <c r="K14" s="194" t="s">
        <v>13</v>
      </c>
      <c r="L14" s="194" t="s">
        <v>95</v>
      </c>
      <c r="M14" s="194" t="s">
        <v>82</v>
      </c>
      <c r="N14" s="194" t="s">
        <v>96</v>
      </c>
      <c r="O14" s="194" t="s">
        <v>30</v>
      </c>
      <c r="Q14" s="193">
        <v>5</v>
      </c>
      <c r="R14" s="193">
        <v>6</v>
      </c>
      <c r="S14" s="193">
        <v>16</v>
      </c>
      <c r="T14" s="193">
        <v>15</v>
      </c>
      <c r="U14" s="193">
        <v>10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4" t="s">
        <v>29</v>
      </c>
      <c r="AD14" s="200">
        <v>43</v>
      </c>
      <c r="AE14" s="200">
        <v>24</v>
      </c>
      <c r="AF14" s="200">
        <v>0</v>
      </c>
      <c r="AG14" s="200">
        <v>32</v>
      </c>
      <c r="AH14" s="200">
        <v>34</v>
      </c>
      <c r="AI14" s="5"/>
      <c r="AJ14" s="134" t="s">
        <v>29</v>
      </c>
      <c r="AK14" s="200">
        <v>43</v>
      </c>
      <c r="AL14" s="200">
        <v>24</v>
      </c>
      <c r="AM14" s="200">
        <v>0</v>
      </c>
      <c r="AN14" s="200">
        <v>32</v>
      </c>
      <c r="AO14" s="200">
        <v>34</v>
      </c>
    </row>
    <row r="15" spans="1:41" ht="15.9" customHeight="1">
      <c r="A15" s="201" t="s">
        <v>78</v>
      </c>
      <c r="B15" s="199" t="s">
        <v>312</v>
      </c>
      <c r="C15" s="201">
        <v>0</v>
      </c>
      <c r="D15" s="201">
        <v>2</v>
      </c>
      <c r="E15" s="201">
        <v>3</v>
      </c>
      <c r="F15" s="201">
        <v>1</v>
      </c>
      <c r="G15" s="201">
        <v>0</v>
      </c>
      <c r="H15" s="199">
        <v>11</v>
      </c>
      <c r="I15" s="82"/>
      <c r="J15" s="193">
        <v>11</v>
      </c>
      <c r="K15" s="194" t="s">
        <v>29</v>
      </c>
      <c r="L15" s="194" t="s">
        <v>13</v>
      </c>
      <c r="M15" s="194" t="s">
        <v>81</v>
      </c>
      <c r="N15" s="194" t="s">
        <v>81</v>
      </c>
      <c r="O15" s="194" t="s">
        <v>29</v>
      </c>
      <c r="Q15" s="193">
        <v>8</v>
      </c>
      <c r="R15" s="193">
        <v>5</v>
      </c>
      <c r="S15" s="193">
        <v>14</v>
      </c>
      <c r="T15" s="193">
        <v>14</v>
      </c>
      <c r="U15" s="193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4" t="s">
        <v>28</v>
      </c>
      <c r="AD15" s="200">
        <v>7</v>
      </c>
      <c r="AE15" s="200">
        <v>12</v>
      </c>
      <c r="AF15" s="200">
        <v>0</v>
      </c>
      <c r="AG15" s="200">
        <v>6</v>
      </c>
      <c r="AH15" s="200">
        <v>13</v>
      </c>
      <c r="AI15" s="5"/>
      <c r="AJ15" s="134" t="s">
        <v>28</v>
      </c>
      <c r="AK15" s="200">
        <v>7</v>
      </c>
      <c r="AL15" s="200">
        <v>12</v>
      </c>
      <c r="AM15" s="200">
        <v>0</v>
      </c>
      <c r="AN15" s="200">
        <v>6</v>
      </c>
      <c r="AO15" s="200">
        <v>13</v>
      </c>
    </row>
    <row r="16" spans="1:41" ht="15.9" customHeight="1">
      <c r="A16" s="201" t="s">
        <v>79</v>
      </c>
      <c r="B16" s="199" t="s">
        <v>313</v>
      </c>
      <c r="C16" s="201">
        <v>0</v>
      </c>
      <c r="D16" s="201">
        <v>3</v>
      </c>
      <c r="E16" s="201">
        <v>4</v>
      </c>
      <c r="F16" s="201">
        <v>1</v>
      </c>
      <c r="G16" s="201">
        <v>0</v>
      </c>
      <c r="H16" s="199">
        <v>12</v>
      </c>
      <c r="I16" s="82"/>
      <c r="J16" s="23">
        <v>12</v>
      </c>
      <c r="K16" s="194" t="s">
        <v>13</v>
      </c>
      <c r="L16" s="194" t="s">
        <v>16</v>
      </c>
      <c r="M16" s="194" t="s">
        <v>94</v>
      </c>
      <c r="N16" s="194" t="s">
        <v>13</v>
      </c>
      <c r="O16" s="194" t="s">
        <v>31</v>
      </c>
      <c r="Q16" s="193">
        <v>5</v>
      </c>
      <c r="R16" s="193">
        <v>3</v>
      </c>
      <c r="S16" s="193">
        <v>17</v>
      </c>
      <c r="T16" s="193">
        <v>5</v>
      </c>
      <c r="U16" s="193">
        <v>7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4" t="s">
        <v>30</v>
      </c>
      <c r="AD16" s="200">
        <v>7</v>
      </c>
      <c r="AE16" s="200">
        <v>8</v>
      </c>
      <c r="AF16" s="200">
        <v>0</v>
      </c>
      <c r="AG16" s="200">
        <v>7</v>
      </c>
      <c r="AH16" s="200">
        <v>14</v>
      </c>
      <c r="AI16" s="5"/>
      <c r="AJ16" s="134" t="s">
        <v>30</v>
      </c>
      <c r="AK16" s="200">
        <v>7</v>
      </c>
      <c r="AL16" s="200">
        <v>8</v>
      </c>
      <c r="AM16" s="200">
        <v>0</v>
      </c>
      <c r="AN16" s="200">
        <v>7</v>
      </c>
      <c r="AO16" s="200">
        <v>14</v>
      </c>
    </row>
    <row r="17" spans="1:41" ht="15.9" customHeight="1">
      <c r="A17" s="201" t="s">
        <v>80</v>
      </c>
      <c r="B17" s="199" t="s">
        <v>314</v>
      </c>
      <c r="C17" s="201">
        <v>0</v>
      </c>
      <c r="D17" s="201">
        <v>3</v>
      </c>
      <c r="E17" s="201">
        <v>8</v>
      </c>
      <c r="F17" s="201">
        <v>2</v>
      </c>
      <c r="G17" s="201">
        <v>0</v>
      </c>
      <c r="H17" s="199">
        <v>13</v>
      </c>
      <c r="I17" s="82"/>
      <c r="J17" s="193">
        <v>13</v>
      </c>
      <c r="K17" s="194" t="s">
        <v>95</v>
      </c>
      <c r="L17" s="194" t="s">
        <v>29</v>
      </c>
      <c r="M17" s="194" t="s">
        <v>81</v>
      </c>
      <c r="N17" s="194" t="s">
        <v>28</v>
      </c>
      <c r="O17" s="194" t="s">
        <v>13</v>
      </c>
      <c r="Q17" s="193">
        <v>6</v>
      </c>
      <c r="R17" s="193">
        <v>8</v>
      </c>
      <c r="S17" s="193">
        <v>14</v>
      </c>
      <c r="T17" s="193">
        <v>9</v>
      </c>
      <c r="U17" s="193">
        <v>5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9" t="s">
        <v>78</v>
      </c>
      <c r="AD17" s="201">
        <v>0</v>
      </c>
      <c r="AE17" s="201">
        <v>3</v>
      </c>
      <c r="AF17" s="201">
        <v>3</v>
      </c>
      <c r="AG17" s="201">
        <v>2</v>
      </c>
      <c r="AH17" s="201">
        <v>0</v>
      </c>
      <c r="AI17" s="5"/>
      <c r="AJ17" s="199" t="s">
        <v>78</v>
      </c>
      <c r="AK17" s="201">
        <v>0</v>
      </c>
      <c r="AL17" s="201">
        <v>3</v>
      </c>
      <c r="AM17" s="201">
        <v>3</v>
      </c>
      <c r="AN17" s="201">
        <v>2</v>
      </c>
      <c r="AO17" s="201">
        <v>0</v>
      </c>
    </row>
    <row r="18" spans="1:41" ht="15.9" customHeight="1">
      <c r="A18" s="201" t="s">
        <v>81</v>
      </c>
      <c r="B18" s="199" t="s">
        <v>315</v>
      </c>
      <c r="C18" s="201">
        <v>0</v>
      </c>
      <c r="D18" s="201">
        <v>7</v>
      </c>
      <c r="E18" s="201">
        <v>43</v>
      </c>
      <c r="F18" s="201">
        <v>8</v>
      </c>
      <c r="G18" s="201">
        <v>0</v>
      </c>
      <c r="H18" s="199">
        <v>14</v>
      </c>
      <c r="I18" s="82"/>
      <c r="J18" s="23">
        <v>14</v>
      </c>
      <c r="K18" s="194" t="s">
        <v>31</v>
      </c>
      <c r="L18" s="194" t="s">
        <v>31</v>
      </c>
      <c r="M18" s="194" t="s">
        <v>82</v>
      </c>
      <c r="N18" s="194" t="s">
        <v>31</v>
      </c>
      <c r="O18" s="194" t="s">
        <v>95</v>
      </c>
      <c r="Q18" s="193">
        <v>7</v>
      </c>
      <c r="R18" s="193">
        <v>7</v>
      </c>
      <c r="S18" s="193">
        <v>16</v>
      </c>
      <c r="T18" s="193">
        <v>7</v>
      </c>
      <c r="U18" s="193">
        <v>6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9" t="s">
        <v>79</v>
      </c>
      <c r="AD18" s="201">
        <v>0</v>
      </c>
      <c r="AE18" s="201">
        <v>4</v>
      </c>
      <c r="AF18" s="201">
        <v>1</v>
      </c>
      <c r="AG18" s="201">
        <v>2</v>
      </c>
      <c r="AH18" s="201">
        <v>0</v>
      </c>
      <c r="AI18" s="5"/>
      <c r="AJ18" s="199" t="s">
        <v>79</v>
      </c>
      <c r="AK18" s="201">
        <v>0</v>
      </c>
      <c r="AL18" s="201">
        <v>4</v>
      </c>
      <c r="AM18" s="201">
        <v>1</v>
      </c>
      <c r="AN18" s="201">
        <v>2</v>
      </c>
      <c r="AO18" s="201">
        <v>0</v>
      </c>
    </row>
    <row r="19" spans="1:41" ht="15.9" customHeight="1">
      <c r="A19" s="201" t="s">
        <v>96</v>
      </c>
      <c r="B19" s="199" t="s">
        <v>316</v>
      </c>
      <c r="C19" s="201">
        <v>0</v>
      </c>
      <c r="D19" s="201">
        <v>7</v>
      </c>
      <c r="E19" s="201">
        <v>42</v>
      </c>
      <c r="F19" s="201">
        <v>9</v>
      </c>
      <c r="G19" s="201">
        <v>0</v>
      </c>
      <c r="H19" s="199">
        <v>15</v>
      </c>
      <c r="I19" s="82"/>
      <c r="J19" s="193">
        <v>15</v>
      </c>
      <c r="K19" s="194" t="s">
        <v>29</v>
      </c>
      <c r="L19" s="194" t="s">
        <v>29</v>
      </c>
      <c r="M19" s="194" t="s">
        <v>81</v>
      </c>
      <c r="N19" s="194" t="s">
        <v>95</v>
      </c>
      <c r="O19" s="194" t="s">
        <v>31</v>
      </c>
      <c r="Q19" s="193">
        <v>8</v>
      </c>
      <c r="R19" s="193">
        <v>8</v>
      </c>
      <c r="S19" s="193">
        <v>14</v>
      </c>
      <c r="T19" s="193">
        <v>6</v>
      </c>
      <c r="U19" s="193">
        <v>7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9" t="s">
        <v>80</v>
      </c>
      <c r="AD19" s="201">
        <v>0</v>
      </c>
      <c r="AE19" s="201">
        <v>4</v>
      </c>
      <c r="AF19" s="201">
        <v>8</v>
      </c>
      <c r="AG19" s="201">
        <v>3</v>
      </c>
      <c r="AH19" s="201">
        <v>0</v>
      </c>
      <c r="AI19" s="5"/>
      <c r="AJ19" s="199" t="s">
        <v>80</v>
      </c>
      <c r="AK19" s="201">
        <v>0</v>
      </c>
      <c r="AL19" s="201">
        <v>4</v>
      </c>
      <c r="AM19" s="201">
        <v>8</v>
      </c>
      <c r="AN19" s="201">
        <v>3</v>
      </c>
      <c r="AO19" s="201">
        <v>0</v>
      </c>
    </row>
    <row r="20" spans="1:41" ht="15.9" customHeight="1">
      <c r="A20" s="201" t="s">
        <v>82</v>
      </c>
      <c r="B20" s="199" t="s">
        <v>317</v>
      </c>
      <c r="C20" s="201">
        <v>0</v>
      </c>
      <c r="D20" s="201">
        <v>10</v>
      </c>
      <c r="E20" s="201">
        <v>42</v>
      </c>
      <c r="F20" s="201">
        <v>6</v>
      </c>
      <c r="G20" s="201">
        <v>0</v>
      </c>
      <c r="H20" s="199">
        <v>16</v>
      </c>
      <c r="I20" s="82"/>
      <c r="J20" s="23">
        <v>16</v>
      </c>
      <c r="K20" s="194" t="s">
        <v>13</v>
      </c>
      <c r="L20" s="194" t="s">
        <v>82</v>
      </c>
      <c r="M20" s="194" t="s">
        <v>80</v>
      </c>
      <c r="N20" s="194" t="s">
        <v>29</v>
      </c>
      <c r="O20" s="194" t="s">
        <v>95</v>
      </c>
      <c r="Q20" s="193">
        <v>5</v>
      </c>
      <c r="R20" s="193">
        <v>16</v>
      </c>
      <c r="S20" s="193">
        <v>13</v>
      </c>
      <c r="T20" s="193">
        <v>8</v>
      </c>
      <c r="U20" s="193">
        <v>6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9" t="s">
        <v>81</v>
      </c>
      <c r="AD20" s="201">
        <v>0</v>
      </c>
      <c r="AE20" s="201">
        <v>9</v>
      </c>
      <c r="AF20" s="201">
        <v>43</v>
      </c>
      <c r="AG20" s="201">
        <v>12</v>
      </c>
      <c r="AH20" s="201">
        <v>0</v>
      </c>
      <c r="AI20" s="5"/>
      <c r="AJ20" s="199" t="s">
        <v>81</v>
      </c>
      <c r="AK20" s="201">
        <v>0</v>
      </c>
      <c r="AL20" s="201">
        <v>9</v>
      </c>
      <c r="AM20" s="201">
        <v>43</v>
      </c>
      <c r="AN20" s="201">
        <v>12</v>
      </c>
      <c r="AO20" s="201">
        <v>0</v>
      </c>
    </row>
    <row r="21" spans="1:41" ht="15.9" customHeight="1">
      <c r="A21" s="201" t="s">
        <v>94</v>
      </c>
      <c r="B21" s="199" t="s">
        <v>318</v>
      </c>
      <c r="C21" s="201">
        <v>0</v>
      </c>
      <c r="D21" s="201">
        <v>7</v>
      </c>
      <c r="E21" s="201">
        <v>43</v>
      </c>
      <c r="F21" s="201">
        <v>6</v>
      </c>
      <c r="G21" s="201">
        <v>0</v>
      </c>
      <c r="H21" s="199">
        <v>17</v>
      </c>
      <c r="I21" s="82"/>
      <c r="J21" s="193">
        <v>17</v>
      </c>
      <c r="K21" s="194" t="s">
        <v>29</v>
      </c>
      <c r="L21" s="194" t="s">
        <v>29</v>
      </c>
      <c r="M21" s="194" t="s">
        <v>82</v>
      </c>
      <c r="N21" s="194" t="s">
        <v>31</v>
      </c>
      <c r="O21" s="194" t="s">
        <v>30</v>
      </c>
      <c r="Q21" s="193">
        <v>8</v>
      </c>
      <c r="R21" s="193">
        <v>8</v>
      </c>
      <c r="S21" s="193">
        <v>16</v>
      </c>
      <c r="T21" s="193">
        <v>7</v>
      </c>
      <c r="U21" s="193">
        <v>10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9" t="s">
        <v>96</v>
      </c>
      <c r="AD21" s="201">
        <v>0</v>
      </c>
      <c r="AE21" s="201">
        <v>9</v>
      </c>
      <c r="AF21" s="201">
        <v>42</v>
      </c>
      <c r="AG21" s="201">
        <v>13</v>
      </c>
      <c r="AH21" s="201">
        <v>0</v>
      </c>
      <c r="AI21" s="5"/>
      <c r="AJ21" s="199" t="s">
        <v>96</v>
      </c>
      <c r="AK21" s="201">
        <v>0</v>
      </c>
      <c r="AL21" s="201">
        <v>9</v>
      </c>
      <c r="AM21" s="201">
        <v>42</v>
      </c>
      <c r="AN21" s="201">
        <v>13</v>
      </c>
      <c r="AO21" s="201">
        <v>0</v>
      </c>
    </row>
    <row r="22" spans="1:41" ht="15.9" customHeight="1">
      <c r="A22" s="201" t="s">
        <v>85</v>
      </c>
      <c r="B22" s="199" t="s">
        <v>319</v>
      </c>
      <c r="C22" s="201">
        <v>0</v>
      </c>
      <c r="D22" s="201">
        <v>3</v>
      </c>
      <c r="E22" s="201">
        <v>6</v>
      </c>
      <c r="F22" s="201">
        <v>1</v>
      </c>
      <c r="G22" s="201">
        <v>0</v>
      </c>
      <c r="H22" s="199">
        <v>18</v>
      </c>
      <c r="I22" s="82"/>
      <c r="J22" s="23">
        <v>18</v>
      </c>
      <c r="K22" s="194" t="s">
        <v>31</v>
      </c>
      <c r="L22" s="194" t="s">
        <v>13</v>
      </c>
      <c r="M22" s="194" t="s">
        <v>81</v>
      </c>
      <c r="N22" s="194" t="s">
        <v>95</v>
      </c>
      <c r="O22" s="194" t="s">
        <v>14</v>
      </c>
      <c r="Q22" s="193">
        <v>7</v>
      </c>
      <c r="R22" s="193">
        <v>5</v>
      </c>
      <c r="S22" s="193">
        <v>14</v>
      </c>
      <c r="T22" s="193">
        <v>6</v>
      </c>
      <c r="U22" s="193">
        <v>1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9" t="s">
        <v>82</v>
      </c>
      <c r="AD22" s="201">
        <v>0</v>
      </c>
      <c r="AE22" s="201">
        <v>11</v>
      </c>
      <c r="AF22" s="201">
        <v>42</v>
      </c>
      <c r="AG22" s="201">
        <v>11</v>
      </c>
      <c r="AH22" s="201">
        <v>0</v>
      </c>
      <c r="AI22" s="5"/>
      <c r="AJ22" s="199" t="s">
        <v>82</v>
      </c>
      <c r="AK22" s="201">
        <v>0</v>
      </c>
      <c r="AL22" s="201">
        <v>11</v>
      </c>
      <c r="AM22" s="201">
        <v>42</v>
      </c>
      <c r="AN22" s="201">
        <v>11</v>
      </c>
      <c r="AO22" s="201">
        <v>0</v>
      </c>
    </row>
    <row r="23" spans="1:41" ht="15.9" customHeight="1">
      <c r="A23" s="201" t="s">
        <v>87</v>
      </c>
      <c r="B23" s="199" t="s">
        <v>320</v>
      </c>
      <c r="C23" s="201">
        <v>0</v>
      </c>
      <c r="D23" s="201">
        <v>2</v>
      </c>
      <c r="E23" s="201">
        <v>9</v>
      </c>
      <c r="F23" s="201">
        <v>2</v>
      </c>
      <c r="G23" s="201">
        <v>0</v>
      </c>
      <c r="H23" s="199">
        <v>19</v>
      </c>
      <c r="I23" s="82"/>
      <c r="J23" s="193">
        <v>19</v>
      </c>
      <c r="K23" s="194" t="s">
        <v>12</v>
      </c>
      <c r="L23" s="194" t="s">
        <v>95</v>
      </c>
      <c r="M23" s="194" t="s">
        <v>85</v>
      </c>
      <c r="N23" s="194" t="s">
        <v>29</v>
      </c>
      <c r="O23" s="194" t="s">
        <v>28</v>
      </c>
      <c r="Q23" s="193">
        <v>4</v>
      </c>
      <c r="R23" s="193">
        <v>6</v>
      </c>
      <c r="S23" s="193">
        <v>18</v>
      </c>
      <c r="T23" s="193">
        <v>8</v>
      </c>
      <c r="U23" s="193">
        <v>9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9" t="s">
        <v>94</v>
      </c>
      <c r="AD23" s="201">
        <v>0</v>
      </c>
      <c r="AE23" s="201">
        <v>10</v>
      </c>
      <c r="AF23" s="201">
        <v>44</v>
      </c>
      <c r="AG23" s="201">
        <v>11</v>
      </c>
      <c r="AH23" s="201">
        <v>0</v>
      </c>
      <c r="AI23" s="5"/>
      <c r="AJ23" s="199" t="s">
        <v>94</v>
      </c>
      <c r="AK23" s="201">
        <v>0</v>
      </c>
      <c r="AL23" s="201">
        <v>10</v>
      </c>
      <c r="AM23" s="201">
        <v>44</v>
      </c>
      <c r="AN23" s="201">
        <v>11</v>
      </c>
      <c r="AO23" s="201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31</v>
      </c>
      <c r="L24" s="194" t="s">
        <v>31</v>
      </c>
      <c r="M24" s="194" t="s">
        <v>96</v>
      </c>
      <c r="N24" s="194" t="s">
        <v>79</v>
      </c>
      <c r="O24" s="194" t="s">
        <v>29</v>
      </c>
      <c r="Q24" s="193">
        <v>7</v>
      </c>
      <c r="R24" s="193">
        <v>7</v>
      </c>
      <c r="S24" s="193">
        <v>15</v>
      </c>
      <c r="T24" s="193">
        <v>12</v>
      </c>
      <c r="U24" s="193">
        <v>8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9" t="s">
        <v>85</v>
      </c>
      <c r="AD24" s="201">
        <v>0</v>
      </c>
      <c r="AE24" s="201">
        <v>4</v>
      </c>
      <c r="AF24" s="201">
        <v>6</v>
      </c>
      <c r="AG24" s="201">
        <v>2</v>
      </c>
      <c r="AH24" s="201">
        <v>0</v>
      </c>
      <c r="AI24" s="5"/>
      <c r="AJ24" s="199" t="s">
        <v>85</v>
      </c>
      <c r="AK24" s="201">
        <v>0</v>
      </c>
      <c r="AL24" s="201">
        <v>4</v>
      </c>
      <c r="AM24" s="201">
        <v>6</v>
      </c>
      <c r="AN24" s="201">
        <v>2</v>
      </c>
      <c r="AO24" s="201">
        <v>0</v>
      </c>
    </row>
    <row r="25" spans="1:41" ht="16.5" customHeight="1">
      <c r="I25" s="82"/>
      <c r="J25" s="193">
        <v>21</v>
      </c>
      <c r="K25" s="194" t="s">
        <v>95</v>
      </c>
      <c r="L25" s="194" t="s">
        <v>79</v>
      </c>
      <c r="M25" s="194" t="s">
        <v>82</v>
      </c>
      <c r="N25" s="194" t="s">
        <v>95</v>
      </c>
      <c r="O25" s="194" t="s">
        <v>95</v>
      </c>
      <c r="Q25" s="193">
        <v>6</v>
      </c>
      <c r="R25" s="193">
        <v>12</v>
      </c>
      <c r="S25" s="193">
        <v>16</v>
      </c>
      <c r="T25" s="193">
        <v>6</v>
      </c>
      <c r="U25" s="193">
        <v>6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9" t="s">
        <v>87</v>
      </c>
      <c r="AD25" s="201">
        <v>0</v>
      </c>
      <c r="AE25" s="201">
        <v>3</v>
      </c>
      <c r="AF25" s="201">
        <v>9</v>
      </c>
      <c r="AG25" s="201">
        <v>3</v>
      </c>
      <c r="AH25" s="201">
        <v>0</v>
      </c>
      <c r="AI25" s="5"/>
      <c r="AJ25" s="199" t="s">
        <v>87</v>
      </c>
      <c r="AK25" s="201">
        <v>0</v>
      </c>
      <c r="AL25" s="201">
        <v>3</v>
      </c>
      <c r="AM25" s="201">
        <v>9</v>
      </c>
      <c r="AN25" s="201">
        <v>3</v>
      </c>
      <c r="AO25" s="201">
        <v>0</v>
      </c>
    </row>
    <row r="26" spans="1:41" ht="16.5" customHeight="1">
      <c r="B26" s="5" t="s">
        <v>298</v>
      </c>
      <c r="C26" s="5">
        <v>1</v>
      </c>
      <c r="D26" s="156">
        <v>0.78</v>
      </c>
      <c r="E26" s="156">
        <v>0</v>
      </c>
      <c r="F26" s="156">
        <v>0.82</v>
      </c>
      <c r="G26" s="5">
        <v>1</v>
      </c>
      <c r="I26" s="82"/>
      <c r="J26" s="23">
        <v>22</v>
      </c>
      <c r="K26" s="194" t="s">
        <v>13</v>
      </c>
      <c r="L26" s="194" t="s">
        <v>29</v>
      </c>
      <c r="M26" s="194" t="s">
        <v>81</v>
      </c>
      <c r="N26" s="194" t="s">
        <v>29</v>
      </c>
      <c r="O26" s="194" t="s">
        <v>13</v>
      </c>
      <c r="Q26" s="193">
        <v>5</v>
      </c>
      <c r="R26" s="193">
        <v>8</v>
      </c>
      <c r="S26" s="193">
        <v>14</v>
      </c>
      <c r="T26" s="193">
        <v>8</v>
      </c>
      <c r="U26" s="193">
        <v>5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3">
        <v>199</v>
      </c>
      <c r="AE26" s="103">
        <v>208</v>
      </c>
      <c r="AF26" s="103">
        <v>198</v>
      </c>
      <c r="AG26" s="103">
        <v>207</v>
      </c>
      <c r="AH26" s="103">
        <v>198</v>
      </c>
      <c r="AI26" s="5"/>
      <c r="AK26" s="103">
        <v>199</v>
      </c>
      <c r="AL26" s="103">
        <v>208</v>
      </c>
      <c r="AM26" s="103">
        <v>198</v>
      </c>
      <c r="AN26" s="103">
        <v>207</v>
      </c>
      <c r="AO26" s="103">
        <v>198</v>
      </c>
    </row>
    <row r="27" spans="1:41" ht="16.5" customHeight="1">
      <c r="B27" s="5" t="s">
        <v>321</v>
      </c>
      <c r="C27" s="5">
        <v>0</v>
      </c>
      <c r="D27" s="156">
        <v>0.22</v>
      </c>
      <c r="E27" s="156">
        <v>1</v>
      </c>
      <c r="F27" s="156">
        <v>0.18</v>
      </c>
      <c r="G27" s="5">
        <v>0</v>
      </c>
      <c r="I27" s="82"/>
      <c r="J27" s="193">
        <v>23</v>
      </c>
      <c r="K27" s="194" t="s">
        <v>95</v>
      </c>
      <c r="L27" s="194" t="s">
        <v>95</v>
      </c>
      <c r="M27" s="194" t="s">
        <v>96</v>
      </c>
      <c r="N27" s="194" t="s">
        <v>94</v>
      </c>
      <c r="O27" s="194" t="s">
        <v>31</v>
      </c>
      <c r="Q27" s="193">
        <v>6</v>
      </c>
      <c r="R27" s="193">
        <v>6</v>
      </c>
      <c r="S27" s="193">
        <v>15</v>
      </c>
      <c r="T27" s="193">
        <v>17</v>
      </c>
      <c r="U27" s="193">
        <v>7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4" t="s">
        <v>31</v>
      </c>
      <c r="L28" s="194" t="s">
        <v>12</v>
      </c>
      <c r="M28" s="194" t="s">
        <v>82</v>
      </c>
      <c r="N28" s="194" t="s">
        <v>29</v>
      </c>
      <c r="O28" s="194" t="s">
        <v>15</v>
      </c>
      <c r="Q28" s="193">
        <v>7</v>
      </c>
      <c r="R28" s="193">
        <v>4</v>
      </c>
      <c r="S28" s="193">
        <v>16</v>
      </c>
      <c r="T28" s="193">
        <v>8</v>
      </c>
      <c r="U28" s="193">
        <v>2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295</v>
      </c>
      <c r="AH28" s="5"/>
      <c r="AI28" s="5"/>
      <c r="AJ28" s="25" t="s">
        <v>295</v>
      </c>
      <c r="AO28" s="5"/>
    </row>
    <row r="29" spans="1:41" ht="16.5" customHeight="1">
      <c r="I29" s="82"/>
      <c r="J29" s="193">
        <v>25</v>
      </c>
      <c r="K29" s="194" t="s">
        <v>29</v>
      </c>
      <c r="L29" s="194" t="s">
        <v>95</v>
      </c>
      <c r="M29" s="194" t="s">
        <v>81</v>
      </c>
      <c r="N29" s="194" t="s">
        <v>31</v>
      </c>
      <c r="O29" s="194" t="s">
        <v>31</v>
      </c>
      <c r="Q29" s="193">
        <v>8</v>
      </c>
      <c r="R29" s="193">
        <v>6</v>
      </c>
      <c r="S29" s="193">
        <v>14</v>
      </c>
      <c r="T29" s="193">
        <v>7</v>
      </c>
      <c r="U29" s="193">
        <v>7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>
      <c r="I30" s="82"/>
      <c r="J30" s="23">
        <v>26</v>
      </c>
      <c r="K30" s="194" t="s">
        <v>13</v>
      </c>
      <c r="L30" s="194" t="s">
        <v>29</v>
      </c>
      <c r="M30" s="194" t="s">
        <v>96</v>
      </c>
      <c r="N30" s="194" t="s">
        <v>29</v>
      </c>
      <c r="O30" s="194" t="s">
        <v>13</v>
      </c>
      <c r="Q30" s="193">
        <v>5</v>
      </c>
      <c r="R30" s="193">
        <v>8</v>
      </c>
      <c r="S30" s="193">
        <v>15</v>
      </c>
      <c r="T30" s="193">
        <v>8</v>
      </c>
      <c r="U30" s="193">
        <v>5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9" t="s">
        <v>293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293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>
      <c r="I31" s="82"/>
      <c r="J31" s="193">
        <v>27</v>
      </c>
      <c r="K31" s="194" t="s">
        <v>95</v>
      </c>
      <c r="L31" s="194" t="s">
        <v>31</v>
      </c>
      <c r="M31" s="194" t="s">
        <v>82</v>
      </c>
      <c r="N31" s="194" t="s">
        <v>31</v>
      </c>
      <c r="O31" s="194" t="s">
        <v>31</v>
      </c>
      <c r="Q31" s="193">
        <v>6</v>
      </c>
      <c r="R31" s="193">
        <v>7</v>
      </c>
      <c r="S31" s="193">
        <v>16</v>
      </c>
      <c r="T31" s="193">
        <v>7</v>
      </c>
      <c r="U31" s="193">
        <v>7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9" t="s">
        <v>14</v>
      </c>
      <c r="AD31" s="199">
        <v>1</v>
      </c>
      <c r="AE31" s="199">
        <v>1</v>
      </c>
      <c r="AF31" s="199">
        <v>0</v>
      </c>
      <c r="AG31" s="199">
        <v>1</v>
      </c>
      <c r="AH31" s="199">
        <v>1</v>
      </c>
      <c r="AI31" s="5"/>
      <c r="AJ31" s="199" t="s">
        <v>14</v>
      </c>
      <c r="AK31" s="199">
        <v>1</v>
      </c>
      <c r="AL31" s="199">
        <v>1</v>
      </c>
      <c r="AM31" s="199">
        <v>0</v>
      </c>
      <c r="AN31" s="199">
        <v>1</v>
      </c>
      <c r="AO31" s="199">
        <v>1</v>
      </c>
    </row>
    <row r="32" spans="1:41" ht="16.5" customHeight="1">
      <c r="J32" s="23">
        <v>28</v>
      </c>
      <c r="K32" s="194" t="s">
        <v>29</v>
      </c>
      <c r="L32" s="194" t="s">
        <v>28</v>
      </c>
      <c r="M32" s="194" t="s">
        <v>87</v>
      </c>
      <c r="N32" s="194" t="s">
        <v>95</v>
      </c>
      <c r="O32" s="194" t="s">
        <v>12</v>
      </c>
      <c r="Q32" s="193">
        <v>8</v>
      </c>
      <c r="R32" s="193">
        <v>9</v>
      </c>
      <c r="S32" s="193">
        <v>19</v>
      </c>
      <c r="T32" s="193">
        <v>6</v>
      </c>
      <c r="U32" s="193">
        <v>4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4" t="s">
        <v>15</v>
      </c>
      <c r="AD32" s="200">
        <v>3</v>
      </c>
      <c r="AE32" s="200">
        <v>10</v>
      </c>
      <c r="AF32" s="200">
        <v>0</v>
      </c>
      <c r="AG32" s="200">
        <v>3</v>
      </c>
      <c r="AH32" s="200">
        <v>9</v>
      </c>
      <c r="AI32" s="5"/>
      <c r="AJ32" s="134" t="s">
        <v>15</v>
      </c>
      <c r="AK32" s="200">
        <v>3</v>
      </c>
      <c r="AL32" s="200">
        <v>10</v>
      </c>
      <c r="AM32" s="200">
        <v>0</v>
      </c>
      <c r="AN32" s="200">
        <v>3</v>
      </c>
      <c r="AO32" s="200">
        <v>9</v>
      </c>
    </row>
    <row r="33" spans="10:41" ht="16.5" customHeight="1">
      <c r="J33" s="193">
        <v>29</v>
      </c>
      <c r="K33" s="194" t="s">
        <v>13</v>
      </c>
      <c r="L33" s="194" t="s">
        <v>12</v>
      </c>
      <c r="M33" s="194" t="s">
        <v>82</v>
      </c>
      <c r="N33" s="194" t="s">
        <v>82</v>
      </c>
      <c r="O33" s="194" t="s">
        <v>29</v>
      </c>
      <c r="Q33" s="193">
        <v>5</v>
      </c>
      <c r="R33" s="193">
        <v>4</v>
      </c>
      <c r="S33" s="193">
        <v>16</v>
      </c>
      <c r="T33" s="193">
        <v>16</v>
      </c>
      <c r="U33" s="193">
        <v>8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4" t="s">
        <v>16</v>
      </c>
      <c r="AD33" s="200">
        <v>3</v>
      </c>
      <c r="AE33" s="200">
        <v>12</v>
      </c>
      <c r="AF33" s="200">
        <v>0</v>
      </c>
      <c r="AG33" s="200">
        <v>3</v>
      </c>
      <c r="AH33" s="200">
        <v>8</v>
      </c>
      <c r="AI33" s="5"/>
      <c r="AJ33" s="134" t="s">
        <v>16</v>
      </c>
      <c r="AK33" s="200">
        <v>3</v>
      </c>
      <c r="AL33" s="200">
        <v>12</v>
      </c>
      <c r="AM33" s="200">
        <v>0</v>
      </c>
      <c r="AN33" s="200">
        <v>3</v>
      </c>
      <c r="AO33" s="200">
        <v>8</v>
      </c>
    </row>
    <row r="34" spans="10:41" ht="16.5" customHeight="1">
      <c r="J34" s="23">
        <v>30</v>
      </c>
      <c r="K34" s="194" t="s">
        <v>31</v>
      </c>
      <c r="L34" s="194" t="s">
        <v>28</v>
      </c>
      <c r="M34" s="194" t="s">
        <v>80</v>
      </c>
      <c r="N34" s="194" t="s">
        <v>13</v>
      </c>
      <c r="O34" s="194" t="s">
        <v>95</v>
      </c>
      <c r="Q34" s="193">
        <v>7</v>
      </c>
      <c r="R34" s="193">
        <v>9</v>
      </c>
      <c r="S34" s="193">
        <v>13</v>
      </c>
      <c r="T34" s="193">
        <v>5</v>
      </c>
      <c r="U34" s="193">
        <v>6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4" t="s">
        <v>12</v>
      </c>
      <c r="AD34" s="200">
        <v>7</v>
      </c>
      <c r="AE34" s="200">
        <v>13</v>
      </c>
      <c r="AF34" s="200">
        <v>0</v>
      </c>
      <c r="AG34" s="200">
        <v>7</v>
      </c>
      <c r="AH34" s="200">
        <v>14</v>
      </c>
      <c r="AI34" s="5"/>
      <c r="AJ34" s="134" t="s">
        <v>12</v>
      </c>
      <c r="AK34" s="200">
        <v>7</v>
      </c>
      <c r="AL34" s="200">
        <v>13</v>
      </c>
      <c r="AM34" s="200">
        <v>0</v>
      </c>
      <c r="AN34" s="200">
        <v>7</v>
      </c>
      <c r="AO34" s="200">
        <v>14</v>
      </c>
    </row>
    <row r="35" spans="10:41" ht="16.5" customHeight="1">
      <c r="J35" s="193">
        <v>31</v>
      </c>
      <c r="K35" s="194" t="s">
        <v>29</v>
      </c>
      <c r="L35" s="194" t="s">
        <v>94</v>
      </c>
      <c r="M35" s="194" t="s">
        <v>96</v>
      </c>
      <c r="N35" s="194" t="s">
        <v>96</v>
      </c>
      <c r="O35" s="194" t="s">
        <v>31</v>
      </c>
      <c r="Q35" s="193">
        <v>8</v>
      </c>
      <c r="R35" s="193">
        <v>17</v>
      </c>
      <c r="S35" s="193">
        <v>15</v>
      </c>
      <c r="T35" s="193">
        <v>15</v>
      </c>
      <c r="U35" s="193">
        <v>7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4" t="s">
        <v>13</v>
      </c>
      <c r="AD35" s="200">
        <v>43</v>
      </c>
      <c r="AE35" s="200">
        <v>22</v>
      </c>
      <c r="AF35" s="200">
        <v>0</v>
      </c>
      <c r="AG35" s="200">
        <v>31</v>
      </c>
      <c r="AH35" s="200">
        <v>36</v>
      </c>
      <c r="AI35" s="5"/>
      <c r="AJ35" s="134" t="s">
        <v>13</v>
      </c>
      <c r="AK35" s="200">
        <v>43</v>
      </c>
      <c r="AL35" s="200">
        <v>22</v>
      </c>
      <c r="AM35" s="200">
        <v>0</v>
      </c>
      <c r="AN35" s="200">
        <v>31</v>
      </c>
      <c r="AO35" s="200">
        <v>36</v>
      </c>
    </row>
    <row r="36" spans="10:41" ht="16.5" customHeight="1">
      <c r="J36" s="23">
        <v>32</v>
      </c>
      <c r="K36" s="194" t="s">
        <v>31</v>
      </c>
      <c r="L36" s="194" t="s">
        <v>31</v>
      </c>
      <c r="M36" s="194" t="s">
        <v>94</v>
      </c>
      <c r="N36" s="194" t="s">
        <v>29</v>
      </c>
      <c r="O36" s="194" t="s">
        <v>28</v>
      </c>
      <c r="Q36" s="193">
        <v>7</v>
      </c>
      <c r="R36" s="193">
        <v>7</v>
      </c>
      <c r="S36" s="193">
        <v>17</v>
      </c>
      <c r="T36" s="193">
        <v>8</v>
      </c>
      <c r="U36" s="193">
        <v>9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4" t="s">
        <v>95</v>
      </c>
      <c r="AD36" s="200">
        <v>42</v>
      </c>
      <c r="AE36" s="200">
        <v>22</v>
      </c>
      <c r="AF36" s="200">
        <v>0</v>
      </c>
      <c r="AG36" s="200">
        <v>27</v>
      </c>
      <c r="AH36" s="200">
        <v>34</v>
      </c>
      <c r="AI36" s="5"/>
      <c r="AJ36" s="134" t="s">
        <v>95</v>
      </c>
      <c r="AK36" s="200">
        <v>42</v>
      </c>
      <c r="AL36" s="200">
        <v>22</v>
      </c>
      <c r="AM36" s="200">
        <v>0</v>
      </c>
      <c r="AN36" s="200">
        <v>27</v>
      </c>
      <c r="AO36" s="200">
        <v>34</v>
      </c>
    </row>
    <row r="37" spans="10:41" ht="16.5" customHeight="1">
      <c r="J37" s="193">
        <v>33</v>
      </c>
      <c r="K37" s="194" t="s">
        <v>95</v>
      </c>
      <c r="L37" s="194" t="s">
        <v>13</v>
      </c>
      <c r="M37" s="194" t="s">
        <v>82</v>
      </c>
      <c r="N37" s="194" t="s">
        <v>13</v>
      </c>
      <c r="O37" s="194" t="s">
        <v>30</v>
      </c>
      <c r="Q37" s="193">
        <v>6</v>
      </c>
      <c r="R37" s="193">
        <v>5</v>
      </c>
      <c r="S37" s="193">
        <v>16</v>
      </c>
      <c r="T37" s="193">
        <v>5</v>
      </c>
      <c r="U37" s="193">
        <v>10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4" t="s">
        <v>31</v>
      </c>
      <c r="AD37" s="200">
        <v>43</v>
      </c>
      <c r="AE37" s="200">
        <v>27</v>
      </c>
      <c r="AF37" s="200">
        <v>0</v>
      </c>
      <c r="AG37" s="200">
        <v>31</v>
      </c>
      <c r="AH37" s="200">
        <v>35</v>
      </c>
      <c r="AI37" s="5"/>
      <c r="AJ37" s="134" t="s">
        <v>31</v>
      </c>
      <c r="AK37" s="200">
        <v>43</v>
      </c>
      <c r="AL37" s="200">
        <v>27</v>
      </c>
      <c r="AM37" s="200">
        <v>0</v>
      </c>
      <c r="AN37" s="200">
        <v>31</v>
      </c>
      <c r="AO37" s="200">
        <v>35</v>
      </c>
    </row>
    <row r="38" spans="10:41" ht="16.5" customHeight="1">
      <c r="J38" s="23">
        <v>34</v>
      </c>
      <c r="K38" s="194" t="s">
        <v>13</v>
      </c>
      <c r="L38" s="194" t="s">
        <v>12</v>
      </c>
      <c r="M38" s="194" t="s">
        <v>96</v>
      </c>
      <c r="N38" s="194" t="s">
        <v>31</v>
      </c>
      <c r="O38" s="194" t="s">
        <v>31</v>
      </c>
      <c r="Q38" s="193">
        <v>5</v>
      </c>
      <c r="R38" s="193">
        <v>4</v>
      </c>
      <c r="S38" s="193">
        <v>15</v>
      </c>
      <c r="T38" s="193">
        <v>7</v>
      </c>
      <c r="U38" s="193">
        <v>7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4" t="s">
        <v>29</v>
      </c>
      <c r="AD38" s="200">
        <v>43</v>
      </c>
      <c r="AE38" s="200">
        <v>24</v>
      </c>
      <c r="AF38" s="200">
        <v>0</v>
      </c>
      <c r="AG38" s="200">
        <v>32</v>
      </c>
      <c r="AH38" s="200">
        <v>34</v>
      </c>
      <c r="AI38" s="5"/>
      <c r="AJ38" s="134" t="s">
        <v>29</v>
      </c>
      <c r="AK38" s="200">
        <v>43</v>
      </c>
      <c r="AL38" s="200">
        <v>24</v>
      </c>
      <c r="AM38" s="200">
        <v>0</v>
      </c>
      <c r="AN38" s="200">
        <v>32</v>
      </c>
      <c r="AO38" s="200">
        <v>34</v>
      </c>
    </row>
    <row r="39" spans="10:41" ht="16.5" customHeight="1">
      <c r="J39" s="193">
        <v>35</v>
      </c>
      <c r="K39" s="194" t="s">
        <v>29</v>
      </c>
      <c r="L39" s="194" t="s">
        <v>16</v>
      </c>
      <c r="M39" s="194" t="s">
        <v>82</v>
      </c>
      <c r="N39" s="194" t="s">
        <v>94</v>
      </c>
      <c r="O39" s="194" t="s">
        <v>13</v>
      </c>
      <c r="Q39" s="193">
        <v>8</v>
      </c>
      <c r="R39" s="193">
        <v>3</v>
      </c>
      <c r="S39" s="193">
        <v>16</v>
      </c>
      <c r="T39" s="193">
        <v>17</v>
      </c>
      <c r="U39" s="193">
        <v>5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4" t="s">
        <v>28</v>
      </c>
      <c r="AD39" s="200">
        <v>7</v>
      </c>
      <c r="AE39" s="200">
        <v>12</v>
      </c>
      <c r="AF39" s="200">
        <v>0</v>
      </c>
      <c r="AG39" s="200">
        <v>6</v>
      </c>
      <c r="AH39" s="200">
        <v>13</v>
      </c>
      <c r="AI39" s="5"/>
      <c r="AJ39" s="134" t="s">
        <v>28</v>
      </c>
      <c r="AK39" s="200">
        <v>7</v>
      </c>
      <c r="AL39" s="200">
        <v>12</v>
      </c>
      <c r="AM39" s="200">
        <v>0</v>
      </c>
      <c r="AN39" s="200">
        <v>6</v>
      </c>
      <c r="AO39" s="200">
        <v>13</v>
      </c>
    </row>
    <row r="40" spans="10:41" ht="16.5" customHeight="1">
      <c r="J40" s="23">
        <v>36</v>
      </c>
      <c r="K40" s="194" t="s">
        <v>95</v>
      </c>
      <c r="L40" s="194" t="s">
        <v>14</v>
      </c>
      <c r="M40" s="194" t="s">
        <v>94</v>
      </c>
      <c r="N40" s="194" t="s">
        <v>30</v>
      </c>
      <c r="O40" s="194" t="s">
        <v>95</v>
      </c>
      <c r="Q40" s="193">
        <v>6</v>
      </c>
      <c r="R40" s="193">
        <v>1</v>
      </c>
      <c r="S40" s="193">
        <v>17</v>
      </c>
      <c r="T40" s="193">
        <v>10</v>
      </c>
      <c r="U40" s="193">
        <v>6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4" t="s">
        <v>30</v>
      </c>
      <c r="AD40" s="200">
        <v>7</v>
      </c>
      <c r="AE40" s="200">
        <v>8</v>
      </c>
      <c r="AF40" s="200">
        <v>0</v>
      </c>
      <c r="AG40" s="200">
        <v>7</v>
      </c>
      <c r="AH40" s="200">
        <v>14</v>
      </c>
      <c r="AI40" s="5"/>
      <c r="AJ40" s="134" t="s">
        <v>30</v>
      </c>
      <c r="AK40" s="200">
        <v>7</v>
      </c>
      <c r="AL40" s="200">
        <v>8</v>
      </c>
      <c r="AM40" s="200">
        <v>0</v>
      </c>
      <c r="AN40" s="200">
        <v>7</v>
      </c>
      <c r="AO40" s="200">
        <v>14</v>
      </c>
    </row>
    <row r="41" spans="10:41" ht="16.5" customHeight="1">
      <c r="J41" s="193">
        <v>37</v>
      </c>
      <c r="K41" s="194" t="s">
        <v>29</v>
      </c>
      <c r="L41" s="194" t="s">
        <v>96</v>
      </c>
      <c r="M41" s="194" t="s">
        <v>96</v>
      </c>
      <c r="N41" s="194" t="s">
        <v>95</v>
      </c>
      <c r="O41" s="194" t="s">
        <v>12</v>
      </c>
      <c r="Q41" s="193">
        <v>8</v>
      </c>
      <c r="R41" s="193">
        <v>15</v>
      </c>
      <c r="S41" s="193">
        <v>15</v>
      </c>
      <c r="T41" s="193">
        <v>6</v>
      </c>
      <c r="U41" s="193">
        <v>4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9" t="s">
        <v>78</v>
      </c>
      <c r="AD41" s="201">
        <v>0</v>
      </c>
      <c r="AE41" s="201">
        <v>3</v>
      </c>
      <c r="AF41" s="201">
        <v>3</v>
      </c>
      <c r="AG41" s="201">
        <v>2</v>
      </c>
      <c r="AH41" s="201">
        <v>0</v>
      </c>
      <c r="AI41" s="5"/>
      <c r="AJ41" s="199" t="s">
        <v>78</v>
      </c>
      <c r="AK41" s="201">
        <v>0</v>
      </c>
      <c r="AL41" s="201">
        <v>3</v>
      </c>
      <c r="AM41" s="201">
        <v>3</v>
      </c>
      <c r="AN41" s="201">
        <v>2</v>
      </c>
      <c r="AO41" s="201">
        <v>0</v>
      </c>
    </row>
    <row r="42" spans="10:41" ht="16.5" customHeight="1">
      <c r="J42" s="23">
        <v>38</v>
      </c>
      <c r="K42" s="194" t="s">
        <v>13</v>
      </c>
      <c r="L42" s="194" t="s">
        <v>13</v>
      </c>
      <c r="M42" s="194" t="s">
        <v>87</v>
      </c>
      <c r="N42" s="194" t="s">
        <v>12</v>
      </c>
      <c r="O42" s="194" t="s">
        <v>28</v>
      </c>
      <c r="Q42" s="193">
        <v>5</v>
      </c>
      <c r="R42" s="193">
        <v>5</v>
      </c>
      <c r="S42" s="193">
        <v>19</v>
      </c>
      <c r="T42" s="193">
        <v>4</v>
      </c>
      <c r="U42" s="193">
        <v>9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9" t="s">
        <v>79</v>
      </c>
      <c r="AD42" s="201">
        <v>0</v>
      </c>
      <c r="AE42" s="201">
        <v>4</v>
      </c>
      <c r="AF42" s="201">
        <v>1</v>
      </c>
      <c r="AG42" s="201">
        <v>2</v>
      </c>
      <c r="AH42" s="201">
        <v>0</v>
      </c>
      <c r="AI42" s="5"/>
      <c r="AJ42" s="199" t="s">
        <v>79</v>
      </c>
      <c r="AK42" s="201">
        <v>0</v>
      </c>
      <c r="AL42" s="201">
        <v>4</v>
      </c>
      <c r="AM42" s="201">
        <v>1</v>
      </c>
      <c r="AN42" s="201">
        <v>2</v>
      </c>
      <c r="AO42" s="201">
        <v>0</v>
      </c>
    </row>
    <row r="43" spans="10:41" ht="16.5" customHeight="1">
      <c r="J43" s="193">
        <v>39</v>
      </c>
      <c r="K43" s="194" t="s">
        <v>29</v>
      </c>
      <c r="L43" s="194" t="s">
        <v>95</v>
      </c>
      <c r="M43" s="194" t="s">
        <v>78</v>
      </c>
      <c r="N43" s="194" t="s">
        <v>95</v>
      </c>
      <c r="O43" s="194" t="s">
        <v>31</v>
      </c>
      <c r="Q43" s="193">
        <v>8</v>
      </c>
      <c r="R43" s="193">
        <v>6</v>
      </c>
      <c r="S43" s="193">
        <v>11</v>
      </c>
      <c r="T43" s="193">
        <v>6</v>
      </c>
      <c r="U43" s="193">
        <v>7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9" t="s">
        <v>80</v>
      </c>
      <c r="AD43" s="201">
        <v>0</v>
      </c>
      <c r="AE43" s="201">
        <v>4</v>
      </c>
      <c r="AF43" s="201">
        <v>8</v>
      </c>
      <c r="AG43" s="201">
        <v>3</v>
      </c>
      <c r="AH43" s="201">
        <v>0</v>
      </c>
      <c r="AI43" s="5"/>
      <c r="AJ43" s="199" t="s">
        <v>80</v>
      </c>
      <c r="AK43" s="201">
        <v>0</v>
      </c>
      <c r="AL43" s="201">
        <v>4</v>
      </c>
      <c r="AM43" s="201">
        <v>8</v>
      </c>
      <c r="AN43" s="201">
        <v>3</v>
      </c>
      <c r="AO43" s="201">
        <v>0</v>
      </c>
    </row>
    <row r="44" spans="10:41" ht="16.5" customHeight="1">
      <c r="J44" s="23">
        <v>40</v>
      </c>
      <c r="K44" s="194" t="s">
        <v>95</v>
      </c>
      <c r="L44" s="194" t="s">
        <v>30</v>
      </c>
      <c r="M44" s="194" t="s">
        <v>81</v>
      </c>
      <c r="N44" s="194" t="s">
        <v>29</v>
      </c>
      <c r="O44" s="194" t="s">
        <v>28</v>
      </c>
      <c r="Q44" s="193">
        <v>6</v>
      </c>
      <c r="R44" s="193">
        <v>10</v>
      </c>
      <c r="S44" s="193">
        <v>14</v>
      </c>
      <c r="T44" s="193">
        <v>8</v>
      </c>
      <c r="U44" s="193">
        <v>9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9" t="s">
        <v>81</v>
      </c>
      <c r="AD44" s="201">
        <v>0</v>
      </c>
      <c r="AE44" s="201">
        <v>9</v>
      </c>
      <c r="AF44" s="201">
        <v>43</v>
      </c>
      <c r="AG44" s="201">
        <v>12</v>
      </c>
      <c r="AH44" s="201">
        <v>0</v>
      </c>
      <c r="AI44" s="5"/>
      <c r="AJ44" s="199" t="s">
        <v>81</v>
      </c>
      <c r="AK44" s="201">
        <v>0</v>
      </c>
      <c r="AL44" s="201">
        <v>9</v>
      </c>
      <c r="AM44" s="201">
        <v>43</v>
      </c>
      <c r="AN44" s="201">
        <v>12</v>
      </c>
      <c r="AO44" s="201">
        <v>0</v>
      </c>
    </row>
    <row r="45" spans="10:41" ht="16.5" customHeight="1">
      <c r="J45" s="193">
        <v>41</v>
      </c>
      <c r="K45" s="194" t="s">
        <v>31</v>
      </c>
      <c r="L45" s="194" t="s">
        <v>16</v>
      </c>
      <c r="M45" s="194" t="s">
        <v>82</v>
      </c>
      <c r="N45" s="194" t="s">
        <v>13</v>
      </c>
      <c r="O45" s="194" t="s">
        <v>13</v>
      </c>
      <c r="Q45" s="193">
        <v>7</v>
      </c>
      <c r="R45" s="193">
        <v>3</v>
      </c>
      <c r="S45" s="193">
        <v>16</v>
      </c>
      <c r="T45" s="193">
        <v>5</v>
      </c>
      <c r="U45" s="193">
        <v>5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9" t="s">
        <v>96</v>
      </c>
      <c r="AD45" s="201">
        <v>0</v>
      </c>
      <c r="AE45" s="201">
        <v>9</v>
      </c>
      <c r="AF45" s="201">
        <v>42</v>
      </c>
      <c r="AG45" s="201">
        <v>13</v>
      </c>
      <c r="AH45" s="201">
        <v>0</v>
      </c>
      <c r="AI45" s="5"/>
      <c r="AJ45" s="199" t="s">
        <v>96</v>
      </c>
      <c r="AK45" s="201">
        <v>0</v>
      </c>
      <c r="AL45" s="201">
        <v>9</v>
      </c>
      <c r="AM45" s="201">
        <v>42</v>
      </c>
      <c r="AN45" s="201">
        <v>13</v>
      </c>
      <c r="AO45" s="201">
        <v>0</v>
      </c>
    </row>
    <row r="46" spans="10:41" ht="16.5" customHeight="1">
      <c r="J46" s="23">
        <v>42</v>
      </c>
      <c r="K46" s="194" t="s">
        <v>13</v>
      </c>
      <c r="L46" s="194" t="s">
        <v>31</v>
      </c>
      <c r="M46" s="194" t="s">
        <v>94</v>
      </c>
      <c r="N46" s="194" t="s">
        <v>95</v>
      </c>
      <c r="O46" s="194" t="s">
        <v>29</v>
      </c>
      <c r="Q46" s="193">
        <v>5</v>
      </c>
      <c r="R46" s="193">
        <v>7</v>
      </c>
      <c r="S46" s="193">
        <v>17</v>
      </c>
      <c r="T46" s="193">
        <v>6</v>
      </c>
      <c r="U46" s="193">
        <v>8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9" t="s">
        <v>82</v>
      </c>
      <c r="AD46" s="201">
        <v>0</v>
      </c>
      <c r="AE46" s="201">
        <v>11</v>
      </c>
      <c r="AF46" s="201">
        <v>42</v>
      </c>
      <c r="AG46" s="201">
        <v>11</v>
      </c>
      <c r="AH46" s="201">
        <v>0</v>
      </c>
      <c r="AI46" s="5"/>
      <c r="AJ46" s="199" t="s">
        <v>82</v>
      </c>
      <c r="AK46" s="201">
        <v>0</v>
      </c>
      <c r="AL46" s="201">
        <v>11</v>
      </c>
      <c r="AM46" s="201">
        <v>42</v>
      </c>
      <c r="AN46" s="201">
        <v>11</v>
      </c>
      <c r="AO46" s="201">
        <v>0</v>
      </c>
    </row>
    <row r="47" spans="10:41" ht="16.5" customHeight="1">
      <c r="J47" s="193">
        <v>43</v>
      </c>
      <c r="K47" s="194" t="s">
        <v>29</v>
      </c>
      <c r="L47" s="194" t="s">
        <v>30</v>
      </c>
      <c r="M47" s="194" t="s">
        <v>82</v>
      </c>
      <c r="N47" s="194" t="s">
        <v>30</v>
      </c>
      <c r="O47" s="194" t="s">
        <v>13</v>
      </c>
      <c r="Q47" s="193">
        <v>8</v>
      </c>
      <c r="R47" s="193">
        <v>10</v>
      </c>
      <c r="S47" s="193">
        <v>16</v>
      </c>
      <c r="T47" s="193">
        <v>10</v>
      </c>
      <c r="U47" s="193">
        <v>5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9" t="s">
        <v>94</v>
      </c>
      <c r="AD47" s="201">
        <v>0</v>
      </c>
      <c r="AE47" s="201">
        <v>10</v>
      </c>
      <c r="AF47" s="201">
        <v>44</v>
      </c>
      <c r="AG47" s="201">
        <v>11</v>
      </c>
      <c r="AH47" s="201">
        <v>0</v>
      </c>
      <c r="AI47" s="5"/>
      <c r="AJ47" s="199" t="s">
        <v>94</v>
      </c>
      <c r="AK47" s="201">
        <v>0</v>
      </c>
      <c r="AL47" s="201">
        <v>10</v>
      </c>
      <c r="AM47" s="201">
        <v>44</v>
      </c>
      <c r="AN47" s="201">
        <v>11</v>
      </c>
      <c r="AO47" s="201">
        <v>0</v>
      </c>
    </row>
    <row r="48" spans="10:41" ht="16.5" customHeight="1">
      <c r="J48" s="23">
        <v>44</v>
      </c>
      <c r="K48" s="194" t="s">
        <v>31</v>
      </c>
      <c r="L48" s="194" t="s">
        <v>95</v>
      </c>
      <c r="M48" s="194" t="s">
        <v>96</v>
      </c>
      <c r="N48" s="194" t="s">
        <v>29</v>
      </c>
      <c r="O48" s="194" t="s">
        <v>29</v>
      </c>
      <c r="Q48" s="193">
        <v>7</v>
      </c>
      <c r="R48" s="193">
        <v>6</v>
      </c>
      <c r="S48" s="193">
        <v>15</v>
      </c>
      <c r="T48" s="193">
        <v>8</v>
      </c>
      <c r="U48" s="193">
        <v>8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9" t="s">
        <v>85</v>
      </c>
      <c r="AD48" s="201">
        <v>0</v>
      </c>
      <c r="AE48" s="201">
        <v>4</v>
      </c>
      <c r="AF48" s="201">
        <v>6</v>
      </c>
      <c r="AG48" s="201">
        <v>2</v>
      </c>
      <c r="AH48" s="201">
        <v>0</v>
      </c>
      <c r="AI48" s="5"/>
      <c r="AJ48" s="199" t="s">
        <v>85</v>
      </c>
      <c r="AK48" s="201">
        <v>0</v>
      </c>
      <c r="AL48" s="201">
        <v>4</v>
      </c>
      <c r="AM48" s="201">
        <v>6</v>
      </c>
      <c r="AN48" s="201">
        <v>2</v>
      </c>
      <c r="AO48" s="201">
        <v>0</v>
      </c>
    </row>
    <row r="49" spans="10:41" ht="16.5" customHeight="1">
      <c r="J49" s="193">
        <v>45</v>
      </c>
      <c r="K49" s="194" t="s">
        <v>95</v>
      </c>
      <c r="L49" s="194" t="s">
        <v>13</v>
      </c>
      <c r="M49" s="194" t="s">
        <v>81</v>
      </c>
      <c r="N49" s="194" t="s">
        <v>95</v>
      </c>
      <c r="O49" s="194" t="s">
        <v>30</v>
      </c>
      <c r="Q49" s="193">
        <v>6</v>
      </c>
      <c r="R49" s="193">
        <v>5</v>
      </c>
      <c r="S49" s="193">
        <v>14</v>
      </c>
      <c r="T49" s="193">
        <v>6</v>
      </c>
      <c r="U49" s="193">
        <v>10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9" t="s">
        <v>87</v>
      </c>
      <c r="AD49" s="201">
        <v>0</v>
      </c>
      <c r="AE49" s="201">
        <v>3</v>
      </c>
      <c r="AF49" s="201">
        <v>9</v>
      </c>
      <c r="AG49" s="201">
        <v>3</v>
      </c>
      <c r="AH49" s="201">
        <v>0</v>
      </c>
      <c r="AI49" s="5"/>
      <c r="AJ49" s="199" t="s">
        <v>87</v>
      </c>
      <c r="AK49" s="201">
        <v>0</v>
      </c>
      <c r="AL49" s="201">
        <v>3</v>
      </c>
      <c r="AM49" s="201">
        <v>9</v>
      </c>
      <c r="AN49" s="201">
        <v>3</v>
      </c>
      <c r="AO49" s="201">
        <v>0</v>
      </c>
    </row>
    <row r="50" spans="10:41" ht="16.5" customHeight="1">
      <c r="J50" s="23">
        <v>46</v>
      </c>
      <c r="K50" s="194" t="s">
        <v>29</v>
      </c>
      <c r="L50" s="194" t="s">
        <v>28</v>
      </c>
      <c r="M50" s="194" t="s">
        <v>87</v>
      </c>
      <c r="N50" s="194" t="s">
        <v>82</v>
      </c>
      <c r="O50" s="194" t="s">
        <v>13</v>
      </c>
      <c r="Q50" s="193">
        <v>8</v>
      </c>
      <c r="R50" s="193">
        <v>9</v>
      </c>
      <c r="S50" s="193">
        <v>19</v>
      </c>
      <c r="T50" s="193">
        <v>16</v>
      </c>
      <c r="U50" s="193">
        <v>5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3">
        <v>199</v>
      </c>
      <c r="AE50" s="103">
        <v>208</v>
      </c>
      <c r="AF50" s="103">
        <v>198</v>
      </c>
      <c r="AG50" s="103">
        <v>207</v>
      </c>
      <c r="AH50" s="103">
        <v>198</v>
      </c>
      <c r="AI50" s="5"/>
      <c r="AK50" s="103">
        <v>199</v>
      </c>
      <c r="AL50" s="103">
        <v>208</v>
      </c>
      <c r="AM50" s="103">
        <v>198</v>
      </c>
      <c r="AN50" s="103">
        <v>207</v>
      </c>
      <c r="AO50" s="103">
        <v>198</v>
      </c>
    </row>
    <row r="51" spans="10:41" ht="16.5" customHeight="1">
      <c r="J51" s="193">
        <v>47</v>
      </c>
      <c r="K51" s="194" t="s">
        <v>13</v>
      </c>
      <c r="L51" s="194" t="s">
        <v>95</v>
      </c>
      <c r="M51" s="194" t="s">
        <v>82</v>
      </c>
      <c r="N51" s="194" t="s">
        <v>29</v>
      </c>
      <c r="O51" s="194" t="s">
        <v>95</v>
      </c>
      <c r="Q51" s="193">
        <v>5</v>
      </c>
      <c r="R51" s="193">
        <v>6</v>
      </c>
      <c r="S51" s="193">
        <v>16</v>
      </c>
      <c r="T51" s="193">
        <v>8</v>
      </c>
      <c r="U51" s="193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4" t="s">
        <v>30</v>
      </c>
      <c r="L52" s="194" t="s">
        <v>16</v>
      </c>
      <c r="M52" s="194" t="s">
        <v>94</v>
      </c>
      <c r="N52" s="194" t="s">
        <v>81</v>
      </c>
      <c r="O52" s="194" t="s">
        <v>12</v>
      </c>
      <c r="Q52" s="193">
        <v>10</v>
      </c>
      <c r="R52" s="193">
        <v>3</v>
      </c>
      <c r="S52" s="193">
        <v>17</v>
      </c>
      <c r="T52" s="193">
        <v>14</v>
      </c>
      <c r="U52" s="193">
        <v>4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296</v>
      </c>
      <c r="AH52" s="5"/>
      <c r="AI52" s="5"/>
      <c r="AJ52" s="25" t="s">
        <v>296</v>
      </c>
      <c r="AO52" s="5"/>
    </row>
    <row r="53" spans="10:41" ht="16.5" customHeight="1">
      <c r="J53" s="193">
        <v>49</v>
      </c>
      <c r="K53" s="194" t="s">
        <v>29</v>
      </c>
      <c r="L53" s="194" t="s">
        <v>31</v>
      </c>
      <c r="M53" s="194" t="s">
        <v>96</v>
      </c>
      <c r="N53" s="194" t="s">
        <v>96</v>
      </c>
      <c r="O53" s="194" t="s">
        <v>31</v>
      </c>
      <c r="Q53" s="193">
        <v>8</v>
      </c>
      <c r="R53" s="193">
        <v>7</v>
      </c>
      <c r="S53" s="193">
        <v>15</v>
      </c>
      <c r="T53" s="193">
        <v>15</v>
      </c>
      <c r="U53" s="193">
        <v>7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>
      <c r="J54" s="23">
        <v>50</v>
      </c>
      <c r="K54" s="194" t="s">
        <v>28</v>
      </c>
      <c r="L54" s="194" t="s">
        <v>96</v>
      </c>
      <c r="M54" s="194" t="s">
        <v>80</v>
      </c>
      <c r="N54" s="194" t="s">
        <v>94</v>
      </c>
      <c r="O54" s="194" t="s">
        <v>15</v>
      </c>
      <c r="Q54" s="193">
        <v>9</v>
      </c>
      <c r="R54" s="193">
        <v>15</v>
      </c>
      <c r="S54" s="193">
        <v>13</v>
      </c>
      <c r="T54" s="193">
        <v>17</v>
      </c>
      <c r="U54" s="193">
        <v>2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9" t="s">
        <v>293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293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>
      <c r="J55" s="193">
        <v>51</v>
      </c>
      <c r="K55" s="194" t="s">
        <v>13</v>
      </c>
      <c r="L55" s="194" t="s">
        <v>16</v>
      </c>
      <c r="M55" s="194" t="s">
        <v>81</v>
      </c>
      <c r="N55" s="194" t="s">
        <v>95</v>
      </c>
      <c r="O55" s="194" t="s">
        <v>95</v>
      </c>
      <c r="Q55" s="193">
        <v>5</v>
      </c>
      <c r="R55" s="193">
        <v>3</v>
      </c>
      <c r="S55" s="193">
        <v>14</v>
      </c>
      <c r="T55" s="193">
        <v>6</v>
      </c>
      <c r="U55" s="193">
        <v>6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9" t="s">
        <v>14</v>
      </c>
      <c r="AD55" s="199">
        <v>1</v>
      </c>
      <c r="AE55" s="199">
        <v>1</v>
      </c>
      <c r="AF55" s="199">
        <v>0</v>
      </c>
      <c r="AG55" s="199">
        <v>1</v>
      </c>
      <c r="AH55" s="199">
        <v>1</v>
      </c>
      <c r="AI55" s="5"/>
      <c r="AJ55" s="199" t="s">
        <v>14</v>
      </c>
      <c r="AK55" s="199">
        <v>1</v>
      </c>
      <c r="AL55" s="199">
        <v>1</v>
      </c>
      <c r="AM55" s="199">
        <v>0</v>
      </c>
      <c r="AN55" s="199">
        <v>1</v>
      </c>
      <c r="AO55" s="199">
        <v>1</v>
      </c>
    </row>
    <row r="56" spans="10:41" ht="16.5" customHeight="1">
      <c r="J56" s="23">
        <v>52</v>
      </c>
      <c r="K56" s="194" t="s">
        <v>29</v>
      </c>
      <c r="L56" s="194" t="s">
        <v>13</v>
      </c>
      <c r="M56" s="194" t="s">
        <v>80</v>
      </c>
      <c r="N56" s="194" t="s">
        <v>29</v>
      </c>
      <c r="O56" s="194" t="s">
        <v>31</v>
      </c>
      <c r="Q56" s="193">
        <v>8</v>
      </c>
      <c r="R56" s="193">
        <v>5</v>
      </c>
      <c r="S56" s="193">
        <v>13</v>
      </c>
      <c r="T56" s="193">
        <v>8</v>
      </c>
      <c r="U56" s="193">
        <v>7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4" t="s">
        <v>15</v>
      </c>
      <c r="AD56" s="200">
        <v>3</v>
      </c>
      <c r="AE56" s="200">
        <v>10</v>
      </c>
      <c r="AF56" s="200">
        <v>0</v>
      </c>
      <c r="AG56" s="200">
        <v>3</v>
      </c>
      <c r="AH56" s="200">
        <v>9</v>
      </c>
      <c r="AI56" s="5"/>
      <c r="AJ56" s="134" t="s">
        <v>15</v>
      </c>
      <c r="AK56" s="200">
        <v>3</v>
      </c>
      <c r="AL56" s="200">
        <v>10</v>
      </c>
      <c r="AM56" s="200">
        <v>0</v>
      </c>
      <c r="AN56" s="200">
        <v>3</v>
      </c>
      <c r="AO56" s="200">
        <v>9</v>
      </c>
    </row>
    <row r="57" spans="10:41" ht="16.5" customHeight="1">
      <c r="J57" s="193">
        <v>53</v>
      </c>
      <c r="K57" s="194" t="s">
        <v>15</v>
      </c>
      <c r="L57" s="194" t="s">
        <v>78</v>
      </c>
      <c r="M57" s="194" t="s">
        <v>94</v>
      </c>
      <c r="N57" s="194" t="s">
        <v>82</v>
      </c>
      <c r="O57" s="194" t="s">
        <v>13</v>
      </c>
      <c r="Q57" s="193">
        <v>2</v>
      </c>
      <c r="R57" s="193">
        <v>11</v>
      </c>
      <c r="S57" s="193">
        <v>17</v>
      </c>
      <c r="T57" s="193">
        <v>16</v>
      </c>
      <c r="U57" s="193">
        <v>5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4" t="s">
        <v>16</v>
      </c>
      <c r="AD57" s="200">
        <v>3</v>
      </c>
      <c r="AE57" s="200">
        <v>12</v>
      </c>
      <c r="AF57" s="200">
        <v>0</v>
      </c>
      <c r="AG57" s="200">
        <v>3</v>
      </c>
      <c r="AH57" s="200">
        <v>8</v>
      </c>
      <c r="AI57" s="5"/>
      <c r="AJ57" s="134" t="s">
        <v>16</v>
      </c>
      <c r="AK57" s="200">
        <v>3</v>
      </c>
      <c r="AL57" s="200">
        <v>12</v>
      </c>
      <c r="AM57" s="200">
        <v>0</v>
      </c>
      <c r="AN57" s="200">
        <v>3</v>
      </c>
      <c r="AO57" s="200">
        <v>8</v>
      </c>
    </row>
    <row r="58" spans="10:41" ht="16.5" customHeight="1">
      <c r="J58" s="23">
        <v>54</v>
      </c>
      <c r="K58" s="194" t="s">
        <v>29</v>
      </c>
      <c r="L58" s="194" t="s">
        <v>14</v>
      </c>
      <c r="M58" s="194" t="s">
        <v>81</v>
      </c>
      <c r="N58" s="194" t="s">
        <v>94</v>
      </c>
      <c r="O58" s="194" t="s">
        <v>29</v>
      </c>
      <c r="Q58" s="193">
        <v>8</v>
      </c>
      <c r="R58" s="193">
        <v>1</v>
      </c>
      <c r="S58" s="193">
        <v>14</v>
      </c>
      <c r="T58" s="193">
        <v>17</v>
      </c>
      <c r="U58" s="193">
        <v>8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4" t="s">
        <v>12</v>
      </c>
      <c r="AD58" s="200">
        <v>7</v>
      </c>
      <c r="AE58" s="200">
        <v>13</v>
      </c>
      <c r="AF58" s="200">
        <v>0</v>
      </c>
      <c r="AG58" s="200">
        <v>7</v>
      </c>
      <c r="AH58" s="200">
        <v>14</v>
      </c>
      <c r="AI58" s="5"/>
      <c r="AJ58" s="134" t="s">
        <v>12</v>
      </c>
      <c r="AK58" s="200">
        <v>7</v>
      </c>
      <c r="AL58" s="200">
        <v>13</v>
      </c>
      <c r="AM58" s="200">
        <v>0</v>
      </c>
      <c r="AN58" s="200">
        <v>7</v>
      </c>
      <c r="AO58" s="200">
        <v>14</v>
      </c>
    </row>
    <row r="59" spans="10:41" ht="16.5" customHeight="1">
      <c r="J59" s="193">
        <v>55</v>
      </c>
      <c r="K59" s="194" t="s">
        <v>95</v>
      </c>
      <c r="L59" s="194" t="s">
        <v>82</v>
      </c>
      <c r="M59" s="194" t="s">
        <v>96</v>
      </c>
      <c r="N59" s="194" t="s">
        <v>29</v>
      </c>
      <c r="O59" s="194" t="s">
        <v>28</v>
      </c>
      <c r="Q59" s="193">
        <v>6</v>
      </c>
      <c r="R59" s="193">
        <v>16</v>
      </c>
      <c r="S59" s="193">
        <v>15</v>
      </c>
      <c r="T59" s="193">
        <v>8</v>
      </c>
      <c r="U59" s="193">
        <v>9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4" t="s">
        <v>13</v>
      </c>
      <c r="AD59" s="200">
        <v>43</v>
      </c>
      <c r="AE59" s="200">
        <v>22</v>
      </c>
      <c r="AF59" s="200">
        <v>0</v>
      </c>
      <c r="AG59" s="200">
        <v>31</v>
      </c>
      <c r="AH59" s="200">
        <v>36</v>
      </c>
      <c r="AI59" s="5"/>
      <c r="AJ59" s="134" t="s">
        <v>13</v>
      </c>
      <c r="AK59" s="200">
        <v>43</v>
      </c>
      <c r="AL59" s="200">
        <v>22</v>
      </c>
      <c r="AM59" s="200">
        <v>0</v>
      </c>
      <c r="AN59" s="200">
        <v>31</v>
      </c>
      <c r="AO59" s="200">
        <v>36</v>
      </c>
    </row>
    <row r="60" spans="10:41" ht="16.5" customHeight="1">
      <c r="J60" s="23">
        <v>56</v>
      </c>
      <c r="K60" s="194" t="s">
        <v>12</v>
      </c>
      <c r="L60" s="194" t="s">
        <v>13</v>
      </c>
      <c r="M60" s="194" t="s">
        <v>94</v>
      </c>
      <c r="N60" s="194" t="s">
        <v>95</v>
      </c>
      <c r="O60" s="194" t="s">
        <v>29</v>
      </c>
      <c r="Q60" s="193">
        <v>4</v>
      </c>
      <c r="R60" s="193">
        <v>5</v>
      </c>
      <c r="S60" s="193">
        <v>17</v>
      </c>
      <c r="T60" s="193">
        <v>6</v>
      </c>
      <c r="U60" s="193">
        <v>8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4" t="s">
        <v>95</v>
      </c>
      <c r="AD60" s="200">
        <v>42</v>
      </c>
      <c r="AE60" s="200">
        <v>22</v>
      </c>
      <c r="AF60" s="200">
        <v>0</v>
      </c>
      <c r="AG60" s="200">
        <v>27</v>
      </c>
      <c r="AH60" s="200">
        <v>34</v>
      </c>
      <c r="AI60" s="5"/>
      <c r="AJ60" s="134" t="s">
        <v>95</v>
      </c>
      <c r="AK60" s="200">
        <v>42</v>
      </c>
      <c r="AL60" s="200">
        <v>22</v>
      </c>
      <c r="AM60" s="200">
        <v>0</v>
      </c>
      <c r="AN60" s="200">
        <v>27</v>
      </c>
      <c r="AO60" s="200">
        <v>34</v>
      </c>
    </row>
    <row r="61" spans="10:41">
      <c r="J61" s="193">
        <v>57</v>
      </c>
      <c r="K61" s="194" t="s">
        <v>29</v>
      </c>
      <c r="L61" s="194" t="s">
        <v>95</v>
      </c>
      <c r="M61" s="194" t="s">
        <v>96</v>
      </c>
      <c r="N61" s="194" t="s">
        <v>15</v>
      </c>
      <c r="O61" s="194" t="s">
        <v>12</v>
      </c>
      <c r="Q61" s="193">
        <v>8</v>
      </c>
      <c r="R61" s="193">
        <v>6</v>
      </c>
      <c r="S61" s="193">
        <v>15</v>
      </c>
      <c r="T61" s="193">
        <v>2</v>
      </c>
      <c r="U61" s="193">
        <v>4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4" t="s">
        <v>31</v>
      </c>
      <c r="AD61" s="200">
        <v>43</v>
      </c>
      <c r="AE61" s="200">
        <v>27</v>
      </c>
      <c r="AF61" s="200">
        <v>0</v>
      </c>
      <c r="AG61" s="200">
        <v>31</v>
      </c>
      <c r="AH61" s="200">
        <v>35</v>
      </c>
      <c r="AI61" s="5"/>
      <c r="AJ61" s="134" t="s">
        <v>31</v>
      </c>
      <c r="AK61" s="200">
        <v>43</v>
      </c>
      <c r="AL61" s="200">
        <v>27</v>
      </c>
      <c r="AM61" s="200">
        <v>0</v>
      </c>
      <c r="AN61" s="200">
        <v>31</v>
      </c>
      <c r="AO61" s="200">
        <v>35</v>
      </c>
    </row>
    <row r="62" spans="10:41">
      <c r="J62" s="23">
        <v>58</v>
      </c>
      <c r="K62" s="194" t="s">
        <v>95</v>
      </c>
      <c r="L62" s="194" t="s">
        <v>81</v>
      </c>
      <c r="M62" s="194" t="s">
        <v>82</v>
      </c>
      <c r="N62" s="194" t="s">
        <v>81</v>
      </c>
      <c r="O62" s="194" t="s">
        <v>30</v>
      </c>
      <c r="Q62" s="193">
        <v>6</v>
      </c>
      <c r="R62" s="193">
        <v>14</v>
      </c>
      <c r="S62" s="193">
        <v>16</v>
      </c>
      <c r="T62" s="193">
        <v>14</v>
      </c>
      <c r="U62" s="193">
        <v>10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4" t="s">
        <v>29</v>
      </c>
      <c r="AD62" s="200">
        <v>43</v>
      </c>
      <c r="AE62" s="200">
        <v>24</v>
      </c>
      <c r="AF62" s="200">
        <v>0</v>
      </c>
      <c r="AG62" s="200">
        <v>32</v>
      </c>
      <c r="AH62" s="200">
        <v>34</v>
      </c>
      <c r="AI62" s="5"/>
      <c r="AJ62" s="134" t="s">
        <v>29</v>
      </c>
      <c r="AK62" s="200">
        <v>43</v>
      </c>
      <c r="AL62" s="200">
        <v>24</v>
      </c>
      <c r="AM62" s="200">
        <v>0</v>
      </c>
      <c r="AN62" s="200">
        <v>32</v>
      </c>
      <c r="AO62" s="200">
        <v>34</v>
      </c>
    </row>
    <row r="63" spans="10:41" ht="16.5" customHeight="1">
      <c r="J63" s="193">
        <v>59</v>
      </c>
      <c r="K63" s="194" t="s">
        <v>29</v>
      </c>
      <c r="L63" s="194" t="s">
        <v>15</v>
      </c>
      <c r="M63" s="194" t="s">
        <v>96</v>
      </c>
      <c r="N63" s="194" t="s">
        <v>29</v>
      </c>
      <c r="O63" s="194" t="s">
        <v>12</v>
      </c>
      <c r="Q63" s="193">
        <v>8</v>
      </c>
      <c r="R63" s="193">
        <v>2</v>
      </c>
      <c r="S63" s="193">
        <v>15</v>
      </c>
      <c r="T63" s="193">
        <v>8</v>
      </c>
      <c r="U63" s="193">
        <v>4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4" t="s">
        <v>28</v>
      </c>
      <c r="AD63" s="200">
        <v>7</v>
      </c>
      <c r="AE63" s="200">
        <v>12</v>
      </c>
      <c r="AF63" s="200">
        <v>0</v>
      </c>
      <c r="AG63" s="200">
        <v>6</v>
      </c>
      <c r="AH63" s="200">
        <v>13</v>
      </c>
      <c r="AI63" s="5"/>
      <c r="AJ63" s="134" t="s">
        <v>28</v>
      </c>
      <c r="AK63" s="200">
        <v>7</v>
      </c>
      <c r="AL63" s="200">
        <v>12</v>
      </c>
      <c r="AM63" s="200">
        <v>0</v>
      </c>
      <c r="AN63" s="200">
        <v>6</v>
      </c>
      <c r="AO63" s="200">
        <v>13</v>
      </c>
    </row>
    <row r="64" spans="10:41" ht="16.5" customHeight="1">
      <c r="J64" s="23">
        <v>60</v>
      </c>
      <c r="K64" s="194" t="s">
        <v>13</v>
      </c>
      <c r="L64" s="194" t="s">
        <v>79</v>
      </c>
      <c r="M64" s="194" t="s">
        <v>94</v>
      </c>
      <c r="N64" s="194" t="s">
        <v>95</v>
      </c>
      <c r="O64" s="194" t="s">
        <v>31</v>
      </c>
      <c r="Q64" s="193">
        <v>5</v>
      </c>
      <c r="R64" s="193">
        <v>12</v>
      </c>
      <c r="S64" s="193">
        <v>17</v>
      </c>
      <c r="T64" s="193">
        <v>6</v>
      </c>
      <c r="U64" s="193">
        <v>7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4" t="s">
        <v>30</v>
      </c>
      <c r="AD64" s="200">
        <v>7</v>
      </c>
      <c r="AE64" s="200">
        <v>8</v>
      </c>
      <c r="AF64" s="200">
        <v>0</v>
      </c>
      <c r="AG64" s="200">
        <v>7</v>
      </c>
      <c r="AH64" s="200">
        <v>14</v>
      </c>
      <c r="AI64" s="5"/>
      <c r="AJ64" s="134" t="s">
        <v>30</v>
      </c>
      <c r="AK64" s="200">
        <v>7</v>
      </c>
      <c r="AL64" s="200">
        <v>8</v>
      </c>
      <c r="AM64" s="200">
        <v>0</v>
      </c>
      <c r="AN64" s="200">
        <v>7</v>
      </c>
      <c r="AO64" s="200">
        <v>14</v>
      </c>
    </row>
    <row r="65" spans="10:41" ht="16.5" customHeight="1">
      <c r="J65" s="193">
        <v>61</v>
      </c>
      <c r="K65" s="194" t="s">
        <v>95</v>
      </c>
      <c r="L65" s="194" t="s">
        <v>95</v>
      </c>
      <c r="M65" s="194" t="s">
        <v>80</v>
      </c>
      <c r="N65" s="194" t="s">
        <v>13</v>
      </c>
      <c r="O65" s="194" t="s">
        <v>29</v>
      </c>
      <c r="Q65" s="193">
        <v>6</v>
      </c>
      <c r="R65" s="193">
        <v>6</v>
      </c>
      <c r="S65" s="193">
        <v>13</v>
      </c>
      <c r="T65" s="193">
        <v>5</v>
      </c>
      <c r="U65" s="193">
        <v>8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9" t="s">
        <v>78</v>
      </c>
      <c r="AD65" s="201">
        <v>0</v>
      </c>
      <c r="AE65" s="201">
        <v>3</v>
      </c>
      <c r="AF65" s="201">
        <v>3</v>
      </c>
      <c r="AG65" s="201">
        <v>2</v>
      </c>
      <c r="AH65" s="201">
        <v>0</v>
      </c>
      <c r="AI65" s="5"/>
      <c r="AJ65" s="199" t="s">
        <v>78</v>
      </c>
      <c r="AK65" s="201">
        <v>0</v>
      </c>
      <c r="AL65" s="201">
        <v>3</v>
      </c>
      <c r="AM65" s="201">
        <v>3</v>
      </c>
      <c r="AN65" s="201">
        <v>2</v>
      </c>
      <c r="AO65" s="201">
        <v>0</v>
      </c>
    </row>
    <row r="66" spans="10:41" ht="16.5" customHeight="1">
      <c r="J66" s="23">
        <v>62</v>
      </c>
      <c r="K66" s="194" t="s">
        <v>31</v>
      </c>
      <c r="L66" s="194" t="s">
        <v>85</v>
      </c>
      <c r="M66" s="194" t="s">
        <v>94</v>
      </c>
      <c r="N66" s="194" t="s">
        <v>95</v>
      </c>
      <c r="O66" s="194" t="s">
        <v>95</v>
      </c>
      <c r="Q66" s="193">
        <v>7</v>
      </c>
      <c r="R66" s="193">
        <v>18</v>
      </c>
      <c r="S66" s="193">
        <v>17</v>
      </c>
      <c r="T66" s="193">
        <v>6</v>
      </c>
      <c r="U66" s="193">
        <v>6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9" t="s">
        <v>79</v>
      </c>
      <c r="AD66" s="201">
        <v>0</v>
      </c>
      <c r="AE66" s="201">
        <v>4</v>
      </c>
      <c r="AF66" s="201">
        <v>1</v>
      </c>
      <c r="AG66" s="201">
        <v>2</v>
      </c>
      <c r="AH66" s="201">
        <v>0</v>
      </c>
      <c r="AI66" s="5"/>
      <c r="AJ66" s="199" t="s">
        <v>79</v>
      </c>
      <c r="AK66" s="201">
        <v>0</v>
      </c>
      <c r="AL66" s="201">
        <v>4</v>
      </c>
      <c r="AM66" s="201">
        <v>1</v>
      </c>
      <c r="AN66" s="201">
        <v>2</v>
      </c>
      <c r="AO66" s="201">
        <v>0</v>
      </c>
    </row>
    <row r="67" spans="10:41" ht="16.5" customHeight="1">
      <c r="J67" s="193">
        <v>63</v>
      </c>
      <c r="K67" s="194" t="s">
        <v>13</v>
      </c>
      <c r="L67" s="194" t="s">
        <v>12</v>
      </c>
      <c r="M67" s="194" t="s">
        <v>82</v>
      </c>
      <c r="N67" s="194" t="s">
        <v>29</v>
      </c>
      <c r="O67" s="194" t="s">
        <v>29</v>
      </c>
      <c r="Q67" s="193">
        <v>5</v>
      </c>
      <c r="R67" s="193">
        <v>4</v>
      </c>
      <c r="S67" s="193">
        <v>16</v>
      </c>
      <c r="T67" s="193">
        <v>8</v>
      </c>
      <c r="U67" s="193">
        <v>8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9" t="s">
        <v>80</v>
      </c>
      <c r="AD67" s="201">
        <v>0</v>
      </c>
      <c r="AE67" s="201">
        <v>4</v>
      </c>
      <c r="AF67" s="201">
        <v>8</v>
      </c>
      <c r="AG67" s="201">
        <v>3</v>
      </c>
      <c r="AH67" s="201">
        <v>0</v>
      </c>
      <c r="AI67" s="5"/>
      <c r="AJ67" s="199" t="s">
        <v>80</v>
      </c>
      <c r="AK67" s="201">
        <v>0</v>
      </c>
      <c r="AL67" s="201">
        <v>4</v>
      </c>
      <c r="AM67" s="201">
        <v>8</v>
      </c>
      <c r="AN67" s="201">
        <v>3</v>
      </c>
      <c r="AO67" s="201">
        <v>0</v>
      </c>
    </row>
    <row r="68" spans="10:41" ht="16.5" customHeight="1">
      <c r="J68" s="23">
        <v>64</v>
      </c>
      <c r="K68" s="194" t="s">
        <v>31</v>
      </c>
      <c r="L68" s="194" t="s">
        <v>31</v>
      </c>
      <c r="M68" s="194" t="s">
        <v>81</v>
      </c>
      <c r="N68" s="194" t="s">
        <v>13</v>
      </c>
      <c r="O68" s="194" t="s">
        <v>13</v>
      </c>
      <c r="Q68" s="193">
        <v>7</v>
      </c>
      <c r="R68" s="193">
        <v>7</v>
      </c>
      <c r="S68" s="193">
        <v>14</v>
      </c>
      <c r="T68" s="193">
        <v>5</v>
      </c>
      <c r="U68" s="193">
        <v>5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9" t="s">
        <v>81</v>
      </c>
      <c r="AD68" s="201">
        <v>0</v>
      </c>
      <c r="AE68" s="201">
        <v>9</v>
      </c>
      <c r="AF68" s="201">
        <v>43</v>
      </c>
      <c r="AG68" s="201">
        <v>12</v>
      </c>
      <c r="AH68" s="201">
        <v>0</v>
      </c>
      <c r="AI68" s="5"/>
      <c r="AJ68" s="199" t="s">
        <v>81</v>
      </c>
      <c r="AK68" s="201">
        <v>0</v>
      </c>
      <c r="AL68" s="201">
        <v>9</v>
      </c>
      <c r="AM68" s="201">
        <v>43</v>
      </c>
      <c r="AN68" s="201">
        <v>12</v>
      </c>
      <c r="AO68" s="201">
        <v>0</v>
      </c>
    </row>
    <row r="69" spans="10:41" ht="16.5" customHeight="1">
      <c r="J69" s="193">
        <v>65</v>
      </c>
      <c r="K69" s="194" t="s">
        <v>29</v>
      </c>
      <c r="L69" s="194" t="s">
        <v>12</v>
      </c>
      <c r="M69" s="194" t="s">
        <v>96</v>
      </c>
      <c r="N69" s="194" t="s">
        <v>95</v>
      </c>
      <c r="O69" s="194" t="s">
        <v>95</v>
      </c>
      <c r="Q69" s="193">
        <v>8</v>
      </c>
      <c r="R69" s="193">
        <v>4</v>
      </c>
      <c r="S69" s="193">
        <v>15</v>
      </c>
      <c r="T69" s="193">
        <v>6</v>
      </c>
      <c r="U69" s="193">
        <v>6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9" t="s">
        <v>96</v>
      </c>
      <c r="AD69" s="201">
        <v>0</v>
      </c>
      <c r="AE69" s="201">
        <v>9</v>
      </c>
      <c r="AF69" s="201">
        <v>42</v>
      </c>
      <c r="AG69" s="201">
        <v>13</v>
      </c>
      <c r="AH69" s="201">
        <v>0</v>
      </c>
      <c r="AI69" s="5"/>
      <c r="AJ69" s="199" t="s">
        <v>96</v>
      </c>
      <c r="AK69" s="201">
        <v>0</v>
      </c>
      <c r="AL69" s="201">
        <v>9</v>
      </c>
      <c r="AM69" s="201">
        <v>42</v>
      </c>
      <c r="AN69" s="201">
        <v>13</v>
      </c>
      <c r="AO69" s="201">
        <v>0</v>
      </c>
    </row>
    <row r="70" spans="10:41" ht="16.5" customHeight="1">
      <c r="J70" s="23">
        <v>66</v>
      </c>
      <c r="K70" s="194" t="s">
        <v>31</v>
      </c>
      <c r="L70" s="194" t="s">
        <v>94</v>
      </c>
      <c r="M70" s="194" t="s">
        <v>94</v>
      </c>
      <c r="N70" s="194" t="s">
        <v>14</v>
      </c>
      <c r="O70" s="194" t="s">
        <v>30</v>
      </c>
      <c r="Q70" s="193">
        <v>7</v>
      </c>
      <c r="R70" s="193">
        <v>17</v>
      </c>
      <c r="S70" s="193">
        <v>17</v>
      </c>
      <c r="T70" s="193">
        <v>1</v>
      </c>
      <c r="U70" s="193">
        <v>10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9" t="s">
        <v>82</v>
      </c>
      <c r="AD70" s="201">
        <v>0</v>
      </c>
      <c r="AE70" s="201">
        <v>11</v>
      </c>
      <c r="AF70" s="201">
        <v>42</v>
      </c>
      <c r="AG70" s="201">
        <v>11</v>
      </c>
      <c r="AH70" s="201">
        <v>0</v>
      </c>
      <c r="AI70" s="5"/>
      <c r="AJ70" s="199" t="s">
        <v>82</v>
      </c>
      <c r="AK70" s="201">
        <v>0</v>
      </c>
      <c r="AL70" s="201">
        <v>11</v>
      </c>
      <c r="AM70" s="201">
        <v>42</v>
      </c>
      <c r="AN70" s="201">
        <v>11</v>
      </c>
      <c r="AO70" s="201">
        <v>0</v>
      </c>
    </row>
    <row r="71" spans="10:41" ht="16.5" customHeight="1">
      <c r="J71" s="193">
        <v>67</v>
      </c>
      <c r="K71" s="194" t="s">
        <v>95</v>
      </c>
      <c r="L71" s="194" t="s">
        <v>13</v>
      </c>
      <c r="M71" s="194" t="s">
        <v>81</v>
      </c>
      <c r="N71" s="194" t="s">
        <v>13</v>
      </c>
      <c r="O71" s="194" t="s">
        <v>29</v>
      </c>
      <c r="Q71" s="193">
        <v>6</v>
      </c>
      <c r="R71" s="193">
        <v>5</v>
      </c>
      <c r="S71" s="193">
        <v>14</v>
      </c>
      <c r="T71" s="193">
        <v>5</v>
      </c>
      <c r="U71" s="193">
        <v>8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9" t="s">
        <v>94</v>
      </c>
      <c r="AD71" s="201">
        <v>0</v>
      </c>
      <c r="AE71" s="201">
        <v>10</v>
      </c>
      <c r="AF71" s="201">
        <v>44</v>
      </c>
      <c r="AG71" s="201">
        <v>11</v>
      </c>
      <c r="AH71" s="201">
        <v>0</v>
      </c>
      <c r="AI71" s="5"/>
      <c r="AJ71" s="199" t="s">
        <v>94</v>
      </c>
      <c r="AK71" s="201">
        <v>0</v>
      </c>
      <c r="AL71" s="201">
        <v>10</v>
      </c>
      <c r="AM71" s="201">
        <v>44</v>
      </c>
      <c r="AN71" s="201">
        <v>11</v>
      </c>
      <c r="AO71" s="201">
        <v>0</v>
      </c>
    </row>
    <row r="72" spans="10:41" ht="16.5" customHeight="1">
      <c r="J72" s="23">
        <v>68</v>
      </c>
      <c r="K72" s="194" t="s">
        <v>13</v>
      </c>
      <c r="L72" s="194" t="s">
        <v>28</v>
      </c>
      <c r="M72" s="194" t="s">
        <v>94</v>
      </c>
      <c r="N72" s="194" t="s">
        <v>95</v>
      </c>
      <c r="O72" s="194" t="s">
        <v>30</v>
      </c>
      <c r="Q72" s="193">
        <v>5</v>
      </c>
      <c r="R72" s="193">
        <v>9</v>
      </c>
      <c r="S72" s="193">
        <v>17</v>
      </c>
      <c r="T72" s="193">
        <v>6</v>
      </c>
      <c r="U72" s="193">
        <v>10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9" t="s">
        <v>85</v>
      </c>
      <c r="AD72" s="201">
        <v>0</v>
      </c>
      <c r="AE72" s="201">
        <v>4</v>
      </c>
      <c r="AF72" s="201">
        <v>6</v>
      </c>
      <c r="AG72" s="201">
        <v>2</v>
      </c>
      <c r="AH72" s="201">
        <v>0</v>
      </c>
      <c r="AI72" s="5"/>
      <c r="AJ72" s="199" t="s">
        <v>85</v>
      </c>
      <c r="AK72" s="201">
        <v>0</v>
      </c>
      <c r="AL72" s="201">
        <v>4</v>
      </c>
      <c r="AM72" s="201">
        <v>6</v>
      </c>
      <c r="AN72" s="201">
        <v>2</v>
      </c>
      <c r="AO72" s="201">
        <v>0</v>
      </c>
    </row>
    <row r="73" spans="10:41" ht="16.5" customHeight="1">
      <c r="J73" s="193">
        <v>69</v>
      </c>
      <c r="K73" s="194" t="s">
        <v>29</v>
      </c>
      <c r="L73" s="194" t="s">
        <v>13</v>
      </c>
      <c r="M73" s="194" t="s">
        <v>96</v>
      </c>
      <c r="N73" s="194" t="s">
        <v>29</v>
      </c>
      <c r="O73" s="194" t="s">
        <v>13</v>
      </c>
      <c r="Q73" s="193">
        <v>8</v>
      </c>
      <c r="R73" s="193">
        <v>5</v>
      </c>
      <c r="S73" s="193">
        <v>15</v>
      </c>
      <c r="T73" s="193">
        <v>8</v>
      </c>
      <c r="U73" s="193">
        <v>5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9" t="s">
        <v>87</v>
      </c>
      <c r="AD73" s="201">
        <v>0</v>
      </c>
      <c r="AE73" s="201">
        <v>3</v>
      </c>
      <c r="AF73" s="201">
        <v>9</v>
      </c>
      <c r="AG73" s="201">
        <v>3</v>
      </c>
      <c r="AH73" s="201">
        <v>0</v>
      </c>
      <c r="AI73" s="5"/>
      <c r="AJ73" s="199" t="s">
        <v>87</v>
      </c>
      <c r="AK73" s="201">
        <v>0</v>
      </c>
      <c r="AL73" s="201">
        <v>3</v>
      </c>
      <c r="AM73" s="201">
        <v>9</v>
      </c>
      <c r="AN73" s="201">
        <v>3</v>
      </c>
      <c r="AO73" s="201">
        <v>0</v>
      </c>
    </row>
    <row r="74" spans="10:41" ht="16.5" customHeight="1">
      <c r="J74" s="23">
        <v>70</v>
      </c>
      <c r="K74" s="194" t="s">
        <v>13</v>
      </c>
      <c r="L74" s="194" t="s">
        <v>95</v>
      </c>
      <c r="M74" s="194" t="s">
        <v>94</v>
      </c>
      <c r="N74" s="194" t="s">
        <v>95</v>
      </c>
      <c r="O74" s="194" t="s">
        <v>15</v>
      </c>
      <c r="Q74" s="193">
        <v>5</v>
      </c>
      <c r="R74" s="193">
        <v>6</v>
      </c>
      <c r="S74" s="193">
        <v>17</v>
      </c>
      <c r="T74" s="193">
        <v>6</v>
      </c>
      <c r="U74" s="193">
        <v>2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3">
        <v>199</v>
      </c>
      <c r="AE74" s="103">
        <v>208</v>
      </c>
      <c r="AF74" s="103">
        <v>198</v>
      </c>
      <c r="AG74" s="103">
        <v>207</v>
      </c>
      <c r="AH74" s="103">
        <v>198</v>
      </c>
      <c r="AI74" s="5"/>
      <c r="AK74" s="103">
        <v>199</v>
      </c>
      <c r="AL74" s="103">
        <v>208</v>
      </c>
      <c r="AM74" s="103">
        <v>198</v>
      </c>
      <c r="AN74" s="103">
        <v>207</v>
      </c>
      <c r="AO74" s="103">
        <v>198</v>
      </c>
    </row>
    <row r="75" spans="10:41" ht="16.5" customHeight="1">
      <c r="J75" s="193">
        <v>71</v>
      </c>
      <c r="K75" s="194" t="s">
        <v>29</v>
      </c>
      <c r="L75" s="194" t="s">
        <v>12</v>
      </c>
      <c r="M75" s="194" t="s">
        <v>80</v>
      </c>
      <c r="N75" s="194" t="s">
        <v>13</v>
      </c>
      <c r="O75" s="194" t="s">
        <v>16</v>
      </c>
      <c r="Q75" s="193">
        <v>8</v>
      </c>
      <c r="R75" s="193">
        <v>4</v>
      </c>
      <c r="S75" s="193">
        <v>13</v>
      </c>
      <c r="T75" s="193">
        <v>5</v>
      </c>
      <c r="U75" s="193">
        <v>3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4" t="s">
        <v>15</v>
      </c>
      <c r="L76" s="194" t="s">
        <v>94</v>
      </c>
      <c r="M76" s="194" t="s">
        <v>94</v>
      </c>
      <c r="N76" s="194" t="s">
        <v>29</v>
      </c>
      <c r="O76" s="194" t="s">
        <v>31</v>
      </c>
      <c r="Q76" s="193">
        <v>2</v>
      </c>
      <c r="R76" s="193">
        <v>17</v>
      </c>
      <c r="S76" s="193">
        <v>17</v>
      </c>
      <c r="T76" s="193">
        <v>8</v>
      </c>
      <c r="U76" s="193">
        <v>7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3">
        <v>73</v>
      </c>
      <c r="K77" s="194" t="s">
        <v>28</v>
      </c>
      <c r="L77" s="194" t="s">
        <v>12</v>
      </c>
      <c r="M77" s="194" t="s">
        <v>78</v>
      </c>
      <c r="N77" s="194" t="s">
        <v>95</v>
      </c>
      <c r="O77" s="194" t="s">
        <v>14</v>
      </c>
      <c r="Q77" s="193">
        <v>9</v>
      </c>
      <c r="R77" s="193">
        <v>4</v>
      </c>
      <c r="S77" s="193">
        <v>11</v>
      </c>
      <c r="T77" s="193">
        <v>6</v>
      </c>
      <c r="U77" s="193">
        <v>1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4" t="s">
        <v>95</v>
      </c>
      <c r="L78" s="194" t="s">
        <v>15</v>
      </c>
      <c r="M78" s="194" t="s">
        <v>81</v>
      </c>
      <c r="N78" s="194" t="s">
        <v>31</v>
      </c>
      <c r="O78" s="194" t="s">
        <v>28</v>
      </c>
      <c r="Q78" s="193">
        <v>6</v>
      </c>
      <c r="R78" s="193">
        <v>2</v>
      </c>
      <c r="S78" s="193">
        <v>14</v>
      </c>
      <c r="T78" s="193">
        <v>7</v>
      </c>
      <c r="U78" s="193">
        <v>9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3">
        <v>75</v>
      </c>
      <c r="K79" s="194" t="s">
        <v>29</v>
      </c>
      <c r="L79" s="194" t="s">
        <v>13</v>
      </c>
      <c r="M79" s="194" t="s">
        <v>82</v>
      </c>
      <c r="N79" s="194" t="s">
        <v>29</v>
      </c>
      <c r="O79" s="194" t="s">
        <v>95</v>
      </c>
      <c r="Q79" s="193">
        <v>8</v>
      </c>
      <c r="R79" s="193">
        <v>5</v>
      </c>
      <c r="S79" s="193">
        <v>16</v>
      </c>
      <c r="T79" s="193">
        <v>8</v>
      </c>
      <c r="U79" s="193">
        <v>6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4" t="s">
        <v>31</v>
      </c>
      <c r="L80" s="194" t="s">
        <v>95</v>
      </c>
      <c r="M80" s="194" t="s">
        <v>80</v>
      </c>
      <c r="N80" s="194" t="s">
        <v>13</v>
      </c>
      <c r="O80" s="194" t="s">
        <v>13</v>
      </c>
      <c r="Q80" s="193">
        <v>7</v>
      </c>
      <c r="R80" s="193">
        <v>6</v>
      </c>
      <c r="S80" s="193">
        <v>13</v>
      </c>
      <c r="T80" s="193">
        <v>5</v>
      </c>
      <c r="U80" s="193">
        <v>5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>
      <c r="J81" s="193">
        <v>77</v>
      </c>
      <c r="K81" s="194" t="s">
        <v>95</v>
      </c>
      <c r="L81" s="194" t="s">
        <v>31</v>
      </c>
      <c r="M81" s="194" t="s">
        <v>81</v>
      </c>
      <c r="N81" s="194" t="s">
        <v>12</v>
      </c>
      <c r="O81" s="194" t="s">
        <v>31</v>
      </c>
      <c r="Q81" s="193">
        <v>6</v>
      </c>
      <c r="R81" s="193">
        <v>7</v>
      </c>
      <c r="S81" s="193">
        <v>14</v>
      </c>
      <c r="T81" s="193">
        <v>4</v>
      </c>
      <c r="U81" s="193">
        <v>7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4" t="s">
        <v>31</v>
      </c>
      <c r="L82" s="194" t="s">
        <v>85</v>
      </c>
      <c r="M82" s="194" t="s">
        <v>82</v>
      </c>
      <c r="N82" s="194" t="s">
        <v>13</v>
      </c>
      <c r="O82" s="194" t="s">
        <v>29</v>
      </c>
      <c r="Q82" s="193">
        <v>7</v>
      </c>
      <c r="R82" s="193">
        <v>18</v>
      </c>
      <c r="S82" s="193">
        <v>16</v>
      </c>
      <c r="T82" s="193">
        <v>5</v>
      </c>
      <c r="U82" s="193">
        <v>8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>
      <c r="J83" s="193">
        <v>79</v>
      </c>
      <c r="K83" s="194" t="s">
        <v>95</v>
      </c>
      <c r="L83" s="194" t="s">
        <v>13</v>
      </c>
      <c r="M83" s="194" t="s">
        <v>81</v>
      </c>
      <c r="N83" s="194" t="s">
        <v>29</v>
      </c>
      <c r="O83" s="194" t="s">
        <v>15</v>
      </c>
      <c r="Q83" s="193">
        <v>6</v>
      </c>
      <c r="R83" s="193">
        <v>5</v>
      </c>
      <c r="S83" s="193">
        <v>14</v>
      </c>
      <c r="T83" s="193">
        <v>8</v>
      </c>
      <c r="U83" s="193">
        <v>2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4" t="s">
        <v>29</v>
      </c>
      <c r="L84" s="194" t="s">
        <v>28</v>
      </c>
      <c r="M84" s="194" t="s">
        <v>94</v>
      </c>
      <c r="N84" s="194" t="s">
        <v>13</v>
      </c>
      <c r="O84" s="194" t="s">
        <v>29</v>
      </c>
      <c r="Q84" s="193">
        <v>8</v>
      </c>
      <c r="R84" s="193">
        <v>9</v>
      </c>
      <c r="S84" s="193">
        <v>17</v>
      </c>
      <c r="T84" s="193">
        <v>5</v>
      </c>
      <c r="U84" s="193">
        <v>8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>
      <c r="J85" s="193">
        <v>81</v>
      </c>
      <c r="K85" s="194" t="s">
        <v>13</v>
      </c>
      <c r="L85" s="194" t="s">
        <v>95</v>
      </c>
      <c r="M85" s="194" t="s">
        <v>96</v>
      </c>
      <c r="N85" s="194" t="s">
        <v>29</v>
      </c>
      <c r="O85" s="194" t="s">
        <v>12</v>
      </c>
      <c r="Q85" s="193">
        <v>5</v>
      </c>
      <c r="R85" s="193">
        <v>6</v>
      </c>
      <c r="S85" s="193">
        <v>15</v>
      </c>
      <c r="T85" s="193">
        <v>8</v>
      </c>
      <c r="U85" s="193">
        <v>4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4" t="s">
        <v>29</v>
      </c>
      <c r="L86" s="194" t="s">
        <v>31</v>
      </c>
      <c r="M86" s="194" t="s">
        <v>81</v>
      </c>
      <c r="N86" s="194" t="s">
        <v>13</v>
      </c>
      <c r="O86" s="194" t="s">
        <v>13</v>
      </c>
      <c r="Q86" s="193">
        <v>8</v>
      </c>
      <c r="R86" s="193">
        <v>7</v>
      </c>
      <c r="S86" s="193">
        <v>14</v>
      </c>
      <c r="T86" s="193">
        <v>5</v>
      </c>
      <c r="U86" s="193">
        <v>5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3">
        <v>83</v>
      </c>
      <c r="K87" s="194" t="s">
        <v>95</v>
      </c>
      <c r="L87" s="194" t="s">
        <v>96</v>
      </c>
      <c r="M87" s="194" t="s">
        <v>96</v>
      </c>
      <c r="N87" s="194" t="s">
        <v>96</v>
      </c>
      <c r="O87" s="194" t="s">
        <v>31</v>
      </c>
      <c r="Q87" s="193">
        <v>6</v>
      </c>
      <c r="R87" s="193">
        <v>15</v>
      </c>
      <c r="S87" s="193">
        <v>15</v>
      </c>
      <c r="T87" s="193">
        <v>15</v>
      </c>
      <c r="U87" s="193">
        <v>7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4" t="s">
        <v>13</v>
      </c>
      <c r="L88" s="194" t="s">
        <v>31</v>
      </c>
      <c r="M88" s="194" t="s">
        <v>94</v>
      </c>
      <c r="N88" s="194" t="s">
        <v>29</v>
      </c>
      <c r="O88" s="194" t="s">
        <v>13</v>
      </c>
      <c r="Q88" s="193">
        <v>5</v>
      </c>
      <c r="R88" s="193">
        <v>7</v>
      </c>
      <c r="S88" s="193">
        <v>17</v>
      </c>
      <c r="T88" s="193">
        <v>8</v>
      </c>
      <c r="U88" s="193">
        <v>5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>
      <c r="J89" s="193">
        <v>85</v>
      </c>
      <c r="K89" s="194" t="s">
        <v>12</v>
      </c>
      <c r="L89" s="194" t="s">
        <v>12</v>
      </c>
      <c r="M89" s="194" t="s">
        <v>81</v>
      </c>
      <c r="N89" s="194" t="s">
        <v>13</v>
      </c>
      <c r="O89" s="194" t="s">
        <v>29</v>
      </c>
      <c r="Q89" s="193">
        <v>4</v>
      </c>
      <c r="R89" s="193">
        <v>4</v>
      </c>
      <c r="S89" s="193">
        <v>14</v>
      </c>
      <c r="T89" s="193">
        <v>5</v>
      </c>
      <c r="U89" s="193">
        <v>8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4" t="s">
        <v>13</v>
      </c>
      <c r="L90" s="194" t="s">
        <v>29</v>
      </c>
      <c r="M90" s="194" t="s">
        <v>96</v>
      </c>
      <c r="N90" s="194" t="s">
        <v>31</v>
      </c>
      <c r="O90" s="194" t="s">
        <v>30</v>
      </c>
      <c r="Q90" s="193">
        <v>5</v>
      </c>
      <c r="R90" s="193">
        <v>8</v>
      </c>
      <c r="S90" s="193">
        <v>15</v>
      </c>
      <c r="T90" s="193">
        <v>7</v>
      </c>
      <c r="U90" s="193">
        <v>10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3">
        <v>87</v>
      </c>
      <c r="K91" s="194" t="s">
        <v>95</v>
      </c>
      <c r="L91" s="194" t="s">
        <v>95</v>
      </c>
      <c r="M91" s="194" t="s">
        <v>81</v>
      </c>
      <c r="N91" s="194" t="s">
        <v>95</v>
      </c>
      <c r="O91" s="194" t="s">
        <v>29</v>
      </c>
      <c r="Q91" s="193">
        <v>6</v>
      </c>
      <c r="R91" s="193">
        <v>6</v>
      </c>
      <c r="S91" s="193">
        <v>14</v>
      </c>
      <c r="T91" s="193">
        <v>6</v>
      </c>
      <c r="U91" s="193">
        <v>8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4" t="s">
        <v>13</v>
      </c>
      <c r="L92" s="194" t="s">
        <v>81</v>
      </c>
      <c r="M92" s="194" t="s">
        <v>79</v>
      </c>
      <c r="N92" s="194" t="s">
        <v>82</v>
      </c>
      <c r="O92" s="194" t="s">
        <v>13</v>
      </c>
      <c r="Q92" s="193">
        <v>5</v>
      </c>
      <c r="R92" s="193">
        <v>14</v>
      </c>
      <c r="S92" s="193">
        <v>12</v>
      </c>
      <c r="T92" s="193">
        <v>16</v>
      </c>
      <c r="U92" s="193">
        <v>5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>
      <c r="J93" s="193">
        <v>89</v>
      </c>
      <c r="K93" s="194" t="s">
        <v>29</v>
      </c>
      <c r="L93" s="194" t="s">
        <v>31</v>
      </c>
      <c r="M93" s="194" t="s">
        <v>82</v>
      </c>
      <c r="N93" s="194" t="s">
        <v>14</v>
      </c>
      <c r="O93" s="194" t="s">
        <v>95</v>
      </c>
      <c r="Q93" s="193">
        <v>8</v>
      </c>
      <c r="R93" s="193">
        <v>7</v>
      </c>
      <c r="S93" s="193">
        <v>16</v>
      </c>
      <c r="T93" s="193">
        <v>1</v>
      </c>
      <c r="U93" s="193">
        <v>6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4" t="s">
        <v>95</v>
      </c>
      <c r="L94" s="194" t="s">
        <v>29</v>
      </c>
      <c r="M94" s="194" t="s">
        <v>94</v>
      </c>
      <c r="N94" s="194" t="s">
        <v>95</v>
      </c>
      <c r="O94" s="194" t="s">
        <v>29</v>
      </c>
      <c r="Q94" s="193">
        <v>6</v>
      </c>
      <c r="R94" s="193">
        <v>8</v>
      </c>
      <c r="S94" s="193">
        <v>17</v>
      </c>
      <c r="T94" s="193">
        <v>6</v>
      </c>
      <c r="U94" s="193">
        <v>8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>
      <c r="J95" s="193">
        <v>91</v>
      </c>
      <c r="K95" s="194" t="s">
        <v>31</v>
      </c>
      <c r="L95" s="194" t="s">
        <v>30</v>
      </c>
      <c r="M95" s="194" t="s">
        <v>82</v>
      </c>
      <c r="N95" s="194" t="s">
        <v>13</v>
      </c>
      <c r="O95" s="194" t="s">
        <v>30</v>
      </c>
      <c r="Q95" s="193">
        <v>7</v>
      </c>
      <c r="R95" s="193">
        <v>10</v>
      </c>
      <c r="S95" s="193">
        <v>16</v>
      </c>
      <c r="T95" s="193">
        <v>5</v>
      </c>
      <c r="U95" s="193">
        <v>10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4" t="s">
        <v>95</v>
      </c>
      <c r="L96" s="194" t="s">
        <v>95</v>
      </c>
      <c r="M96" s="194" t="s">
        <v>94</v>
      </c>
      <c r="N96" s="194" t="s">
        <v>30</v>
      </c>
      <c r="O96" s="194" t="s">
        <v>13</v>
      </c>
      <c r="Q96" s="193">
        <v>6</v>
      </c>
      <c r="R96" s="193">
        <v>6</v>
      </c>
      <c r="S96" s="193">
        <v>17</v>
      </c>
      <c r="T96" s="193">
        <v>10</v>
      </c>
      <c r="U96" s="193">
        <v>5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>
      <c r="J97" s="193">
        <v>93</v>
      </c>
      <c r="K97" s="194" t="s">
        <v>31</v>
      </c>
      <c r="L97" s="194" t="s">
        <v>28</v>
      </c>
      <c r="M97" s="194" t="s">
        <v>81</v>
      </c>
      <c r="N97" s="194" t="s">
        <v>31</v>
      </c>
      <c r="O97" s="194" t="s">
        <v>31</v>
      </c>
      <c r="Q97" s="193">
        <v>7</v>
      </c>
      <c r="R97" s="193">
        <v>9</v>
      </c>
      <c r="S97" s="193">
        <v>14</v>
      </c>
      <c r="T97" s="193">
        <v>7</v>
      </c>
      <c r="U97" s="193">
        <v>7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4" t="s">
        <v>29</v>
      </c>
      <c r="L98" s="194" t="s">
        <v>85</v>
      </c>
      <c r="M98" s="194" t="s">
        <v>82</v>
      </c>
      <c r="N98" s="194" t="s">
        <v>29</v>
      </c>
      <c r="O98" s="194" t="s">
        <v>13</v>
      </c>
      <c r="Q98" s="193">
        <v>8</v>
      </c>
      <c r="R98" s="193">
        <v>18</v>
      </c>
      <c r="S98" s="193">
        <v>16</v>
      </c>
      <c r="T98" s="193">
        <v>8</v>
      </c>
      <c r="U98" s="193">
        <v>5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>
      <c r="J99" s="193">
        <v>95</v>
      </c>
      <c r="K99" s="194" t="s">
        <v>31</v>
      </c>
      <c r="L99" s="194" t="s">
        <v>15</v>
      </c>
      <c r="M99" s="194" t="s">
        <v>94</v>
      </c>
      <c r="N99" s="194" t="s">
        <v>81</v>
      </c>
      <c r="O99" s="194" t="s">
        <v>95</v>
      </c>
      <c r="Q99" s="193">
        <v>7</v>
      </c>
      <c r="R99" s="193">
        <v>2</v>
      </c>
      <c r="S99" s="193">
        <v>17</v>
      </c>
      <c r="T99" s="193">
        <v>14</v>
      </c>
      <c r="U99" s="193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4" t="s">
        <v>13</v>
      </c>
      <c r="L100" s="194" t="s">
        <v>30</v>
      </c>
      <c r="M100" s="194" t="s">
        <v>96</v>
      </c>
      <c r="N100" s="194" t="s">
        <v>87</v>
      </c>
      <c r="O100" s="194" t="s">
        <v>12</v>
      </c>
      <c r="Q100" s="193">
        <v>5</v>
      </c>
      <c r="R100" s="193">
        <v>10</v>
      </c>
      <c r="S100" s="193">
        <v>15</v>
      </c>
      <c r="T100" s="193">
        <v>19</v>
      </c>
      <c r="U100" s="193">
        <v>4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>
      <c r="J101" s="193">
        <v>97</v>
      </c>
      <c r="K101" s="194" t="s">
        <v>95</v>
      </c>
      <c r="L101" s="194" t="s">
        <v>28</v>
      </c>
      <c r="M101" s="194" t="s">
        <v>94</v>
      </c>
      <c r="N101" s="194" t="s">
        <v>31</v>
      </c>
      <c r="O101" s="194" t="s">
        <v>95</v>
      </c>
      <c r="Q101" s="193">
        <v>6</v>
      </c>
      <c r="R101" s="193">
        <v>9</v>
      </c>
      <c r="S101" s="193">
        <v>17</v>
      </c>
      <c r="T101" s="193">
        <v>7</v>
      </c>
      <c r="U101" s="193">
        <v>6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4" t="s">
        <v>29</v>
      </c>
      <c r="L102" s="194" t="s">
        <v>31</v>
      </c>
      <c r="M102" s="194" t="s">
        <v>96</v>
      </c>
      <c r="N102" s="194" t="s">
        <v>87</v>
      </c>
      <c r="O102" s="194" t="s">
        <v>29</v>
      </c>
      <c r="Q102" s="193">
        <v>8</v>
      </c>
      <c r="R102" s="193">
        <v>7</v>
      </c>
      <c r="S102" s="193">
        <v>15</v>
      </c>
      <c r="T102" s="193">
        <v>19</v>
      </c>
      <c r="U102" s="193">
        <v>8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>
      <c r="J103" s="193">
        <v>99</v>
      </c>
      <c r="K103" s="194" t="s">
        <v>31</v>
      </c>
      <c r="L103" s="194" t="s">
        <v>80</v>
      </c>
      <c r="M103" s="194" t="s">
        <v>94</v>
      </c>
      <c r="N103" s="194" t="s">
        <v>29</v>
      </c>
      <c r="O103" s="194" t="s">
        <v>12</v>
      </c>
      <c r="Q103" s="193">
        <v>7</v>
      </c>
      <c r="R103" s="193">
        <v>13</v>
      </c>
      <c r="S103" s="193">
        <v>17</v>
      </c>
      <c r="T103" s="193">
        <v>8</v>
      </c>
      <c r="U103" s="193">
        <v>4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4" t="s">
        <v>13</v>
      </c>
      <c r="L104" s="194" t="s">
        <v>82</v>
      </c>
      <c r="M104" s="194" t="s">
        <v>81</v>
      </c>
      <c r="N104" s="194" t="s">
        <v>81</v>
      </c>
      <c r="O104" s="194" t="s">
        <v>95</v>
      </c>
      <c r="Q104" s="193">
        <v>5</v>
      </c>
      <c r="R104" s="193">
        <v>16</v>
      </c>
      <c r="S104" s="193">
        <v>14</v>
      </c>
      <c r="T104" s="193">
        <v>14</v>
      </c>
      <c r="U104" s="193">
        <v>6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4" t="s">
        <v>30</v>
      </c>
      <c r="L105" s="194" t="s">
        <v>30</v>
      </c>
      <c r="M105" s="194" t="s">
        <v>96</v>
      </c>
      <c r="N105" s="194" t="s">
        <v>95</v>
      </c>
      <c r="O105" s="194" t="s">
        <v>15</v>
      </c>
      <c r="Q105" s="193">
        <v>10</v>
      </c>
      <c r="R105" s="193">
        <v>10</v>
      </c>
      <c r="S105" s="193">
        <v>15</v>
      </c>
      <c r="T105" s="193">
        <v>6</v>
      </c>
      <c r="U105" s="193">
        <v>2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>
      <c r="J106" s="193">
        <v>102</v>
      </c>
      <c r="K106" s="194" t="s">
        <v>95</v>
      </c>
      <c r="L106" s="194" t="s">
        <v>31</v>
      </c>
      <c r="M106" s="194" t="s">
        <v>85</v>
      </c>
      <c r="N106" s="194" t="s">
        <v>12</v>
      </c>
      <c r="O106" s="194" t="s">
        <v>12</v>
      </c>
      <c r="Q106" s="193">
        <v>6</v>
      </c>
      <c r="R106" s="193">
        <v>7</v>
      </c>
      <c r="S106" s="193">
        <v>18</v>
      </c>
      <c r="T106" s="193">
        <v>4</v>
      </c>
      <c r="U106" s="193">
        <v>4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4" t="s">
        <v>13</v>
      </c>
      <c r="L107" s="194" t="s">
        <v>82</v>
      </c>
      <c r="M107" s="194" t="s">
        <v>94</v>
      </c>
      <c r="N107" s="194" t="s">
        <v>96</v>
      </c>
      <c r="O107" s="194" t="s">
        <v>95</v>
      </c>
      <c r="Q107" s="193">
        <v>5</v>
      </c>
      <c r="R107" s="193">
        <v>16</v>
      </c>
      <c r="S107" s="193">
        <v>17</v>
      </c>
      <c r="T107" s="193">
        <v>15</v>
      </c>
      <c r="U107" s="193">
        <v>6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>
      <c r="J108" s="193">
        <v>104</v>
      </c>
      <c r="K108" s="194" t="s">
        <v>31</v>
      </c>
      <c r="L108" s="194" t="s">
        <v>31</v>
      </c>
      <c r="M108" s="194" t="s">
        <v>96</v>
      </c>
      <c r="N108" s="194" t="s">
        <v>13</v>
      </c>
      <c r="O108" s="194" t="s">
        <v>31</v>
      </c>
      <c r="Q108" s="193">
        <v>7</v>
      </c>
      <c r="R108" s="193">
        <v>7</v>
      </c>
      <c r="S108" s="193">
        <v>15</v>
      </c>
      <c r="T108" s="193">
        <v>5</v>
      </c>
      <c r="U108" s="193">
        <v>7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4" t="s">
        <v>13</v>
      </c>
      <c r="L109" s="194" t="s">
        <v>82</v>
      </c>
      <c r="M109" s="194" t="s">
        <v>94</v>
      </c>
      <c r="N109" s="194" t="s">
        <v>29</v>
      </c>
      <c r="O109" s="194" t="s">
        <v>28</v>
      </c>
      <c r="Q109" s="193">
        <v>5</v>
      </c>
      <c r="R109" s="193">
        <v>16</v>
      </c>
      <c r="S109" s="193">
        <v>17</v>
      </c>
      <c r="T109" s="193">
        <v>8</v>
      </c>
      <c r="U109" s="193">
        <v>9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3">
        <v>106</v>
      </c>
      <c r="K110" s="194" t="s">
        <v>31</v>
      </c>
      <c r="L110" s="194" t="s">
        <v>87</v>
      </c>
      <c r="M110" s="194" t="s">
        <v>81</v>
      </c>
      <c r="N110" s="194" t="s">
        <v>13</v>
      </c>
      <c r="O110" s="194" t="s">
        <v>31</v>
      </c>
      <c r="Q110" s="193">
        <v>7</v>
      </c>
      <c r="R110" s="193">
        <v>19</v>
      </c>
      <c r="S110" s="193">
        <v>14</v>
      </c>
      <c r="T110" s="193">
        <v>5</v>
      </c>
      <c r="U110" s="193">
        <v>7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4" t="s">
        <v>29</v>
      </c>
      <c r="L111" s="194" t="s">
        <v>16</v>
      </c>
      <c r="M111" s="194" t="s">
        <v>82</v>
      </c>
      <c r="N111" s="194" t="s">
        <v>31</v>
      </c>
      <c r="O111" s="194" t="s">
        <v>15</v>
      </c>
      <c r="Q111" s="193">
        <v>8</v>
      </c>
      <c r="R111" s="193">
        <v>3</v>
      </c>
      <c r="S111" s="193">
        <v>16</v>
      </c>
      <c r="T111" s="193">
        <v>7</v>
      </c>
      <c r="U111" s="193">
        <v>2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3">
        <v>108</v>
      </c>
      <c r="K112" s="194" t="s">
        <v>13</v>
      </c>
      <c r="L112" s="194" t="s">
        <v>78</v>
      </c>
      <c r="M112" s="194" t="s">
        <v>96</v>
      </c>
      <c r="N112" s="194" t="s">
        <v>95</v>
      </c>
      <c r="O112" s="194" t="s">
        <v>31</v>
      </c>
      <c r="Q112" s="193">
        <v>5</v>
      </c>
      <c r="R112" s="193">
        <v>11</v>
      </c>
      <c r="S112" s="193">
        <v>15</v>
      </c>
      <c r="T112" s="193">
        <v>6</v>
      </c>
      <c r="U112" s="193">
        <v>7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4" t="s">
        <v>95</v>
      </c>
      <c r="L113" s="194" t="s">
        <v>12</v>
      </c>
      <c r="M113" s="194" t="s">
        <v>87</v>
      </c>
      <c r="N113" s="194" t="s">
        <v>28</v>
      </c>
      <c r="O113" s="194" t="s">
        <v>13</v>
      </c>
      <c r="Q113" s="193">
        <v>6</v>
      </c>
      <c r="R113" s="193">
        <v>4</v>
      </c>
      <c r="S113" s="193">
        <v>19</v>
      </c>
      <c r="T113" s="193">
        <v>9</v>
      </c>
      <c r="U113" s="193">
        <v>5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>
      <c r="J114" s="193">
        <v>110</v>
      </c>
      <c r="K114" s="194" t="s">
        <v>13</v>
      </c>
      <c r="L114" s="194" t="s">
        <v>31</v>
      </c>
      <c r="M114" s="194" t="s">
        <v>82</v>
      </c>
      <c r="N114" s="194" t="s">
        <v>13</v>
      </c>
      <c r="O114" s="194" t="s">
        <v>95</v>
      </c>
      <c r="Q114" s="193">
        <v>5</v>
      </c>
      <c r="R114" s="193">
        <v>7</v>
      </c>
      <c r="S114" s="193">
        <v>16</v>
      </c>
      <c r="T114" s="193">
        <v>5</v>
      </c>
      <c r="U114" s="193">
        <v>6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4" t="s">
        <v>14</v>
      </c>
      <c r="L115" s="194" t="s">
        <v>12</v>
      </c>
      <c r="M115" s="194" t="s">
        <v>96</v>
      </c>
      <c r="N115" s="194" t="s">
        <v>31</v>
      </c>
      <c r="O115" s="194" t="s">
        <v>29</v>
      </c>
      <c r="Q115" s="193">
        <v>1</v>
      </c>
      <c r="R115" s="193">
        <v>4</v>
      </c>
      <c r="S115" s="193">
        <v>15</v>
      </c>
      <c r="T115" s="193">
        <v>7</v>
      </c>
      <c r="U115" s="193">
        <v>8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>
      <c r="J116" s="193">
        <v>112</v>
      </c>
      <c r="K116" s="194" t="s">
        <v>95</v>
      </c>
      <c r="L116" s="194" t="s">
        <v>82</v>
      </c>
      <c r="M116" s="194" t="s">
        <v>79</v>
      </c>
      <c r="N116" s="194" t="s">
        <v>13</v>
      </c>
      <c r="O116" s="194" t="s">
        <v>31</v>
      </c>
      <c r="Q116" s="193">
        <v>6</v>
      </c>
      <c r="R116" s="193">
        <v>16</v>
      </c>
      <c r="S116" s="193">
        <v>12</v>
      </c>
      <c r="T116" s="193">
        <v>5</v>
      </c>
      <c r="U116" s="193">
        <v>7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4" t="s">
        <v>28</v>
      </c>
      <c r="L117" s="194" t="s">
        <v>16</v>
      </c>
      <c r="M117" s="194" t="s">
        <v>81</v>
      </c>
      <c r="N117" s="194" t="s">
        <v>29</v>
      </c>
      <c r="O117" s="194" t="s">
        <v>95</v>
      </c>
      <c r="Q117" s="193">
        <v>9</v>
      </c>
      <c r="R117" s="193">
        <v>3</v>
      </c>
      <c r="S117" s="193">
        <v>14</v>
      </c>
      <c r="T117" s="193">
        <v>8</v>
      </c>
      <c r="U117" s="193">
        <v>6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>
      <c r="J118" s="193">
        <v>114</v>
      </c>
      <c r="K118" s="194" t="s">
        <v>29</v>
      </c>
      <c r="L118" s="194" t="s">
        <v>13</v>
      </c>
      <c r="M118" s="194" t="s">
        <v>82</v>
      </c>
      <c r="N118" s="194" t="s">
        <v>12</v>
      </c>
      <c r="O118" s="194" t="s">
        <v>13</v>
      </c>
      <c r="Q118" s="193">
        <v>8</v>
      </c>
      <c r="R118" s="193">
        <v>5</v>
      </c>
      <c r="S118" s="193">
        <v>16</v>
      </c>
      <c r="T118" s="193">
        <v>4</v>
      </c>
      <c r="U118" s="193">
        <v>5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4" t="s">
        <v>31</v>
      </c>
      <c r="L119" s="194" t="s">
        <v>16</v>
      </c>
      <c r="M119" s="194" t="s">
        <v>81</v>
      </c>
      <c r="N119" s="194" t="s">
        <v>31</v>
      </c>
      <c r="O119" s="194" t="s">
        <v>95</v>
      </c>
      <c r="Q119" s="193">
        <v>7</v>
      </c>
      <c r="R119" s="193">
        <v>3</v>
      </c>
      <c r="S119" s="193">
        <v>14</v>
      </c>
      <c r="T119" s="193">
        <v>7</v>
      </c>
      <c r="U119" s="193">
        <v>6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>
      <c r="J120" s="193">
        <v>116</v>
      </c>
      <c r="K120" s="194" t="s">
        <v>30</v>
      </c>
      <c r="L120" s="194" t="s">
        <v>82</v>
      </c>
      <c r="M120" s="194" t="s">
        <v>96</v>
      </c>
      <c r="N120" s="194" t="s">
        <v>16</v>
      </c>
      <c r="O120" s="194" t="s">
        <v>29</v>
      </c>
      <c r="Q120" s="193">
        <v>10</v>
      </c>
      <c r="R120" s="193">
        <v>16</v>
      </c>
      <c r="S120" s="193">
        <v>15</v>
      </c>
      <c r="T120" s="193">
        <v>3</v>
      </c>
      <c r="U120" s="193">
        <v>8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4" t="s">
        <v>31</v>
      </c>
      <c r="L121" s="194" t="s">
        <v>12</v>
      </c>
      <c r="M121" s="194" t="s">
        <v>82</v>
      </c>
      <c r="N121" s="194" t="s">
        <v>31</v>
      </c>
      <c r="O121" s="194" t="s">
        <v>95</v>
      </c>
      <c r="Q121" s="193">
        <v>7</v>
      </c>
      <c r="R121" s="193">
        <v>4</v>
      </c>
      <c r="S121" s="193">
        <v>16</v>
      </c>
      <c r="T121" s="193">
        <v>7</v>
      </c>
      <c r="U121" s="193">
        <v>6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3">
        <v>118</v>
      </c>
      <c r="K122" s="194" t="s">
        <v>28</v>
      </c>
      <c r="L122" s="194" t="s">
        <v>96</v>
      </c>
      <c r="M122" s="194" t="s">
        <v>94</v>
      </c>
      <c r="N122" s="194" t="s">
        <v>95</v>
      </c>
      <c r="O122" s="194" t="s">
        <v>16</v>
      </c>
      <c r="Q122" s="193">
        <v>9</v>
      </c>
      <c r="R122" s="193">
        <v>15</v>
      </c>
      <c r="S122" s="193">
        <v>17</v>
      </c>
      <c r="T122" s="193">
        <v>6</v>
      </c>
      <c r="U122" s="193">
        <v>3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4" t="s">
        <v>95</v>
      </c>
      <c r="L123" s="194" t="s">
        <v>95</v>
      </c>
      <c r="M123" s="194" t="s">
        <v>82</v>
      </c>
      <c r="N123" s="194" t="s">
        <v>13</v>
      </c>
      <c r="O123" s="194" t="s">
        <v>13</v>
      </c>
      <c r="Q123" s="193">
        <v>6</v>
      </c>
      <c r="R123" s="193">
        <v>6</v>
      </c>
      <c r="S123" s="193">
        <v>16</v>
      </c>
      <c r="T123" s="193">
        <v>5</v>
      </c>
      <c r="U123" s="193">
        <v>5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3">
        <v>120</v>
      </c>
      <c r="K124" s="194" t="s">
        <v>29</v>
      </c>
      <c r="L124" s="194" t="s">
        <v>16</v>
      </c>
      <c r="M124" s="194" t="s">
        <v>81</v>
      </c>
      <c r="N124" s="194" t="s">
        <v>29</v>
      </c>
      <c r="O124" s="194" t="s">
        <v>29</v>
      </c>
      <c r="Q124" s="193">
        <v>8</v>
      </c>
      <c r="R124" s="193">
        <v>3</v>
      </c>
      <c r="S124" s="193">
        <v>14</v>
      </c>
      <c r="T124" s="193">
        <v>8</v>
      </c>
      <c r="U124" s="193">
        <v>8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4" t="s">
        <v>13</v>
      </c>
      <c r="L125" s="194" t="s">
        <v>30</v>
      </c>
      <c r="M125" s="194" t="s">
        <v>82</v>
      </c>
      <c r="N125" s="194" t="s">
        <v>31</v>
      </c>
      <c r="O125" s="194" t="s">
        <v>31</v>
      </c>
      <c r="Q125" s="193">
        <v>5</v>
      </c>
      <c r="R125" s="193">
        <v>10</v>
      </c>
      <c r="S125" s="193">
        <v>16</v>
      </c>
      <c r="T125" s="193">
        <v>7</v>
      </c>
      <c r="U125" s="193">
        <v>7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3">
        <v>122</v>
      </c>
      <c r="K126" s="194" t="s">
        <v>95</v>
      </c>
      <c r="L126" s="194" t="s">
        <v>29</v>
      </c>
      <c r="M126" s="194" t="s">
        <v>94</v>
      </c>
      <c r="N126" s="194" t="s">
        <v>13</v>
      </c>
      <c r="O126" s="194" t="s">
        <v>29</v>
      </c>
      <c r="Q126" s="193">
        <v>6</v>
      </c>
      <c r="R126" s="193">
        <v>8</v>
      </c>
      <c r="S126" s="193">
        <v>17</v>
      </c>
      <c r="T126" s="193">
        <v>5</v>
      </c>
      <c r="U126" s="193">
        <v>8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4" t="s">
        <v>28</v>
      </c>
      <c r="L127" s="194" t="s">
        <v>81</v>
      </c>
      <c r="M127" s="194" t="s">
        <v>81</v>
      </c>
      <c r="N127" s="194" t="s">
        <v>78</v>
      </c>
      <c r="O127" s="194" t="s">
        <v>13</v>
      </c>
      <c r="Q127" s="193">
        <v>9</v>
      </c>
      <c r="R127" s="193">
        <v>14</v>
      </c>
      <c r="S127" s="193">
        <v>14</v>
      </c>
      <c r="T127" s="193">
        <v>11</v>
      </c>
      <c r="U127" s="193">
        <v>5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3">
        <v>124</v>
      </c>
      <c r="K128" s="194" t="s">
        <v>95</v>
      </c>
      <c r="L128" s="194" t="s">
        <v>82</v>
      </c>
      <c r="M128" s="194" t="s">
        <v>96</v>
      </c>
      <c r="N128" s="194" t="s">
        <v>31</v>
      </c>
      <c r="O128" s="194" t="s">
        <v>30</v>
      </c>
      <c r="Q128" s="193">
        <v>6</v>
      </c>
      <c r="R128" s="193">
        <v>16</v>
      </c>
      <c r="S128" s="193">
        <v>15</v>
      </c>
      <c r="T128" s="193">
        <v>7</v>
      </c>
      <c r="U128" s="193">
        <v>10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4" t="s">
        <v>30</v>
      </c>
      <c r="L129" s="194" t="s">
        <v>29</v>
      </c>
      <c r="M129" s="194" t="s">
        <v>82</v>
      </c>
      <c r="N129" s="194" t="s">
        <v>30</v>
      </c>
      <c r="O129" s="194" t="s">
        <v>13</v>
      </c>
      <c r="Q129" s="193">
        <v>10</v>
      </c>
      <c r="R129" s="193">
        <v>8</v>
      </c>
      <c r="S129" s="193">
        <v>16</v>
      </c>
      <c r="T129" s="193">
        <v>10</v>
      </c>
      <c r="U129" s="193">
        <v>5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3">
        <v>126</v>
      </c>
      <c r="K130" s="194" t="s">
        <v>13</v>
      </c>
      <c r="L130" s="194" t="s">
        <v>81</v>
      </c>
      <c r="M130" s="194" t="s">
        <v>85</v>
      </c>
      <c r="N130" s="194" t="s">
        <v>12</v>
      </c>
      <c r="O130" s="194" t="s">
        <v>29</v>
      </c>
      <c r="Q130" s="193">
        <v>5</v>
      </c>
      <c r="R130" s="193">
        <v>14</v>
      </c>
      <c r="S130" s="193">
        <v>18</v>
      </c>
      <c r="T130" s="193">
        <v>4</v>
      </c>
      <c r="U130" s="193">
        <v>8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4" t="s">
        <v>95</v>
      </c>
      <c r="L131" s="194" t="s">
        <v>29</v>
      </c>
      <c r="M131" s="194" t="s">
        <v>81</v>
      </c>
      <c r="N131" s="194" t="s">
        <v>95</v>
      </c>
      <c r="O131" s="194" t="s">
        <v>13</v>
      </c>
      <c r="Q131" s="193">
        <v>6</v>
      </c>
      <c r="R131" s="193">
        <v>8</v>
      </c>
      <c r="S131" s="193">
        <v>14</v>
      </c>
      <c r="T131" s="193">
        <v>6</v>
      </c>
      <c r="U131" s="193">
        <v>5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>
      <c r="J132" s="193">
        <v>128</v>
      </c>
      <c r="K132" s="194" t="s">
        <v>12</v>
      </c>
      <c r="L132" s="194" t="s">
        <v>95</v>
      </c>
      <c r="M132" s="194" t="s">
        <v>96</v>
      </c>
      <c r="N132" s="194" t="s">
        <v>31</v>
      </c>
      <c r="O132" s="194" t="s">
        <v>29</v>
      </c>
      <c r="Q132" s="193">
        <v>4</v>
      </c>
      <c r="R132" s="193">
        <v>6</v>
      </c>
      <c r="S132" s="193">
        <v>15</v>
      </c>
      <c r="T132" s="193">
        <v>7</v>
      </c>
      <c r="U132" s="193">
        <v>8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4" t="s">
        <v>31</v>
      </c>
      <c r="L133" s="194" t="s">
        <v>13</v>
      </c>
      <c r="M133" s="194" t="s">
        <v>82</v>
      </c>
      <c r="N133" s="194" t="s">
        <v>29</v>
      </c>
      <c r="O133" s="194" t="s">
        <v>28</v>
      </c>
      <c r="Q133" s="193">
        <v>7</v>
      </c>
      <c r="R133" s="193">
        <v>5</v>
      </c>
      <c r="S133" s="193">
        <v>16</v>
      </c>
      <c r="T133" s="193">
        <v>8</v>
      </c>
      <c r="U133" s="193">
        <v>9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>
      <c r="J134" s="193">
        <v>130</v>
      </c>
      <c r="K134" s="194" t="s">
        <v>95</v>
      </c>
      <c r="L134" s="194" t="s">
        <v>29</v>
      </c>
      <c r="M134" s="194" t="s">
        <v>85</v>
      </c>
      <c r="N134" s="194" t="s">
        <v>15</v>
      </c>
      <c r="O134" s="194" t="s">
        <v>15</v>
      </c>
      <c r="Q134" s="193">
        <v>6</v>
      </c>
      <c r="R134" s="193">
        <v>8</v>
      </c>
      <c r="S134" s="193">
        <v>18</v>
      </c>
      <c r="T134" s="193">
        <v>2</v>
      </c>
      <c r="U134" s="193">
        <v>2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4" t="s">
        <v>31</v>
      </c>
      <c r="L135" s="194" t="s">
        <v>80</v>
      </c>
      <c r="M135" s="194" t="s">
        <v>81</v>
      </c>
      <c r="N135" s="194" t="s">
        <v>81</v>
      </c>
      <c r="O135" s="194" t="s">
        <v>16</v>
      </c>
      <c r="Q135" s="193">
        <v>7</v>
      </c>
      <c r="R135" s="193">
        <v>13</v>
      </c>
      <c r="S135" s="193">
        <v>14</v>
      </c>
      <c r="T135" s="193">
        <v>14</v>
      </c>
      <c r="U135" s="193">
        <v>3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>
      <c r="J136" s="193">
        <v>132</v>
      </c>
      <c r="K136" s="194" t="s">
        <v>29</v>
      </c>
      <c r="L136" s="194" t="s">
        <v>94</v>
      </c>
      <c r="M136" s="194" t="s">
        <v>82</v>
      </c>
      <c r="N136" s="194" t="s">
        <v>31</v>
      </c>
      <c r="O136" s="194" t="s">
        <v>29</v>
      </c>
      <c r="Q136" s="193">
        <v>8</v>
      </c>
      <c r="R136" s="193">
        <v>17</v>
      </c>
      <c r="S136" s="193">
        <v>16</v>
      </c>
      <c r="T136" s="193">
        <v>7</v>
      </c>
      <c r="U136" s="193">
        <v>8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4" t="s">
        <v>13</v>
      </c>
      <c r="L137" s="194" t="s">
        <v>30</v>
      </c>
      <c r="M137" s="194" t="s">
        <v>96</v>
      </c>
      <c r="N137" s="194" t="s">
        <v>95</v>
      </c>
      <c r="O137" s="194" t="s">
        <v>13</v>
      </c>
      <c r="Q137" s="193">
        <v>5</v>
      </c>
      <c r="R137" s="193">
        <v>10</v>
      </c>
      <c r="S137" s="193">
        <v>15</v>
      </c>
      <c r="T137" s="193">
        <v>6</v>
      </c>
      <c r="U137" s="193">
        <v>5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>
      <c r="J138" s="193">
        <v>134</v>
      </c>
      <c r="K138" s="194" t="s">
        <v>31</v>
      </c>
      <c r="L138" s="194" t="s">
        <v>29</v>
      </c>
      <c r="M138" s="194" t="s">
        <v>81</v>
      </c>
      <c r="N138" s="194" t="s">
        <v>31</v>
      </c>
      <c r="O138" s="194" t="s">
        <v>28</v>
      </c>
      <c r="Q138" s="193">
        <v>7</v>
      </c>
      <c r="R138" s="193">
        <v>8</v>
      </c>
      <c r="S138" s="193">
        <v>14</v>
      </c>
      <c r="T138" s="193">
        <v>7</v>
      </c>
      <c r="U138" s="193">
        <v>9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4" t="s">
        <v>13</v>
      </c>
      <c r="L139" s="194" t="s">
        <v>28</v>
      </c>
      <c r="M139" s="194" t="s">
        <v>96</v>
      </c>
      <c r="N139" s="194" t="s">
        <v>29</v>
      </c>
      <c r="O139" s="194" t="s">
        <v>31</v>
      </c>
      <c r="Q139" s="193">
        <v>5</v>
      </c>
      <c r="R139" s="193">
        <v>9</v>
      </c>
      <c r="S139" s="193">
        <v>15</v>
      </c>
      <c r="T139" s="193">
        <v>8</v>
      </c>
      <c r="U139" s="193">
        <v>7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3">
        <v>136</v>
      </c>
      <c r="K140" s="194" t="s">
        <v>95</v>
      </c>
      <c r="L140" s="194" t="s">
        <v>16</v>
      </c>
      <c r="M140" s="194" t="s">
        <v>94</v>
      </c>
      <c r="N140" s="194" t="s">
        <v>96</v>
      </c>
      <c r="O140" s="194" t="s">
        <v>16</v>
      </c>
      <c r="Q140" s="193">
        <v>6</v>
      </c>
      <c r="R140" s="193">
        <v>3</v>
      </c>
      <c r="S140" s="193">
        <v>17</v>
      </c>
      <c r="T140" s="193">
        <v>15</v>
      </c>
      <c r="U140" s="193">
        <v>3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4" t="s">
        <v>13</v>
      </c>
      <c r="L141" s="194" t="s">
        <v>81</v>
      </c>
      <c r="M141" s="194" t="s">
        <v>82</v>
      </c>
      <c r="N141" s="194" t="s">
        <v>29</v>
      </c>
      <c r="O141" s="194" t="s">
        <v>31</v>
      </c>
      <c r="Q141" s="193">
        <v>5</v>
      </c>
      <c r="R141" s="193">
        <v>14</v>
      </c>
      <c r="S141" s="193">
        <v>16</v>
      </c>
      <c r="T141" s="193">
        <v>8</v>
      </c>
      <c r="U141" s="193">
        <v>7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3">
        <v>138</v>
      </c>
      <c r="K142" s="194" t="s">
        <v>31</v>
      </c>
      <c r="L142" s="194" t="s">
        <v>94</v>
      </c>
      <c r="M142" s="194" t="s">
        <v>94</v>
      </c>
      <c r="N142" s="194" t="s">
        <v>31</v>
      </c>
      <c r="O142" s="194" t="s">
        <v>29</v>
      </c>
      <c r="Q142" s="193">
        <v>7</v>
      </c>
      <c r="R142" s="193">
        <v>17</v>
      </c>
      <c r="S142" s="193">
        <v>17</v>
      </c>
      <c r="T142" s="193">
        <v>7</v>
      </c>
      <c r="U142" s="193">
        <v>8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4" t="s">
        <v>29</v>
      </c>
      <c r="L143" s="194" t="s">
        <v>31</v>
      </c>
      <c r="M143" s="194" t="s">
        <v>78</v>
      </c>
      <c r="N143" s="194" t="s">
        <v>29</v>
      </c>
      <c r="O143" s="194" t="s">
        <v>13</v>
      </c>
      <c r="Q143" s="193">
        <v>8</v>
      </c>
      <c r="R143" s="193">
        <v>7</v>
      </c>
      <c r="S143" s="193">
        <v>11</v>
      </c>
      <c r="T143" s="193">
        <v>8</v>
      </c>
      <c r="U143" s="193">
        <v>5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>
      <c r="J144" s="193">
        <v>140</v>
      </c>
      <c r="K144" s="194" t="s">
        <v>95</v>
      </c>
      <c r="L144" s="194" t="s">
        <v>28</v>
      </c>
      <c r="M144" s="194" t="s">
        <v>96</v>
      </c>
      <c r="N144" s="194" t="s">
        <v>28</v>
      </c>
      <c r="O144" s="194" t="s">
        <v>28</v>
      </c>
      <c r="Q144" s="193">
        <v>6</v>
      </c>
      <c r="R144" s="193">
        <v>9</v>
      </c>
      <c r="S144" s="193">
        <v>15</v>
      </c>
      <c r="T144" s="193">
        <v>9</v>
      </c>
      <c r="U144" s="193">
        <v>9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4" t="s">
        <v>13</v>
      </c>
      <c r="L145" s="194" t="s">
        <v>14</v>
      </c>
      <c r="M145" s="194" t="s">
        <v>82</v>
      </c>
      <c r="N145" s="194" t="s">
        <v>13</v>
      </c>
      <c r="O145" s="194" t="s">
        <v>30</v>
      </c>
      <c r="Q145" s="193">
        <v>5</v>
      </c>
      <c r="R145" s="193">
        <v>1</v>
      </c>
      <c r="S145" s="193">
        <v>16</v>
      </c>
      <c r="T145" s="193">
        <v>5</v>
      </c>
      <c r="U145" s="193">
        <v>10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3">
        <v>142</v>
      </c>
      <c r="K146" s="194" t="s">
        <v>29</v>
      </c>
      <c r="L146" s="194" t="s">
        <v>16</v>
      </c>
      <c r="M146" s="194" t="s">
        <v>87</v>
      </c>
      <c r="N146" s="194" t="s">
        <v>31</v>
      </c>
      <c r="O146" s="194" t="s">
        <v>14</v>
      </c>
      <c r="Q146" s="193">
        <v>8</v>
      </c>
      <c r="R146" s="193">
        <v>3</v>
      </c>
      <c r="S146" s="193">
        <v>19</v>
      </c>
      <c r="T146" s="193">
        <v>7</v>
      </c>
      <c r="U146" s="193">
        <v>1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4" t="s">
        <v>31</v>
      </c>
      <c r="L147" s="194" t="s">
        <v>13</v>
      </c>
      <c r="M147" s="194" t="s">
        <v>96</v>
      </c>
      <c r="N147" s="194" t="s">
        <v>96</v>
      </c>
      <c r="O147" s="194" t="s">
        <v>95</v>
      </c>
      <c r="Q147" s="193">
        <v>7</v>
      </c>
      <c r="R147" s="193">
        <v>5</v>
      </c>
      <c r="S147" s="193">
        <v>15</v>
      </c>
      <c r="T147" s="193">
        <v>15</v>
      </c>
      <c r="U147" s="193">
        <v>6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3">
        <v>144</v>
      </c>
      <c r="K148" s="194" t="s">
        <v>95</v>
      </c>
      <c r="L148" s="194" t="s">
        <v>28</v>
      </c>
      <c r="M148" s="194" t="s">
        <v>81</v>
      </c>
      <c r="N148" s="194" t="s">
        <v>31</v>
      </c>
      <c r="O148" s="194" t="s">
        <v>29</v>
      </c>
      <c r="Q148" s="193">
        <v>6</v>
      </c>
      <c r="R148" s="193">
        <v>9</v>
      </c>
      <c r="S148" s="193">
        <v>14</v>
      </c>
      <c r="T148" s="193">
        <v>7</v>
      </c>
      <c r="U148" s="193">
        <v>8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4" t="s">
        <v>31</v>
      </c>
      <c r="L149" s="194" t="s">
        <v>15</v>
      </c>
      <c r="M149" s="194" t="s">
        <v>94</v>
      </c>
      <c r="N149" s="194" t="s">
        <v>80</v>
      </c>
      <c r="O149" s="194" t="s">
        <v>95</v>
      </c>
      <c r="Q149" s="193">
        <v>7</v>
      </c>
      <c r="R149" s="193">
        <v>2</v>
      </c>
      <c r="S149" s="193">
        <v>17</v>
      </c>
      <c r="T149" s="193">
        <v>13</v>
      </c>
      <c r="U149" s="193">
        <v>6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3">
        <v>146</v>
      </c>
      <c r="K150" s="194" t="s">
        <v>13</v>
      </c>
      <c r="L150" s="194" t="s">
        <v>81</v>
      </c>
      <c r="M150" s="194" t="s">
        <v>82</v>
      </c>
      <c r="N150" s="194" t="s">
        <v>95</v>
      </c>
      <c r="O150" s="194" t="s">
        <v>30</v>
      </c>
      <c r="Q150" s="193">
        <v>5</v>
      </c>
      <c r="R150" s="193">
        <v>14</v>
      </c>
      <c r="S150" s="193">
        <v>16</v>
      </c>
      <c r="T150" s="193">
        <v>6</v>
      </c>
      <c r="U150" s="193">
        <v>10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4" t="s">
        <v>95</v>
      </c>
      <c r="L151" s="194" t="s">
        <v>15</v>
      </c>
      <c r="M151" s="194" t="s">
        <v>94</v>
      </c>
      <c r="N151" s="194" t="s">
        <v>31</v>
      </c>
      <c r="O151" s="194" t="s">
        <v>13</v>
      </c>
      <c r="Q151" s="193">
        <v>6</v>
      </c>
      <c r="R151" s="193">
        <v>2</v>
      </c>
      <c r="S151" s="193">
        <v>17</v>
      </c>
      <c r="T151" s="193">
        <v>7</v>
      </c>
      <c r="U151" s="193">
        <v>5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>
      <c r="J152" s="193">
        <v>148</v>
      </c>
      <c r="K152" s="194" t="s">
        <v>13</v>
      </c>
      <c r="L152" s="194" t="s">
        <v>31</v>
      </c>
      <c r="M152" s="194" t="s">
        <v>96</v>
      </c>
      <c r="N152" s="194" t="s">
        <v>95</v>
      </c>
      <c r="O152" s="194" t="s">
        <v>29</v>
      </c>
      <c r="Q152" s="193">
        <v>5</v>
      </c>
      <c r="R152" s="193">
        <v>7</v>
      </c>
      <c r="S152" s="193">
        <v>15</v>
      </c>
      <c r="T152" s="193">
        <v>6</v>
      </c>
      <c r="U152" s="193">
        <v>8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4" t="s">
        <v>95</v>
      </c>
      <c r="L153" s="194" t="s">
        <v>29</v>
      </c>
      <c r="M153" s="194" t="s">
        <v>81</v>
      </c>
      <c r="N153" s="194" t="s">
        <v>31</v>
      </c>
      <c r="O153" s="194" t="s">
        <v>95</v>
      </c>
      <c r="Q153" s="193">
        <v>6</v>
      </c>
      <c r="R153" s="193">
        <v>8</v>
      </c>
      <c r="S153" s="193">
        <v>14</v>
      </c>
      <c r="T153" s="193">
        <v>7</v>
      </c>
      <c r="U153" s="193">
        <v>6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>
      <c r="J154" s="193">
        <v>150</v>
      </c>
      <c r="K154" s="194" t="s">
        <v>29</v>
      </c>
      <c r="L154" s="194" t="s">
        <v>31</v>
      </c>
      <c r="M154" s="194" t="s">
        <v>87</v>
      </c>
      <c r="N154" s="194" t="s">
        <v>95</v>
      </c>
      <c r="O154" s="194" t="s">
        <v>29</v>
      </c>
      <c r="Q154" s="193">
        <v>8</v>
      </c>
      <c r="R154" s="193">
        <v>7</v>
      </c>
      <c r="S154" s="193">
        <v>19</v>
      </c>
      <c r="T154" s="193">
        <v>6</v>
      </c>
      <c r="U154" s="193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4" t="s">
        <v>13</v>
      </c>
      <c r="L155" s="194" t="s">
        <v>13</v>
      </c>
      <c r="M155" s="194" t="s">
        <v>81</v>
      </c>
      <c r="N155" s="194" t="s">
        <v>28</v>
      </c>
      <c r="O155" s="194" t="s">
        <v>13</v>
      </c>
      <c r="Q155" s="193">
        <v>5</v>
      </c>
      <c r="R155" s="193">
        <v>5</v>
      </c>
      <c r="S155" s="193">
        <v>14</v>
      </c>
      <c r="T155" s="193">
        <v>9</v>
      </c>
      <c r="U155" s="193">
        <v>5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>
      <c r="J156" s="193">
        <v>152</v>
      </c>
      <c r="K156" s="194" t="s">
        <v>16</v>
      </c>
      <c r="L156" s="194" t="s">
        <v>29</v>
      </c>
      <c r="M156" s="194" t="s">
        <v>82</v>
      </c>
      <c r="N156" s="194" t="s">
        <v>14</v>
      </c>
      <c r="O156" s="194" t="s">
        <v>31</v>
      </c>
      <c r="Q156" s="193">
        <v>3</v>
      </c>
      <c r="R156" s="193">
        <v>8</v>
      </c>
      <c r="S156" s="193">
        <v>16</v>
      </c>
      <c r="T156" s="193">
        <v>1</v>
      </c>
      <c r="U156" s="193">
        <v>7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4" t="s">
        <v>29</v>
      </c>
      <c r="L157" s="194" t="s">
        <v>79</v>
      </c>
      <c r="M157" s="194" t="s">
        <v>94</v>
      </c>
      <c r="N157" s="194" t="s">
        <v>94</v>
      </c>
      <c r="O157" s="194" t="s">
        <v>28</v>
      </c>
      <c r="Q157" s="193">
        <v>8</v>
      </c>
      <c r="R157" s="193">
        <v>12</v>
      </c>
      <c r="S157" s="193">
        <v>17</v>
      </c>
      <c r="T157" s="193">
        <v>17</v>
      </c>
      <c r="U157" s="193">
        <v>9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>
      <c r="J158" s="193">
        <v>154</v>
      </c>
      <c r="K158" s="194" t="s">
        <v>16</v>
      </c>
      <c r="L158" s="194" t="s">
        <v>30</v>
      </c>
      <c r="M158" s="194" t="s">
        <v>82</v>
      </c>
      <c r="N158" s="194" t="s">
        <v>31</v>
      </c>
      <c r="O158" s="194" t="s">
        <v>13</v>
      </c>
      <c r="Q158" s="193">
        <v>3</v>
      </c>
      <c r="R158" s="193">
        <v>10</v>
      </c>
      <c r="S158" s="193">
        <v>16</v>
      </c>
      <c r="T158" s="193">
        <v>7</v>
      </c>
      <c r="U158" s="193">
        <v>5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4" t="s">
        <v>29</v>
      </c>
      <c r="L159" s="194" t="s">
        <v>95</v>
      </c>
      <c r="M159" s="194" t="s">
        <v>94</v>
      </c>
      <c r="N159" s="194" t="s">
        <v>95</v>
      </c>
      <c r="O159" s="194" t="s">
        <v>95</v>
      </c>
      <c r="Q159" s="193">
        <v>8</v>
      </c>
      <c r="R159" s="193">
        <v>6</v>
      </c>
      <c r="S159" s="193">
        <v>17</v>
      </c>
      <c r="T159" s="193">
        <v>6</v>
      </c>
      <c r="U159" s="193">
        <v>6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>
      <c r="J160" s="193">
        <v>156</v>
      </c>
      <c r="K160" s="194" t="s">
        <v>31</v>
      </c>
      <c r="L160" s="194" t="s">
        <v>13</v>
      </c>
      <c r="M160" s="194" t="s">
        <v>79</v>
      </c>
      <c r="N160" s="194" t="s">
        <v>13</v>
      </c>
      <c r="O160" s="194" t="s">
        <v>12</v>
      </c>
      <c r="Q160" s="193">
        <v>7</v>
      </c>
      <c r="R160" s="193">
        <v>5</v>
      </c>
      <c r="S160" s="193">
        <v>12</v>
      </c>
      <c r="T160" s="193">
        <v>5</v>
      </c>
      <c r="U160" s="193">
        <v>4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4" t="s">
        <v>13</v>
      </c>
      <c r="L161" s="194" t="s">
        <v>31</v>
      </c>
      <c r="M161" s="194" t="s">
        <v>81</v>
      </c>
      <c r="N161" s="194" t="s">
        <v>30</v>
      </c>
      <c r="O161" s="194" t="s">
        <v>16</v>
      </c>
      <c r="Q161" s="193">
        <v>5</v>
      </c>
      <c r="R161" s="193">
        <v>7</v>
      </c>
      <c r="S161" s="193">
        <v>14</v>
      </c>
      <c r="T161" s="193">
        <v>10</v>
      </c>
      <c r="U161" s="193">
        <v>3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>
      <c r="J162" s="193">
        <v>158</v>
      </c>
      <c r="K162" s="194" t="s">
        <v>95</v>
      </c>
      <c r="L162" s="194" t="s">
        <v>96</v>
      </c>
      <c r="M162" s="194" t="s">
        <v>96</v>
      </c>
      <c r="N162" s="194" t="s">
        <v>13</v>
      </c>
      <c r="O162" s="194" t="s">
        <v>29</v>
      </c>
      <c r="Q162" s="193">
        <v>6</v>
      </c>
      <c r="R162" s="193">
        <v>15</v>
      </c>
      <c r="S162" s="193">
        <v>15</v>
      </c>
      <c r="T162" s="193">
        <v>5</v>
      </c>
      <c r="U162" s="193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4" t="s">
        <v>14</v>
      </c>
      <c r="L163" s="194" t="s">
        <v>13</v>
      </c>
      <c r="M163" s="194" t="s">
        <v>94</v>
      </c>
      <c r="N163" s="194" t="s">
        <v>31</v>
      </c>
      <c r="O163" s="194" t="s">
        <v>95</v>
      </c>
      <c r="Q163" s="193">
        <v>1</v>
      </c>
      <c r="R163" s="193">
        <v>5</v>
      </c>
      <c r="S163" s="193">
        <v>17</v>
      </c>
      <c r="T163" s="193">
        <v>7</v>
      </c>
      <c r="U163" s="193">
        <v>6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>
      <c r="J164" s="193">
        <v>160</v>
      </c>
      <c r="K164" s="194" t="s">
        <v>13</v>
      </c>
      <c r="L164" s="194" t="s">
        <v>80</v>
      </c>
      <c r="M164" s="194" t="s">
        <v>85</v>
      </c>
      <c r="N164" s="194" t="s">
        <v>28</v>
      </c>
      <c r="O164" s="194" t="s">
        <v>29</v>
      </c>
      <c r="Q164" s="193">
        <v>5</v>
      </c>
      <c r="R164" s="193">
        <v>13</v>
      </c>
      <c r="S164" s="193">
        <v>18</v>
      </c>
      <c r="T164" s="193">
        <v>9</v>
      </c>
      <c r="U164" s="193">
        <v>8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4" t="s">
        <v>31</v>
      </c>
      <c r="L165" s="194" t="s">
        <v>29</v>
      </c>
      <c r="M165" s="194" t="s">
        <v>81</v>
      </c>
      <c r="N165" s="194" t="s">
        <v>16</v>
      </c>
      <c r="O165" s="194" t="s">
        <v>95</v>
      </c>
      <c r="Q165" s="193">
        <v>7</v>
      </c>
      <c r="R165" s="193">
        <v>8</v>
      </c>
      <c r="S165" s="193">
        <v>14</v>
      </c>
      <c r="T165" s="193">
        <v>3</v>
      </c>
      <c r="U165" s="193">
        <v>6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>
      <c r="J166" s="193">
        <v>162</v>
      </c>
      <c r="K166" s="194" t="s">
        <v>13</v>
      </c>
      <c r="L166" s="194" t="s">
        <v>96</v>
      </c>
      <c r="M166" s="194" t="s">
        <v>94</v>
      </c>
      <c r="N166" s="194" t="s">
        <v>28</v>
      </c>
      <c r="O166" s="194" t="s">
        <v>13</v>
      </c>
      <c r="Q166" s="193">
        <v>5</v>
      </c>
      <c r="R166" s="193">
        <v>15</v>
      </c>
      <c r="S166" s="193">
        <v>17</v>
      </c>
      <c r="T166" s="193">
        <v>9</v>
      </c>
      <c r="U166" s="193">
        <v>5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4" t="s">
        <v>31</v>
      </c>
      <c r="L167" s="194" t="s">
        <v>31</v>
      </c>
      <c r="M167" s="194" t="s">
        <v>82</v>
      </c>
      <c r="N167" s="194" t="s">
        <v>15</v>
      </c>
      <c r="O167" s="194" t="s">
        <v>12</v>
      </c>
      <c r="Q167" s="193">
        <v>7</v>
      </c>
      <c r="R167" s="193">
        <v>7</v>
      </c>
      <c r="S167" s="193">
        <v>16</v>
      </c>
      <c r="T167" s="193">
        <v>2</v>
      </c>
      <c r="U167" s="193">
        <v>4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>
      <c r="J168" s="193">
        <v>164</v>
      </c>
      <c r="K168" s="194" t="s">
        <v>95</v>
      </c>
      <c r="L168" s="194" t="s">
        <v>29</v>
      </c>
      <c r="M168" s="194" t="s">
        <v>81</v>
      </c>
      <c r="N168" s="194" t="s">
        <v>81</v>
      </c>
      <c r="O168" s="194" t="s">
        <v>95</v>
      </c>
      <c r="Q168" s="193">
        <v>6</v>
      </c>
      <c r="R168" s="193">
        <v>8</v>
      </c>
      <c r="S168" s="193">
        <v>14</v>
      </c>
      <c r="T168" s="193">
        <v>14</v>
      </c>
      <c r="U168" s="193">
        <v>6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4" t="s">
        <v>29</v>
      </c>
      <c r="L169" s="194" t="s">
        <v>31</v>
      </c>
      <c r="M169" s="194" t="s">
        <v>82</v>
      </c>
      <c r="N169" s="194" t="s">
        <v>29</v>
      </c>
      <c r="O169" s="194" t="s">
        <v>16</v>
      </c>
      <c r="Q169" s="193">
        <v>8</v>
      </c>
      <c r="R169" s="193">
        <v>7</v>
      </c>
      <c r="S169" s="193">
        <v>16</v>
      </c>
      <c r="T169" s="193">
        <v>8</v>
      </c>
      <c r="U169" s="193">
        <v>3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>
      <c r="J170" s="193">
        <v>166</v>
      </c>
      <c r="K170" s="194" t="s">
        <v>12</v>
      </c>
      <c r="L170" s="194" t="s">
        <v>12</v>
      </c>
      <c r="M170" s="194" t="s">
        <v>96</v>
      </c>
      <c r="N170" s="194" t="s">
        <v>31</v>
      </c>
      <c r="O170" s="194" t="s">
        <v>31</v>
      </c>
      <c r="Q170" s="193">
        <v>4</v>
      </c>
      <c r="R170" s="193">
        <v>4</v>
      </c>
      <c r="S170" s="193">
        <v>15</v>
      </c>
      <c r="T170" s="193">
        <v>7</v>
      </c>
      <c r="U170" s="193">
        <v>7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4" t="s">
        <v>31</v>
      </c>
      <c r="L171" s="194" t="s">
        <v>31</v>
      </c>
      <c r="M171" s="194" t="s">
        <v>94</v>
      </c>
      <c r="N171" s="194" t="s">
        <v>29</v>
      </c>
      <c r="O171" s="194" t="s">
        <v>95</v>
      </c>
      <c r="Q171" s="193">
        <v>7</v>
      </c>
      <c r="R171" s="193">
        <v>7</v>
      </c>
      <c r="S171" s="193">
        <v>17</v>
      </c>
      <c r="T171" s="193">
        <v>8</v>
      </c>
      <c r="U171" s="193">
        <v>6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3">
        <v>168</v>
      </c>
      <c r="K172" s="194" t="s">
        <v>29</v>
      </c>
      <c r="L172" s="194" t="s">
        <v>13</v>
      </c>
      <c r="M172" s="194" t="s">
        <v>79</v>
      </c>
      <c r="N172" s="194" t="s">
        <v>95</v>
      </c>
      <c r="O172" s="194" t="s">
        <v>29</v>
      </c>
      <c r="Q172" s="193">
        <v>8</v>
      </c>
      <c r="R172" s="193">
        <v>5</v>
      </c>
      <c r="S172" s="193">
        <v>12</v>
      </c>
      <c r="T172" s="193">
        <v>6</v>
      </c>
      <c r="U172" s="193">
        <v>8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4" t="s">
        <v>30</v>
      </c>
      <c r="L173" s="194" t="s">
        <v>31</v>
      </c>
      <c r="M173" s="194" t="s">
        <v>94</v>
      </c>
      <c r="N173" s="194" t="s">
        <v>29</v>
      </c>
      <c r="O173" s="194" t="s">
        <v>95</v>
      </c>
      <c r="Q173" s="193">
        <v>10</v>
      </c>
      <c r="R173" s="193">
        <v>7</v>
      </c>
      <c r="S173" s="193">
        <v>17</v>
      </c>
      <c r="T173" s="193">
        <v>8</v>
      </c>
      <c r="U173" s="193">
        <v>6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3">
        <v>170</v>
      </c>
      <c r="K174" s="194" t="s">
        <v>13</v>
      </c>
      <c r="L174" s="194" t="s">
        <v>95</v>
      </c>
      <c r="M174" s="194" t="s">
        <v>81</v>
      </c>
      <c r="N174" s="194" t="s">
        <v>12</v>
      </c>
      <c r="O174" s="194" t="s">
        <v>14</v>
      </c>
      <c r="Q174" s="193">
        <v>5</v>
      </c>
      <c r="R174" s="193">
        <v>6</v>
      </c>
      <c r="S174" s="193">
        <v>14</v>
      </c>
      <c r="T174" s="193">
        <v>4</v>
      </c>
      <c r="U174" s="193">
        <v>1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4" t="s">
        <v>31</v>
      </c>
      <c r="L175" s="194" t="s">
        <v>28</v>
      </c>
      <c r="M175" s="194" t="s">
        <v>96</v>
      </c>
      <c r="N175" s="194" t="s">
        <v>13</v>
      </c>
      <c r="O175" s="194" t="s">
        <v>95</v>
      </c>
      <c r="Q175" s="193">
        <v>7</v>
      </c>
      <c r="R175" s="193">
        <v>9</v>
      </c>
      <c r="S175" s="193">
        <v>15</v>
      </c>
      <c r="T175" s="193">
        <v>5</v>
      </c>
      <c r="U175" s="193">
        <v>6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>
      <c r="J176" s="193">
        <v>172</v>
      </c>
      <c r="K176" s="194" t="s">
        <v>13</v>
      </c>
      <c r="L176" s="194" t="s">
        <v>29</v>
      </c>
      <c r="M176" s="194" t="s">
        <v>87</v>
      </c>
      <c r="N176" s="194" t="s">
        <v>95</v>
      </c>
      <c r="O176" s="194" t="s">
        <v>13</v>
      </c>
      <c r="Q176" s="193">
        <v>5</v>
      </c>
      <c r="R176" s="193">
        <v>8</v>
      </c>
      <c r="S176" s="193">
        <v>19</v>
      </c>
      <c r="T176" s="193">
        <v>6</v>
      </c>
      <c r="U176" s="193">
        <v>5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4" t="s">
        <v>31</v>
      </c>
      <c r="L177" s="194" t="s">
        <v>15</v>
      </c>
      <c r="M177" s="194" t="s">
        <v>94</v>
      </c>
      <c r="N177" s="194" t="s">
        <v>29</v>
      </c>
      <c r="O177" s="194" t="s">
        <v>95</v>
      </c>
      <c r="Q177" s="193">
        <v>7</v>
      </c>
      <c r="R177" s="193">
        <v>2</v>
      </c>
      <c r="S177" s="193">
        <v>17</v>
      </c>
      <c r="T177" s="193">
        <v>8</v>
      </c>
      <c r="U177" s="193">
        <v>6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>
      <c r="J178" s="193">
        <v>174</v>
      </c>
      <c r="K178" s="194" t="s">
        <v>28</v>
      </c>
      <c r="L178" s="194" t="s">
        <v>13</v>
      </c>
      <c r="M178" s="194" t="s">
        <v>82</v>
      </c>
      <c r="N178" s="194" t="s">
        <v>95</v>
      </c>
      <c r="O178" s="194" t="s">
        <v>13</v>
      </c>
      <c r="Q178" s="193">
        <v>9</v>
      </c>
      <c r="R178" s="193">
        <v>5</v>
      </c>
      <c r="S178" s="193">
        <v>16</v>
      </c>
      <c r="T178" s="193">
        <v>6</v>
      </c>
      <c r="U178" s="193">
        <v>5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4" t="s">
        <v>31</v>
      </c>
      <c r="L179" s="194" t="s">
        <v>29</v>
      </c>
      <c r="M179" s="194" t="s">
        <v>94</v>
      </c>
      <c r="N179" s="194" t="s">
        <v>14</v>
      </c>
      <c r="O179" s="194" t="s">
        <v>28</v>
      </c>
      <c r="Q179" s="193">
        <v>7</v>
      </c>
      <c r="R179" s="193">
        <v>8</v>
      </c>
      <c r="S179" s="193">
        <v>17</v>
      </c>
      <c r="T179" s="193">
        <v>1</v>
      </c>
      <c r="U179" s="193">
        <v>9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>
      <c r="J180" s="193">
        <v>176</v>
      </c>
      <c r="K180" s="194" t="s">
        <v>16</v>
      </c>
      <c r="L180" s="194" t="s">
        <v>15</v>
      </c>
      <c r="M180" s="194" t="s">
        <v>82</v>
      </c>
      <c r="N180" s="194" t="s">
        <v>13</v>
      </c>
      <c r="O180" s="194" t="s">
        <v>13</v>
      </c>
      <c r="Q180" s="193">
        <v>3</v>
      </c>
      <c r="R180" s="193">
        <v>2</v>
      </c>
      <c r="S180" s="193">
        <v>16</v>
      </c>
      <c r="T180" s="193">
        <v>5</v>
      </c>
      <c r="U180" s="193">
        <v>5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4" t="s">
        <v>29</v>
      </c>
      <c r="L181" s="194" t="s">
        <v>13</v>
      </c>
      <c r="M181" s="194" t="s">
        <v>96</v>
      </c>
      <c r="N181" s="194" t="s">
        <v>94</v>
      </c>
      <c r="O181" s="194" t="s">
        <v>31</v>
      </c>
      <c r="Q181" s="193">
        <v>8</v>
      </c>
      <c r="R181" s="193">
        <v>5</v>
      </c>
      <c r="S181" s="193">
        <v>15</v>
      </c>
      <c r="T181" s="193">
        <v>17</v>
      </c>
      <c r="U181" s="193">
        <v>7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3">
        <v>178</v>
      </c>
      <c r="K182" s="194" t="s">
        <v>13</v>
      </c>
      <c r="L182" s="194" t="s">
        <v>94</v>
      </c>
      <c r="M182" s="194" t="s">
        <v>81</v>
      </c>
      <c r="N182" s="194" t="s">
        <v>29</v>
      </c>
      <c r="O182" s="194" t="s">
        <v>12</v>
      </c>
      <c r="Q182" s="193">
        <v>5</v>
      </c>
      <c r="R182" s="193">
        <v>17</v>
      </c>
      <c r="S182" s="193">
        <v>14</v>
      </c>
      <c r="T182" s="193">
        <v>8</v>
      </c>
      <c r="U182" s="193">
        <v>4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4" t="s">
        <v>31</v>
      </c>
      <c r="L183" s="194" t="s">
        <v>95</v>
      </c>
      <c r="M183" s="194" t="s">
        <v>96</v>
      </c>
      <c r="N183" s="194" t="s">
        <v>31</v>
      </c>
      <c r="O183" s="194" t="s">
        <v>28</v>
      </c>
      <c r="Q183" s="193">
        <v>7</v>
      </c>
      <c r="R183" s="193">
        <v>6</v>
      </c>
      <c r="S183" s="193">
        <v>15</v>
      </c>
      <c r="T183" s="193">
        <v>7</v>
      </c>
      <c r="U183" s="193">
        <v>9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>
      <c r="J184" s="193">
        <v>180</v>
      </c>
      <c r="K184" s="194" t="s">
        <v>29</v>
      </c>
      <c r="L184" s="194" t="s">
        <v>31</v>
      </c>
      <c r="M184" s="194" t="s">
        <v>94</v>
      </c>
      <c r="N184" s="194" t="s">
        <v>95</v>
      </c>
      <c r="O184" s="194" t="s">
        <v>31</v>
      </c>
      <c r="Q184" s="193">
        <v>8</v>
      </c>
      <c r="R184" s="193">
        <v>7</v>
      </c>
      <c r="S184" s="193">
        <v>17</v>
      </c>
      <c r="T184" s="193">
        <v>6</v>
      </c>
      <c r="U184" s="193">
        <v>7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4" t="s">
        <v>13</v>
      </c>
      <c r="L185" s="194" t="s">
        <v>13</v>
      </c>
      <c r="M185" s="194" t="s">
        <v>87</v>
      </c>
      <c r="N185" s="194" t="s">
        <v>13</v>
      </c>
      <c r="O185" s="194" t="s">
        <v>29</v>
      </c>
      <c r="Q185" s="193">
        <v>5</v>
      </c>
      <c r="R185" s="193">
        <v>5</v>
      </c>
      <c r="S185" s="193">
        <v>19</v>
      </c>
      <c r="T185" s="193">
        <v>5</v>
      </c>
      <c r="U185" s="193">
        <v>8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>
      <c r="J186" s="193">
        <v>182</v>
      </c>
      <c r="K186" s="194" t="s">
        <v>15</v>
      </c>
      <c r="L186" s="194" t="s">
        <v>15</v>
      </c>
      <c r="M186" s="194" t="s">
        <v>94</v>
      </c>
      <c r="N186" s="194" t="s">
        <v>31</v>
      </c>
      <c r="O186" s="194" t="s">
        <v>14</v>
      </c>
      <c r="Q186" s="193">
        <v>2</v>
      </c>
      <c r="R186" s="193">
        <v>2</v>
      </c>
      <c r="S186" s="193">
        <v>17</v>
      </c>
      <c r="T186" s="193">
        <v>7</v>
      </c>
      <c r="U186" s="193">
        <v>1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4" t="s">
        <v>31</v>
      </c>
      <c r="L187" s="194" t="s">
        <v>31</v>
      </c>
      <c r="M187" s="194" t="s">
        <v>81</v>
      </c>
      <c r="N187" s="194" t="s">
        <v>13</v>
      </c>
      <c r="O187" s="194" t="s">
        <v>95</v>
      </c>
      <c r="Q187" s="193">
        <v>7</v>
      </c>
      <c r="R187" s="193">
        <v>7</v>
      </c>
      <c r="S187" s="193">
        <v>14</v>
      </c>
      <c r="T187" s="193">
        <v>5</v>
      </c>
      <c r="U187" s="193">
        <v>6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>
      <c r="J188" s="193">
        <v>184</v>
      </c>
      <c r="K188" s="194" t="s">
        <v>29</v>
      </c>
      <c r="L188" s="194" t="s">
        <v>95</v>
      </c>
      <c r="M188" s="194" t="s">
        <v>96</v>
      </c>
      <c r="N188" s="194" t="s">
        <v>95</v>
      </c>
      <c r="O188" s="194" t="s">
        <v>16</v>
      </c>
      <c r="Q188" s="193">
        <v>8</v>
      </c>
      <c r="R188" s="193">
        <v>6</v>
      </c>
      <c r="S188" s="193">
        <v>15</v>
      </c>
      <c r="T188" s="193">
        <v>6</v>
      </c>
      <c r="U188" s="193">
        <v>3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4" t="s">
        <v>95</v>
      </c>
      <c r="L189" s="194" t="s">
        <v>13</v>
      </c>
      <c r="M189" s="194" t="s">
        <v>81</v>
      </c>
      <c r="N189" s="194" t="s">
        <v>31</v>
      </c>
      <c r="O189" s="194" t="s">
        <v>29</v>
      </c>
      <c r="Q189" s="193">
        <v>6</v>
      </c>
      <c r="R189" s="193">
        <v>5</v>
      </c>
      <c r="S189" s="193">
        <v>14</v>
      </c>
      <c r="T189" s="193">
        <v>7</v>
      </c>
      <c r="U189" s="193">
        <v>8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3">
        <v>186</v>
      </c>
      <c r="K190" s="194" t="s">
        <v>31</v>
      </c>
      <c r="L190" s="194" t="s">
        <v>94</v>
      </c>
      <c r="M190" s="194" t="s">
        <v>94</v>
      </c>
      <c r="N190" s="194" t="s">
        <v>13</v>
      </c>
      <c r="O190" s="194" t="s">
        <v>31</v>
      </c>
      <c r="Q190" s="193">
        <v>7</v>
      </c>
      <c r="R190" s="193">
        <v>17</v>
      </c>
      <c r="S190" s="193">
        <v>17</v>
      </c>
      <c r="T190" s="193">
        <v>5</v>
      </c>
      <c r="U190" s="193">
        <v>7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4" t="s">
        <v>13</v>
      </c>
      <c r="L191" s="194" t="s">
        <v>31</v>
      </c>
      <c r="M191" s="194" t="s">
        <v>82</v>
      </c>
      <c r="N191" s="194" t="s">
        <v>31</v>
      </c>
      <c r="O191" s="194" t="s">
        <v>15</v>
      </c>
      <c r="Q191" s="193">
        <v>5</v>
      </c>
      <c r="R191" s="193">
        <v>7</v>
      </c>
      <c r="S191" s="193">
        <v>16</v>
      </c>
      <c r="T191" s="193">
        <v>7</v>
      </c>
      <c r="U191" s="193">
        <v>2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>
      <c r="J192" s="193">
        <v>188</v>
      </c>
      <c r="K192" s="194" t="s">
        <v>95</v>
      </c>
      <c r="L192" s="194" t="s">
        <v>29</v>
      </c>
      <c r="M192" s="194" t="s">
        <v>96</v>
      </c>
      <c r="N192" s="194" t="s">
        <v>13</v>
      </c>
      <c r="O192" s="194" t="s">
        <v>31</v>
      </c>
      <c r="Q192" s="193">
        <v>6</v>
      </c>
      <c r="R192" s="193">
        <v>8</v>
      </c>
      <c r="S192" s="193">
        <v>15</v>
      </c>
      <c r="T192" s="193">
        <v>5</v>
      </c>
      <c r="U192" s="193">
        <v>7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4" t="s">
        <v>31</v>
      </c>
      <c r="L193" s="194" t="s">
        <v>82</v>
      </c>
      <c r="M193" s="194" t="s">
        <v>94</v>
      </c>
      <c r="N193" s="194" t="s">
        <v>30</v>
      </c>
      <c r="O193" s="194" t="s">
        <v>30</v>
      </c>
      <c r="Q193" s="193">
        <v>7</v>
      </c>
      <c r="R193" s="193">
        <v>16</v>
      </c>
      <c r="S193" s="193">
        <v>17</v>
      </c>
      <c r="T193" s="193">
        <v>10</v>
      </c>
      <c r="U193" s="193">
        <v>10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>
      <c r="J194" s="193">
        <v>190</v>
      </c>
      <c r="K194" s="194" t="s">
        <v>95</v>
      </c>
      <c r="L194" s="194" t="s">
        <v>31</v>
      </c>
      <c r="M194" s="194" t="s">
        <v>82</v>
      </c>
      <c r="N194" s="194" t="s">
        <v>14</v>
      </c>
      <c r="O194" s="194" t="s">
        <v>95</v>
      </c>
      <c r="Q194" s="193">
        <v>6</v>
      </c>
      <c r="R194" s="193">
        <v>7</v>
      </c>
      <c r="S194" s="193">
        <v>16</v>
      </c>
      <c r="T194" s="193">
        <v>1</v>
      </c>
      <c r="U194" s="193">
        <v>6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4" t="s">
        <v>29</v>
      </c>
      <c r="L195" s="194" t="s">
        <v>29</v>
      </c>
      <c r="M195" s="194" t="s">
        <v>85</v>
      </c>
      <c r="N195" s="194" t="s">
        <v>12</v>
      </c>
      <c r="O195" s="194" t="s">
        <v>13</v>
      </c>
      <c r="Q195" s="193">
        <v>8</v>
      </c>
      <c r="R195" s="193">
        <v>8</v>
      </c>
      <c r="S195" s="193">
        <v>18</v>
      </c>
      <c r="T195" s="193">
        <v>4</v>
      </c>
      <c r="U195" s="193">
        <v>5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>
      <c r="J196" s="193">
        <v>192</v>
      </c>
      <c r="K196" s="194" t="s">
        <v>31</v>
      </c>
      <c r="L196" s="194" t="s">
        <v>28</v>
      </c>
      <c r="M196" s="194" t="s">
        <v>96</v>
      </c>
      <c r="N196" s="194" t="s">
        <v>81</v>
      </c>
      <c r="O196" s="194" t="s">
        <v>31</v>
      </c>
      <c r="Q196" s="193">
        <v>7</v>
      </c>
      <c r="R196" s="193">
        <v>9</v>
      </c>
      <c r="S196" s="193">
        <v>15</v>
      </c>
      <c r="T196" s="193">
        <v>14</v>
      </c>
      <c r="U196" s="193">
        <v>7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4" t="s">
        <v>95</v>
      </c>
      <c r="L197" s="194" t="s">
        <v>29</v>
      </c>
      <c r="M197" s="194" t="s">
        <v>81</v>
      </c>
      <c r="N197" s="194" t="s">
        <v>31</v>
      </c>
      <c r="O197" s="194" t="s">
        <v>13</v>
      </c>
      <c r="Q197" s="193">
        <v>6</v>
      </c>
      <c r="R197" s="193">
        <v>8</v>
      </c>
      <c r="S197" s="193">
        <v>14</v>
      </c>
      <c r="T197" s="193">
        <v>7</v>
      </c>
      <c r="U197" s="193">
        <v>5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3">
        <v>194</v>
      </c>
      <c r="K198" s="194" t="s">
        <v>28</v>
      </c>
      <c r="L198" s="194" t="s">
        <v>13</v>
      </c>
      <c r="M198" s="194" t="s">
        <v>82</v>
      </c>
      <c r="N198" s="194" t="s">
        <v>80</v>
      </c>
      <c r="O198" s="194" t="s">
        <v>29</v>
      </c>
      <c r="Q198" s="193">
        <v>9</v>
      </c>
      <c r="R198" s="193">
        <v>5</v>
      </c>
      <c r="S198" s="193">
        <v>16</v>
      </c>
      <c r="T198" s="193">
        <v>13</v>
      </c>
      <c r="U198" s="193">
        <v>8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4" t="s">
        <v>12</v>
      </c>
      <c r="L199" s="194" t="s">
        <v>12</v>
      </c>
      <c r="M199" s="194" t="s">
        <v>81</v>
      </c>
      <c r="N199" s="194" t="s">
        <v>13</v>
      </c>
      <c r="O199" s="194" t="s">
        <v>31</v>
      </c>
      <c r="Q199" s="193">
        <v>4</v>
      </c>
      <c r="R199" s="193">
        <v>4</v>
      </c>
      <c r="S199" s="193">
        <v>14</v>
      </c>
      <c r="T199" s="193">
        <v>5</v>
      </c>
      <c r="U199" s="193">
        <v>7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>
      <c r="J200" s="193">
        <v>196</v>
      </c>
      <c r="K200" s="194" t="s">
        <v>95</v>
      </c>
      <c r="L200" s="194" t="s">
        <v>16</v>
      </c>
      <c r="M200" s="194" t="s">
        <v>96</v>
      </c>
      <c r="N200" s="194" t="s">
        <v>82</v>
      </c>
      <c r="O200" s="194" t="s">
        <v>95</v>
      </c>
      <c r="Q200" s="193">
        <v>6</v>
      </c>
      <c r="R200" s="193">
        <v>3</v>
      </c>
      <c r="S200" s="193">
        <v>15</v>
      </c>
      <c r="T200" s="193">
        <v>16</v>
      </c>
      <c r="U200" s="193">
        <v>6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4" t="s">
        <v>13</v>
      </c>
      <c r="L201" s="194" t="s">
        <v>29</v>
      </c>
      <c r="M201" s="194" t="s">
        <v>87</v>
      </c>
      <c r="N201" s="194" t="s">
        <v>13</v>
      </c>
      <c r="O201" s="194" t="s">
        <v>31</v>
      </c>
      <c r="Q201" s="193">
        <v>5</v>
      </c>
      <c r="R201" s="193">
        <v>8</v>
      </c>
      <c r="S201" s="193">
        <v>19</v>
      </c>
      <c r="T201" s="193">
        <v>5</v>
      </c>
      <c r="U201" s="193">
        <v>7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>
      <c r="J202" s="193">
        <v>198</v>
      </c>
      <c r="K202" s="194" t="s">
        <v>29</v>
      </c>
      <c r="L202" s="194" t="s">
        <v>95</v>
      </c>
      <c r="M202" s="194" t="s">
        <v>82</v>
      </c>
      <c r="N202" s="194" t="s">
        <v>82</v>
      </c>
      <c r="O202" s="194" t="s">
        <v>13</v>
      </c>
      <c r="Q202" s="193">
        <v>8</v>
      </c>
      <c r="R202" s="193">
        <v>6</v>
      </c>
      <c r="S202" s="193">
        <v>16</v>
      </c>
      <c r="T202" s="193">
        <v>16</v>
      </c>
      <c r="U202" s="193">
        <v>5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4" t="s">
        <v>12</v>
      </c>
      <c r="L203" s="194" t="s">
        <v>29</v>
      </c>
      <c r="M203" s="194" t="s">
        <v>94</v>
      </c>
      <c r="N203" s="194" t="s">
        <v>31</v>
      </c>
      <c r="O203" s="194" t="s">
        <v>31</v>
      </c>
      <c r="Q203" s="193">
        <v>4</v>
      </c>
      <c r="R203" s="193">
        <v>8</v>
      </c>
      <c r="S203" s="193">
        <v>17</v>
      </c>
      <c r="T203" s="193">
        <v>7</v>
      </c>
      <c r="U203" s="193">
        <v>7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72" priority="24">
      <formula>_xlfn.LET(_xlpm.x, W4, AND(NOT(_xlfn.ISFORMULA(_xlpm.x)), _xlpm.x&lt;&gt;""))</formula>
    </cfRule>
  </conditionalFormatting>
  <conditionalFormatting sqref="W4:AA203">
    <cfRule type="expression" dxfId="71" priority="23">
      <formula>_xlfn.LET(_xlpm.x, W4, AND(NOT(_xlfn.ISFORMULA(_xlpm.x)), _xlpm.x&lt;&gt;""))</formula>
    </cfRule>
  </conditionalFormatting>
  <conditionalFormatting sqref="D52:D54">
    <cfRule type="cellIs" dxfId="70" priority="14" operator="equal">
      <formula>"C1"</formula>
    </cfRule>
    <cfRule type="cellIs" dxfId="69" priority="15" operator="between">
      <formula>"G1"</formula>
      <formula>"G4"</formula>
    </cfRule>
    <cfRule type="cellIs" dxfId="68" priority="16" operator="between">
      <formula>"GA"</formula>
      <formula>"GQ"</formula>
    </cfRule>
    <cfRule type="cellIs" dxfId="67" priority="17" operator="between">
      <formula>"M1"</formula>
      <formula>"M4"</formula>
    </cfRule>
  </conditionalFormatting>
  <conditionalFormatting sqref="E52:E54">
    <cfRule type="cellIs" dxfId="66" priority="10" operator="equal">
      <formula>"C1"</formula>
    </cfRule>
    <cfRule type="cellIs" dxfId="65" priority="11" operator="between">
      <formula>"G1"</formula>
      <formula>"G4"</formula>
    </cfRule>
    <cfRule type="cellIs" dxfId="64" priority="12" operator="between">
      <formula>"GA"</formula>
      <formula>"GQ"</formula>
    </cfRule>
    <cfRule type="cellIs" dxfId="63" priority="13" operator="between">
      <formula>"M1"</formula>
      <formula>"M4"</formula>
    </cfRule>
  </conditionalFormatting>
  <conditionalFormatting sqref="F52:F54">
    <cfRule type="cellIs" dxfId="62" priority="6" operator="equal">
      <formula>"C1"</formula>
    </cfRule>
    <cfRule type="cellIs" dxfId="61" priority="7" operator="between">
      <formula>"G1"</formula>
      <formula>"G4"</formula>
    </cfRule>
    <cfRule type="cellIs" dxfId="60" priority="8" operator="between">
      <formula>"GA"</formula>
      <formula>"GQ"</formula>
    </cfRule>
    <cfRule type="cellIs" dxfId="59" priority="9" operator="between">
      <formula>"M1"</formula>
      <formula>"M4"</formula>
    </cfRule>
  </conditionalFormatting>
  <conditionalFormatting sqref="C28:G28 D27:G27 C31:G46 C29:C30 G29:G3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K1:O1048576">
    <cfRule type="cellIs" dxfId="58" priority="1" operator="equal">
      <formula>"C1"</formula>
    </cfRule>
    <cfRule type="cellIs" dxfId="57" priority="2" operator="between">
      <formula>"G1"</formula>
      <formula>"G5"</formula>
    </cfRule>
    <cfRule type="cellIs" dxfId="56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A375984F-872E-4C40-AFBF-7DAE5B26C57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zoomScale="70" zoomScaleNormal="70" workbookViewId="0">
      <selection sqref="A1:V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290</v>
      </c>
      <c r="W2" s="25" t="s">
        <v>99</v>
      </c>
      <c r="AC2" s="25" t="s">
        <v>292</v>
      </c>
      <c r="AH2" s="5"/>
      <c r="AI2" s="5"/>
      <c r="AJ2" s="25" t="s">
        <v>93</v>
      </c>
      <c r="AO2" s="5"/>
    </row>
    <row r="3" spans="1:41" ht="15.9" customHeight="1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297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5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>
      <c r="A4" s="201" t="s">
        <v>293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28</v>
      </c>
      <c r="L4" s="24" t="s">
        <v>95</v>
      </c>
      <c r="M4" s="24" t="s">
        <v>96</v>
      </c>
      <c r="N4" s="24" t="s">
        <v>29</v>
      </c>
      <c r="O4" s="24" t="s">
        <v>15</v>
      </c>
      <c r="Q4" s="23">
        <v>9</v>
      </c>
      <c r="R4" s="23">
        <v>6</v>
      </c>
      <c r="S4" s="23">
        <v>15</v>
      </c>
      <c r="T4" s="23">
        <v>8</v>
      </c>
      <c r="U4" s="23">
        <v>2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294</v>
      </c>
      <c r="AH4" s="5"/>
      <c r="AI4" s="5"/>
      <c r="AJ4" s="25" t="s">
        <v>294</v>
      </c>
      <c r="AO4" s="5"/>
    </row>
    <row r="5" spans="1:41" ht="15.9" customHeight="1">
      <c r="A5" s="201" t="s">
        <v>14</v>
      </c>
      <c r="B5" s="199" t="s">
        <v>39</v>
      </c>
      <c r="C5" s="201">
        <v>5</v>
      </c>
      <c r="D5" s="201">
        <v>5</v>
      </c>
      <c r="E5" s="201">
        <v>0</v>
      </c>
      <c r="F5" s="201">
        <v>8</v>
      </c>
      <c r="G5" s="201">
        <v>8</v>
      </c>
      <c r="H5" s="199">
        <v>1</v>
      </c>
      <c r="I5" s="82"/>
      <c r="J5" s="193">
        <v>1</v>
      </c>
      <c r="K5" s="194" t="s">
        <v>95</v>
      </c>
      <c r="L5" s="194" t="s">
        <v>15</v>
      </c>
      <c r="M5" s="194" t="s">
        <v>81</v>
      </c>
      <c r="N5" s="194" t="s">
        <v>28</v>
      </c>
      <c r="O5" s="194" t="s">
        <v>30</v>
      </c>
      <c r="Q5" s="193">
        <v>6</v>
      </c>
      <c r="R5" s="193">
        <v>2</v>
      </c>
      <c r="S5" s="193">
        <v>14</v>
      </c>
      <c r="T5" s="193">
        <v>9</v>
      </c>
      <c r="U5" s="193">
        <v>10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>
      <c r="A6" s="200" t="s">
        <v>15</v>
      </c>
      <c r="B6" s="134" t="s">
        <v>15</v>
      </c>
      <c r="C6" s="200">
        <v>3</v>
      </c>
      <c r="D6" s="200">
        <v>10</v>
      </c>
      <c r="E6" s="200">
        <v>0</v>
      </c>
      <c r="F6" s="200">
        <v>3</v>
      </c>
      <c r="G6" s="200">
        <v>9</v>
      </c>
      <c r="H6" s="134">
        <v>2</v>
      </c>
      <c r="I6" s="82"/>
      <c r="J6" s="23">
        <v>2</v>
      </c>
      <c r="K6" s="194" t="s">
        <v>13</v>
      </c>
      <c r="L6" s="194" t="s">
        <v>95</v>
      </c>
      <c r="M6" s="194" t="s">
        <v>96</v>
      </c>
      <c r="N6" s="194" t="s">
        <v>29</v>
      </c>
      <c r="O6" s="194" t="s">
        <v>95</v>
      </c>
      <c r="Q6" s="193">
        <v>5</v>
      </c>
      <c r="R6" s="193">
        <v>6</v>
      </c>
      <c r="S6" s="193">
        <v>15</v>
      </c>
      <c r="T6" s="193">
        <v>8</v>
      </c>
      <c r="U6" s="193">
        <v>6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9" t="s">
        <v>293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293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>
      <c r="A7" s="200" t="s">
        <v>16</v>
      </c>
      <c r="B7" s="134" t="s">
        <v>16</v>
      </c>
      <c r="C7" s="200">
        <v>3</v>
      </c>
      <c r="D7" s="200">
        <v>13</v>
      </c>
      <c r="E7" s="200">
        <v>0</v>
      </c>
      <c r="F7" s="200">
        <v>3</v>
      </c>
      <c r="G7" s="200">
        <v>8</v>
      </c>
      <c r="H7" s="134">
        <v>3</v>
      </c>
      <c r="I7" s="82"/>
      <c r="J7" s="193">
        <v>3</v>
      </c>
      <c r="K7" s="194" t="s">
        <v>29</v>
      </c>
      <c r="L7" s="24" t="s">
        <v>16</v>
      </c>
      <c r="M7" s="194" t="s">
        <v>82</v>
      </c>
      <c r="N7" s="194" t="s">
        <v>30</v>
      </c>
      <c r="O7" s="194" t="s">
        <v>15</v>
      </c>
      <c r="Q7" s="193">
        <v>8</v>
      </c>
      <c r="R7" s="193">
        <v>3</v>
      </c>
      <c r="S7" s="193">
        <v>16</v>
      </c>
      <c r="T7" s="193">
        <v>10</v>
      </c>
      <c r="U7" s="193">
        <v>2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9" t="s">
        <v>14</v>
      </c>
      <c r="AD7" s="199">
        <v>1</v>
      </c>
      <c r="AE7" s="199">
        <v>1</v>
      </c>
      <c r="AF7" s="199">
        <v>0</v>
      </c>
      <c r="AG7" s="199">
        <v>1</v>
      </c>
      <c r="AH7" s="199">
        <v>1</v>
      </c>
      <c r="AI7" s="5"/>
      <c r="AJ7" s="199" t="s">
        <v>14</v>
      </c>
      <c r="AK7" s="199">
        <v>1</v>
      </c>
      <c r="AL7" s="199">
        <v>1</v>
      </c>
      <c r="AM7" s="199">
        <v>0</v>
      </c>
      <c r="AN7" s="199">
        <v>1</v>
      </c>
      <c r="AO7" s="199">
        <v>1</v>
      </c>
    </row>
    <row r="8" spans="1:41" ht="15.9" customHeight="1">
      <c r="A8" s="200" t="s">
        <v>12</v>
      </c>
      <c r="B8" s="134" t="s">
        <v>12</v>
      </c>
      <c r="C8" s="200">
        <v>7</v>
      </c>
      <c r="D8" s="200">
        <v>14</v>
      </c>
      <c r="E8" s="200">
        <v>0</v>
      </c>
      <c r="F8" s="200">
        <v>7</v>
      </c>
      <c r="G8" s="200">
        <v>14</v>
      </c>
      <c r="H8" s="134">
        <v>4</v>
      </c>
      <c r="I8" s="82"/>
      <c r="J8" s="23">
        <v>4</v>
      </c>
      <c r="K8" s="194" t="s">
        <v>95</v>
      </c>
      <c r="L8" s="194" t="s">
        <v>31</v>
      </c>
      <c r="M8" s="194" t="s">
        <v>94</v>
      </c>
      <c r="N8" s="194" t="s">
        <v>13</v>
      </c>
      <c r="O8" s="194" t="s">
        <v>31</v>
      </c>
      <c r="Q8" s="193">
        <v>6</v>
      </c>
      <c r="R8" s="193">
        <v>7</v>
      </c>
      <c r="S8" s="193">
        <v>17</v>
      </c>
      <c r="T8" s="193">
        <v>5</v>
      </c>
      <c r="U8" s="193">
        <v>7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4" t="s">
        <v>15</v>
      </c>
      <c r="AD8" s="200">
        <v>3</v>
      </c>
      <c r="AE8" s="200">
        <v>10</v>
      </c>
      <c r="AF8" s="200">
        <v>0</v>
      </c>
      <c r="AG8" s="200">
        <v>3</v>
      </c>
      <c r="AH8" s="200">
        <v>9</v>
      </c>
      <c r="AI8" s="5"/>
      <c r="AJ8" s="134" t="s">
        <v>15</v>
      </c>
      <c r="AK8" s="200">
        <v>3</v>
      </c>
      <c r="AL8" s="200">
        <v>10</v>
      </c>
      <c r="AM8" s="200">
        <v>0</v>
      </c>
      <c r="AN8" s="200">
        <v>3</v>
      </c>
      <c r="AO8" s="200">
        <v>9</v>
      </c>
    </row>
    <row r="9" spans="1:41" ht="15.9" customHeight="1">
      <c r="A9" s="200" t="s">
        <v>13</v>
      </c>
      <c r="B9" s="134" t="s">
        <v>13</v>
      </c>
      <c r="C9" s="200">
        <v>42</v>
      </c>
      <c r="D9" s="200">
        <v>25</v>
      </c>
      <c r="E9" s="200">
        <v>0</v>
      </c>
      <c r="F9" s="200">
        <v>33</v>
      </c>
      <c r="G9" s="200">
        <v>34</v>
      </c>
      <c r="H9" s="134">
        <v>5</v>
      </c>
      <c r="I9" s="82"/>
      <c r="J9" s="193">
        <v>5</v>
      </c>
      <c r="K9" s="194" t="s">
        <v>13</v>
      </c>
      <c r="L9" s="194" t="s">
        <v>28</v>
      </c>
      <c r="M9" s="194" t="s">
        <v>79</v>
      </c>
      <c r="N9" s="194" t="s">
        <v>96</v>
      </c>
      <c r="O9" s="194" t="s">
        <v>12</v>
      </c>
      <c r="Q9" s="193">
        <v>5</v>
      </c>
      <c r="R9" s="193">
        <v>9</v>
      </c>
      <c r="S9" s="193">
        <v>12</v>
      </c>
      <c r="T9" s="193">
        <v>15</v>
      </c>
      <c r="U9" s="193">
        <v>4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4" t="s">
        <v>16</v>
      </c>
      <c r="AD9" s="200">
        <v>3</v>
      </c>
      <c r="AE9" s="200">
        <v>12</v>
      </c>
      <c r="AF9" s="200">
        <v>0</v>
      </c>
      <c r="AG9" s="200">
        <v>3</v>
      </c>
      <c r="AH9" s="200">
        <v>8</v>
      </c>
      <c r="AI9" s="5"/>
      <c r="AJ9" s="134" t="s">
        <v>16</v>
      </c>
      <c r="AK9" s="200">
        <v>3</v>
      </c>
      <c r="AL9" s="200">
        <v>12</v>
      </c>
      <c r="AM9" s="200">
        <v>0</v>
      </c>
      <c r="AN9" s="200">
        <v>3</v>
      </c>
      <c r="AO9" s="200">
        <v>8</v>
      </c>
    </row>
    <row r="10" spans="1:41" ht="15.9" customHeight="1">
      <c r="A10" s="200" t="s">
        <v>95</v>
      </c>
      <c r="B10" s="134" t="s">
        <v>95</v>
      </c>
      <c r="C10" s="200">
        <v>42</v>
      </c>
      <c r="D10" s="200">
        <v>25</v>
      </c>
      <c r="E10" s="200">
        <v>0</v>
      </c>
      <c r="F10" s="200">
        <v>34</v>
      </c>
      <c r="G10" s="200">
        <v>34</v>
      </c>
      <c r="H10" s="134">
        <v>6</v>
      </c>
      <c r="I10" s="82"/>
      <c r="J10" s="23">
        <v>6</v>
      </c>
      <c r="K10" s="194" t="s">
        <v>31</v>
      </c>
      <c r="L10" s="194" t="s">
        <v>87</v>
      </c>
      <c r="M10" s="194" t="s">
        <v>94</v>
      </c>
      <c r="N10" s="194" t="s">
        <v>31</v>
      </c>
      <c r="O10" s="194" t="s">
        <v>30</v>
      </c>
      <c r="Q10" s="193">
        <v>7</v>
      </c>
      <c r="R10" s="193">
        <v>19</v>
      </c>
      <c r="S10" s="193">
        <v>17</v>
      </c>
      <c r="T10" s="193">
        <v>7</v>
      </c>
      <c r="U10" s="193">
        <v>10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4" t="s">
        <v>12</v>
      </c>
      <c r="AD10" s="200">
        <v>7</v>
      </c>
      <c r="AE10" s="200">
        <v>13</v>
      </c>
      <c r="AF10" s="200">
        <v>0</v>
      </c>
      <c r="AG10" s="200">
        <v>7</v>
      </c>
      <c r="AH10" s="200">
        <v>14</v>
      </c>
      <c r="AI10" s="5"/>
      <c r="AJ10" s="134" t="s">
        <v>12</v>
      </c>
      <c r="AK10" s="200">
        <v>7</v>
      </c>
      <c r="AL10" s="200">
        <v>13</v>
      </c>
      <c r="AM10" s="200">
        <v>0</v>
      </c>
      <c r="AN10" s="200">
        <v>7</v>
      </c>
      <c r="AO10" s="200">
        <v>14</v>
      </c>
    </row>
    <row r="11" spans="1:41" ht="15.9" customHeight="1">
      <c r="A11" s="200" t="s">
        <v>31</v>
      </c>
      <c r="B11" s="134" t="s">
        <v>31</v>
      </c>
      <c r="C11" s="200">
        <v>42</v>
      </c>
      <c r="D11" s="200">
        <v>29</v>
      </c>
      <c r="E11" s="200">
        <v>0</v>
      </c>
      <c r="F11" s="200">
        <v>33</v>
      </c>
      <c r="G11" s="200">
        <v>33</v>
      </c>
      <c r="H11" s="134">
        <v>7</v>
      </c>
      <c r="I11" s="82"/>
      <c r="J11" s="193">
        <v>7</v>
      </c>
      <c r="K11" s="194" t="s">
        <v>13</v>
      </c>
      <c r="L11" s="194" t="s">
        <v>13</v>
      </c>
      <c r="M11" s="194" t="s">
        <v>96</v>
      </c>
      <c r="N11" s="194" t="s">
        <v>95</v>
      </c>
      <c r="O11" s="194" t="s">
        <v>31</v>
      </c>
      <c r="Q11" s="193">
        <v>5</v>
      </c>
      <c r="R11" s="193">
        <v>5</v>
      </c>
      <c r="S11" s="193">
        <v>15</v>
      </c>
      <c r="T11" s="193">
        <v>6</v>
      </c>
      <c r="U11" s="193">
        <v>7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4" t="s">
        <v>13</v>
      </c>
      <c r="AD11" s="200">
        <v>43</v>
      </c>
      <c r="AE11" s="200">
        <v>22</v>
      </c>
      <c r="AF11" s="200">
        <v>0</v>
      </c>
      <c r="AG11" s="200">
        <v>31</v>
      </c>
      <c r="AH11" s="200">
        <v>36</v>
      </c>
      <c r="AI11" s="5"/>
      <c r="AJ11" s="134" t="s">
        <v>13</v>
      </c>
      <c r="AK11" s="200">
        <v>43</v>
      </c>
      <c r="AL11" s="200">
        <v>22</v>
      </c>
      <c r="AM11" s="200">
        <v>0</v>
      </c>
      <c r="AN11" s="200">
        <v>31</v>
      </c>
      <c r="AO11" s="200">
        <v>36</v>
      </c>
    </row>
    <row r="12" spans="1:41" ht="15.9" customHeight="1">
      <c r="A12" s="200" t="s">
        <v>29</v>
      </c>
      <c r="B12" s="134" t="s">
        <v>29</v>
      </c>
      <c r="C12" s="200">
        <v>43</v>
      </c>
      <c r="D12" s="200">
        <v>26</v>
      </c>
      <c r="E12" s="200">
        <v>0</v>
      </c>
      <c r="F12" s="200">
        <v>34</v>
      </c>
      <c r="G12" s="200">
        <v>33</v>
      </c>
      <c r="H12" s="134">
        <v>8</v>
      </c>
      <c r="I12" s="82"/>
      <c r="J12" s="23">
        <v>8</v>
      </c>
      <c r="K12" s="194" t="s">
        <v>95</v>
      </c>
      <c r="L12" s="194" t="s">
        <v>30</v>
      </c>
      <c r="M12" s="194" t="s">
        <v>80</v>
      </c>
      <c r="N12" s="194" t="s">
        <v>30</v>
      </c>
      <c r="O12" s="194" t="s">
        <v>12</v>
      </c>
      <c r="Q12" s="193">
        <v>6</v>
      </c>
      <c r="R12" s="193">
        <v>10</v>
      </c>
      <c r="S12" s="193">
        <v>13</v>
      </c>
      <c r="T12" s="193">
        <v>10</v>
      </c>
      <c r="U12" s="193">
        <v>4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4" t="s">
        <v>95</v>
      </c>
      <c r="AD12" s="200">
        <v>42</v>
      </c>
      <c r="AE12" s="200">
        <v>22</v>
      </c>
      <c r="AF12" s="200">
        <v>0</v>
      </c>
      <c r="AG12" s="200">
        <v>27</v>
      </c>
      <c r="AH12" s="200">
        <v>34</v>
      </c>
      <c r="AI12" s="5"/>
      <c r="AJ12" s="134" t="s">
        <v>95</v>
      </c>
      <c r="AK12" s="200">
        <v>42</v>
      </c>
      <c r="AL12" s="200">
        <v>22</v>
      </c>
      <c r="AM12" s="200">
        <v>0</v>
      </c>
      <c r="AN12" s="200">
        <v>27</v>
      </c>
      <c r="AO12" s="200">
        <v>34</v>
      </c>
    </row>
    <row r="13" spans="1:41" ht="15.9" customHeight="1">
      <c r="A13" s="200" t="s">
        <v>28</v>
      </c>
      <c r="B13" s="134" t="s">
        <v>28</v>
      </c>
      <c r="C13" s="200">
        <v>7</v>
      </c>
      <c r="D13" s="200">
        <v>13</v>
      </c>
      <c r="E13" s="200">
        <v>0</v>
      </c>
      <c r="F13" s="200">
        <v>6</v>
      </c>
      <c r="G13" s="200">
        <v>13</v>
      </c>
      <c r="H13" s="134">
        <v>9</v>
      </c>
      <c r="I13" s="82"/>
      <c r="J13" s="193">
        <v>9</v>
      </c>
      <c r="K13" s="194" t="s">
        <v>15</v>
      </c>
      <c r="L13" s="194" t="s">
        <v>82</v>
      </c>
      <c r="M13" s="194" t="s">
        <v>82</v>
      </c>
      <c r="N13" s="194" t="s">
        <v>95</v>
      </c>
      <c r="O13" s="194" t="s">
        <v>13</v>
      </c>
      <c r="Q13" s="193">
        <v>2</v>
      </c>
      <c r="R13" s="193">
        <v>16</v>
      </c>
      <c r="S13" s="193">
        <v>16</v>
      </c>
      <c r="T13" s="193">
        <v>6</v>
      </c>
      <c r="U13" s="193">
        <v>5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4" t="s">
        <v>31</v>
      </c>
      <c r="AD13" s="200">
        <v>43</v>
      </c>
      <c r="AE13" s="200">
        <v>27</v>
      </c>
      <c r="AF13" s="200">
        <v>0</v>
      </c>
      <c r="AG13" s="200">
        <v>31</v>
      </c>
      <c r="AH13" s="200">
        <v>35</v>
      </c>
      <c r="AI13" s="5"/>
      <c r="AJ13" s="134" t="s">
        <v>31</v>
      </c>
      <c r="AK13" s="200">
        <v>43</v>
      </c>
      <c r="AL13" s="200">
        <v>27</v>
      </c>
      <c r="AM13" s="200">
        <v>0</v>
      </c>
      <c r="AN13" s="200">
        <v>31</v>
      </c>
      <c r="AO13" s="200">
        <v>35</v>
      </c>
    </row>
    <row r="14" spans="1:41" ht="15.9" customHeight="1">
      <c r="A14" s="200" t="s">
        <v>30</v>
      </c>
      <c r="B14" s="134" t="s">
        <v>30</v>
      </c>
      <c r="C14" s="200">
        <v>6</v>
      </c>
      <c r="D14" s="200">
        <v>8</v>
      </c>
      <c r="E14" s="200">
        <v>0</v>
      </c>
      <c r="F14" s="200">
        <v>7</v>
      </c>
      <c r="G14" s="200">
        <v>14</v>
      </c>
      <c r="H14" s="134">
        <v>10</v>
      </c>
      <c r="I14" s="82"/>
      <c r="J14" s="23">
        <v>10</v>
      </c>
      <c r="K14" s="194" t="s">
        <v>13</v>
      </c>
      <c r="L14" s="194" t="s">
        <v>14</v>
      </c>
      <c r="M14" s="194" t="s">
        <v>94</v>
      </c>
      <c r="N14" s="194" t="s">
        <v>13</v>
      </c>
      <c r="O14" s="194" t="s">
        <v>30</v>
      </c>
      <c r="Q14" s="193">
        <v>5</v>
      </c>
      <c r="R14" s="193">
        <v>1</v>
      </c>
      <c r="S14" s="193">
        <v>17</v>
      </c>
      <c r="T14" s="193">
        <v>5</v>
      </c>
      <c r="U14" s="193">
        <v>10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4" t="s">
        <v>29</v>
      </c>
      <c r="AD14" s="200">
        <v>43</v>
      </c>
      <c r="AE14" s="200">
        <v>24</v>
      </c>
      <c r="AF14" s="200">
        <v>0</v>
      </c>
      <c r="AG14" s="200">
        <v>32</v>
      </c>
      <c r="AH14" s="200">
        <v>34</v>
      </c>
      <c r="AI14" s="5"/>
      <c r="AJ14" s="134" t="s">
        <v>29</v>
      </c>
      <c r="AK14" s="200">
        <v>43</v>
      </c>
      <c r="AL14" s="200">
        <v>24</v>
      </c>
      <c r="AM14" s="200">
        <v>0</v>
      </c>
      <c r="AN14" s="200">
        <v>32</v>
      </c>
      <c r="AO14" s="200">
        <v>34</v>
      </c>
    </row>
    <row r="15" spans="1:41" ht="15.9" customHeight="1">
      <c r="A15" s="201" t="s">
        <v>78</v>
      </c>
      <c r="B15" s="199" t="s">
        <v>312</v>
      </c>
      <c r="C15" s="201">
        <v>0</v>
      </c>
      <c r="D15" s="201">
        <v>2</v>
      </c>
      <c r="E15" s="201">
        <v>3</v>
      </c>
      <c r="F15" s="201">
        <v>1</v>
      </c>
      <c r="G15" s="201">
        <v>0</v>
      </c>
      <c r="H15" s="199">
        <v>11</v>
      </c>
      <c r="I15" s="82"/>
      <c r="J15" s="193">
        <v>11</v>
      </c>
      <c r="K15" s="194" t="s">
        <v>95</v>
      </c>
      <c r="L15" s="194" t="s">
        <v>16</v>
      </c>
      <c r="M15" s="194" t="s">
        <v>82</v>
      </c>
      <c r="N15" s="194" t="s">
        <v>14</v>
      </c>
      <c r="O15" s="194" t="s">
        <v>13</v>
      </c>
      <c r="Q15" s="193">
        <v>6</v>
      </c>
      <c r="R15" s="193">
        <v>3</v>
      </c>
      <c r="S15" s="193">
        <v>16</v>
      </c>
      <c r="T15" s="193">
        <v>1</v>
      </c>
      <c r="U15" s="193">
        <v>5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4" t="s">
        <v>28</v>
      </c>
      <c r="AD15" s="200">
        <v>7</v>
      </c>
      <c r="AE15" s="200">
        <v>12</v>
      </c>
      <c r="AF15" s="200">
        <v>0</v>
      </c>
      <c r="AG15" s="200">
        <v>6</v>
      </c>
      <c r="AH15" s="200">
        <v>13</v>
      </c>
      <c r="AI15" s="5"/>
      <c r="AJ15" s="134" t="s">
        <v>28</v>
      </c>
      <c r="AK15" s="200">
        <v>7</v>
      </c>
      <c r="AL15" s="200">
        <v>12</v>
      </c>
      <c r="AM15" s="200">
        <v>0</v>
      </c>
      <c r="AN15" s="200">
        <v>6</v>
      </c>
      <c r="AO15" s="200">
        <v>13</v>
      </c>
    </row>
    <row r="16" spans="1:41" ht="15.9" customHeight="1">
      <c r="A16" s="201" t="s">
        <v>79</v>
      </c>
      <c r="B16" s="199" t="s">
        <v>313</v>
      </c>
      <c r="C16" s="201">
        <v>0</v>
      </c>
      <c r="D16" s="201">
        <v>2</v>
      </c>
      <c r="E16" s="201">
        <v>6</v>
      </c>
      <c r="F16" s="201">
        <v>1</v>
      </c>
      <c r="G16" s="201">
        <v>0</v>
      </c>
      <c r="H16" s="199">
        <v>12</v>
      </c>
      <c r="I16" s="82"/>
      <c r="J16" s="23">
        <v>12</v>
      </c>
      <c r="K16" s="194" t="s">
        <v>29</v>
      </c>
      <c r="L16" s="194" t="s">
        <v>95</v>
      </c>
      <c r="M16" s="194" t="s">
        <v>94</v>
      </c>
      <c r="N16" s="194" t="s">
        <v>96</v>
      </c>
      <c r="O16" s="194" t="s">
        <v>28</v>
      </c>
      <c r="Q16" s="193">
        <v>8</v>
      </c>
      <c r="R16" s="193">
        <v>6</v>
      </c>
      <c r="S16" s="193">
        <v>17</v>
      </c>
      <c r="T16" s="193">
        <v>15</v>
      </c>
      <c r="U16" s="193">
        <v>9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4" t="s">
        <v>30</v>
      </c>
      <c r="AD16" s="200">
        <v>7</v>
      </c>
      <c r="AE16" s="200">
        <v>8</v>
      </c>
      <c r="AF16" s="200">
        <v>0</v>
      </c>
      <c r="AG16" s="200">
        <v>7</v>
      </c>
      <c r="AH16" s="200">
        <v>14</v>
      </c>
      <c r="AI16" s="5"/>
      <c r="AJ16" s="134" t="s">
        <v>30</v>
      </c>
      <c r="AK16" s="200">
        <v>7</v>
      </c>
      <c r="AL16" s="200">
        <v>8</v>
      </c>
      <c r="AM16" s="200">
        <v>0</v>
      </c>
      <c r="AN16" s="200">
        <v>7</v>
      </c>
      <c r="AO16" s="200">
        <v>14</v>
      </c>
    </row>
    <row r="17" spans="1:41" ht="15.9" customHeight="1">
      <c r="A17" s="201" t="s">
        <v>80</v>
      </c>
      <c r="B17" s="199" t="s">
        <v>314</v>
      </c>
      <c r="C17" s="201">
        <v>0</v>
      </c>
      <c r="D17" s="201">
        <v>2</v>
      </c>
      <c r="E17" s="201">
        <v>8</v>
      </c>
      <c r="F17" s="201">
        <v>2</v>
      </c>
      <c r="G17" s="201">
        <v>0</v>
      </c>
      <c r="H17" s="199">
        <v>13</v>
      </c>
      <c r="I17" s="82"/>
      <c r="J17" s="193">
        <v>13</v>
      </c>
      <c r="K17" s="194" t="s">
        <v>31</v>
      </c>
      <c r="L17" s="194" t="s">
        <v>29</v>
      </c>
      <c r="M17" s="194" t="s">
        <v>96</v>
      </c>
      <c r="N17" s="194" t="s">
        <v>31</v>
      </c>
      <c r="O17" s="194" t="s">
        <v>13</v>
      </c>
      <c r="Q17" s="193">
        <v>7</v>
      </c>
      <c r="R17" s="193">
        <v>8</v>
      </c>
      <c r="S17" s="193">
        <v>15</v>
      </c>
      <c r="T17" s="193">
        <v>7</v>
      </c>
      <c r="U17" s="193">
        <v>5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9" t="s">
        <v>78</v>
      </c>
      <c r="AD17" s="201">
        <v>0</v>
      </c>
      <c r="AE17" s="201">
        <v>3</v>
      </c>
      <c r="AF17" s="201">
        <v>3</v>
      </c>
      <c r="AG17" s="201">
        <v>2</v>
      </c>
      <c r="AH17" s="201">
        <v>0</v>
      </c>
      <c r="AI17" s="5"/>
      <c r="AJ17" s="199" t="s">
        <v>78</v>
      </c>
      <c r="AK17" s="201">
        <v>0</v>
      </c>
      <c r="AL17" s="201">
        <v>3</v>
      </c>
      <c r="AM17" s="201">
        <v>3</v>
      </c>
      <c r="AN17" s="201">
        <v>2</v>
      </c>
      <c r="AO17" s="201">
        <v>0</v>
      </c>
    </row>
    <row r="18" spans="1:41" ht="15.9" customHeight="1">
      <c r="A18" s="201" t="s">
        <v>81</v>
      </c>
      <c r="B18" s="199" t="s">
        <v>315</v>
      </c>
      <c r="C18" s="201">
        <v>0</v>
      </c>
      <c r="D18" s="201">
        <v>5</v>
      </c>
      <c r="E18" s="201">
        <v>42</v>
      </c>
      <c r="F18" s="201">
        <v>7</v>
      </c>
      <c r="G18" s="201">
        <v>0</v>
      </c>
      <c r="H18" s="199">
        <v>14</v>
      </c>
      <c r="I18" s="82"/>
      <c r="J18" s="23">
        <v>14</v>
      </c>
      <c r="K18" s="194" t="s">
        <v>28</v>
      </c>
      <c r="L18" s="194" t="s">
        <v>16</v>
      </c>
      <c r="M18" s="194" t="s">
        <v>81</v>
      </c>
      <c r="N18" s="194" t="s">
        <v>96</v>
      </c>
      <c r="O18" s="194" t="s">
        <v>95</v>
      </c>
      <c r="Q18" s="193">
        <v>9</v>
      </c>
      <c r="R18" s="193">
        <v>3</v>
      </c>
      <c r="S18" s="193">
        <v>14</v>
      </c>
      <c r="T18" s="193">
        <v>15</v>
      </c>
      <c r="U18" s="193">
        <v>6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9" t="s">
        <v>79</v>
      </c>
      <c r="AD18" s="201">
        <v>0</v>
      </c>
      <c r="AE18" s="201">
        <v>4</v>
      </c>
      <c r="AF18" s="201">
        <v>1</v>
      </c>
      <c r="AG18" s="201">
        <v>2</v>
      </c>
      <c r="AH18" s="201">
        <v>0</v>
      </c>
      <c r="AI18" s="5"/>
      <c r="AJ18" s="199" t="s">
        <v>79</v>
      </c>
      <c r="AK18" s="201">
        <v>0</v>
      </c>
      <c r="AL18" s="201">
        <v>4</v>
      </c>
      <c r="AM18" s="201">
        <v>1</v>
      </c>
      <c r="AN18" s="201">
        <v>2</v>
      </c>
      <c r="AO18" s="201">
        <v>0</v>
      </c>
    </row>
    <row r="19" spans="1:41" ht="15.9" customHeight="1">
      <c r="A19" s="201" t="s">
        <v>96</v>
      </c>
      <c r="B19" s="199" t="s">
        <v>316</v>
      </c>
      <c r="C19" s="201">
        <v>0</v>
      </c>
      <c r="D19" s="201">
        <v>5</v>
      </c>
      <c r="E19" s="201">
        <v>42</v>
      </c>
      <c r="F19" s="201">
        <v>6</v>
      </c>
      <c r="G19" s="201">
        <v>0</v>
      </c>
      <c r="H19" s="199">
        <v>15</v>
      </c>
      <c r="I19" s="82"/>
      <c r="J19" s="193">
        <v>15</v>
      </c>
      <c r="K19" s="194" t="s">
        <v>31</v>
      </c>
      <c r="L19" s="194" t="s">
        <v>94</v>
      </c>
      <c r="M19" s="194" t="s">
        <v>94</v>
      </c>
      <c r="N19" s="194" t="s">
        <v>79</v>
      </c>
      <c r="O19" s="194" t="s">
        <v>28</v>
      </c>
      <c r="Q19" s="193">
        <v>7</v>
      </c>
      <c r="R19" s="193">
        <v>17</v>
      </c>
      <c r="S19" s="193">
        <v>17</v>
      </c>
      <c r="T19" s="193">
        <v>12</v>
      </c>
      <c r="U19" s="193">
        <v>9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9" t="s">
        <v>80</v>
      </c>
      <c r="AD19" s="201">
        <v>0</v>
      </c>
      <c r="AE19" s="201">
        <v>4</v>
      </c>
      <c r="AF19" s="201">
        <v>8</v>
      </c>
      <c r="AG19" s="201">
        <v>3</v>
      </c>
      <c r="AH19" s="201">
        <v>0</v>
      </c>
      <c r="AI19" s="5"/>
      <c r="AJ19" s="199" t="s">
        <v>80</v>
      </c>
      <c r="AK19" s="201">
        <v>0</v>
      </c>
      <c r="AL19" s="201">
        <v>4</v>
      </c>
      <c r="AM19" s="201">
        <v>8</v>
      </c>
      <c r="AN19" s="201">
        <v>3</v>
      </c>
      <c r="AO19" s="201">
        <v>0</v>
      </c>
    </row>
    <row r="20" spans="1:41" ht="15.9" customHeight="1">
      <c r="A20" s="201" t="s">
        <v>82</v>
      </c>
      <c r="B20" s="199" t="s">
        <v>317</v>
      </c>
      <c r="C20" s="201">
        <v>0</v>
      </c>
      <c r="D20" s="201">
        <v>7</v>
      </c>
      <c r="E20" s="201">
        <v>42</v>
      </c>
      <c r="F20" s="201">
        <v>6</v>
      </c>
      <c r="G20" s="201">
        <v>0</v>
      </c>
      <c r="H20" s="199">
        <v>16</v>
      </c>
      <c r="I20" s="82"/>
      <c r="J20" s="23">
        <v>16</v>
      </c>
      <c r="K20" s="194" t="s">
        <v>13</v>
      </c>
      <c r="L20" s="194" t="s">
        <v>12</v>
      </c>
      <c r="M20" s="194" t="s">
        <v>82</v>
      </c>
      <c r="N20" s="194" t="s">
        <v>95</v>
      </c>
      <c r="O20" s="194" t="s">
        <v>29</v>
      </c>
      <c r="Q20" s="193">
        <v>5</v>
      </c>
      <c r="R20" s="193">
        <v>4</v>
      </c>
      <c r="S20" s="193">
        <v>16</v>
      </c>
      <c r="T20" s="193">
        <v>6</v>
      </c>
      <c r="U20" s="193">
        <v>8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9" t="s">
        <v>81</v>
      </c>
      <c r="AD20" s="201">
        <v>0</v>
      </c>
      <c r="AE20" s="201">
        <v>9</v>
      </c>
      <c r="AF20" s="201">
        <v>43</v>
      </c>
      <c r="AG20" s="201">
        <v>12</v>
      </c>
      <c r="AH20" s="201">
        <v>0</v>
      </c>
      <c r="AI20" s="5"/>
      <c r="AJ20" s="199" t="s">
        <v>81</v>
      </c>
      <c r="AK20" s="201">
        <v>0</v>
      </c>
      <c r="AL20" s="201">
        <v>9</v>
      </c>
      <c r="AM20" s="201">
        <v>43</v>
      </c>
      <c r="AN20" s="201">
        <v>12</v>
      </c>
      <c r="AO20" s="201">
        <v>0</v>
      </c>
    </row>
    <row r="21" spans="1:41" ht="15.9" customHeight="1">
      <c r="A21" s="201" t="s">
        <v>94</v>
      </c>
      <c r="B21" s="199" t="s">
        <v>318</v>
      </c>
      <c r="C21" s="201">
        <v>0</v>
      </c>
      <c r="D21" s="201">
        <v>5</v>
      </c>
      <c r="E21" s="201">
        <v>42</v>
      </c>
      <c r="F21" s="201">
        <v>6</v>
      </c>
      <c r="G21" s="201">
        <v>0</v>
      </c>
      <c r="H21" s="199">
        <v>17</v>
      </c>
      <c r="I21" s="82"/>
      <c r="J21" s="193">
        <v>17</v>
      </c>
      <c r="K21" s="194" t="s">
        <v>16</v>
      </c>
      <c r="L21" s="194" t="s">
        <v>30</v>
      </c>
      <c r="M21" s="194" t="s">
        <v>94</v>
      </c>
      <c r="N21" s="194" t="s">
        <v>13</v>
      </c>
      <c r="O21" s="194" t="s">
        <v>15</v>
      </c>
      <c r="Q21" s="193">
        <v>3</v>
      </c>
      <c r="R21" s="193">
        <v>10</v>
      </c>
      <c r="S21" s="193">
        <v>17</v>
      </c>
      <c r="T21" s="193">
        <v>5</v>
      </c>
      <c r="U21" s="193">
        <v>2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9" t="s">
        <v>96</v>
      </c>
      <c r="AD21" s="201">
        <v>0</v>
      </c>
      <c r="AE21" s="201">
        <v>9</v>
      </c>
      <c r="AF21" s="201">
        <v>42</v>
      </c>
      <c r="AG21" s="201">
        <v>13</v>
      </c>
      <c r="AH21" s="201">
        <v>0</v>
      </c>
      <c r="AI21" s="5"/>
      <c r="AJ21" s="199" t="s">
        <v>96</v>
      </c>
      <c r="AK21" s="201">
        <v>0</v>
      </c>
      <c r="AL21" s="201">
        <v>9</v>
      </c>
      <c r="AM21" s="201">
        <v>42</v>
      </c>
      <c r="AN21" s="201">
        <v>13</v>
      </c>
      <c r="AO21" s="201">
        <v>0</v>
      </c>
    </row>
    <row r="22" spans="1:41" ht="15.9" customHeight="1">
      <c r="A22" s="201" t="s">
        <v>85</v>
      </c>
      <c r="B22" s="199" t="s">
        <v>319</v>
      </c>
      <c r="C22" s="201">
        <v>0</v>
      </c>
      <c r="D22" s="201">
        <v>2</v>
      </c>
      <c r="E22" s="201">
        <v>6</v>
      </c>
      <c r="F22" s="201">
        <v>1</v>
      </c>
      <c r="G22" s="201">
        <v>0</v>
      </c>
      <c r="H22" s="199">
        <v>18</v>
      </c>
      <c r="I22" s="82"/>
      <c r="J22" s="23">
        <v>18</v>
      </c>
      <c r="K22" s="194" t="s">
        <v>29</v>
      </c>
      <c r="L22" s="194" t="s">
        <v>12</v>
      </c>
      <c r="M22" s="194" t="s">
        <v>81</v>
      </c>
      <c r="N22" s="194" t="s">
        <v>95</v>
      </c>
      <c r="O22" s="194" t="s">
        <v>13</v>
      </c>
      <c r="Q22" s="193">
        <v>8</v>
      </c>
      <c r="R22" s="193">
        <v>4</v>
      </c>
      <c r="S22" s="193">
        <v>14</v>
      </c>
      <c r="T22" s="193">
        <v>6</v>
      </c>
      <c r="U22" s="193">
        <v>5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9" t="s">
        <v>82</v>
      </c>
      <c r="AD22" s="201">
        <v>0</v>
      </c>
      <c r="AE22" s="201">
        <v>11</v>
      </c>
      <c r="AF22" s="201">
        <v>42</v>
      </c>
      <c r="AG22" s="201">
        <v>11</v>
      </c>
      <c r="AH22" s="201">
        <v>0</v>
      </c>
      <c r="AI22" s="5"/>
      <c r="AJ22" s="199" t="s">
        <v>82</v>
      </c>
      <c r="AK22" s="201">
        <v>0</v>
      </c>
      <c r="AL22" s="201">
        <v>11</v>
      </c>
      <c r="AM22" s="201">
        <v>42</v>
      </c>
      <c r="AN22" s="201">
        <v>11</v>
      </c>
      <c r="AO22" s="201">
        <v>0</v>
      </c>
    </row>
    <row r="23" spans="1:41" ht="15.9" customHeight="1">
      <c r="A23" s="201" t="s">
        <v>87</v>
      </c>
      <c r="B23" s="199" t="s">
        <v>320</v>
      </c>
      <c r="C23" s="201">
        <v>0</v>
      </c>
      <c r="D23" s="201">
        <v>2</v>
      </c>
      <c r="E23" s="201">
        <v>9</v>
      </c>
      <c r="F23" s="201">
        <v>2</v>
      </c>
      <c r="G23" s="201">
        <v>0</v>
      </c>
      <c r="H23" s="199">
        <v>19</v>
      </c>
      <c r="I23" s="82"/>
      <c r="J23" s="193">
        <v>19</v>
      </c>
      <c r="K23" s="194" t="s">
        <v>13</v>
      </c>
      <c r="L23" s="194" t="s">
        <v>13</v>
      </c>
      <c r="M23" s="194" t="s">
        <v>80</v>
      </c>
      <c r="N23" s="194" t="s">
        <v>13</v>
      </c>
      <c r="O23" s="194" t="s">
        <v>95</v>
      </c>
      <c r="Q23" s="193">
        <v>5</v>
      </c>
      <c r="R23" s="193">
        <v>5</v>
      </c>
      <c r="S23" s="193">
        <v>13</v>
      </c>
      <c r="T23" s="193">
        <v>5</v>
      </c>
      <c r="U23" s="193">
        <v>6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9" t="s">
        <v>94</v>
      </c>
      <c r="AD23" s="201">
        <v>0</v>
      </c>
      <c r="AE23" s="201">
        <v>10</v>
      </c>
      <c r="AF23" s="201">
        <v>44</v>
      </c>
      <c r="AG23" s="201">
        <v>11</v>
      </c>
      <c r="AH23" s="201">
        <v>0</v>
      </c>
      <c r="AI23" s="5"/>
      <c r="AJ23" s="199" t="s">
        <v>94</v>
      </c>
      <c r="AK23" s="201">
        <v>0</v>
      </c>
      <c r="AL23" s="201">
        <v>10</v>
      </c>
      <c r="AM23" s="201">
        <v>44</v>
      </c>
      <c r="AN23" s="201">
        <v>11</v>
      </c>
      <c r="AO23" s="201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29</v>
      </c>
      <c r="L24" s="194" t="s">
        <v>31</v>
      </c>
      <c r="M24" s="194" t="s">
        <v>82</v>
      </c>
      <c r="N24" s="194" t="s">
        <v>14</v>
      </c>
      <c r="O24" s="194" t="s">
        <v>30</v>
      </c>
      <c r="Q24" s="193">
        <v>8</v>
      </c>
      <c r="R24" s="193">
        <v>7</v>
      </c>
      <c r="S24" s="193">
        <v>16</v>
      </c>
      <c r="T24" s="193">
        <v>1</v>
      </c>
      <c r="U24" s="193">
        <v>10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9" t="s">
        <v>85</v>
      </c>
      <c r="AD24" s="201">
        <v>0</v>
      </c>
      <c r="AE24" s="201">
        <v>4</v>
      </c>
      <c r="AF24" s="201">
        <v>6</v>
      </c>
      <c r="AG24" s="201">
        <v>2</v>
      </c>
      <c r="AH24" s="201">
        <v>0</v>
      </c>
      <c r="AI24" s="5"/>
      <c r="AJ24" s="199" t="s">
        <v>85</v>
      </c>
      <c r="AK24" s="201">
        <v>0</v>
      </c>
      <c r="AL24" s="201">
        <v>4</v>
      </c>
      <c r="AM24" s="201">
        <v>6</v>
      </c>
      <c r="AN24" s="201">
        <v>2</v>
      </c>
      <c r="AO24" s="201">
        <v>0</v>
      </c>
    </row>
    <row r="25" spans="1:41" ht="16.5" customHeight="1">
      <c r="I25" s="82"/>
      <c r="J25" s="193">
        <v>21</v>
      </c>
      <c r="K25" s="194" t="s">
        <v>13</v>
      </c>
      <c r="L25" s="194" t="s">
        <v>15</v>
      </c>
      <c r="M25" s="194" t="s">
        <v>96</v>
      </c>
      <c r="N25" s="194" t="s">
        <v>31</v>
      </c>
      <c r="O25" s="194" t="s">
        <v>31</v>
      </c>
      <c r="Q25" s="193">
        <v>5</v>
      </c>
      <c r="R25" s="193">
        <v>2</v>
      </c>
      <c r="S25" s="193">
        <v>15</v>
      </c>
      <c r="T25" s="193">
        <v>7</v>
      </c>
      <c r="U25" s="193">
        <v>7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9" t="s">
        <v>87</v>
      </c>
      <c r="AD25" s="201">
        <v>0</v>
      </c>
      <c r="AE25" s="201">
        <v>3</v>
      </c>
      <c r="AF25" s="201">
        <v>9</v>
      </c>
      <c r="AG25" s="201">
        <v>3</v>
      </c>
      <c r="AH25" s="201">
        <v>0</v>
      </c>
      <c r="AI25" s="5"/>
      <c r="AJ25" s="199" t="s">
        <v>87</v>
      </c>
      <c r="AK25" s="201">
        <v>0</v>
      </c>
      <c r="AL25" s="201">
        <v>3</v>
      </c>
      <c r="AM25" s="201">
        <v>9</v>
      </c>
      <c r="AN25" s="201">
        <v>3</v>
      </c>
      <c r="AO25" s="201">
        <v>0</v>
      </c>
    </row>
    <row r="26" spans="1:41" ht="16.5" customHeight="1">
      <c r="B26" s="5" t="s">
        <v>298</v>
      </c>
      <c r="C26" s="5">
        <v>1</v>
      </c>
      <c r="D26" s="156">
        <v>0.84</v>
      </c>
      <c r="E26" s="156">
        <v>0</v>
      </c>
      <c r="F26" s="156">
        <v>0.84</v>
      </c>
      <c r="G26" s="5">
        <v>1</v>
      </c>
      <c r="I26" s="82"/>
      <c r="J26" s="23">
        <v>22</v>
      </c>
      <c r="K26" s="194" t="s">
        <v>95</v>
      </c>
      <c r="L26" s="194" t="s">
        <v>30</v>
      </c>
      <c r="M26" s="194" t="s">
        <v>78</v>
      </c>
      <c r="N26" s="194" t="s">
        <v>95</v>
      </c>
      <c r="O26" s="194" t="s">
        <v>95</v>
      </c>
      <c r="Q26" s="193">
        <v>6</v>
      </c>
      <c r="R26" s="193">
        <v>10</v>
      </c>
      <c r="S26" s="193">
        <v>11</v>
      </c>
      <c r="T26" s="193">
        <v>6</v>
      </c>
      <c r="U26" s="193">
        <v>6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3">
        <v>199</v>
      </c>
      <c r="AE26" s="103">
        <v>208</v>
      </c>
      <c r="AF26" s="103">
        <v>198</v>
      </c>
      <c r="AG26" s="103">
        <v>207</v>
      </c>
      <c r="AH26" s="103">
        <v>198</v>
      </c>
      <c r="AI26" s="5"/>
      <c r="AK26" s="103">
        <v>199</v>
      </c>
      <c r="AL26" s="103">
        <v>208</v>
      </c>
      <c r="AM26" s="103">
        <v>198</v>
      </c>
      <c r="AN26" s="103">
        <v>207</v>
      </c>
      <c r="AO26" s="103">
        <v>198</v>
      </c>
    </row>
    <row r="27" spans="1:41" ht="16.5" customHeight="1">
      <c r="B27" s="5" t="s">
        <v>321</v>
      </c>
      <c r="C27" s="5">
        <v>0</v>
      </c>
      <c r="D27" s="156">
        <v>0.16</v>
      </c>
      <c r="E27" s="156">
        <v>1</v>
      </c>
      <c r="F27" s="156">
        <v>0.16</v>
      </c>
      <c r="G27" s="5">
        <v>0</v>
      </c>
      <c r="I27" s="82"/>
      <c r="J27" s="193">
        <v>23</v>
      </c>
      <c r="K27" s="194" t="s">
        <v>13</v>
      </c>
      <c r="L27" s="194" t="s">
        <v>13</v>
      </c>
      <c r="M27" s="194" t="s">
        <v>96</v>
      </c>
      <c r="N27" s="194" t="s">
        <v>29</v>
      </c>
      <c r="O27" s="194" t="s">
        <v>14</v>
      </c>
      <c r="Q27" s="193">
        <v>5</v>
      </c>
      <c r="R27" s="193">
        <v>5</v>
      </c>
      <c r="S27" s="193">
        <v>15</v>
      </c>
      <c r="T27" s="193">
        <v>8</v>
      </c>
      <c r="U27" s="193">
        <v>1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4" t="s">
        <v>12</v>
      </c>
      <c r="L28" s="194" t="s">
        <v>16</v>
      </c>
      <c r="M28" s="194" t="s">
        <v>81</v>
      </c>
      <c r="N28" s="194" t="s">
        <v>12</v>
      </c>
      <c r="O28" s="194" t="s">
        <v>31</v>
      </c>
      <c r="Q28" s="193">
        <v>4</v>
      </c>
      <c r="R28" s="193">
        <v>3</v>
      </c>
      <c r="S28" s="193">
        <v>14</v>
      </c>
      <c r="T28" s="193">
        <v>4</v>
      </c>
      <c r="U28" s="193">
        <v>7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295</v>
      </c>
      <c r="AH28" s="5"/>
      <c r="AI28" s="5"/>
      <c r="AJ28" s="25" t="s">
        <v>295</v>
      </c>
      <c r="AO28" s="5"/>
    </row>
    <row r="29" spans="1:41" ht="16.5" customHeight="1">
      <c r="I29" s="82"/>
      <c r="J29" s="193">
        <v>25</v>
      </c>
      <c r="K29" s="194" t="s">
        <v>31</v>
      </c>
      <c r="L29" s="194" t="s">
        <v>29</v>
      </c>
      <c r="M29" s="194" t="s">
        <v>96</v>
      </c>
      <c r="N29" s="194" t="s">
        <v>31</v>
      </c>
      <c r="O29" s="194" t="s">
        <v>13</v>
      </c>
      <c r="Q29" s="193">
        <v>7</v>
      </c>
      <c r="R29" s="193">
        <v>8</v>
      </c>
      <c r="S29" s="193">
        <v>15</v>
      </c>
      <c r="T29" s="193">
        <v>7</v>
      </c>
      <c r="U29" s="193">
        <v>5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>
      <c r="I30" s="82"/>
      <c r="J30" s="23">
        <v>26</v>
      </c>
      <c r="K30" s="194" t="s">
        <v>13</v>
      </c>
      <c r="L30" s="194" t="s">
        <v>82</v>
      </c>
      <c r="M30" s="194" t="s">
        <v>82</v>
      </c>
      <c r="N30" s="194" t="s">
        <v>95</v>
      </c>
      <c r="O30" s="194" t="s">
        <v>29</v>
      </c>
      <c r="Q30" s="193">
        <v>5</v>
      </c>
      <c r="R30" s="193">
        <v>16</v>
      </c>
      <c r="S30" s="193">
        <v>16</v>
      </c>
      <c r="T30" s="193">
        <v>6</v>
      </c>
      <c r="U30" s="193">
        <v>8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9" t="s">
        <v>293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293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>
      <c r="I31" s="82"/>
      <c r="J31" s="193">
        <v>27</v>
      </c>
      <c r="K31" s="194" t="s">
        <v>31</v>
      </c>
      <c r="L31" s="194" t="s">
        <v>15</v>
      </c>
      <c r="M31" s="194" t="s">
        <v>81</v>
      </c>
      <c r="N31" s="194" t="s">
        <v>29</v>
      </c>
      <c r="O31" s="194" t="s">
        <v>12</v>
      </c>
      <c r="Q31" s="193">
        <v>7</v>
      </c>
      <c r="R31" s="193">
        <v>2</v>
      </c>
      <c r="S31" s="193">
        <v>14</v>
      </c>
      <c r="T31" s="193">
        <v>8</v>
      </c>
      <c r="U31" s="193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9" t="s">
        <v>14</v>
      </c>
      <c r="AD31" s="199">
        <v>1</v>
      </c>
      <c r="AE31" s="199">
        <v>1</v>
      </c>
      <c r="AF31" s="199">
        <v>0</v>
      </c>
      <c r="AG31" s="199">
        <v>1</v>
      </c>
      <c r="AH31" s="199">
        <v>1</v>
      </c>
      <c r="AI31" s="5"/>
      <c r="AJ31" s="199" t="s">
        <v>14</v>
      </c>
      <c r="AK31" s="199">
        <v>1</v>
      </c>
      <c r="AL31" s="199">
        <v>1</v>
      </c>
      <c r="AM31" s="199">
        <v>0</v>
      </c>
      <c r="AN31" s="199">
        <v>1</v>
      </c>
      <c r="AO31" s="199">
        <v>1</v>
      </c>
    </row>
    <row r="32" spans="1:41" ht="16.5" customHeight="1">
      <c r="J32" s="23">
        <v>28</v>
      </c>
      <c r="K32" s="194" t="s">
        <v>13</v>
      </c>
      <c r="L32" s="194" t="s">
        <v>31</v>
      </c>
      <c r="M32" s="194" t="s">
        <v>80</v>
      </c>
      <c r="N32" s="194" t="s">
        <v>95</v>
      </c>
      <c r="O32" s="194" t="s">
        <v>31</v>
      </c>
      <c r="Q32" s="193">
        <v>5</v>
      </c>
      <c r="R32" s="193">
        <v>7</v>
      </c>
      <c r="S32" s="193">
        <v>13</v>
      </c>
      <c r="T32" s="193">
        <v>6</v>
      </c>
      <c r="U32" s="193">
        <v>7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4" t="s">
        <v>15</v>
      </c>
      <c r="AD32" s="200">
        <v>3</v>
      </c>
      <c r="AE32" s="200">
        <v>10</v>
      </c>
      <c r="AF32" s="200">
        <v>0</v>
      </c>
      <c r="AG32" s="200">
        <v>3</v>
      </c>
      <c r="AH32" s="200">
        <v>9</v>
      </c>
      <c r="AI32" s="5"/>
      <c r="AJ32" s="134" t="s">
        <v>15</v>
      </c>
      <c r="AK32" s="200">
        <v>3</v>
      </c>
      <c r="AL32" s="200">
        <v>10</v>
      </c>
      <c r="AM32" s="200">
        <v>0</v>
      </c>
      <c r="AN32" s="200">
        <v>3</v>
      </c>
      <c r="AO32" s="200">
        <v>9</v>
      </c>
    </row>
    <row r="33" spans="10:41" ht="16.5" customHeight="1">
      <c r="J33" s="193">
        <v>29</v>
      </c>
      <c r="K33" s="194" t="s">
        <v>95</v>
      </c>
      <c r="L33" s="194" t="s">
        <v>29</v>
      </c>
      <c r="M33" s="194" t="s">
        <v>82</v>
      </c>
      <c r="N33" s="194" t="s">
        <v>85</v>
      </c>
      <c r="O33" s="194" t="s">
        <v>13</v>
      </c>
      <c r="Q33" s="193">
        <v>6</v>
      </c>
      <c r="R33" s="193">
        <v>8</v>
      </c>
      <c r="S33" s="193">
        <v>16</v>
      </c>
      <c r="T33" s="193">
        <v>18</v>
      </c>
      <c r="U33" s="193">
        <v>5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4" t="s">
        <v>16</v>
      </c>
      <c r="AD33" s="200">
        <v>3</v>
      </c>
      <c r="AE33" s="200">
        <v>12</v>
      </c>
      <c r="AF33" s="200">
        <v>0</v>
      </c>
      <c r="AG33" s="200">
        <v>3</v>
      </c>
      <c r="AH33" s="200">
        <v>8</v>
      </c>
      <c r="AI33" s="5"/>
      <c r="AJ33" s="134" t="s">
        <v>16</v>
      </c>
      <c r="AK33" s="200">
        <v>3</v>
      </c>
      <c r="AL33" s="200">
        <v>12</v>
      </c>
      <c r="AM33" s="200">
        <v>0</v>
      </c>
      <c r="AN33" s="200">
        <v>3</v>
      </c>
      <c r="AO33" s="200">
        <v>8</v>
      </c>
    </row>
    <row r="34" spans="10:41" ht="16.5" customHeight="1">
      <c r="J34" s="23">
        <v>30</v>
      </c>
      <c r="K34" s="194" t="s">
        <v>13</v>
      </c>
      <c r="L34" s="194" t="s">
        <v>15</v>
      </c>
      <c r="M34" s="194" t="s">
        <v>81</v>
      </c>
      <c r="N34" s="194" t="s">
        <v>13</v>
      </c>
      <c r="O34" s="194" t="s">
        <v>31</v>
      </c>
      <c r="Q34" s="193">
        <v>5</v>
      </c>
      <c r="R34" s="193">
        <v>2</v>
      </c>
      <c r="S34" s="193">
        <v>14</v>
      </c>
      <c r="T34" s="193">
        <v>5</v>
      </c>
      <c r="U34" s="193">
        <v>7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4" t="s">
        <v>12</v>
      </c>
      <c r="AD34" s="200">
        <v>7</v>
      </c>
      <c r="AE34" s="200">
        <v>13</v>
      </c>
      <c r="AF34" s="200">
        <v>0</v>
      </c>
      <c r="AG34" s="200">
        <v>7</v>
      </c>
      <c r="AH34" s="200">
        <v>14</v>
      </c>
      <c r="AI34" s="5"/>
      <c r="AJ34" s="134" t="s">
        <v>12</v>
      </c>
      <c r="AK34" s="200">
        <v>7</v>
      </c>
      <c r="AL34" s="200">
        <v>13</v>
      </c>
      <c r="AM34" s="200">
        <v>0</v>
      </c>
      <c r="AN34" s="200">
        <v>7</v>
      </c>
      <c r="AO34" s="200">
        <v>14</v>
      </c>
    </row>
    <row r="35" spans="10:41" ht="16.5" customHeight="1">
      <c r="J35" s="193">
        <v>31</v>
      </c>
      <c r="K35" s="194" t="s">
        <v>95</v>
      </c>
      <c r="L35" s="194" t="s">
        <v>82</v>
      </c>
      <c r="M35" s="194" t="s">
        <v>85</v>
      </c>
      <c r="N35" s="194" t="s">
        <v>81</v>
      </c>
      <c r="O35" s="194" t="s">
        <v>16</v>
      </c>
      <c r="Q35" s="193">
        <v>6</v>
      </c>
      <c r="R35" s="193">
        <v>16</v>
      </c>
      <c r="S35" s="193">
        <v>18</v>
      </c>
      <c r="T35" s="193">
        <v>14</v>
      </c>
      <c r="U35" s="193">
        <v>3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4" t="s">
        <v>13</v>
      </c>
      <c r="AD35" s="200">
        <v>43</v>
      </c>
      <c r="AE35" s="200">
        <v>22</v>
      </c>
      <c r="AF35" s="200">
        <v>0</v>
      </c>
      <c r="AG35" s="200">
        <v>31</v>
      </c>
      <c r="AH35" s="200">
        <v>36</v>
      </c>
      <c r="AI35" s="5"/>
      <c r="AJ35" s="134" t="s">
        <v>13</v>
      </c>
      <c r="AK35" s="200">
        <v>43</v>
      </c>
      <c r="AL35" s="200">
        <v>22</v>
      </c>
      <c r="AM35" s="200">
        <v>0</v>
      </c>
      <c r="AN35" s="200">
        <v>31</v>
      </c>
      <c r="AO35" s="200">
        <v>36</v>
      </c>
    </row>
    <row r="36" spans="10:41" ht="16.5" customHeight="1">
      <c r="J36" s="23">
        <v>32</v>
      </c>
      <c r="K36" s="194" t="s">
        <v>14</v>
      </c>
      <c r="L36" s="194" t="s">
        <v>13</v>
      </c>
      <c r="M36" s="194" t="s">
        <v>81</v>
      </c>
      <c r="N36" s="194" t="s">
        <v>28</v>
      </c>
      <c r="O36" s="194" t="s">
        <v>95</v>
      </c>
      <c r="Q36" s="193">
        <v>1</v>
      </c>
      <c r="R36" s="193">
        <v>5</v>
      </c>
      <c r="S36" s="193">
        <v>14</v>
      </c>
      <c r="T36" s="193">
        <v>9</v>
      </c>
      <c r="U36" s="193">
        <v>6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4" t="s">
        <v>95</v>
      </c>
      <c r="AD36" s="200">
        <v>42</v>
      </c>
      <c r="AE36" s="200">
        <v>22</v>
      </c>
      <c r="AF36" s="200">
        <v>0</v>
      </c>
      <c r="AG36" s="200">
        <v>27</v>
      </c>
      <c r="AH36" s="200">
        <v>34</v>
      </c>
      <c r="AI36" s="5"/>
      <c r="AJ36" s="134" t="s">
        <v>95</v>
      </c>
      <c r="AK36" s="200">
        <v>42</v>
      </c>
      <c r="AL36" s="200">
        <v>22</v>
      </c>
      <c r="AM36" s="200">
        <v>0</v>
      </c>
      <c r="AN36" s="200">
        <v>27</v>
      </c>
      <c r="AO36" s="200">
        <v>34</v>
      </c>
    </row>
    <row r="37" spans="10:41" ht="16.5" customHeight="1">
      <c r="J37" s="193">
        <v>33</v>
      </c>
      <c r="K37" s="194" t="s">
        <v>29</v>
      </c>
      <c r="L37" s="194" t="s">
        <v>29</v>
      </c>
      <c r="M37" s="194" t="s">
        <v>94</v>
      </c>
      <c r="N37" s="194" t="s">
        <v>13</v>
      </c>
      <c r="O37" s="194" t="s">
        <v>12</v>
      </c>
      <c r="Q37" s="193">
        <v>8</v>
      </c>
      <c r="R37" s="193">
        <v>8</v>
      </c>
      <c r="S37" s="193">
        <v>17</v>
      </c>
      <c r="T37" s="193">
        <v>5</v>
      </c>
      <c r="U37" s="193">
        <v>4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4" t="s">
        <v>31</v>
      </c>
      <c r="AD37" s="200">
        <v>43</v>
      </c>
      <c r="AE37" s="200">
        <v>27</v>
      </c>
      <c r="AF37" s="200">
        <v>0</v>
      </c>
      <c r="AG37" s="200">
        <v>31</v>
      </c>
      <c r="AH37" s="200">
        <v>35</v>
      </c>
      <c r="AI37" s="5"/>
      <c r="AJ37" s="134" t="s">
        <v>31</v>
      </c>
      <c r="AK37" s="200">
        <v>43</v>
      </c>
      <c r="AL37" s="200">
        <v>27</v>
      </c>
      <c r="AM37" s="200">
        <v>0</v>
      </c>
      <c r="AN37" s="200">
        <v>31</v>
      </c>
      <c r="AO37" s="200">
        <v>35</v>
      </c>
    </row>
    <row r="38" spans="10:41" ht="16.5" customHeight="1">
      <c r="J38" s="23">
        <v>34</v>
      </c>
      <c r="K38" s="194" t="s">
        <v>13</v>
      </c>
      <c r="L38" s="194" t="s">
        <v>13</v>
      </c>
      <c r="M38" s="194" t="s">
        <v>81</v>
      </c>
      <c r="N38" s="194" t="s">
        <v>78</v>
      </c>
      <c r="O38" s="194" t="s">
        <v>29</v>
      </c>
      <c r="Q38" s="193">
        <v>5</v>
      </c>
      <c r="R38" s="193">
        <v>5</v>
      </c>
      <c r="S38" s="193">
        <v>14</v>
      </c>
      <c r="T38" s="193">
        <v>11</v>
      </c>
      <c r="U38" s="193">
        <v>8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4" t="s">
        <v>29</v>
      </c>
      <c r="AD38" s="200">
        <v>43</v>
      </c>
      <c r="AE38" s="200">
        <v>24</v>
      </c>
      <c r="AF38" s="200">
        <v>0</v>
      </c>
      <c r="AG38" s="200">
        <v>32</v>
      </c>
      <c r="AH38" s="200">
        <v>34</v>
      </c>
      <c r="AI38" s="5"/>
      <c r="AJ38" s="134" t="s">
        <v>29</v>
      </c>
      <c r="AK38" s="200">
        <v>43</v>
      </c>
      <c r="AL38" s="200">
        <v>24</v>
      </c>
      <c r="AM38" s="200">
        <v>0</v>
      </c>
      <c r="AN38" s="200">
        <v>32</v>
      </c>
      <c r="AO38" s="200">
        <v>34</v>
      </c>
    </row>
    <row r="39" spans="10:41" ht="16.5" customHeight="1">
      <c r="J39" s="193">
        <v>35</v>
      </c>
      <c r="K39" s="194" t="s">
        <v>29</v>
      </c>
      <c r="L39" s="194" t="s">
        <v>31</v>
      </c>
      <c r="M39" s="194" t="s">
        <v>82</v>
      </c>
      <c r="N39" s="194" t="s">
        <v>29</v>
      </c>
      <c r="O39" s="194" t="s">
        <v>15</v>
      </c>
      <c r="Q39" s="193">
        <v>8</v>
      </c>
      <c r="R39" s="193">
        <v>7</v>
      </c>
      <c r="S39" s="193">
        <v>16</v>
      </c>
      <c r="T39" s="193">
        <v>8</v>
      </c>
      <c r="U39" s="193">
        <v>2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4" t="s">
        <v>28</v>
      </c>
      <c r="AD39" s="200">
        <v>7</v>
      </c>
      <c r="AE39" s="200">
        <v>12</v>
      </c>
      <c r="AF39" s="200">
        <v>0</v>
      </c>
      <c r="AG39" s="200">
        <v>6</v>
      </c>
      <c r="AH39" s="200">
        <v>13</v>
      </c>
      <c r="AI39" s="5"/>
      <c r="AJ39" s="134" t="s">
        <v>28</v>
      </c>
      <c r="AK39" s="200">
        <v>7</v>
      </c>
      <c r="AL39" s="200">
        <v>12</v>
      </c>
      <c r="AM39" s="200">
        <v>0</v>
      </c>
      <c r="AN39" s="200">
        <v>6</v>
      </c>
      <c r="AO39" s="200">
        <v>13</v>
      </c>
    </row>
    <row r="40" spans="10:41" ht="16.5" customHeight="1">
      <c r="J40" s="23">
        <v>36</v>
      </c>
      <c r="K40" s="194" t="s">
        <v>31</v>
      </c>
      <c r="L40" s="194" t="s">
        <v>29</v>
      </c>
      <c r="M40" s="194" t="s">
        <v>79</v>
      </c>
      <c r="N40" s="194" t="s">
        <v>95</v>
      </c>
      <c r="O40" s="194" t="s">
        <v>29</v>
      </c>
      <c r="Q40" s="193">
        <v>7</v>
      </c>
      <c r="R40" s="193">
        <v>8</v>
      </c>
      <c r="S40" s="193">
        <v>12</v>
      </c>
      <c r="T40" s="193">
        <v>6</v>
      </c>
      <c r="U40" s="193">
        <v>8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4" t="s">
        <v>30</v>
      </c>
      <c r="AD40" s="200">
        <v>7</v>
      </c>
      <c r="AE40" s="200">
        <v>8</v>
      </c>
      <c r="AF40" s="200">
        <v>0</v>
      </c>
      <c r="AG40" s="200">
        <v>7</v>
      </c>
      <c r="AH40" s="200">
        <v>14</v>
      </c>
      <c r="AI40" s="5"/>
      <c r="AJ40" s="134" t="s">
        <v>30</v>
      </c>
      <c r="AK40" s="200">
        <v>7</v>
      </c>
      <c r="AL40" s="200">
        <v>8</v>
      </c>
      <c r="AM40" s="200">
        <v>0</v>
      </c>
      <c r="AN40" s="200">
        <v>7</v>
      </c>
      <c r="AO40" s="200">
        <v>14</v>
      </c>
    </row>
    <row r="41" spans="10:41" ht="16.5" customHeight="1">
      <c r="J41" s="193">
        <v>37</v>
      </c>
      <c r="K41" s="194" t="s">
        <v>13</v>
      </c>
      <c r="L41" s="194" t="s">
        <v>16</v>
      </c>
      <c r="M41" s="194" t="s">
        <v>81</v>
      </c>
      <c r="N41" s="194" t="s">
        <v>29</v>
      </c>
      <c r="O41" s="194" t="s">
        <v>13</v>
      </c>
      <c r="Q41" s="193">
        <v>5</v>
      </c>
      <c r="R41" s="193">
        <v>3</v>
      </c>
      <c r="S41" s="193">
        <v>14</v>
      </c>
      <c r="T41" s="193">
        <v>8</v>
      </c>
      <c r="U41" s="193">
        <v>5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9" t="s">
        <v>78</v>
      </c>
      <c r="AD41" s="201">
        <v>0</v>
      </c>
      <c r="AE41" s="201">
        <v>3</v>
      </c>
      <c r="AF41" s="201">
        <v>3</v>
      </c>
      <c r="AG41" s="201">
        <v>2</v>
      </c>
      <c r="AH41" s="201">
        <v>0</v>
      </c>
      <c r="AI41" s="5"/>
      <c r="AJ41" s="199" t="s">
        <v>78</v>
      </c>
      <c r="AK41" s="201">
        <v>0</v>
      </c>
      <c r="AL41" s="201">
        <v>3</v>
      </c>
      <c r="AM41" s="201">
        <v>3</v>
      </c>
      <c r="AN41" s="201">
        <v>2</v>
      </c>
      <c r="AO41" s="201">
        <v>0</v>
      </c>
    </row>
    <row r="42" spans="10:41" ht="16.5" customHeight="1">
      <c r="J42" s="23">
        <v>38</v>
      </c>
      <c r="K42" s="194" t="s">
        <v>16</v>
      </c>
      <c r="L42" s="194" t="s">
        <v>12</v>
      </c>
      <c r="M42" s="194" t="s">
        <v>82</v>
      </c>
      <c r="N42" s="194" t="s">
        <v>12</v>
      </c>
      <c r="O42" s="194" t="s">
        <v>31</v>
      </c>
      <c r="Q42" s="193">
        <v>3</v>
      </c>
      <c r="R42" s="193">
        <v>4</v>
      </c>
      <c r="S42" s="193">
        <v>16</v>
      </c>
      <c r="T42" s="193">
        <v>4</v>
      </c>
      <c r="U42" s="193">
        <v>7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9" t="s">
        <v>79</v>
      </c>
      <c r="AD42" s="201">
        <v>0</v>
      </c>
      <c r="AE42" s="201">
        <v>4</v>
      </c>
      <c r="AF42" s="201">
        <v>1</v>
      </c>
      <c r="AG42" s="201">
        <v>2</v>
      </c>
      <c r="AH42" s="201">
        <v>0</v>
      </c>
      <c r="AI42" s="5"/>
      <c r="AJ42" s="199" t="s">
        <v>79</v>
      </c>
      <c r="AK42" s="201">
        <v>0</v>
      </c>
      <c r="AL42" s="201">
        <v>4</v>
      </c>
      <c r="AM42" s="201">
        <v>1</v>
      </c>
      <c r="AN42" s="201">
        <v>2</v>
      </c>
      <c r="AO42" s="201">
        <v>0</v>
      </c>
    </row>
    <row r="43" spans="10:41" ht="16.5" customHeight="1">
      <c r="J43" s="193">
        <v>39</v>
      </c>
      <c r="K43" s="194" t="s">
        <v>29</v>
      </c>
      <c r="L43" s="194" t="s">
        <v>29</v>
      </c>
      <c r="M43" s="194" t="s">
        <v>87</v>
      </c>
      <c r="N43" s="194" t="s">
        <v>30</v>
      </c>
      <c r="O43" s="194" t="s">
        <v>13</v>
      </c>
      <c r="Q43" s="193">
        <v>8</v>
      </c>
      <c r="R43" s="193">
        <v>8</v>
      </c>
      <c r="S43" s="193">
        <v>19</v>
      </c>
      <c r="T43" s="193">
        <v>10</v>
      </c>
      <c r="U43" s="193">
        <v>5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9" t="s">
        <v>80</v>
      </c>
      <c r="AD43" s="201">
        <v>0</v>
      </c>
      <c r="AE43" s="201">
        <v>4</v>
      </c>
      <c r="AF43" s="201">
        <v>8</v>
      </c>
      <c r="AG43" s="201">
        <v>3</v>
      </c>
      <c r="AH43" s="201">
        <v>0</v>
      </c>
      <c r="AI43" s="5"/>
      <c r="AJ43" s="199" t="s">
        <v>80</v>
      </c>
      <c r="AK43" s="201">
        <v>0</v>
      </c>
      <c r="AL43" s="201">
        <v>4</v>
      </c>
      <c r="AM43" s="201">
        <v>8</v>
      </c>
      <c r="AN43" s="201">
        <v>3</v>
      </c>
      <c r="AO43" s="201">
        <v>0</v>
      </c>
    </row>
    <row r="44" spans="10:41" ht="16.5" customHeight="1">
      <c r="J44" s="23">
        <v>40</v>
      </c>
      <c r="K44" s="194" t="s">
        <v>13</v>
      </c>
      <c r="L44" s="194" t="s">
        <v>13</v>
      </c>
      <c r="M44" s="194" t="s">
        <v>94</v>
      </c>
      <c r="N44" s="194" t="s">
        <v>31</v>
      </c>
      <c r="O44" s="194" t="s">
        <v>29</v>
      </c>
      <c r="Q44" s="193">
        <v>5</v>
      </c>
      <c r="R44" s="193">
        <v>5</v>
      </c>
      <c r="S44" s="193">
        <v>17</v>
      </c>
      <c r="T44" s="193">
        <v>7</v>
      </c>
      <c r="U44" s="193">
        <v>8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9" t="s">
        <v>81</v>
      </c>
      <c r="AD44" s="201">
        <v>0</v>
      </c>
      <c r="AE44" s="201">
        <v>9</v>
      </c>
      <c r="AF44" s="201">
        <v>43</v>
      </c>
      <c r="AG44" s="201">
        <v>12</v>
      </c>
      <c r="AH44" s="201">
        <v>0</v>
      </c>
      <c r="AI44" s="5"/>
      <c r="AJ44" s="199" t="s">
        <v>81</v>
      </c>
      <c r="AK44" s="201">
        <v>0</v>
      </c>
      <c r="AL44" s="201">
        <v>9</v>
      </c>
      <c r="AM44" s="201">
        <v>43</v>
      </c>
      <c r="AN44" s="201">
        <v>12</v>
      </c>
      <c r="AO44" s="201">
        <v>0</v>
      </c>
    </row>
    <row r="45" spans="10:41" ht="16.5" customHeight="1">
      <c r="J45" s="193">
        <v>41</v>
      </c>
      <c r="K45" s="194" t="s">
        <v>29</v>
      </c>
      <c r="L45" s="194" t="s">
        <v>29</v>
      </c>
      <c r="M45" s="194" t="s">
        <v>87</v>
      </c>
      <c r="N45" s="194" t="s">
        <v>12</v>
      </c>
      <c r="O45" s="194" t="s">
        <v>13</v>
      </c>
      <c r="Q45" s="193">
        <v>8</v>
      </c>
      <c r="R45" s="193">
        <v>8</v>
      </c>
      <c r="S45" s="193">
        <v>19</v>
      </c>
      <c r="T45" s="193">
        <v>4</v>
      </c>
      <c r="U45" s="193">
        <v>5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9" t="s">
        <v>96</v>
      </c>
      <c r="AD45" s="201">
        <v>0</v>
      </c>
      <c r="AE45" s="201">
        <v>9</v>
      </c>
      <c r="AF45" s="201">
        <v>42</v>
      </c>
      <c r="AG45" s="201">
        <v>13</v>
      </c>
      <c r="AH45" s="201">
        <v>0</v>
      </c>
      <c r="AI45" s="5"/>
      <c r="AJ45" s="199" t="s">
        <v>96</v>
      </c>
      <c r="AK45" s="201">
        <v>0</v>
      </c>
      <c r="AL45" s="201">
        <v>9</v>
      </c>
      <c r="AM45" s="201">
        <v>42</v>
      </c>
      <c r="AN45" s="201">
        <v>13</v>
      </c>
      <c r="AO45" s="201">
        <v>0</v>
      </c>
    </row>
    <row r="46" spans="10:41" ht="16.5" customHeight="1">
      <c r="J46" s="23">
        <v>42</v>
      </c>
      <c r="K46" s="194" t="s">
        <v>13</v>
      </c>
      <c r="L46" s="194" t="s">
        <v>95</v>
      </c>
      <c r="M46" s="194" t="s">
        <v>81</v>
      </c>
      <c r="N46" s="194" t="s">
        <v>29</v>
      </c>
      <c r="O46" s="194" t="s">
        <v>31</v>
      </c>
      <c r="Q46" s="193">
        <v>5</v>
      </c>
      <c r="R46" s="193">
        <v>6</v>
      </c>
      <c r="S46" s="193">
        <v>14</v>
      </c>
      <c r="T46" s="193">
        <v>8</v>
      </c>
      <c r="U46" s="193">
        <v>7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9" t="s">
        <v>82</v>
      </c>
      <c r="AD46" s="201">
        <v>0</v>
      </c>
      <c r="AE46" s="201">
        <v>11</v>
      </c>
      <c r="AF46" s="201">
        <v>42</v>
      </c>
      <c r="AG46" s="201">
        <v>11</v>
      </c>
      <c r="AH46" s="201">
        <v>0</v>
      </c>
      <c r="AI46" s="5"/>
      <c r="AJ46" s="199" t="s">
        <v>82</v>
      </c>
      <c r="AK46" s="201">
        <v>0</v>
      </c>
      <c r="AL46" s="201">
        <v>11</v>
      </c>
      <c r="AM46" s="201">
        <v>42</v>
      </c>
      <c r="AN46" s="201">
        <v>11</v>
      </c>
      <c r="AO46" s="201">
        <v>0</v>
      </c>
    </row>
    <row r="47" spans="10:41" ht="16.5" customHeight="1">
      <c r="J47" s="193">
        <v>43</v>
      </c>
      <c r="K47" s="194" t="s">
        <v>12</v>
      </c>
      <c r="L47" s="194" t="s">
        <v>29</v>
      </c>
      <c r="M47" s="194" t="s">
        <v>94</v>
      </c>
      <c r="N47" s="194" t="s">
        <v>31</v>
      </c>
      <c r="O47" s="194" t="s">
        <v>95</v>
      </c>
      <c r="Q47" s="193">
        <v>4</v>
      </c>
      <c r="R47" s="193">
        <v>8</v>
      </c>
      <c r="S47" s="193">
        <v>17</v>
      </c>
      <c r="T47" s="193">
        <v>7</v>
      </c>
      <c r="U47" s="193">
        <v>6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9" t="s">
        <v>94</v>
      </c>
      <c r="AD47" s="201">
        <v>0</v>
      </c>
      <c r="AE47" s="201">
        <v>10</v>
      </c>
      <c r="AF47" s="201">
        <v>44</v>
      </c>
      <c r="AG47" s="201">
        <v>11</v>
      </c>
      <c r="AH47" s="201">
        <v>0</v>
      </c>
      <c r="AI47" s="5"/>
      <c r="AJ47" s="199" t="s">
        <v>94</v>
      </c>
      <c r="AK47" s="201">
        <v>0</v>
      </c>
      <c r="AL47" s="201">
        <v>10</v>
      </c>
      <c r="AM47" s="201">
        <v>44</v>
      </c>
      <c r="AN47" s="201">
        <v>11</v>
      </c>
      <c r="AO47" s="201">
        <v>0</v>
      </c>
    </row>
    <row r="48" spans="10:41" ht="16.5" customHeight="1">
      <c r="J48" s="23">
        <v>44</v>
      </c>
      <c r="K48" s="194" t="s">
        <v>31</v>
      </c>
      <c r="L48" s="194" t="s">
        <v>31</v>
      </c>
      <c r="M48" s="194" t="s">
        <v>81</v>
      </c>
      <c r="N48" s="194" t="s">
        <v>95</v>
      </c>
      <c r="O48" s="194" t="s">
        <v>12</v>
      </c>
      <c r="Q48" s="193">
        <v>7</v>
      </c>
      <c r="R48" s="193">
        <v>7</v>
      </c>
      <c r="S48" s="193">
        <v>14</v>
      </c>
      <c r="T48" s="193">
        <v>6</v>
      </c>
      <c r="U48" s="193">
        <v>4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9" t="s">
        <v>85</v>
      </c>
      <c r="AD48" s="201">
        <v>0</v>
      </c>
      <c r="AE48" s="201">
        <v>4</v>
      </c>
      <c r="AF48" s="201">
        <v>6</v>
      </c>
      <c r="AG48" s="201">
        <v>2</v>
      </c>
      <c r="AH48" s="201">
        <v>0</v>
      </c>
      <c r="AI48" s="5"/>
      <c r="AJ48" s="199" t="s">
        <v>85</v>
      </c>
      <c r="AK48" s="201">
        <v>0</v>
      </c>
      <c r="AL48" s="201">
        <v>4</v>
      </c>
      <c r="AM48" s="201">
        <v>6</v>
      </c>
      <c r="AN48" s="201">
        <v>2</v>
      </c>
      <c r="AO48" s="201">
        <v>0</v>
      </c>
    </row>
    <row r="49" spans="10:41" ht="16.5" customHeight="1">
      <c r="J49" s="193">
        <v>45</v>
      </c>
      <c r="K49" s="194" t="s">
        <v>95</v>
      </c>
      <c r="L49" s="194" t="s">
        <v>81</v>
      </c>
      <c r="M49" s="194" t="s">
        <v>94</v>
      </c>
      <c r="N49" s="194" t="s">
        <v>82</v>
      </c>
      <c r="O49" s="194" t="s">
        <v>13</v>
      </c>
      <c r="Q49" s="193">
        <v>6</v>
      </c>
      <c r="R49" s="193">
        <v>14</v>
      </c>
      <c r="S49" s="193">
        <v>17</v>
      </c>
      <c r="T49" s="193">
        <v>16</v>
      </c>
      <c r="U49" s="193">
        <v>5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9" t="s">
        <v>87</v>
      </c>
      <c r="AD49" s="201">
        <v>0</v>
      </c>
      <c r="AE49" s="201">
        <v>3</v>
      </c>
      <c r="AF49" s="201">
        <v>9</v>
      </c>
      <c r="AG49" s="201">
        <v>3</v>
      </c>
      <c r="AH49" s="201">
        <v>0</v>
      </c>
      <c r="AI49" s="5"/>
      <c r="AJ49" s="199" t="s">
        <v>87</v>
      </c>
      <c r="AK49" s="201">
        <v>0</v>
      </c>
      <c r="AL49" s="201">
        <v>3</v>
      </c>
      <c r="AM49" s="201">
        <v>9</v>
      </c>
      <c r="AN49" s="201">
        <v>3</v>
      </c>
      <c r="AO49" s="201">
        <v>0</v>
      </c>
    </row>
    <row r="50" spans="10:41" ht="16.5" customHeight="1">
      <c r="J50" s="23">
        <v>46</v>
      </c>
      <c r="K50" s="194" t="s">
        <v>13</v>
      </c>
      <c r="L50" s="194" t="s">
        <v>31</v>
      </c>
      <c r="M50" s="194" t="s">
        <v>81</v>
      </c>
      <c r="N50" s="194" t="s">
        <v>31</v>
      </c>
      <c r="O50" s="194" t="s">
        <v>14</v>
      </c>
      <c r="Q50" s="193">
        <v>5</v>
      </c>
      <c r="R50" s="193">
        <v>7</v>
      </c>
      <c r="S50" s="193">
        <v>14</v>
      </c>
      <c r="T50" s="193">
        <v>7</v>
      </c>
      <c r="U50" s="193">
        <v>1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3">
        <v>199</v>
      </c>
      <c r="AE50" s="103">
        <v>208</v>
      </c>
      <c r="AF50" s="103">
        <v>198</v>
      </c>
      <c r="AG50" s="103">
        <v>207</v>
      </c>
      <c r="AH50" s="103">
        <v>198</v>
      </c>
      <c r="AI50" s="5"/>
      <c r="AK50" s="103">
        <v>199</v>
      </c>
      <c r="AL50" s="103">
        <v>208</v>
      </c>
      <c r="AM50" s="103">
        <v>198</v>
      </c>
      <c r="AN50" s="103">
        <v>207</v>
      </c>
      <c r="AO50" s="103">
        <v>198</v>
      </c>
    </row>
    <row r="51" spans="10:41" ht="16.5" customHeight="1">
      <c r="J51" s="193">
        <v>47</v>
      </c>
      <c r="K51" s="194" t="s">
        <v>31</v>
      </c>
      <c r="L51" s="194" t="s">
        <v>28</v>
      </c>
      <c r="M51" s="194" t="s">
        <v>85</v>
      </c>
      <c r="N51" s="194" t="s">
        <v>95</v>
      </c>
      <c r="O51" s="194" t="s">
        <v>13</v>
      </c>
      <c r="Q51" s="193">
        <v>7</v>
      </c>
      <c r="R51" s="193">
        <v>9</v>
      </c>
      <c r="S51" s="193">
        <v>18</v>
      </c>
      <c r="T51" s="193">
        <v>6</v>
      </c>
      <c r="U51" s="193">
        <v>5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4" t="s">
        <v>28</v>
      </c>
      <c r="L52" s="194" t="s">
        <v>29</v>
      </c>
      <c r="M52" s="194" t="s">
        <v>94</v>
      </c>
      <c r="N52" s="194" t="s">
        <v>29</v>
      </c>
      <c r="O52" s="194" t="s">
        <v>31</v>
      </c>
      <c r="Q52" s="193">
        <v>9</v>
      </c>
      <c r="R52" s="193">
        <v>8</v>
      </c>
      <c r="S52" s="193">
        <v>17</v>
      </c>
      <c r="T52" s="193">
        <v>8</v>
      </c>
      <c r="U52" s="193">
        <v>7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296</v>
      </c>
      <c r="AH52" s="5"/>
      <c r="AI52" s="5"/>
      <c r="AJ52" s="25" t="s">
        <v>296</v>
      </c>
      <c r="AO52" s="5"/>
    </row>
    <row r="53" spans="10:41" ht="16.5" customHeight="1">
      <c r="J53" s="193">
        <v>49</v>
      </c>
      <c r="K53" s="194" t="s">
        <v>29</v>
      </c>
      <c r="L53" s="194" t="s">
        <v>79</v>
      </c>
      <c r="M53" s="194" t="s">
        <v>96</v>
      </c>
      <c r="N53" s="194" t="s">
        <v>31</v>
      </c>
      <c r="O53" s="194" t="s">
        <v>15</v>
      </c>
      <c r="Q53" s="193">
        <v>8</v>
      </c>
      <c r="R53" s="193">
        <v>12</v>
      </c>
      <c r="S53" s="193">
        <v>15</v>
      </c>
      <c r="T53" s="193">
        <v>7</v>
      </c>
      <c r="U53" s="193">
        <v>2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>
      <c r="J54" s="23">
        <v>50</v>
      </c>
      <c r="K54" s="194" t="s">
        <v>95</v>
      </c>
      <c r="L54" s="194" t="s">
        <v>13</v>
      </c>
      <c r="M54" s="194" t="s">
        <v>78</v>
      </c>
      <c r="N54" s="194" t="s">
        <v>14</v>
      </c>
      <c r="O54" s="194" t="s">
        <v>12</v>
      </c>
      <c r="Q54" s="193">
        <v>6</v>
      </c>
      <c r="R54" s="193">
        <v>5</v>
      </c>
      <c r="S54" s="193">
        <v>11</v>
      </c>
      <c r="T54" s="193">
        <v>1</v>
      </c>
      <c r="U54" s="193">
        <v>4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9" t="s">
        <v>293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293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>
      <c r="J55" s="193">
        <v>51</v>
      </c>
      <c r="K55" s="194" t="s">
        <v>29</v>
      </c>
      <c r="L55" s="194" t="s">
        <v>95</v>
      </c>
      <c r="M55" s="194" t="s">
        <v>81</v>
      </c>
      <c r="N55" s="194" t="s">
        <v>29</v>
      </c>
      <c r="O55" s="194" t="s">
        <v>16</v>
      </c>
      <c r="Q55" s="193">
        <v>8</v>
      </c>
      <c r="R55" s="193">
        <v>6</v>
      </c>
      <c r="S55" s="193">
        <v>14</v>
      </c>
      <c r="T55" s="193">
        <v>8</v>
      </c>
      <c r="U55" s="193">
        <v>3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9" t="s">
        <v>14</v>
      </c>
      <c r="AD55" s="199">
        <v>1</v>
      </c>
      <c r="AE55" s="199">
        <v>1</v>
      </c>
      <c r="AF55" s="199">
        <v>0</v>
      </c>
      <c r="AG55" s="199">
        <v>1</v>
      </c>
      <c r="AH55" s="199">
        <v>1</v>
      </c>
      <c r="AI55" s="5"/>
      <c r="AJ55" s="199" t="s">
        <v>14</v>
      </c>
      <c r="AK55" s="199">
        <v>1</v>
      </c>
      <c r="AL55" s="199">
        <v>1</v>
      </c>
      <c r="AM55" s="199">
        <v>0</v>
      </c>
      <c r="AN55" s="199">
        <v>1</v>
      </c>
      <c r="AO55" s="199">
        <v>1</v>
      </c>
    </row>
    <row r="56" spans="10:41" ht="16.5" customHeight="1">
      <c r="J56" s="23">
        <v>52</v>
      </c>
      <c r="K56" s="194" t="s">
        <v>95</v>
      </c>
      <c r="L56" s="194" t="s">
        <v>15</v>
      </c>
      <c r="M56" s="194" t="s">
        <v>82</v>
      </c>
      <c r="N56" s="194" t="s">
        <v>13</v>
      </c>
      <c r="O56" s="194" t="s">
        <v>30</v>
      </c>
      <c r="Q56" s="193">
        <v>6</v>
      </c>
      <c r="R56" s="193">
        <v>2</v>
      </c>
      <c r="S56" s="193">
        <v>16</v>
      </c>
      <c r="T56" s="193">
        <v>5</v>
      </c>
      <c r="U56" s="193">
        <v>10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4" t="s">
        <v>15</v>
      </c>
      <c r="AD56" s="200">
        <v>3</v>
      </c>
      <c r="AE56" s="200">
        <v>10</v>
      </c>
      <c r="AF56" s="200">
        <v>0</v>
      </c>
      <c r="AG56" s="200">
        <v>3</v>
      </c>
      <c r="AH56" s="200">
        <v>9</v>
      </c>
      <c r="AI56" s="5"/>
      <c r="AJ56" s="134" t="s">
        <v>15</v>
      </c>
      <c r="AK56" s="200">
        <v>3</v>
      </c>
      <c r="AL56" s="200">
        <v>10</v>
      </c>
      <c r="AM56" s="200">
        <v>0</v>
      </c>
      <c r="AN56" s="200">
        <v>3</v>
      </c>
      <c r="AO56" s="200">
        <v>9</v>
      </c>
    </row>
    <row r="57" spans="10:41" ht="16.5" customHeight="1">
      <c r="J57" s="193">
        <v>53</v>
      </c>
      <c r="K57" s="194" t="s">
        <v>14</v>
      </c>
      <c r="L57" s="194" t="s">
        <v>31</v>
      </c>
      <c r="M57" s="194" t="s">
        <v>81</v>
      </c>
      <c r="N57" s="194" t="s">
        <v>95</v>
      </c>
      <c r="O57" s="194" t="s">
        <v>95</v>
      </c>
      <c r="Q57" s="193">
        <v>1</v>
      </c>
      <c r="R57" s="193">
        <v>7</v>
      </c>
      <c r="S57" s="193">
        <v>14</v>
      </c>
      <c r="T57" s="193">
        <v>6</v>
      </c>
      <c r="U57" s="193">
        <v>6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4" t="s">
        <v>16</v>
      </c>
      <c r="AD57" s="200">
        <v>3</v>
      </c>
      <c r="AE57" s="200">
        <v>12</v>
      </c>
      <c r="AF57" s="200">
        <v>0</v>
      </c>
      <c r="AG57" s="200">
        <v>3</v>
      </c>
      <c r="AH57" s="200">
        <v>8</v>
      </c>
      <c r="AI57" s="5"/>
      <c r="AJ57" s="134" t="s">
        <v>16</v>
      </c>
      <c r="AK57" s="200">
        <v>3</v>
      </c>
      <c r="AL57" s="200">
        <v>12</v>
      </c>
      <c r="AM57" s="200">
        <v>0</v>
      </c>
      <c r="AN57" s="200">
        <v>3</v>
      </c>
      <c r="AO57" s="200">
        <v>8</v>
      </c>
    </row>
    <row r="58" spans="10:41" ht="16.5" customHeight="1">
      <c r="J58" s="23">
        <v>54</v>
      </c>
      <c r="K58" s="194" t="s">
        <v>95</v>
      </c>
      <c r="L58" s="194" t="s">
        <v>30</v>
      </c>
      <c r="M58" s="194" t="s">
        <v>96</v>
      </c>
      <c r="N58" s="194" t="s">
        <v>12</v>
      </c>
      <c r="O58" s="194" t="s">
        <v>16</v>
      </c>
      <c r="Q58" s="193">
        <v>6</v>
      </c>
      <c r="R58" s="193">
        <v>10</v>
      </c>
      <c r="S58" s="193">
        <v>15</v>
      </c>
      <c r="T58" s="193">
        <v>4</v>
      </c>
      <c r="U58" s="193">
        <v>3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4" t="s">
        <v>12</v>
      </c>
      <c r="AD58" s="200">
        <v>7</v>
      </c>
      <c r="AE58" s="200">
        <v>13</v>
      </c>
      <c r="AF58" s="200">
        <v>0</v>
      </c>
      <c r="AG58" s="200">
        <v>7</v>
      </c>
      <c r="AH58" s="200">
        <v>14</v>
      </c>
      <c r="AI58" s="5"/>
      <c r="AJ58" s="134" t="s">
        <v>12</v>
      </c>
      <c r="AK58" s="200">
        <v>7</v>
      </c>
      <c r="AL58" s="200">
        <v>13</v>
      </c>
      <c r="AM58" s="200">
        <v>0</v>
      </c>
      <c r="AN58" s="200">
        <v>7</v>
      </c>
      <c r="AO58" s="200">
        <v>14</v>
      </c>
    </row>
    <row r="59" spans="10:41" ht="16.5" customHeight="1">
      <c r="J59" s="193">
        <v>55</v>
      </c>
      <c r="K59" s="194" t="s">
        <v>31</v>
      </c>
      <c r="L59" s="194" t="s">
        <v>12</v>
      </c>
      <c r="M59" s="194" t="s">
        <v>85</v>
      </c>
      <c r="N59" s="194" t="s">
        <v>81</v>
      </c>
      <c r="O59" s="194" t="s">
        <v>15</v>
      </c>
      <c r="Q59" s="193">
        <v>7</v>
      </c>
      <c r="R59" s="193">
        <v>4</v>
      </c>
      <c r="S59" s="193">
        <v>18</v>
      </c>
      <c r="T59" s="193">
        <v>14</v>
      </c>
      <c r="U59" s="193">
        <v>2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4" t="s">
        <v>13</v>
      </c>
      <c r="AD59" s="200">
        <v>43</v>
      </c>
      <c r="AE59" s="200">
        <v>22</v>
      </c>
      <c r="AF59" s="200">
        <v>0</v>
      </c>
      <c r="AG59" s="200">
        <v>31</v>
      </c>
      <c r="AH59" s="200">
        <v>36</v>
      </c>
      <c r="AI59" s="5"/>
      <c r="AJ59" s="134" t="s">
        <v>13</v>
      </c>
      <c r="AK59" s="200">
        <v>43</v>
      </c>
      <c r="AL59" s="200">
        <v>22</v>
      </c>
      <c r="AM59" s="200">
        <v>0</v>
      </c>
      <c r="AN59" s="200">
        <v>31</v>
      </c>
      <c r="AO59" s="200">
        <v>36</v>
      </c>
    </row>
    <row r="60" spans="10:41" ht="16.5" customHeight="1">
      <c r="J60" s="23">
        <v>56</v>
      </c>
      <c r="K60" s="194" t="s">
        <v>95</v>
      </c>
      <c r="L60" s="194" t="s">
        <v>96</v>
      </c>
      <c r="M60" s="194" t="s">
        <v>82</v>
      </c>
      <c r="N60" s="194" t="s">
        <v>31</v>
      </c>
      <c r="O60" s="194" t="s">
        <v>31</v>
      </c>
      <c r="Q60" s="193">
        <v>6</v>
      </c>
      <c r="R60" s="193">
        <v>15</v>
      </c>
      <c r="S60" s="193">
        <v>16</v>
      </c>
      <c r="T60" s="193">
        <v>7</v>
      </c>
      <c r="U60" s="193">
        <v>7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4" t="s">
        <v>95</v>
      </c>
      <c r="AD60" s="200">
        <v>42</v>
      </c>
      <c r="AE60" s="200">
        <v>22</v>
      </c>
      <c r="AF60" s="200">
        <v>0</v>
      </c>
      <c r="AG60" s="200">
        <v>27</v>
      </c>
      <c r="AH60" s="200">
        <v>34</v>
      </c>
      <c r="AI60" s="5"/>
      <c r="AJ60" s="134" t="s">
        <v>95</v>
      </c>
      <c r="AK60" s="200">
        <v>42</v>
      </c>
      <c r="AL60" s="200">
        <v>22</v>
      </c>
      <c r="AM60" s="200">
        <v>0</v>
      </c>
      <c r="AN60" s="200">
        <v>27</v>
      </c>
      <c r="AO60" s="200">
        <v>34</v>
      </c>
    </row>
    <row r="61" spans="10:41">
      <c r="J61" s="193">
        <v>57</v>
      </c>
      <c r="K61" s="194" t="s">
        <v>13</v>
      </c>
      <c r="L61" s="194" t="s">
        <v>13</v>
      </c>
      <c r="M61" s="194" t="s">
        <v>96</v>
      </c>
      <c r="N61" s="194" t="s">
        <v>95</v>
      </c>
      <c r="O61" s="194" t="s">
        <v>29</v>
      </c>
      <c r="Q61" s="193">
        <v>5</v>
      </c>
      <c r="R61" s="193">
        <v>5</v>
      </c>
      <c r="S61" s="193">
        <v>15</v>
      </c>
      <c r="T61" s="193">
        <v>6</v>
      </c>
      <c r="U61" s="193">
        <v>8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4" t="s">
        <v>31</v>
      </c>
      <c r="AD61" s="200">
        <v>43</v>
      </c>
      <c r="AE61" s="200">
        <v>27</v>
      </c>
      <c r="AF61" s="200">
        <v>0</v>
      </c>
      <c r="AG61" s="200">
        <v>31</v>
      </c>
      <c r="AH61" s="200">
        <v>35</v>
      </c>
      <c r="AI61" s="5"/>
      <c r="AJ61" s="134" t="s">
        <v>31</v>
      </c>
      <c r="AK61" s="200">
        <v>43</v>
      </c>
      <c r="AL61" s="200">
        <v>27</v>
      </c>
      <c r="AM61" s="200">
        <v>0</v>
      </c>
      <c r="AN61" s="200">
        <v>31</v>
      </c>
      <c r="AO61" s="200">
        <v>35</v>
      </c>
    </row>
    <row r="62" spans="10:41">
      <c r="J62" s="23">
        <v>58</v>
      </c>
      <c r="K62" s="194" t="s">
        <v>95</v>
      </c>
      <c r="L62" s="194" t="s">
        <v>29</v>
      </c>
      <c r="M62" s="194" t="s">
        <v>94</v>
      </c>
      <c r="N62" s="194" t="s">
        <v>13</v>
      </c>
      <c r="O62" s="194" t="s">
        <v>31</v>
      </c>
      <c r="Q62" s="193">
        <v>6</v>
      </c>
      <c r="R62" s="193">
        <v>8</v>
      </c>
      <c r="S62" s="193">
        <v>17</v>
      </c>
      <c r="T62" s="193">
        <v>5</v>
      </c>
      <c r="U62" s="193">
        <v>7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4" t="s">
        <v>29</v>
      </c>
      <c r="AD62" s="200">
        <v>43</v>
      </c>
      <c r="AE62" s="200">
        <v>24</v>
      </c>
      <c r="AF62" s="200">
        <v>0</v>
      </c>
      <c r="AG62" s="200">
        <v>32</v>
      </c>
      <c r="AH62" s="200">
        <v>34</v>
      </c>
      <c r="AI62" s="5"/>
      <c r="AJ62" s="134" t="s">
        <v>29</v>
      </c>
      <c r="AK62" s="200">
        <v>43</v>
      </c>
      <c r="AL62" s="200">
        <v>24</v>
      </c>
      <c r="AM62" s="200">
        <v>0</v>
      </c>
      <c r="AN62" s="200">
        <v>32</v>
      </c>
      <c r="AO62" s="200">
        <v>34</v>
      </c>
    </row>
    <row r="63" spans="10:41" ht="16.5" customHeight="1">
      <c r="J63" s="193">
        <v>59</v>
      </c>
      <c r="K63" s="194" t="s">
        <v>31</v>
      </c>
      <c r="L63" s="194" t="s">
        <v>12</v>
      </c>
      <c r="M63" s="194" t="s">
        <v>81</v>
      </c>
      <c r="N63" s="194" t="s">
        <v>29</v>
      </c>
      <c r="O63" s="194" t="s">
        <v>29</v>
      </c>
      <c r="Q63" s="193">
        <v>7</v>
      </c>
      <c r="R63" s="193">
        <v>4</v>
      </c>
      <c r="S63" s="193">
        <v>14</v>
      </c>
      <c r="T63" s="193">
        <v>8</v>
      </c>
      <c r="U63" s="193">
        <v>8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4" t="s">
        <v>28</v>
      </c>
      <c r="AD63" s="200">
        <v>7</v>
      </c>
      <c r="AE63" s="200">
        <v>12</v>
      </c>
      <c r="AF63" s="200">
        <v>0</v>
      </c>
      <c r="AG63" s="200">
        <v>6</v>
      </c>
      <c r="AH63" s="200">
        <v>13</v>
      </c>
      <c r="AI63" s="5"/>
      <c r="AJ63" s="134" t="s">
        <v>28</v>
      </c>
      <c r="AK63" s="200">
        <v>7</v>
      </c>
      <c r="AL63" s="200">
        <v>12</v>
      </c>
      <c r="AM63" s="200">
        <v>0</v>
      </c>
      <c r="AN63" s="200">
        <v>6</v>
      </c>
      <c r="AO63" s="200">
        <v>13</v>
      </c>
    </row>
    <row r="64" spans="10:41" ht="16.5" customHeight="1">
      <c r="J64" s="23">
        <v>60</v>
      </c>
      <c r="K64" s="194" t="s">
        <v>29</v>
      </c>
      <c r="L64" s="194" t="s">
        <v>29</v>
      </c>
      <c r="M64" s="194" t="s">
        <v>96</v>
      </c>
      <c r="N64" s="194" t="s">
        <v>82</v>
      </c>
      <c r="O64" s="194" t="s">
        <v>13</v>
      </c>
      <c r="Q64" s="193">
        <v>8</v>
      </c>
      <c r="R64" s="193">
        <v>8</v>
      </c>
      <c r="S64" s="193">
        <v>15</v>
      </c>
      <c r="T64" s="193">
        <v>16</v>
      </c>
      <c r="U64" s="193">
        <v>5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4" t="s">
        <v>30</v>
      </c>
      <c r="AD64" s="200">
        <v>7</v>
      </c>
      <c r="AE64" s="200">
        <v>8</v>
      </c>
      <c r="AF64" s="200">
        <v>0</v>
      </c>
      <c r="AG64" s="200">
        <v>7</v>
      </c>
      <c r="AH64" s="200">
        <v>14</v>
      </c>
      <c r="AI64" s="5"/>
      <c r="AJ64" s="134" t="s">
        <v>30</v>
      </c>
      <c r="AK64" s="200">
        <v>7</v>
      </c>
      <c r="AL64" s="200">
        <v>8</v>
      </c>
      <c r="AM64" s="200">
        <v>0</v>
      </c>
      <c r="AN64" s="200">
        <v>7</v>
      </c>
      <c r="AO64" s="200">
        <v>14</v>
      </c>
    </row>
    <row r="65" spans="10:41" ht="16.5" customHeight="1">
      <c r="J65" s="193">
        <v>61</v>
      </c>
      <c r="K65" s="194" t="s">
        <v>31</v>
      </c>
      <c r="L65" s="194" t="s">
        <v>82</v>
      </c>
      <c r="M65" s="194" t="s">
        <v>81</v>
      </c>
      <c r="N65" s="194" t="s">
        <v>16</v>
      </c>
      <c r="O65" s="194" t="s">
        <v>14</v>
      </c>
      <c r="Q65" s="193">
        <v>7</v>
      </c>
      <c r="R65" s="193">
        <v>16</v>
      </c>
      <c r="S65" s="193">
        <v>14</v>
      </c>
      <c r="T65" s="193">
        <v>3</v>
      </c>
      <c r="U65" s="193">
        <v>1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9" t="s">
        <v>78</v>
      </c>
      <c r="AD65" s="201">
        <v>0</v>
      </c>
      <c r="AE65" s="201">
        <v>3</v>
      </c>
      <c r="AF65" s="201">
        <v>3</v>
      </c>
      <c r="AG65" s="201">
        <v>2</v>
      </c>
      <c r="AH65" s="201">
        <v>0</v>
      </c>
      <c r="AI65" s="5"/>
      <c r="AJ65" s="199" t="s">
        <v>78</v>
      </c>
      <c r="AK65" s="201">
        <v>0</v>
      </c>
      <c r="AL65" s="201">
        <v>3</v>
      </c>
      <c r="AM65" s="201">
        <v>3</v>
      </c>
      <c r="AN65" s="201">
        <v>2</v>
      </c>
      <c r="AO65" s="201">
        <v>0</v>
      </c>
    </row>
    <row r="66" spans="10:41" ht="16.5" customHeight="1">
      <c r="J66" s="23">
        <v>62</v>
      </c>
      <c r="K66" s="194" t="s">
        <v>29</v>
      </c>
      <c r="L66" s="194" t="s">
        <v>13</v>
      </c>
      <c r="M66" s="194" t="s">
        <v>96</v>
      </c>
      <c r="N66" s="194" t="s">
        <v>31</v>
      </c>
      <c r="O66" s="194" t="s">
        <v>95</v>
      </c>
      <c r="Q66" s="193">
        <v>8</v>
      </c>
      <c r="R66" s="193">
        <v>5</v>
      </c>
      <c r="S66" s="193">
        <v>15</v>
      </c>
      <c r="T66" s="193">
        <v>7</v>
      </c>
      <c r="U66" s="193">
        <v>6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9" t="s">
        <v>79</v>
      </c>
      <c r="AD66" s="201">
        <v>0</v>
      </c>
      <c r="AE66" s="201">
        <v>4</v>
      </c>
      <c r="AF66" s="201">
        <v>1</v>
      </c>
      <c r="AG66" s="201">
        <v>2</v>
      </c>
      <c r="AH66" s="201">
        <v>0</v>
      </c>
      <c r="AI66" s="5"/>
      <c r="AJ66" s="199" t="s">
        <v>79</v>
      </c>
      <c r="AK66" s="201">
        <v>0</v>
      </c>
      <c r="AL66" s="201">
        <v>4</v>
      </c>
      <c r="AM66" s="201">
        <v>1</v>
      </c>
      <c r="AN66" s="201">
        <v>2</v>
      </c>
      <c r="AO66" s="201">
        <v>0</v>
      </c>
    </row>
    <row r="67" spans="10:41" ht="16.5" customHeight="1">
      <c r="J67" s="193">
        <v>63</v>
      </c>
      <c r="K67" s="194" t="s">
        <v>31</v>
      </c>
      <c r="L67" s="194" t="s">
        <v>14</v>
      </c>
      <c r="M67" s="194" t="s">
        <v>82</v>
      </c>
      <c r="N67" s="194" t="s">
        <v>13</v>
      </c>
      <c r="O67" s="194" t="s">
        <v>31</v>
      </c>
      <c r="Q67" s="193">
        <v>7</v>
      </c>
      <c r="R67" s="193">
        <v>1</v>
      </c>
      <c r="S67" s="193">
        <v>16</v>
      </c>
      <c r="T67" s="193">
        <v>5</v>
      </c>
      <c r="U67" s="193">
        <v>7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9" t="s">
        <v>80</v>
      </c>
      <c r="AD67" s="201">
        <v>0</v>
      </c>
      <c r="AE67" s="201">
        <v>4</v>
      </c>
      <c r="AF67" s="201">
        <v>8</v>
      </c>
      <c r="AG67" s="201">
        <v>3</v>
      </c>
      <c r="AH67" s="201">
        <v>0</v>
      </c>
      <c r="AI67" s="5"/>
      <c r="AJ67" s="199" t="s">
        <v>80</v>
      </c>
      <c r="AK67" s="201">
        <v>0</v>
      </c>
      <c r="AL67" s="201">
        <v>4</v>
      </c>
      <c r="AM67" s="201">
        <v>8</v>
      </c>
      <c r="AN67" s="201">
        <v>3</v>
      </c>
      <c r="AO67" s="201">
        <v>0</v>
      </c>
    </row>
    <row r="68" spans="10:41" ht="16.5" customHeight="1">
      <c r="J68" s="23">
        <v>64</v>
      </c>
      <c r="K68" s="194" t="s">
        <v>12</v>
      </c>
      <c r="L68" s="194" t="s">
        <v>28</v>
      </c>
      <c r="M68" s="194" t="s">
        <v>96</v>
      </c>
      <c r="N68" s="194" t="s">
        <v>31</v>
      </c>
      <c r="O68" s="194" t="s">
        <v>95</v>
      </c>
      <c r="Q68" s="193">
        <v>4</v>
      </c>
      <c r="R68" s="193">
        <v>9</v>
      </c>
      <c r="S68" s="193">
        <v>15</v>
      </c>
      <c r="T68" s="193">
        <v>7</v>
      </c>
      <c r="U68" s="193">
        <v>6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9" t="s">
        <v>81</v>
      </c>
      <c r="AD68" s="201">
        <v>0</v>
      </c>
      <c r="AE68" s="201">
        <v>9</v>
      </c>
      <c r="AF68" s="201">
        <v>43</v>
      </c>
      <c r="AG68" s="201">
        <v>12</v>
      </c>
      <c r="AH68" s="201">
        <v>0</v>
      </c>
      <c r="AI68" s="5"/>
      <c r="AJ68" s="199" t="s">
        <v>81</v>
      </c>
      <c r="AK68" s="201">
        <v>0</v>
      </c>
      <c r="AL68" s="201">
        <v>9</v>
      </c>
      <c r="AM68" s="201">
        <v>43</v>
      </c>
      <c r="AN68" s="201">
        <v>12</v>
      </c>
      <c r="AO68" s="201">
        <v>0</v>
      </c>
    </row>
    <row r="69" spans="10:41" ht="16.5" customHeight="1">
      <c r="J69" s="193">
        <v>65</v>
      </c>
      <c r="K69" s="194" t="s">
        <v>13</v>
      </c>
      <c r="L69" s="194" t="s">
        <v>12</v>
      </c>
      <c r="M69" s="194" t="s">
        <v>81</v>
      </c>
      <c r="N69" s="194" t="s">
        <v>13</v>
      </c>
      <c r="O69" s="194" t="s">
        <v>31</v>
      </c>
      <c r="Q69" s="193">
        <v>5</v>
      </c>
      <c r="R69" s="193">
        <v>4</v>
      </c>
      <c r="S69" s="193">
        <v>14</v>
      </c>
      <c r="T69" s="193">
        <v>5</v>
      </c>
      <c r="U69" s="193">
        <v>7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9" t="s">
        <v>96</v>
      </c>
      <c r="AD69" s="201">
        <v>0</v>
      </c>
      <c r="AE69" s="201">
        <v>9</v>
      </c>
      <c r="AF69" s="201">
        <v>42</v>
      </c>
      <c r="AG69" s="201">
        <v>13</v>
      </c>
      <c r="AH69" s="201">
        <v>0</v>
      </c>
      <c r="AI69" s="5"/>
      <c r="AJ69" s="199" t="s">
        <v>96</v>
      </c>
      <c r="AK69" s="201">
        <v>0</v>
      </c>
      <c r="AL69" s="201">
        <v>9</v>
      </c>
      <c r="AM69" s="201">
        <v>42</v>
      </c>
      <c r="AN69" s="201">
        <v>13</v>
      </c>
      <c r="AO69" s="201">
        <v>0</v>
      </c>
    </row>
    <row r="70" spans="10:41" ht="16.5" customHeight="1">
      <c r="J70" s="23">
        <v>66</v>
      </c>
      <c r="K70" s="194" t="s">
        <v>95</v>
      </c>
      <c r="L70" s="194" t="s">
        <v>15</v>
      </c>
      <c r="M70" s="194" t="s">
        <v>94</v>
      </c>
      <c r="N70" s="194" t="s">
        <v>81</v>
      </c>
      <c r="O70" s="194" t="s">
        <v>95</v>
      </c>
      <c r="Q70" s="193">
        <v>6</v>
      </c>
      <c r="R70" s="193">
        <v>2</v>
      </c>
      <c r="S70" s="193">
        <v>17</v>
      </c>
      <c r="T70" s="193">
        <v>14</v>
      </c>
      <c r="U70" s="193">
        <v>6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9" t="s">
        <v>82</v>
      </c>
      <c r="AD70" s="201">
        <v>0</v>
      </c>
      <c r="AE70" s="201">
        <v>11</v>
      </c>
      <c r="AF70" s="201">
        <v>42</v>
      </c>
      <c r="AG70" s="201">
        <v>11</v>
      </c>
      <c r="AH70" s="201">
        <v>0</v>
      </c>
      <c r="AI70" s="5"/>
      <c r="AJ70" s="199" t="s">
        <v>82</v>
      </c>
      <c r="AK70" s="201">
        <v>0</v>
      </c>
      <c r="AL70" s="201">
        <v>11</v>
      </c>
      <c r="AM70" s="201">
        <v>42</v>
      </c>
      <c r="AN70" s="201">
        <v>11</v>
      </c>
      <c r="AO70" s="201">
        <v>0</v>
      </c>
    </row>
    <row r="71" spans="10:41" ht="16.5" customHeight="1">
      <c r="J71" s="193">
        <v>67</v>
      </c>
      <c r="K71" s="194" t="s">
        <v>30</v>
      </c>
      <c r="L71" s="194" t="s">
        <v>13</v>
      </c>
      <c r="M71" s="194" t="s">
        <v>80</v>
      </c>
      <c r="N71" s="194" t="s">
        <v>31</v>
      </c>
      <c r="O71" s="194" t="s">
        <v>29</v>
      </c>
      <c r="Q71" s="193">
        <v>10</v>
      </c>
      <c r="R71" s="193">
        <v>5</v>
      </c>
      <c r="S71" s="193">
        <v>13</v>
      </c>
      <c r="T71" s="193">
        <v>7</v>
      </c>
      <c r="U71" s="193">
        <v>8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9" t="s">
        <v>94</v>
      </c>
      <c r="AD71" s="201">
        <v>0</v>
      </c>
      <c r="AE71" s="201">
        <v>10</v>
      </c>
      <c r="AF71" s="201">
        <v>44</v>
      </c>
      <c r="AG71" s="201">
        <v>11</v>
      </c>
      <c r="AH71" s="201">
        <v>0</v>
      </c>
      <c r="AI71" s="5"/>
      <c r="AJ71" s="199" t="s">
        <v>94</v>
      </c>
      <c r="AK71" s="201">
        <v>0</v>
      </c>
      <c r="AL71" s="201">
        <v>10</v>
      </c>
      <c r="AM71" s="201">
        <v>44</v>
      </c>
      <c r="AN71" s="201">
        <v>11</v>
      </c>
      <c r="AO71" s="201">
        <v>0</v>
      </c>
    </row>
    <row r="72" spans="10:41" ht="16.5" customHeight="1">
      <c r="J72" s="23">
        <v>68</v>
      </c>
      <c r="K72" s="194" t="s">
        <v>29</v>
      </c>
      <c r="L72" s="194" t="s">
        <v>29</v>
      </c>
      <c r="M72" s="194" t="s">
        <v>96</v>
      </c>
      <c r="N72" s="194" t="s">
        <v>95</v>
      </c>
      <c r="O72" s="194" t="s">
        <v>95</v>
      </c>
      <c r="Q72" s="193">
        <v>8</v>
      </c>
      <c r="R72" s="193">
        <v>8</v>
      </c>
      <c r="S72" s="193">
        <v>15</v>
      </c>
      <c r="T72" s="193">
        <v>6</v>
      </c>
      <c r="U72" s="193">
        <v>6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9" t="s">
        <v>85</v>
      </c>
      <c r="AD72" s="201">
        <v>0</v>
      </c>
      <c r="AE72" s="201">
        <v>4</v>
      </c>
      <c r="AF72" s="201">
        <v>6</v>
      </c>
      <c r="AG72" s="201">
        <v>2</v>
      </c>
      <c r="AH72" s="201">
        <v>0</v>
      </c>
      <c r="AI72" s="5"/>
      <c r="AJ72" s="199" t="s">
        <v>85</v>
      </c>
      <c r="AK72" s="201">
        <v>0</v>
      </c>
      <c r="AL72" s="201">
        <v>4</v>
      </c>
      <c r="AM72" s="201">
        <v>6</v>
      </c>
      <c r="AN72" s="201">
        <v>2</v>
      </c>
      <c r="AO72" s="201">
        <v>0</v>
      </c>
    </row>
    <row r="73" spans="10:41" ht="16.5" customHeight="1">
      <c r="J73" s="193">
        <v>69</v>
      </c>
      <c r="K73" s="194" t="s">
        <v>13</v>
      </c>
      <c r="L73" s="194" t="s">
        <v>96</v>
      </c>
      <c r="M73" s="194" t="s">
        <v>94</v>
      </c>
      <c r="N73" s="194" t="s">
        <v>13</v>
      </c>
      <c r="O73" s="194" t="s">
        <v>28</v>
      </c>
      <c r="Q73" s="193">
        <v>5</v>
      </c>
      <c r="R73" s="193">
        <v>15</v>
      </c>
      <c r="S73" s="193">
        <v>17</v>
      </c>
      <c r="T73" s="193">
        <v>5</v>
      </c>
      <c r="U73" s="193">
        <v>9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9" t="s">
        <v>87</v>
      </c>
      <c r="AD73" s="201">
        <v>0</v>
      </c>
      <c r="AE73" s="201">
        <v>3</v>
      </c>
      <c r="AF73" s="201">
        <v>9</v>
      </c>
      <c r="AG73" s="201">
        <v>3</v>
      </c>
      <c r="AH73" s="201">
        <v>0</v>
      </c>
      <c r="AI73" s="5"/>
      <c r="AJ73" s="199" t="s">
        <v>87</v>
      </c>
      <c r="AK73" s="201">
        <v>0</v>
      </c>
      <c r="AL73" s="201">
        <v>3</v>
      </c>
      <c r="AM73" s="201">
        <v>9</v>
      </c>
      <c r="AN73" s="201">
        <v>3</v>
      </c>
      <c r="AO73" s="201">
        <v>0</v>
      </c>
    </row>
    <row r="74" spans="10:41" ht="16.5" customHeight="1">
      <c r="J74" s="23">
        <v>70</v>
      </c>
      <c r="K74" s="194" t="s">
        <v>16</v>
      </c>
      <c r="L74" s="194" t="s">
        <v>15</v>
      </c>
      <c r="M74" s="194" t="s">
        <v>82</v>
      </c>
      <c r="N74" s="194" t="s">
        <v>29</v>
      </c>
      <c r="O74" s="194" t="s">
        <v>95</v>
      </c>
      <c r="Q74" s="193">
        <v>3</v>
      </c>
      <c r="R74" s="193">
        <v>2</v>
      </c>
      <c r="S74" s="193">
        <v>16</v>
      </c>
      <c r="T74" s="193">
        <v>8</v>
      </c>
      <c r="U74" s="193">
        <v>6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3">
        <v>199</v>
      </c>
      <c r="AE74" s="103">
        <v>208</v>
      </c>
      <c r="AF74" s="103">
        <v>198</v>
      </c>
      <c r="AG74" s="103">
        <v>207</v>
      </c>
      <c r="AH74" s="103">
        <v>198</v>
      </c>
      <c r="AI74" s="5"/>
      <c r="AK74" s="103">
        <v>199</v>
      </c>
      <c r="AL74" s="103">
        <v>208</v>
      </c>
      <c r="AM74" s="103">
        <v>198</v>
      </c>
      <c r="AN74" s="103">
        <v>207</v>
      </c>
      <c r="AO74" s="103">
        <v>198</v>
      </c>
    </row>
    <row r="75" spans="10:41" ht="16.5" customHeight="1">
      <c r="J75" s="193">
        <v>71</v>
      </c>
      <c r="K75" s="194" t="s">
        <v>29</v>
      </c>
      <c r="L75" s="194" t="s">
        <v>31</v>
      </c>
      <c r="M75" s="194" t="s">
        <v>94</v>
      </c>
      <c r="N75" s="194" t="s">
        <v>95</v>
      </c>
      <c r="O75" s="194" t="s">
        <v>13</v>
      </c>
      <c r="Q75" s="193">
        <v>8</v>
      </c>
      <c r="R75" s="193">
        <v>7</v>
      </c>
      <c r="S75" s="193">
        <v>17</v>
      </c>
      <c r="T75" s="193">
        <v>6</v>
      </c>
      <c r="U75" s="193">
        <v>5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4" t="s">
        <v>95</v>
      </c>
      <c r="L76" s="194" t="s">
        <v>95</v>
      </c>
      <c r="M76" s="194" t="s">
        <v>81</v>
      </c>
      <c r="N76" s="194" t="s">
        <v>29</v>
      </c>
      <c r="O76" s="194" t="s">
        <v>16</v>
      </c>
      <c r="Q76" s="193">
        <v>6</v>
      </c>
      <c r="R76" s="193">
        <v>6</v>
      </c>
      <c r="S76" s="193">
        <v>14</v>
      </c>
      <c r="T76" s="193">
        <v>8</v>
      </c>
      <c r="U76" s="193">
        <v>3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3">
        <v>73</v>
      </c>
      <c r="K77" s="194" t="s">
        <v>31</v>
      </c>
      <c r="L77" s="194" t="s">
        <v>16</v>
      </c>
      <c r="M77" s="194" t="s">
        <v>96</v>
      </c>
      <c r="N77" s="194" t="s">
        <v>95</v>
      </c>
      <c r="O77" s="194" t="s">
        <v>95</v>
      </c>
      <c r="Q77" s="193">
        <v>7</v>
      </c>
      <c r="R77" s="193">
        <v>3</v>
      </c>
      <c r="S77" s="193">
        <v>15</v>
      </c>
      <c r="T77" s="193">
        <v>6</v>
      </c>
      <c r="U77" s="193">
        <v>6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4" t="s">
        <v>29</v>
      </c>
      <c r="L78" s="194" t="s">
        <v>29</v>
      </c>
      <c r="M78" s="194" t="s">
        <v>81</v>
      </c>
      <c r="N78" s="194" t="s">
        <v>13</v>
      </c>
      <c r="O78" s="194" t="s">
        <v>29</v>
      </c>
      <c r="Q78" s="193">
        <v>8</v>
      </c>
      <c r="R78" s="193">
        <v>8</v>
      </c>
      <c r="S78" s="193">
        <v>14</v>
      </c>
      <c r="T78" s="193">
        <v>5</v>
      </c>
      <c r="U78" s="193">
        <v>8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3">
        <v>75</v>
      </c>
      <c r="K79" s="194" t="s">
        <v>13</v>
      </c>
      <c r="L79" s="194" t="s">
        <v>13</v>
      </c>
      <c r="M79" s="194" t="s">
        <v>96</v>
      </c>
      <c r="N79" s="194" t="s">
        <v>29</v>
      </c>
      <c r="O79" s="194" t="s">
        <v>13</v>
      </c>
      <c r="Q79" s="193">
        <v>5</v>
      </c>
      <c r="R79" s="193">
        <v>5</v>
      </c>
      <c r="S79" s="193">
        <v>15</v>
      </c>
      <c r="T79" s="193">
        <v>8</v>
      </c>
      <c r="U79" s="193">
        <v>5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4" t="s">
        <v>29</v>
      </c>
      <c r="L80" s="194" t="s">
        <v>28</v>
      </c>
      <c r="M80" s="194" t="s">
        <v>81</v>
      </c>
      <c r="N80" s="194" t="s">
        <v>28</v>
      </c>
      <c r="O80" s="194" t="s">
        <v>30</v>
      </c>
      <c r="Q80" s="193">
        <v>8</v>
      </c>
      <c r="R80" s="193">
        <v>9</v>
      </c>
      <c r="S80" s="193">
        <v>14</v>
      </c>
      <c r="T80" s="193">
        <v>9</v>
      </c>
      <c r="U80" s="193">
        <v>10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>
      <c r="J81" s="193">
        <v>77</v>
      </c>
      <c r="K81" s="194" t="s">
        <v>95</v>
      </c>
      <c r="L81" s="194" t="s">
        <v>95</v>
      </c>
      <c r="M81" s="194" t="s">
        <v>96</v>
      </c>
      <c r="N81" s="194" t="s">
        <v>13</v>
      </c>
      <c r="O81" s="194" t="s">
        <v>29</v>
      </c>
      <c r="Q81" s="193">
        <v>6</v>
      </c>
      <c r="R81" s="193">
        <v>6</v>
      </c>
      <c r="S81" s="193">
        <v>15</v>
      </c>
      <c r="T81" s="193">
        <v>5</v>
      </c>
      <c r="U81" s="193">
        <v>8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4" t="s">
        <v>29</v>
      </c>
      <c r="L82" s="194" t="s">
        <v>16</v>
      </c>
      <c r="M82" s="194" t="s">
        <v>81</v>
      </c>
      <c r="N82" s="194" t="s">
        <v>29</v>
      </c>
      <c r="O82" s="194" t="s">
        <v>95</v>
      </c>
      <c r="Q82" s="193">
        <v>8</v>
      </c>
      <c r="R82" s="193">
        <v>3</v>
      </c>
      <c r="S82" s="193">
        <v>14</v>
      </c>
      <c r="T82" s="193">
        <v>8</v>
      </c>
      <c r="U82" s="193">
        <v>6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>
      <c r="J83" s="193">
        <v>79</v>
      </c>
      <c r="K83" s="194" t="s">
        <v>95</v>
      </c>
      <c r="L83" s="194" t="s">
        <v>14</v>
      </c>
      <c r="M83" s="194" t="s">
        <v>80</v>
      </c>
      <c r="N83" s="194" t="s">
        <v>13</v>
      </c>
      <c r="O83" s="194" t="s">
        <v>13</v>
      </c>
      <c r="Q83" s="193">
        <v>6</v>
      </c>
      <c r="R83" s="193">
        <v>1</v>
      </c>
      <c r="S83" s="193">
        <v>13</v>
      </c>
      <c r="T83" s="193">
        <v>5</v>
      </c>
      <c r="U83" s="193">
        <v>5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4" t="s">
        <v>12</v>
      </c>
      <c r="L84" s="194" t="s">
        <v>95</v>
      </c>
      <c r="M84" s="194" t="s">
        <v>81</v>
      </c>
      <c r="N84" s="194" t="s">
        <v>29</v>
      </c>
      <c r="O84" s="194" t="s">
        <v>31</v>
      </c>
      <c r="Q84" s="193">
        <v>4</v>
      </c>
      <c r="R84" s="193">
        <v>6</v>
      </c>
      <c r="S84" s="193">
        <v>14</v>
      </c>
      <c r="T84" s="193">
        <v>8</v>
      </c>
      <c r="U84" s="193">
        <v>7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>
      <c r="J85" s="193">
        <v>81</v>
      </c>
      <c r="K85" s="194" t="s">
        <v>13</v>
      </c>
      <c r="L85" s="194" t="s">
        <v>29</v>
      </c>
      <c r="M85" s="194" t="s">
        <v>85</v>
      </c>
      <c r="N85" s="194" t="s">
        <v>14</v>
      </c>
      <c r="O85" s="194" t="s">
        <v>30</v>
      </c>
      <c r="Q85" s="193">
        <v>5</v>
      </c>
      <c r="R85" s="193">
        <v>8</v>
      </c>
      <c r="S85" s="193">
        <v>18</v>
      </c>
      <c r="T85" s="193">
        <v>1</v>
      </c>
      <c r="U85" s="193">
        <v>10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4" t="s">
        <v>29</v>
      </c>
      <c r="L86" s="194" t="s">
        <v>28</v>
      </c>
      <c r="M86" s="194" t="s">
        <v>82</v>
      </c>
      <c r="N86" s="194" t="s">
        <v>95</v>
      </c>
      <c r="O86" s="194" t="s">
        <v>31</v>
      </c>
      <c r="Q86" s="193">
        <v>8</v>
      </c>
      <c r="R86" s="193">
        <v>9</v>
      </c>
      <c r="S86" s="193">
        <v>16</v>
      </c>
      <c r="T86" s="193">
        <v>6</v>
      </c>
      <c r="U86" s="193">
        <v>7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3">
        <v>83</v>
      </c>
      <c r="K87" s="194" t="s">
        <v>30</v>
      </c>
      <c r="L87" s="194" t="s">
        <v>81</v>
      </c>
      <c r="M87" s="194" t="s">
        <v>96</v>
      </c>
      <c r="N87" s="194" t="s">
        <v>16</v>
      </c>
      <c r="O87" s="194" t="s">
        <v>13</v>
      </c>
      <c r="Q87" s="193">
        <v>10</v>
      </c>
      <c r="R87" s="193">
        <v>14</v>
      </c>
      <c r="S87" s="193">
        <v>15</v>
      </c>
      <c r="T87" s="193">
        <v>3</v>
      </c>
      <c r="U87" s="193">
        <v>5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4" t="s">
        <v>95</v>
      </c>
      <c r="L88" s="194" t="s">
        <v>30</v>
      </c>
      <c r="M88" s="194" t="s">
        <v>94</v>
      </c>
      <c r="N88" s="194" t="s">
        <v>31</v>
      </c>
      <c r="O88" s="194" t="s">
        <v>28</v>
      </c>
      <c r="Q88" s="193">
        <v>6</v>
      </c>
      <c r="R88" s="193">
        <v>10</v>
      </c>
      <c r="S88" s="193">
        <v>17</v>
      </c>
      <c r="T88" s="193">
        <v>7</v>
      </c>
      <c r="U88" s="193">
        <v>9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>
      <c r="J89" s="193">
        <v>85</v>
      </c>
      <c r="K89" s="194" t="s">
        <v>31</v>
      </c>
      <c r="L89" s="194" t="s">
        <v>85</v>
      </c>
      <c r="M89" s="194" t="s">
        <v>82</v>
      </c>
      <c r="N89" s="194" t="s">
        <v>95</v>
      </c>
      <c r="O89" s="194" t="s">
        <v>13</v>
      </c>
      <c r="Q89" s="193">
        <v>7</v>
      </c>
      <c r="R89" s="193">
        <v>18</v>
      </c>
      <c r="S89" s="193">
        <v>16</v>
      </c>
      <c r="T89" s="193">
        <v>6</v>
      </c>
      <c r="U89" s="193">
        <v>5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4" t="s">
        <v>95</v>
      </c>
      <c r="L90" s="194" t="s">
        <v>15</v>
      </c>
      <c r="M90" s="194" t="s">
        <v>96</v>
      </c>
      <c r="N90" s="194" t="s">
        <v>13</v>
      </c>
      <c r="O90" s="194" t="s">
        <v>28</v>
      </c>
      <c r="Q90" s="193">
        <v>6</v>
      </c>
      <c r="R90" s="193">
        <v>2</v>
      </c>
      <c r="S90" s="193">
        <v>15</v>
      </c>
      <c r="T90" s="193">
        <v>5</v>
      </c>
      <c r="U90" s="193">
        <v>9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3">
        <v>87</v>
      </c>
      <c r="K91" s="194" t="s">
        <v>30</v>
      </c>
      <c r="L91" s="194" t="s">
        <v>80</v>
      </c>
      <c r="M91" s="194" t="s">
        <v>79</v>
      </c>
      <c r="N91" s="194" t="s">
        <v>31</v>
      </c>
      <c r="O91" s="194" t="s">
        <v>30</v>
      </c>
      <c r="Q91" s="193">
        <v>10</v>
      </c>
      <c r="R91" s="193">
        <v>13</v>
      </c>
      <c r="S91" s="193">
        <v>12</v>
      </c>
      <c r="T91" s="193">
        <v>7</v>
      </c>
      <c r="U91" s="193">
        <v>10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4" t="s">
        <v>28</v>
      </c>
      <c r="L92" s="194" t="s">
        <v>31</v>
      </c>
      <c r="M92" s="194" t="s">
        <v>87</v>
      </c>
      <c r="N92" s="194" t="s">
        <v>95</v>
      </c>
      <c r="O92" s="194" t="s">
        <v>28</v>
      </c>
      <c r="Q92" s="193">
        <v>9</v>
      </c>
      <c r="R92" s="193">
        <v>7</v>
      </c>
      <c r="S92" s="193">
        <v>19</v>
      </c>
      <c r="T92" s="193">
        <v>6</v>
      </c>
      <c r="U92" s="193">
        <v>9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>
      <c r="J93" s="193">
        <v>89</v>
      </c>
      <c r="K93" s="194" t="s">
        <v>29</v>
      </c>
      <c r="L93" s="194" t="s">
        <v>28</v>
      </c>
      <c r="M93" s="194" t="s">
        <v>96</v>
      </c>
      <c r="N93" s="194" t="s">
        <v>94</v>
      </c>
      <c r="O93" s="194" t="s">
        <v>16</v>
      </c>
      <c r="Q93" s="193">
        <v>8</v>
      </c>
      <c r="R93" s="193">
        <v>9</v>
      </c>
      <c r="S93" s="193">
        <v>15</v>
      </c>
      <c r="T93" s="193">
        <v>17</v>
      </c>
      <c r="U93" s="193">
        <v>3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4" t="s">
        <v>13</v>
      </c>
      <c r="L94" s="194" t="s">
        <v>95</v>
      </c>
      <c r="M94" s="194" t="s">
        <v>94</v>
      </c>
      <c r="N94" s="194" t="s">
        <v>29</v>
      </c>
      <c r="O94" s="194" t="s">
        <v>15</v>
      </c>
      <c r="Q94" s="193">
        <v>5</v>
      </c>
      <c r="R94" s="193">
        <v>6</v>
      </c>
      <c r="S94" s="193">
        <v>17</v>
      </c>
      <c r="T94" s="193">
        <v>8</v>
      </c>
      <c r="U94" s="193">
        <v>2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>
      <c r="J95" s="193">
        <v>91</v>
      </c>
      <c r="K95" s="194" t="s">
        <v>31</v>
      </c>
      <c r="L95" s="194" t="s">
        <v>82</v>
      </c>
      <c r="M95" s="194" t="s">
        <v>82</v>
      </c>
      <c r="N95" s="194" t="s">
        <v>80</v>
      </c>
      <c r="O95" s="194" t="s">
        <v>30</v>
      </c>
      <c r="Q95" s="193">
        <v>7</v>
      </c>
      <c r="R95" s="193">
        <v>16</v>
      </c>
      <c r="S95" s="193">
        <v>16</v>
      </c>
      <c r="T95" s="193">
        <v>13</v>
      </c>
      <c r="U95" s="193">
        <v>10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4" t="s">
        <v>13</v>
      </c>
      <c r="L96" s="194" t="s">
        <v>13</v>
      </c>
      <c r="M96" s="194" t="s">
        <v>81</v>
      </c>
      <c r="N96" s="194" t="s">
        <v>13</v>
      </c>
      <c r="O96" s="194" t="s">
        <v>29</v>
      </c>
      <c r="Q96" s="193">
        <v>5</v>
      </c>
      <c r="R96" s="193">
        <v>5</v>
      </c>
      <c r="S96" s="193">
        <v>14</v>
      </c>
      <c r="T96" s="193">
        <v>5</v>
      </c>
      <c r="U96" s="193">
        <v>8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>
      <c r="J97" s="193">
        <v>93</v>
      </c>
      <c r="K97" s="194" t="s">
        <v>95</v>
      </c>
      <c r="L97" s="194" t="s">
        <v>30</v>
      </c>
      <c r="M97" s="194" t="s">
        <v>96</v>
      </c>
      <c r="N97" s="194" t="s">
        <v>81</v>
      </c>
      <c r="O97" s="194" t="s">
        <v>14</v>
      </c>
      <c r="Q97" s="193">
        <v>6</v>
      </c>
      <c r="R97" s="193">
        <v>10</v>
      </c>
      <c r="S97" s="193">
        <v>15</v>
      </c>
      <c r="T97" s="193">
        <v>14</v>
      </c>
      <c r="U97" s="193">
        <v>1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4" t="s">
        <v>31</v>
      </c>
      <c r="L98" s="194" t="s">
        <v>95</v>
      </c>
      <c r="M98" s="194" t="s">
        <v>94</v>
      </c>
      <c r="N98" s="194" t="s">
        <v>29</v>
      </c>
      <c r="O98" s="194" t="s">
        <v>31</v>
      </c>
      <c r="Q98" s="193">
        <v>7</v>
      </c>
      <c r="R98" s="193">
        <v>6</v>
      </c>
      <c r="S98" s="193">
        <v>17</v>
      </c>
      <c r="T98" s="193">
        <v>8</v>
      </c>
      <c r="U98" s="193">
        <v>7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>
      <c r="J99" s="193">
        <v>95</v>
      </c>
      <c r="K99" s="194" t="s">
        <v>29</v>
      </c>
      <c r="L99" s="194" t="s">
        <v>31</v>
      </c>
      <c r="M99" s="194" t="s">
        <v>81</v>
      </c>
      <c r="N99" s="194" t="s">
        <v>13</v>
      </c>
      <c r="O99" s="194" t="s">
        <v>95</v>
      </c>
      <c r="Q99" s="193">
        <v>8</v>
      </c>
      <c r="R99" s="193">
        <v>7</v>
      </c>
      <c r="S99" s="193">
        <v>14</v>
      </c>
      <c r="T99" s="193">
        <v>5</v>
      </c>
      <c r="U99" s="193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4" t="s">
        <v>14</v>
      </c>
      <c r="L100" s="194" t="s">
        <v>29</v>
      </c>
      <c r="M100" s="194" t="s">
        <v>94</v>
      </c>
      <c r="N100" s="194" t="s">
        <v>31</v>
      </c>
      <c r="O100" s="194" t="s">
        <v>12</v>
      </c>
      <c r="Q100" s="193">
        <v>1</v>
      </c>
      <c r="R100" s="193">
        <v>8</v>
      </c>
      <c r="S100" s="193">
        <v>17</v>
      </c>
      <c r="T100" s="193">
        <v>7</v>
      </c>
      <c r="U100" s="193">
        <v>4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>
      <c r="J101" s="193">
        <v>97</v>
      </c>
      <c r="K101" s="194" t="s">
        <v>95</v>
      </c>
      <c r="L101" s="194" t="s">
        <v>95</v>
      </c>
      <c r="M101" s="194" t="s">
        <v>82</v>
      </c>
      <c r="N101" s="194" t="s">
        <v>13</v>
      </c>
      <c r="O101" s="194" t="s">
        <v>29</v>
      </c>
      <c r="Q101" s="193">
        <v>6</v>
      </c>
      <c r="R101" s="193">
        <v>6</v>
      </c>
      <c r="S101" s="193">
        <v>16</v>
      </c>
      <c r="T101" s="193">
        <v>5</v>
      </c>
      <c r="U101" s="193">
        <v>8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4" t="s">
        <v>29</v>
      </c>
      <c r="L102" s="194" t="s">
        <v>28</v>
      </c>
      <c r="M102" s="194" t="s">
        <v>81</v>
      </c>
      <c r="N102" s="194" t="s">
        <v>87</v>
      </c>
      <c r="O102" s="194" t="s">
        <v>28</v>
      </c>
      <c r="Q102" s="193">
        <v>8</v>
      </c>
      <c r="R102" s="193">
        <v>9</v>
      </c>
      <c r="S102" s="193">
        <v>14</v>
      </c>
      <c r="T102" s="193">
        <v>19</v>
      </c>
      <c r="U102" s="193">
        <v>9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>
      <c r="J103" s="193">
        <v>99</v>
      </c>
      <c r="K103" s="194" t="s">
        <v>13</v>
      </c>
      <c r="L103" s="194" t="s">
        <v>95</v>
      </c>
      <c r="M103" s="194" t="s">
        <v>79</v>
      </c>
      <c r="N103" s="194" t="s">
        <v>29</v>
      </c>
      <c r="O103" s="194" t="s">
        <v>29</v>
      </c>
      <c r="Q103" s="193">
        <v>5</v>
      </c>
      <c r="R103" s="193">
        <v>6</v>
      </c>
      <c r="S103" s="193">
        <v>12</v>
      </c>
      <c r="T103" s="193">
        <v>8</v>
      </c>
      <c r="U103" s="193">
        <v>8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4" t="s">
        <v>29</v>
      </c>
      <c r="L104" s="194" t="s">
        <v>94</v>
      </c>
      <c r="M104" s="194" t="s">
        <v>82</v>
      </c>
      <c r="N104" s="194" t="s">
        <v>96</v>
      </c>
      <c r="O104" s="194" t="s">
        <v>13</v>
      </c>
      <c r="Q104" s="193">
        <v>8</v>
      </c>
      <c r="R104" s="193">
        <v>17</v>
      </c>
      <c r="S104" s="193">
        <v>16</v>
      </c>
      <c r="T104" s="193">
        <v>15</v>
      </c>
      <c r="U104" s="193">
        <v>5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4" t="s">
        <v>95</v>
      </c>
      <c r="L105" s="194" t="s">
        <v>14</v>
      </c>
      <c r="M105" s="194" t="s">
        <v>94</v>
      </c>
      <c r="N105" s="194" t="s">
        <v>13</v>
      </c>
      <c r="O105" s="194" t="s">
        <v>95</v>
      </c>
      <c r="Q105" s="193">
        <v>6</v>
      </c>
      <c r="R105" s="193">
        <v>1</v>
      </c>
      <c r="S105" s="193">
        <v>17</v>
      </c>
      <c r="T105" s="193">
        <v>5</v>
      </c>
      <c r="U105" s="193">
        <v>6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>
      <c r="J106" s="193">
        <v>102</v>
      </c>
      <c r="K106" s="194" t="s">
        <v>31</v>
      </c>
      <c r="L106" s="194" t="s">
        <v>29</v>
      </c>
      <c r="M106" s="194" t="s">
        <v>96</v>
      </c>
      <c r="N106" s="194" t="s">
        <v>29</v>
      </c>
      <c r="O106" s="194" t="s">
        <v>13</v>
      </c>
      <c r="Q106" s="193">
        <v>7</v>
      </c>
      <c r="R106" s="193">
        <v>8</v>
      </c>
      <c r="S106" s="193">
        <v>15</v>
      </c>
      <c r="T106" s="193">
        <v>8</v>
      </c>
      <c r="U106" s="193">
        <v>5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4" t="s">
        <v>30</v>
      </c>
      <c r="L107" s="194" t="s">
        <v>31</v>
      </c>
      <c r="M107" s="194" t="s">
        <v>81</v>
      </c>
      <c r="N107" s="194" t="s">
        <v>94</v>
      </c>
      <c r="O107" s="194" t="s">
        <v>31</v>
      </c>
      <c r="Q107" s="193">
        <v>10</v>
      </c>
      <c r="R107" s="193">
        <v>7</v>
      </c>
      <c r="S107" s="193">
        <v>14</v>
      </c>
      <c r="T107" s="193">
        <v>17</v>
      </c>
      <c r="U107" s="193">
        <v>7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>
      <c r="J108" s="193">
        <v>104</v>
      </c>
      <c r="K108" s="194" t="s">
        <v>28</v>
      </c>
      <c r="L108" s="194" t="s">
        <v>95</v>
      </c>
      <c r="M108" s="194" t="s">
        <v>82</v>
      </c>
      <c r="N108" s="194" t="s">
        <v>31</v>
      </c>
      <c r="O108" s="194" t="s">
        <v>95</v>
      </c>
      <c r="Q108" s="193">
        <v>9</v>
      </c>
      <c r="R108" s="193">
        <v>6</v>
      </c>
      <c r="S108" s="193">
        <v>16</v>
      </c>
      <c r="T108" s="193">
        <v>7</v>
      </c>
      <c r="U108" s="193">
        <v>6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4" t="s">
        <v>13</v>
      </c>
      <c r="L109" s="194" t="s">
        <v>78</v>
      </c>
      <c r="M109" s="194" t="s">
        <v>81</v>
      </c>
      <c r="N109" s="194" t="s">
        <v>30</v>
      </c>
      <c r="O109" s="194" t="s">
        <v>12</v>
      </c>
      <c r="Q109" s="193">
        <v>5</v>
      </c>
      <c r="R109" s="193">
        <v>11</v>
      </c>
      <c r="S109" s="193">
        <v>14</v>
      </c>
      <c r="T109" s="193">
        <v>10</v>
      </c>
      <c r="U109" s="193">
        <v>4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3">
        <v>106</v>
      </c>
      <c r="K110" s="194" t="s">
        <v>95</v>
      </c>
      <c r="L110" s="194" t="s">
        <v>96</v>
      </c>
      <c r="M110" s="194" t="s">
        <v>94</v>
      </c>
      <c r="N110" s="194" t="s">
        <v>14</v>
      </c>
      <c r="O110" s="194" t="s">
        <v>16</v>
      </c>
      <c r="Q110" s="193">
        <v>6</v>
      </c>
      <c r="R110" s="193">
        <v>15</v>
      </c>
      <c r="S110" s="193">
        <v>17</v>
      </c>
      <c r="T110" s="193">
        <v>1</v>
      </c>
      <c r="U110" s="193">
        <v>3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4" t="s">
        <v>29</v>
      </c>
      <c r="L111" s="194" t="s">
        <v>29</v>
      </c>
      <c r="M111" s="194" t="s">
        <v>81</v>
      </c>
      <c r="N111" s="194" t="s">
        <v>15</v>
      </c>
      <c r="O111" s="194" t="s">
        <v>29</v>
      </c>
      <c r="Q111" s="193">
        <v>8</v>
      </c>
      <c r="R111" s="193">
        <v>8</v>
      </c>
      <c r="S111" s="193">
        <v>14</v>
      </c>
      <c r="T111" s="193">
        <v>2</v>
      </c>
      <c r="U111" s="193">
        <v>8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3">
        <v>108</v>
      </c>
      <c r="K112" s="194" t="s">
        <v>95</v>
      </c>
      <c r="L112" s="194" t="s">
        <v>94</v>
      </c>
      <c r="M112" s="194" t="s">
        <v>94</v>
      </c>
      <c r="N112" s="194" t="s">
        <v>13</v>
      </c>
      <c r="O112" s="194" t="s">
        <v>13</v>
      </c>
      <c r="Q112" s="193">
        <v>6</v>
      </c>
      <c r="R112" s="193">
        <v>17</v>
      </c>
      <c r="S112" s="193">
        <v>17</v>
      </c>
      <c r="T112" s="193">
        <v>5</v>
      </c>
      <c r="U112" s="193">
        <v>5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4" t="s">
        <v>29</v>
      </c>
      <c r="L113" s="194" t="s">
        <v>12</v>
      </c>
      <c r="M113" s="194" t="s">
        <v>81</v>
      </c>
      <c r="N113" s="194" t="s">
        <v>96</v>
      </c>
      <c r="O113" s="194" t="s">
        <v>29</v>
      </c>
      <c r="Q113" s="193">
        <v>8</v>
      </c>
      <c r="R113" s="193">
        <v>4</v>
      </c>
      <c r="S113" s="193">
        <v>14</v>
      </c>
      <c r="T113" s="193">
        <v>15</v>
      </c>
      <c r="U113" s="193">
        <v>8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>
      <c r="J114" s="193">
        <v>110</v>
      </c>
      <c r="K114" s="194" t="s">
        <v>13</v>
      </c>
      <c r="L114" s="194" t="s">
        <v>31</v>
      </c>
      <c r="M114" s="194" t="s">
        <v>94</v>
      </c>
      <c r="N114" s="194" t="s">
        <v>31</v>
      </c>
      <c r="O114" s="194" t="s">
        <v>28</v>
      </c>
      <c r="Q114" s="193">
        <v>5</v>
      </c>
      <c r="R114" s="193">
        <v>7</v>
      </c>
      <c r="S114" s="193">
        <v>17</v>
      </c>
      <c r="T114" s="193">
        <v>7</v>
      </c>
      <c r="U114" s="193">
        <v>9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4" t="s">
        <v>31</v>
      </c>
      <c r="L115" s="194" t="s">
        <v>79</v>
      </c>
      <c r="M115" s="194" t="s">
        <v>82</v>
      </c>
      <c r="N115" s="194" t="s">
        <v>15</v>
      </c>
      <c r="O115" s="194" t="s">
        <v>95</v>
      </c>
      <c r="Q115" s="193">
        <v>7</v>
      </c>
      <c r="R115" s="193">
        <v>12</v>
      </c>
      <c r="S115" s="193">
        <v>16</v>
      </c>
      <c r="T115" s="193">
        <v>2</v>
      </c>
      <c r="U115" s="193">
        <v>6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>
      <c r="J116" s="193">
        <v>112</v>
      </c>
      <c r="K116" s="194" t="s">
        <v>28</v>
      </c>
      <c r="L116" s="194" t="s">
        <v>95</v>
      </c>
      <c r="M116" s="194" t="s">
        <v>81</v>
      </c>
      <c r="N116" s="194" t="s">
        <v>28</v>
      </c>
      <c r="O116" s="194" t="s">
        <v>12</v>
      </c>
      <c r="Q116" s="193">
        <v>9</v>
      </c>
      <c r="R116" s="193">
        <v>6</v>
      </c>
      <c r="S116" s="193">
        <v>14</v>
      </c>
      <c r="T116" s="193">
        <v>9</v>
      </c>
      <c r="U116" s="193">
        <v>4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4" t="s">
        <v>29</v>
      </c>
      <c r="L117" s="194" t="s">
        <v>16</v>
      </c>
      <c r="M117" s="194" t="s">
        <v>94</v>
      </c>
      <c r="N117" s="194" t="s">
        <v>29</v>
      </c>
      <c r="O117" s="194" t="s">
        <v>13</v>
      </c>
      <c r="Q117" s="193">
        <v>8</v>
      </c>
      <c r="R117" s="193">
        <v>3</v>
      </c>
      <c r="S117" s="193">
        <v>17</v>
      </c>
      <c r="T117" s="193">
        <v>8</v>
      </c>
      <c r="U117" s="193">
        <v>5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>
      <c r="J118" s="193">
        <v>114</v>
      </c>
      <c r="K118" s="194" t="s">
        <v>31</v>
      </c>
      <c r="L118" s="194" t="s">
        <v>95</v>
      </c>
      <c r="M118" s="194" t="s">
        <v>81</v>
      </c>
      <c r="N118" s="194" t="s">
        <v>31</v>
      </c>
      <c r="O118" s="194" t="s">
        <v>95</v>
      </c>
      <c r="Q118" s="193">
        <v>7</v>
      </c>
      <c r="R118" s="193">
        <v>6</v>
      </c>
      <c r="S118" s="193">
        <v>14</v>
      </c>
      <c r="T118" s="193">
        <v>7</v>
      </c>
      <c r="U118" s="193">
        <v>6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4" t="s">
        <v>13</v>
      </c>
      <c r="L119" s="194" t="s">
        <v>82</v>
      </c>
      <c r="M119" s="194" t="s">
        <v>96</v>
      </c>
      <c r="N119" s="194" t="s">
        <v>14</v>
      </c>
      <c r="O119" s="194" t="s">
        <v>31</v>
      </c>
      <c r="Q119" s="193">
        <v>5</v>
      </c>
      <c r="R119" s="193">
        <v>16</v>
      </c>
      <c r="S119" s="193">
        <v>15</v>
      </c>
      <c r="T119" s="193">
        <v>1</v>
      </c>
      <c r="U119" s="193">
        <v>7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>
      <c r="J120" s="193">
        <v>116</v>
      </c>
      <c r="K120" s="194" t="s">
        <v>31</v>
      </c>
      <c r="L120" s="194" t="s">
        <v>31</v>
      </c>
      <c r="M120" s="194" t="s">
        <v>94</v>
      </c>
      <c r="N120" s="194" t="s">
        <v>95</v>
      </c>
      <c r="O120" s="194" t="s">
        <v>30</v>
      </c>
      <c r="Q120" s="193">
        <v>7</v>
      </c>
      <c r="R120" s="193">
        <v>7</v>
      </c>
      <c r="S120" s="193">
        <v>17</v>
      </c>
      <c r="T120" s="193">
        <v>6</v>
      </c>
      <c r="U120" s="193">
        <v>10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4" t="s">
        <v>95</v>
      </c>
      <c r="L121" s="194" t="s">
        <v>95</v>
      </c>
      <c r="M121" s="194" t="s">
        <v>85</v>
      </c>
      <c r="N121" s="194" t="s">
        <v>12</v>
      </c>
      <c r="O121" s="194" t="s">
        <v>29</v>
      </c>
      <c r="Q121" s="193">
        <v>6</v>
      </c>
      <c r="R121" s="193">
        <v>6</v>
      </c>
      <c r="S121" s="193">
        <v>18</v>
      </c>
      <c r="T121" s="193">
        <v>4</v>
      </c>
      <c r="U121" s="193">
        <v>8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3">
        <v>118</v>
      </c>
      <c r="K122" s="194" t="s">
        <v>31</v>
      </c>
      <c r="L122" s="194" t="s">
        <v>13</v>
      </c>
      <c r="M122" s="194" t="s">
        <v>80</v>
      </c>
      <c r="N122" s="194" t="s">
        <v>13</v>
      </c>
      <c r="O122" s="194" t="s">
        <v>13</v>
      </c>
      <c r="Q122" s="193">
        <v>7</v>
      </c>
      <c r="R122" s="193">
        <v>5</v>
      </c>
      <c r="S122" s="193">
        <v>13</v>
      </c>
      <c r="T122" s="193">
        <v>5</v>
      </c>
      <c r="U122" s="193">
        <v>5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4" t="s">
        <v>13</v>
      </c>
      <c r="L123" s="194" t="s">
        <v>31</v>
      </c>
      <c r="M123" s="194" t="s">
        <v>96</v>
      </c>
      <c r="N123" s="194" t="s">
        <v>31</v>
      </c>
      <c r="O123" s="194" t="s">
        <v>28</v>
      </c>
      <c r="Q123" s="193">
        <v>5</v>
      </c>
      <c r="R123" s="193">
        <v>7</v>
      </c>
      <c r="S123" s="193">
        <v>15</v>
      </c>
      <c r="T123" s="193">
        <v>7</v>
      </c>
      <c r="U123" s="193">
        <v>9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3">
        <v>120</v>
      </c>
      <c r="K124" s="194" t="s">
        <v>29</v>
      </c>
      <c r="L124" s="194" t="s">
        <v>87</v>
      </c>
      <c r="M124" s="194" t="s">
        <v>82</v>
      </c>
      <c r="N124" s="194" t="s">
        <v>13</v>
      </c>
      <c r="O124" s="194" t="s">
        <v>29</v>
      </c>
      <c r="Q124" s="193">
        <v>8</v>
      </c>
      <c r="R124" s="193">
        <v>19</v>
      </c>
      <c r="S124" s="193">
        <v>16</v>
      </c>
      <c r="T124" s="193">
        <v>5</v>
      </c>
      <c r="U124" s="193">
        <v>8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4" t="s">
        <v>95</v>
      </c>
      <c r="L125" s="194" t="s">
        <v>30</v>
      </c>
      <c r="M125" s="194" t="s">
        <v>96</v>
      </c>
      <c r="N125" s="194" t="s">
        <v>31</v>
      </c>
      <c r="O125" s="194" t="s">
        <v>31</v>
      </c>
      <c r="Q125" s="193">
        <v>6</v>
      </c>
      <c r="R125" s="193">
        <v>10</v>
      </c>
      <c r="S125" s="193">
        <v>15</v>
      </c>
      <c r="T125" s="193">
        <v>7</v>
      </c>
      <c r="U125" s="193">
        <v>7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3">
        <v>122</v>
      </c>
      <c r="K126" s="194" t="s">
        <v>31</v>
      </c>
      <c r="L126" s="194" t="s">
        <v>81</v>
      </c>
      <c r="M126" s="194" t="s">
        <v>81</v>
      </c>
      <c r="N126" s="194" t="s">
        <v>96</v>
      </c>
      <c r="O126" s="194" t="s">
        <v>95</v>
      </c>
      <c r="Q126" s="193">
        <v>7</v>
      </c>
      <c r="R126" s="193">
        <v>14</v>
      </c>
      <c r="S126" s="193">
        <v>14</v>
      </c>
      <c r="T126" s="193">
        <v>15</v>
      </c>
      <c r="U126" s="193">
        <v>6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4" t="s">
        <v>29</v>
      </c>
      <c r="L127" s="194" t="s">
        <v>95</v>
      </c>
      <c r="M127" s="194" t="s">
        <v>96</v>
      </c>
      <c r="N127" s="194" t="s">
        <v>30</v>
      </c>
      <c r="O127" s="194" t="s">
        <v>29</v>
      </c>
      <c r="Q127" s="193">
        <v>8</v>
      </c>
      <c r="R127" s="193">
        <v>6</v>
      </c>
      <c r="S127" s="193">
        <v>15</v>
      </c>
      <c r="T127" s="193">
        <v>10</v>
      </c>
      <c r="U127" s="193">
        <v>8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3">
        <v>124</v>
      </c>
      <c r="K128" s="194" t="s">
        <v>95</v>
      </c>
      <c r="L128" s="194" t="s">
        <v>31</v>
      </c>
      <c r="M128" s="194" t="s">
        <v>94</v>
      </c>
      <c r="N128" s="194" t="s">
        <v>94</v>
      </c>
      <c r="O128" s="194" t="s">
        <v>15</v>
      </c>
      <c r="Q128" s="193">
        <v>6</v>
      </c>
      <c r="R128" s="193">
        <v>7</v>
      </c>
      <c r="S128" s="193">
        <v>17</v>
      </c>
      <c r="T128" s="193">
        <v>17</v>
      </c>
      <c r="U128" s="193">
        <v>2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4" t="s">
        <v>13</v>
      </c>
      <c r="L129" s="194" t="s">
        <v>94</v>
      </c>
      <c r="M129" s="194" t="s">
        <v>79</v>
      </c>
      <c r="N129" s="194" t="s">
        <v>82</v>
      </c>
      <c r="O129" s="194" t="s">
        <v>29</v>
      </c>
      <c r="Q129" s="193">
        <v>5</v>
      </c>
      <c r="R129" s="193">
        <v>17</v>
      </c>
      <c r="S129" s="193">
        <v>12</v>
      </c>
      <c r="T129" s="193">
        <v>16</v>
      </c>
      <c r="U129" s="193">
        <v>8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3">
        <v>126</v>
      </c>
      <c r="K130" s="194" t="s">
        <v>31</v>
      </c>
      <c r="L130" s="194" t="s">
        <v>16</v>
      </c>
      <c r="M130" s="194" t="s">
        <v>87</v>
      </c>
      <c r="N130" s="194" t="s">
        <v>13</v>
      </c>
      <c r="O130" s="194" t="s">
        <v>31</v>
      </c>
      <c r="Q130" s="193">
        <v>7</v>
      </c>
      <c r="R130" s="193">
        <v>3</v>
      </c>
      <c r="S130" s="193">
        <v>19</v>
      </c>
      <c r="T130" s="193">
        <v>5</v>
      </c>
      <c r="U130" s="193">
        <v>7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4" t="s">
        <v>13</v>
      </c>
      <c r="L131" s="194" t="s">
        <v>31</v>
      </c>
      <c r="M131" s="194" t="s">
        <v>82</v>
      </c>
      <c r="N131" s="194" t="s">
        <v>95</v>
      </c>
      <c r="O131" s="194" t="s">
        <v>28</v>
      </c>
      <c r="Q131" s="193">
        <v>5</v>
      </c>
      <c r="R131" s="193">
        <v>7</v>
      </c>
      <c r="S131" s="193">
        <v>16</v>
      </c>
      <c r="T131" s="193">
        <v>6</v>
      </c>
      <c r="U131" s="193">
        <v>9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>
      <c r="J132" s="193">
        <v>128</v>
      </c>
      <c r="K132" s="194" t="s">
        <v>31</v>
      </c>
      <c r="L132" s="194" t="s">
        <v>29</v>
      </c>
      <c r="M132" s="194" t="s">
        <v>94</v>
      </c>
      <c r="N132" s="194" t="s">
        <v>13</v>
      </c>
      <c r="O132" s="194" t="s">
        <v>30</v>
      </c>
      <c r="Q132" s="193">
        <v>7</v>
      </c>
      <c r="R132" s="193">
        <v>8</v>
      </c>
      <c r="S132" s="193">
        <v>17</v>
      </c>
      <c r="T132" s="193">
        <v>5</v>
      </c>
      <c r="U132" s="193">
        <v>10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4" t="s">
        <v>95</v>
      </c>
      <c r="L133" s="194" t="s">
        <v>95</v>
      </c>
      <c r="M133" s="194" t="s">
        <v>96</v>
      </c>
      <c r="N133" s="194" t="s">
        <v>94</v>
      </c>
      <c r="O133" s="194" t="s">
        <v>95</v>
      </c>
      <c r="Q133" s="193">
        <v>6</v>
      </c>
      <c r="R133" s="193">
        <v>6</v>
      </c>
      <c r="S133" s="193">
        <v>15</v>
      </c>
      <c r="T133" s="193">
        <v>17</v>
      </c>
      <c r="U133" s="193">
        <v>6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>
      <c r="J134" s="193">
        <v>130</v>
      </c>
      <c r="K134" s="194" t="s">
        <v>31</v>
      </c>
      <c r="L134" s="194" t="s">
        <v>16</v>
      </c>
      <c r="M134" s="194" t="s">
        <v>81</v>
      </c>
      <c r="N134" s="194" t="s">
        <v>31</v>
      </c>
      <c r="O134" s="194" t="s">
        <v>31</v>
      </c>
      <c r="Q134" s="193">
        <v>7</v>
      </c>
      <c r="R134" s="193">
        <v>3</v>
      </c>
      <c r="S134" s="193">
        <v>14</v>
      </c>
      <c r="T134" s="193">
        <v>7</v>
      </c>
      <c r="U134" s="193">
        <v>7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4" t="s">
        <v>29</v>
      </c>
      <c r="L135" s="194" t="s">
        <v>28</v>
      </c>
      <c r="M135" s="194" t="s">
        <v>94</v>
      </c>
      <c r="N135" s="194" t="s">
        <v>29</v>
      </c>
      <c r="O135" s="194" t="s">
        <v>13</v>
      </c>
      <c r="Q135" s="193">
        <v>8</v>
      </c>
      <c r="R135" s="193">
        <v>9</v>
      </c>
      <c r="S135" s="193">
        <v>17</v>
      </c>
      <c r="T135" s="193">
        <v>8</v>
      </c>
      <c r="U135" s="193">
        <v>5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>
      <c r="J136" s="193">
        <v>132</v>
      </c>
      <c r="K136" s="194" t="s">
        <v>95</v>
      </c>
      <c r="L136" s="194" t="s">
        <v>14</v>
      </c>
      <c r="M136" s="194" t="s">
        <v>82</v>
      </c>
      <c r="N136" s="194" t="s">
        <v>31</v>
      </c>
      <c r="O136" s="194" t="s">
        <v>31</v>
      </c>
      <c r="Q136" s="193">
        <v>6</v>
      </c>
      <c r="R136" s="193">
        <v>1</v>
      </c>
      <c r="S136" s="193">
        <v>16</v>
      </c>
      <c r="T136" s="193">
        <v>7</v>
      </c>
      <c r="U136" s="193">
        <v>7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4" t="s">
        <v>13</v>
      </c>
      <c r="L137" s="194" t="s">
        <v>31</v>
      </c>
      <c r="M137" s="194" t="s">
        <v>94</v>
      </c>
      <c r="N137" s="194" t="s">
        <v>29</v>
      </c>
      <c r="O137" s="194" t="s">
        <v>16</v>
      </c>
      <c r="Q137" s="193">
        <v>5</v>
      </c>
      <c r="R137" s="193">
        <v>7</v>
      </c>
      <c r="S137" s="193">
        <v>17</v>
      </c>
      <c r="T137" s="193">
        <v>8</v>
      </c>
      <c r="U137" s="193">
        <v>3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>
      <c r="J138" s="193">
        <v>134</v>
      </c>
      <c r="K138" s="194" t="s">
        <v>29</v>
      </c>
      <c r="L138" s="194" t="s">
        <v>85</v>
      </c>
      <c r="M138" s="194" t="s">
        <v>81</v>
      </c>
      <c r="N138" s="194" t="s">
        <v>31</v>
      </c>
      <c r="O138" s="194" t="s">
        <v>95</v>
      </c>
      <c r="Q138" s="193">
        <v>8</v>
      </c>
      <c r="R138" s="193">
        <v>18</v>
      </c>
      <c r="S138" s="193">
        <v>14</v>
      </c>
      <c r="T138" s="193">
        <v>7</v>
      </c>
      <c r="U138" s="193">
        <v>6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4" t="s">
        <v>31</v>
      </c>
      <c r="L139" s="194" t="s">
        <v>29</v>
      </c>
      <c r="M139" s="194" t="s">
        <v>82</v>
      </c>
      <c r="N139" s="194" t="s">
        <v>29</v>
      </c>
      <c r="O139" s="194" t="s">
        <v>14</v>
      </c>
      <c r="Q139" s="193">
        <v>7</v>
      </c>
      <c r="R139" s="193">
        <v>8</v>
      </c>
      <c r="S139" s="193">
        <v>16</v>
      </c>
      <c r="T139" s="193">
        <v>8</v>
      </c>
      <c r="U139" s="193">
        <v>1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3">
        <v>136</v>
      </c>
      <c r="K140" s="194" t="s">
        <v>13</v>
      </c>
      <c r="L140" s="194" t="s">
        <v>13</v>
      </c>
      <c r="M140" s="194" t="s">
        <v>79</v>
      </c>
      <c r="N140" s="194" t="s">
        <v>95</v>
      </c>
      <c r="O140" s="194" t="s">
        <v>31</v>
      </c>
      <c r="Q140" s="193">
        <v>5</v>
      </c>
      <c r="R140" s="193">
        <v>5</v>
      </c>
      <c r="S140" s="193">
        <v>12</v>
      </c>
      <c r="T140" s="193">
        <v>6</v>
      </c>
      <c r="U140" s="193">
        <v>7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4" t="s">
        <v>31</v>
      </c>
      <c r="L141" s="194" t="s">
        <v>31</v>
      </c>
      <c r="M141" s="194" t="s">
        <v>96</v>
      </c>
      <c r="N141" s="194" t="s">
        <v>31</v>
      </c>
      <c r="O141" s="194" t="s">
        <v>29</v>
      </c>
      <c r="Q141" s="193">
        <v>7</v>
      </c>
      <c r="R141" s="193">
        <v>7</v>
      </c>
      <c r="S141" s="193">
        <v>15</v>
      </c>
      <c r="T141" s="193">
        <v>7</v>
      </c>
      <c r="U141" s="193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3">
        <v>138</v>
      </c>
      <c r="K142" s="194" t="s">
        <v>13</v>
      </c>
      <c r="L142" s="194" t="s">
        <v>16</v>
      </c>
      <c r="M142" s="194" t="s">
        <v>82</v>
      </c>
      <c r="N142" s="194" t="s">
        <v>13</v>
      </c>
      <c r="O142" s="194" t="s">
        <v>31</v>
      </c>
      <c r="Q142" s="193">
        <v>5</v>
      </c>
      <c r="R142" s="193">
        <v>3</v>
      </c>
      <c r="S142" s="193">
        <v>16</v>
      </c>
      <c r="T142" s="193">
        <v>5</v>
      </c>
      <c r="U142" s="193">
        <v>7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4" t="s">
        <v>30</v>
      </c>
      <c r="L143" s="194" t="s">
        <v>31</v>
      </c>
      <c r="M143" s="194" t="s">
        <v>78</v>
      </c>
      <c r="N143" s="194" t="s">
        <v>80</v>
      </c>
      <c r="O143" s="194" t="s">
        <v>30</v>
      </c>
      <c r="Q143" s="193">
        <v>10</v>
      </c>
      <c r="R143" s="193">
        <v>7</v>
      </c>
      <c r="S143" s="193">
        <v>11</v>
      </c>
      <c r="T143" s="193">
        <v>13</v>
      </c>
      <c r="U143" s="193">
        <v>10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>
      <c r="J144" s="193">
        <v>140</v>
      </c>
      <c r="K144" s="194" t="s">
        <v>29</v>
      </c>
      <c r="L144" s="194" t="s">
        <v>12</v>
      </c>
      <c r="M144" s="194" t="s">
        <v>96</v>
      </c>
      <c r="N144" s="194" t="s">
        <v>95</v>
      </c>
      <c r="O144" s="194" t="s">
        <v>95</v>
      </c>
      <c r="Q144" s="193">
        <v>8</v>
      </c>
      <c r="R144" s="193">
        <v>4</v>
      </c>
      <c r="S144" s="193">
        <v>15</v>
      </c>
      <c r="T144" s="193">
        <v>6</v>
      </c>
      <c r="U144" s="193">
        <v>6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4" t="s">
        <v>95</v>
      </c>
      <c r="L145" s="194" t="s">
        <v>31</v>
      </c>
      <c r="M145" s="194" t="s">
        <v>82</v>
      </c>
      <c r="N145" s="194" t="s">
        <v>31</v>
      </c>
      <c r="O145" s="194" t="s">
        <v>12</v>
      </c>
      <c r="Q145" s="193">
        <v>6</v>
      </c>
      <c r="R145" s="193">
        <v>7</v>
      </c>
      <c r="S145" s="193">
        <v>16</v>
      </c>
      <c r="T145" s="193">
        <v>7</v>
      </c>
      <c r="U145" s="193">
        <v>4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3">
        <v>142</v>
      </c>
      <c r="K146" s="194" t="s">
        <v>14</v>
      </c>
      <c r="L146" s="194" t="s">
        <v>81</v>
      </c>
      <c r="M146" s="194" t="s">
        <v>94</v>
      </c>
      <c r="N146" s="194" t="s">
        <v>87</v>
      </c>
      <c r="O146" s="194" t="s">
        <v>30</v>
      </c>
      <c r="Q146" s="193">
        <v>1</v>
      </c>
      <c r="R146" s="193">
        <v>14</v>
      </c>
      <c r="S146" s="193">
        <v>17</v>
      </c>
      <c r="T146" s="193">
        <v>19</v>
      </c>
      <c r="U146" s="193">
        <v>10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4" t="s">
        <v>13</v>
      </c>
      <c r="L147" s="194" t="s">
        <v>31</v>
      </c>
      <c r="M147" s="194" t="s">
        <v>82</v>
      </c>
      <c r="N147" s="194" t="s">
        <v>95</v>
      </c>
      <c r="O147" s="194" t="s">
        <v>95</v>
      </c>
      <c r="Q147" s="193">
        <v>5</v>
      </c>
      <c r="R147" s="193">
        <v>7</v>
      </c>
      <c r="S147" s="193">
        <v>16</v>
      </c>
      <c r="T147" s="193">
        <v>6</v>
      </c>
      <c r="U147" s="193">
        <v>6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3">
        <v>144</v>
      </c>
      <c r="K148" s="194" t="s">
        <v>15</v>
      </c>
      <c r="L148" s="194" t="s">
        <v>12</v>
      </c>
      <c r="M148" s="194" t="s">
        <v>94</v>
      </c>
      <c r="N148" s="194" t="s">
        <v>30</v>
      </c>
      <c r="O148" s="194" t="s">
        <v>12</v>
      </c>
      <c r="Q148" s="193">
        <v>2</v>
      </c>
      <c r="R148" s="193">
        <v>4</v>
      </c>
      <c r="S148" s="193">
        <v>17</v>
      </c>
      <c r="T148" s="193">
        <v>10</v>
      </c>
      <c r="U148" s="193">
        <v>4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4" t="s">
        <v>29</v>
      </c>
      <c r="L149" s="194" t="s">
        <v>31</v>
      </c>
      <c r="M149" s="194" t="s">
        <v>82</v>
      </c>
      <c r="N149" s="194" t="s">
        <v>31</v>
      </c>
      <c r="O149" s="194" t="s">
        <v>29</v>
      </c>
      <c r="Q149" s="193">
        <v>8</v>
      </c>
      <c r="R149" s="193">
        <v>7</v>
      </c>
      <c r="S149" s="193">
        <v>16</v>
      </c>
      <c r="T149" s="193">
        <v>7</v>
      </c>
      <c r="U149" s="193">
        <v>8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3">
        <v>146</v>
      </c>
      <c r="K150" s="194" t="s">
        <v>95</v>
      </c>
      <c r="L150" s="194" t="s">
        <v>13</v>
      </c>
      <c r="M150" s="194" t="s">
        <v>81</v>
      </c>
      <c r="N150" s="194" t="s">
        <v>95</v>
      </c>
      <c r="O150" s="194" t="s">
        <v>13</v>
      </c>
      <c r="Q150" s="193">
        <v>6</v>
      </c>
      <c r="R150" s="193">
        <v>5</v>
      </c>
      <c r="S150" s="193">
        <v>14</v>
      </c>
      <c r="T150" s="193">
        <v>6</v>
      </c>
      <c r="U150" s="193">
        <v>5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4" t="s">
        <v>31</v>
      </c>
      <c r="L151" s="194" t="s">
        <v>31</v>
      </c>
      <c r="M151" s="194" t="s">
        <v>82</v>
      </c>
      <c r="N151" s="194" t="s">
        <v>29</v>
      </c>
      <c r="O151" s="194" t="s">
        <v>29</v>
      </c>
      <c r="Q151" s="193">
        <v>7</v>
      </c>
      <c r="R151" s="193">
        <v>7</v>
      </c>
      <c r="S151" s="193">
        <v>16</v>
      </c>
      <c r="T151" s="193">
        <v>8</v>
      </c>
      <c r="U151" s="193">
        <v>8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>
      <c r="J152" s="193">
        <v>148</v>
      </c>
      <c r="K152" s="194" t="s">
        <v>95</v>
      </c>
      <c r="L152" s="194" t="s">
        <v>13</v>
      </c>
      <c r="M152" s="194" t="s">
        <v>87</v>
      </c>
      <c r="N152" s="194" t="s">
        <v>31</v>
      </c>
      <c r="O152" s="194" t="s">
        <v>31</v>
      </c>
      <c r="Q152" s="193">
        <v>6</v>
      </c>
      <c r="R152" s="193">
        <v>5</v>
      </c>
      <c r="S152" s="193">
        <v>19</v>
      </c>
      <c r="T152" s="193">
        <v>7</v>
      </c>
      <c r="U152" s="193">
        <v>7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4" t="s">
        <v>13</v>
      </c>
      <c r="L153" s="194" t="s">
        <v>28</v>
      </c>
      <c r="M153" s="194" t="s">
        <v>96</v>
      </c>
      <c r="N153" s="194" t="s">
        <v>95</v>
      </c>
      <c r="O153" s="194" t="s">
        <v>13</v>
      </c>
      <c r="Q153" s="193">
        <v>5</v>
      </c>
      <c r="R153" s="193">
        <v>9</v>
      </c>
      <c r="S153" s="193">
        <v>15</v>
      </c>
      <c r="T153" s="193">
        <v>6</v>
      </c>
      <c r="U153" s="193">
        <v>5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>
      <c r="J154" s="193">
        <v>150</v>
      </c>
      <c r="K154" s="194" t="s">
        <v>31</v>
      </c>
      <c r="L154" s="194" t="s">
        <v>15</v>
      </c>
      <c r="M154" s="194" t="s">
        <v>87</v>
      </c>
      <c r="N154" s="194" t="s">
        <v>94</v>
      </c>
      <c r="O154" s="194" t="s">
        <v>29</v>
      </c>
      <c r="Q154" s="193">
        <v>7</v>
      </c>
      <c r="R154" s="193">
        <v>2</v>
      </c>
      <c r="S154" s="193">
        <v>19</v>
      </c>
      <c r="T154" s="193">
        <v>17</v>
      </c>
      <c r="U154" s="193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4" t="s">
        <v>13</v>
      </c>
      <c r="L155" s="194" t="s">
        <v>16</v>
      </c>
      <c r="M155" s="194" t="s">
        <v>82</v>
      </c>
      <c r="N155" s="194" t="s">
        <v>12</v>
      </c>
      <c r="O155" s="194" t="s">
        <v>13</v>
      </c>
      <c r="Q155" s="193">
        <v>5</v>
      </c>
      <c r="R155" s="193">
        <v>3</v>
      </c>
      <c r="S155" s="193">
        <v>16</v>
      </c>
      <c r="T155" s="193">
        <v>4</v>
      </c>
      <c r="U155" s="193">
        <v>5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>
      <c r="J156" s="193">
        <v>152</v>
      </c>
      <c r="K156" s="194" t="s">
        <v>29</v>
      </c>
      <c r="L156" s="194" t="s">
        <v>95</v>
      </c>
      <c r="M156" s="194" t="s">
        <v>96</v>
      </c>
      <c r="N156" s="194" t="s">
        <v>13</v>
      </c>
      <c r="O156" s="194" t="s">
        <v>29</v>
      </c>
      <c r="Q156" s="193">
        <v>8</v>
      </c>
      <c r="R156" s="193">
        <v>6</v>
      </c>
      <c r="S156" s="193">
        <v>15</v>
      </c>
      <c r="T156" s="193">
        <v>5</v>
      </c>
      <c r="U156" s="193">
        <v>8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4" t="s">
        <v>15</v>
      </c>
      <c r="L157" s="194" t="s">
        <v>30</v>
      </c>
      <c r="M157" s="194" t="s">
        <v>80</v>
      </c>
      <c r="N157" s="194" t="s">
        <v>28</v>
      </c>
      <c r="O157" s="194" t="s">
        <v>14</v>
      </c>
      <c r="Q157" s="193">
        <v>2</v>
      </c>
      <c r="R157" s="193">
        <v>10</v>
      </c>
      <c r="S157" s="193">
        <v>13</v>
      </c>
      <c r="T157" s="193">
        <v>9</v>
      </c>
      <c r="U157" s="193">
        <v>1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>
      <c r="J158" s="193">
        <v>154</v>
      </c>
      <c r="K158" s="194" t="s">
        <v>13</v>
      </c>
      <c r="L158" s="194" t="s">
        <v>29</v>
      </c>
      <c r="M158" s="194" t="s">
        <v>82</v>
      </c>
      <c r="N158" s="194" t="s">
        <v>29</v>
      </c>
      <c r="O158" s="194" t="s">
        <v>31</v>
      </c>
      <c r="Q158" s="193">
        <v>5</v>
      </c>
      <c r="R158" s="193">
        <v>8</v>
      </c>
      <c r="S158" s="193">
        <v>16</v>
      </c>
      <c r="T158" s="193">
        <v>8</v>
      </c>
      <c r="U158" s="193">
        <v>7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4" t="s">
        <v>31</v>
      </c>
      <c r="L159" s="194" t="s">
        <v>95</v>
      </c>
      <c r="M159" s="194" t="s">
        <v>81</v>
      </c>
      <c r="N159" s="194" t="s">
        <v>95</v>
      </c>
      <c r="O159" s="194" t="s">
        <v>12</v>
      </c>
      <c r="Q159" s="193">
        <v>7</v>
      </c>
      <c r="R159" s="193">
        <v>6</v>
      </c>
      <c r="S159" s="193">
        <v>14</v>
      </c>
      <c r="T159" s="193">
        <v>6</v>
      </c>
      <c r="U159" s="193">
        <v>4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>
      <c r="J160" s="193">
        <v>156</v>
      </c>
      <c r="K160" s="194" t="s">
        <v>12</v>
      </c>
      <c r="L160" s="194" t="s">
        <v>29</v>
      </c>
      <c r="M160" s="194" t="s">
        <v>96</v>
      </c>
      <c r="N160" s="194" t="s">
        <v>29</v>
      </c>
      <c r="O160" s="194" t="s">
        <v>13</v>
      </c>
      <c r="Q160" s="193">
        <v>4</v>
      </c>
      <c r="R160" s="193">
        <v>8</v>
      </c>
      <c r="S160" s="193">
        <v>15</v>
      </c>
      <c r="T160" s="193">
        <v>8</v>
      </c>
      <c r="U160" s="193">
        <v>5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4" t="s">
        <v>13</v>
      </c>
      <c r="L161" s="194" t="s">
        <v>12</v>
      </c>
      <c r="M161" s="194" t="s">
        <v>94</v>
      </c>
      <c r="N161" s="194" t="s">
        <v>30</v>
      </c>
      <c r="O161" s="194" t="s">
        <v>31</v>
      </c>
      <c r="Q161" s="193">
        <v>5</v>
      </c>
      <c r="R161" s="193">
        <v>4</v>
      </c>
      <c r="S161" s="193">
        <v>17</v>
      </c>
      <c r="T161" s="193">
        <v>10</v>
      </c>
      <c r="U161" s="193">
        <v>7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>
      <c r="J162" s="193">
        <v>158</v>
      </c>
      <c r="K162" s="194" t="s">
        <v>31</v>
      </c>
      <c r="L162" s="194" t="s">
        <v>29</v>
      </c>
      <c r="M162" s="194" t="s">
        <v>96</v>
      </c>
      <c r="N162" s="194" t="s">
        <v>29</v>
      </c>
      <c r="O162" s="194" t="s">
        <v>29</v>
      </c>
      <c r="Q162" s="193">
        <v>7</v>
      </c>
      <c r="R162" s="193">
        <v>8</v>
      </c>
      <c r="S162" s="193">
        <v>15</v>
      </c>
      <c r="T162" s="193">
        <v>8</v>
      </c>
      <c r="U162" s="193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4" t="s">
        <v>14</v>
      </c>
      <c r="L163" s="194" t="s">
        <v>95</v>
      </c>
      <c r="M163" s="194" t="s">
        <v>82</v>
      </c>
      <c r="N163" s="194" t="s">
        <v>31</v>
      </c>
      <c r="O163" s="194" t="s">
        <v>31</v>
      </c>
      <c r="Q163" s="193">
        <v>1</v>
      </c>
      <c r="R163" s="193">
        <v>6</v>
      </c>
      <c r="S163" s="193">
        <v>16</v>
      </c>
      <c r="T163" s="193">
        <v>7</v>
      </c>
      <c r="U163" s="193">
        <v>7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>
      <c r="J164" s="193">
        <v>160</v>
      </c>
      <c r="K164" s="194" t="s">
        <v>31</v>
      </c>
      <c r="L164" s="194" t="s">
        <v>78</v>
      </c>
      <c r="M164" s="194" t="s">
        <v>96</v>
      </c>
      <c r="N164" s="194" t="s">
        <v>82</v>
      </c>
      <c r="O164" s="194" t="s">
        <v>95</v>
      </c>
      <c r="Q164" s="193">
        <v>7</v>
      </c>
      <c r="R164" s="193">
        <v>11</v>
      </c>
      <c r="S164" s="193">
        <v>15</v>
      </c>
      <c r="T164" s="193">
        <v>16</v>
      </c>
      <c r="U164" s="193">
        <v>6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4" t="s">
        <v>29</v>
      </c>
      <c r="L165" s="194" t="s">
        <v>94</v>
      </c>
      <c r="M165" s="194" t="s">
        <v>81</v>
      </c>
      <c r="N165" s="194" t="s">
        <v>81</v>
      </c>
      <c r="O165" s="194" t="s">
        <v>28</v>
      </c>
      <c r="Q165" s="193">
        <v>8</v>
      </c>
      <c r="R165" s="193">
        <v>17</v>
      </c>
      <c r="S165" s="193">
        <v>14</v>
      </c>
      <c r="T165" s="193">
        <v>14</v>
      </c>
      <c r="U165" s="193">
        <v>9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>
      <c r="J166" s="193">
        <v>162</v>
      </c>
      <c r="K166" s="194" t="s">
        <v>31</v>
      </c>
      <c r="L166" s="194" t="s">
        <v>81</v>
      </c>
      <c r="M166" s="194" t="s">
        <v>82</v>
      </c>
      <c r="N166" s="194" t="s">
        <v>95</v>
      </c>
      <c r="O166" s="194" t="s">
        <v>13</v>
      </c>
      <c r="Q166" s="193">
        <v>7</v>
      </c>
      <c r="R166" s="193">
        <v>14</v>
      </c>
      <c r="S166" s="193">
        <v>16</v>
      </c>
      <c r="T166" s="193">
        <v>6</v>
      </c>
      <c r="U166" s="193">
        <v>5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4" t="s">
        <v>95</v>
      </c>
      <c r="L167" s="194" t="s">
        <v>15</v>
      </c>
      <c r="M167" s="194" t="s">
        <v>96</v>
      </c>
      <c r="N167" s="194" t="s">
        <v>81</v>
      </c>
      <c r="O167" s="194" t="s">
        <v>28</v>
      </c>
      <c r="Q167" s="193">
        <v>6</v>
      </c>
      <c r="R167" s="193">
        <v>2</v>
      </c>
      <c r="S167" s="193">
        <v>15</v>
      </c>
      <c r="T167" s="193">
        <v>14</v>
      </c>
      <c r="U167" s="193">
        <v>9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>
      <c r="J168" s="193">
        <v>164</v>
      </c>
      <c r="K168" s="194" t="s">
        <v>31</v>
      </c>
      <c r="L168" s="194" t="s">
        <v>13</v>
      </c>
      <c r="M168" s="194" t="s">
        <v>85</v>
      </c>
      <c r="N168" s="194" t="s">
        <v>29</v>
      </c>
      <c r="O168" s="194" t="s">
        <v>13</v>
      </c>
      <c r="Q168" s="193">
        <v>7</v>
      </c>
      <c r="R168" s="193">
        <v>5</v>
      </c>
      <c r="S168" s="193">
        <v>18</v>
      </c>
      <c r="T168" s="193">
        <v>8</v>
      </c>
      <c r="U168" s="193">
        <v>5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4" t="s">
        <v>29</v>
      </c>
      <c r="L169" s="194" t="s">
        <v>29</v>
      </c>
      <c r="M169" s="194" t="s">
        <v>94</v>
      </c>
      <c r="N169" s="194" t="s">
        <v>13</v>
      </c>
      <c r="O169" s="194" t="s">
        <v>95</v>
      </c>
      <c r="Q169" s="193">
        <v>8</v>
      </c>
      <c r="R169" s="193">
        <v>8</v>
      </c>
      <c r="S169" s="193">
        <v>17</v>
      </c>
      <c r="T169" s="193">
        <v>5</v>
      </c>
      <c r="U169" s="193">
        <v>6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>
      <c r="J170" s="193">
        <v>166</v>
      </c>
      <c r="K170" s="194" t="s">
        <v>31</v>
      </c>
      <c r="L170" s="194" t="s">
        <v>13</v>
      </c>
      <c r="M170" s="194" t="s">
        <v>82</v>
      </c>
      <c r="N170" s="194" t="s">
        <v>31</v>
      </c>
      <c r="O170" s="194" t="s">
        <v>13</v>
      </c>
      <c r="Q170" s="193">
        <v>7</v>
      </c>
      <c r="R170" s="193">
        <v>5</v>
      </c>
      <c r="S170" s="193">
        <v>16</v>
      </c>
      <c r="T170" s="193">
        <v>7</v>
      </c>
      <c r="U170" s="193">
        <v>5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4" t="s">
        <v>30</v>
      </c>
      <c r="L171" s="194" t="s">
        <v>29</v>
      </c>
      <c r="M171" s="194" t="s">
        <v>87</v>
      </c>
      <c r="N171" s="194" t="s">
        <v>29</v>
      </c>
      <c r="O171" s="194" t="s">
        <v>12</v>
      </c>
      <c r="Q171" s="193">
        <v>10</v>
      </c>
      <c r="R171" s="193">
        <v>8</v>
      </c>
      <c r="S171" s="193">
        <v>19</v>
      </c>
      <c r="T171" s="193">
        <v>8</v>
      </c>
      <c r="U171" s="193">
        <v>4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3">
        <v>168</v>
      </c>
      <c r="K172" s="194" t="s">
        <v>29</v>
      </c>
      <c r="L172" s="194" t="s">
        <v>16</v>
      </c>
      <c r="M172" s="194" t="s">
        <v>82</v>
      </c>
      <c r="N172" s="194" t="s">
        <v>95</v>
      </c>
      <c r="O172" s="194" t="s">
        <v>29</v>
      </c>
      <c r="Q172" s="193">
        <v>8</v>
      </c>
      <c r="R172" s="193">
        <v>3</v>
      </c>
      <c r="S172" s="193">
        <v>16</v>
      </c>
      <c r="T172" s="193">
        <v>6</v>
      </c>
      <c r="U172" s="193">
        <v>8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4" t="s">
        <v>95</v>
      </c>
      <c r="L173" s="194" t="s">
        <v>12</v>
      </c>
      <c r="M173" s="194" t="s">
        <v>96</v>
      </c>
      <c r="N173" s="194" t="s">
        <v>13</v>
      </c>
      <c r="O173" s="194" t="s">
        <v>13</v>
      </c>
      <c r="Q173" s="193">
        <v>6</v>
      </c>
      <c r="R173" s="193">
        <v>4</v>
      </c>
      <c r="S173" s="193">
        <v>15</v>
      </c>
      <c r="T173" s="193">
        <v>5</v>
      </c>
      <c r="U173" s="193">
        <v>5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3">
        <v>170</v>
      </c>
      <c r="K174" s="194" t="s">
        <v>13</v>
      </c>
      <c r="L174" s="194" t="s">
        <v>13</v>
      </c>
      <c r="M174" s="194" t="s">
        <v>94</v>
      </c>
      <c r="N174" s="194" t="s">
        <v>14</v>
      </c>
      <c r="O174" s="194" t="s">
        <v>29</v>
      </c>
      <c r="Q174" s="193">
        <v>5</v>
      </c>
      <c r="R174" s="193">
        <v>5</v>
      </c>
      <c r="S174" s="193">
        <v>17</v>
      </c>
      <c r="T174" s="193">
        <v>1</v>
      </c>
      <c r="U174" s="193">
        <v>8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4" t="s">
        <v>29</v>
      </c>
      <c r="L175" s="194" t="s">
        <v>12</v>
      </c>
      <c r="M175" s="194" t="s">
        <v>81</v>
      </c>
      <c r="N175" s="194" t="s">
        <v>15</v>
      </c>
      <c r="O175" s="194" t="s">
        <v>31</v>
      </c>
      <c r="Q175" s="193">
        <v>8</v>
      </c>
      <c r="R175" s="193">
        <v>4</v>
      </c>
      <c r="S175" s="193">
        <v>14</v>
      </c>
      <c r="T175" s="193">
        <v>2</v>
      </c>
      <c r="U175" s="193">
        <v>7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>
      <c r="J176" s="193">
        <v>172</v>
      </c>
      <c r="K176" s="194" t="s">
        <v>95</v>
      </c>
      <c r="L176" s="194" t="s">
        <v>82</v>
      </c>
      <c r="M176" s="194" t="s">
        <v>82</v>
      </c>
      <c r="N176" s="194" t="s">
        <v>95</v>
      </c>
      <c r="O176" s="194" t="s">
        <v>95</v>
      </c>
      <c r="Q176" s="193">
        <v>6</v>
      </c>
      <c r="R176" s="193">
        <v>16</v>
      </c>
      <c r="S176" s="193">
        <v>16</v>
      </c>
      <c r="T176" s="193">
        <v>6</v>
      </c>
      <c r="U176" s="193">
        <v>6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4" t="s">
        <v>28</v>
      </c>
      <c r="L177" s="194" t="s">
        <v>31</v>
      </c>
      <c r="M177" s="194" t="s">
        <v>96</v>
      </c>
      <c r="N177" s="194" t="s">
        <v>81</v>
      </c>
      <c r="O177" s="194" t="s">
        <v>14</v>
      </c>
      <c r="Q177" s="193">
        <v>9</v>
      </c>
      <c r="R177" s="193">
        <v>7</v>
      </c>
      <c r="S177" s="193">
        <v>15</v>
      </c>
      <c r="T177" s="193">
        <v>14</v>
      </c>
      <c r="U177" s="193">
        <v>1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>
      <c r="J178" s="193">
        <v>174</v>
      </c>
      <c r="K178" s="194" t="s">
        <v>31</v>
      </c>
      <c r="L178" s="194" t="s">
        <v>13</v>
      </c>
      <c r="M178" s="194" t="s">
        <v>94</v>
      </c>
      <c r="N178" s="194" t="s">
        <v>95</v>
      </c>
      <c r="O178" s="194" t="s">
        <v>16</v>
      </c>
      <c r="Q178" s="193">
        <v>7</v>
      </c>
      <c r="R178" s="193">
        <v>5</v>
      </c>
      <c r="S178" s="193">
        <v>17</v>
      </c>
      <c r="T178" s="193">
        <v>6</v>
      </c>
      <c r="U178" s="193">
        <v>3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4" t="s">
        <v>13</v>
      </c>
      <c r="L179" s="194" t="s">
        <v>12</v>
      </c>
      <c r="M179" s="194" t="s">
        <v>82</v>
      </c>
      <c r="N179" s="194" t="s">
        <v>29</v>
      </c>
      <c r="O179" s="194" t="s">
        <v>29</v>
      </c>
      <c r="Q179" s="193">
        <v>5</v>
      </c>
      <c r="R179" s="193">
        <v>4</v>
      </c>
      <c r="S179" s="193">
        <v>16</v>
      </c>
      <c r="T179" s="193">
        <v>8</v>
      </c>
      <c r="U179" s="193">
        <v>8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>
      <c r="J180" s="193">
        <v>176</v>
      </c>
      <c r="K180" s="194" t="s">
        <v>12</v>
      </c>
      <c r="L180" s="194" t="s">
        <v>31</v>
      </c>
      <c r="M180" s="194" t="s">
        <v>96</v>
      </c>
      <c r="N180" s="194" t="s">
        <v>31</v>
      </c>
      <c r="O180" s="194" t="s">
        <v>95</v>
      </c>
      <c r="Q180" s="193">
        <v>4</v>
      </c>
      <c r="R180" s="193">
        <v>7</v>
      </c>
      <c r="S180" s="193">
        <v>15</v>
      </c>
      <c r="T180" s="193">
        <v>7</v>
      </c>
      <c r="U180" s="193">
        <v>6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4" t="s">
        <v>95</v>
      </c>
      <c r="L181" s="194" t="s">
        <v>95</v>
      </c>
      <c r="M181" s="194" t="s">
        <v>94</v>
      </c>
      <c r="N181" s="194" t="s">
        <v>82</v>
      </c>
      <c r="O181" s="194" t="s">
        <v>29</v>
      </c>
      <c r="Q181" s="193">
        <v>6</v>
      </c>
      <c r="R181" s="193">
        <v>6</v>
      </c>
      <c r="S181" s="193">
        <v>17</v>
      </c>
      <c r="T181" s="193">
        <v>16</v>
      </c>
      <c r="U181" s="193">
        <v>8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3">
        <v>178</v>
      </c>
      <c r="K182" s="194" t="s">
        <v>29</v>
      </c>
      <c r="L182" s="194" t="s">
        <v>13</v>
      </c>
      <c r="M182" s="194" t="s">
        <v>96</v>
      </c>
      <c r="N182" s="194" t="s">
        <v>29</v>
      </c>
      <c r="O182" s="194" t="s">
        <v>15</v>
      </c>
      <c r="Q182" s="193">
        <v>8</v>
      </c>
      <c r="R182" s="193">
        <v>5</v>
      </c>
      <c r="S182" s="193">
        <v>15</v>
      </c>
      <c r="T182" s="193">
        <v>8</v>
      </c>
      <c r="U182" s="193">
        <v>2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4" t="s">
        <v>31</v>
      </c>
      <c r="L183" s="194" t="s">
        <v>31</v>
      </c>
      <c r="M183" s="194" t="s">
        <v>94</v>
      </c>
      <c r="N183" s="194" t="s">
        <v>31</v>
      </c>
      <c r="O183" s="194" t="s">
        <v>95</v>
      </c>
      <c r="Q183" s="193">
        <v>7</v>
      </c>
      <c r="R183" s="193">
        <v>7</v>
      </c>
      <c r="S183" s="193">
        <v>17</v>
      </c>
      <c r="T183" s="193">
        <v>7</v>
      </c>
      <c r="U183" s="193">
        <v>6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>
      <c r="J184" s="193">
        <v>180</v>
      </c>
      <c r="K184" s="194" t="s">
        <v>95</v>
      </c>
      <c r="L184" s="194" t="s">
        <v>95</v>
      </c>
      <c r="M184" s="194" t="s">
        <v>87</v>
      </c>
      <c r="N184" s="194" t="s">
        <v>13</v>
      </c>
      <c r="O184" s="194" t="s">
        <v>13</v>
      </c>
      <c r="Q184" s="193">
        <v>6</v>
      </c>
      <c r="R184" s="193">
        <v>6</v>
      </c>
      <c r="S184" s="193">
        <v>19</v>
      </c>
      <c r="T184" s="193">
        <v>5</v>
      </c>
      <c r="U184" s="193">
        <v>5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4" t="s">
        <v>31</v>
      </c>
      <c r="L185" s="194" t="s">
        <v>31</v>
      </c>
      <c r="M185" s="194" t="s">
        <v>96</v>
      </c>
      <c r="N185" s="194" t="s">
        <v>94</v>
      </c>
      <c r="O185" s="194" t="s">
        <v>31</v>
      </c>
      <c r="Q185" s="193">
        <v>7</v>
      </c>
      <c r="R185" s="193">
        <v>7</v>
      </c>
      <c r="S185" s="193">
        <v>15</v>
      </c>
      <c r="T185" s="193">
        <v>17</v>
      </c>
      <c r="U185" s="193">
        <v>7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>
      <c r="J186" s="193">
        <v>182</v>
      </c>
      <c r="K186" s="194" t="s">
        <v>95</v>
      </c>
      <c r="L186" s="194" t="s">
        <v>28</v>
      </c>
      <c r="M186" s="194" t="s">
        <v>81</v>
      </c>
      <c r="N186" s="194" t="s">
        <v>29</v>
      </c>
      <c r="O186" s="194" t="s">
        <v>95</v>
      </c>
      <c r="Q186" s="193">
        <v>6</v>
      </c>
      <c r="R186" s="193">
        <v>9</v>
      </c>
      <c r="S186" s="193">
        <v>14</v>
      </c>
      <c r="T186" s="193">
        <v>8</v>
      </c>
      <c r="U186" s="193">
        <v>6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4" t="s">
        <v>29</v>
      </c>
      <c r="L187" s="194" t="s">
        <v>96</v>
      </c>
      <c r="M187" s="194" t="s">
        <v>94</v>
      </c>
      <c r="N187" s="194" t="s">
        <v>14</v>
      </c>
      <c r="O187" s="194" t="s">
        <v>30</v>
      </c>
      <c r="Q187" s="193">
        <v>8</v>
      </c>
      <c r="R187" s="193">
        <v>15</v>
      </c>
      <c r="S187" s="193">
        <v>17</v>
      </c>
      <c r="T187" s="193">
        <v>1</v>
      </c>
      <c r="U187" s="193">
        <v>10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>
      <c r="J188" s="193">
        <v>184</v>
      </c>
      <c r="K188" s="194" t="s">
        <v>31</v>
      </c>
      <c r="L188" s="194" t="s">
        <v>28</v>
      </c>
      <c r="M188" s="194" t="s">
        <v>81</v>
      </c>
      <c r="N188" s="194" t="s">
        <v>95</v>
      </c>
      <c r="O188" s="194" t="s">
        <v>13</v>
      </c>
      <c r="Q188" s="193">
        <v>7</v>
      </c>
      <c r="R188" s="193">
        <v>9</v>
      </c>
      <c r="S188" s="193">
        <v>14</v>
      </c>
      <c r="T188" s="193">
        <v>6</v>
      </c>
      <c r="U188" s="193">
        <v>5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4" t="s">
        <v>29</v>
      </c>
      <c r="L189" s="194" t="s">
        <v>13</v>
      </c>
      <c r="M189" s="194" t="s">
        <v>94</v>
      </c>
      <c r="N189" s="194" t="s">
        <v>12</v>
      </c>
      <c r="O189" s="194" t="s">
        <v>28</v>
      </c>
      <c r="Q189" s="193">
        <v>8</v>
      </c>
      <c r="R189" s="193">
        <v>5</v>
      </c>
      <c r="S189" s="193">
        <v>17</v>
      </c>
      <c r="T189" s="193">
        <v>4</v>
      </c>
      <c r="U189" s="193">
        <v>9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3">
        <v>186</v>
      </c>
      <c r="K190" s="194" t="s">
        <v>12</v>
      </c>
      <c r="L190" s="194" t="s">
        <v>96</v>
      </c>
      <c r="M190" s="194" t="s">
        <v>96</v>
      </c>
      <c r="N190" s="194" t="s">
        <v>95</v>
      </c>
      <c r="O190" s="194" t="s">
        <v>14</v>
      </c>
      <c r="Q190" s="193">
        <v>4</v>
      </c>
      <c r="R190" s="193">
        <v>15</v>
      </c>
      <c r="S190" s="193">
        <v>15</v>
      </c>
      <c r="T190" s="193">
        <v>6</v>
      </c>
      <c r="U190" s="193">
        <v>1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4" t="s">
        <v>29</v>
      </c>
      <c r="L191" s="194" t="s">
        <v>95</v>
      </c>
      <c r="M191" s="194" t="s">
        <v>81</v>
      </c>
      <c r="N191" s="194" t="s">
        <v>31</v>
      </c>
      <c r="O191" s="194" t="s">
        <v>95</v>
      </c>
      <c r="Q191" s="193">
        <v>8</v>
      </c>
      <c r="R191" s="193">
        <v>6</v>
      </c>
      <c r="S191" s="193">
        <v>14</v>
      </c>
      <c r="T191" s="193">
        <v>7</v>
      </c>
      <c r="U191" s="193">
        <v>6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>
      <c r="J192" s="193">
        <v>188</v>
      </c>
      <c r="K192" s="194" t="s">
        <v>31</v>
      </c>
      <c r="L192" s="194" t="s">
        <v>13</v>
      </c>
      <c r="M192" s="194" t="s">
        <v>82</v>
      </c>
      <c r="N192" s="194" t="s">
        <v>82</v>
      </c>
      <c r="O192" s="194" t="s">
        <v>29</v>
      </c>
      <c r="Q192" s="193">
        <v>7</v>
      </c>
      <c r="R192" s="193">
        <v>5</v>
      </c>
      <c r="S192" s="193">
        <v>16</v>
      </c>
      <c r="T192" s="193">
        <v>16</v>
      </c>
      <c r="U192" s="193">
        <v>8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4" t="s">
        <v>95</v>
      </c>
      <c r="L193" s="194" t="s">
        <v>29</v>
      </c>
      <c r="M193" s="194" t="s">
        <v>81</v>
      </c>
      <c r="N193" s="194" t="s">
        <v>13</v>
      </c>
      <c r="O193" s="194" t="s">
        <v>95</v>
      </c>
      <c r="Q193" s="193">
        <v>6</v>
      </c>
      <c r="R193" s="193">
        <v>8</v>
      </c>
      <c r="S193" s="193">
        <v>14</v>
      </c>
      <c r="T193" s="193">
        <v>5</v>
      </c>
      <c r="U193" s="193">
        <v>6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>
      <c r="J194" s="193">
        <v>190</v>
      </c>
      <c r="K194" s="194" t="s">
        <v>29</v>
      </c>
      <c r="L194" s="194" t="s">
        <v>80</v>
      </c>
      <c r="M194" s="194" t="s">
        <v>82</v>
      </c>
      <c r="N194" s="194" t="s">
        <v>29</v>
      </c>
      <c r="O194" s="194" t="s">
        <v>29</v>
      </c>
      <c r="Q194" s="193">
        <v>8</v>
      </c>
      <c r="R194" s="193">
        <v>13</v>
      </c>
      <c r="S194" s="193">
        <v>16</v>
      </c>
      <c r="T194" s="193">
        <v>8</v>
      </c>
      <c r="U194" s="193">
        <v>8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4" t="s">
        <v>13</v>
      </c>
      <c r="L195" s="194" t="s">
        <v>31</v>
      </c>
      <c r="M195" s="194" t="s">
        <v>80</v>
      </c>
      <c r="N195" s="194" t="s">
        <v>13</v>
      </c>
      <c r="O195" s="194" t="s">
        <v>95</v>
      </c>
      <c r="Q195" s="193">
        <v>5</v>
      </c>
      <c r="R195" s="193">
        <v>7</v>
      </c>
      <c r="S195" s="193">
        <v>13</v>
      </c>
      <c r="T195" s="193">
        <v>5</v>
      </c>
      <c r="U195" s="193">
        <v>6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>
      <c r="J196" s="193">
        <v>192</v>
      </c>
      <c r="K196" s="194" t="s">
        <v>95</v>
      </c>
      <c r="L196" s="194" t="s">
        <v>13</v>
      </c>
      <c r="M196" s="194" t="s">
        <v>82</v>
      </c>
      <c r="N196" s="194" t="s">
        <v>16</v>
      </c>
      <c r="O196" s="194" t="s">
        <v>12</v>
      </c>
      <c r="Q196" s="193">
        <v>6</v>
      </c>
      <c r="R196" s="193">
        <v>5</v>
      </c>
      <c r="S196" s="193">
        <v>16</v>
      </c>
      <c r="T196" s="193">
        <v>3</v>
      </c>
      <c r="U196" s="193">
        <v>4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4" t="s">
        <v>29</v>
      </c>
      <c r="L197" s="194" t="s">
        <v>29</v>
      </c>
      <c r="M197" s="194" t="s">
        <v>94</v>
      </c>
      <c r="N197" s="194" t="s">
        <v>95</v>
      </c>
      <c r="O197" s="194" t="s">
        <v>31</v>
      </c>
      <c r="Q197" s="193">
        <v>8</v>
      </c>
      <c r="R197" s="193">
        <v>8</v>
      </c>
      <c r="S197" s="193">
        <v>17</v>
      </c>
      <c r="T197" s="193">
        <v>6</v>
      </c>
      <c r="U197" s="193">
        <v>7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3">
        <v>194</v>
      </c>
      <c r="K198" s="194" t="s">
        <v>95</v>
      </c>
      <c r="L198" s="194" t="s">
        <v>28</v>
      </c>
      <c r="M198" s="194" t="s">
        <v>82</v>
      </c>
      <c r="N198" s="194" t="s">
        <v>29</v>
      </c>
      <c r="O198" s="194" t="s">
        <v>95</v>
      </c>
      <c r="Q198" s="193">
        <v>6</v>
      </c>
      <c r="R198" s="193">
        <v>9</v>
      </c>
      <c r="S198" s="193">
        <v>16</v>
      </c>
      <c r="T198" s="193">
        <v>8</v>
      </c>
      <c r="U198" s="193">
        <v>6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4" t="s">
        <v>31</v>
      </c>
      <c r="L199" s="194" t="s">
        <v>13</v>
      </c>
      <c r="M199" s="194" t="s">
        <v>94</v>
      </c>
      <c r="N199" s="194" t="s">
        <v>13</v>
      </c>
      <c r="O199" s="194" t="s">
        <v>31</v>
      </c>
      <c r="Q199" s="193">
        <v>7</v>
      </c>
      <c r="R199" s="193">
        <v>5</v>
      </c>
      <c r="S199" s="193">
        <v>17</v>
      </c>
      <c r="T199" s="193">
        <v>5</v>
      </c>
      <c r="U199" s="193">
        <v>7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>
      <c r="J200" s="193">
        <v>196</v>
      </c>
      <c r="K200" s="194" t="s">
        <v>13</v>
      </c>
      <c r="L200" s="194" t="s">
        <v>95</v>
      </c>
      <c r="M200" s="194" t="s">
        <v>87</v>
      </c>
      <c r="N200" s="194" t="s">
        <v>95</v>
      </c>
      <c r="O200" s="194" t="s">
        <v>29</v>
      </c>
      <c r="Q200" s="193">
        <v>5</v>
      </c>
      <c r="R200" s="193">
        <v>6</v>
      </c>
      <c r="S200" s="193">
        <v>19</v>
      </c>
      <c r="T200" s="193">
        <v>6</v>
      </c>
      <c r="U200" s="193">
        <v>8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4" t="s">
        <v>95</v>
      </c>
      <c r="L201" s="194" t="s">
        <v>12</v>
      </c>
      <c r="M201" s="194" t="s">
        <v>82</v>
      </c>
      <c r="N201" s="194" t="s">
        <v>13</v>
      </c>
      <c r="O201" s="194" t="s">
        <v>31</v>
      </c>
      <c r="Q201" s="193">
        <v>6</v>
      </c>
      <c r="R201" s="193">
        <v>4</v>
      </c>
      <c r="S201" s="193">
        <v>16</v>
      </c>
      <c r="T201" s="193">
        <v>5</v>
      </c>
      <c r="U201" s="193">
        <v>7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>
      <c r="J202" s="193">
        <v>198</v>
      </c>
      <c r="K202" s="194" t="s">
        <v>31</v>
      </c>
      <c r="L202" s="194" t="s">
        <v>28</v>
      </c>
      <c r="M202" s="194" t="s">
        <v>94</v>
      </c>
      <c r="N202" s="194" t="s">
        <v>28</v>
      </c>
      <c r="O202" s="194" t="s">
        <v>13</v>
      </c>
      <c r="Q202" s="193">
        <v>7</v>
      </c>
      <c r="R202" s="193">
        <v>9</v>
      </c>
      <c r="S202" s="193">
        <v>17</v>
      </c>
      <c r="T202" s="193">
        <v>9</v>
      </c>
      <c r="U202" s="193">
        <v>5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4" t="s">
        <v>29</v>
      </c>
      <c r="L203" s="194" t="s">
        <v>31</v>
      </c>
      <c r="M203" s="194" t="s">
        <v>96</v>
      </c>
      <c r="N203" s="194" t="s">
        <v>31</v>
      </c>
      <c r="O203" s="194" t="s">
        <v>29</v>
      </c>
      <c r="Q203" s="193">
        <v>8</v>
      </c>
      <c r="R203" s="193">
        <v>7</v>
      </c>
      <c r="S203" s="193">
        <v>15</v>
      </c>
      <c r="T203" s="193">
        <v>7</v>
      </c>
      <c r="U203" s="193">
        <v>8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54" priority="22">
      <formula>_xlfn.LET(_xlpm.x, W4, AND(NOT(_xlfn.ISFORMULA(_xlpm.x)), _xlpm.x&lt;&gt;""))</formula>
    </cfRule>
  </conditionalFormatting>
  <conditionalFormatting sqref="W4:AA203">
    <cfRule type="expression" dxfId="53" priority="21">
      <formula>_xlfn.LET(_xlpm.x, W4, AND(NOT(_xlfn.ISFORMULA(_xlpm.x)), _xlpm.x&lt;&gt;""))</formula>
    </cfRule>
  </conditionalFormatting>
  <conditionalFormatting sqref="C28:G28 D27:G27 C31:G46 C29:C30 G29:G30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2" priority="13" operator="equal">
      <formula>"C1"</formula>
    </cfRule>
    <cfRule type="cellIs" dxfId="51" priority="14" operator="between">
      <formula>"G1"</formula>
      <formula>"G4"</formula>
    </cfRule>
    <cfRule type="cellIs" dxfId="50" priority="15" operator="between">
      <formula>"GA"</formula>
      <formula>"GQ"</formula>
    </cfRule>
    <cfRule type="cellIs" dxfId="49" priority="16" operator="between">
      <formula>"M1"</formula>
      <formula>"M4"</formula>
    </cfRule>
  </conditionalFormatting>
  <conditionalFormatting sqref="E52:E54">
    <cfRule type="cellIs" dxfId="48" priority="9" operator="equal">
      <formula>"C1"</formula>
    </cfRule>
    <cfRule type="cellIs" dxfId="47" priority="10" operator="between">
      <formula>"G1"</formula>
      <formula>"G4"</formula>
    </cfRule>
    <cfRule type="cellIs" dxfId="46" priority="11" operator="between">
      <formula>"GA"</formula>
      <formula>"GQ"</formula>
    </cfRule>
    <cfRule type="cellIs" dxfId="45" priority="12" operator="between">
      <formula>"M1"</formula>
      <formula>"M4"</formula>
    </cfRule>
  </conditionalFormatting>
  <conditionalFormatting sqref="F52:F54">
    <cfRule type="cellIs" dxfId="44" priority="5" operator="equal">
      <formula>"C1"</formula>
    </cfRule>
    <cfRule type="cellIs" dxfId="43" priority="6" operator="between">
      <formula>"G1"</formula>
      <formula>"G4"</formula>
    </cfRule>
    <cfRule type="cellIs" dxfId="42" priority="7" operator="between">
      <formula>"GA"</formula>
      <formula>"GQ"</formula>
    </cfRule>
    <cfRule type="cellIs" dxfId="41" priority="8" operator="between">
      <formula>"M1"</formula>
      <formula>"M4"</formula>
    </cfRule>
  </conditionalFormatting>
  <conditionalFormatting sqref="D29:F3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K1:O1048576">
    <cfRule type="cellIs" dxfId="40" priority="1" operator="equal">
      <formula>"C1"</formula>
    </cfRule>
    <cfRule type="cellIs" dxfId="39" priority="3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" operator="containsText" id="{85D2C080-9B27-454E-912B-9DFB5B000DB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zoomScale="70" zoomScaleNormal="70" workbookViewId="0">
      <selection activeCell="AB1" sqref="AB1:AP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290</v>
      </c>
      <c r="W2" s="25" t="s">
        <v>99</v>
      </c>
      <c r="AC2" s="25" t="s">
        <v>292</v>
      </c>
      <c r="AH2" s="5"/>
      <c r="AI2" s="5"/>
      <c r="AJ2" s="25" t="s">
        <v>93</v>
      </c>
      <c r="AO2" s="5"/>
    </row>
    <row r="3" spans="1:41" ht="15.9" customHeight="1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297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201" t="s">
        <v>293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294</v>
      </c>
      <c r="AH4" s="5"/>
      <c r="AI4" s="5"/>
      <c r="AJ4" s="25" t="s">
        <v>294</v>
      </c>
      <c r="AO4" s="5"/>
    </row>
    <row r="5" spans="1:41" ht="15.9" customHeight="1">
      <c r="A5" s="201" t="s">
        <v>14</v>
      </c>
      <c r="B5" s="199" t="s">
        <v>39</v>
      </c>
      <c r="C5" s="201">
        <v>6</v>
      </c>
      <c r="D5" s="201">
        <v>6</v>
      </c>
      <c r="E5" s="201">
        <v>6</v>
      </c>
      <c r="F5" s="201">
        <v>9</v>
      </c>
      <c r="G5" s="201">
        <v>9</v>
      </c>
      <c r="H5" s="199">
        <v>1</v>
      </c>
      <c r="I5" s="82"/>
      <c r="J5" s="193">
        <v>1</v>
      </c>
      <c r="K5" s="194" t="s">
        <v>29</v>
      </c>
      <c r="L5" s="194" t="s">
        <v>87</v>
      </c>
      <c r="M5" s="194" t="s">
        <v>16</v>
      </c>
      <c r="N5" s="194" t="s">
        <v>31</v>
      </c>
      <c r="O5" s="194" t="s">
        <v>30</v>
      </c>
      <c r="Q5" s="193">
        <v>8</v>
      </c>
      <c r="R5" s="193">
        <v>19</v>
      </c>
      <c r="S5" s="193">
        <v>3</v>
      </c>
      <c r="T5" s="193">
        <v>7</v>
      </c>
      <c r="U5" s="193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>
      <c r="A6" s="200" t="s">
        <v>15</v>
      </c>
      <c r="B6" s="134" t="s">
        <v>15</v>
      </c>
      <c r="C6" s="200">
        <v>3</v>
      </c>
      <c r="D6" s="200">
        <v>20</v>
      </c>
      <c r="E6" s="200">
        <v>4</v>
      </c>
      <c r="F6" s="200">
        <v>21</v>
      </c>
      <c r="G6" s="200">
        <v>22</v>
      </c>
      <c r="H6" s="134">
        <v>2</v>
      </c>
      <c r="I6" s="82"/>
      <c r="J6" s="23">
        <v>2</v>
      </c>
      <c r="K6" s="194" t="s">
        <v>29</v>
      </c>
      <c r="L6" s="194" t="s">
        <v>79</v>
      </c>
      <c r="M6" s="194" t="s">
        <v>14</v>
      </c>
      <c r="N6" s="194" t="s">
        <v>30</v>
      </c>
      <c r="O6" s="194" t="s">
        <v>14</v>
      </c>
      <c r="Q6" s="193">
        <v>8</v>
      </c>
      <c r="R6" s="193">
        <v>12</v>
      </c>
      <c r="S6" s="193">
        <v>1</v>
      </c>
      <c r="T6" s="193">
        <v>10</v>
      </c>
      <c r="U6" s="193">
        <v>1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99" t="s">
        <v>293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293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>
      <c r="A7" s="200" t="s">
        <v>16</v>
      </c>
      <c r="B7" s="134" t="s">
        <v>16</v>
      </c>
      <c r="C7" s="200">
        <v>2</v>
      </c>
      <c r="D7" s="200">
        <v>18</v>
      </c>
      <c r="E7" s="200">
        <v>4</v>
      </c>
      <c r="F7" s="200">
        <v>20</v>
      </c>
      <c r="G7" s="200">
        <v>22</v>
      </c>
      <c r="H7" s="134">
        <v>3</v>
      </c>
      <c r="I7" s="82"/>
      <c r="J7" s="193">
        <v>3</v>
      </c>
      <c r="K7" s="194" t="s">
        <v>95</v>
      </c>
      <c r="L7" s="24" t="s">
        <v>96</v>
      </c>
      <c r="M7" s="194" t="s">
        <v>29</v>
      </c>
      <c r="N7" s="194" t="s">
        <v>16</v>
      </c>
      <c r="O7" s="194" t="s">
        <v>16</v>
      </c>
      <c r="Q7" s="193">
        <v>6</v>
      </c>
      <c r="R7" s="193">
        <v>15</v>
      </c>
      <c r="S7" s="193">
        <v>8</v>
      </c>
      <c r="T7" s="193">
        <v>3</v>
      </c>
      <c r="U7" s="193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99" t="s">
        <v>14</v>
      </c>
      <c r="AD7" s="199">
        <v>6</v>
      </c>
      <c r="AE7" s="199">
        <v>6</v>
      </c>
      <c r="AF7" s="199">
        <v>6</v>
      </c>
      <c r="AG7" s="199">
        <v>9</v>
      </c>
      <c r="AH7" s="199">
        <v>9</v>
      </c>
      <c r="AI7" s="5"/>
      <c r="AJ7" s="199" t="s">
        <v>14</v>
      </c>
      <c r="AK7" s="199">
        <v>6</v>
      </c>
      <c r="AL7" s="199">
        <v>6</v>
      </c>
      <c r="AM7" s="199">
        <v>6</v>
      </c>
      <c r="AN7" s="199">
        <v>9</v>
      </c>
      <c r="AO7" s="199">
        <v>9</v>
      </c>
    </row>
    <row r="8" spans="1:41" ht="15.9" customHeight="1">
      <c r="A8" s="200" t="s">
        <v>12</v>
      </c>
      <c r="B8" s="134" t="s">
        <v>12</v>
      </c>
      <c r="C8" s="200">
        <v>4</v>
      </c>
      <c r="D8" s="200">
        <v>18</v>
      </c>
      <c r="E8" s="200">
        <v>4</v>
      </c>
      <c r="F8" s="200">
        <v>20</v>
      </c>
      <c r="G8" s="200">
        <v>21</v>
      </c>
      <c r="H8" s="134">
        <v>4</v>
      </c>
      <c r="I8" s="82"/>
      <c r="J8" s="23">
        <v>4</v>
      </c>
      <c r="K8" s="194" t="s">
        <v>29</v>
      </c>
      <c r="L8" s="194" t="s">
        <v>96</v>
      </c>
      <c r="M8" s="194" t="s">
        <v>13</v>
      </c>
      <c r="N8" s="194" t="s">
        <v>80</v>
      </c>
      <c r="O8" s="194" t="s">
        <v>16</v>
      </c>
      <c r="Q8" s="193">
        <v>8</v>
      </c>
      <c r="R8" s="193">
        <v>15</v>
      </c>
      <c r="S8" s="193">
        <v>5</v>
      </c>
      <c r="T8" s="193">
        <v>13</v>
      </c>
      <c r="U8" s="193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34" t="s">
        <v>15</v>
      </c>
      <c r="AD8" s="200">
        <v>4</v>
      </c>
      <c r="AE8" s="200">
        <v>17</v>
      </c>
      <c r="AF8" s="200">
        <v>4</v>
      </c>
      <c r="AG8" s="200">
        <v>21</v>
      </c>
      <c r="AH8" s="200">
        <v>22</v>
      </c>
      <c r="AI8" s="5"/>
      <c r="AJ8" s="134" t="s">
        <v>15</v>
      </c>
      <c r="AK8" s="200">
        <v>4</v>
      </c>
      <c r="AL8" s="200">
        <v>17</v>
      </c>
      <c r="AM8" s="200">
        <v>4</v>
      </c>
      <c r="AN8" s="200">
        <v>21</v>
      </c>
      <c r="AO8" s="200">
        <v>22</v>
      </c>
    </row>
    <row r="9" spans="1:41" ht="15.9" customHeight="1">
      <c r="A9" s="200" t="s">
        <v>13</v>
      </c>
      <c r="B9" s="134" t="s">
        <v>13</v>
      </c>
      <c r="C9" s="200">
        <v>40</v>
      </c>
      <c r="D9" s="200">
        <v>17</v>
      </c>
      <c r="E9" s="200">
        <v>41</v>
      </c>
      <c r="F9" s="200">
        <v>14</v>
      </c>
      <c r="G9" s="200">
        <v>21</v>
      </c>
      <c r="H9" s="134">
        <v>5</v>
      </c>
      <c r="I9" s="82"/>
      <c r="J9" s="193">
        <v>5</v>
      </c>
      <c r="K9" s="194" t="s">
        <v>31</v>
      </c>
      <c r="L9" s="194" t="s">
        <v>94</v>
      </c>
      <c r="M9" s="194" t="s">
        <v>31</v>
      </c>
      <c r="N9" s="194" t="s">
        <v>30</v>
      </c>
      <c r="O9" s="194" t="s">
        <v>30</v>
      </c>
      <c r="Q9" s="193">
        <v>7</v>
      </c>
      <c r="R9" s="193">
        <v>17</v>
      </c>
      <c r="S9" s="193">
        <v>7</v>
      </c>
      <c r="T9" s="193">
        <v>10</v>
      </c>
      <c r="U9" s="193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34" t="s">
        <v>16</v>
      </c>
      <c r="AD9" s="200">
        <v>4</v>
      </c>
      <c r="AE9" s="200">
        <v>18</v>
      </c>
      <c r="AF9" s="200">
        <v>4</v>
      </c>
      <c r="AG9" s="200">
        <v>20</v>
      </c>
      <c r="AH9" s="200">
        <v>22</v>
      </c>
      <c r="AI9" s="5"/>
      <c r="AJ9" s="134" t="s">
        <v>16</v>
      </c>
      <c r="AK9" s="200">
        <v>4</v>
      </c>
      <c r="AL9" s="200">
        <v>18</v>
      </c>
      <c r="AM9" s="200">
        <v>4</v>
      </c>
      <c r="AN9" s="200">
        <v>20</v>
      </c>
      <c r="AO9" s="200">
        <v>22</v>
      </c>
    </row>
    <row r="10" spans="1:41" ht="15.9" customHeight="1">
      <c r="A10" s="200" t="s">
        <v>95</v>
      </c>
      <c r="B10" s="134" t="s">
        <v>95</v>
      </c>
      <c r="C10" s="200">
        <v>43</v>
      </c>
      <c r="D10" s="200">
        <v>11</v>
      </c>
      <c r="E10" s="200">
        <v>41</v>
      </c>
      <c r="F10" s="200">
        <v>14</v>
      </c>
      <c r="G10" s="200">
        <v>21</v>
      </c>
      <c r="H10" s="134">
        <v>6</v>
      </c>
      <c r="I10" s="82"/>
      <c r="J10" s="23">
        <v>6</v>
      </c>
      <c r="K10" s="194" t="s">
        <v>95</v>
      </c>
      <c r="L10" s="194" t="s">
        <v>13</v>
      </c>
      <c r="M10" s="194" t="s">
        <v>13</v>
      </c>
      <c r="N10" s="194" t="s">
        <v>30</v>
      </c>
      <c r="O10" s="194" t="s">
        <v>13</v>
      </c>
      <c r="Q10" s="193">
        <v>6</v>
      </c>
      <c r="R10" s="193">
        <v>5</v>
      </c>
      <c r="S10" s="193">
        <v>5</v>
      </c>
      <c r="T10" s="193">
        <v>10</v>
      </c>
      <c r="U10" s="193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34" t="s">
        <v>12</v>
      </c>
      <c r="AD10" s="200">
        <v>4</v>
      </c>
      <c r="AE10" s="200">
        <v>18</v>
      </c>
      <c r="AF10" s="200">
        <v>4</v>
      </c>
      <c r="AG10" s="200">
        <v>20</v>
      </c>
      <c r="AH10" s="200">
        <v>21</v>
      </c>
      <c r="AI10" s="5"/>
      <c r="AJ10" s="134" t="s">
        <v>12</v>
      </c>
      <c r="AK10" s="200">
        <v>4</v>
      </c>
      <c r="AL10" s="200">
        <v>18</v>
      </c>
      <c r="AM10" s="200">
        <v>4</v>
      </c>
      <c r="AN10" s="200">
        <v>20</v>
      </c>
      <c r="AO10" s="200">
        <v>21</v>
      </c>
    </row>
    <row r="11" spans="1:41" ht="15.9" customHeight="1">
      <c r="A11" s="200" t="s">
        <v>31</v>
      </c>
      <c r="B11" s="134" t="s">
        <v>31</v>
      </c>
      <c r="C11" s="200">
        <v>48</v>
      </c>
      <c r="D11" s="200">
        <v>12</v>
      </c>
      <c r="E11" s="200">
        <v>41</v>
      </c>
      <c r="F11" s="200">
        <v>14</v>
      </c>
      <c r="G11" s="200">
        <v>21</v>
      </c>
      <c r="H11" s="134">
        <v>7</v>
      </c>
      <c r="I11" s="82"/>
      <c r="J11" s="193">
        <v>7</v>
      </c>
      <c r="K11" s="194" t="s">
        <v>95</v>
      </c>
      <c r="L11" s="194" t="s">
        <v>13</v>
      </c>
      <c r="M11" s="194" t="s">
        <v>31</v>
      </c>
      <c r="N11" s="194" t="s">
        <v>31</v>
      </c>
      <c r="O11" s="194" t="s">
        <v>95</v>
      </c>
      <c r="Q11" s="193">
        <v>6</v>
      </c>
      <c r="R11" s="193">
        <v>5</v>
      </c>
      <c r="S11" s="193">
        <v>7</v>
      </c>
      <c r="T11" s="193">
        <v>7</v>
      </c>
      <c r="U11" s="193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34" t="s">
        <v>13</v>
      </c>
      <c r="AD11" s="200">
        <v>40</v>
      </c>
      <c r="AE11" s="200">
        <v>14</v>
      </c>
      <c r="AF11" s="200">
        <v>41</v>
      </c>
      <c r="AG11" s="200">
        <v>14</v>
      </c>
      <c r="AH11" s="200">
        <v>21</v>
      </c>
      <c r="AI11" s="5"/>
      <c r="AJ11" s="134" t="s">
        <v>13</v>
      </c>
      <c r="AK11" s="200">
        <v>40</v>
      </c>
      <c r="AL11" s="200">
        <v>14</v>
      </c>
      <c r="AM11" s="200">
        <v>41</v>
      </c>
      <c r="AN11" s="200">
        <v>14</v>
      </c>
      <c r="AO11" s="200">
        <v>21</v>
      </c>
    </row>
    <row r="12" spans="1:41" ht="15.9" customHeight="1">
      <c r="A12" s="200" t="s">
        <v>29</v>
      </c>
      <c r="B12" s="134" t="s">
        <v>29</v>
      </c>
      <c r="C12" s="200">
        <v>47</v>
      </c>
      <c r="D12" s="200">
        <v>12</v>
      </c>
      <c r="E12" s="200">
        <v>41</v>
      </c>
      <c r="F12" s="200">
        <v>14</v>
      </c>
      <c r="G12" s="200">
        <v>21</v>
      </c>
      <c r="H12" s="134">
        <v>8</v>
      </c>
      <c r="I12" s="82"/>
      <c r="J12" s="23">
        <v>8</v>
      </c>
      <c r="K12" s="194" t="s">
        <v>31</v>
      </c>
      <c r="L12" s="194" t="s">
        <v>79</v>
      </c>
      <c r="M12" s="194" t="s">
        <v>96</v>
      </c>
      <c r="N12" s="194" t="s">
        <v>12</v>
      </c>
      <c r="O12" s="194" t="s">
        <v>28</v>
      </c>
      <c r="Q12" s="193">
        <v>7</v>
      </c>
      <c r="R12" s="193">
        <v>12</v>
      </c>
      <c r="S12" s="193">
        <v>15</v>
      </c>
      <c r="T12" s="193">
        <v>4</v>
      </c>
      <c r="U12" s="193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34" t="s">
        <v>95</v>
      </c>
      <c r="AD12" s="200">
        <v>40</v>
      </c>
      <c r="AE12" s="200">
        <v>14</v>
      </c>
      <c r="AF12" s="200">
        <v>41</v>
      </c>
      <c r="AG12" s="200">
        <v>14</v>
      </c>
      <c r="AH12" s="200">
        <v>21</v>
      </c>
      <c r="AI12" s="5"/>
      <c r="AJ12" s="134" t="s">
        <v>95</v>
      </c>
      <c r="AK12" s="200">
        <v>40</v>
      </c>
      <c r="AL12" s="200">
        <v>14</v>
      </c>
      <c r="AM12" s="200">
        <v>41</v>
      </c>
      <c r="AN12" s="200">
        <v>14</v>
      </c>
      <c r="AO12" s="200">
        <v>21</v>
      </c>
    </row>
    <row r="13" spans="1:41" ht="15.9" customHeight="1">
      <c r="A13" s="200" t="s">
        <v>28</v>
      </c>
      <c r="B13" s="134" t="s">
        <v>28</v>
      </c>
      <c r="C13" s="200">
        <v>3</v>
      </c>
      <c r="D13" s="200">
        <v>19</v>
      </c>
      <c r="E13" s="200">
        <v>3</v>
      </c>
      <c r="F13" s="200">
        <v>21</v>
      </c>
      <c r="G13" s="200">
        <v>21</v>
      </c>
      <c r="H13" s="134">
        <v>9</v>
      </c>
      <c r="I13" s="82"/>
      <c r="J13" s="193">
        <v>9</v>
      </c>
      <c r="K13" s="194" t="s">
        <v>95</v>
      </c>
      <c r="L13" s="194" t="s">
        <v>14</v>
      </c>
      <c r="M13" s="194" t="s">
        <v>31</v>
      </c>
      <c r="N13" s="194" t="s">
        <v>95</v>
      </c>
      <c r="O13" s="194" t="s">
        <v>28</v>
      </c>
      <c r="Q13" s="193">
        <v>6</v>
      </c>
      <c r="R13" s="193">
        <v>1</v>
      </c>
      <c r="S13" s="193">
        <v>7</v>
      </c>
      <c r="T13" s="193">
        <v>6</v>
      </c>
      <c r="U13" s="193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34" t="s">
        <v>31</v>
      </c>
      <c r="AD13" s="200">
        <v>47</v>
      </c>
      <c r="AE13" s="200">
        <v>13</v>
      </c>
      <c r="AF13" s="200">
        <v>41</v>
      </c>
      <c r="AG13" s="200">
        <v>14</v>
      </c>
      <c r="AH13" s="200">
        <v>21</v>
      </c>
      <c r="AI13" s="5"/>
      <c r="AJ13" s="134" t="s">
        <v>31</v>
      </c>
      <c r="AK13" s="200">
        <v>47</v>
      </c>
      <c r="AL13" s="200">
        <v>13</v>
      </c>
      <c r="AM13" s="200">
        <v>41</v>
      </c>
      <c r="AN13" s="200">
        <v>14</v>
      </c>
      <c r="AO13" s="200">
        <v>21</v>
      </c>
    </row>
    <row r="14" spans="1:41" ht="15.9" customHeight="1">
      <c r="A14" s="200" t="s">
        <v>30</v>
      </c>
      <c r="B14" s="134" t="s">
        <v>30</v>
      </c>
      <c r="C14" s="200">
        <v>4</v>
      </c>
      <c r="D14" s="200">
        <v>16</v>
      </c>
      <c r="E14" s="200">
        <v>3</v>
      </c>
      <c r="F14" s="200">
        <v>21</v>
      </c>
      <c r="G14" s="200">
        <v>21</v>
      </c>
      <c r="H14" s="134">
        <v>10</v>
      </c>
      <c r="I14" s="82"/>
      <c r="J14" s="23">
        <v>10</v>
      </c>
      <c r="K14" s="194" t="s">
        <v>29</v>
      </c>
      <c r="L14" s="194" t="s">
        <v>28</v>
      </c>
      <c r="M14" s="194" t="s">
        <v>29</v>
      </c>
      <c r="N14" s="194" t="s">
        <v>16</v>
      </c>
      <c r="O14" s="194" t="s">
        <v>15</v>
      </c>
      <c r="Q14" s="193">
        <v>8</v>
      </c>
      <c r="R14" s="193">
        <v>9</v>
      </c>
      <c r="S14" s="193">
        <v>8</v>
      </c>
      <c r="T14" s="193">
        <v>3</v>
      </c>
      <c r="U14" s="193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34" t="s">
        <v>29</v>
      </c>
      <c r="AD14" s="200">
        <v>47</v>
      </c>
      <c r="AE14" s="200">
        <v>13</v>
      </c>
      <c r="AF14" s="200">
        <v>41</v>
      </c>
      <c r="AG14" s="200">
        <v>14</v>
      </c>
      <c r="AH14" s="200">
        <v>21</v>
      </c>
      <c r="AI14" s="5"/>
      <c r="AJ14" s="134" t="s">
        <v>29</v>
      </c>
      <c r="AK14" s="200">
        <v>47</v>
      </c>
      <c r="AL14" s="200">
        <v>13</v>
      </c>
      <c r="AM14" s="200">
        <v>41</v>
      </c>
      <c r="AN14" s="200">
        <v>14</v>
      </c>
      <c r="AO14" s="200">
        <v>21</v>
      </c>
    </row>
    <row r="15" spans="1:41" ht="15.9" customHeight="1">
      <c r="A15" s="201" t="s">
        <v>78</v>
      </c>
      <c r="B15" s="199" t="s">
        <v>312</v>
      </c>
      <c r="C15" s="201">
        <v>0</v>
      </c>
      <c r="D15" s="201">
        <v>8</v>
      </c>
      <c r="E15" s="201">
        <v>0</v>
      </c>
      <c r="F15" s="201">
        <v>4</v>
      </c>
      <c r="G15" s="201">
        <v>0</v>
      </c>
      <c r="H15" s="199">
        <v>11</v>
      </c>
      <c r="I15" s="82"/>
      <c r="J15" s="193">
        <v>11</v>
      </c>
      <c r="K15" s="194" t="s">
        <v>95</v>
      </c>
      <c r="L15" s="194" t="s">
        <v>15</v>
      </c>
      <c r="M15" s="194" t="s">
        <v>95</v>
      </c>
      <c r="N15" s="194" t="s">
        <v>12</v>
      </c>
      <c r="O15" s="194" t="s">
        <v>12</v>
      </c>
      <c r="Q15" s="193">
        <v>6</v>
      </c>
      <c r="R15" s="193">
        <v>2</v>
      </c>
      <c r="S15" s="193">
        <v>6</v>
      </c>
      <c r="T15" s="193">
        <v>4</v>
      </c>
      <c r="U15" s="193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34" t="s">
        <v>28</v>
      </c>
      <c r="AD15" s="200">
        <v>4</v>
      </c>
      <c r="AE15" s="200">
        <v>17</v>
      </c>
      <c r="AF15" s="200">
        <v>3</v>
      </c>
      <c r="AG15" s="200">
        <v>21</v>
      </c>
      <c r="AH15" s="200">
        <v>21</v>
      </c>
      <c r="AI15" s="5"/>
      <c r="AJ15" s="134" t="s">
        <v>28</v>
      </c>
      <c r="AK15" s="200">
        <v>4</v>
      </c>
      <c r="AL15" s="200">
        <v>17</v>
      </c>
      <c r="AM15" s="200">
        <v>3</v>
      </c>
      <c r="AN15" s="200">
        <v>21</v>
      </c>
      <c r="AO15" s="200">
        <v>21</v>
      </c>
    </row>
    <row r="16" spans="1:41" ht="15.9" customHeight="1">
      <c r="A16" s="201" t="s">
        <v>79</v>
      </c>
      <c r="B16" s="199" t="s">
        <v>313</v>
      </c>
      <c r="C16" s="201">
        <v>0</v>
      </c>
      <c r="D16" s="201">
        <v>7</v>
      </c>
      <c r="E16" s="201">
        <v>0</v>
      </c>
      <c r="F16" s="201">
        <v>4</v>
      </c>
      <c r="G16" s="201">
        <v>0</v>
      </c>
      <c r="H16" s="199">
        <v>12</v>
      </c>
      <c r="I16" s="82"/>
      <c r="J16" s="23">
        <v>12</v>
      </c>
      <c r="K16" s="194" t="s">
        <v>13</v>
      </c>
      <c r="L16" s="194" t="s">
        <v>85</v>
      </c>
      <c r="M16" s="194" t="s">
        <v>95</v>
      </c>
      <c r="N16" s="194" t="s">
        <v>30</v>
      </c>
      <c r="O16" s="194" t="s">
        <v>12</v>
      </c>
      <c r="Q16" s="193">
        <v>5</v>
      </c>
      <c r="R16" s="193">
        <v>18</v>
      </c>
      <c r="S16" s="193">
        <v>6</v>
      </c>
      <c r="T16" s="193">
        <v>10</v>
      </c>
      <c r="U16" s="193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34" t="s">
        <v>30</v>
      </c>
      <c r="AD16" s="200">
        <v>4</v>
      </c>
      <c r="AE16" s="200">
        <v>17</v>
      </c>
      <c r="AF16" s="200">
        <v>3</v>
      </c>
      <c r="AG16" s="200">
        <v>21</v>
      </c>
      <c r="AH16" s="200">
        <v>21</v>
      </c>
      <c r="AI16" s="5"/>
      <c r="AJ16" s="134" t="s">
        <v>30</v>
      </c>
      <c r="AK16" s="200">
        <v>4</v>
      </c>
      <c r="AL16" s="200">
        <v>17</v>
      </c>
      <c r="AM16" s="200">
        <v>3</v>
      </c>
      <c r="AN16" s="200">
        <v>21</v>
      </c>
      <c r="AO16" s="200">
        <v>21</v>
      </c>
    </row>
    <row r="17" spans="1:41" ht="15.9" customHeight="1">
      <c r="A17" s="201" t="s">
        <v>80</v>
      </c>
      <c r="B17" s="199" t="s">
        <v>314</v>
      </c>
      <c r="C17" s="201">
        <v>0</v>
      </c>
      <c r="D17" s="201">
        <v>7</v>
      </c>
      <c r="E17" s="201">
        <v>0</v>
      </c>
      <c r="F17" s="201">
        <v>4</v>
      </c>
      <c r="G17" s="201">
        <v>0</v>
      </c>
      <c r="H17" s="199">
        <v>13</v>
      </c>
      <c r="I17" s="82"/>
      <c r="J17" s="193">
        <v>13</v>
      </c>
      <c r="K17" s="194" t="s">
        <v>13</v>
      </c>
      <c r="L17" s="194" t="s">
        <v>95</v>
      </c>
      <c r="M17" s="194" t="s">
        <v>15</v>
      </c>
      <c r="N17" s="194" t="s">
        <v>30</v>
      </c>
      <c r="O17" s="194" t="s">
        <v>16</v>
      </c>
      <c r="Q17" s="193">
        <v>5</v>
      </c>
      <c r="R17" s="193">
        <v>6</v>
      </c>
      <c r="S17" s="193">
        <v>2</v>
      </c>
      <c r="T17" s="193">
        <v>10</v>
      </c>
      <c r="U17" s="193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99" t="s">
        <v>78</v>
      </c>
      <c r="AD17" s="201">
        <v>0</v>
      </c>
      <c r="AE17" s="201">
        <v>8</v>
      </c>
      <c r="AF17" s="201">
        <v>1</v>
      </c>
      <c r="AG17" s="201">
        <v>5</v>
      </c>
      <c r="AH17" s="201">
        <v>0</v>
      </c>
      <c r="AI17" s="5"/>
      <c r="AJ17" s="199" t="s">
        <v>78</v>
      </c>
      <c r="AK17" s="201">
        <v>0</v>
      </c>
      <c r="AL17" s="201">
        <v>8</v>
      </c>
      <c r="AM17" s="201">
        <v>1</v>
      </c>
      <c r="AN17" s="201">
        <v>5</v>
      </c>
      <c r="AO17" s="201">
        <v>0</v>
      </c>
    </row>
    <row r="18" spans="1:41" ht="15.9" customHeight="1">
      <c r="A18" s="201" t="s">
        <v>81</v>
      </c>
      <c r="B18" s="199" t="s">
        <v>315</v>
      </c>
      <c r="C18" s="201">
        <v>0</v>
      </c>
      <c r="D18" s="201">
        <v>4</v>
      </c>
      <c r="E18" s="201">
        <v>3</v>
      </c>
      <c r="F18" s="201">
        <v>3</v>
      </c>
      <c r="G18" s="201">
        <v>0</v>
      </c>
      <c r="H18" s="199">
        <v>14</v>
      </c>
      <c r="I18" s="82"/>
      <c r="J18" s="23">
        <v>14</v>
      </c>
      <c r="K18" s="194" t="s">
        <v>95</v>
      </c>
      <c r="L18" s="194" t="s">
        <v>78</v>
      </c>
      <c r="M18" s="194" t="s">
        <v>29</v>
      </c>
      <c r="N18" s="194" t="s">
        <v>29</v>
      </c>
      <c r="O18" s="194" t="s">
        <v>16</v>
      </c>
      <c r="Q18" s="193">
        <v>6</v>
      </c>
      <c r="R18" s="193">
        <v>11</v>
      </c>
      <c r="S18" s="193">
        <v>8</v>
      </c>
      <c r="T18" s="193">
        <v>8</v>
      </c>
      <c r="U18" s="193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99" t="s">
        <v>79</v>
      </c>
      <c r="AD18" s="201">
        <v>0</v>
      </c>
      <c r="AE18" s="201">
        <v>8</v>
      </c>
      <c r="AF18" s="201">
        <v>1</v>
      </c>
      <c r="AG18" s="201">
        <v>5</v>
      </c>
      <c r="AH18" s="201">
        <v>0</v>
      </c>
      <c r="AI18" s="5"/>
      <c r="AJ18" s="199" t="s">
        <v>79</v>
      </c>
      <c r="AK18" s="201">
        <v>0</v>
      </c>
      <c r="AL18" s="201">
        <v>8</v>
      </c>
      <c r="AM18" s="201">
        <v>1</v>
      </c>
      <c r="AN18" s="201">
        <v>5</v>
      </c>
      <c r="AO18" s="201">
        <v>0</v>
      </c>
    </row>
    <row r="19" spans="1:41" ht="15.9" customHeight="1">
      <c r="A19" s="201" t="s">
        <v>96</v>
      </c>
      <c r="B19" s="199" t="s">
        <v>316</v>
      </c>
      <c r="C19" s="201">
        <v>0</v>
      </c>
      <c r="D19" s="201">
        <v>4</v>
      </c>
      <c r="E19" s="201">
        <v>3</v>
      </c>
      <c r="F19" s="201">
        <v>3</v>
      </c>
      <c r="G19" s="201">
        <v>0</v>
      </c>
      <c r="H19" s="199">
        <v>15</v>
      </c>
      <c r="I19" s="82"/>
      <c r="J19" s="193">
        <v>15</v>
      </c>
      <c r="K19" s="194" t="s">
        <v>31</v>
      </c>
      <c r="L19" s="194" t="s">
        <v>16</v>
      </c>
      <c r="M19" s="194" t="s">
        <v>31</v>
      </c>
      <c r="N19" s="194" t="s">
        <v>15</v>
      </c>
      <c r="O19" s="194" t="s">
        <v>31</v>
      </c>
      <c r="Q19" s="193">
        <v>7</v>
      </c>
      <c r="R19" s="193">
        <v>3</v>
      </c>
      <c r="S19" s="193">
        <v>7</v>
      </c>
      <c r="T19" s="193">
        <v>2</v>
      </c>
      <c r="U19" s="193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99" t="s">
        <v>80</v>
      </c>
      <c r="AD19" s="201">
        <v>0</v>
      </c>
      <c r="AE19" s="201">
        <v>8</v>
      </c>
      <c r="AF19" s="201">
        <v>1</v>
      </c>
      <c r="AG19" s="201">
        <v>5</v>
      </c>
      <c r="AH19" s="201">
        <v>0</v>
      </c>
      <c r="AI19" s="5"/>
      <c r="AJ19" s="199" t="s">
        <v>80</v>
      </c>
      <c r="AK19" s="201">
        <v>0</v>
      </c>
      <c r="AL19" s="201">
        <v>8</v>
      </c>
      <c r="AM19" s="201">
        <v>1</v>
      </c>
      <c r="AN19" s="201">
        <v>5</v>
      </c>
      <c r="AO19" s="201">
        <v>0</v>
      </c>
    </row>
    <row r="20" spans="1:41" ht="15.9" customHeight="1">
      <c r="A20" s="201" t="s">
        <v>82</v>
      </c>
      <c r="B20" s="199" t="s">
        <v>317</v>
      </c>
      <c r="C20" s="201">
        <v>0</v>
      </c>
      <c r="D20" s="201">
        <v>4</v>
      </c>
      <c r="E20" s="201">
        <v>3</v>
      </c>
      <c r="F20" s="201">
        <v>3</v>
      </c>
      <c r="G20" s="201">
        <v>0</v>
      </c>
      <c r="H20" s="199">
        <v>16</v>
      </c>
      <c r="I20" s="82"/>
      <c r="J20" s="23">
        <v>16</v>
      </c>
      <c r="K20" s="194" t="s">
        <v>16</v>
      </c>
      <c r="L20" s="194" t="s">
        <v>78</v>
      </c>
      <c r="M20" s="194" t="s">
        <v>15</v>
      </c>
      <c r="N20" s="194" t="s">
        <v>85</v>
      </c>
      <c r="O20" s="194" t="s">
        <v>13</v>
      </c>
      <c r="Q20" s="193">
        <v>3</v>
      </c>
      <c r="R20" s="193">
        <v>11</v>
      </c>
      <c r="S20" s="193">
        <v>2</v>
      </c>
      <c r="T20" s="193">
        <v>18</v>
      </c>
      <c r="U20" s="193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99" t="s">
        <v>81</v>
      </c>
      <c r="AD20" s="201">
        <v>0</v>
      </c>
      <c r="AE20" s="201">
        <v>5</v>
      </c>
      <c r="AF20" s="201">
        <v>4</v>
      </c>
      <c r="AG20" s="201">
        <v>4</v>
      </c>
      <c r="AH20" s="201">
        <v>0</v>
      </c>
      <c r="AI20" s="5"/>
      <c r="AJ20" s="199" t="s">
        <v>81</v>
      </c>
      <c r="AK20" s="201">
        <v>0</v>
      </c>
      <c r="AL20" s="201">
        <v>5</v>
      </c>
      <c r="AM20" s="201">
        <v>4</v>
      </c>
      <c r="AN20" s="201">
        <v>4</v>
      </c>
      <c r="AO20" s="201">
        <v>0</v>
      </c>
    </row>
    <row r="21" spans="1:41" ht="15.9" customHeight="1">
      <c r="A21" s="201" t="s">
        <v>94</v>
      </c>
      <c r="B21" s="199" t="s">
        <v>318</v>
      </c>
      <c r="C21" s="201">
        <v>0</v>
      </c>
      <c r="D21" s="201">
        <v>4</v>
      </c>
      <c r="E21" s="201">
        <v>3</v>
      </c>
      <c r="F21" s="201">
        <v>3</v>
      </c>
      <c r="G21" s="201">
        <v>0</v>
      </c>
      <c r="H21" s="199">
        <v>17</v>
      </c>
      <c r="I21" s="82"/>
      <c r="J21" s="193">
        <v>17</v>
      </c>
      <c r="K21" s="194" t="s">
        <v>31</v>
      </c>
      <c r="L21" s="194" t="s">
        <v>95</v>
      </c>
      <c r="M21" s="194" t="s">
        <v>30</v>
      </c>
      <c r="N21" s="194" t="s">
        <v>28</v>
      </c>
      <c r="O21" s="194" t="s">
        <v>95</v>
      </c>
      <c r="Q21" s="193">
        <v>7</v>
      </c>
      <c r="R21" s="193">
        <v>6</v>
      </c>
      <c r="S21" s="193">
        <v>10</v>
      </c>
      <c r="T21" s="193">
        <v>9</v>
      </c>
      <c r="U21" s="193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99" t="s">
        <v>96</v>
      </c>
      <c r="AD21" s="201">
        <v>0</v>
      </c>
      <c r="AE21" s="201">
        <v>5</v>
      </c>
      <c r="AF21" s="201">
        <v>4</v>
      </c>
      <c r="AG21" s="201">
        <v>4</v>
      </c>
      <c r="AH21" s="201">
        <v>0</v>
      </c>
      <c r="AI21" s="5"/>
      <c r="AJ21" s="199" t="s">
        <v>96</v>
      </c>
      <c r="AK21" s="201">
        <v>0</v>
      </c>
      <c r="AL21" s="201">
        <v>5</v>
      </c>
      <c r="AM21" s="201">
        <v>4</v>
      </c>
      <c r="AN21" s="201">
        <v>4</v>
      </c>
      <c r="AO21" s="201">
        <v>0</v>
      </c>
    </row>
    <row r="22" spans="1:41" ht="15.9" customHeight="1">
      <c r="A22" s="201" t="s">
        <v>85</v>
      </c>
      <c r="B22" s="199" t="s">
        <v>319</v>
      </c>
      <c r="C22" s="201">
        <v>0</v>
      </c>
      <c r="D22" s="201">
        <v>8</v>
      </c>
      <c r="E22" s="201">
        <v>0</v>
      </c>
      <c r="F22" s="201">
        <v>4</v>
      </c>
      <c r="G22" s="201">
        <v>0</v>
      </c>
      <c r="H22" s="199">
        <v>18</v>
      </c>
      <c r="I22" s="82"/>
      <c r="J22" s="23">
        <v>18</v>
      </c>
      <c r="K22" s="194" t="s">
        <v>29</v>
      </c>
      <c r="L22" s="194" t="s">
        <v>95</v>
      </c>
      <c r="M22" s="194" t="s">
        <v>29</v>
      </c>
      <c r="N22" s="194" t="s">
        <v>12</v>
      </c>
      <c r="O22" s="194" t="s">
        <v>15</v>
      </c>
      <c r="Q22" s="193">
        <v>8</v>
      </c>
      <c r="R22" s="193">
        <v>6</v>
      </c>
      <c r="S22" s="193">
        <v>8</v>
      </c>
      <c r="T22" s="193">
        <v>4</v>
      </c>
      <c r="U22" s="193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99" t="s">
        <v>82</v>
      </c>
      <c r="AD22" s="201">
        <v>0</v>
      </c>
      <c r="AE22" s="201">
        <v>5</v>
      </c>
      <c r="AF22" s="201">
        <v>4</v>
      </c>
      <c r="AG22" s="201">
        <v>4</v>
      </c>
      <c r="AH22" s="201">
        <v>0</v>
      </c>
      <c r="AI22" s="5"/>
      <c r="AJ22" s="199" t="s">
        <v>82</v>
      </c>
      <c r="AK22" s="201">
        <v>0</v>
      </c>
      <c r="AL22" s="201">
        <v>5</v>
      </c>
      <c r="AM22" s="201">
        <v>4</v>
      </c>
      <c r="AN22" s="201">
        <v>4</v>
      </c>
      <c r="AO22" s="201">
        <v>0</v>
      </c>
    </row>
    <row r="23" spans="1:41" ht="15.9" customHeight="1">
      <c r="A23" s="201" t="s">
        <v>87</v>
      </c>
      <c r="B23" s="199" t="s">
        <v>320</v>
      </c>
      <c r="C23" s="201">
        <v>0</v>
      </c>
      <c r="D23" s="201">
        <v>5</v>
      </c>
      <c r="E23" s="201">
        <v>0</v>
      </c>
      <c r="F23" s="201">
        <v>4</v>
      </c>
      <c r="G23" s="201">
        <v>0</v>
      </c>
      <c r="H23" s="199">
        <v>19</v>
      </c>
      <c r="I23" s="82"/>
      <c r="J23" s="193">
        <v>19</v>
      </c>
      <c r="K23" s="194" t="s">
        <v>95</v>
      </c>
      <c r="L23" s="194" t="s">
        <v>13</v>
      </c>
      <c r="M23" s="194" t="s">
        <v>95</v>
      </c>
      <c r="N23" s="194" t="s">
        <v>82</v>
      </c>
      <c r="O23" s="194" t="s">
        <v>15</v>
      </c>
      <c r="Q23" s="193">
        <v>6</v>
      </c>
      <c r="R23" s="193">
        <v>5</v>
      </c>
      <c r="S23" s="193">
        <v>6</v>
      </c>
      <c r="T23" s="193">
        <v>16</v>
      </c>
      <c r="U23" s="193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99" t="s">
        <v>94</v>
      </c>
      <c r="AD23" s="201">
        <v>0</v>
      </c>
      <c r="AE23" s="201">
        <v>5</v>
      </c>
      <c r="AF23" s="201">
        <v>4</v>
      </c>
      <c r="AG23" s="201">
        <v>4</v>
      </c>
      <c r="AH23" s="201">
        <v>0</v>
      </c>
      <c r="AI23" s="5"/>
      <c r="AJ23" s="199" t="s">
        <v>94</v>
      </c>
      <c r="AK23" s="201">
        <v>0</v>
      </c>
      <c r="AL23" s="201">
        <v>5</v>
      </c>
      <c r="AM23" s="201">
        <v>4</v>
      </c>
      <c r="AN23" s="201">
        <v>4</v>
      </c>
      <c r="AO23" s="201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31</v>
      </c>
      <c r="L24" s="194" t="s">
        <v>94</v>
      </c>
      <c r="M24" s="194" t="s">
        <v>31</v>
      </c>
      <c r="N24" s="194" t="s">
        <v>28</v>
      </c>
      <c r="O24" s="194" t="s">
        <v>13</v>
      </c>
      <c r="Q24" s="193">
        <v>7</v>
      </c>
      <c r="R24" s="193">
        <v>17</v>
      </c>
      <c r="S24" s="193">
        <v>7</v>
      </c>
      <c r="T24" s="193">
        <v>9</v>
      </c>
      <c r="U24" s="193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99" t="s">
        <v>85</v>
      </c>
      <c r="AD24" s="201">
        <v>0</v>
      </c>
      <c r="AE24" s="201">
        <v>9</v>
      </c>
      <c r="AF24" s="201">
        <v>1</v>
      </c>
      <c r="AG24" s="201">
        <v>5</v>
      </c>
      <c r="AH24" s="201">
        <v>0</v>
      </c>
      <c r="AI24" s="5"/>
      <c r="AJ24" s="199" t="s">
        <v>85</v>
      </c>
      <c r="AK24" s="201">
        <v>0</v>
      </c>
      <c r="AL24" s="201">
        <v>9</v>
      </c>
      <c r="AM24" s="201">
        <v>1</v>
      </c>
      <c r="AN24" s="201">
        <v>5</v>
      </c>
      <c r="AO24" s="201">
        <v>0</v>
      </c>
    </row>
    <row r="25" spans="1:41" ht="16.5" customHeight="1">
      <c r="I25" s="82"/>
      <c r="J25" s="193">
        <v>21</v>
      </c>
      <c r="K25" s="194" t="s">
        <v>29</v>
      </c>
      <c r="L25" s="194" t="s">
        <v>94</v>
      </c>
      <c r="M25" s="194" t="s">
        <v>12</v>
      </c>
      <c r="N25" s="194" t="s">
        <v>15</v>
      </c>
      <c r="O25" s="194" t="s">
        <v>15</v>
      </c>
      <c r="Q25" s="193">
        <v>8</v>
      </c>
      <c r="R25" s="193">
        <v>17</v>
      </c>
      <c r="S25" s="193">
        <v>4</v>
      </c>
      <c r="T25" s="193">
        <v>2</v>
      </c>
      <c r="U25" s="193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99" t="s">
        <v>87</v>
      </c>
      <c r="AD25" s="201">
        <v>0</v>
      </c>
      <c r="AE25" s="201">
        <v>9</v>
      </c>
      <c r="AF25" s="201">
        <v>1</v>
      </c>
      <c r="AG25" s="201">
        <v>5</v>
      </c>
      <c r="AH25" s="201">
        <v>0</v>
      </c>
      <c r="AI25" s="5"/>
      <c r="AJ25" s="199" t="s">
        <v>87</v>
      </c>
      <c r="AK25" s="201">
        <v>0</v>
      </c>
      <c r="AL25" s="201">
        <v>9</v>
      </c>
      <c r="AM25" s="201">
        <v>1</v>
      </c>
      <c r="AN25" s="201">
        <v>5</v>
      </c>
      <c r="AO25" s="201">
        <v>0</v>
      </c>
    </row>
    <row r="26" spans="1:41" ht="16.5" customHeight="1">
      <c r="B26" s="5" t="s">
        <v>298</v>
      </c>
      <c r="C26" s="5">
        <v>1</v>
      </c>
      <c r="D26" s="156">
        <v>0.745</v>
      </c>
      <c r="E26" s="156">
        <v>0.94</v>
      </c>
      <c r="F26" s="156">
        <v>0.84</v>
      </c>
      <c r="G26" s="5">
        <v>1</v>
      </c>
      <c r="I26" s="82"/>
      <c r="J26" s="23">
        <v>22</v>
      </c>
      <c r="K26" s="194" t="s">
        <v>29</v>
      </c>
      <c r="L26" s="194" t="s">
        <v>16</v>
      </c>
      <c r="M26" s="194" t="s">
        <v>29</v>
      </c>
      <c r="N26" s="194" t="s">
        <v>31</v>
      </c>
      <c r="O26" s="194" t="s">
        <v>13</v>
      </c>
      <c r="Q26" s="193">
        <v>8</v>
      </c>
      <c r="R26" s="193">
        <v>3</v>
      </c>
      <c r="S26" s="193">
        <v>8</v>
      </c>
      <c r="T26" s="193">
        <v>7</v>
      </c>
      <c r="U26" s="193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103">
        <v>200</v>
      </c>
      <c r="AE26" s="103">
        <v>209</v>
      </c>
      <c r="AF26" s="103">
        <v>209</v>
      </c>
      <c r="AG26" s="103">
        <v>209</v>
      </c>
      <c r="AH26" s="103">
        <v>200</v>
      </c>
      <c r="AI26" s="5"/>
      <c r="AK26" s="103">
        <v>200</v>
      </c>
      <c r="AL26" s="103">
        <v>209</v>
      </c>
      <c r="AM26" s="103">
        <v>209</v>
      </c>
      <c r="AN26" s="103">
        <v>209</v>
      </c>
      <c r="AO26" s="103">
        <v>200</v>
      </c>
    </row>
    <row r="27" spans="1:41" ht="16.5" customHeight="1">
      <c r="B27" s="5" t="s">
        <v>321</v>
      </c>
      <c r="C27" s="5">
        <v>0</v>
      </c>
      <c r="D27" s="156">
        <v>0.255</v>
      </c>
      <c r="E27" s="156">
        <v>0.06</v>
      </c>
      <c r="F27" s="156">
        <v>0.16</v>
      </c>
      <c r="G27" s="5">
        <v>0</v>
      </c>
      <c r="I27" s="82"/>
      <c r="J27" s="193">
        <v>23</v>
      </c>
      <c r="K27" s="194" t="s">
        <v>29</v>
      </c>
      <c r="L27" s="194" t="s">
        <v>12</v>
      </c>
      <c r="M27" s="194" t="s">
        <v>95</v>
      </c>
      <c r="N27" s="194" t="s">
        <v>14</v>
      </c>
      <c r="O27" s="194" t="s">
        <v>95</v>
      </c>
      <c r="Q27" s="193">
        <v>8</v>
      </c>
      <c r="R27" s="193">
        <v>4</v>
      </c>
      <c r="S27" s="193">
        <v>6</v>
      </c>
      <c r="T27" s="193">
        <v>1</v>
      </c>
      <c r="U27" s="193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4" t="s">
        <v>13</v>
      </c>
      <c r="L28" s="194" t="s">
        <v>12</v>
      </c>
      <c r="M28" s="194" t="s">
        <v>28</v>
      </c>
      <c r="N28" s="194" t="s">
        <v>87</v>
      </c>
      <c r="O28" s="194" t="s">
        <v>29</v>
      </c>
      <c r="Q28" s="193">
        <v>5</v>
      </c>
      <c r="R28" s="193">
        <v>4</v>
      </c>
      <c r="S28" s="193">
        <v>9</v>
      </c>
      <c r="T28" s="193">
        <v>19</v>
      </c>
      <c r="U28" s="193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295</v>
      </c>
      <c r="AH28" s="5"/>
      <c r="AI28" s="5"/>
      <c r="AJ28" s="25" t="s">
        <v>295</v>
      </c>
      <c r="AO28" s="5"/>
    </row>
    <row r="29" spans="1:41" ht="16.5" customHeight="1">
      <c r="I29" s="82"/>
      <c r="J29" s="193">
        <v>25</v>
      </c>
      <c r="K29" s="194" t="s">
        <v>29</v>
      </c>
      <c r="L29" s="194" t="s">
        <v>29</v>
      </c>
      <c r="M29" s="194" t="s">
        <v>29</v>
      </c>
      <c r="N29" s="194" t="s">
        <v>12</v>
      </c>
      <c r="O29" s="194" t="s">
        <v>12</v>
      </c>
      <c r="Q29" s="193">
        <v>8</v>
      </c>
      <c r="R29" s="193">
        <v>8</v>
      </c>
      <c r="S29" s="193">
        <v>8</v>
      </c>
      <c r="T29" s="193">
        <v>4</v>
      </c>
      <c r="U29" s="193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>
      <c r="I30" s="82"/>
      <c r="J30" s="23">
        <v>26</v>
      </c>
      <c r="K30" s="194" t="s">
        <v>31</v>
      </c>
      <c r="L30" s="194" t="s">
        <v>29</v>
      </c>
      <c r="M30" s="194" t="s">
        <v>95</v>
      </c>
      <c r="N30" s="194" t="s">
        <v>30</v>
      </c>
      <c r="O30" s="194" t="s">
        <v>95</v>
      </c>
      <c r="Q30" s="193">
        <v>7</v>
      </c>
      <c r="R30" s="193">
        <v>8</v>
      </c>
      <c r="S30" s="193">
        <v>6</v>
      </c>
      <c r="T30" s="193">
        <v>10</v>
      </c>
      <c r="U30" s="193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99" t="s">
        <v>293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293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>
      <c r="I31" s="82"/>
      <c r="J31" s="193">
        <v>27</v>
      </c>
      <c r="K31" s="194" t="s">
        <v>13</v>
      </c>
      <c r="L31" s="194" t="s">
        <v>85</v>
      </c>
      <c r="M31" s="194" t="s">
        <v>31</v>
      </c>
      <c r="N31" s="194" t="s">
        <v>87</v>
      </c>
      <c r="O31" s="194" t="s">
        <v>28</v>
      </c>
      <c r="Q31" s="193">
        <v>5</v>
      </c>
      <c r="R31" s="193">
        <v>18</v>
      </c>
      <c r="S31" s="193">
        <v>7</v>
      </c>
      <c r="T31" s="193">
        <v>19</v>
      </c>
      <c r="U31" s="193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99" t="s">
        <v>14</v>
      </c>
      <c r="AD31" s="199">
        <v>6</v>
      </c>
      <c r="AE31" s="199">
        <v>6</v>
      </c>
      <c r="AF31" s="199">
        <v>6</v>
      </c>
      <c r="AG31" s="199">
        <v>9</v>
      </c>
      <c r="AH31" s="199">
        <v>9</v>
      </c>
      <c r="AI31" s="5"/>
      <c r="AJ31" s="199" t="s">
        <v>14</v>
      </c>
      <c r="AK31" s="199">
        <v>6</v>
      </c>
      <c r="AL31" s="199">
        <v>6</v>
      </c>
      <c r="AM31" s="199">
        <v>6</v>
      </c>
      <c r="AN31" s="199">
        <v>9</v>
      </c>
      <c r="AO31" s="199">
        <v>9</v>
      </c>
    </row>
    <row r="32" spans="1:41" ht="16.5" customHeight="1">
      <c r="J32" s="23">
        <v>28</v>
      </c>
      <c r="K32" s="194" t="s">
        <v>29</v>
      </c>
      <c r="L32" s="194" t="s">
        <v>81</v>
      </c>
      <c r="M32" s="194" t="s">
        <v>95</v>
      </c>
      <c r="N32" s="194" t="s">
        <v>78</v>
      </c>
      <c r="O32" s="194" t="s">
        <v>28</v>
      </c>
      <c r="Q32" s="193">
        <v>8</v>
      </c>
      <c r="R32" s="193">
        <v>14</v>
      </c>
      <c r="S32" s="193">
        <v>6</v>
      </c>
      <c r="T32" s="193">
        <v>11</v>
      </c>
      <c r="U32" s="193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34" t="s">
        <v>15</v>
      </c>
      <c r="AD32" s="200">
        <v>4</v>
      </c>
      <c r="AE32" s="200">
        <v>17</v>
      </c>
      <c r="AF32" s="200">
        <v>4</v>
      </c>
      <c r="AG32" s="200">
        <v>21</v>
      </c>
      <c r="AH32" s="200">
        <v>22</v>
      </c>
      <c r="AI32" s="5"/>
      <c r="AJ32" s="134" t="s">
        <v>15</v>
      </c>
      <c r="AK32" s="200">
        <v>4</v>
      </c>
      <c r="AL32" s="200">
        <v>17</v>
      </c>
      <c r="AM32" s="200">
        <v>4</v>
      </c>
      <c r="AN32" s="200">
        <v>21</v>
      </c>
      <c r="AO32" s="200">
        <v>22</v>
      </c>
    </row>
    <row r="33" spans="10:41" ht="16.5" customHeight="1">
      <c r="J33" s="193">
        <v>29</v>
      </c>
      <c r="K33" s="194" t="s">
        <v>15</v>
      </c>
      <c r="L33" s="194" t="s">
        <v>80</v>
      </c>
      <c r="M33" s="194" t="s">
        <v>13</v>
      </c>
      <c r="N33" s="194" t="s">
        <v>16</v>
      </c>
      <c r="O33" s="194" t="s">
        <v>15</v>
      </c>
      <c r="Q33" s="193">
        <v>2</v>
      </c>
      <c r="R33" s="193">
        <v>13</v>
      </c>
      <c r="S33" s="193">
        <v>5</v>
      </c>
      <c r="T33" s="193">
        <v>3</v>
      </c>
      <c r="U33" s="193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34" t="s">
        <v>16</v>
      </c>
      <c r="AD33" s="200">
        <v>4</v>
      </c>
      <c r="AE33" s="200">
        <v>18</v>
      </c>
      <c r="AF33" s="200">
        <v>4</v>
      </c>
      <c r="AG33" s="200">
        <v>20</v>
      </c>
      <c r="AH33" s="200">
        <v>22</v>
      </c>
      <c r="AI33" s="5"/>
      <c r="AJ33" s="134" t="s">
        <v>16</v>
      </c>
      <c r="AK33" s="200">
        <v>4</v>
      </c>
      <c r="AL33" s="200">
        <v>18</v>
      </c>
      <c r="AM33" s="200">
        <v>4</v>
      </c>
      <c r="AN33" s="200">
        <v>20</v>
      </c>
      <c r="AO33" s="200">
        <v>22</v>
      </c>
    </row>
    <row r="34" spans="10:41" ht="16.5" customHeight="1">
      <c r="J34" s="23">
        <v>30</v>
      </c>
      <c r="K34" s="194" t="s">
        <v>29</v>
      </c>
      <c r="L34" s="194" t="s">
        <v>30</v>
      </c>
      <c r="M34" s="194" t="s">
        <v>29</v>
      </c>
      <c r="N34" s="194" t="s">
        <v>15</v>
      </c>
      <c r="O34" s="194" t="s">
        <v>15</v>
      </c>
      <c r="Q34" s="193">
        <v>8</v>
      </c>
      <c r="R34" s="193">
        <v>10</v>
      </c>
      <c r="S34" s="193">
        <v>8</v>
      </c>
      <c r="T34" s="193">
        <v>2</v>
      </c>
      <c r="U34" s="193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34" t="s">
        <v>12</v>
      </c>
      <c r="AD34" s="200">
        <v>4</v>
      </c>
      <c r="AE34" s="200">
        <v>18</v>
      </c>
      <c r="AF34" s="200">
        <v>4</v>
      </c>
      <c r="AG34" s="200">
        <v>20</v>
      </c>
      <c r="AH34" s="200">
        <v>21</v>
      </c>
      <c r="AI34" s="5"/>
      <c r="AJ34" s="134" t="s">
        <v>12</v>
      </c>
      <c r="AK34" s="200">
        <v>4</v>
      </c>
      <c r="AL34" s="200">
        <v>18</v>
      </c>
      <c r="AM34" s="200">
        <v>4</v>
      </c>
      <c r="AN34" s="200">
        <v>20</v>
      </c>
      <c r="AO34" s="200">
        <v>21</v>
      </c>
    </row>
    <row r="35" spans="10:41" ht="16.5" customHeight="1">
      <c r="J35" s="193">
        <v>31</v>
      </c>
      <c r="K35" s="194" t="s">
        <v>13</v>
      </c>
      <c r="L35" s="194" t="s">
        <v>30</v>
      </c>
      <c r="M35" s="194" t="s">
        <v>31</v>
      </c>
      <c r="N35" s="194" t="s">
        <v>95</v>
      </c>
      <c r="O35" s="194" t="s">
        <v>14</v>
      </c>
      <c r="Q35" s="193">
        <v>5</v>
      </c>
      <c r="R35" s="193">
        <v>10</v>
      </c>
      <c r="S35" s="193">
        <v>7</v>
      </c>
      <c r="T35" s="193">
        <v>6</v>
      </c>
      <c r="U35" s="193">
        <v>1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34" t="s">
        <v>13</v>
      </c>
      <c r="AD35" s="200">
        <v>40</v>
      </c>
      <c r="AE35" s="200">
        <v>14</v>
      </c>
      <c r="AF35" s="200">
        <v>41</v>
      </c>
      <c r="AG35" s="200">
        <v>14</v>
      </c>
      <c r="AH35" s="200">
        <v>21</v>
      </c>
      <c r="AI35" s="5"/>
      <c r="AJ35" s="134" t="s">
        <v>13</v>
      </c>
      <c r="AK35" s="200">
        <v>40</v>
      </c>
      <c r="AL35" s="200">
        <v>14</v>
      </c>
      <c r="AM35" s="200">
        <v>41</v>
      </c>
      <c r="AN35" s="200">
        <v>14</v>
      </c>
      <c r="AO35" s="200">
        <v>21</v>
      </c>
    </row>
    <row r="36" spans="10:41" ht="16.5" customHeight="1">
      <c r="J36" s="23">
        <v>32</v>
      </c>
      <c r="K36" s="194" t="s">
        <v>31</v>
      </c>
      <c r="L36" s="194" t="s">
        <v>13</v>
      </c>
      <c r="M36" s="194" t="s">
        <v>12</v>
      </c>
      <c r="N36" s="194" t="s">
        <v>95</v>
      </c>
      <c r="O36" s="194" t="s">
        <v>28</v>
      </c>
      <c r="Q36" s="193">
        <v>7</v>
      </c>
      <c r="R36" s="193">
        <v>5</v>
      </c>
      <c r="S36" s="193">
        <v>4</v>
      </c>
      <c r="T36" s="193">
        <v>6</v>
      </c>
      <c r="U36" s="193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34" t="s">
        <v>95</v>
      </c>
      <c r="AD36" s="200">
        <v>40</v>
      </c>
      <c r="AE36" s="200">
        <v>14</v>
      </c>
      <c r="AF36" s="200">
        <v>41</v>
      </c>
      <c r="AG36" s="200">
        <v>14</v>
      </c>
      <c r="AH36" s="200">
        <v>21</v>
      </c>
      <c r="AI36" s="5"/>
      <c r="AJ36" s="134" t="s">
        <v>95</v>
      </c>
      <c r="AK36" s="200">
        <v>40</v>
      </c>
      <c r="AL36" s="200">
        <v>14</v>
      </c>
      <c r="AM36" s="200">
        <v>41</v>
      </c>
      <c r="AN36" s="200">
        <v>14</v>
      </c>
      <c r="AO36" s="200">
        <v>21</v>
      </c>
    </row>
    <row r="37" spans="10:41" ht="16.5" customHeight="1">
      <c r="J37" s="193">
        <v>33</v>
      </c>
      <c r="K37" s="194" t="s">
        <v>13</v>
      </c>
      <c r="L37" s="194" t="s">
        <v>29</v>
      </c>
      <c r="M37" s="194" t="s">
        <v>29</v>
      </c>
      <c r="N37" s="194" t="s">
        <v>82</v>
      </c>
      <c r="O37" s="194" t="s">
        <v>29</v>
      </c>
      <c r="Q37" s="193">
        <v>5</v>
      </c>
      <c r="R37" s="193">
        <v>8</v>
      </c>
      <c r="S37" s="193">
        <v>8</v>
      </c>
      <c r="T37" s="193">
        <v>16</v>
      </c>
      <c r="U37" s="193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34" t="s">
        <v>31</v>
      </c>
      <c r="AD37" s="200">
        <v>47</v>
      </c>
      <c r="AE37" s="200">
        <v>13</v>
      </c>
      <c r="AF37" s="200">
        <v>41</v>
      </c>
      <c r="AG37" s="200">
        <v>14</v>
      </c>
      <c r="AH37" s="200">
        <v>21</v>
      </c>
      <c r="AI37" s="5"/>
      <c r="AJ37" s="134" t="s">
        <v>31</v>
      </c>
      <c r="AK37" s="200">
        <v>47</v>
      </c>
      <c r="AL37" s="200">
        <v>13</v>
      </c>
      <c r="AM37" s="200">
        <v>41</v>
      </c>
      <c r="AN37" s="200">
        <v>14</v>
      </c>
      <c r="AO37" s="200">
        <v>21</v>
      </c>
    </row>
    <row r="38" spans="10:41" ht="16.5" customHeight="1">
      <c r="J38" s="23">
        <v>34</v>
      </c>
      <c r="K38" s="194" t="s">
        <v>95</v>
      </c>
      <c r="L38" s="194" t="s">
        <v>79</v>
      </c>
      <c r="M38" s="194" t="s">
        <v>13</v>
      </c>
      <c r="N38" s="194" t="s">
        <v>29</v>
      </c>
      <c r="O38" s="194" t="s">
        <v>16</v>
      </c>
      <c r="Q38" s="193">
        <v>6</v>
      </c>
      <c r="R38" s="193">
        <v>12</v>
      </c>
      <c r="S38" s="193">
        <v>5</v>
      </c>
      <c r="T38" s="193">
        <v>8</v>
      </c>
      <c r="U38" s="193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34" t="s">
        <v>29</v>
      </c>
      <c r="AD38" s="200">
        <v>47</v>
      </c>
      <c r="AE38" s="200">
        <v>13</v>
      </c>
      <c r="AF38" s="200">
        <v>41</v>
      </c>
      <c r="AG38" s="200">
        <v>14</v>
      </c>
      <c r="AH38" s="200">
        <v>21</v>
      </c>
      <c r="AI38" s="5"/>
      <c r="AJ38" s="134" t="s">
        <v>29</v>
      </c>
      <c r="AK38" s="200">
        <v>47</v>
      </c>
      <c r="AL38" s="200">
        <v>13</v>
      </c>
      <c r="AM38" s="200">
        <v>41</v>
      </c>
      <c r="AN38" s="200">
        <v>14</v>
      </c>
      <c r="AO38" s="200">
        <v>21</v>
      </c>
    </row>
    <row r="39" spans="10:41" ht="16.5" customHeight="1">
      <c r="J39" s="193">
        <v>35</v>
      </c>
      <c r="K39" s="194" t="s">
        <v>95</v>
      </c>
      <c r="L39" s="194" t="s">
        <v>31</v>
      </c>
      <c r="M39" s="194" t="s">
        <v>95</v>
      </c>
      <c r="N39" s="194" t="s">
        <v>15</v>
      </c>
      <c r="O39" s="194" t="s">
        <v>30</v>
      </c>
      <c r="Q39" s="193">
        <v>6</v>
      </c>
      <c r="R39" s="193">
        <v>7</v>
      </c>
      <c r="S39" s="193">
        <v>6</v>
      </c>
      <c r="T39" s="193">
        <v>2</v>
      </c>
      <c r="U39" s="193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34" t="s">
        <v>28</v>
      </c>
      <c r="AD39" s="200">
        <v>4</v>
      </c>
      <c r="AE39" s="200">
        <v>17</v>
      </c>
      <c r="AF39" s="200">
        <v>3</v>
      </c>
      <c r="AG39" s="200">
        <v>21</v>
      </c>
      <c r="AH39" s="200">
        <v>21</v>
      </c>
      <c r="AI39" s="5"/>
      <c r="AJ39" s="134" t="s">
        <v>28</v>
      </c>
      <c r="AK39" s="200">
        <v>4</v>
      </c>
      <c r="AL39" s="200">
        <v>17</v>
      </c>
      <c r="AM39" s="200">
        <v>3</v>
      </c>
      <c r="AN39" s="200">
        <v>21</v>
      </c>
      <c r="AO39" s="200">
        <v>21</v>
      </c>
    </row>
    <row r="40" spans="10:41" ht="16.5" customHeight="1">
      <c r="J40" s="23">
        <v>36</v>
      </c>
      <c r="K40" s="194" t="s">
        <v>31</v>
      </c>
      <c r="L40" s="194" t="s">
        <v>82</v>
      </c>
      <c r="M40" s="194" t="s">
        <v>29</v>
      </c>
      <c r="N40" s="194" t="s">
        <v>81</v>
      </c>
      <c r="O40" s="194" t="s">
        <v>15</v>
      </c>
      <c r="Q40" s="193">
        <v>7</v>
      </c>
      <c r="R40" s="193">
        <v>16</v>
      </c>
      <c r="S40" s="193">
        <v>8</v>
      </c>
      <c r="T40" s="193">
        <v>14</v>
      </c>
      <c r="U40" s="193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34" t="s">
        <v>30</v>
      </c>
      <c r="AD40" s="200">
        <v>4</v>
      </c>
      <c r="AE40" s="200">
        <v>17</v>
      </c>
      <c r="AF40" s="200">
        <v>3</v>
      </c>
      <c r="AG40" s="200">
        <v>21</v>
      </c>
      <c r="AH40" s="200">
        <v>21</v>
      </c>
      <c r="AI40" s="5"/>
      <c r="AJ40" s="134" t="s">
        <v>30</v>
      </c>
      <c r="AK40" s="200">
        <v>4</v>
      </c>
      <c r="AL40" s="200">
        <v>17</v>
      </c>
      <c r="AM40" s="200">
        <v>3</v>
      </c>
      <c r="AN40" s="200">
        <v>21</v>
      </c>
      <c r="AO40" s="200">
        <v>21</v>
      </c>
    </row>
    <row r="41" spans="10:41" ht="16.5" customHeight="1">
      <c r="J41" s="193">
        <v>37</v>
      </c>
      <c r="K41" s="194" t="s">
        <v>13</v>
      </c>
      <c r="L41" s="194" t="s">
        <v>82</v>
      </c>
      <c r="M41" s="194" t="s">
        <v>31</v>
      </c>
      <c r="N41" s="194" t="s">
        <v>14</v>
      </c>
      <c r="O41" s="194" t="s">
        <v>28</v>
      </c>
      <c r="Q41" s="193">
        <v>5</v>
      </c>
      <c r="R41" s="193">
        <v>16</v>
      </c>
      <c r="S41" s="193">
        <v>7</v>
      </c>
      <c r="T41" s="193">
        <v>1</v>
      </c>
      <c r="U41" s="193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99" t="s">
        <v>78</v>
      </c>
      <c r="AD41" s="201">
        <v>0</v>
      </c>
      <c r="AE41" s="201">
        <v>8</v>
      </c>
      <c r="AF41" s="201">
        <v>1</v>
      </c>
      <c r="AG41" s="201">
        <v>5</v>
      </c>
      <c r="AH41" s="201">
        <v>0</v>
      </c>
      <c r="AI41" s="5"/>
      <c r="AJ41" s="199" t="s">
        <v>78</v>
      </c>
      <c r="AK41" s="201">
        <v>0</v>
      </c>
      <c r="AL41" s="201">
        <v>8</v>
      </c>
      <c r="AM41" s="201">
        <v>1</v>
      </c>
      <c r="AN41" s="201">
        <v>5</v>
      </c>
      <c r="AO41" s="201">
        <v>0</v>
      </c>
    </row>
    <row r="42" spans="10:41" ht="16.5" customHeight="1">
      <c r="J42" s="23">
        <v>38</v>
      </c>
      <c r="K42" s="194" t="s">
        <v>13</v>
      </c>
      <c r="L42" s="194" t="s">
        <v>30</v>
      </c>
      <c r="M42" s="194" t="s">
        <v>30</v>
      </c>
      <c r="N42" s="194" t="s">
        <v>95</v>
      </c>
      <c r="O42" s="194" t="s">
        <v>13</v>
      </c>
      <c r="Q42" s="193">
        <v>5</v>
      </c>
      <c r="R42" s="193">
        <v>10</v>
      </c>
      <c r="S42" s="193">
        <v>10</v>
      </c>
      <c r="T42" s="193">
        <v>6</v>
      </c>
      <c r="U42" s="193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99" t="s">
        <v>79</v>
      </c>
      <c r="AD42" s="201">
        <v>0</v>
      </c>
      <c r="AE42" s="201">
        <v>8</v>
      </c>
      <c r="AF42" s="201">
        <v>1</v>
      </c>
      <c r="AG42" s="201">
        <v>5</v>
      </c>
      <c r="AH42" s="201">
        <v>0</v>
      </c>
      <c r="AI42" s="5"/>
      <c r="AJ42" s="199" t="s">
        <v>79</v>
      </c>
      <c r="AK42" s="201">
        <v>0</v>
      </c>
      <c r="AL42" s="201">
        <v>8</v>
      </c>
      <c r="AM42" s="201">
        <v>1</v>
      </c>
      <c r="AN42" s="201">
        <v>5</v>
      </c>
      <c r="AO42" s="201">
        <v>0</v>
      </c>
    </row>
    <row r="43" spans="10:41" ht="16.5" customHeight="1">
      <c r="J43" s="193">
        <v>39</v>
      </c>
      <c r="K43" s="194" t="s">
        <v>13</v>
      </c>
      <c r="L43" s="194" t="s">
        <v>13</v>
      </c>
      <c r="M43" s="194" t="s">
        <v>31</v>
      </c>
      <c r="N43" s="194" t="s">
        <v>95</v>
      </c>
      <c r="O43" s="194" t="s">
        <v>13</v>
      </c>
      <c r="Q43" s="193">
        <v>5</v>
      </c>
      <c r="R43" s="193">
        <v>5</v>
      </c>
      <c r="S43" s="193">
        <v>7</v>
      </c>
      <c r="T43" s="193">
        <v>6</v>
      </c>
      <c r="U43" s="193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99" t="s">
        <v>80</v>
      </c>
      <c r="AD43" s="201">
        <v>0</v>
      </c>
      <c r="AE43" s="201">
        <v>8</v>
      </c>
      <c r="AF43" s="201">
        <v>1</v>
      </c>
      <c r="AG43" s="201">
        <v>5</v>
      </c>
      <c r="AH43" s="201">
        <v>0</v>
      </c>
      <c r="AI43" s="5"/>
      <c r="AJ43" s="199" t="s">
        <v>80</v>
      </c>
      <c r="AK43" s="201">
        <v>0</v>
      </c>
      <c r="AL43" s="201">
        <v>8</v>
      </c>
      <c r="AM43" s="201">
        <v>1</v>
      </c>
      <c r="AN43" s="201">
        <v>5</v>
      </c>
      <c r="AO43" s="201">
        <v>0</v>
      </c>
    </row>
    <row r="44" spans="10:41" ht="16.5" customHeight="1">
      <c r="J44" s="23">
        <v>40</v>
      </c>
      <c r="K44" s="194" t="s">
        <v>29</v>
      </c>
      <c r="L44" s="194" t="s">
        <v>16</v>
      </c>
      <c r="M44" s="194" t="s">
        <v>13</v>
      </c>
      <c r="N44" s="194" t="s">
        <v>94</v>
      </c>
      <c r="O44" s="194" t="s">
        <v>31</v>
      </c>
      <c r="Q44" s="193">
        <v>8</v>
      </c>
      <c r="R44" s="193">
        <v>3</v>
      </c>
      <c r="S44" s="193">
        <v>5</v>
      </c>
      <c r="T44" s="193">
        <v>17</v>
      </c>
      <c r="U44" s="193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99" t="s">
        <v>81</v>
      </c>
      <c r="AD44" s="201">
        <v>0</v>
      </c>
      <c r="AE44" s="201">
        <v>5</v>
      </c>
      <c r="AF44" s="201">
        <v>4</v>
      </c>
      <c r="AG44" s="201">
        <v>4</v>
      </c>
      <c r="AH44" s="201">
        <v>0</v>
      </c>
      <c r="AI44" s="5"/>
      <c r="AJ44" s="199" t="s">
        <v>81</v>
      </c>
      <c r="AK44" s="201">
        <v>0</v>
      </c>
      <c r="AL44" s="201">
        <v>5</v>
      </c>
      <c r="AM44" s="201">
        <v>4</v>
      </c>
      <c r="AN44" s="201">
        <v>4</v>
      </c>
      <c r="AO44" s="201">
        <v>0</v>
      </c>
    </row>
    <row r="45" spans="10:41" ht="16.5" customHeight="1">
      <c r="J45" s="193">
        <v>41</v>
      </c>
      <c r="K45" s="194" t="s">
        <v>95</v>
      </c>
      <c r="L45" s="194" t="s">
        <v>30</v>
      </c>
      <c r="M45" s="194" t="s">
        <v>95</v>
      </c>
      <c r="N45" s="194" t="s">
        <v>15</v>
      </c>
      <c r="O45" s="194" t="s">
        <v>13</v>
      </c>
      <c r="Q45" s="193">
        <v>6</v>
      </c>
      <c r="R45" s="193">
        <v>10</v>
      </c>
      <c r="S45" s="193">
        <v>6</v>
      </c>
      <c r="T45" s="193">
        <v>2</v>
      </c>
      <c r="U45" s="193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99" t="s">
        <v>96</v>
      </c>
      <c r="AD45" s="201">
        <v>0</v>
      </c>
      <c r="AE45" s="201">
        <v>5</v>
      </c>
      <c r="AF45" s="201">
        <v>4</v>
      </c>
      <c r="AG45" s="201">
        <v>4</v>
      </c>
      <c r="AH45" s="201">
        <v>0</v>
      </c>
      <c r="AI45" s="5"/>
      <c r="AJ45" s="199" t="s">
        <v>96</v>
      </c>
      <c r="AK45" s="201">
        <v>0</v>
      </c>
      <c r="AL45" s="201">
        <v>5</v>
      </c>
      <c r="AM45" s="201">
        <v>4</v>
      </c>
      <c r="AN45" s="201">
        <v>4</v>
      </c>
      <c r="AO45" s="201">
        <v>0</v>
      </c>
    </row>
    <row r="46" spans="10:41" ht="16.5" customHeight="1">
      <c r="J46" s="23">
        <v>42</v>
      </c>
      <c r="K46" s="194" t="s">
        <v>95</v>
      </c>
      <c r="L46" s="194" t="s">
        <v>13</v>
      </c>
      <c r="M46" s="194" t="s">
        <v>31</v>
      </c>
      <c r="N46" s="194" t="s">
        <v>16</v>
      </c>
      <c r="O46" s="194" t="s">
        <v>30</v>
      </c>
      <c r="Q46" s="193">
        <v>6</v>
      </c>
      <c r="R46" s="193">
        <v>5</v>
      </c>
      <c r="S46" s="193">
        <v>7</v>
      </c>
      <c r="T46" s="193">
        <v>3</v>
      </c>
      <c r="U46" s="193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99" t="s">
        <v>82</v>
      </c>
      <c r="AD46" s="201">
        <v>0</v>
      </c>
      <c r="AE46" s="201">
        <v>5</v>
      </c>
      <c r="AF46" s="201">
        <v>4</v>
      </c>
      <c r="AG46" s="201">
        <v>4</v>
      </c>
      <c r="AH46" s="201">
        <v>0</v>
      </c>
      <c r="AI46" s="5"/>
      <c r="AJ46" s="199" t="s">
        <v>82</v>
      </c>
      <c r="AK46" s="201">
        <v>0</v>
      </c>
      <c r="AL46" s="201">
        <v>5</v>
      </c>
      <c r="AM46" s="201">
        <v>4</v>
      </c>
      <c r="AN46" s="201">
        <v>4</v>
      </c>
      <c r="AO46" s="201">
        <v>0</v>
      </c>
    </row>
    <row r="47" spans="10:41" ht="16.5" customHeight="1">
      <c r="J47" s="193">
        <v>43</v>
      </c>
      <c r="K47" s="194" t="s">
        <v>95</v>
      </c>
      <c r="L47" s="194" t="s">
        <v>85</v>
      </c>
      <c r="M47" s="194" t="s">
        <v>29</v>
      </c>
      <c r="N47" s="194" t="s">
        <v>16</v>
      </c>
      <c r="O47" s="194" t="s">
        <v>14</v>
      </c>
      <c r="Q47" s="193">
        <v>6</v>
      </c>
      <c r="R47" s="193">
        <v>18</v>
      </c>
      <c r="S47" s="193">
        <v>8</v>
      </c>
      <c r="T47" s="193">
        <v>3</v>
      </c>
      <c r="U47" s="193">
        <v>1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99" t="s">
        <v>94</v>
      </c>
      <c r="AD47" s="201">
        <v>0</v>
      </c>
      <c r="AE47" s="201">
        <v>5</v>
      </c>
      <c r="AF47" s="201">
        <v>4</v>
      </c>
      <c r="AG47" s="201">
        <v>4</v>
      </c>
      <c r="AH47" s="201">
        <v>0</v>
      </c>
      <c r="AI47" s="5"/>
      <c r="AJ47" s="199" t="s">
        <v>94</v>
      </c>
      <c r="AK47" s="201">
        <v>0</v>
      </c>
      <c r="AL47" s="201">
        <v>5</v>
      </c>
      <c r="AM47" s="201">
        <v>4</v>
      </c>
      <c r="AN47" s="201">
        <v>4</v>
      </c>
      <c r="AO47" s="201">
        <v>0</v>
      </c>
    </row>
    <row r="48" spans="10:41" ht="16.5" customHeight="1">
      <c r="J48" s="23">
        <v>44</v>
      </c>
      <c r="K48" s="194" t="s">
        <v>13</v>
      </c>
      <c r="L48" s="194" t="s">
        <v>14</v>
      </c>
      <c r="M48" s="194" t="s">
        <v>31</v>
      </c>
      <c r="N48" s="194" t="s">
        <v>15</v>
      </c>
      <c r="O48" s="194" t="s">
        <v>13</v>
      </c>
      <c r="Q48" s="193">
        <v>5</v>
      </c>
      <c r="R48" s="193">
        <v>1</v>
      </c>
      <c r="S48" s="193">
        <v>7</v>
      </c>
      <c r="T48" s="193">
        <v>2</v>
      </c>
      <c r="U48" s="193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99" t="s">
        <v>85</v>
      </c>
      <c r="AD48" s="201">
        <v>0</v>
      </c>
      <c r="AE48" s="201">
        <v>9</v>
      </c>
      <c r="AF48" s="201">
        <v>1</v>
      </c>
      <c r="AG48" s="201">
        <v>5</v>
      </c>
      <c r="AH48" s="201">
        <v>0</v>
      </c>
      <c r="AI48" s="5"/>
      <c r="AJ48" s="199" t="s">
        <v>85</v>
      </c>
      <c r="AK48" s="201">
        <v>0</v>
      </c>
      <c r="AL48" s="201">
        <v>9</v>
      </c>
      <c r="AM48" s="201">
        <v>1</v>
      </c>
      <c r="AN48" s="201">
        <v>5</v>
      </c>
      <c r="AO48" s="201">
        <v>0</v>
      </c>
    </row>
    <row r="49" spans="10:41" ht="16.5" customHeight="1">
      <c r="J49" s="193">
        <v>45</v>
      </c>
      <c r="K49" s="194" t="s">
        <v>29</v>
      </c>
      <c r="L49" s="194" t="s">
        <v>12</v>
      </c>
      <c r="M49" s="194" t="s">
        <v>95</v>
      </c>
      <c r="N49" s="194" t="s">
        <v>30</v>
      </c>
      <c r="O49" s="194" t="s">
        <v>12</v>
      </c>
      <c r="Q49" s="193">
        <v>8</v>
      </c>
      <c r="R49" s="193">
        <v>4</v>
      </c>
      <c r="S49" s="193">
        <v>6</v>
      </c>
      <c r="T49" s="193">
        <v>10</v>
      </c>
      <c r="U49" s="193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99" t="s">
        <v>87</v>
      </c>
      <c r="AD49" s="201">
        <v>0</v>
      </c>
      <c r="AE49" s="201">
        <v>9</v>
      </c>
      <c r="AF49" s="201">
        <v>1</v>
      </c>
      <c r="AG49" s="201">
        <v>5</v>
      </c>
      <c r="AH49" s="201">
        <v>0</v>
      </c>
      <c r="AI49" s="5"/>
      <c r="AJ49" s="199" t="s">
        <v>87</v>
      </c>
      <c r="AK49" s="201">
        <v>0</v>
      </c>
      <c r="AL49" s="201">
        <v>9</v>
      </c>
      <c r="AM49" s="201">
        <v>1</v>
      </c>
      <c r="AN49" s="201">
        <v>5</v>
      </c>
      <c r="AO49" s="201">
        <v>0</v>
      </c>
    </row>
    <row r="50" spans="10:41" ht="16.5" customHeight="1">
      <c r="J50" s="23">
        <v>46</v>
      </c>
      <c r="K50" s="194" t="s">
        <v>31</v>
      </c>
      <c r="L50" s="194" t="s">
        <v>15</v>
      </c>
      <c r="M50" s="194" t="s">
        <v>31</v>
      </c>
      <c r="N50" s="194" t="s">
        <v>16</v>
      </c>
      <c r="O50" s="194" t="s">
        <v>30</v>
      </c>
      <c r="Q50" s="193">
        <v>7</v>
      </c>
      <c r="R50" s="193">
        <v>2</v>
      </c>
      <c r="S50" s="193">
        <v>7</v>
      </c>
      <c r="T50" s="193">
        <v>3</v>
      </c>
      <c r="U50" s="193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103">
        <v>200</v>
      </c>
      <c r="AE50" s="103">
        <v>209</v>
      </c>
      <c r="AF50" s="103">
        <v>209</v>
      </c>
      <c r="AG50" s="103">
        <v>209</v>
      </c>
      <c r="AH50" s="103">
        <v>200</v>
      </c>
      <c r="AI50" s="5"/>
      <c r="AK50" s="103">
        <v>200</v>
      </c>
      <c r="AL50" s="103">
        <v>209</v>
      </c>
      <c r="AM50" s="103">
        <v>209</v>
      </c>
      <c r="AN50" s="103">
        <v>209</v>
      </c>
      <c r="AO50" s="103">
        <v>200</v>
      </c>
    </row>
    <row r="51" spans="10:41" ht="16.5" customHeight="1">
      <c r="J51" s="193">
        <v>47</v>
      </c>
      <c r="K51" s="194" t="s">
        <v>14</v>
      </c>
      <c r="L51" s="194" t="s">
        <v>15</v>
      </c>
      <c r="M51" s="194" t="s">
        <v>16</v>
      </c>
      <c r="N51" s="194" t="s">
        <v>15</v>
      </c>
      <c r="O51" s="194" t="s">
        <v>28</v>
      </c>
      <c r="Q51" s="193">
        <v>1</v>
      </c>
      <c r="R51" s="193">
        <v>2</v>
      </c>
      <c r="S51" s="193">
        <v>3</v>
      </c>
      <c r="T51" s="193">
        <v>2</v>
      </c>
      <c r="U51" s="193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4" t="s">
        <v>29</v>
      </c>
      <c r="L52" s="194" t="s">
        <v>13</v>
      </c>
      <c r="M52" s="194" t="s">
        <v>31</v>
      </c>
      <c r="N52" s="194" t="s">
        <v>31</v>
      </c>
      <c r="O52" s="194" t="s">
        <v>15</v>
      </c>
      <c r="Q52" s="193">
        <v>8</v>
      </c>
      <c r="R52" s="193">
        <v>5</v>
      </c>
      <c r="S52" s="193">
        <v>7</v>
      </c>
      <c r="T52" s="193">
        <v>7</v>
      </c>
      <c r="U52" s="193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296</v>
      </c>
      <c r="AH52" s="5"/>
      <c r="AI52" s="5"/>
      <c r="AJ52" s="25" t="s">
        <v>296</v>
      </c>
      <c r="AO52" s="5"/>
    </row>
    <row r="53" spans="10:41" ht="16.5" customHeight="1">
      <c r="J53" s="193">
        <v>49</v>
      </c>
      <c r="K53" s="194" t="s">
        <v>31</v>
      </c>
      <c r="L53" s="194" t="s">
        <v>29</v>
      </c>
      <c r="M53" s="194" t="s">
        <v>31</v>
      </c>
      <c r="N53" s="194" t="s">
        <v>28</v>
      </c>
      <c r="O53" s="194" t="s">
        <v>31</v>
      </c>
      <c r="Q53" s="193">
        <v>7</v>
      </c>
      <c r="R53" s="193">
        <v>8</v>
      </c>
      <c r="S53" s="193">
        <v>7</v>
      </c>
      <c r="T53" s="193">
        <v>9</v>
      </c>
      <c r="U53" s="193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>
      <c r="J54" s="23">
        <v>50</v>
      </c>
      <c r="K54" s="194" t="s">
        <v>31</v>
      </c>
      <c r="L54" s="194" t="s">
        <v>29</v>
      </c>
      <c r="M54" s="194" t="s">
        <v>31</v>
      </c>
      <c r="N54" s="194" t="s">
        <v>28</v>
      </c>
      <c r="O54" s="194" t="s">
        <v>12</v>
      </c>
      <c r="Q54" s="193">
        <v>7</v>
      </c>
      <c r="R54" s="193">
        <v>8</v>
      </c>
      <c r="S54" s="193">
        <v>7</v>
      </c>
      <c r="T54" s="193">
        <v>9</v>
      </c>
      <c r="U54" s="193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99" t="s">
        <v>293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293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>
      <c r="J55" s="193">
        <v>51</v>
      </c>
      <c r="K55" s="194" t="s">
        <v>95</v>
      </c>
      <c r="L55" s="194" t="s">
        <v>29</v>
      </c>
      <c r="M55" s="194" t="s">
        <v>29</v>
      </c>
      <c r="N55" s="194" t="s">
        <v>81</v>
      </c>
      <c r="O55" s="194" t="s">
        <v>15</v>
      </c>
      <c r="Q55" s="193">
        <v>6</v>
      </c>
      <c r="R55" s="193">
        <v>8</v>
      </c>
      <c r="S55" s="193">
        <v>8</v>
      </c>
      <c r="T55" s="193">
        <v>14</v>
      </c>
      <c r="U55" s="193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99" t="s">
        <v>14</v>
      </c>
      <c r="AD55" s="199">
        <v>6</v>
      </c>
      <c r="AE55" s="199">
        <v>6</v>
      </c>
      <c r="AF55" s="199">
        <v>6</v>
      </c>
      <c r="AG55" s="199">
        <v>9</v>
      </c>
      <c r="AH55" s="199">
        <v>9</v>
      </c>
      <c r="AI55" s="5"/>
      <c r="AJ55" s="199" t="s">
        <v>14</v>
      </c>
      <c r="AK55" s="199">
        <v>6</v>
      </c>
      <c r="AL55" s="199">
        <v>6</v>
      </c>
      <c r="AM55" s="199">
        <v>6</v>
      </c>
      <c r="AN55" s="199">
        <v>9</v>
      </c>
      <c r="AO55" s="199">
        <v>9</v>
      </c>
    </row>
    <row r="56" spans="10:41" ht="16.5" customHeight="1">
      <c r="J56" s="23">
        <v>52</v>
      </c>
      <c r="K56" s="194" t="s">
        <v>29</v>
      </c>
      <c r="L56" s="194" t="s">
        <v>28</v>
      </c>
      <c r="M56" s="194" t="s">
        <v>31</v>
      </c>
      <c r="N56" s="194" t="s">
        <v>12</v>
      </c>
      <c r="O56" s="194" t="s">
        <v>13</v>
      </c>
      <c r="Q56" s="193">
        <v>8</v>
      </c>
      <c r="R56" s="193">
        <v>9</v>
      </c>
      <c r="S56" s="193">
        <v>7</v>
      </c>
      <c r="T56" s="193">
        <v>4</v>
      </c>
      <c r="U56" s="193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34" t="s">
        <v>15</v>
      </c>
      <c r="AD56" s="200">
        <v>4</v>
      </c>
      <c r="AE56" s="200">
        <v>17</v>
      </c>
      <c r="AF56" s="200">
        <v>4</v>
      </c>
      <c r="AG56" s="200">
        <v>21</v>
      </c>
      <c r="AH56" s="200">
        <v>22</v>
      </c>
      <c r="AI56" s="5"/>
      <c r="AJ56" s="134" t="s">
        <v>15</v>
      </c>
      <c r="AK56" s="200">
        <v>4</v>
      </c>
      <c r="AL56" s="200">
        <v>17</v>
      </c>
      <c r="AM56" s="200">
        <v>4</v>
      </c>
      <c r="AN56" s="200">
        <v>21</v>
      </c>
      <c r="AO56" s="200">
        <v>22</v>
      </c>
    </row>
    <row r="57" spans="10:41" ht="16.5" customHeight="1">
      <c r="J57" s="193">
        <v>53</v>
      </c>
      <c r="K57" s="194" t="s">
        <v>31</v>
      </c>
      <c r="L57" s="194" t="s">
        <v>28</v>
      </c>
      <c r="M57" s="194" t="s">
        <v>95</v>
      </c>
      <c r="N57" s="194" t="s">
        <v>12</v>
      </c>
      <c r="O57" s="194" t="s">
        <v>16</v>
      </c>
      <c r="Q57" s="193">
        <v>7</v>
      </c>
      <c r="R57" s="193">
        <v>9</v>
      </c>
      <c r="S57" s="193">
        <v>6</v>
      </c>
      <c r="T57" s="193">
        <v>4</v>
      </c>
      <c r="U57" s="193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34" t="s">
        <v>16</v>
      </c>
      <c r="AD57" s="200">
        <v>4</v>
      </c>
      <c r="AE57" s="200">
        <v>18</v>
      </c>
      <c r="AF57" s="200">
        <v>4</v>
      </c>
      <c r="AG57" s="200">
        <v>20</v>
      </c>
      <c r="AH57" s="200">
        <v>22</v>
      </c>
      <c r="AI57" s="5"/>
      <c r="AJ57" s="134" t="s">
        <v>16</v>
      </c>
      <c r="AK57" s="200">
        <v>4</v>
      </c>
      <c r="AL57" s="200">
        <v>18</v>
      </c>
      <c r="AM57" s="200">
        <v>4</v>
      </c>
      <c r="AN57" s="200">
        <v>20</v>
      </c>
      <c r="AO57" s="200">
        <v>22</v>
      </c>
    </row>
    <row r="58" spans="10:41" ht="16.5" customHeight="1">
      <c r="J58" s="23">
        <v>54</v>
      </c>
      <c r="K58" s="194" t="s">
        <v>31</v>
      </c>
      <c r="L58" s="194" t="s">
        <v>12</v>
      </c>
      <c r="M58" s="194" t="s">
        <v>29</v>
      </c>
      <c r="N58" s="194" t="s">
        <v>78</v>
      </c>
      <c r="O58" s="194" t="s">
        <v>15</v>
      </c>
      <c r="Q58" s="193">
        <v>7</v>
      </c>
      <c r="R58" s="193">
        <v>4</v>
      </c>
      <c r="S58" s="193">
        <v>8</v>
      </c>
      <c r="T58" s="193">
        <v>11</v>
      </c>
      <c r="U58" s="193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34" t="s">
        <v>12</v>
      </c>
      <c r="AD58" s="200">
        <v>4</v>
      </c>
      <c r="AE58" s="200">
        <v>18</v>
      </c>
      <c r="AF58" s="200">
        <v>4</v>
      </c>
      <c r="AG58" s="200">
        <v>20</v>
      </c>
      <c r="AH58" s="200">
        <v>21</v>
      </c>
      <c r="AI58" s="5"/>
      <c r="AJ58" s="134" t="s">
        <v>12</v>
      </c>
      <c r="AK58" s="200">
        <v>4</v>
      </c>
      <c r="AL58" s="200">
        <v>18</v>
      </c>
      <c r="AM58" s="200">
        <v>4</v>
      </c>
      <c r="AN58" s="200">
        <v>20</v>
      </c>
      <c r="AO58" s="200">
        <v>21</v>
      </c>
    </row>
    <row r="59" spans="10:41" ht="16.5" customHeight="1">
      <c r="J59" s="193">
        <v>55</v>
      </c>
      <c r="K59" s="194" t="s">
        <v>31</v>
      </c>
      <c r="L59" s="194" t="s">
        <v>12</v>
      </c>
      <c r="M59" s="194" t="s">
        <v>29</v>
      </c>
      <c r="N59" s="194" t="s">
        <v>12</v>
      </c>
      <c r="O59" s="194" t="s">
        <v>29</v>
      </c>
      <c r="Q59" s="193">
        <v>7</v>
      </c>
      <c r="R59" s="193">
        <v>4</v>
      </c>
      <c r="S59" s="193">
        <v>8</v>
      </c>
      <c r="T59" s="193">
        <v>4</v>
      </c>
      <c r="U59" s="193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34" t="s">
        <v>13</v>
      </c>
      <c r="AD59" s="200">
        <v>40</v>
      </c>
      <c r="AE59" s="200">
        <v>14</v>
      </c>
      <c r="AF59" s="200">
        <v>41</v>
      </c>
      <c r="AG59" s="200">
        <v>14</v>
      </c>
      <c r="AH59" s="200">
        <v>21</v>
      </c>
      <c r="AI59" s="5"/>
      <c r="AJ59" s="134" t="s">
        <v>13</v>
      </c>
      <c r="AK59" s="200">
        <v>40</v>
      </c>
      <c r="AL59" s="200">
        <v>14</v>
      </c>
      <c r="AM59" s="200">
        <v>41</v>
      </c>
      <c r="AN59" s="200">
        <v>14</v>
      </c>
      <c r="AO59" s="200">
        <v>21</v>
      </c>
    </row>
    <row r="60" spans="10:41" ht="16.5" customHeight="1">
      <c r="J60" s="23">
        <v>56</v>
      </c>
      <c r="K60" s="194" t="s">
        <v>13</v>
      </c>
      <c r="L60" s="194" t="s">
        <v>81</v>
      </c>
      <c r="M60" s="194" t="s">
        <v>29</v>
      </c>
      <c r="N60" s="194" t="s">
        <v>29</v>
      </c>
      <c r="O60" s="194" t="s">
        <v>30</v>
      </c>
      <c r="Q60" s="193">
        <v>5</v>
      </c>
      <c r="R60" s="193">
        <v>14</v>
      </c>
      <c r="S60" s="193">
        <v>8</v>
      </c>
      <c r="T60" s="193">
        <v>8</v>
      </c>
      <c r="U60" s="193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34" t="s">
        <v>95</v>
      </c>
      <c r="AD60" s="200">
        <v>40</v>
      </c>
      <c r="AE60" s="200">
        <v>14</v>
      </c>
      <c r="AF60" s="200">
        <v>41</v>
      </c>
      <c r="AG60" s="200">
        <v>14</v>
      </c>
      <c r="AH60" s="200">
        <v>21</v>
      </c>
      <c r="AI60" s="5"/>
      <c r="AJ60" s="134" t="s">
        <v>95</v>
      </c>
      <c r="AK60" s="200">
        <v>40</v>
      </c>
      <c r="AL60" s="200">
        <v>14</v>
      </c>
      <c r="AM60" s="200">
        <v>41</v>
      </c>
      <c r="AN60" s="200">
        <v>14</v>
      </c>
      <c r="AO60" s="200">
        <v>21</v>
      </c>
    </row>
    <row r="61" spans="10:41">
      <c r="J61" s="193">
        <v>57</v>
      </c>
      <c r="K61" s="194" t="s">
        <v>95</v>
      </c>
      <c r="L61" s="194" t="s">
        <v>81</v>
      </c>
      <c r="M61" s="194" t="s">
        <v>95</v>
      </c>
      <c r="N61" s="194" t="s">
        <v>12</v>
      </c>
      <c r="O61" s="194" t="s">
        <v>30</v>
      </c>
      <c r="Q61" s="193">
        <v>6</v>
      </c>
      <c r="R61" s="193">
        <v>14</v>
      </c>
      <c r="S61" s="193">
        <v>6</v>
      </c>
      <c r="T61" s="193">
        <v>4</v>
      </c>
      <c r="U61" s="193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34" t="s">
        <v>31</v>
      </c>
      <c r="AD61" s="200">
        <v>47</v>
      </c>
      <c r="AE61" s="200">
        <v>13</v>
      </c>
      <c r="AF61" s="200">
        <v>41</v>
      </c>
      <c r="AG61" s="200">
        <v>14</v>
      </c>
      <c r="AH61" s="200">
        <v>21</v>
      </c>
      <c r="AI61" s="5"/>
      <c r="AJ61" s="134" t="s">
        <v>31</v>
      </c>
      <c r="AK61" s="200">
        <v>47</v>
      </c>
      <c r="AL61" s="200">
        <v>13</v>
      </c>
      <c r="AM61" s="200">
        <v>41</v>
      </c>
      <c r="AN61" s="200">
        <v>14</v>
      </c>
      <c r="AO61" s="200">
        <v>21</v>
      </c>
    </row>
    <row r="62" spans="10:41">
      <c r="J62" s="23">
        <v>58</v>
      </c>
      <c r="K62" s="194" t="s">
        <v>30</v>
      </c>
      <c r="L62" s="194" t="s">
        <v>28</v>
      </c>
      <c r="M62" s="194" t="s">
        <v>95</v>
      </c>
      <c r="N62" s="194" t="s">
        <v>94</v>
      </c>
      <c r="O62" s="194" t="s">
        <v>16</v>
      </c>
      <c r="Q62" s="193">
        <v>10</v>
      </c>
      <c r="R62" s="193">
        <v>9</v>
      </c>
      <c r="S62" s="193">
        <v>6</v>
      </c>
      <c r="T62" s="193">
        <v>17</v>
      </c>
      <c r="U62" s="193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34" t="s">
        <v>29</v>
      </c>
      <c r="AD62" s="200">
        <v>47</v>
      </c>
      <c r="AE62" s="200">
        <v>13</v>
      </c>
      <c r="AF62" s="200">
        <v>41</v>
      </c>
      <c r="AG62" s="200">
        <v>14</v>
      </c>
      <c r="AH62" s="200">
        <v>21</v>
      </c>
      <c r="AI62" s="5"/>
      <c r="AJ62" s="134" t="s">
        <v>29</v>
      </c>
      <c r="AK62" s="200">
        <v>47</v>
      </c>
      <c r="AL62" s="200">
        <v>13</v>
      </c>
      <c r="AM62" s="200">
        <v>41</v>
      </c>
      <c r="AN62" s="200">
        <v>14</v>
      </c>
      <c r="AO62" s="200">
        <v>21</v>
      </c>
    </row>
    <row r="63" spans="10:41" ht="16.5" customHeight="1">
      <c r="J63" s="193">
        <v>59</v>
      </c>
      <c r="K63" s="194" t="s">
        <v>29</v>
      </c>
      <c r="L63" s="194" t="s">
        <v>80</v>
      </c>
      <c r="M63" s="194" t="s">
        <v>14</v>
      </c>
      <c r="N63" s="194" t="s">
        <v>85</v>
      </c>
      <c r="O63" s="194" t="s">
        <v>13</v>
      </c>
      <c r="Q63" s="193">
        <v>8</v>
      </c>
      <c r="R63" s="193">
        <v>13</v>
      </c>
      <c r="S63" s="193">
        <v>1</v>
      </c>
      <c r="T63" s="193">
        <v>18</v>
      </c>
      <c r="U63" s="193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34" t="s">
        <v>28</v>
      </c>
      <c r="AD63" s="200">
        <v>4</v>
      </c>
      <c r="AE63" s="200">
        <v>17</v>
      </c>
      <c r="AF63" s="200">
        <v>3</v>
      </c>
      <c r="AG63" s="200">
        <v>21</v>
      </c>
      <c r="AH63" s="200">
        <v>21</v>
      </c>
      <c r="AI63" s="5"/>
      <c r="AJ63" s="134" t="s">
        <v>28</v>
      </c>
      <c r="AK63" s="200">
        <v>4</v>
      </c>
      <c r="AL63" s="200">
        <v>17</v>
      </c>
      <c r="AM63" s="200">
        <v>3</v>
      </c>
      <c r="AN63" s="200">
        <v>21</v>
      </c>
      <c r="AO63" s="200">
        <v>21</v>
      </c>
    </row>
    <row r="64" spans="10:41" ht="16.5" customHeight="1">
      <c r="J64" s="23">
        <v>60</v>
      </c>
      <c r="K64" s="194" t="s">
        <v>95</v>
      </c>
      <c r="L64" s="194" t="s">
        <v>28</v>
      </c>
      <c r="M64" s="194" t="s">
        <v>13</v>
      </c>
      <c r="N64" s="194" t="s">
        <v>12</v>
      </c>
      <c r="O64" s="194" t="s">
        <v>28</v>
      </c>
      <c r="Q64" s="193">
        <v>6</v>
      </c>
      <c r="R64" s="193">
        <v>9</v>
      </c>
      <c r="S64" s="193">
        <v>5</v>
      </c>
      <c r="T64" s="193">
        <v>4</v>
      </c>
      <c r="U64" s="193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34" t="s">
        <v>30</v>
      </c>
      <c r="AD64" s="200">
        <v>4</v>
      </c>
      <c r="AE64" s="200">
        <v>17</v>
      </c>
      <c r="AF64" s="200">
        <v>3</v>
      </c>
      <c r="AG64" s="200">
        <v>21</v>
      </c>
      <c r="AH64" s="200">
        <v>21</v>
      </c>
      <c r="AI64" s="5"/>
      <c r="AJ64" s="134" t="s">
        <v>30</v>
      </c>
      <c r="AK64" s="200">
        <v>4</v>
      </c>
      <c r="AL64" s="200">
        <v>17</v>
      </c>
      <c r="AM64" s="200">
        <v>3</v>
      </c>
      <c r="AN64" s="200">
        <v>21</v>
      </c>
      <c r="AO64" s="200">
        <v>21</v>
      </c>
    </row>
    <row r="65" spans="10:41" ht="16.5" customHeight="1">
      <c r="J65" s="193">
        <v>61</v>
      </c>
      <c r="K65" s="194" t="s">
        <v>31</v>
      </c>
      <c r="L65" s="194" t="s">
        <v>30</v>
      </c>
      <c r="M65" s="194" t="s">
        <v>81</v>
      </c>
      <c r="N65" s="194" t="s">
        <v>16</v>
      </c>
      <c r="O65" s="194" t="s">
        <v>29</v>
      </c>
      <c r="Q65" s="193">
        <v>7</v>
      </c>
      <c r="R65" s="193">
        <v>10</v>
      </c>
      <c r="S65" s="193">
        <v>14</v>
      </c>
      <c r="T65" s="193">
        <v>3</v>
      </c>
      <c r="U65" s="193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99" t="s">
        <v>78</v>
      </c>
      <c r="AD65" s="201">
        <v>0</v>
      </c>
      <c r="AE65" s="201">
        <v>8</v>
      </c>
      <c r="AF65" s="201">
        <v>1</v>
      </c>
      <c r="AG65" s="201">
        <v>5</v>
      </c>
      <c r="AH65" s="201">
        <v>0</v>
      </c>
      <c r="AI65" s="5"/>
      <c r="AJ65" s="199" t="s">
        <v>78</v>
      </c>
      <c r="AK65" s="201">
        <v>0</v>
      </c>
      <c r="AL65" s="201">
        <v>8</v>
      </c>
      <c r="AM65" s="201">
        <v>1</v>
      </c>
      <c r="AN65" s="201">
        <v>5</v>
      </c>
      <c r="AO65" s="201">
        <v>0</v>
      </c>
    </row>
    <row r="66" spans="10:41" ht="16.5" customHeight="1">
      <c r="J66" s="23">
        <v>62</v>
      </c>
      <c r="K66" s="194" t="s">
        <v>15</v>
      </c>
      <c r="L66" s="194" t="s">
        <v>16</v>
      </c>
      <c r="M66" s="194" t="s">
        <v>13</v>
      </c>
      <c r="N66" s="194" t="s">
        <v>28</v>
      </c>
      <c r="O66" s="194" t="s">
        <v>28</v>
      </c>
      <c r="Q66" s="193">
        <v>2</v>
      </c>
      <c r="R66" s="193">
        <v>3</v>
      </c>
      <c r="S66" s="193">
        <v>5</v>
      </c>
      <c r="T66" s="193">
        <v>9</v>
      </c>
      <c r="U66" s="193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99" t="s">
        <v>79</v>
      </c>
      <c r="AD66" s="201">
        <v>0</v>
      </c>
      <c r="AE66" s="201">
        <v>8</v>
      </c>
      <c r="AF66" s="201">
        <v>1</v>
      </c>
      <c r="AG66" s="201">
        <v>5</v>
      </c>
      <c r="AH66" s="201">
        <v>0</v>
      </c>
      <c r="AI66" s="5"/>
      <c r="AJ66" s="199" t="s">
        <v>79</v>
      </c>
      <c r="AK66" s="201">
        <v>0</v>
      </c>
      <c r="AL66" s="201">
        <v>8</v>
      </c>
      <c r="AM66" s="201">
        <v>1</v>
      </c>
      <c r="AN66" s="201">
        <v>5</v>
      </c>
      <c r="AO66" s="201">
        <v>0</v>
      </c>
    </row>
    <row r="67" spans="10:41" ht="16.5" customHeight="1">
      <c r="J67" s="193">
        <v>63</v>
      </c>
      <c r="K67" s="194" t="s">
        <v>31</v>
      </c>
      <c r="L67" s="194" t="s">
        <v>85</v>
      </c>
      <c r="M67" s="194" t="s">
        <v>95</v>
      </c>
      <c r="N67" s="194" t="s">
        <v>96</v>
      </c>
      <c r="O67" s="194" t="s">
        <v>16</v>
      </c>
      <c r="Q67" s="193">
        <v>7</v>
      </c>
      <c r="R67" s="193">
        <v>18</v>
      </c>
      <c r="S67" s="193">
        <v>6</v>
      </c>
      <c r="T67" s="193">
        <v>15</v>
      </c>
      <c r="U67" s="193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99" t="s">
        <v>80</v>
      </c>
      <c r="AD67" s="201">
        <v>0</v>
      </c>
      <c r="AE67" s="201">
        <v>8</v>
      </c>
      <c r="AF67" s="201">
        <v>1</v>
      </c>
      <c r="AG67" s="201">
        <v>5</v>
      </c>
      <c r="AH67" s="201">
        <v>0</v>
      </c>
      <c r="AI67" s="5"/>
      <c r="AJ67" s="199" t="s">
        <v>80</v>
      </c>
      <c r="AK67" s="201">
        <v>0</v>
      </c>
      <c r="AL67" s="201">
        <v>8</v>
      </c>
      <c r="AM67" s="201">
        <v>1</v>
      </c>
      <c r="AN67" s="201">
        <v>5</v>
      </c>
      <c r="AO67" s="201">
        <v>0</v>
      </c>
    </row>
    <row r="68" spans="10:41" ht="16.5" customHeight="1">
      <c r="J68" s="23">
        <v>64</v>
      </c>
      <c r="K68" s="194" t="s">
        <v>95</v>
      </c>
      <c r="L68" s="194" t="s">
        <v>16</v>
      </c>
      <c r="M68" s="194" t="s">
        <v>13</v>
      </c>
      <c r="N68" s="194" t="s">
        <v>29</v>
      </c>
      <c r="O68" s="194" t="s">
        <v>30</v>
      </c>
      <c r="Q68" s="193">
        <v>6</v>
      </c>
      <c r="R68" s="193">
        <v>3</v>
      </c>
      <c r="S68" s="193">
        <v>5</v>
      </c>
      <c r="T68" s="193">
        <v>8</v>
      </c>
      <c r="U68" s="193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99" t="s">
        <v>81</v>
      </c>
      <c r="AD68" s="201">
        <v>0</v>
      </c>
      <c r="AE68" s="201">
        <v>5</v>
      </c>
      <c r="AF68" s="201">
        <v>4</v>
      </c>
      <c r="AG68" s="201">
        <v>4</v>
      </c>
      <c r="AH68" s="201">
        <v>0</v>
      </c>
      <c r="AI68" s="5"/>
      <c r="AJ68" s="199" t="s">
        <v>81</v>
      </c>
      <c r="AK68" s="201">
        <v>0</v>
      </c>
      <c r="AL68" s="201">
        <v>5</v>
      </c>
      <c r="AM68" s="201">
        <v>4</v>
      </c>
      <c r="AN68" s="201">
        <v>4</v>
      </c>
      <c r="AO68" s="201">
        <v>0</v>
      </c>
    </row>
    <row r="69" spans="10:41" ht="16.5" customHeight="1">
      <c r="J69" s="193">
        <v>65</v>
      </c>
      <c r="K69" s="194" t="s">
        <v>14</v>
      </c>
      <c r="L69" s="194" t="s">
        <v>16</v>
      </c>
      <c r="M69" s="194" t="s">
        <v>95</v>
      </c>
      <c r="N69" s="194" t="s">
        <v>16</v>
      </c>
      <c r="O69" s="194" t="s">
        <v>28</v>
      </c>
      <c r="Q69" s="193">
        <v>1</v>
      </c>
      <c r="R69" s="193">
        <v>3</v>
      </c>
      <c r="S69" s="193">
        <v>6</v>
      </c>
      <c r="T69" s="193">
        <v>3</v>
      </c>
      <c r="U69" s="193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99" t="s">
        <v>96</v>
      </c>
      <c r="AD69" s="201">
        <v>0</v>
      </c>
      <c r="AE69" s="201">
        <v>5</v>
      </c>
      <c r="AF69" s="201">
        <v>4</v>
      </c>
      <c r="AG69" s="201">
        <v>4</v>
      </c>
      <c r="AH69" s="201">
        <v>0</v>
      </c>
      <c r="AI69" s="5"/>
      <c r="AJ69" s="199" t="s">
        <v>96</v>
      </c>
      <c r="AK69" s="201">
        <v>0</v>
      </c>
      <c r="AL69" s="201">
        <v>5</v>
      </c>
      <c r="AM69" s="201">
        <v>4</v>
      </c>
      <c r="AN69" s="201">
        <v>4</v>
      </c>
      <c r="AO69" s="201">
        <v>0</v>
      </c>
    </row>
    <row r="70" spans="10:41" ht="16.5" customHeight="1">
      <c r="J70" s="23">
        <v>66</v>
      </c>
      <c r="K70" s="194" t="s">
        <v>31</v>
      </c>
      <c r="L70" s="194" t="s">
        <v>78</v>
      </c>
      <c r="M70" s="194" t="s">
        <v>96</v>
      </c>
      <c r="N70" s="194" t="s">
        <v>30</v>
      </c>
      <c r="O70" s="194" t="s">
        <v>95</v>
      </c>
      <c r="Q70" s="193">
        <v>7</v>
      </c>
      <c r="R70" s="193">
        <v>11</v>
      </c>
      <c r="S70" s="193">
        <v>15</v>
      </c>
      <c r="T70" s="193">
        <v>10</v>
      </c>
      <c r="U70" s="193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99" t="s">
        <v>82</v>
      </c>
      <c r="AD70" s="201">
        <v>0</v>
      </c>
      <c r="AE70" s="201">
        <v>5</v>
      </c>
      <c r="AF70" s="201">
        <v>4</v>
      </c>
      <c r="AG70" s="201">
        <v>4</v>
      </c>
      <c r="AH70" s="201">
        <v>0</v>
      </c>
      <c r="AI70" s="5"/>
      <c r="AJ70" s="199" t="s">
        <v>82</v>
      </c>
      <c r="AK70" s="201">
        <v>0</v>
      </c>
      <c r="AL70" s="201">
        <v>5</v>
      </c>
      <c r="AM70" s="201">
        <v>4</v>
      </c>
      <c r="AN70" s="201">
        <v>4</v>
      </c>
      <c r="AO70" s="201">
        <v>0</v>
      </c>
    </row>
    <row r="71" spans="10:41" ht="16.5" customHeight="1">
      <c r="J71" s="193">
        <v>67</v>
      </c>
      <c r="K71" s="194" t="s">
        <v>30</v>
      </c>
      <c r="L71" s="194" t="s">
        <v>78</v>
      </c>
      <c r="M71" s="194" t="s">
        <v>95</v>
      </c>
      <c r="N71" s="194" t="s">
        <v>78</v>
      </c>
      <c r="O71" s="194" t="s">
        <v>15</v>
      </c>
      <c r="Q71" s="193">
        <v>10</v>
      </c>
      <c r="R71" s="193">
        <v>11</v>
      </c>
      <c r="S71" s="193">
        <v>6</v>
      </c>
      <c r="T71" s="193">
        <v>11</v>
      </c>
      <c r="U71" s="193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99" t="s">
        <v>94</v>
      </c>
      <c r="AD71" s="201">
        <v>0</v>
      </c>
      <c r="AE71" s="201">
        <v>5</v>
      </c>
      <c r="AF71" s="201">
        <v>4</v>
      </c>
      <c r="AG71" s="201">
        <v>4</v>
      </c>
      <c r="AH71" s="201">
        <v>0</v>
      </c>
      <c r="AI71" s="5"/>
      <c r="AJ71" s="199" t="s">
        <v>94</v>
      </c>
      <c r="AK71" s="201">
        <v>0</v>
      </c>
      <c r="AL71" s="201">
        <v>5</v>
      </c>
      <c r="AM71" s="201">
        <v>4</v>
      </c>
      <c r="AN71" s="201">
        <v>4</v>
      </c>
      <c r="AO71" s="201">
        <v>0</v>
      </c>
    </row>
    <row r="72" spans="10:41" ht="16.5" customHeight="1">
      <c r="J72" s="23">
        <v>68</v>
      </c>
      <c r="K72" s="194" t="s">
        <v>95</v>
      </c>
      <c r="L72" s="194" t="s">
        <v>14</v>
      </c>
      <c r="M72" s="194" t="s">
        <v>29</v>
      </c>
      <c r="N72" s="194" t="s">
        <v>30</v>
      </c>
      <c r="O72" s="194" t="s">
        <v>95</v>
      </c>
      <c r="Q72" s="193">
        <v>6</v>
      </c>
      <c r="R72" s="193">
        <v>1</v>
      </c>
      <c r="S72" s="193">
        <v>8</v>
      </c>
      <c r="T72" s="193">
        <v>10</v>
      </c>
      <c r="U72" s="193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99" t="s">
        <v>85</v>
      </c>
      <c r="AD72" s="201">
        <v>0</v>
      </c>
      <c r="AE72" s="201">
        <v>9</v>
      </c>
      <c r="AF72" s="201">
        <v>1</v>
      </c>
      <c r="AG72" s="201">
        <v>5</v>
      </c>
      <c r="AH72" s="201">
        <v>0</v>
      </c>
      <c r="AI72" s="5"/>
      <c r="AJ72" s="199" t="s">
        <v>85</v>
      </c>
      <c r="AK72" s="201">
        <v>0</v>
      </c>
      <c r="AL72" s="201">
        <v>9</v>
      </c>
      <c r="AM72" s="201">
        <v>1</v>
      </c>
      <c r="AN72" s="201">
        <v>5</v>
      </c>
      <c r="AO72" s="201">
        <v>0</v>
      </c>
    </row>
    <row r="73" spans="10:41" ht="16.5" customHeight="1">
      <c r="J73" s="193">
        <v>69</v>
      </c>
      <c r="K73" s="194" t="s">
        <v>30</v>
      </c>
      <c r="L73" s="194" t="s">
        <v>28</v>
      </c>
      <c r="M73" s="194" t="s">
        <v>95</v>
      </c>
      <c r="N73" s="194" t="s">
        <v>95</v>
      </c>
      <c r="O73" s="194" t="s">
        <v>31</v>
      </c>
      <c r="Q73" s="193">
        <v>10</v>
      </c>
      <c r="R73" s="193">
        <v>9</v>
      </c>
      <c r="S73" s="193">
        <v>6</v>
      </c>
      <c r="T73" s="193">
        <v>6</v>
      </c>
      <c r="U73" s="193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99" t="s">
        <v>87</v>
      </c>
      <c r="AD73" s="201">
        <v>0</v>
      </c>
      <c r="AE73" s="201">
        <v>9</v>
      </c>
      <c r="AF73" s="201">
        <v>1</v>
      </c>
      <c r="AG73" s="201">
        <v>5</v>
      </c>
      <c r="AH73" s="201">
        <v>0</v>
      </c>
      <c r="AI73" s="5"/>
      <c r="AJ73" s="199" t="s">
        <v>87</v>
      </c>
      <c r="AK73" s="201">
        <v>0</v>
      </c>
      <c r="AL73" s="201">
        <v>9</v>
      </c>
      <c r="AM73" s="201">
        <v>1</v>
      </c>
      <c r="AN73" s="201">
        <v>5</v>
      </c>
      <c r="AO73" s="201">
        <v>0</v>
      </c>
    </row>
    <row r="74" spans="10:41" ht="16.5" customHeight="1">
      <c r="J74" s="23">
        <v>70</v>
      </c>
      <c r="K74" s="194" t="s">
        <v>29</v>
      </c>
      <c r="L74" s="194" t="s">
        <v>28</v>
      </c>
      <c r="M74" s="194" t="s">
        <v>31</v>
      </c>
      <c r="N74" s="194" t="s">
        <v>16</v>
      </c>
      <c r="O74" s="194" t="s">
        <v>12</v>
      </c>
      <c r="Q74" s="193">
        <v>8</v>
      </c>
      <c r="R74" s="193">
        <v>9</v>
      </c>
      <c r="S74" s="193">
        <v>7</v>
      </c>
      <c r="T74" s="193">
        <v>3</v>
      </c>
      <c r="U74" s="193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103">
        <v>200</v>
      </c>
      <c r="AE74" s="103">
        <v>209</v>
      </c>
      <c r="AF74" s="103">
        <v>209</v>
      </c>
      <c r="AG74" s="103">
        <v>209</v>
      </c>
      <c r="AH74" s="103">
        <v>200</v>
      </c>
      <c r="AI74" s="5"/>
      <c r="AK74" s="103">
        <v>200</v>
      </c>
      <c r="AL74" s="103">
        <v>209</v>
      </c>
      <c r="AM74" s="103">
        <v>209</v>
      </c>
      <c r="AN74" s="103">
        <v>209</v>
      </c>
      <c r="AO74" s="103">
        <v>200</v>
      </c>
    </row>
    <row r="75" spans="10:41" ht="16.5" customHeight="1">
      <c r="J75" s="193">
        <v>71</v>
      </c>
      <c r="K75" s="194" t="s">
        <v>13</v>
      </c>
      <c r="L75" s="194" t="s">
        <v>16</v>
      </c>
      <c r="M75" s="194" t="s">
        <v>95</v>
      </c>
      <c r="N75" s="194" t="s">
        <v>14</v>
      </c>
      <c r="O75" s="194" t="s">
        <v>30</v>
      </c>
      <c r="Q75" s="193">
        <v>5</v>
      </c>
      <c r="R75" s="193">
        <v>3</v>
      </c>
      <c r="S75" s="193">
        <v>6</v>
      </c>
      <c r="T75" s="193">
        <v>1</v>
      </c>
      <c r="U75" s="193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4" t="s">
        <v>28</v>
      </c>
      <c r="L76" s="194" t="s">
        <v>16</v>
      </c>
      <c r="M76" s="194" t="s">
        <v>81</v>
      </c>
      <c r="N76" s="194" t="s">
        <v>78</v>
      </c>
      <c r="O76" s="194" t="s">
        <v>31</v>
      </c>
      <c r="Q76" s="193">
        <v>9</v>
      </c>
      <c r="R76" s="193">
        <v>3</v>
      </c>
      <c r="S76" s="193">
        <v>14</v>
      </c>
      <c r="T76" s="193">
        <v>11</v>
      </c>
      <c r="U76" s="193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3">
        <v>73</v>
      </c>
      <c r="K77" s="194" t="s">
        <v>13</v>
      </c>
      <c r="L77" s="194" t="s">
        <v>81</v>
      </c>
      <c r="M77" s="194" t="s">
        <v>13</v>
      </c>
      <c r="N77" s="194" t="s">
        <v>15</v>
      </c>
      <c r="O77" s="194" t="s">
        <v>12</v>
      </c>
      <c r="Q77" s="193">
        <v>5</v>
      </c>
      <c r="R77" s="193">
        <v>14</v>
      </c>
      <c r="S77" s="193">
        <v>5</v>
      </c>
      <c r="T77" s="193">
        <v>2</v>
      </c>
      <c r="U77" s="193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4" t="s">
        <v>31</v>
      </c>
      <c r="L78" s="194" t="s">
        <v>15</v>
      </c>
      <c r="M78" s="194" t="s">
        <v>95</v>
      </c>
      <c r="N78" s="194" t="s">
        <v>28</v>
      </c>
      <c r="O78" s="194" t="s">
        <v>30</v>
      </c>
      <c r="Q78" s="193">
        <v>7</v>
      </c>
      <c r="R78" s="193">
        <v>2</v>
      </c>
      <c r="S78" s="193">
        <v>6</v>
      </c>
      <c r="T78" s="193">
        <v>9</v>
      </c>
      <c r="U78" s="193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3">
        <v>75</v>
      </c>
      <c r="K79" s="194" t="s">
        <v>31</v>
      </c>
      <c r="L79" s="194" t="s">
        <v>30</v>
      </c>
      <c r="M79" s="194" t="s">
        <v>31</v>
      </c>
      <c r="N79" s="194" t="s">
        <v>80</v>
      </c>
      <c r="O79" s="194" t="s">
        <v>31</v>
      </c>
      <c r="Q79" s="193">
        <v>7</v>
      </c>
      <c r="R79" s="193">
        <v>10</v>
      </c>
      <c r="S79" s="193">
        <v>7</v>
      </c>
      <c r="T79" s="193">
        <v>13</v>
      </c>
      <c r="U79" s="193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4" t="s">
        <v>29</v>
      </c>
      <c r="L80" s="194" t="s">
        <v>15</v>
      </c>
      <c r="M80" s="194" t="s">
        <v>30</v>
      </c>
      <c r="N80" s="194" t="s">
        <v>31</v>
      </c>
      <c r="O80" s="194" t="s">
        <v>13</v>
      </c>
      <c r="Q80" s="193">
        <v>8</v>
      </c>
      <c r="R80" s="193">
        <v>2</v>
      </c>
      <c r="S80" s="193">
        <v>10</v>
      </c>
      <c r="T80" s="193">
        <v>7</v>
      </c>
      <c r="U80" s="193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93">
        <v>77</v>
      </c>
      <c r="K81" s="194" t="s">
        <v>31</v>
      </c>
      <c r="L81" s="194" t="s">
        <v>95</v>
      </c>
      <c r="M81" s="194" t="s">
        <v>13</v>
      </c>
      <c r="N81" s="194" t="s">
        <v>29</v>
      </c>
      <c r="O81" s="194" t="s">
        <v>31</v>
      </c>
      <c r="Q81" s="193">
        <v>7</v>
      </c>
      <c r="R81" s="193">
        <v>6</v>
      </c>
      <c r="S81" s="193">
        <v>5</v>
      </c>
      <c r="T81" s="193">
        <v>8</v>
      </c>
      <c r="U81" s="193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4" t="s">
        <v>13</v>
      </c>
      <c r="L82" s="194" t="s">
        <v>79</v>
      </c>
      <c r="M82" s="194" t="s">
        <v>29</v>
      </c>
      <c r="N82" s="194" t="s">
        <v>12</v>
      </c>
      <c r="O82" s="194" t="s">
        <v>13</v>
      </c>
      <c r="Q82" s="193">
        <v>5</v>
      </c>
      <c r="R82" s="193">
        <v>12</v>
      </c>
      <c r="S82" s="193">
        <v>8</v>
      </c>
      <c r="T82" s="193">
        <v>4</v>
      </c>
      <c r="U82" s="193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93">
        <v>79</v>
      </c>
      <c r="K83" s="194" t="s">
        <v>95</v>
      </c>
      <c r="L83" s="194" t="s">
        <v>30</v>
      </c>
      <c r="M83" s="194" t="s">
        <v>95</v>
      </c>
      <c r="N83" s="194" t="s">
        <v>16</v>
      </c>
      <c r="O83" s="194" t="s">
        <v>15</v>
      </c>
      <c r="Q83" s="193">
        <v>6</v>
      </c>
      <c r="R83" s="193">
        <v>10</v>
      </c>
      <c r="S83" s="193">
        <v>6</v>
      </c>
      <c r="T83" s="193">
        <v>3</v>
      </c>
      <c r="U83" s="193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4" t="s">
        <v>29</v>
      </c>
      <c r="L84" s="194" t="s">
        <v>30</v>
      </c>
      <c r="M84" s="194" t="s">
        <v>94</v>
      </c>
      <c r="N84" s="194" t="s">
        <v>14</v>
      </c>
      <c r="O84" s="194" t="s">
        <v>30</v>
      </c>
      <c r="Q84" s="193">
        <v>8</v>
      </c>
      <c r="R84" s="193">
        <v>10</v>
      </c>
      <c r="S84" s="193">
        <v>17</v>
      </c>
      <c r="T84" s="193">
        <v>1</v>
      </c>
      <c r="U84" s="193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93">
        <v>81</v>
      </c>
      <c r="K85" s="194" t="s">
        <v>31</v>
      </c>
      <c r="L85" s="194" t="s">
        <v>31</v>
      </c>
      <c r="M85" s="194" t="s">
        <v>31</v>
      </c>
      <c r="N85" s="194" t="s">
        <v>31</v>
      </c>
      <c r="O85" s="194" t="s">
        <v>29</v>
      </c>
      <c r="Q85" s="193">
        <v>7</v>
      </c>
      <c r="R85" s="193">
        <v>7</v>
      </c>
      <c r="S85" s="193">
        <v>7</v>
      </c>
      <c r="T85" s="193">
        <v>7</v>
      </c>
      <c r="U85" s="193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4" t="s">
        <v>12</v>
      </c>
      <c r="L86" s="194" t="s">
        <v>13</v>
      </c>
      <c r="M86" s="194" t="s">
        <v>12</v>
      </c>
      <c r="N86" s="194" t="s">
        <v>31</v>
      </c>
      <c r="O86" s="194" t="s">
        <v>15</v>
      </c>
      <c r="Q86" s="193">
        <v>4</v>
      </c>
      <c r="R86" s="193">
        <v>5</v>
      </c>
      <c r="S86" s="193">
        <v>4</v>
      </c>
      <c r="T86" s="193">
        <v>7</v>
      </c>
      <c r="U86" s="193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93">
        <v>83</v>
      </c>
      <c r="K87" s="194" t="s">
        <v>95</v>
      </c>
      <c r="L87" s="194" t="s">
        <v>16</v>
      </c>
      <c r="M87" s="194" t="s">
        <v>13</v>
      </c>
      <c r="N87" s="194" t="s">
        <v>13</v>
      </c>
      <c r="O87" s="194" t="s">
        <v>16</v>
      </c>
      <c r="Q87" s="193">
        <v>6</v>
      </c>
      <c r="R87" s="193">
        <v>3</v>
      </c>
      <c r="S87" s="193">
        <v>5</v>
      </c>
      <c r="T87" s="193">
        <v>5</v>
      </c>
      <c r="U87" s="193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4" t="s">
        <v>95</v>
      </c>
      <c r="L88" s="194" t="s">
        <v>28</v>
      </c>
      <c r="M88" s="194" t="s">
        <v>29</v>
      </c>
      <c r="N88" s="194" t="s">
        <v>16</v>
      </c>
      <c r="O88" s="194" t="s">
        <v>12</v>
      </c>
      <c r="Q88" s="193">
        <v>6</v>
      </c>
      <c r="R88" s="193">
        <v>9</v>
      </c>
      <c r="S88" s="193">
        <v>8</v>
      </c>
      <c r="T88" s="193">
        <v>3</v>
      </c>
      <c r="U88" s="193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93">
        <v>85</v>
      </c>
      <c r="K89" s="194" t="s">
        <v>14</v>
      </c>
      <c r="L89" s="194" t="s">
        <v>78</v>
      </c>
      <c r="M89" s="194" t="s">
        <v>29</v>
      </c>
      <c r="N89" s="194" t="s">
        <v>16</v>
      </c>
      <c r="O89" s="194" t="s">
        <v>29</v>
      </c>
      <c r="Q89" s="193">
        <v>1</v>
      </c>
      <c r="R89" s="193">
        <v>11</v>
      </c>
      <c r="S89" s="193">
        <v>8</v>
      </c>
      <c r="T89" s="193">
        <v>3</v>
      </c>
      <c r="U89" s="193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4" t="s">
        <v>29</v>
      </c>
      <c r="L90" s="194" t="s">
        <v>16</v>
      </c>
      <c r="M90" s="194" t="s">
        <v>29</v>
      </c>
      <c r="N90" s="194" t="s">
        <v>16</v>
      </c>
      <c r="O90" s="194" t="s">
        <v>12</v>
      </c>
      <c r="Q90" s="193">
        <v>8</v>
      </c>
      <c r="R90" s="193">
        <v>3</v>
      </c>
      <c r="S90" s="193">
        <v>8</v>
      </c>
      <c r="T90" s="193">
        <v>3</v>
      </c>
      <c r="U90" s="193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3">
        <v>87</v>
      </c>
      <c r="K91" s="194" t="s">
        <v>31</v>
      </c>
      <c r="L91" s="194" t="s">
        <v>14</v>
      </c>
      <c r="M91" s="194" t="s">
        <v>31</v>
      </c>
      <c r="N91" s="194" t="s">
        <v>79</v>
      </c>
      <c r="O91" s="194" t="s">
        <v>12</v>
      </c>
      <c r="Q91" s="193">
        <v>7</v>
      </c>
      <c r="R91" s="193">
        <v>1</v>
      </c>
      <c r="S91" s="193">
        <v>7</v>
      </c>
      <c r="T91" s="193">
        <v>12</v>
      </c>
      <c r="U91" s="193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4" t="s">
        <v>13</v>
      </c>
      <c r="L92" s="194" t="s">
        <v>13</v>
      </c>
      <c r="M92" s="194" t="s">
        <v>95</v>
      </c>
      <c r="N92" s="194" t="s">
        <v>28</v>
      </c>
      <c r="O92" s="194" t="s">
        <v>13</v>
      </c>
      <c r="Q92" s="193">
        <v>5</v>
      </c>
      <c r="R92" s="193">
        <v>5</v>
      </c>
      <c r="S92" s="193">
        <v>6</v>
      </c>
      <c r="T92" s="193">
        <v>9</v>
      </c>
      <c r="U92" s="193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93">
        <v>89</v>
      </c>
      <c r="K93" s="194" t="s">
        <v>13</v>
      </c>
      <c r="L93" s="194" t="s">
        <v>13</v>
      </c>
      <c r="M93" s="194" t="s">
        <v>14</v>
      </c>
      <c r="N93" s="194" t="s">
        <v>30</v>
      </c>
      <c r="O93" s="194" t="s">
        <v>13</v>
      </c>
      <c r="Q93" s="193">
        <v>5</v>
      </c>
      <c r="R93" s="193">
        <v>5</v>
      </c>
      <c r="S93" s="193">
        <v>1</v>
      </c>
      <c r="T93" s="193">
        <v>10</v>
      </c>
      <c r="U93" s="193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4" t="s">
        <v>95</v>
      </c>
      <c r="L94" s="194" t="s">
        <v>30</v>
      </c>
      <c r="M94" s="194" t="s">
        <v>82</v>
      </c>
      <c r="N94" s="194" t="s">
        <v>12</v>
      </c>
      <c r="O94" s="194" t="s">
        <v>14</v>
      </c>
      <c r="Q94" s="193">
        <v>6</v>
      </c>
      <c r="R94" s="193">
        <v>10</v>
      </c>
      <c r="S94" s="193">
        <v>16</v>
      </c>
      <c r="T94" s="193">
        <v>4</v>
      </c>
      <c r="U94" s="193">
        <v>1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93">
        <v>91</v>
      </c>
      <c r="K95" s="194" t="s">
        <v>13</v>
      </c>
      <c r="L95" s="194" t="s">
        <v>16</v>
      </c>
      <c r="M95" s="194" t="s">
        <v>29</v>
      </c>
      <c r="N95" s="194" t="s">
        <v>12</v>
      </c>
      <c r="O95" s="194" t="s">
        <v>16</v>
      </c>
      <c r="Q95" s="193">
        <v>5</v>
      </c>
      <c r="R95" s="193">
        <v>3</v>
      </c>
      <c r="S95" s="193">
        <v>8</v>
      </c>
      <c r="T95" s="193">
        <v>4</v>
      </c>
      <c r="U95" s="193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4" t="s">
        <v>29</v>
      </c>
      <c r="L96" s="194" t="s">
        <v>78</v>
      </c>
      <c r="M96" s="194" t="s">
        <v>95</v>
      </c>
      <c r="N96" s="194" t="s">
        <v>28</v>
      </c>
      <c r="O96" s="194" t="s">
        <v>16</v>
      </c>
      <c r="Q96" s="193">
        <v>8</v>
      </c>
      <c r="R96" s="193">
        <v>11</v>
      </c>
      <c r="S96" s="193">
        <v>6</v>
      </c>
      <c r="T96" s="193">
        <v>9</v>
      </c>
      <c r="U96" s="193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93">
        <v>93</v>
      </c>
      <c r="K97" s="194" t="s">
        <v>15</v>
      </c>
      <c r="L97" s="194" t="s">
        <v>30</v>
      </c>
      <c r="M97" s="194" t="s">
        <v>31</v>
      </c>
      <c r="N97" s="194" t="s">
        <v>94</v>
      </c>
      <c r="O97" s="194" t="s">
        <v>31</v>
      </c>
      <c r="Q97" s="193">
        <v>2</v>
      </c>
      <c r="R97" s="193">
        <v>10</v>
      </c>
      <c r="S97" s="193">
        <v>7</v>
      </c>
      <c r="T97" s="193">
        <v>17</v>
      </c>
      <c r="U97" s="193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4" t="s">
        <v>13</v>
      </c>
      <c r="L98" s="194" t="s">
        <v>79</v>
      </c>
      <c r="M98" s="194" t="s">
        <v>13</v>
      </c>
      <c r="N98" s="194" t="s">
        <v>15</v>
      </c>
      <c r="O98" s="194" t="s">
        <v>30</v>
      </c>
      <c r="Q98" s="193">
        <v>5</v>
      </c>
      <c r="R98" s="193">
        <v>12</v>
      </c>
      <c r="S98" s="193">
        <v>5</v>
      </c>
      <c r="T98" s="193">
        <v>2</v>
      </c>
      <c r="U98" s="193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93">
        <v>95</v>
      </c>
      <c r="K99" s="194" t="s">
        <v>13</v>
      </c>
      <c r="L99" s="194" t="s">
        <v>15</v>
      </c>
      <c r="M99" s="194" t="s">
        <v>28</v>
      </c>
      <c r="N99" s="194" t="s">
        <v>30</v>
      </c>
      <c r="O99" s="194" t="s">
        <v>13</v>
      </c>
      <c r="Q99" s="193">
        <v>5</v>
      </c>
      <c r="R99" s="193">
        <v>2</v>
      </c>
      <c r="S99" s="193">
        <v>9</v>
      </c>
      <c r="T99" s="193">
        <v>10</v>
      </c>
      <c r="U99" s="193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4" t="s">
        <v>31</v>
      </c>
      <c r="L100" s="194" t="s">
        <v>13</v>
      </c>
      <c r="M100" s="194" t="s">
        <v>29</v>
      </c>
      <c r="N100" s="194" t="s">
        <v>15</v>
      </c>
      <c r="O100" s="194" t="s">
        <v>15</v>
      </c>
      <c r="Q100" s="193">
        <v>7</v>
      </c>
      <c r="R100" s="193">
        <v>5</v>
      </c>
      <c r="S100" s="193">
        <v>8</v>
      </c>
      <c r="T100" s="193">
        <v>2</v>
      </c>
      <c r="U100" s="193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93">
        <v>97</v>
      </c>
      <c r="K101" s="194" t="s">
        <v>29</v>
      </c>
      <c r="L101" s="194" t="s">
        <v>13</v>
      </c>
      <c r="M101" s="194" t="s">
        <v>13</v>
      </c>
      <c r="N101" s="194" t="s">
        <v>15</v>
      </c>
      <c r="O101" s="194" t="s">
        <v>15</v>
      </c>
      <c r="Q101" s="193">
        <v>8</v>
      </c>
      <c r="R101" s="193">
        <v>5</v>
      </c>
      <c r="S101" s="193">
        <v>5</v>
      </c>
      <c r="T101" s="193">
        <v>2</v>
      </c>
      <c r="U101" s="193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4" t="s">
        <v>14</v>
      </c>
      <c r="L102" s="194" t="s">
        <v>78</v>
      </c>
      <c r="M102" s="194" t="s">
        <v>13</v>
      </c>
      <c r="N102" s="194" t="s">
        <v>13</v>
      </c>
      <c r="O102" s="194" t="s">
        <v>95</v>
      </c>
      <c r="Q102" s="193">
        <v>1</v>
      </c>
      <c r="R102" s="193">
        <v>11</v>
      </c>
      <c r="S102" s="193">
        <v>5</v>
      </c>
      <c r="T102" s="193">
        <v>5</v>
      </c>
      <c r="U102" s="193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93">
        <v>99</v>
      </c>
      <c r="K103" s="194" t="s">
        <v>95</v>
      </c>
      <c r="L103" s="194" t="s">
        <v>96</v>
      </c>
      <c r="M103" s="194" t="s">
        <v>29</v>
      </c>
      <c r="N103" s="194" t="s">
        <v>28</v>
      </c>
      <c r="O103" s="194" t="s">
        <v>28</v>
      </c>
      <c r="Q103" s="193">
        <v>6</v>
      </c>
      <c r="R103" s="193">
        <v>15</v>
      </c>
      <c r="S103" s="193">
        <v>8</v>
      </c>
      <c r="T103" s="193">
        <v>9</v>
      </c>
      <c r="U103" s="193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4" t="s">
        <v>95</v>
      </c>
      <c r="L104" s="194" t="s">
        <v>12</v>
      </c>
      <c r="M104" s="194" t="s">
        <v>31</v>
      </c>
      <c r="N104" s="194" t="s">
        <v>31</v>
      </c>
      <c r="O104" s="194" t="s">
        <v>12</v>
      </c>
      <c r="Q104" s="193">
        <v>6</v>
      </c>
      <c r="R104" s="193">
        <v>4</v>
      </c>
      <c r="S104" s="193">
        <v>7</v>
      </c>
      <c r="T104" s="193">
        <v>7</v>
      </c>
      <c r="U104" s="193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4" t="s">
        <v>28</v>
      </c>
      <c r="L105" s="194" t="s">
        <v>95</v>
      </c>
      <c r="M105" s="194" t="s">
        <v>31</v>
      </c>
      <c r="N105" s="194" t="s">
        <v>29</v>
      </c>
      <c r="O105" s="194" t="s">
        <v>13</v>
      </c>
      <c r="Q105" s="193">
        <v>9</v>
      </c>
      <c r="R105" s="193">
        <v>6</v>
      </c>
      <c r="S105" s="193">
        <v>7</v>
      </c>
      <c r="T105" s="193">
        <v>8</v>
      </c>
      <c r="U105" s="193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93">
        <v>102</v>
      </c>
      <c r="K106" s="194" t="s">
        <v>12</v>
      </c>
      <c r="L106" s="194" t="s">
        <v>95</v>
      </c>
      <c r="M106" s="194" t="s">
        <v>95</v>
      </c>
      <c r="N106" s="194" t="s">
        <v>29</v>
      </c>
      <c r="O106" s="194" t="s">
        <v>28</v>
      </c>
      <c r="Q106" s="193">
        <v>4</v>
      </c>
      <c r="R106" s="193">
        <v>6</v>
      </c>
      <c r="S106" s="193">
        <v>6</v>
      </c>
      <c r="T106" s="193">
        <v>8</v>
      </c>
      <c r="U106" s="193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4" t="s">
        <v>29</v>
      </c>
      <c r="L107" s="194" t="s">
        <v>95</v>
      </c>
      <c r="M107" s="194" t="s">
        <v>16</v>
      </c>
      <c r="N107" s="194" t="s">
        <v>13</v>
      </c>
      <c r="O107" s="194" t="s">
        <v>30</v>
      </c>
      <c r="Q107" s="193">
        <v>8</v>
      </c>
      <c r="R107" s="193">
        <v>6</v>
      </c>
      <c r="S107" s="193">
        <v>3</v>
      </c>
      <c r="T107" s="193">
        <v>5</v>
      </c>
      <c r="U107" s="193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93">
        <v>104</v>
      </c>
      <c r="K108" s="194" t="s">
        <v>13</v>
      </c>
      <c r="L108" s="194" t="s">
        <v>30</v>
      </c>
      <c r="M108" s="194" t="s">
        <v>29</v>
      </c>
      <c r="N108" s="194" t="s">
        <v>30</v>
      </c>
      <c r="O108" s="194" t="s">
        <v>30</v>
      </c>
      <c r="Q108" s="193">
        <v>5</v>
      </c>
      <c r="R108" s="193">
        <v>10</v>
      </c>
      <c r="S108" s="193">
        <v>8</v>
      </c>
      <c r="T108" s="193">
        <v>10</v>
      </c>
      <c r="U108" s="193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4" t="s">
        <v>30</v>
      </c>
      <c r="L109" s="194" t="s">
        <v>16</v>
      </c>
      <c r="M109" s="194" t="s">
        <v>31</v>
      </c>
      <c r="N109" s="194" t="s">
        <v>28</v>
      </c>
      <c r="O109" s="194" t="s">
        <v>16</v>
      </c>
      <c r="Q109" s="193">
        <v>10</v>
      </c>
      <c r="R109" s="193">
        <v>3</v>
      </c>
      <c r="S109" s="193">
        <v>7</v>
      </c>
      <c r="T109" s="193">
        <v>9</v>
      </c>
      <c r="U109" s="193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3">
        <v>106</v>
      </c>
      <c r="K110" s="194" t="s">
        <v>29</v>
      </c>
      <c r="L110" s="194" t="s">
        <v>12</v>
      </c>
      <c r="M110" s="194" t="s">
        <v>13</v>
      </c>
      <c r="N110" s="194" t="s">
        <v>14</v>
      </c>
      <c r="O110" s="194" t="s">
        <v>28</v>
      </c>
      <c r="Q110" s="193">
        <v>8</v>
      </c>
      <c r="R110" s="193">
        <v>4</v>
      </c>
      <c r="S110" s="193">
        <v>5</v>
      </c>
      <c r="T110" s="193">
        <v>1</v>
      </c>
      <c r="U110" s="193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4" t="s">
        <v>29</v>
      </c>
      <c r="L111" s="194" t="s">
        <v>87</v>
      </c>
      <c r="M111" s="194" t="s">
        <v>14</v>
      </c>
      <c r="N111" s="194" t="s">
        <v>95</v>
      </c>
      <c r="O111" s="194" t="s">
        <v>12</v>
      </c>
      <c r="Q111" s="193">
        <v>8</v>
      </c>
      <c r="R111" s="193">
        <v>19</v>
      </c>
      <c r="S111" s="193">
        <v>1</v>
      </c>
      <c r="T111" s="193">
        <v>6</v>
      </c>
      <c r="U111" s="193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93">
        <v>108</v>
      </c>
      <c r="K112" s="194" t="s">
        <v>29</v>
      </c>
      <c r="L112" s="194" t="s">
        <v>85</v>
      </c>
      <c r="M112" s="194" t="s">
        <v>96</v>
      </c>
      <c r="N112" s="194" t="s">
        <v>15</v>
      </c>
      <c r="O112" s="194" t="s">
        <v>16</v>
      </c>
      <c r="Q112" s="193">
        <v>8</v>
      </c>
      <c r="R112" s="193">
        <v>18</v>
      </c>
      <c r="S112" s="193">
        <v>15</v>
      </c>
      <c r="T112" s="193">
        <v>2</v>
      </c>
      <c r="U112" s="193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4" t="s">
        <v>31</v>
      </c>
      <c r="L113" s="194" t="s">
        <v>95</v>
      </c>
      <c r="M113" s="194" t="s">
        <v>82</v>
      </c>
      <c r="N113" s="194" t="s">
        <v>15</v>
      </c>
      <c r="O113" s="194" t="s">
        <v>15</v>
      </c>
      <c r="Q113" s="193">
        <v>7</v>
      </c>
      <c r="R113" s="193">
        <v>6</v>
      </c>
      <c r="S113" s="193">
        <v>16</v>
      </c>
      <c r="T113" s="193">
        <v>2</v>
      </c>
      <c r="U113" s="193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93">
        <v>110</v>
      </c>
      <c r="K114" s="194" t="s">
        <v>95</v>
      </c>
      <c r="L114" s="194" t="s">
        <v>94</v>
      </c>
      <c r="M114" s="194" t="s">
        <v>29</v>
      </c>
      <c r="N114" s="194" t="s">
        <v>15</v>
      </c>
      <c r="O114" s="194" t="s">
        <v>13</v>
      </c>
      <c r="Q114" s="193">
        <v>6</v>
      </c>
      <c r="R114" s="193">
        <v>17</v>
      </c>
      <c r="S114" s="193">
        <v>8</v>
      </c>
      <c r="T114" s="193">
        <v>2</v>
      </c>
      <c r="U114" s="193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4" t="s">
        <v>13</v>
      </c>
      <c r="L115" s="194" t="s">
        <v>29</v>
      </c>
      <c r="M115" s="194" t="s">
        <v>13</v>
      </c>
      <c r="N115" s="194" t="s">
        <v>30</v>
      </c>
      <c r="O115" s="194" t="s">
        <v>13</v>
      </c>
      <c r="Q115" s="193">
        <v>5</v>
      </c>
      <c r="R115" s="193">
        <v>8</v>
      </c>
      <c r="S115" s="193">
        <v>5</v>
      </c>
      <c r="T115" s="193">
        <v>10</v>
      </c>
      <c r="U115" s="193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93">
        <v>112</v>
      </c>
      <c r="K116" s="194" t="s">
        <v>31</v>
      </c>
      <c r="L116" s="194" t="s">
        <v>28</v>
      </c>
      <c r="M116" s="194" t="s">
        <v>95</v>
      </c>
      <c r="N116" s="194" t="s">
        <v>29</v>
      </c>
      <c r="O116" s="194" t="s">
        <v>31</v>
      </c>
      <c r="Q116" s="193">
        <v>7</v>
      </c>
      <c r="R116" s="193">
        <v>9</v>
      </c>
      <c r="S116" s="193">
        <v>6</v>
      </c>
      <c r="T116" s="193">
        <v>8</v>
      </c>
      <c r="U116" s="193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4" t="s">
        <v>95</v>
      </c>
      <c r="L117" s="194" t="s">
        <v>28</v>
      </c>
      <c r="M117" s="194" t="s">
        <v>94</v>
      </c>
      <c r="N117" s="194" t="s">
        <v>30</v>
      </c>
      <c r="O117" s="194" t="s">
        <v>16</v>
      </c>
      <c r="Q117" s="193">
        <v>6</v>
      </c>
      <c r="R117" s="193">
        <v>9</v>
      </c>
      <c r="S117" s="193">
        <v>17</v>
      </c>
      <c r="T117" s="193">
        <v>10</v>
      </c>
      <c r="U117" s="193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93">
        <v>114</v>
      </c>
      <c r="K118" s="194" t="s">
        <v>29</v>
      </c>
      <c r="L118" s="194" t="s">
        <v>80</v>
      </c>
      <c r="M118" s="194" t="s">
        <v>31</v>
      </c>
      <c r="N118" s="194" t="s">
        <v>16</v>
      </c>
      <c r="O118" s="194" t="s">
        <v>95</v>
      </c>
      <c r="Q118" s="193">
        <v>8</v>
      </c>
      <c r="R118" s="193">
        <v>13</v>
      </c>
      <c r="S118" s="193">
        <v>7</v>
      </c>
      <c r="T118" s="193">
        <v>3</v>
      </c>
      <c r="U118" s="193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4" t="s">
        <v>31</v>
      </c>
      <c r="L119" s="194" t="s">
        <v>29</v>
      </c>
      <c r="M119" s="194" t="s">
        <v>95</v>
      </c>
      <c r="N119" s="194" t="s">
        <v>13</v>
      </c>
      <c r="O119" s="194" t="s">
        <v>14</v>
      </c>
      <c r="Q119" s="193">
        <v>7</v>
      </c>
      <c r="R119" s="193">
        <v>8</v>
      </c>
      <c r="S119" s="193">
        <v>6</v>
      </c>
      <c r="T119" s="193">
        <v>5</v>
      </c>
      <c r="U119" s="193">
        <v>1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93">
        <v>116</v>
      </c>
      <c r="K120" s="194" t="s">
        <v>13</v>
      </c>
      <c r="L120" s="194" t="s">
        <v>29</v>
      </c>
      <c r="M120" s="194" t="s">
        <v>81</v>
      </c>
      <c r="N120" s="194" t="s">
        <v>14</v>
      </c>
      <c r="O120" s="194" t="s">
        <v>31</v>
      </c>
      <c r="Q120" s="193">
        <v>5</v>
      </c>
      <c r="R120" s="193">
        <v>8</v>
      </c>
      <c r="S120" s="193">
        <v>14</v>
      </c>
      <c r="T120" s="193">
        <v>1</v>
      </c>
      <c r="U120" s="193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4" t="s">
        <v>31</v>
      </c>
      <c r="L121" s="194" t="s">
        <v>13</v>
      </c>
      <c r="M121" s="194" t="s">
        <v>95</v>
      </c>
      <c r="N121" s="194" t="s">
        <v>12</v>
      </c>
      <c r="O121" s="194" t="s">
        <v>16</v>
      </c>
      <c r="Q121" s="193">
        <v>7</v>
      </c>
      <c r="R121" s="193">
        <v>5</v>
      </c>
      <c r="S121" s="193">
        <v>6</v>
      </c>
      <c r="T121" s="193">
        <v>4</v>
      </c>
      <c r="U121" s="193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93">
        <v>118</v>
      </c>
      <c r="K122" s="194" t="s">
        <v>31</v>
      </c>
      <c r="L122" s="194" t="s">
        <v>13</v>
      </c>
      <c r="M122" s="194" t="s">
        <v>31</v>
      </c>
      <c r="N122" s="194" t="s">
        <v>31</v>
      </c>
      <c r="O122" s="194" t="s">
        <v>15</v>
      </c>
      <c r="Q122" s="193">
        <v>7</v>
      </c>
      <c r="R122" s="193">
        <v>5</v>
      </c>
      <c r="S122" s="193">
        <v>7</v>
      </c>
      <c r="T122" s="193">
        <v>7</v>
      </c>
      <c r="U122" s="193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4" t="s">
        <v>13</v>
      </c>
      <c r="L123" s="194" t="s">
        <v>13</v>
      </c>
      <c r="M123" s="194" t="s">
        <v>31</v>
      </c>
      <c r="N123" s="194" t="s">
        <v>31</v>
      </c>
      <c r="O123" s="194" t="s">
        <v>16</v>
      </c>
      <c r="Q123" s="193">
        <v>5</v>
      </c>
      <c r="R123" s="193">
        <v>5</v>
      </c>
      <c r="S123" s="193">
        <v>7</v>
      </c>
      <c r="T123" s="193">
        <v>7</v>
      </c>
      <c r="U123" s="193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3">
        <v>120</v>
      </c>
      <c r="K124" s="194" t="s">
        <v>13</v>
      </c>
      <c r="L124" s="194" t="s">
        <v>30</v>
      </c>
      <c r="M124" s="194" t="s">
        <v>95</v>
      </c>
      <c r="N124" s="194" t="s">
        <v>28</v>
      </c>
      <c r="O124" s="194" t="s">
        <v>12</v>
      </c>
      <c r="Q124" s="193">
        <v>5</v>
      </c>
      <c r="R124" s="193">
        <v>10</v>
      </c>
      <c r="S124" s="193">
        <v>6</v>
      </c>
      <c r="T124" s="193">
        <v>9</v>
      </c>
      <c r="U124" s="193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4" t="s">
        <v>31</v>
      </c>
      <c r="L125" s="194" t="s">
        <v>16</v>
      </c>
      <c r="M125" s="194" t="s">
        <v>95</v>
      </c>
      <c r="N125" s="194" t="s">
        <v>16</v>
      </c>
      <c r="O125" s="194" t="s">
        <v>13</v>
      </c>
      <c r="Q125" s="193">
        <v>7</v>
      </c>
      <c r="R125" s="193">
        <v>3</v>
      </c>
      <c r="S125" s="193">
        <v>6</v>
      </c>
      <c r="T125" s="193">
        <v>3</v>
      </c>
      <c r="U125" s="193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3">
        <v>122</v>
      </c>
      <c r="K126" s="194" t="s">
        <v>95</v>
      </c>
      <c r="L126" s="194" t="s">
        <v>28</v>
      </c>
      <c r="M126" s="194" t="s">
        <v>14</v>
      </c>
      <c r="N126" s="194" t="s">
        <v>80</v>
      </c>
      <c r="O126" s="194" t="s">
        <v>28</v>
      </c>
      <c r="Q126" s="193">
        <v>6</v>
      </c>
      <c r="R126" s="193">
        <v>9</v>
      </c>
      <c r="S126" s="193">
        <v>1</v>
      </c>
      <c r="T126" s="193">
        <v>13</v>
      </c>
      <c r="U126" s="193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4" t="s">
        <v>29</v>
      </c>
      <c r="L127" s="194" t="s">
        <v>30</v>
      </c>
      <c r="M127" s="194" t="s">
        <v>29</v>
      </c>
      <c r="N127" s="194" t="s">
        <v>79</v>
      </c>
      <c r="O127" s="194" t="s">
        <v>16</v>
      </c>
      <c r="Q127" s="193">
        <v>8</v>
      </c>
      <c r="R127" s="193">
        <v>10</v>
      </c>
      <c r="S127" s="193">
        <v>8</v>
      </c>
      <c r="T127" s="193">
        <v>12</v>
      </c>
      <c r="U127" s="193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93">
        <v>124</v>
      </c>
      <c r="K128" s="194" t="s">
        <v>13</v>
      </c>
      <c r="L128" s="194" t="s">
        <v>87</v>
      </c>
      <c r="M128" s="194" t="s">
        <v>15</v>
      </c>
      <c r="N128" s="194" t="s">
        <v>30</v>
      </c>
      <c r="O128" s="194" t="s">
        <v>30</v>
      </c>
      <c r="Q128" s="193">
        <v>5</v>
      </c>
      <c r="R128" s="193">
        <v>19</v>
      </c>
      <c r="S128" s="193">
        <v>2</v>
      </c>
      <c r="T128" s="193">
        <v>10</v>
      </c>
      <c r="U128" s="193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4" t="s">
        <v>31</v>
      </c>
      <c r="L129" s="194" t="s">
        <v>15</v>
      </c>
      <c r="M129" s="194" t="s">
        <v>13</v>
      </c>
      <c r="N129" s="194" t="s">
        <v>30</v>
      </c>
      <c r="O129" s="194" t="s">
        <v>16</v>
      </c>
      <c r="Q129" s="193">
        <v>7</v>
      </c>
      <c r="R129" s="193">
        <v>2</v>
      </c>
      <c r="S129" s="193">
        <v>5</v>
      </c>
      <c r="T129" s="193">
        <v>10</v>
      </c>
      <c r="U129" s="193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93">
        <v>126</v>
      </c>
      <c r="K130" s="194" t="s">
        <v>29</v>
      </c>
      <c r="L130" s="194" t="s">
        <v>85</v>
      </c>
      <c r="M130" s="194" t="s">
        <v>29</v>
      </c>
      <c r="N130" s="194" t="s">
        <v>30</v>
      </c>
      <c r="O130" s="194" t="s">
        <v>15</v>
      </c>
      <c r="Q130" s="193">
        <v>8</v>
      </c>
      <c r="R130" s="193">
        <v>18</v>
      </c>
      <c r="S130" s="193">
        <v>8</v>
      </c>
      <c r="T130" s="193">
        <v>10</v>
      </c>
      <c r="U130" s="193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4" t="s">
        <v>95</v>
      </c>
      <c r="L131" s="194" t="s">
        <v>12</v>
      </c>
      <c r="M131" s="194" t="s">
        <v>31</v>
      </c>
      <c r="N131" s="194" t="s">
        <v>12</v>
      </c>
      <c r="O131" s="194" t="s">
        <v>12</v>
      </c>
      <c r="Q131" s="193">
        <v>6</v>
      </c>
      <c r="R131" s="193">
        <v>4</v>
      </c>
      <c r="S131" s="193">
        <v>7</v>
      </c>
      <c r="T131" s="193">
        <v>4</v>
      </c>
      <c r="U131" s="193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93">
        <v>128</v>
      </c>
      <c r="K132" s="194" t="s">
        <v>95</v>
      </c>
      <c r="L132" s="194" t="s">
        <v>87</v>
      </c>
      <c r="M132" s="194" t="s">
        <v>31</v>
      </c>
      <c r="N132" s="194" t="s">
        <v>95</v>
      </c>
      <c r="O132" s="194" t="s">
        <v>12</v>
      </c>
      <c r="Q132" s="193">
        <v>6</v>
      </c>
      <c r="R132" s="193">
        <v>19</v>
      </c>
      <c r="S132" s="193">
        <v>7</v>
      </c>
      <c r="T132" s="193">
        <v>6</v>
      </c>
      <c r="U132" s="193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4" t="s">
        <v>13</v>
      </c>
      <c r="L133" s="194" t="s">
        <v>87</v>
      </c>
      <c r="M133" s="194" t="s">
        <v>13</v>
      </c>
      <c r="N133" s="194" t="s">
        <v>30</v>
      </c>
      <c r="O133" s="194" t="s">
        <v>30</v>
      </c>
      <c r="Q133" s="193">
        <v>5</v>
      </c>
      <c r="R133" s="193">
        <v>19</v>
      </c>
      <c r="S133" s="193">
        <v>5</v>
      </c>
      <c r="T133" s="193">
        <v>10</v>
      </c>
      <c r="U133" s="193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93">
        <v>130</v>
      </c>
      <c r="K134" s="194" t="s">
        <v>29</v>
      </c>
      <c r="L134" s="194" t="s">
        <v>15</v>
      </c>
      <c r="M134" s="194" t="s">
        <v>13</v>
      </c>
      <c r="N134" s="194" t="s">
        <v>12</v>
      </c>
      <c r="O134" s="194" t="s">
        <v>28</v>
      </c>
      <c r="Q134" s="193">
        <v>8</v>
      </c>
      <c r="R134" s="193">
        <v>2</v>
      </c>
      <c r="S134" s="193">
        <v>5</v>
      </c>
      <c r="T134" s="193">
        <v>4</v>
      </c>
      <c r="U134" s="193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4" t="s">
        <v>29</v>
      </c>
      <c r="L135" s="194" t="s">
        <v>80</v>
      </c>
      <c r="M135" s="194" t="s">
        <v>31</v>
      </c>
      <c r="N135" s="194" t="s">
        <v>13</v>
      </c>
      <c r="O135" s="194" t="s">
        <v>95</v>
      </c>
      <c r="Q135" s="193">
        <v>8</v>
      </c>
      <c r="R135" s="193">
        <v>13</v>
      </c>
      <c r="S135" s="193">
        <v>7</v>
      </c>
      <c r="T135" s="193">
        <v>5</v>
      </c>
      <c r="U135" s="193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93">
        <v>132</v>
      </c>
      <c r="K136" s="194" t="s">
        <v>31</v>
      </c>
      <c r="L136" s="194" t="s">
        <v>29</v>
      </c>
      <c r="M136" s="194" t="s">
        <v>82</v>
      </c>
      <c r="N136" s="194" t="s">
        <v>79</v>
      </c>
      <c r="O136" s="194" t="s">
        <v>15</v>
      </c>
      <c r="Q136" s="193">
        <v>7</v>
      </c>
      <c r="R136" s="193">
        <v>8</v>
      </c>
      <c r="S136" s="193">
        <v>16</v>
      </c>
      <c r="T136" s="193">
        <v>12</v>
      </c>
      <c r="U136" s="193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4" t="s">
        <v>95</v>
      </c>
      <c r="L137" s="194" t="s">
        <v>12</v>
      </c>
      <c r="M137" s="194" t="s">
        <v>31</v>
      </c>
      <c r="N137" s="194" t="s">
        <v>15</v>
      </c>
      <c r="O137" s="194" t="s">
        <v>13</v>
      </c>
      <c r="Q137" s="193">
        <v>6</v>
      </c>
      <c r="R137" s="193">
        <v>4</v>
      </c>
      <c r="S137" s="193">
        <v>7</v>
      </c>
      <c r="T137" s="193">
        <v>2</v>
      </c>
      <c r="U137" s="193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93">
        <v>134</v>
      </c>
      <c r="K138" s="194" t="s">
        <v>29</v>
      </c>
      <c r="L138" s="194" t="s">
        <v>13</v>
      </c>
      <c r="M138" s="194" t="s">
        <v>13</v>
      </c>
      <c r="N138" s="194" t="s">
        <v>28</v>
      </c>
      <c r="O138" s="194" t="s">
        <v>16</v>
      </c>
      <c r="Q138" s="193">
        <v>8</v>
      </c>
      <c r="R138" s="193">
        <v>5</v>
      </c>
      <c r="S138" s="193">
        <v>5</v>
      </c>
      <c r="T138" s="193">
        <v>9</v>
      </c>
      <c r="U138" s="193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4" t="s">
        <v>31</v>
      </c>
      <c r="L139" s="194" t="s">
        <v>15</v>
      </c>
      <c r="M139" s="194" t="s">
        <v>29</v>
      </c>
      <c r="N139" s="194" t="s">
        <v>85</v>
      </c>
      <c r="O139" s="194" t="s">
        <v>30</v>
      </c>
      <c r="Q139" s="193">
        <v>7</v>
      </c>
      <c r="R139" s="193">
        <v>2</v>
      </c>
      <c r="S139" s="193">
        <v>8</v>
      </c>
      <c r="T139" s="193">
        <v>18</v>
      </c>
      <c r="U139" s="193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93">
        <v>136</v>
      </c>
      <c r="K140" s="194" t="s">
        <v>13</v>
      </c>
      <c r="L140" s="194" t="s">
        <v>31</v>
      </c>
      <c r="M140" s="194" t="s">
        <v>13</v>
      </c>
      <c r="N140" s="194" t="s">
        <v>28</v>
      </c>
      <c r="O140" s="194" t="s">
        <v>31</v>
      </c>
      <c r="Q140" s="193">
        <v>5</v>
      </c>
      <c r="R140" s="193">
        <v>7</v>
      </c>
      <c r="S140" s="193">
        <v>5</v>
      </c>
      <c r="T140" s="193">
        <v>9</v>
      </c>
      <c r="U140" s="193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4" t="s">
        <v>29</v>
      </c>
      <c r="L141" s="194" t="s">
        <v>31</v>
      </c>
      <c r="M141" s="194" t="s">
        <v>95</v>
      </c>
      <c r="N141" s="194" t="s">
        <v>15</v>
      </c>
      <c r="O141" s="194" t="s">
        <v>28</v>
      </c>
      <c r="Q141" s="193">
        <v>8</v>
      </c>
      <c r="R141" s="193">
        <v>7</v>
      </c>
      <c r="S141" s="193">
        <v>6</v>
      </c>
      <c r="T141" s="193">
        <v>2</v>
      </c>
      <c r="U141" s="193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93">
        <v>138</v>
      </c>
      <c r="K142" s="194" t="s">
        <v>31</v>
      </c>
      <c r="L142" s="194" t="s">
        <v>31</v>
      </c>
      <c r="M142" s="194" t="s">
        <v>94</v>
      </c>
      <c r="N142" s="194" t="s">
        <v>95</v>
      </c>
      <c r="O142" s="194" t="s">
        <v>12</v>
      </c>
      <c r="Q142" s="193">
        <v>7</v>
      </c>
      <c r="R142" s="193">
        <v>7</v>
      </c>
      <c r="S142" s="193">
        <v>17</v>
      </c>
      <c r="T142" s="193">
        <v>6</v>
      </c>
      <c r="U142" s="193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4" t="s">
        <v>13</v>
      </c>
      <c r="L143" s="194" t="s">
        <v>16</v>
      </c>
      <c r="M143" s="194" t="s">
        <v>29</v>
      </c>
      <c r="N143" s="194" t="s">
        <v>12</v>
      </c>
      <c r="O143" s="194" t="s">
        <v>31</v>
      </c>
      <c r="Q143" s="193">
        <v>5</v>
      </c>
      <c r="R143" s="193">
        <v>3</v>
      </c>
      <c r="S143" s="193">
        <v>8</v>
      </c>
      <c r="T143" s="193">
        <v>4</v>
      </c>
      <c r="U143" s="193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93">
        <v>140</v>
      </c>
      <c r="K144" s="194" t="s">
        <v>95</v>
      </c>
      <c r="L144" s="194" t="s">
        <v>31</v>
      </c>
      <c r="M144" s="194" t="s">
        <v>13</v>
      </c>
      <c r="N144" s="194" t="s">
        <v>29</v>
      </c>
      <c r="O144" s="194" t="s">
        <v>31</v>
      </c>
      <c r="Q144" s="193">
        <v>6</v>
      </c>
      <c r="R144" s="193">
        <v>7</v>
      </c>
      <c r="S144" s="193">
        <v>5</v>
      </c>
      <c r="T144" s="193">
        <v>8</v>
      </c>
      <c r="U144" s="193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4" t="s">
        <v>31</v>
      </c>
      <c r="L145" s="194" t="s">
        <v>31</v>
      </c>
      <c r="M145" s="194" t="s">
        <v>13</v>
      </c>
      <c r="N145" s="194" t="s">
        <v>31</v>
      </c>
      <c r="O145" s="194" t="s">
        <v>14</v>
      </c>
      <c r="Q145" s="193">
        <v>7</v>
      </c>
      <c r="R145" s="193">
        <v>7</v>
      </c>
      <c r="S145" s="193">
        <v>5</v>
      </c>
      <c r="T145" s="193">
        <v>7</v>
      </c>
      <c r="U145" s="193">
        <v>1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93">
        <v>142</v>
      </c>
      <c r="K146" s="194" t="s">
        <v>95</v>
      </c>
      <c r="L146" s="194" t="s">
        <v>95</v>
      </c>
      <c r="M146" s="194" t="s">
        <v>13</v>
      </c>
      <c r="N146" s="194" t="s">
        <v>13</v>
      </c>
      <c r="O146" s="194" t="s">
        <v>95</v>
      </c>
      <c r="Q146" s="193">
        <v>6</v>
      </c>
      <c r="R146" s="193">
        <v>6</v>
      </c>
      <c r="S146" s="193">
        <v>5</v>
      </c>
      <c r="T146" s="193">
        <v>5</v>
      </c>
      <c r="U146" s="193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4" t="s">
        <v>13</v>
      </c>
      <c r="L147" s="194" t="s">
        <v>79</v>
      </c>
      <c r="M147" s="194" t="s">
        <v>95</v>
      </c>
      <c r="N147" s="194" t="s">
        <v>13</v>
      </c>
      <c r="O147" s="194" t="s">
        <v>31</v>
      </c>
      <c r="Q147" s="193">
        <v>5</v>
      </c>
      <c r="R147" s="193">
        <v>12</v>
      </c>
      <c r="S147" s="193">
        <v>6</v>
      </c>
      <c r="T147" s="193">
        <v>5</v>
      </c>
      <c r="U147" s="193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93">
        <v>144</v>
      </c>
      <c r="K148" s="194" t="s">
        <v>31</v>
      </c>
      <c r="L148" s="194" t="s">
        <v>28</v>
      </c>
      <c r="M148" s="194" t="s">
        <v>31</v>
      </c>
      <c r="N148" s="194" t="s">
        <v>31</v>
      </c>
      <c r="O148" s="194" t="s">
        <v>95</v>
      </c>
      <c r="Q148" s="193">
        <v>7</v>
      </c>
      <c r="R148" s="193">
        <v>9</v>
      </c>
      <c r="S148" s="193">
        <v>7</v>
      </c>
      <c r="T148" s="193">
        <v>7</v>
      </c>
      <c r="U148" s="193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4" t="s">
        <v>29</v>
      </c>
      <c r="L149" s="194" t="s">
        <v>14</v>
      </c>
      <c r="M149" s="194" t="s">
        <v>31</v>
      </c>
      <c r="N149" s="194" t="s">
        <v>12</v>
      </c>
      <c r="O149" s="194" t="s">
        <v>16</v>
      </c>
      <c r="Q149" s="193">
        <v>8</v>
      </c>
      <c r="R149" s="193">
        <v>1</v>
      </c>
      <c r="S149" s="193">
        <v>7</v>
      </c>
      <c r="T149" s="193">
        <v>4</v>
      </c>
      <c r="U149" s="193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93">
        <v>146</v>
      </c>
      <c r="K150" s="194" t="s">
        <v>31</v>
      </c>
      <c r="L150" s="194" t="s">
        <v>15</v>
      </c>
      <c r="M150" s="194" t="s">
        <v>31</v>
      </c>
      <c r="N150" s="194" t="s">
        <v>12</v>
      </c>
      <c r="O150" s="194" t="s">
        <v>95</v>
      </c>
      <c r="Q150" s="193">
        <v>7</v>
      </c>
      <c r="R150" s="193">
        <v>2</v>
      </c>
      <c r="S150" s="193">
        <v>7</v>
      </c>
      <c r="T150" s="193">
        <v>4</v>
      </c>
      <c r="U150" s="193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4" t="s">
        <v>95</v>
      </c>
      <c r="L151" s="194" t="s">
        <v>15</v>
      </c>
      <c r="M151" s="194" t="s">
        <v>95</v>
      </c>
      <c r="N151" s="194" t="s">
        <v>12</v>
      </c>
      <c r="O151" s="194" t="s">
        <v>15</v>
      </c>
      <c r="Q151" s="193">
        <v>6</v>
      </c>
      <c r="R151" s="193">
        <v>2</v>
      </c>
      <c r="S151" s="193">
        <v>6</v>
      </c>
      <c r="T151" s="193">
        <v>4</v>
      </c>
      <c r="U151" s="193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93">
        <v>148</v>
      </c>
      <c r="K152" s="194" t="s">
        <v>12</v>
      </c>
      <c r="L152" s="194" t="s">
        <v>16</v>
      </c>
      <c r="M152" s="194" t="s">
        <v>13</v>
      </c>
      <c r="N152" s="194" t="s">
        <v>30</v>
      </c>
      <c r="O152" s="194" t="s">
        <v>14</v>
      </c>
      <c r="Q152" s="193">
        <v>4</v>
      </c>
      <c r="R152" s="193">
        <v>3</v>
      </c>
      <c r="S152" s="193">
        <v>5</v>
      </c>
      <c r="T152" s="193">
        <v>10</v>
      </c>
      <c r="U152" s="193">
        <v>1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4" t="s">
        <v>31</v>
      </c>
      <c r="L153" s="194" t="s">
        <v>12</v>
      </c>
      <c r="M153" s="194" t="s">
        <v>16</v>
      </c>
      <c r="N153" s="194" t="s">
        <v>80</v>
      </c>
      <c r="O153" s="194" t="s">
        <v>95</v>
      </c>
      <c r="Q153" s="193">
        <v>7</v>
      </c>
      <c r="R153" s="193">
        <v>4</v>
      </c>
      <c r="S153" s="193">
        <v>3</v>
      </c>
      <c r="T153" s="193">
        <v>13</v>
      </c>
      <c r="U153" s="193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93">
        <v>150</v>
      </c>
      <c r="K154" s="194" t="s">
        <v>31</v>
      </c>
      <c r="L154" s="194" t="s">
        <v>82</v>
      </c>
      <c r="M154" s="194" t="s">
        <v>29</v>
      </c>
      <c r="N154" s="194" t="s">
        <v>28</v>
      </c>
      <c r="O154" s="194" t="s">
        <v>28</v>
      </c>
      <c r="Q154" s="193">
        <v>7</v>
      </c>
      <c r="R154" s="193">
        <v>16</v>
      </c>
      <c r="S154" s="193">
        <v>8</v>
      </c>
      <c r="T154" s="193">
        <v>9</v>
      </c>
      <c r="U154" s="193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4" t="s">
        <v>95</v>
      </c>
      <c r="L155" s="194" t="s">
        <v>12</v>
      </c>
      <c r="M155" s="194" t="s">
        <v>13</v>
      </c>
      <c r="N155" s="194" t="s">
        <v>13</v>
      </c>
      <c r="O155" s="194" t="s">
        <v>28</v>
      </c>
      <c r="Q155" s="193">
        <v>6</v>
      </c>
      <c r="R155" s="193">
        <v>4</v>
      </c>
      <c r="S155" s="193">
        <v>5</v>
      </c>
      <c r="T155" s="193">
        <v>5</v>
      </c>
      <c r="U155" s="193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93">
        <v>152</v>
      </c>
      <c r="K156" s="194" t="s">
        <v>31</v>
      </c>
      <c r="L156" s="194" t="s">
        <v>30</v>
      </c>
      <c r="M156" s="194" t="s">
        <v>13</v>
      </c>
      <c r="N156" s="194" t="s">
        <v>29</v>
      </c>
      <c r="O156" s="194" t="s">
        <v>95</v>
      </c>
      <c r="Q156" s="193">
        <v>7</v>
      </c>
      <c r="R156" s="193">
        <v>10</v>
      </c>
      <c r="S156" s="193">
        <v>5</v>
      </c>
      <c r="T156" s="193">
        <v>8</v>
      </c>
      <c r="U156" s="193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4" t="s">
        <v>95</v>
      </c>
      <c r="L157" s="194" t="s">
        <v>15</v>
      </c>
      <c r="M157" s="194" t="s">
        <v>13</v>
      </c>
      <c r="N157" s="194" t="s">
        <v>82</v>
      </c>
      <c r="O157" s="194" t="s">
        <v>95</v>
      </c>
      <c r="Q157" s="193">
        <v>6</v>
      </c>
      <c r="R157" s="193">
        <v>2</v>
      </c>
      <c r="S157" s="193">
        <v>5</v>
      </c>
      <c r="T157" s="193">
        <v>16</v>
      </c>
      <c r="U157" s="193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93">
        <v>154</v>
      </c>
      <c r="K158" s="194" t="s">
        <v>29</v>
      </c>
      <c r="L158" s="194" t="s">
        <v>12</v>
      </c>
      <c r="M158" s="194" t="s">
        <v>29</v>
      </c>
      <c r="N158" s="194" t="s">
        <v>15</v>
      </c>
      <c r="O158" s="194" t="s">
        <v>29</v>
      </c>
      <c r="Q158" s="193">
        <v>8</v>
      </c>
      <c r="R158" s="193">
        <v>4</v>
      </c>
      <c r="S158" s="193">
        <v>8</v>
      </c>
      <c r="T158" s="193">
        <v>2</v>
      </c>
      <c r="U158" s="193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4" t="s">
        <v>29</v>
      </c>
      <c r="L159" s="194" t="s">
        <v>31</v>
      </c>
      <c r="M159" s="194" t="s">
        <v>29</v>
      </c>
      <c r="N159" s="194" t="s">
        <v>14</v>
      </c>
      <c r="O159" s="194" t="s">
        <v>14</v>
      </c>
      <c r="Q159" s="193">
        <v>8</v>
      </c>
      <c r="R159" s="193">
        <v>7</v>
      </c>
      <c r="S159" s="193">
        <v>8</v>
      </c>
      <c r="T159" s="193">
        <v>1</v>
      </c>
      <c r="U159" s="193">
        <v>1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93">
        <v>156</v>
      </c>
      <c r="K160" s="194" t="s">
        <v>14</v>
      </c>
      <c r="L160" s="194" t="s">
        <v>95</v>
      </c>
      <c r="M160" s="194" t="s">
        <v>31</v>
      </c>
      <c r="N160" s="194" t="s">
        <v>31</v>
      </c>
      <c r="O160" s="194" t="s">
        <v>13</v>
      </c>
      <c r="Q160" s="193">
        <v>1</v>
      </c>
      <c r="R160" s="193">
        <v>6</v>
      </c>
      <c r="S160" s="193">
        <v>7</v>
      </c>
      <c r="T160" s="193">
        <v>7</v>
      </c>
      <c r="U160" s="193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4" t="s">
        <v>29</v>
      </c>
      <c r="L161" s="194" t="s">
        <v>15</v>
      </c>
      <c r="M161" s="194" t="s">
        <v>95</v>
      </c>
      <c r="N161" s="194" t="s">
        <v>28</v>
      </c>
      <c r="O161" s="194" t="s">
        <v>31</v>
      </c>
      <c r="Q161" s="193">
        <v>8</v>
      </c>
      <c r="R161" s="193">
        <v>2</v>
      </c>
      <c r="S161" s="193">
        <v>6</v>
      </c>
      <c r="T161" s="193">
        <v>9</v>
      </c>
      <c r="U161" s="193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93">
        <v>158</v>
      </c>
      <c r="K162" s="194" t="s">
        <v>31</v>
      </c>
      <c r="L162" s="194" t="s">
        <v>30</v>
      </c>
      <c r="M162" s="194" t="s">
        <v>95</v>
      </c>
      <c r="N162" s="194" t="s">
        <v>28</v>
      </c>
      <c r="O162" s="194" t="s">
        <v>95</v>
      </c>
      <c r="Q162" s="193">
        <v>7</v>
      </c>
      <c r="R162" s="193">
        <v>10</v>
      </c>
      <c r="S162" s="193">
        <v>6</v>
      </c>
      <c r="T162" s="193">
        <v>9</v>
      </c>
      <c r="U162" s="193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4" t="s">
        <v>29</v>
      </c>
      <c r="L163" s="194" t="s">
        <v>12</v>
      </c>
      <c r="M163" s="194" t="s">
        <v>95</v>
      </c>
      <c r="N163" s="194" t="s">
        <v>28</v>
      </c>
      <c r="O163" s="194" t="s">
        <v>95</v>
      </c>
      <c r="Q163" s="193">
        <v>8</v>
      </c>
      <c r="R163" s="193">
        <v>4</v>
      </c>
      <c r="S163" s="193">
        <v>6</v>
      </c>
      <c r="T163" s="193">
        <v>9</v>
      </c>
      <c r="U163" s="193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93">
        <v>160</v>
      </c>
      <c r="K164" s="194" t="s">
        <v>29</v>
      </c>
      <c r="L164" s="194" t="s">
        <v>16</v>
      </c>
      <c r="M164" s="194" t="s">
        <v>13</v>
      </c>
      <c r="N164" s="194" t="s">
        <v>30</v>
      </c>
      <c r="O164" s="194" t="s">
        <v>29</v>
      </c>
      <c r="Q164" s="193">
        <v>8</v>
      </c>
      <c r="R164" s="193">
        <v>3</v>
      </c>
      <c r="S164" s="193">
        <v>5</v>
      </c>
      <c r="T164" s="193">
        <v>10</v>
      </c>
      <c r="U164" s="193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4" t="s">
        <v>13</v>
      </c>
      <c r="L165" s="194" t="s">
        <v>78</v>
      </c>
      <c r="M165" s="194" t="s">
        <v>15</v>
      </c>
      <c r="N165" s="194" t="s">
        <v>29</v>
      </c>
      <c r="O165" s="194" t="s">
        <v>30</v>
      </c>
      <c r="Q165" s="193">
        <v>5</v>
      </c>
      <c r="R165" s="193">
        <v>11</v>
      </c>
      <c r="S165" s="193">
        <v>2</v>
      </c>
      <c r="T165" s="193">
        <v>8</v>
      </c>
      <c r="U165" s="193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93">
        <v>162</v>
      </c>
      <c r="K166" s="194" t="s">
        <v>95</v>
      </c>
      <c r="L166" s="194" t="s">
        <v>12</v>
      </c>
      <c r="M166" s="194" t="s">
        <v>31</v>
      </c>
      <c r="N166" s="194" t="s">
        <v>29</v>
      </c>
      <c r="O166" s="194" t="s">
        <v>29</v>
      </c>
      <c r="Q166" s="193">
        <v>6</v>
      </c>
      <c r="R166" s="193">
        <v>4</v>
      </c>
      <c r="S166" s="193">
        <v>7</v>
      </c>
      <c r="T166" s="193">
        <v>8</v>
      </c>
      <c r="U166" s="193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4" t="s">
        <v>29</v>
      </c>
      <c r="L167" s="194" t="s">
        <v>16</v>
      </c>
      <c r="M167" s="194" t="s">
        <v>13</v>
      </c>
      <c r="N167" s="194" t="s">
        <v>13</v>
      </c>
      <c r="O167" s="194" t="s">
        <v>15</v>
      </c>
      <c r="Q167" s="193">
        <v>8</v>
      </c>
      <c r="R167" s="193">
        <v>3</v>
      </c>
      <c r="S167" s="193">
        <v>5</v>
      </c>
      <c r="T167" s="193">
        <v>5</v>
      </c>
      <c r="U167" s="193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93">
        <v>164</v>
      </c>
      <c r="K168" s="194" t="s">
        <v>31</v>
      </c>
      <c r="L168" s="194" t="s">
        <v>80</v>
      </c>
      <c r="M168" s="194" t="s">
        <v>95</v>
      </c>
      <c r="N168" s="194" t="s">
        <v>15</v>
      </c>
      <c r="O168" s="194" t="s">
        <v>28</v>
      </c>
      <c r="Q168" s="193">
        <v>7</v>
      </c>
      <c r="R168" s="193">
        <v>13</v>
      </c>
      <c r="S168" s="193">
        <v>6</v>
      </c>
      <c r="T168" s="193">
        <v>2</v>
      </c>
      <c r="U168" s="193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4" t="s">
        <v>31</v>
      </c>
      <c r="L169" s="194" t="s">
        <v>28</v>
      </c>
      <c r="M169" s="194" t="s">
        <v>95</v>
      </c>
      <c r="N169" s="194" t="s">
        <v>15</v>
      </c>
      <c r="O169" s="194" t="s">
        <v>12</v>
      </c>
      <c r="Q169" s="193">
        <v>7</v>
      </c>
      <c r="R169" s="193">
        <v>9</v>
      </c>
      <c r="S169" s="193">
        <v>6</v>
      </c>
      <c r="T169" s="193">
        <v>2</v>
      </c>
      <c r="U169" s="193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93">
        <v>166</v>
      </c>
      <c r="K170" s="194" t="s">
        <v>31</v>
      </c>
      <c r="L170" s="194" t="s">
        <v>15</v>
      </c>
      <c r="M170" s="194" t="s">
        <v>95</v>
      </c>
      <c r="N170" s="194" t="s">
        <v>13</v>
      </c>
      <c r="O170" s="194" t="s">
        <v>16</v>
      </c>
      <c r="Q170" s="193">
        <v>7</v>
      </c>
      <c r="R170" s="193">
        <v>2</v>
      </c>
      <c r="S170" s="193">
        <v>6</v>
      </c>
      <c r="T170" s="193">
        <v>5</v>
      </c>
      <c r="U170" s="193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4" t="s">
        <v>29</v>
      </c>
      <c r="L171" s="194" t="s">
        <v>29</v>
      </c>
      <c r="M171" s="194" t="s">
        <v>13</v>
      </c>
      <c r="N171" s="194" t="s">
        <v>15</v>
      </c>
      <c r="O171" s="194" t="s">
        <v>29</v>
      </c>
      <c r="Q171" s="193">
        <v>8</v>
      </c>
      <c r="R171" s="193">
        <v>8</v>
      </c>
      <c r="S171" s="193">
        <v>5</v>
      </c>
      <c r="T171" s="193">
        <v>2</v>
      </c>
      <c r="U171" s="193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3">
        <v>168</v>
      </c>
      <c r="K172" s="194" t="s">
        <v>31</v>
      </c>
      <c r="L172" s="194" t="s">
        <v>16</v>
      </c>
      <c r="M172" s="194" t="s">
        <v>95</v>
      </c>
      <c r="N172" s="194" t="s">
        <v>95</v>
      </c>
      <c r="O172" s="194" t="s">
        <v>15</v>
      </c>
      <c r="Q172" s="193">
        <v>7</v>
      </c>
      <c r="R172" s="193">
        <v>3</v>
      </c>
      <c r="S172" s="193">
        <v>6</v>
      </c>
      <c r="T172" s="193">
        <v>6</v>
      </c>
      <c r="U172" s="193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4" t="s">
        <v>13</v>
      </c>
      <c r="L173" s="194" t="s">
        <v>28</v>
      </c>
      <c r="M173" s="194" t="s">
        <v>13</v>
      </c>
      <c r="N173" s="194" t="s">
        <v>16</v>
      </c>
      <c r="O173" s="194" t="s">
        <v>12</v>
      </c>
      <c r="Q173" s="193">
        <v>5</v>
      </c>
      <c r="R173" s="193">
        <v>9</v>
      </c>
      <c r="S173" s="193">
        <v>5</v>
      </c>
      <c r="T173" s="193">
        <v>3</v>
      </c>
      <c r="U173" s="193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3">
        <v>170</v>
      </c>
      <c r="K174" s="194" t="s">
        <v>95</v>
      </c>
      <c r="L174" s="194" t="s">
        <v>31</v>
      </c>
      <c r="M174" s="194" t="s">
        <v>14</v>
      </c>
      <c r="N174" s="194" t="s">
        <v>95</v>
      </c>
      <c r="O174" s="194" t="s">
        <v>31</v>
      </c>
      <c r="Q174" s="193">
        <v>6</v>
      </c>
      <c r="R174" s="193">
        <v>7</v>
      </c>
      <c r="S174" s="193">
        <v>1</v>
      </c>
      <c r="T174" s="193">
        <v>6</v>
      </c>
      <c r="U174" s="193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4" t="s">
        <v>31</v>
      </c>
      <c r="L175" s="194" t="s">
        <v>31</v>
      </c>
      <c r="M175" s="194" t="s">
        <v>29</v>
      </c>
      <c r="N175" s="194" t="s">
        <v>31</v>
      </c>
      <c r="O175" s="194" t="s">
        <v>29</v>
      </c>
      <c r="Q175" s="193">
        <v>7</v>
      </c>
      <c r="R175" s="193">
        <v>7</v>
      </c>
      <c r="S175" s="193">
        <v>8</v>
      </c>
      <c r="T175" s="193">
        <v>7</v>
      </c>
      <c r="U175" s="193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93">
        <v>172</v>
      </c>
      <c r="K176" s="194" t="s">
        <v>95</v>
      </c>
      <c r="L176" s="194" t="s">
        <v>12</v>
      </c>
      <c r="M176" s="194" t="s">
        <v>29</v>
      </c>
      <c r="N176" s="194" t="s">
        <v>81</v>
      </c>
      <c r="O176" s="194" t="s">
        <v>14</v>
      </c>
      <c r="Q176" s="193">
        <v>6</v>
      </c>
      <c r="R176" s="193">
        <v>4</v>
      </c>
      <c r="S176" s="193">
        <v>8</v>
      </c>
      <c r="T176" s="193">
        <v>14</v>
      </c>
      <c r="U176" s="193">
        <v>1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4" t="s">
        <v>95</v>
      </c>
      <c r="L177" s="194" t="s">
        <v>80</v>
      </c>
      <c r="M177" s="194" t="s">
        <v>13</v>
      </c>
      <c r="N177" s="194" t="s">
        <v>85</v>
      </c>
      <c r="O177" s="194" t="s">
        <v>29</v>
      </c>
      <c r="Q177" s="193">
        <v>6</v>
      </c>
      <c r="R177" s="193">
        <v>13</v>
      </c>
      <c r="S177" s="193">
        <v>5</v>
      </c>
      <c r="T177" s="193">
        <v>18</v>
      </c>
      <c r="U177" s="193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93">
        <v>174</v>
      </c>
      <c r="K178" s="194" t="s">
        <v>95</v>
      </c>
      <c r="L178" s="194" t="s">
        <v>15</v>
      </c>
      <c r="M178" s="194" t="s">
        <v>29</v>
      </c>
      <c r="N178" s="194" t="s">
        <v>87</v>
      </c>
      <c r="O178" s="194" t="s">
        <v>29</v>
      </c>
      <c r="Q178" s="193">
        <v>6</v>
      </c>
      <c r="R178" s="193">
        <v>2</v>
      </c>
      <c r="S178" s="193">
        <v>8</v>
      </c>
      <c r="T178" s="193">
        <v>19</v>
      </c>
      <c r="U178" s="193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4" t="s">
        <v>14</v>
      </c>
      <c r="L179" s="194" t="s">
        <v>15</v>
      </c>
      <c r="M179" s="194" t="s">
        <v>13</v>
      </c>
      <c r="N179" s="194" t="s">
        <v>28</v>
      </c>
      <c r="O179" s="194" t="s">
        <v>31</v>
      </c>
      <c r="Q179" s="193">
        <v>1</v>
      </c>
      <c r="R179" s="193">
        <v>2</v>
      </c>
      <c r="S179" s="193">
        <v>5</v>
      </c>
      <c r="T179" s="193">
        <v>9</v>
      </c>
      <c r="U179" s="193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93">
        <v>176</v>
      </c>
      <c r="K180" s="194" t="s">
        <v>31</v>
      </c>
      <c r="L180" s="194" t="s">
        <v>15</v>
      </c>
      <c r="M180" s="194" t="s">
        <v>13</v>
      </c>
      <c r="N180" s="194" t="s">
        <v>13</v>
      </c>
      <c r="O180" s="194" t="s">
        <v>30</v>
      </c>
      <c r="Q180" s="193">
        <v>7</v>
      </c>
      <c r="R180" s="193">
        <v>2</v>
      </c>
      <c r="S180" s="193">
        <v>5</v>
      </c>
      <c r="T180" s="193">
        <v>5</v>
      </c>
      <c r="U180" s="193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4" t="s">
        <v>95</v>
      </c>
      <c r="L181" s="194" t="s">
        <v>15</v>
      </c>
      <c r="M181" s="194" t="s">
        <v>31</v>
      </c>
      <c r="N181" s="194" t="s">
        <v>15</v>
      </c>
      <c r="O181" s="194" t="s">
        <v>30</v>
      </c>
      <c r="Q181" s="193">
        <v>6</v>
      </c>
      <c r="R181" s="193">
        <v>2</v>
      </c>
      <c r="S181" s="193">
        <v>7</v>
      </c>
      <c r="T181" s="193">
        <v>2</v>
      </c>
      <c r="U181" s="193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93">
        <v>178</v>
      </c>
      <c r="K182" s="194" t="s">
        <v>13</v>
      </c>
      <c r="L182" s="194" t="s">
        <v>30</v>
      </c>
      <c r="M182" s="194" t="s">
        <v>29</v>
      </c>
      <c r="N182" s="194" t="s">
        <v>14</v>
      </c>
      <c r="O182" s="194" t="s">
        <v>29</v>
      </c>
      <c r="Q182" s="193">
        <v>5</v>
      </c>
      <c r="R182" s="193">
        <v>10</v>
      </c>
      <c r="S182" s="193">
        <v>8</v>
      </c>
      <c r="T182" s="193">
        <v>1</v>
      </c>
      <c r="U182" s="193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4" t="s">
        <v>13</v>
      </c>
      <c r="L183" s="194" t="s">
        <v>28</v>
      </c>
      <c r="M183" s="194" t="s">
        <v>95</v>
      </c>
      <c r="N183" s="194" t="s">
        <v>29</v>
      </c>
      <c r="O183" s="194" t="s">
        <v>95</v>
      </c>
      <c r="Q183" s="193">
        <v>5</v>
      </c>
      <c r="R183" s="193">
        <v>9</v>
      </c>
      <c r="S183" s="193">
        <v>6</v>
      </c>
      <c r="T183" s="193">
        <v>8</v>
      </c>
      <c r="U183" s="193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93">
        <v>180</v>
      </c>
      <c r="K184" s="194" t="s">
        <v>13</v>
      </c>
      <c r="L184" s="194" t="s">
        <v>96</v>
      </c>
      <c r="M184" s="194" t="s">
        <v>95</v>
      </c>
      <c r="N184" s="194" t="s">
        <v>16</v>
      </c>
      <c r="O184" s="194" t="s">
        <v>12</v>
      </c>
      <c r="Q184" s="193">
        <v>5</v>
      </c>
      <c r="R184" s="193">
        <v>15</v>
      </c>
      <c r="S184" s="193">
        <v>6</v>
      </c>
      <c r="T184" s="193">
        <v>3</v>
      </c>
      <c r="U184" s="193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4" t="s">
        <v>29</v>
      </c>
      <c r="L185" s="194" t="s">
        <v>29</v>
      </c>
      <c r="M185" s="194" t="s">
        <v>13</v>
      </c>
      <c r="N185" s="194" t="s">
        <v>16</v>
      </c>
      <c r="O185" s="194" t="s">
        <v>29</v>
      </c>
      <c r="Q185" s="193">
        <v>8</v>
      </c>
      <c r="R185" s="193">
        <v>8</v>
      </c>
      <c r="S185" s="193">
        <v>5</v>
      </c>
      <c r="T185" s="193">
        <v>3</v>
      </c>
      <c r="U185" s="193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93">
        <v>182</v>
      </c>
      <c r="K186" s="194" t="s">
        <v>13</v>
      </c>
      <c r="L186" s="194" t="s">
        <v>31</v>
      </c>
      <c r="M186" s="194" t="s">
        <v>31</v>
      </c>
      <c r="N186" s="194" t="s">
        <v>95</v>
      </c>
      <c r="O186" s="194" t="s">
        <v>29</v>
      </c>
      <c r="Q186" s="193">
        <v>5</v>
      </c>
      <c r="R186" s="193">
        <v>7</v>
      </c>
      <c r="S186" s="193">
        <v>7</v>
      </c>
      <c r="T186" s="193">
        <v>6</v>
      </c>
      <c r="U186" s="193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4" t="s">
        <v>29</v>
      </c>
      <c r="L187" s="194" t="s">
        <v>28</v>
      </c>
      <c r="M187" s="194" t="s">
        <v>13</v>
      </c>
      <c r="N187" s="194" t="s">
        <v>96</v>
      </c>
      <c r="O187" s="194" t="s">
        <v>28</v>
      </c>
      <c r="Q187" s="193">
        <v>8</v>
      </c>
      <c r="R187" s="193">
        <v>9</v>
      </c>
      <c r="S187" s="193">
        <v>5</v>
      </c>
      <c r="T187" s="193">
        <v>15</v>
      </c>
      <c r="U187" s="193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93">
        <v>184</v>
      </c>
      <c r="K188" s="194" t="s">
        <v>12</v>
      </c>
      <c r="L188" s="194" t="s">
        <v>80</v>
      </c>
      <c r="M188" s="194" t="s">
        <v>29</v>
      </c>
      <c r="N188" s="194" t="s">
        <v>28</v>
      </c>
      <c r="O188" s="194" t="s">
        <v>30</v>
      </c>
      <c r="Q188" s="193">
        <v>4</v>
      </c>
      <c r="R188" s="193">
        <v>13</v>
      </c>
      <c r="S188" s="193">
        <v>8</v>
      </c>
      <c r="T188" s="193">
        <v>9</v>
      </c>
      <c r="U188" s="193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4" t="s">
        <v>29</v>
      </c>
      <c r="L189" s="194" t="s">
        <v>14</v>
      </c>
      <c r="M189" s="194" t="s">
        <v>13</v>
      </c>
      <c r="N189" s="194" t="s">
        <v>12</v>
      </c>
      <c r="O189" s="194" t="s">
        <v>29</v>
      </c>
      <c r="Q189" s="193">
        <v>8</v>
      </c>
      <c r="R189" s="193">
        <v>1</v>
      </c>
      <c r="S189" s="193">
        <v>5</v>
      </c>
      <c r="T189" s="193">
        <v>4</v>
      </c>
      <c r="U189" s="193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93">
        <v>186</v>
      </c>
      <c r="K190" s="194" t="s">
        <v>13</v>
      </c>
      <c r="L190" s="194" t="s">
        <v>85</v>
      </c>
      <c r="M190" s="194" t="s">
        <v>13</v>
      </c>
      <c r="N190" s="194" t="s">
        <v>14</v>
      </c>
      <c r="O190" s="194" t="s">
        <v>29</v>
      </c>
      <c r="Q190" s="193">
        <v>5</v>
      </c>
      <c r="R190" s="193">
        <v>18</v>
      </c>
      <c r="S190" s="193">
        <v>5</v>
      </c>
      <c r="T190" s="193">
        <v>1</v>
      </c>
      <c r="U190" s="193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4" t="s">
        <v>29</v>
      </c>
      <c r="L191" s="194" t="s">
        <v>15</v>
      </c>
      <c r="M191" s="194" t="s">
        <v>29</v>
      </c>
      <c r="N191" s="194" t="s">
        <v>95</v>
      </c>
      <c r="O191" s="194" t="s">
        <v>31</v>
      </c>
      <c r="Q191" s="193">
        <v>8</v>
      </c>
      <c r="R191" s="193">
        <v>2</v>
      </c>
      <c r="S191" s="193">
        <v>8</v>
      </c>
      <c r="T191" s="193">
        <v>6</v>
      </c>
      <c r="U191" s="193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93">
        <v>188</v>
      </c>
      <c r="K192" s="194" t="s">
        <v>95</v>
      </c>
      <c r="L192" s="194" t="s">
        <v>31</v>
      </c>
      <c r="M192" s="194" t="s">
        <v>29</v>
      </c>
      <c r="N192" s="194" t="s">
        <v>16</v>
      </c>
      <c r="O192" s="194" t="s">
        <v>31</v>
      </c>
      <c r="Q192" s="193">
        <v>6</v>
      </c>
      <c r="R192" s="193">
        <v>7</v>
      </c>
      <c r="S192" s="193">
        <v>8</v>
      </c>
      <c r="T192" s="193">
        <v>3</v>
      </c>
      <c r="U192" s="193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4" t="s">
        <v>13</v>
      </c>
      <c r="L193" s="194" t="s">
        <v>28</v>
      </c>
      <c r="M193" s="194" t="s">
        <v>31</v>
      </c>
      <c r="N193" s="194" t="s">
        <v>13</v>
      </c>
      <c r="O193" s="194" t="s">
        <v>28</v>
      </c>
      <c r="Q193" s="193">
        <v>5</v>
      </c>
      <c r="R193" s="193">
        <v>9</v>
      </c>
      <c r="S193" s="193">
        <v>7</v>
      </c>
      <c r="T193" s="193">
        <v>5</v>
      </c>
      <c r="U193" s="193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93">
        <v>190</v>
      </c>
      <c r="K194" s="194" t="s">
        <v>29</v>
      </c>
      <c r="L194" s="194" t="s">
        <v>12</v>
      </c>
      <c r="M194" s="194" t="s">
        <v>95</v>
      </c>
      <c r="N194" s="194" t="s">
        <v>13</v>
      </c>
      <c r="O194" s="194" t="s">
        <v>12</v>
      </c>
      <c r="Q194" s="193">
        <v>8</v>
      </c>
      <c r="R194" s="193">
        <v>4</v>
      </c>
      <c r="S194" s="193">
        <v>6</v>
      </c>
      <c r="T194" s="193">
        <v>5</v>
      </c>
      <c r="U194" s="193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4" t="s">
        <v>28</v>
      </c>
      <c r="L195" s="194" t="s">
        <v>95</v>
      </c>
      <c r="M195" s="194" t="s">
        <v>28</v>
      </c>
      <c r="N195" s="194" t="s">
        <v>87</v>
      </c>
      <c r="O195" s="194" t="s">
        <v>29</v>
      </c>
      <c r="Q195" s="193">
        <v>9</v>
      </c>
      <c r="R195" s="193">
        <v>6</v>
      </c>
      <c r="S195" s="193">
        <v>9</v>
      </c>
      <c r="T195" s="193">
        <v>19</v>
      </c>
      <c r="U195" s="193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93">
        <v>192</v>
      </c>
      <c r="K196" s="194" t="s">
        <v>13</v>
      </c>
      <c r="L196" s="194" t="s">
        <v>15</v>
      </c>
      <c r="M196" s="194" t="s">
        <v>13</v>
      </c>
      <c r="N196" s="194" t="s">
        <v>29</v>
      </c>
      <c r="O196" s="194" t="s">
        <v>95</v>
      </c>
      <c r="Q196" s="193">
        <v>5</v>
      </c>
      <c r="R196" s="193">
        <v>2</v>
      </c>
      <c r="S196" s="193">
        <v>5</v>
      </c>
      <c r="T196" s="193">
        <v>8</v>
      </c>
      <c r="U196" s="193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4" t="s">
        <v>29</v>
      </c>
      <c r="L197" s="194" t="s">
        <v>82</v>
      </c>
      <c r="M197" s="194" t="s">
        <v>31</v>
      </c>
      <c r="N197" s="194" t="s">
        <v>16</v>
      </c>
      <c r="O197" s="194" t="s">
        <v>29</v>
      </c>
      <c r="Q197" s="193">
        <v>8</v>
      </c>
      <c r="R197" s="193">
        <v>16</v>
      </c>
      <c r="S197" s="193">
        <v>7</v>
      </c>
      <c r="T197" s="193">
        <v>3</v>
      </c>
      <c r="U197" s="193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93">
        <v>194</v>
      </c>
      <c r="K198" s="194" t="s">
        <v>31</v>
      </c>
      <c r="L198" s="194" t="s">
        <v>12</v>
      </c>
      <c r="M198" s="194" t="s">
        <v>31</v>
      </c>
      <c r="N198" s="194" t="s">
        <v>30</v>
      </c>
      <c r="O198" s="194" t="s">
        <v>16</v>
      </c>
      <c r="Q198" s="193">
        <v>7</v>
      </c>
      <c r="R198" s="193">
        <v>4</v>
      </c>
      <c r="S198" s="193">
        <v>7</v>
      </c>
      <c r="T198" s="193">
        <v>10</v>
      </c>
      <c r="U198" s="193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4" t="s">
        <v>13</v>
      </c>
      <c r="L199" s="194" t="s">
        <v>28</v>
      </c>
      <c r="M199" s="194" t="s">
        <v>13</v>
      </c>
      <c r="N199" s="194" t="s">
        <v>13</v>
      </c>
      <c r="O199" s="194" t="s">
        <v>31</v>
      </c>
      <c r="Q199" s="193">
        <v>5</v>
      </c>
      <c r="R199" s="193">
        <v>9</v>
      </c>
      <c r="S199" s="193">
        <v>5</v>
      </c>
      <c r="T199" s="193">
        <v>5</v>
      </c>
      <c r="U199" s="193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93">
        <v>196</v>
      </c>
      <c r="K200" s="194" t="s">
        <v>95</v>
      </c>
      <c r="L200" s="194" t="s">
        <v>85</v>
      </c>
      <c r="M200" s="194" t="s">
        <v>29</v>
      </c>
      <c r="N200" s="194" t="s">
        <v>28</v>
      </c>
      <c r="O200" s="194" t="s">
        <v>31</v>
      </c>
      <c r="Q200" s="193">
        <v>6</v>
      </c>
      <c r="R200" s="193">
        <v>18</v>
      </c>
      <c r="S200" s="193">
        <v>8</v>
      </c>
      <c r="T200" s="193">
        <v>9</v>
      </c>
      <c r="U200" s="193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4" t="s">
        <v>13</v>
      </c>
      <c r="L201" s="194" t="s">
        <v>28</v>
      </c>
      <c r="M201" s="194" t="s">
        <v>95</v>
      </c>
      <c r="N201" s="194" t="s">
        <v>28</v>
      </c>
      <c r="O201" s="194" t="s">
        <v>95</v>
      </c>
      <c r="Q201" s="193">
        <v>5</v>
      </c>
      <c r="R201" s="193">
        <v>9</v>
      </c>
      <c r="S201" s="193">
        <v>6</v>
      </c>
      <c r="T201" s="193">
        <v>9</v>
      </c>
      <c r="U201" s="193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93">
        <v>198</v>
      </c>
      <c r="K202" s="194" t="s">
        <v>95</v>
      </c>
      <c r="L202" s="194" t="s">
        <v>13</v>
      </c>
      <c r="M202" s="194" t="s">
        <v>29</v>
      </c>
      <c r="N202" s="194" t="s">
        <v>96</v>
      </c>
      <c r="O202" s="194" t="s">
        <v>95</v>
      </c>
      <c r="Q202" s="193">
        <v>6</v>
      </c>
      <c r="R202" s="193">
        <v>5</v>
      </c>
      <c r="S202" s="193">
        <v>8</v>
      </c>
      <c r="T202" s="193">
        <v>15</v>
      </c>
      <c r="U202" s="193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4" t="s">
        <v>31</v>
      </c>
      <c r="L203" s="194" t="s">
        <v>79</v>
      </c>
      <c r="M203" s="194" t="s">
        <v>29</v>
      </c>
      <c r="N203" s="194" t="s">
        <v>79</v>
      </c>
      <c r="O203" s="194" t="s">
        <v>12</v>
      </c>
      <c r="Q203" s="193">
        <v>7</v>
      </c>
      <c r="R203" s="193">
        <v>12</v>
      </c>
      <c r="S203" s="193">
        <v>8</v>
      </c>
      <c r="T203" s="193">
        <v>12</v>
      </c>
      <c r="U203" s="193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37" priority="71">
      <formula>_xlfn.LET(_xlpm.x, W4, AND(NOT(_xlfn.ISFORMULA(_xlpm.x)), _xlpm.x&lt;&gt;""))</formula>
    </cfRule>
  </conditionalFormatting>
  <conditionalFormatting sqref="W4:AA203">
    <cfRule type="expression" dxfId="36" priority="66">
      <formula>_xlfn.LET(_xlpm.x, W4, AND(NOT(_xlfn.ISFORMULA(_xlpm.x)), _xlpm.x&lt;&gt;""))</formula>
    </cfRule>
  </conditionalFormatting>
  <conditionalFormatting sqref="K1:O1048576">
    <cfRule type="cellIs" dxfId="35" priority="15" operator="equal">
      <formula>"C1"</formula>
    </cfRule>
    <cfRule type="cellIs" dxfId="34" priority="16" operator="between">
      <formula>"G1"</formula>
      <formula>"G5"</formula>
    </cfRule>
    <cfRule type="cellIs" dxfId="33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32" priority="10" operator="equal">
      <formula>"C1"</formula>
    </cfRule>
    <cfRule type="cellIs" dxfId="31" priority="11" operator="between">
      <formula>"G1"</formula>
      <formula>"G4"</formula>
    </cfRule>
    <cfRule type="cellIs" dxfId="30" priority="12" operator="between">
      <formula>"GA"</formula>
      <formula>"GQ"</formula>
    </cfRule>
    <cfRule type="cellIs" dxfId="29" priority="13" operator="between">
      <formula>"M1"</formula>
      <formula>"M4"</formula>
    </cfRule>
  </conditionalFormatting>
  <conditionalFormatting sqref="E52:E54">
    <cfRule type="cellIs" dxfId="28" priority="6" operator="equal">
      <formula>"C1"</formula>
    </cfRule>
    <cfRule type="cellIs" dxfId="27" priority="7" operator="between">
      <formula>"G1"</formula>
      <formula>"G4"</formula>
    </cfRule>
    <cfRule type="cellIs" dxfId="26" priority="8" operator="between">
      <formula>"GA"</formula>
      <formula>"GQ"</formula>
    </cfRule>
    <cfRule type="cellIs" dxfId="25" priority="9" operator="between">
      <formula>"M1"</formula>
      <formula>"M4"</formula>
    </cfRule>
  </conditionalFormatting>
  <conditionalFormatting sqref="F52:F54">
    <cfRule type="cellIs" dxfId="24" priority="2" operator="equal">
      <formula>"C1"</formula>
    </cfRule>
    <cfRule type="cellIs" dxfId="23" priority="3" operator="between">
      <formula>"G1"</formula>
      <formula>"G4"</formula>
    </cfRule>
    <cfRule type="cellIs" dxfId="22" priority="4" operator="between">
      <formula>"GA"</formula>
      <formula>"GQ"</formula>
    </cfRule>
    <cfRule type="cellIs" dxfId="21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F293-373B-4F9E-BEE0-B02CAC8D3F43}">
  <sheetPr codeName="工作表14"/>
  <dimension ref="B2:AW96"/>
  <sheetViews>
    <sheetView workbookViewId="0"/>
  </sheetViews>
  <sheetFormatPr defaultRowHeight="15.6"/>
  <cols>
    <col min="1" max="1" width="8.88671875" style="15"/>
    <col min="2" max="2" width="9" style="15" hidden="1" customWidth="1"/>
    <col min="3" max="5" width="9.6640625" style="15" hidden="1" customWidth="1"/>
    <col min="6" max="6" width="0" style="15" hidden="1" customWidth="1"/>
    <col min="7" max="7" width="21.21875" style="15" hidden="1" customWidth="1"/>
    <col min="8" max="8" width="11" style="15" hidden="1" customWidth="1"/>
    <col min="9" max="9" width="9.5546875" style="15" hidden="1" customWidth="1"/>
    <col min="10" max="10" width="21.21875" style="15" hidden="1" customWidth="1"/>
    <col min="11" max="11" width="9.6640625" style="15" hidden="1" customWidth="1"/>
    <col min="12" max="12" width="9.5546875" style="15" hidden="1" customWidth="1"/>
    <col min="13" max="13" width="10.44140625" style="15" bestFit="1" customWidth="1"/>
    <col min="14" max="17" width="9.77734375" style="15" customWidth="1"/>
    <col min="18" max="18" width="9.5546875" style="15" bestFit="1" customWidth="1"/>
    <col min="19" max="19" width="10.44140625" style="15" bestFit="1" customWidth="1"/>
    <col min="20" max="23" width="9.77734375" style="15" customWidth="1"/>
    <col min="24" max="24" width="9.5546875" style="15" bestFit="1" customWidth="1"/>
    <col min="25" max="28" width="11" style="15" customWidth="1"/>
    <col min="29" max="31" width="11.21875" style="15" customWidth="1"/>
    <col min="32" max="32" width="8.88671875" style="15"/>
    <col min="33" max="35" width="11.21875" style="15" customWidth="1"/>
    <col min="36" max="16384" width="8.88671875" style="15"/>
  </cols>
  <sheetData>
    <row r="2" spans="2:31">
      <c r="B2" s="15" t="s">
        <v>127</v>
      </c>
      <c r="F2" s="143">
        <f>Parameter!L5+Parameter!L7</f>
        <v>0.89999999999999991</v>
      </c>
      <c r="G2" s="143">
        <f>Parameter!L6</f>
        <v>0.1</v>
      </c>
      <c r="M2" s="15" t="s">
        <v>126</v>
      </c>
      <c r="S2" s="15" t="s">
        <v>191</v>
      </c>
    </row>
    <row r="3" spans="2:31">
      <c r="B3" s="121" t="s">
        <v>65</v>
      </c>
      <c r="C3" s="121" t="s">
        <v>126</v>
      </c>
      <c r="D3" s="121" t="s">
        <v>181</v>
      </c>
      <c r="E3" s="121" t="s">
        <v>182</v>
      </c>
      <c r="M3" s="126" t="s">
        <v>186</v>
      </c>
      <c r="N3" s="126" t="s">
        <v>91</v>
      </c>
      <c r="O3" s="126" t="s">
        <v>92</v>
      </c>
      <c r="P3" s="126" t="s">
        <v>184</v>
      </c>
      <c r="Q3" s="126" t="s">
        <v>185</v>
      </c>
      <c r="S3" s="126" t="s">
        <v>186</v>
      </c>
      <c r="T3" s="126" t="s">
        <v>91</v>
      </c>
      <c r="U3" s="126" t="s">
        <v>92</v>
      </c>
      <c r="V3" s="126" t="s">
        <v>184</v>
      </c>
      <c r="W3" s="126" t="s">
        <v>185</v>
      </c>
      <c r="Y3" s="15" t="s">
        <v>192</v>
      </c>
      <c r="Z3" s="15" t="s">
        <v>193</v>
      </c>
      <c r="AA3" s="15" t="s">
        <v>92</v>
      </c>
    </row>
    <row r="4" spans="2:31">
      <c r="B4" s="113">
        <v>0</v>
      </c>
      <c r="C4" s="144">
        <v>0.12890728185260192</v>
      </c>
      <c r="D4" s="147">
        <v>0.17979999999999999</v>
      </c>
      <c r="E4" s="147">
        <v>0</v>
      </c>
      <c r="F4" s="138" cm="1">
        <f t="array" ref="F4:F13">D4:D13*F2+E4:E13*G2</f>
        <v>0.16181999999999996</v>
      </c>
      <c r="G4" s="15">
        <v>0</v>
      </c>
      <c r="H4" s="138" cm="1">
        <f t="array" ref="H4:H13">G4:G13/10000</f>
        <v>0</v>
      </c>
      <c r="M4" s="154">
        <v>0</v>
      </c>
      <c r="N4" s="153">
        <v>0.12890728185260192</v>
      </c>
      <c r="O4" s="153">
        <v>5.6827150749802685E-2</v>
      </c>
      <c r="P4" s="153">
        <v>0.1214574898785425</v>
      </c>
      <c r="Q4" s="153">
        <v>0.14634146341463414</v>
      </c>
      <c r="S4" s="154">
        <v>0</v>
      </c>
      <c r="T4" s="153">
        <v>4.3664399999999999E-2</v>
      </c>
      <c r="U4" s="153">
        <v>0</v>
      </c>
      <c r="V4" s="153">
        <v>0</v>
      </c>
      <c r="W4" s="153">
        <v>0</v>
      </c>
    </row>
    <row r="5" spans="2:31">
      <c r="B5" s="113">
        <v>1</v>
      </c>
      <c r="C5" s="144">
        <v>0.30351325173901561</v>
      </c>
      <c r="D5" s="147">
        <v>0.35339999999999999</v>
      </c>
      <c r="E5" s="147">
        <v>0</v>
      </c>
      <c r="F5" s="138">
        <v>0.31805999999999995</v>
      </c>
      <c r="G5" s="15" cm="1">
        <f t="array" ref="G5:G13">TRANSPOSE(Parameter!AD5:AL5)</f>
        <v>300</v>
      </c>
      <c r="H5" s="138">
        <v>0.03</v>
      </c>
      <c r="M5" s="155">
        <v>1</v>
      </c>
      <c r="N5" s="137">
        <v>0.30351325173901561</v>
      </c>
      <c r="O5" s="137">
        <v>0.14601420678768745</v>
      </c>
      <c r="P5" s="137">
        <v>0.22672064777327935</v>
      </c>
      <c r="Q5" s="137">
        <v>0.3902439024390244</v>
      </c>
      <c r="S5" s="155">
        <v>1</v>
      </c>
      <c r="T5" s="137">
        <v>0.31492110000000001</v>
      </c>
      <c r="U5" s="137">
        <v>0</v>
      </c>
      <c r="V5" s="137">
        <v>0</v>
      </c>
      <c r="W5" s="137">
        <v>0</v>
      </c>
      <c r="Y5" s="15" cm="1">
        <f t="array" ref="Y5:Y13">TRANSPOSE(Parameter!AD5:AL5)</f>
        <v>300</v>
      </c>
      <c r="Z5" s="15" cm="1">
        <f t="array" ref="Z5:Z13">TRANSPOSE(Parameter!AD6:AL6)</f>
        <v>0</v>
      </c>
      <c r="AA5" s="15" cm="1">
        <f t="array" ref="AA5:AA13">TRANSPOSE(Parameter!AD8:AL8)</f>
        <v>0</v>
      </c>
      <c r="AC5" s="138" cm="1">
        <f t="array" ref="AC5:AC13">_xlfn.ANCHORARRAY(Y5)/10000</f>
        <v>0.03</v>
      </c>
      <c r="AD5" s="138" cm="1">
        <f t="array" ref="AD5:AD13">_xlfn.ANCHORARRAY(Z5)/10000</f>
        <v>0</v>
      </c>
      <c r="AE5" s="138" cm="1">
        <f t="array" ref="AE5:AE13">_xlfn.ANCHORARRAY(AA5)/10000</f>
        <v>0</v>
      </c>
    </row>
    <row r="6" spans="2:31">
      <c r="B6" s="113">
        <v>2</v>
      </c>
      <c r="C6" s="144">
        <v>0.30338117460596986</v>
      </c>
      <c r="D6" s="147">
        <v>0.29630000000000001</v>
      </c>
      <c r="E6" s="147">
        <v>0</v>
      </c>
      <c r="F6" s="138">
        <v>0.26666999999999996</v>
      </c>
      <c r="G6" s="15">
        <v>600</v>
      </c>
      <c r="H6" s="138">
        <v>0.06</v>
      </c>
      <c r="M6" s="155">
        <v>2</v>
      </c>
      <c r="N6" s="137">
        <v>0.30338117460596986</v>
      </c>
      <c r="O6" s="137">
        <v>0.23993685872138912</v>
      </c>
      <c r="P6" s="137">
        <v>0.25506072874493929</v>
      </c>
      <c r="Q6" s="137">
        <v>0.26829268292682928</v>
      </c>
      <c r="S6" s="155">
        <v>2</v>
      </c>
      <c r="T6" s="137">
        <v>0.35247650000000003</v>
      </c>
      <c r="U6" s="137">
        <v>0</v>
      </c>
      <c r="V6" s="137">
        <v>0</v>
      </c>
      <c r="W6" s="137">
        <v>0</v>
      </c>
      <c r="Y6" s="15">
        <v>600</v>
      </c>
      <c r="Z6" s="15">
        <v>0</v>
      </c>
      <c r="AA6" s="15">
        <v>0</v>
      </c>
      <c r="AC6" s="138">
        <v>0.06</v>
      </c>
      <c r="AD6" s="138">
        <v>0</v>
      </c>
      <c r="AE6" s="138">
        <v>0</v>
      </c>
    </row>
    <row r="7" spans="2:31">
      <c r="B7" s="113">
        <v>3</v>
      </c>
      <c r="C7" s="144">
        <v>0.18173813507088141</v>
      </c>
      <c r="D7" s="147">
        <v>0.13270000000000001</v>
      </c>
      <c r="E7" s="147">
        <v>0.17960000000000001</v>
      </c>
      <c r="F7" s="138">
        <v>0.13738999999999998</v>
      </c>
      <c r="G7" s="15">
        <v>1080</v>
      </c>
      <c r="H7" s="138">
        <v>0.108</v>
      </c>
      <c r="M7" s="155">
        <v>3</v>
      </c>
      <c r="N7" s="137">
        <v>0.18173813507088141</v>
      </c>
      <c r="O7" s="137">
        <v>0.24072612470402527</v>
      </c>
      <c r="P7" s="137">
        <v>0.20647773279352227</v>
      </c>
      <c r="Q7" s="137">
        <v>0.12195121951219512</v>
      </c>
      <c r="S7" s="155">
        <v>3</v>
      </c>
      <c r="T7" s="137">
        <v>0.16485949999999999</v>
      </c>
      <c r="U7" s="137">
        <v>0.17066543425199321</v>
      </c>
      <c r="V7" s="137">
        <v>0.27341059521774169</v>
      </c>
      <c r="W7" s="137">
        <v>0.34563942836203743</v>
      </c>
      <c r="Y7" s="15">
        <v>1080</v>
      </c>
      <c r="Z7" s="15">
        <v>525</v>
      </c>
      <c r="AA7" s="15">
        <v>525</v>
      </c>
      <c r="AC7" s="138">
        <v>0.108</v>
      </c>
      <c r="AD7" s="138">
        <v>5.2499999999999998E-2</v>
      </c>
      <c r="AE7" s="138">
        <v>5.2499999999999998E-2</v>
      </c>
    </row>
    <row r="8" spans="2:31">
      <c r="B8" s="113">
        <v>4</v>
      </c>
      <c r="C8" s="144">
        <v>6.3705203839042004E-2</v>
      </c>
      <c r="D8" s="147">
        <v>3.3300000000000003E-2</v>
      </c>
      <c r="E8" s="147">
        <v>0.38219999999999998</v>
      </c>
      <c r="F8" s="138">
        <v>6.8190000000000001E-2</v>
      </c>
      <c r="G8" s="15">
        <v>1440</v>
      </c>
      <c r="H8" s="138">
        <v>0.14399999999999999</v>
      </c>
      <c r="M8" s="155">
        <v>4</v>
      </c>
      <c r="N8" s="137">
        <v>6.3705203839042004E-2</v>
      </c>
      <c r="O8" s="137">
        <v>0.17363851617995266</v>
      </c>
      <c r="P8" s="137">
        <v>8.9068825910931168E-2</v>
      </c>
      <c r="Q8" s="137">
        <v>2.4390243902439025E-2</v>
      </c>
      <c r="S8" s="155">
        <v>4</v>
      </c>
      <c r="T8" s="137">
        <v>6.9643399999999994E-2</v>
      </c>
      <c r="U8" s="137">
        <v>0.39462506183361939</v>
      </c>
      <c r="V8" s="137">
        <v>0.40069120484576121</v>
      </c>
      <c r="W8" s="137">
        <v>0.42079516306339321</v>
      </c>
      <c r="Y8" s="15">
        <v>1440</v>
      </c>
      <c r="Z8" s="15">
        <v>700</v>
      </c>
      <c r="AA8" s="15">
        <v>700</v>
      </c>
      <c r="AC8" s="138">
        <v>0.14399999999999999</v>
      </c>
      <c r="AD8" s="138">
        <v>7.0000000000000007E-2</v>
      </c>
      <c r="AE8" s="138">
        <v>7.0000000000000007E-2</v>
      </c>
    </row>
    <row r="9" spans="2:31">
      <c r="B9" s="113">
        <v>5</v>
      </c>
      <c r="C9" s="144">
        <v>1.4748613190103021E-2</v>
      </c>
      <c r="D9" s="147">
        <v>4.4000000000000003E-3</v>
      </c>
      <c r="E9" s="147">
        <v>0.29920000000000002</v>
      </c>
      <c r="F9" s="138">
        <v>3.388E-2</v>
      </c>
      <c r="G9" s="15">
        <v>2250</v>
      </c>
      <c r="H9" s="138">
        <v>0.22500000000000001</v>
      </c>
      <c r="M9" s="155">
        <v>5</v>
      </c>
      <c r="N9" s="137">
        <v>1.4748613190103021E-2</v>
      </c>
      <c r="O9" s="137">
        <v>0.10023677979479084</v>
      </c>
      <c r="P9" s="137">
        <v>7.6923076923076927E-2</v>
      </c>
      <c r="Q9" s="137">
        <v>4.878048780487805E-2</v>
      </c>
      <c r="S9" s="155">
        <v>5</v>
      </c>
      <c r="T9" s="137">
        <v>3.9675799999999997E-2</v>
      </c>
      <c r="U9" s="137">
        <v>0.30825772020316261</v>
      </c>
      <c r="V9" s="137">
        <v>0.23469213296534211</v>
      </c>
      <c r="W9" s="137">
        <v>0.19085745694393549</v>
      </c>
      <c r="Y9" s="15">
        <v>2250</v>
      </c>
      <c r="Z9" s="15">
        <v>1750</v>
      </c>
      <c r="AA9" s="15">
        <v>1750</v>
      </c>
      <c r="AC9" s="138">
        <v>0.22500000000000001</v>
      </c>
      <c r="AD9" s="138">
        <v>0.17499999999999999</v>
      </c>
      <c r="AE9" s="138">
        <v>0.17499999999999999</v>
      </c>
    </row>
    <row r="10" spans="2:31">
      <c r="B10" s="113">
        <v>6</v>
      </c>
      <c r="C10" s="144">
        <v>3.6101083032490976E-3</v>
      </c>
      <c r="D10" s="147">
        <v>2.0000000000000001E-4</v>
      </c>
      <c r="E10" s="147">
        <v>0.1134</v>
      </c>
      <c r="F10" s="138">
        <v>1.1520000000000001E-2</v>
      </c>
      <c r="G10" s="15">
        <v>2700</v>
      </c>
      <c r="H10" s="138">
        <v>0.27</v>
      </c>
      <c r="M10" s="155">
        <v>6</v>
      </c>
      <c r="N10" s="137">
        <v>3.6101083032490976E-3</v>
      </c>
      <c r="O10" s="137">
        <v>3.1570639305445937E-2</v>
      </c>
      <c r="P10" s="137">
        <v>1.2145748987854251E-2</v>
      </c>
      <c r="Q10" s="137">
        <v>0</v>
      </c>
      <c r="S10" s="155">
        <v>6</v>
      </c>
      <c r="T10" s="137">
        <v>1.29564E-2</v>
      </c>
      <c r="U10" s="137">
        <v>0.104598098891988</v>
      </c>
      <c r="V10" s="137">
        <v>7.5171580001465454E-2</v>
      </c>
      <c r="W10" s="137">
        <v>3.8090875778673497E-2</v>
      </c>
      <c r="Y10" s="15">
        <v>2700</v>
      </c>
      <c r="Z10" s="15">
        <v>2100</v>
      </c>
      <c r="AA10" s="15">
        <v>2100</v>
      </c>
      <c r="AC10" s="138">
        <v>0.27</v>
      </c>
      <c r="AD10" s="138">
        <v>0.21</v>
      </c>
      <c r="AE10" s="138">
        <v>0.21</v>
      </c>
    </row>
    <row r="11" spans="2:31">
      <c r="B11" s="113">
        <v>7</v>
      </c>
      <c r="C11" s="144">
        <v>3.9623139913709608E-4</v>
      </c>
      <c r="D11" s="147">
        <v>0</v>
      </c>
      <c r="E11" s="147">
        <v>2.3E-2</v>
      </c>
      <c r="F11" s="138">
        <v>2.3E-3</v>
      </c>
      <c r="G11" s="15">
        <v>3150</v>
      </c>
      <c r="H11" s="138">
        <v>0.315</v>
      </c>
      <c r="M11" s="155">
        <v>7</v>
      </c>
      <c r="N11" s="137">
        <v>3.9623139913709608E-4</v>
      </c>
      <c r="O11" s="137">
        <v>1.0260457774269928E-2</v>
      </c>
      <c r="P11" s="137">
        <v>1.2145748987854251E-2</v>
      </c>
      <c r="Q11" s="137">
        <v>0</v>
      </c>
      <c r="S11" s="155">
        <v>7</v>
      </c>
      <c r="T11" s="137">
        <v>1.6918E-3</v>
      </c>
      <c r="U11" s="137">
        <v>1.9803014925997061E-2</v>
      </c>
      <c r="V11" s="137">
        <v>1.4459126102142001E-2</v>
      </c>
      <c r="W11" s="137">
        <v>4.3972150971051671E-3</v>
      </c>
      <c r="Y11" s="15">
        <v>3150</v>
      </c>
      <c r="Z11" s="15">
        <v>3675</v>
      </c>
      <c r="AA11" s="15">
        <v>3675</v>
      </c>
      <c r="AC11" s="138">
        <v>0.315</v>
      </c>
      <c r="AD11" s="138">
        <v>0.36749999999999999</v>
      </c>
      <c r="AE11" s="138">
        <v>0.36749999999999999</v>
      </c>
    </row>
    <row r="12" spans="2:31">
      <c r="B12" s="113">
        <v>8</v>
      </c>
      <c r="C12" s="144">
        <v>0</v>
      </c>
      <c r="D12" s="147">
        <v>0</v>
      </c>
      <c r="E12" s="147">
        <v>2.3999999999999998E-3</v>
      </c>
      <c r="F12" s="138">
        <v>2.3999999999999998E-4</v>
      </c>
      <c r="G12" s="15">
        <v>3600</v>
      </c>
      <c r="H12" s="138">
        <v>0.36</v>
      </c>
      <c r="M12" s="155">
        <v>8</v>
      </c>
      <c r="N12" s="137">
        <v>0</v>
      </c>
      <c r="O12" s="137">
        <v>7.8926598263614838E-4</v>
      </c>
      <c r="P12" s="137">
        <v>0</v>
      </c>
      <c r="Q12" s="137">
        <v>0</v>
      </c>
      <c r="S12" s="155">
        <v>8</v>
      </c>
      <c r="T12" s="137">
        <v>1.111E-4</v>
      </c>
      <c r="U12" s="137">
        <v>1.9554519253769821E-3</v>
      </c>
      <c r="V12" s="137">
        <v>1.5753608675475659E-3</v>
      </c>
      <c r="W12" s="137">
        <v>2.198607548552583E-4</v>
      </c>
      <c r="Y12" s="15">
        <v>3600</v>
      </c>
      <c r="Z12" s="15">
        <v>4200</v>
      </c>
      <c r="AA12" s="15">
        <v>4200</v>
      </c>
      <c r="AC12" s="138">
        <v>0.36</v>
      </c>
      <c r="AD12" s="138">
        <v>0.42</v>
      </c>
      <c r="AE12" s="138">
        <v>0.42</v>
      </c>
    </row>
    <row r="13" spans="2:31">
      <c r="B13" s="113">
        <v>9</v>
      </c>
      <c r="C13" s="144">
        <v>0</v>
      </c>
      <c r="D13" s="147">
        <v>0</v>
      </c>
      <c r="E13" s="147">
        <v>1E-4</v>
      </c>
      <c r="F13" s="138">
        <v>1.0000000000000001E-5</v>
      </c>
      <c r="G13" s="15">
        <v>4050</v>
      </c>
      <c r="H13" s="138">
        <v>0.40500000000000003</v>
      </c>
      <c r="M13" s="155">
        <v>9</v>
      </c>
      <c r="N13" s="137">
        <v>0</v>
      </c>
      <c r="O13" s="137">
        <v>0</v>
      </c>
      <c r="P13" s="137">
        <v>0</v>
      </c>
      <c r="Q13" s="137">
        <v>0</v>
      </c>
      <c r="S13" s="155">
        <v>9</v>
      </c>
      <c r="T13" s="137">
        <v>0</v>
      </c>
      <c r="U13" s="137">
        <v>9.5217967862774646E-5</v>
      </c>
      <c r="V13" s="137">
        <v>0</v>
      </c>
      <c r="W13" s="137">
        <v>0</v>
      </c>
      <c r="Y13" s="15">
        <v>4050</v>
      </c>
      <c r="Z13" s="15">
        <v>4725</v>
      </c>
      <c r="AA13" s="15">
        <v>4725</v>
      </c>
      <c r="AC13" s="138">
        <v>0.40500000000000003</v>
      </c>
      <c r="AD13" s="138">
        <v>0.47249999999999998</v>
      </c>
      <c r="AE13" s="138">
        <v>0.47249999999999998</v>
      </c>
    </row>
    <row r="14" spans="2:31">
      <c r="M14" s="155" t="s">
        <v>187</v>
      </c>
      <c r="N14" s="152">
        <f>SUMPRODUCT($M$4:$M$13,N4:N13)</f>
        <v>1.808488157083737</v>
      </c>
      <c r="O14" s="152">
        <f t="shared" ref="O14:Q14" si="0">SUMPRODUCT($M$4:$M$13,O4:O13)</f>
        <v>2.8113654301499604</v>
      </c>
      <c r="P14" s="152">
        <f t="shared" si="0"/>
        <v>2.2550607287449393</v>
      </c>
      <c r="Q14" s="152">
        <f t="shared" si="0"/>
        <v>1.6341463414634148</v>
      </c>
      <c r="S14" s="155" t="s">
        <v>187</v>
      </c>
      <c r="T14" s="152">
        <f>SUMPRODUCT($M$4:$M$13,T4:T13)</f>
        <v>2.0818749999999997</v>
      </c>
      <c r="U14" s="152">
        <f t="shared" ref="U14" si="1">SUMPRODUCT($M$4:$M$13,U4:U13)</f>
        <v>4.4144954260539579</v>
      </c>
      <c r="V14" s="152">
        <f t="shared" ref="V14" si="2">SUMPRODUCT($M$4:$M$13,V4:V13)</f>
        <v>4.1613035195271477</v>
      </c>
      <c r="W14" s="152">
        <f t="shared" ref="W14" si="3">SUMPRODUCT($M$4:$M$13,W4:W13)</f>
        <v>3.9354708684499817</v>
      </c>
    </row>
    <row r="15" spans="2:31">
      <c r="G15" s="15" t="s">
        <v>183</v>
      </c>
      <c r="T15" s="151" cm="1">
        <f t="array" ref="T15:W15">T14:W14/N14:Q14</f>
        <v>1.1511687217001798</v>
      </c>
      <c r="U15" s="151">
        <v>1.5702318093235164</v>
      </c>
      <c r="V15" s="151">
        <v>1.8453177187131158</v>
      </c>
      <c r="W15" s="151">
        <v>2.408273218006705</v>
      </c>
      <c r="AB15" s="15" t="s">
        <v>194</v>
      </c>
      <c r="AC15" s="138">
        <f>SUMPRODUCT(T5:T13,AC5:AC13)</f>
        <v>7.14278946E-2</v>
      </c>
      <c r="AD15" s="138">
        <f>SUMPRODUCT(U5:U13,AD5:AD13)</f>
        <v>0.12063827971323134</v>
      </c>
      <c r="AE15" s="138">
        <f>SUMPRODUCT(U5:U13,AE5:AE13)</f>
        <v>0.12063827971323134</v>
      </c>
    </row>
    <row r="16" spans="2:31">
      <c r="G16" s="138">
        <f>SUMPRODUCT(H4:H13,D4:D13)</f>
        <v>4.8550799999999991E-2</v>
      </c>
      <c r="H16" s="151">
        <f>1/G16</f>
        <v>20.596982953936912</v>
      </c>
      <c r="AC16" s="138" cm="1">
        <f t="array" ref="AC16:AE16">1-AC15:AE15</f>
        <v>0.92857210540000001</v>
      </c>
      <c r="AD16" s="138">
        <v>0.87936172028676862</v>
      </c>
      <c r="AE16" s="138">
        <v>0.87936172028676862</v>
      </c>
    </row>
    <row r="17" spans="2:49">
      <c r="B17" s="15" t="s">
        <v>188</v>
      </c>
      <c r="M17" s="15" t="s">
        <v>126</v>
      </c>
      <c r="S17" s="15" t="s">
        <v>125</v>
      </c>
      <c r="Y17" s="15" t="s">
        <v>192</v>
      </c>
      <c r="AC17" s="15" t="s">
        <v>193</v>
      </c>
      <c r="AG17" s="15" t="s">
        <v>92</v>
      </c>
    </row>
    <row r="18" spans="2:49">
      <c r="B18" s="121"/>
      <c r="C18" s="121" t="s">
        <v>126</v>
      </c>
      <c r="D18" s="121" t="s">
        <v>181</v>
      </c>
      <c r="E18" s="121" t="s">
        <v>182</v>
      </c>
      <c r="G18" s="15" t="s">
        <v>179</v>
      </c>
      <c r="H18" s="15" t="s">
        <v>180</v>
      </c>
      <c r="M18" s="126" t="s">
        <v>189</v>
      </c>
      <c r="N18" s="126" t="s">
        <v>91</v>
      </c>
      <c r="O18" s="126" t="s">
        <v>92</v>
      </c>
      <c r="S18" s="126" t="s">
        <v>189</v>
      </c>
      <c r="T18" s="126" t="s">
        <v>91</v>
      </c>
      <c r="U18" s="126" t="s">
        <v>192</v>
      </c>
      <c r="V18" s="126" t="s">
        <v>193</v>
      </c>
      <c r="W18" s="126" t="s">
        <v>92</v>
      </c>
      <c r="Y18" s="121" t="s">
        <v>179</v>
      </c>
      <c r="Z18" s="121" t="s">
        <v>180</v>
      </c>
      <c r="AA18" s="121"/>
      <c r="AC18" s="121" t="s">
        <v>179</v>
      </c>
      <c r="AD18" s="121" t="s">
        <v>180</v>
      </c>
      <c r="AE18" s="121"/>
      <c r="AG18" s="121" t="s">
        <v>179</v>
      </c>
      <c r="AH18" s="121" t="s">
        <v>180</v>
      </c>
      <c r="AI18" s="121"/>
    </row>
    <row r="19" spans="2:49">
      <c r="B19" s="139">
        <v>0</v>
      </c>
      <c r="C19" s="145">
        <v>0.86973562490871026</v>
      </c>
      <c r="D19" s="140" cm="1">
        <f t="array" ref="D19:D31">K19:K31</f>
        <v>0</v>
      </c>
      <c r="E19" s="140" cm="1">
        <f t="array" ref="E19:E31">L19:L31</f>
        <v>0</v>
      </c>
      <c r="G19" s="15" cm="1">
        <f t="array" ref="G19:G31">TRANSPOSE(Parameter!O5:AA5)</f>
        <v>0</v>
      </c>
      <c r="H19" s="15" cm="1">
        <f t="array" ref="H19:H31">TRANSPOSE(Parameter!O17:AA17)</f>
        <v>0</v>
      </c>
      <c r="I19" s="138" cm="1">
        <f t="array" ref="I19:I31">_xlfn.ANCHORARRAY(G19)/SUM(_xlfn.ANCHORARRAY(G19))*G16</f>
        <v>0</v>
      </c>
      <c r="J19" s="138" cm="1">
        <f t="array" ref="J19:J31">_xlfn.ANCHORARRAY(H19)/SUM(_xlfn.ANCHORARRAY(H19))*(1-G16)</f>
        <v>0</v>
      </c>
      <c r="K19" s="138" cm="1">
        <f t="array" ref="K19:K23">J19:J23</f>
        <v>0</v>
      </c>
      <c r="M19" s="154">
        <v>0</v>
      </c>
      <c r="N19" s="153">
        <v>0.86973562490871026</v>
      </c>
      <c r="O19" s="153">
        <v>0.64345873104997198</v>
      </c>
      <c r="P19" s="160"/>
      <c r="Q19" s="138"/>
      <c r="R19" s="138"/>
      <c r="S19" s="154">
        <v>0</v>
      </c>
      <c r="T19" s="153" cm="1">
        <f t="array" ref="T19:T31">_xlfn.ANCHORARRAY(U19)*U33+_xlfn.ANCHORARRAY(V19)*V33</f>
        <v>0.74375000000000002</v>
      </c>
      <c r="U19" s="153" cm="1">
        <f t="array" ref="U19:U31">_xlfn.ANCHORARRAY(AA19)</f>
        <v>0.85</v>
      </c>
      <c r="V19" s="153" cm="1">
        <f t="array" ref="V19:V31">_xlfn.ANCHORARRAY(AE19)</f>
        <v>0</v>
      </c>
      <c r="W19" s="153" cm="1">
        <f t="array" ref="W19:W31">_xlfn.ANCHORARRAY(AI19)</f>
        <v>0</v>
      </c>
      <c r="Y19" s="15" cm="1">
        <f t="array" ref="Y19:Y31">TRANSPOSE(Parameter!O5:AA5)</f>
        <v>0</v>
      </c>
      <c r="Z19" s="15" cm="1">
        <f t="array" ref="Z19:Z31">TRANSPOSE(Parameter!O38:AA38)</f>
        <v>8500</v>
      </c>
      <c r="AA19" s="138" cm="1">
        <f t="array" ref="AA19:AA31">_xlfn.ANCHORARRAY(Z19)*AC15/SUM(_xlfn.ANCHORARRAY(Z19))+_xlfn.ANCHORARRAY(Z19)*AC16/SUM(_xlfn.ANCHORARRAY(Z19))</f>
        <v>0.85</v>
      </c>
      <c r="AC19" s="15" cm="1">
        <f t="array" ref="AC19:AC31">TRANSPOSE(Parameter!O6:AA6)</f>
        <v>0</v>
      </c>
      <c r="AD19" s="15" cm="1">
        <f t="array" ref="AD19:AD31">TRANSPOSE(Parameter!O17:AA17)</f>
        <v>0</v>
      </c>
      <c r="AE19" s="138" cm="1">
        <f t="array" ref="AE19:AE31">_xlfn.ANCHORARRAY(AC19)*AD15/SUM(_xlfn.ANCHORARRAY(AC19))+_xlfn.ANCHORARRAY(AD19)*AD16/SUM(_xlfn.ANCHORARRAY(AD19))</f>
        <v>0</v>
      </c>
      <c r="AG19" s="15" cm="1">
        <f t="array" ref="AG19:AG31">TRANSPOSE(Parameter!O8:AA8)</f>
        <v>0</v>
      </c>
      <c r="AH19" s="15" cm="1">
        <f t="array" ref="AH19:AH31">TRANSPOSE(Parameter!O19:AA19)</f>
        <v>0</v>
      </c>
      <c r="AI19" s="138" cm="1">
        <f t="array" ref="AI19:AI31">_xlfn.ANCHORARRAY(AG19)*AE15/SUM(_xlfn.ANCHORARRAY(AG19))+_xlfn.ANCHORARRAY(AH19)*AE16/SUM(_xlfn.ANCHORARRAY(AH19))</f>
        <v>0</v>
      </c>
      <c r="AN19" s="104"/>
      <c r="AO19" s="158">
        <v>50</v>
      </c>
      <c r="AP19" s="158">
        <v>50</v>
      </c>
      <c r="AQ19" s="158">
        <v>250</v>
      </c>
      <c r="AR19" s="158">
        <v>1500</v>
      </c>
      <c r="AS19" s="158">
        <v>4000</v>
      </c>
      <c r="AT19" s="158">
        <v>4000</v>
      </c>
      <c r="AU19" s="158">
        <v>4000</v>
      </c>
      <c r="AV19" s="158">
        <v>4000</v>
      </c>
      <c r="AW19" s="158">
        <v>4000</v>
      </c>
    </row>
    <row r="20" spans="2:49">
      <c r="B20" s="141">
        <v>2</v>
      </c>
      <c r="C20" s="146">
        <v>3.4690101757631819E-2</v>
      </c>
      <c r="D20" s="142">
        <v>0.34252171199999998</v>
      </c>
      <c r="E20" s="142">
        <v>0</v>
      </c>
      <c r="G20" s="15">
        <v>0</v>
      </c>
      <c r="H20" s="15">
        <v>3600</v>
      </c>
      <c r="I20" s="138">
        <v>0</v>
      </c>
      <c r="J20" s="138">
        <v>0.34252171199999998</v>
      </c>
      <c r="K20" s="138">
        <v>0.34252171199999998</v>
      </c>
      <c r="M20" s="155">
        <v>2</v>
      </c>
      <c r="N20" s="137">
        <v>3.4690101757631819E-2</v>
      </c>
      <c r="O20" s="137">
        <v>0.21617069062324537</v>
      </c>
      <c r="P20" s="138"/>
      <c r="Q20" s="138"/>
      <c r="R20" s="138"/>
      <c r="S20" s="155">
        <v>2</v>
      </c>
      <c r="T20" s="137">
        <v>8.3321277412904599E-2</v>
      </c>
      <c r="U20" s="137">
        <v>0.05</v>
      </c>
      <c r="V20" s="137">
        <v>0.3165702193032367</v>
      </c>
      <c r="W20" s="137">
        <v>0.52761703217206113</v>
      </c>
      <c r="X20" s="138"/>
      <c r="Y20" s="15">
        <v>0</v>
      </c>
      <c r="Z20" s="15">
        <v>500</v>
      </c>
      <c r="AA20" s="138">
        <v>0.05</v>
      </c>
      <c r="AC20" s="15">
        <v>0</v>
      </c>
      <c r="AD20" s="15">
        <v>3600</v>
      </c>
      <c r="AE20" s="138">
        <v>0.3165702193032367</v>
      </c>
      <c r="AG20" s="15">
        <v>0</v>
      </c>
      <c r="AH20" s="15">
        <v>6000</v>
      </c>
      <c r="AI20" s="138">
        <v>0.52761703217206113</v>
      </c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</row>
    <row r="21" spans="2:49">
      <c r="B21" s="141">
        <v>3</v>
      </c>
      <c r="C21" s="146">
        <v>2.8506743268903064E-2</v>
      </c>
      <c r="D21" s="142">
        <v>0.32349272800000001</v>
      </c>
      <c r="E21" s="142">
        <v>0</v>
      </c>
      <c r="G21" s="15">
        <v>0</v>
      </c>
      <c r="H21" s="15">
        <v>3400</v>
      </c>
      <c r="I21" s="138">
        <v>0</v>
      </c>
      <c r="J21" s="138">
        <v>0.32349272800000001</v>
      </c>
      <c r="K21" s="138">
        <v>0.32349272800000001</v>
      </c>
      <c r="M21" s="155">
        <v>3</v>
      </c>
      <c r="N21" s="137">
        <v>2.8506743268903064E-2</v>
      </c>
      <c r="O21" s="137">
        <v>8.5906793935991016E-2</v>
      </c>
      <c r="P21" s="138"/>
      <c r="Q21" s="138"/>
      <c r="R21" s="138"/>
      <c r="S21" s="155">
        <v>3</v>
      </c>
      <c r="T21" s="137">
        <v>7.2372873112187652E-2</v>
      </c>
      <c r="U21" s="137">
        <v>3.9999999999999994E-2</v>
      </c>
      <c r="V21" s="137">
        <v>0.2989829848975013</v>
      </c>
      <c r="W21" s="137">
        <v>0.24622128168029522</v>
      </c>
      <c r="X21" s="138"/>
      <c r="Y21" s="15">
        <v>0</v>
      </c>
      <c r="Z21" s="15">
        <v>400</v>
      </c>
      <c r="AA21" s="138">
        <v>3.9999999999999994E-2</v>
      </c>
      <c r="AC21" s="15">
        <v>0</v>
      </c>
      <c r="AD21" s="15">
        <v>3400</v>
      </c>
      <c r="AE21" s="138">
        <v>0.2989829848975013</v>
      </c>
      <c r="AG21" s="15">
        <v>0</v>
      </c>
      <c r="AH21" s="15">
        <v>2800</v>
      </c>
      <c r="AI21" s="138">
        <v>0.24622128168029522</v>
      </c>
      <c r="AN21" s="104">
        <v>300</v>
      </c>
      <c r="AO21" s="158" cm="1">
        <f t="array" ref="AO21:AW21">Parameter!AD4:AL4*AN21</f>
        <v>300</v>
      </c>
      <c r="AP21" s="158">
        <v>600</v>
      </c>
      <c r="AQ21" s="158">
        <v>900</v>
      </c>
      <c r="AR21" s="158">
        <v>1200</v>
      </c>
      <c r="AS21" s="158">
        <v>1500</v>
      </c>
      <c r="AT21" s="158">
        <v>1800</v>
      </c>
      <c r="AU21" s="158">
        <v>2100</v>
      </c>
      <c r="AV21" s="158">
        <v>2400</v>
      </c>
      <c r="AW21" s="158">
        <v>2700</v>
      </c>
    </row>
    <row r="22" spans="2:49">
      <c r="B22" s="141">
        <v>5</v>
      </c>
      <c r="C22" s="146">
        <v>1.9109985880519986E-2</v>
      </c>
      <c r="D22" s="142">
        <v>0.14271738</v>
      </c>
      <c r="E22" s="142">
        <v>0</v>
      </c>
      <c r="G22" s="15">
        <v>0</v>
      </c>
      <c r="H22" s="15">
        <v>1500</v>
      </c>
      <c r="I22" s="138">
        <v>0</v>
      </c>
      <c r="J22" s="138">
        <v>0.14271738</v>
      </c>
      <c r="K22" s="138">
        <v>0.14271738</v>
      </c>
      <c r="M22" s="155">
        <v>5</v>
      </c>
      <c r="N22" s="137">
        <v>1.9109985880519986E-2</v>
      </c>
      <c r="O22" s="137">
        <v>2.1897810218978103E-2</v>
      </c>
      <c r="P22" s="138"/>
      <c r="Q22" s="138"/>
      <c r="R22" s="138"/>
      <c r="S22" s="155">
        <v>5</v>
      </c>
      <c r="T22" s="137">
        <v>4.2738032255376909E-2</v>
      </c>
      <c r="U22" s="137">
        <v>0.03</v>
      </c>
      <c r="V22" s="137">
        <v>0.13190425804301528</v>
      </c>
      <c r="W22" s="137">
        <v>7.9142554825809175E-2</v>
      </c>
      <c r="X22" s="138"/>
      <c r="Y22" s="15">
        <v>0</v>
      </c>
      <c r="Z22" s="15">
        <v>300</v>
      </c>
      <c r="AA22" s="138">
        <v>0.03</v>
      </c>
      <c r="AC22" s="15">
        <v>0</v>
      </c>
      <c r="AD22" s="15">
        <v>1500</v>
      </c>
      <c r="AE22" s="138">
        <v>0.13190425804301528</v>
      </c>
      <c r="AG22" s="15">
        <v>0</v>
      </c>
      <c r="AH22" s="15">
        <v>900</v>
      </c>
      <c r="AI22" s="138">
        <v>7.9142554825809175E-2</v>
      </c>
      <c r="AN22" s="104"/>
      <c r="AO22" s="159">
        <v>1</v>
      </c>
      <c r="AP22" s="159">
        <v>1</v>
      </c>
      <c r="AQ22" s="159">
        <v>1.2</v>
      </c>
      <c r="AR22" s="159">
        <v>1.2</v>
      </c>
      <c r="AS22" s="159">
        <v>1.5</v>
      </c>
      <c r="AT22" s="159">
        <v>1.5</v>
      </c>
      <c r="AU22" s="159">
        <v>1.5</v>
      </c>
      <c r="AV22" s="159">
        <v>1.5</v>
      </c>
      <c r="AW22" s="159">
        <v>1.5</v>
      </c>
    </row>
    <row r="23" spans="2:49">
      <c r="B23" s="141">
        <v>8</v>
      </c>
      <c r="C23" s="146">
        <v>1.8111884707142509E-2</v>
      </c>
      <c r="D23" s="142">
        <v>0.14271738</v>
      </c>
      <c r="E23" s="142">
        <v>0</v>
      </c>
      <c r="G23" s="15">
        <v>0</v>
      </c>
      <c r="H23" s="15">
        <v>1500</v>
      </c>
      <c r="I23" s="138">
        <v>0</v>
      </c>
      <c r="J23" s="138">
        <v>0.14271738</v>
      </c>
      <c r="K23" s="138">
        <v>0.14271738</v>
      </c>
      <c r="M23" s="155">
        <v>8</v>
      </c>
      <c r="N23" s="137">
        <v>1.8111884707142509E-2</v>
      </c>
      <c r="O23" s="137">
        <v>1.0668163952835485E-2</v>
      </c>
      <c r="P23" s="138"/>
      <c r="Q23" s="138"/>
      <c r="R23" s="138"/>
      <c r="S23" s="155">
        <v>8</v>
      </c>
      <c r="T23" s="137">
        <v>4.2738032255376909E-2</v>
      </c>
      <c r="U23" s="137">
        <v>0.03</v>
      </c>
      <c r="V23" s="137">
        <v>0.13190425804301528</v>
      </c>
      <c r="W23" s="137">
        <v>2.6380851608603057E-2</v>
      </c>
      <c r="X23" s="138"/>
      <c r="Y23" s="15">
        <v>0</v>
      </c>
      <c r="Z23" s="15">
        <v>300</v>
      </c>
      <c r="AA23" s="138">
        <v>0.03</v>
      </c>
      <c r="AC23" s="15">
        <v>0</v>
      </c>
      <c r="AD23" s="15">
        <v>1500</v>
      </c>
      <c r="AE23" s="138">
        <v>0.13190425804301528</v>
      </c>
      <c r="AG23" s="15">
        <v>0</v>
      </c>
      <c r="AH23" s="15">
        <v>300</v>
      </c>
      <c r="AI23" s="138">
        <v>2.6380851608603057E-2</v>
      </c>
      <c r="AN23" s="104"/>
      <c r="AO23" s="104" cm="1">
        <f t="array" ref="AO23:AW23">INT(AO21:AW21*AO22:AW22)</f>
        <v>300</v>
      </c>
      <c r="AP23" s="104">
        <v>600</v>
      </c>
      <c r="AQ23" s="104">
        <v>1080</v>
      </c>
      <c r="AR23" s="104">
        <v>1440</v>
      </c>
      <c r="AS23" s="104">
        <v>2250</v>
      </c>
      <c r="AT23" s="104">
        <v>2700</v>
      </c>
      <c r="AU23" s="104">
        <v>3150</v>
      </c>
      <c r="AV23" s="104">
        <v>3600</v>
      </c>
      <c r="AW23" s="104">
        <v>4050</v>
      </c>
    </row>
    <row r="24" spans="2:49">
      <c r="B24" s="141">
        <v>10</v>
      </c>
      <c r="C24" s="146">
        <v>1.4849797945372219E-2</v>
      </c>
      <c r="D24" s="142">
        <v>1.3011614399999998E-2</v>
      </c>
      <c r="E24" s="142">
        <v>0</v>
      </c>
      <c r="G24" s="15">
        <v>2680</v>
      </c>
      <c r="H24" s="15">
        <v>0</v>
      </c>
      <c r="I24" s="138">
        <v>1.3011614399999998E-2</v>
      </c>
      <c r="J24" s="138">
        <v>0</v>
      </c>
      <c r="K24" s="138" cm="1">
        <f t="array" ref="K24:K31">I24:I31</f>
        <v>1.3011614399999998E-2</v>
      </c>
      <c r="M24" s="155">
        <v>10</v>
      </c>
      <c r="N24" s="137">
        <v>1.4849797945372219E-2</v>
      </c>
      <c r="O24" s="137">
        <v>1.0106681639528355E-2</v>
      </c>
      <c r="P24" s="138"/>
      <c r="Q24" s="138"/>
      <c r="R24" s="138"/>
      <c r="S24" s="155">
        <v>10</v>
      </c>
      <c r="T24" s="137">
        <v>4.0413823703932504E-3</v>
      </c>
      <c r="U24" s="137">
        <v>0</v>
      </c>
      <c r="V24" s="137">
        <v>3.2331058963146003E-2</v>
      </c>
      <c r="W24" s="137">
        <v>4.342978069676328E-2</v>
      </c>
      <c r="X24" s="138"/>
      <c r="Y24" s="15">
        <v>2680</v>
      </c>
      <c r="Z24" s="15">
        <v>0</v>
      </c>
      <c r="AA24" s="138">
        <v>0</v>
      </c>
      <c r="AC24" s="15">
        <v>2680</v>
      </c>
      <c r="AD24" s="15">
        <v>0</v>
      </c>
      <c r="AE24" s="138">
        <v>3.2331058963146003E-2</v>
      </c>
      <c r="AG24" s="15">
        <v>3600</v>
      </c>
      <c r="AH24" s="15">
        <v>0</v>
      </c>
      <c r="AI24" s="138">
        <v>4.342978069676328E-2</v>
      </c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</row>
    <row r="25" spans="2:49">
      <c r="B25" s="141">
        <v>15</v>
      </c>
      <c r="C25" s="146">
        <v>8.7881591119333951E-3</v>
      </c>
      <c r="D25" s="142">
        <v>1.4565239999999997E-2</v>
      </c>
      <c r="E25" s="142">
        <v>0</v>
      </c>
      <c r="G25" s="15">
        <v>3000</v>
      </c>
      <c r="H25" s="15">
        <v>0</v>
      </c>
      <c r="I25" s="138">
        <v>1.4565239999999997E-2</v>
      </c>
      <c r="J25" s="138">
        <v>0</v>
      </c>
      <c r="K25" s="138">
        <v>1.4565239999999997E-2</v>
      </c>
      <c r="M25" s="155">
        <v>15</v>
      </c>
      <c r="N25" s="137">
        <v>8.7881591119333951E-3</v>
      </c>
      <c r="O25" s="137">
        <v>5.8955642897248733E-3</v>
      </c>
      <c r="P25" s="138"/>
      <c r="Q25" s="138"/>
      <c r="R25" s="138"/>
      <c r="S25" s="155">
        <v>15</v>
      </c>
      <c r="T25" s="137">
        <v>4.5239354892461746E-3</v>
      </c>
      <c r="U25" s="137">
        <v>0</v>
      </c>
      <c r="V25" s="137">
        <v>3.6191483913969397E-2</v>
      </c>
      <c r="W25" s="137">
        <v>3.0159569928307831E-2</v>
      </c>
      <c r="X25" s="138"/>
      <c r="Y25" s="15">
        <v>3000</v>
      </c>
      <c r="Z25" s="15">
        <v>0</v>
      </c>
      <c r="AA25" s="138">
        <v>0</v>
      </c>
      <c r="AC25" s="15">
        <v>3000</v>
      </c>
      <c r="AD25" s="15">
        <v>0</v>
      </c>
      <c r="AE25" s="138">
        <v>3.6191483913969397E-2</v>
      </c>
      <c r="AG25" s="15">
        <v>2500</v>
      </c>
      <c r="AH25" s="15">
        <v>0</v>
      </c>
      <c r="AI25" s="138">
        <v>3.0159569928307831E-2</v>
      </c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</row>
    <row r="26" spans="2:49">
      <c r="B26" s="141">
        <v>20</v>
      </c>
      <c r="C26" s="146">
        <v>4.5523151078436146E-3</v>
      </c>
      <c r="D26" s="142">
        <v>9.7101599999999989E-3</v>
      </c>
      <c r="E26" s="142">
        <v>0</v>
      </c>
      <c r="G26" s="15">
        <v>2000</v>
      </c>
      <c r="H26" s="15">
        <v>0</v>
      </c>
      <c r="I26" s="138">
        <v>9.7101599999999989E-3</v>
      </c>
      <c r="J26" s="138">
        <v>0</v>
      </c>
      <c r="K26" s="138">
        <v>9.7101599999999989E-3</v>
      </c>
      <c r="M26" s="155">
        <v>20</v>
      </c>
      <c r="N26" s="137">
        <v>4.5523151078436146E-3</v>
      </c>
      <c r="O26" s="137">
        <v>2.807411566535654E-3</v>
      </c>
      <c r="P26" s="138"/>
      <c r="Q26" s="138"/>
      <c r="R26" s="138"/>
      <c r="S26" s="155">
        <v>20</v>
      </c>
      <c r="T26" s="137">
        <v>3.0159569928307835E-3</v>
      </c>
      <c r="U26" s="137">
        <v>0</v>
      </c>
      <c r="V26" s="137">
        <v>2.4127655942646268E-2</v>
      </c>
      <c r="W26" s="137">
        <v>1.8095741956984698E-2</v>
      </c>
      <c r="X26" s="138"/>
      <c r="Y26" s="15">
        <v>2000</v>
      </c>
      <c r="Z26" s="15">
        <v>0</v>
      </c>
      <c r="AA26" s="138">
        <v>0</v>
      </c>
      <c r="AC26" s="15">
        <v>2000</v>
      </c>
      <c r="AD26" s="15">
        <v>0</v>
      </c>
      <c r="AE26" s="138">
        <v>2.4127655942646268E-2</v>
      </c>
      <c r="AG26" s="15">
        <v>1500</v>
      </c>
      <c r="AH26" s="15">
        <v>0</v>
      </c>
      <c r="AI26" s="138">
        <v>1.8095741956984698E-2</v>
      </c>
      <c r="AN26" s="104">
        <v>350</v>
      </c>
      <c r="AO26" s="158" cm="1">
        <f t="array" ref="AO26:AW26">Parameter!AD4:AL4*AN26</f>
        <v>350</v>
      </c>
      <c r="AP26" s="158">
        <v>700</v>
      </c>
      <c r="AQ26" s="158">
        <v>1050</v>
      </c>
      <c r="AR26" s="158">
        <v>1400</v>
      </c>
      <c r="AS26" s="158">
        <v>1750</v>
      </c>
      <c r="AT26" s="158">
        <v>2100</v>
      </c>
      <c r="AU26" s="158">
        <v>2450</v>
      </c>
      <c r="AV26" s="158">
        <v>2800</v>
      </c>
      <c r="AW26" s="158">
        <v>3150</v>
      </c>
    </row>
    <row r="27" spans="2:49">
      <c r="B27" s="141">
        <v>25</v>
      </c>
      <c r="C27" s="146">
        <v>1.3876040703052729E-3</v>
      </c>
      <c r="D27" s="142">
        <v>2.4275399999999997E-3</v>
      </c>
      <c r="E27" s="142">
        <v>0</v>
      </c>
      <c r="G27" s="15">
        <v>500</v>
      </c>
      <c r="H27" s="15">
        <v>0</v>
      </c>
      <c r="I27" s="138">
        <v>2.4275399999999997E-3</v>
      </c>
      <c r="J27" s="138">
        <v>0</v>
      </c>
      <c r="K27" s="138">
        <v>2.4275399999999997E-3</v>
      </c>
      <c r="M27" s="155">
        <v>25</v>
      </c>
      <c r="N27" s="137">
        <v>1.3876040703052729E-3</v>
      </c>
      <c r="O27" s="137">
        <v>5.6148231330713087E-4</v>
      </c>
      <c r="P27" s="138"/>
      <c r="Q27" s="138"/>
      <c r="R27" s="138"/>
      <c r="S27" s="155">
        <v>25</v>
      </c>
      <c r="T27" s="137">
        <v>7.5398924820769587E-4</v>
      </c>
      <c r="U27" s="137">
        <v>0</v>
      </c>
      <c r="V27" s="137">
        <v>6.031913985661567E-3</v>
      </c>
      <c r="W27" s="137">
        <v>3.0159569928307835E-3</v>
      </c>
      <c r="X27" s="138"/>
      <c r="Y27" s="15">
        <v>500</v>
      </c>
      <c r="Z27" s="15">
        <v>0</v>
      </c>
      <c r="AA27" s="138">
        <v>0</v>
      </c>
      <c r="AC27" s="15">
        <v>500</v>
      </c>
      <c r="AD27" s="15">
        <v>0</v>
      </c>
      <c r="AE27" s="138">
        <v>6.031913985661567E-3</v>
      </c>
      <c r="AG27" s="15">
        <v>250</v>
      </c>
      <c r="AH27" s="15">
        <v>0</v>
      </c>
      <c r="AI27" s="138">
        <v>3.0159569928307835E-3</v>
      </c>
      <c r="AN27" s="104"/>
      <c r="AO27" s="159">
        <v>0</v>
      </c>
      <c r="AP27" s="159">
        <v>0</v>
      </c>
      <c r="AQ27" s="159">
        <v>1</v>
      </c>
      <c r="AR27" s="159">
        <v>1</v>
      </c>
      <c r="AS27" s="159">
        <v>1</v>
      </c>
      <c r="AT27" s="159">
        <v>1</v>
      </c>
      <c r="AU27" s="159">
        <v>1.5</v>
      </c>
      <c r="AV27" s="159">
        <v>1.5</v>
      </c>
      <c r="AW27" s="159">
        <v>1.5</v>
      </c>
    </row>
    <row r="28" spans="2:49">
      <c r="B28" s="141">
        <v>35</v>
      </c>
      <c r="C28" s="146">
        <v>1.9475144846389794E-4</v>
      </c>
      <c r="D28" s="142">
        <v>4.8550799999999995E-4</v>
      </c>
      <c r="E28" s="142">
        <v>0</v>
      </c>
      <c r="G28" s="15">
        <v>100</v>
      </c>
      <c r="H28" s="15">
        <v>0</v>
      </c>
      <c r="I28" s="138">
        <v>4.8550799999999995E-4</v>
      </c>
      <c r="J28" s="138">
        <v>0</v>
      </c>
      <c r="K28" s="138">
        <v>4.8550799999999995E-4</v>
      </c>
      <c r="M28" s="155">
        <v>35</v>
      </c>
      <c r="N28" s="137">
        <v>1.9475144846389794E-4</v>
      </c>
      <c r="O28" s="137">
        <v>5.6148231330713087E-4</v>
      </c>
      <c r="P28" s="138"/>
      <c r="Q28" s="138"/>
      <c r="R28" s="138"/>
      <c r="S28" s="155">
        <v>35</v>
      </c>
      <c r="T28" s="137">
        <v>1.5079784964153919E-4</v>
      </c>
      <c r="U28" s="137">
        <v>0</v>
      </c>
      <c r="V28" s="137">
        <v>1.2063827971323135E-3</v>
      </c>
      <c r="W28" s="137">
        <v>6.0319139856615674E-4</v>
      </c>
      <c r="X28" s="138"/>
      <c r="Y28" s="15">
        <v>100</v>
      </c>
      <c r="Z28" s="15">
        <v>0</v>
      </c>
      <c r="AA28" s="138">
        <v>0</v>
      </c>
      <c r="AC28" s="15">
        <v>100</v>
      </c>
      <c r="AD28" s="15">
        <v>0</v>
      </c>
      <c r="AE28" s="138">
        <v>1.2063827971323135E-3</v>
      </c>
      <c r="AG28" s="15">
        <v>50</v>
      </c>
      <c r="AH28" s="15">
        <v>0</v>
      </c>
      <c r="AI28" s="138">
        <v>6.0319139856615674E-4</v>
      </c>
      <c r="AN28" s="104"/>
      <c r="AO28" s="104" cm="1">
        <f t="array" ref="AO28:AW28">INT(_xlfn.ANCHORARRAY(AO26)*AO27:AW27)</f>
        <v>0</v>
      </c>
      <c r="AP28" s="104">
        <v>0</v>
      </c>
      <c r="AQ28" s="104">
        <v>1050</v>
      </c>
      <c r="AR28" s="104">
        <v>1400</v>
      </c>
      <c r="AS28" s="104">
        <v>1750</v>
      </c>
      <c r="AT28" s="104">
        <v>2100</v>
      </c>
      <c r="AU28" s="104">
        <v>3675</v>
      </c>
      <c r="AV28" s="104">
        <v>4200</v>
      </c>
      <c r="AW28" s="104">
        <v>4725</v>
      </c>
    </row>
    <row r="29" spans="2:49">
      <c r="B29" s="141">
        <v>50</v>
      </c>
      <c r="C29" s="146">
        <v>2.4343931057987243E-5</v>
      </c>
      <c r="D29" s="142">
        <v>5.8260959999999985E-3</v>
      </c>
      <c r="E29" s="142">
        <v>0</v>
      </c>
      <c r="G29" s="15">
        <v>1200</v>
      </c>
      <c r="H29" s="15">
        <v>0</v>
      </c>
      <c r="I29" s="138">
        <v>5.8260959999999985E-3</v>
      </c>
      <c r="J29" s="138">
        <v>0</v>
      </c>
      <c r="K29" s="138">
        <v>5.8260959999999985E-3</v>
      </c>
      <c r="M29" s="155">
        <v>50</v>
      </c>
      <c r="N29" s="137">
        <v>2.4343931057987243E-5</v>
      </c>
      <c r="O29" s="137">
        <v>8.4222346996069624E-4</v>
      </c>
      <c r="P29" s="138"/>
      <c r="Q29" s="138"/>
      <c r="R29" s="138"/>
      <c r="S29" s="155">
        <v>50</v>
      </c>
      <c r="T29" s="137">
        <v>1.80957419569847E-3</v>
      </c>
      <c r="U29" s="137">
        <v>0</v>
      </c>
      <c r="V29" s="137">
        <v>1.447659356558776E-2</v>
      </c>
      <c r="W29" s="137">
        <v>1.2063827971323134E-2</v>
      </c>
      <c r="X29" s="138"/>
      <c r="Y29" s="15">
        <v>1200</v>
      </c>
      <c r="Z29" s="15">
        <v>0</v>
      </c>
      <c r="AA29" s="138">
        <v>0</v>
      </c>
      <c r="AC29" s="15">
        <v>1200</v>
      </c>
      <c r="AD29" s="15">
        <v>0</v>
      </c>
      <c r="AE29" s="138">
        <v>1.447659356558776E-2</v>
      </c>
      <c r="AG29" s="15">
        <v>1000</v>
      </c>
      <c r="AH29" s="15">
        <v>0</v>
      </c>
      <c r="AI29" s="138">
        <v>1.2063827971323134E-2</v>
      </c>
    </row>
    <row r="30" spans="2:49">
      <c r="B30" s="141">
        <v>80</v>
      </c>
      <c r="C30" s="146">
        <v>4.8687862115974485E-5</v>
      </c>
      <c r="D30" s="142">
        <v>9.7101599999999978E-5</v>
      </c>
      <c r="E30" s="142">
        <v>0</v>
      </c>
      <c r="G30" s="15">
        <v>20</v>
      </c>
      <c r="H30" s="15">
        <v>0</v>
      </c>
      <c r="I30" s="138">
        <v>9.7101599999999978E-5</v>
      </c>
      <c r="J30" s="138">
        <v>0</v>
      </c>
      <c r="K30" s="138">
        <v>9.7101599999999978E-5</v>
      </c>
      <c r="M30" s="155">
        <v>80</v>
      </c>
      <c r="N30" s="137">
        <v>4.8687862115974485E-5</v>
      </c>
      <c r="O30" s="137">
        <v>8.4222346996069624E-4</v>
      </c>
      <c r="P30" s="138"/>
      <c r="Q30" s="138"/>
      <c r="R30" s="138"/>
      <c r="S30" s="155">
        <v>80</v>
      </c>
      <c r="T30" s="137">
        <v>3.0159569928307832E-5</v>
      </c>
      <c r="U30" s="137">
        <v>0</v>
      </c>
      <c r="V30" s="137">
        <v>2.4127655942646266E-4</v>
      </c>
      <c r="W30" s="137">
        <v>1.2063827971323135E-3</v>
      </c>
      <c r="X30" s="138"/>
      <c r="Y30" s="15">
        <v>20</v>
      </c>
      <c r="Z30" s="15">
        <v>0</v>
      </c>
      <c r="AA30" s="138">
        <v>0</v>
      </c>
      <c r="AC30" s="15">
        <v>20</v>
      </c>
      <c r="AD30" s="15">
        <v>0</v>
      </c>
      <c r="AE30" s="138">
        <v>2.4127655942646266E-4</v>
      </c>
      <c r="AG30" s="15">
        <v>100</v>
      </c>
      <c r="AH30" s="15">
        <v>0</v>
      </c>
      <c r="AI30" s="138">
        <v>1.2063827971323135E-3</v>
      </c>
    </row>
    <row r="31" spans="2:49">
      <c r="B31" s="141">
        <v>100</v>
      </c>
      <c r="C31" s="146">
        <v>0</v>
      </c>
      <c r="D31" s="142">
        <v>2.4275399999999997E-3</v>
      </c>
      <c r="E31" s="142">
        <v>0</v>
      </c>
      <c r="G31" s="15">
        <v>500</v>
      </c>
      <c r="H31" s="15">
        <v>0</v>
      </c>
      <c r="I31" s="138">
        <v>2.4275399999999997E-3</v>
      </c>
      <c r="J31" s="138">
        <v>0</v>
      </c>
      <c r="K31" s="138">
        <v>2.4275399999999997E-3</v>
      </c>
      <c r="M31" s="155">
        <v>100</v>
      </c>
      <c r="N31" s="137">
        <v>0</v>
      </c>
      <c r="O31" s="137">
        <v>2.8074115665356543E-4</v>
      </c>
      <c r="P31" s="138"/>
      <c r="Q31" s="138"/>
      <c r="R31" s="138"/>
      <c r="S31" s="155">
        <v>100</v>
      </c>
      <c r="T31" s="137">
        <v>7.5398924820769587E-4</v>
      </c>
      <c r="U31" s="137">
        <v>0</v>
      </c>
      <c r="V31" s="137">
        <v>6.031913985661567E-3</v>
      </c>
      <c r="W31" s="137">
        <v>1.2063827971323134E-2</v>
      </c>
      <c r="X31" s="138"/>
      <c r="Y31" s="15">
        <v>500</v>
      </c>
      <c r="Z31" s="15">
        <v>0</v>
      </c>
      <c r="AA31" s="138">
        <v>0</v>
      </c>
      <c r="AC31" s="15">
        <v>500</v>
      </c>
      <c r="AD31" s="15">
        <v>0</v>
      </c>
      <c r="AE31" s="138">
        <v>6.031913985661567E-3</v>
      </c>
      <c r="AG31" s="15">
        <v>1000</v>
      </c>
      <c r="AH31" s="15">
        <v>0</v>
      </c>
      <c r="AI31" s="138">
        <v>1.2063827971323134E-2</v>
      </c>
    </row>
    <row r="32" spans="2:49">
      <c r="C32" s="15">
        <f>SUMPRODUCT(C19:C31,B19:B31)</f>
        <v>0.81333073664735367</v>
      </c>
      <c r="D32" s="15">
        <f>SUMPRODUCT(D19:D31,B19:B31)</f>
        <v>4.6731537000000003</v>
      </c>
      <c r="M32" s="155" t="s">
        <v>190</v>
      </c>
      <c r="N32" s="152">
        <f>SUMPRODUCT($M$19:$M$31, N19:N31)</f>
        <v>0.81333073664735367</v>
      </c>
      <c r="O32" s="152">
        <f>SUMPRODUCT($M$19:$M$31, O19:O31)</f>
        <v>1.301796743402583</v>
      </c>
      <c r="S32" s="155" t="s">
        <v>190</v>
      </c>
      <c r="T32" s="152"/>
      <c r="U32" s="152">
        <f>SUMPRODUCT($M$20:$M$31, U20:U31)</f>
        <v>0.61</v>
      </c>
      <c r="V32" s="152">
        <f>SUMPRODUCT($M$20:$M$31, V20:V31)</f>
        <v>6.1329251641929341</v>
      </c>
      <c r="W32" s="152">
        <f>SUMPRODUCT($M$19:$M$31, W19:W31)</f>
        <v>5.6518591346544627</v>
      </c>
    </row>
    <row r="33" spans="3:29">
      <c r="U33" s="15">
        <f>Parameter!J5/SUM(Parameter!J5:J6)</f>
        <v>0.875</v>
      </c>
      <c r="V33" s="15">
        <f>Parameter!J6/SUM(Parameter!J5:J6)</f>
        <v>0.125</v>
      </c>
    </row>
    <row r="34" spans="3:29">
      <c r="C34" s="15">
        <f>1/SUM(C24:C31)</f>
        <v>33.50570962479609</v>
      </c>
      <c r="D34" s="15">
        <f>1/SUM(D24:D31)</f>
        <v>20.596982953936909</v>
      </c>
    </row>
    <row r="37" spans="3:29">
      <c r="Q37" s="15" cm="1">
        <f t="array" ref="Q37:AC37">TRANSPOSE(M19:M31)</f>
        <v>0</v>
      </c>
      <c r="R37" s="15">
        <v>2</v>
      </c>
      <c r="S37" s="15">
        <v>3</v>
      </c>
      <c r="T37" s="15">
        <v>5</v>
      </c>
      <c r="U37" s="15">
        <v>8</v>
      </c>
      <c r="V37" s="15">
        <v>10</v>
      </c>
      <c r="W37" s="15">
        <v>15</v>
      </c>
      <c r="X37" s="15">
        <v>20</v>
      </c>
      <c r="Y37" s="15">
        <v>25</v>
      </c>
      <c r="Z37" s="15">
        <v>35</v>
      </c>
      <c r="AA37" s="15">
        <v>50</v>
      </c>
      <c r="AB37" s="15">
        <v>80</v>
      </c>
      <c r="AC37" s="15">
        <v>100</v>
      </c>
    </row>
    <row r="38" spans="3:29">
      <c r="Q38" s="15" cm="1">
        <f t="array" ref="Q38:AC38">TRANSPOSE(Q19:Q31)</f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</row>
    <row r="39" spans="3:29">
      <c r="V39" s="15">
        <v>5000</v>
      </c>
      <c r="W39" s="15">
        <v>3000</v>
      </c>
      <c r="X39" s="15">
        <v>1500</v>
      </c>
      <c r="Y39" s="15">
        <v>500</v>
      </c>
      <c r="Z39" s="15">
        <v>65</v>
      </c>
      <c r="AA39" s="15">
        <v>30</v>
      </c>
      <c r="AB39" s="15">
        <v>30</v>
      </c>
      <c r="AC39" s="15">
        <v>30</v>
      </c>
    </row>
    <row r="42" spans="3:29">
      <c r="Q42" s="15" cm="1">
        <f t="array" ref="Q42:AC42">TRANSPOSE(Q19:Q31)</f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</row>
    <row r="67" spans="2:8">
      <c r="B67" s="15" t="s">
        <v>128</v>
      </c>
    </row>
    <row r="68" spans="2:8">
      <c r="B68" s="121" t="s">
        <v>65</v>
      </c>
      <c r="C68" s="121" t="s">
        <v>126</v>
      </c>
      <c r="D68" s="121" t="s">
        <v>125</v>
      </c>
      <c r="E68" s="148"/>
    </row>
    <row r="69" spans="2:8">
      <c r="B69" s="113">
        <v>0</v>
      </c>
      <c r="C69" s="137">
        <v>5.6827150749802685E-2</v>
      </c>
      <c r="D69" s="137">
        <v>0</v>
      </c>
      <c r="E69" s="150"/>
      <c r="H69" s="15">
        <v>0</v>
      </c>
    </row>
    <row r="70" spans="2:8">
      <c r="B70" s="113">
        <v>1</v>
      </c>
      <c r="C70" s="137">
        <v>0.14601420678768745</v>
      </c>
      <c r="D70" s="137">
        <v>0</v>
      </c>
      <c r="E70" s="150"/>
      <c r="H70" s="15" cm="1">
        <f t="array" ref="H70:H78">TRANSPOSE(Parameter!AD8:AL8)</f>
        <v>0</v>
      </c>
    </row>
    <row r="71" spans="2:8">
      <c r="B71" s="113">
        <v>2</v>
      </c>
      <c r="C71" s="137">
        <v>0.23993685872138912</v>
      </c>
      <c r="D71" s="137">
        <v>1.18E-2</v>
      </c>
      <c r="E71" s="150"/>
      <c r="H71" s="15">
        <v>0</v>
      </c>
    </row>
    <row r="72" spans="2:8">
      <c r="B72" s="113">
        <v>3</v>
      </c>
      <c r="C72" s="137">
        <v>0.24072612470402527</v>
      </c>
      <c r="D72" s="137">
        <v>0.23769999999999999</v>
      </c>
      <c r="E72" s="150"/>
      <c r="H72" s="15">
        <v>525</v>
      </c>
    </row>
    <row r="73" spans="2:8">
      <c r="B73" s="113">
        <v>4</v>
      </c>
      <c r="C73" s="137">
        <v>0.17363851617995266</v>
      </c>
      <c r="D73" s="137">
        <v>0.39269999999999999</v>
      </c>
      <c r="E73" s="150"/>
      <c r="H73" s="15">
        <v>700</v>
      </c>
    </row>
    <row r="74" spans="2:8">
      <c r="B74" s="113">
        <v>5</v>
      </c>
      <c r="C74" s="137">
        <v>0.10023677979479084</v>
      </c>
      <c r="D74" s="137">
        <v>0.25750000000000001</v>
      </c>
      <c r="E74" s="150"/>
      <c r="H74" s="15">
        <v>1750</v>
      </c>
    </row>
    <row r="75" spans="2:8">
      <c r="B75" s="113">
        <v>6</v>
      </c>
      <c r="C75" s="137">
        <v>3.1570639305445937E-2</v>
      </c>
      <c r="D75" s="137">
        <v>8.2699999999999996E-2</v>
      </c>
      <c r="E75" s="150"/>
      <c r="H75" s="15">
        <v>2100</v>
      </c>
    </row>
    <row r="76" spans="2:8">
      <c r="B76" s="113">
        <v>7</v>
      </c>
      <c r="C76" s="137">
        <v>1.0260457774269928E-2</v>
      </c>
      <c r="D76" s="137">
        <v>1.5800000000000002E-2</v>
      </c>
      <c r="E76" s="150"/>
      <c r="H76" s="15">
        <v>3675</v>
      </c>
    </row>
    <row r="77" spans="2:8">
      <c r="B77" s="113">
        <v>8</v>
      </c>
      <c r="C77" s="137">
        <v>7.8926598263614838E-4</v>
      </c>
      <c r="D77" s="137">
        <v>1.6999999999999999E-3</v>
      </c>
      <c r="E77" s="150"/>
      <c r="H77" s="15">
        <v>4200</v>
      </c>
    </row>
    <row r="78" spans="2:8">
      <c r="B78" s="113">
        <v>9</v>
      </c>
      <c r="C78" s="137">
        <v>0</v>
      </c>
      <c r="D78" s="137">
        <v>1E-4</v>
      </c>
      <c r="E78" s="150"/>
      <c r="H78" s="15">
        <v>4725</v>
      </c>
    </row>
    <row r="81" spans="2:12">
      <c r="B81" s="15" t="s">
        <v>188</v>
      </c>
      <c r="I81" s="15" t="e">
        <f>1/I82</f>
        <v>#REF!</v>
      </c>
    </row>
    <row r="82" spans="2:12">
      <c r="B82" s="121"/>
      <c r="C82" s="121" t="s">
        <v>126</v>
      </c>
      <c r="D82" s="121" t="s">
        <v>125</v>
      </c>
      <c r="E82" s="148"/>
      <c r="I82" s="138" t="e">
        <f>SUMPRODUCT(#REF!,D69:D78)</f>
        <v>#REF!</v>
      </c>
    </row>
    <row r="83" spans="2:12">
      <c r="B83" s="139">
        <v>0</v>
      </c>
      <c r="C83" s="140">
        <v>0.64345873104997198</v>
      </c>
      <c r="D83" s="140" t="e" cm="1">
        <f t="array" ref="D83:D95">J83:J95</f>
        <v>#REF!</v>
      </c>
      <c r="E83" s="149"/>
      <c r="G83" s="15" cm="1">
        <f t="array" ref="G83:G95">TRANSPOSE(Parameter!O19:AA19)</f>
        <v>0</v>
      </c>
      <c r="H83" s="15" cm="1">
        <f t="array" ref="H83:H95">TRANSPOSE(Parameter!O8:AA8)</f>
        <v>0</v>
      </c>
      <c r="I83" s="138" t="e" cm="1">
        <f t="array" ref="I83:I95">_xlfn.ANCHORARRAY(H83)/SUM(_xlfn.ANCHORARRAY(H83))*I82</f>
        <v>#REF!</v>
      </c>
      <c r="J83" s="138" t="e" cm="1">
        <f t="array" ref="J83">#REF!</f>
        <v>#REF!</v>
      </c>
      <c r="K83" s="138"/>
      <c r="L83" s="143"/>
    </row>
    <row r="84" spans="2:12">
      <c r="B84" s="141">
        <v>2</v>
      </c>
      <c r="C84" s="142">
        <v>0.21617069062324537</v>
      </c>
      <c r="D84" s="142">
        <v>0</v>
      </c>
      <c r="E84" s="149"/>
      <c r="G84" s="15">
        <v>6000</v>
      </c>
      <c r="H84" s="15">
        <v>0</v>
      </c>
      <c r="I84" s="138" t="e">
        <v>#REF!</v>
      </c>
      <c r="J84" s="138"/>
      <c r="K84" s="138"/>
      <c r="L84" s="138"/>
    </row>
    <row r="85" spans="2:12">
      <c r="B85" s="141">
        <v>3</v>
      </c>
      <c r="C85" s="142">
        <v>8.5906793935991016E-2</v>
      </c>
      <c r="D85" s="142">
        <v>0</v>
      </c>
      <c r="E85" s="149"/>
      <c r="G85" s="15">
        <v>2800</v>
      </c>
      <c r="H85" s="15">
        <v>0</v>
      </c>
      <c r="I85" s="138" t="e">
        <v>#REF!</v>
      </c>
      <c r="J85" s="138"/>
      <c r="K85" s="138"/>
      <c r="L85" s="138"/>
    </row>
    <row r="86" spans="2:12">
      <c r="B86" s="141">
        <v>5</v>
      </c>
      <c r="C86" s="142">
        <v>2.1897810218978103E-2</v>
      </c>
      <c r="D86" s="142">
        <v>0</v>
      </c>
      <c r="E86" s="149"/>
      <c r="G86" s="15">
        <v>900</v>
      </c>
      <c r="H86" s="15">
        <v>0</v>
      </c>
      <c r="I86" s="138" t="e">
        <v>#REF!</v>
      </c>
      <c r="J86" s="138"/>
      <c r="K86" s="138"/>
      <c r="L86" s="138"/>
    </row>
    <row r="87" spans="2:12">
      <c r="B87" s="141">
        <v>8</v>
      </c>
      <c r="C87" s="142">
        <v>1.0668163952835485E-2</v>
      </c>
      <c r="D87" s="142">
        <v>0</v>
      </c>
      <c r="E87" s="149"/>
      <c r="G87" s="15">
        <v>300</v>
      </c>
      <c r="H87" s="15">
        <v>0</v>
      </c>
      <c r="I87" s="138" t="e">
        <v>#REF!</v>
      </c>
      <c r="J87" s="138"/>
      <c r="K87" s="138"/>
      <c r="L87" s="138"/>
    </row>
    <row r="88" spans="2:12">
      <c r="B88" s="141">
        <v>10</v>
      </c>
      <c r="C88" s="142">
        <v>1.0106681639528355E-2</v>
      </c>
      <c r="D88" s="142" t="e">
        <v>#REF!</v>
      </c>
      <c r="E88" s="149"/>
      <c r="G88" s="15">
        <v>0</v>
      </c>
      <c r="H88" s="15">
        <v>3600</v>
      </c>
      <c r="I88" s="138" t="e">
        <v>#REF!</v>
      </c>
      <c r="J88" s="138" t="e" cm="1">
        <f t="array" ref="J88:J95">I88:I95</f>
        <v>#REF!</v>
      </c>
      <c r="K88" s="138"/>
      <c r="L88" s="138"/>
    </row>
    <row r="89" spans="2:12">
      <c r="B89" s="141">
        <v>15</v>
      </c>
      <c r="C89" s="142">
        <v>5.8955642897248733E-3</v>
      </c>
      <c r="D89" s="142" t="e">
        <v>#REF!</v>
      </c>
      <c r="E89" s="149"/>
      <c r="G89" s="15">
        <v>0</v>
      </c>
      <c r="H89" s="15">
        <v>2500</v>
      </c>
      <c r="I89" s="138" t="e">
        <v>#REF!</v>
      </c>
      <c r="J89" s="138" t="e">
        <v>#REF!</v>
      </c>
      <c r="K89" s="138"/>
      <c r="L89" s="138"/>
    </row>
    <row r="90" spans="2:12">
      <c r="B90" s="141">
        <v>20</v>
      </c>
      <c r="C90" s="142">
        <v>2.807411566535654E-3</v>
      </c>
      <c r="D90" s="142" t="e">
        <v>#REF!</v>
      </c>
      <c r="E90" s="149"/>
      <c r="G90" s="15">
        <v>0</v>
      </c>
      <c r="H90" s="15">
        <v>1500</v>
      </c>
      <c r="I90" s="138" t="e">
        <v>#REF!</v>
      </c>
      <c r="J90" s="138" t="e">
        <v>#REF!</v>
      </c>
      <c r="K90" s="138"/>
      <c r="L90" s="138"/>
    </row>
    <row r="91" spans="2:12">
      <c r="B91" s="141">
        <v>25</v>
      </c>
      <c r="C91" s="142">
        <v>5.6148231330713087E-4</v>
      </c>
      <c r="D91" s="142" t="e">
        <v>#REF!</v>
      </c>
      <c r="E91" s="149"/>
      <c r="G91" s="15">
        <v>0</v>
      </c>
      <c r="H91" s="15">
        <v>250</v>
      </c>
      <c r="I91" s="138" t="e">
        <v>#REF!</v>
      </c>
      <c r="J91" s="138" t="e">
        <v>#REF!</v>
      </c>
      <c r="K91" s="138"/>
      <c r="L91" s="138"/>
    </row>
    <row r="92" spans="2:12">
      <c r="B92" s="141">
        <v>35</v>
      </c>
      <c r="C92" s="142">
        <v>5.6148231330713087E-4</v>
      </c>
      <c r="D92" s="142" t="e">
        <v>#REF!</v>
      </c>
      <c r="E92" s="149"/>
      <c r="G92" s="15">
        <v>0</v>
      </c>
      <c r="H92" s="15">
        <v>50</v>
      </c>
      <c r="I92" s="138" t="e">
        <v>#REF!</v>
      </c>
      <c r="J92" s="138" t="e">
        <v>#REF!</v>
      </c>
      <c r="K92" s="138"/>
      <c r="L92" s="138"/>
    </row>
    <row r="93" spans="2:12">
      <c r="B93" s="141">
        <v>50</v>
      </c>
      <c r="C93" s="142">
        <v>8.4222346996069624E-4</v>
      </c>
      <c r="D93" s="142" t="e">
        <v>#REF!</v>
      </c>
      <c r="E93" s="149"/>
      <c r="G93" s="15">
        <v>0</v>
      </c>
      <c r="H93" s="15">
        <v>1000</v>
      </c>
      <c r="I93" s="138" t="e">
        <v>#REF!</v>
      </c>
      <c r="J93" s="138" t="e">
        <v>#REF!</v>
      </c>
      <c r="K93" s="138"/>
      <c r="L93" s="138"/>
    </row>
    <row r="94" spans="2:12">
      <c r="B94" s="141">
        <v>80</v>
      </c>
      <c r="C94" s="142">
        <v>8.4222346996069624E-4</v>
      </c>
      <c r="D94" s="142" t="e">
        <v>#REF!</v>
      </c>
      <c r="E94" s="149"/>
      <c r="G94" s="15">
        <v>0</v>
      </c>
      <c r="H94" s="15">
        <v>100</v>
      </c>
      <c r="I94" s="138" t="e">
        <v>#REF!</v>
      </c>
      <c r="J94" s="138" t="e">
        <v>#REF!</v>
      </c>
      <c r="K94" s="138"/>
      <c r="L94" s="138"/>
    </row>
    <row r="95" spans="2:12">
      <c r="B95" s="141">
        <v>100</v>
      </c>
      <c r="C95" s="142">
        <v>2.8074115665356543E-4</v>
      </c>
      <c r="D95" s="142" t="e">
        <v>#REF!</v>
      </c>
      <c r="E95" s="149"/>
      <c r="G95" s="15">
        <v>0</v>
      </c>
      <c r="H95" s="15">
        <v>1000</v>
      </c>
      <c r="I95" s="138" t="e">
        <v>#REF!</v>
      </c>
      <c r="J95" s="138" t="e">
        <v>#REF!</v>
      </c>
      <c r="K95" s="138"/>
      <c r="L95" s="138"/>
    </row>
    <row r="96" spans="2:12">
      <c r="C96" s="15">
        <f>SUMPRODUCT(C83:C95,B83:B95)</f>
        <v>1.301796743402583</v>
      </c>
      <c r="D96" s="15" t="e">
        <f>SUMPRODUCT(D83:D95,B83:B95)</f>
        <v>#REF!</v>
      </c>
    </row>
  </sheetData>
  <phoneticPr fontId="20" type="noConversion"/>
  <conditionalFormatting sqref="A18:A31 O89:XFD89 A81:H95 L81:L95 L35:L64 A35:A64 J32:L34 G18:H18 J17:L18 A15:F17 M90:XFD1048576 M81:Q97 G19:L31 A14:L14 G15:L16 A65:L80 A96:L1048576 I79:K96 A32:H34 A3:H13 I3:I11 L3 A1:L2 M19 P19:R19 M1:XFD3 M20:R32 K4:S13 W18:W32 M33:V33 X4:X13 Y5:AE13 AF4:XFD4 AF6:XFD13 AF5 AJ5:XFD5 M14:XFD17 W32:XFD33 X20 W17:Y18 AF19:AF31 X18:AA18 AC18:AF18 Y19:AA31 AC19:AD31 X21:AA31 S32 U32 M18:S18 U18 M40:XFD88 M39:P39 M34:XFD38 R39:XFD39 AJ18:XFD31">
    <cfRule type="cellIs" dxfId="19" priority="55" operator="equal">
      <formula>0</formula>
    </cfRule>
  </conditionalFormatting>
  <conditionalFormatting sqref="C19:C31">
    <cfRule type="cellIs" dxfId="18" priority="54" operator="equal">
      <formula>0</formula>
    </cfRule>
  </conditionalFormatting>
  <conditionalFormatting sqref="C20:C31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{A8B2C446-4EE6-42D7-B071-BB870B8DFBD5}</x14:id>
        </ext>
      </extLst>
    </cfRule>
  </conditionalFormatting>
  <conditionalFormatting sqref="C18">
    <cfRule type="cellIs" dxfId="17" priority="52" operator="equal">
      <formula>0</formula>
    </cfRule>
  </conditionalFormatting>
  <conditionalFormatting sqref="D19:D31">
    <cfRule type="cellIs" dxfId="16" priority="51" operator="equal">
      <formula>0</formula>
    </cfRule>
  </conditionalFormatting>
  <conditionalFormatting sqref="D20:D31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{C9C2295E-EA13-4CAD-A312-5E76EA18B4FD}</x14:id>
        </ext>
      </extLst>
    </cfRule>
  </conditionalFormatting>
  <conditionalFormatting sqref="F82:F95 B81:H81 B69:K78 B96">
    <cfRule type="cellIs" dxfId="15" priority="39" operator="equal">
      <formula>0</formula>
    </cfRule>
  </conditionalFormatting>
  <conditionalFormatting sqref="C83:C95">
    <cfRule type="cellIs" dxfId="14" priority="38" operator="equal">
      <formula>0</formula>
    </cfRule>
  </conditionalFormatting>
  <conditionalFormatting sqref="C84:C95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{1CFC1D78-6CCF-45C3-AE6C-77EA8EDFA9DD}</x14:id>
        </ext>
      </extLst>
    </cfRule>
  </conditionalFormatting>
  <conditionalFormatting sqref="C82:E82">
    <cfRule type="cellIs" dxfId="13" priority="36" operator="equal">
      <formula>0</formula>
    </cfRule>
  </conditionalFormatting>
  <conditionalFormatting sqref="D83:E95">
    <cfRule type="cellIs" dxfId="12" priority="35" operator="equal">
      <formula>0</formula>
    </cfRule>
  </conditionalFormatting>
  <conditionalFormatting sqref="D84:E9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{4295F6B7-33B8-4A69-84B9-548D8EC59B5F}</x14:id>
        </ext>
      </extLst>
    </cfRule>
  </conditionalFormatting>
  <conditionalFormatting sqref="G82:H95">
    <cfRule type="cellIs" dxfId="11" priority="33" operator="equal">
      <formula>0</formula>
    </cfRule>
  </conditionalFormatting>
  <conditionalFormatting sqref="C96:E96">
    <cfRule type="cellIs" dxfId="10" priority="30" operator="equal">
      <formula>0</formula>
    </cfRule>
  </conditionalFormatting>
  <conditionalFormatting sqref="N89">
    <cfRule type="cellIs" dxfId="9" priority="27" operator="equal">
      <formula>0</formula>
    </cfRule>
  </conditionalFormatting>
  <conditionalFormatting sqref="E19:E31">
    <cfRule type="cellIs" dxfId="8" priority="22" operator="equal">
      <formula>0</formula>
    </cfRule>
  </conditionalFormatting>
  <conditionalFormatting sqref="E20:E3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{64576707-95C9-4D15-9974-3137242CA1E6}</x14:id>
        </ext>
      </extLst>
    </cfRule>
  </conditionalFormatting>
  <conditionalFormatting sqref="D18:E18">
    <cfRule type="cellIs" dxfId="7" priority="20" operator="equal">
      <formula>0</formula>
    </cfRule>
  </conditionalFormatting>
  <conditionalFormatting sqref="N4:Q1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{AF24BC46-1242-4684-BB2D-F95ACE59986B}</x14:id>
        </ext>
      </extLst>
    </cfRule>
  </conditionalFormatting>
  <conditionalFormatting sqref="N20:N31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{B06B1BF0-1FEC-4FC0-AC20-9127B3809213}</x14:id>
        </ext>
      </extLst>
    </cfRule>
  </conditionalFormatting>
  <conditionalFormatting sqref="O20:O3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{5A184E5D-AD62-460D-B745-411CD080DC81}</x14:id>
        </ext>
      </extLst>
    </cfRule>
  </conditionalFormatting>
  <conditionalFormatting sqref="S19:S31">
    <cfRule type="cellIs" dxfId="6" priority="15" operator="equal">
      <formula>0</formula>
    </cfRule>
  </conditionalFormatting>
  <conditionalFormatting sqref="T4:W13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{E8DC518C-B7A7-44EF-8790-AA80AD1B0A17}</x14:id>
        </ext>
      </extLst>
    </cfRule>
  </conditionalFormatting>
  <conditionalFormatting sqref="W20:W31">
    <cfRule type="dataBar" priority="1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{50EE89FB-10CD-4C04-9D87-1C045A87CE58}</x14:id>
        </ext>
      </extLst>
    </cfRule>
  </conditionalFormatting>
  <conditionalFormatting sqref="V32 V18">
    <cfRule type="cellIs" dxfId="5" priority="9" operator="equal">
      <formula>0</formula>
    </cfRule>
  </conditionalFormatting>
  <conditionalFormatting sqref="V20:V3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{381FAAC3-D7BD-4D41-96E3-2C558158820A}</x14:id>
        </ext>
      </extLst>
    </cfRule>
  </conditionalFormatting>
  <conditionalFormatting sqref="W18:W33">
    <cfRule type="cellIs" dxfId="4" priority="7" operator="equal">
      <formula>0</formula>
    </cfRule>
  </conditionalFormatting>
  <conditionalFormatting sqref="AE19:AE31">
    <cfRule type="cellIs" dxfId="3" priority="6" operator="equal">
      <formula>0</formula>
    </cfRule>
  </conditionalFormatting>
  <conditionalFormatting sqref="T32 T18">
    <cfRule type="cellIs" dxfId="2" priority="4" operator="equal">
      <formula>0</formula>
    </cfRule>
  </conditionalFormatting>
  <conditionalFormatting sqref="T20:T3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{E3A9F201-D81D-4156-A998-CA1DA1450D60}</x14:id>
        </ext>
      </extLst>
    </cfRule>
  </conditionalFormatting>
  <conditionalFormatting sqref="AG18:AI18 AG19:AH31">
    <cfRule type="cellIs" dxfId="1" priority="3" operator="equal">
      <formula>0</formula>
    </cfRule>
  </conditionalFormatting>
  <conditionalFormatting sqref="AI19:AI31">
    <cfRule type="cellIs" dxfId="0" priority="2" operator="equal">
      <formula>0</formula>
    </cfRule>
  </conditionalFormatting>
  <conditionalFormatting sqref="U20:U3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{29529594-0006-4E8A-BA4F-A6E779F0247E}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2C446-4EE6-42D7-B071-BB870B8DF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C20:C31</xm:sqref>
        </x14:conditionalFormatting>
        <x14:conditionalFormatting xmlns:xm="http://schemas.microsoft.com/office/excel/2006/main">
          <x14:cfRule type="dataBar" id="{C9C2295E-EA13-4CAD-A312-5E76EA18B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D20:D31</xm:sqref>
        </x14:conditionalFormatting>
        <x14:conditionalFormatting xmlns:xm="http://schemas.microsoft.com/office/excel/2006/main">
          <x14:cfRule type="dataBar" id="{1CFC1D78-6CCF-45C3-AE6C-77EA8EDFA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C84:C95</xm:sqref>
        </x14:conditionalFormatting>
        <x14:conditionalFormatting xmlns:xm="http://schemas.microsoft.com/office/excel/2006/main">
          <x14:cfRule type="dataBar" id="{4295F6B7-33B8-4A69-84B9-548D8EC59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D84:E95</xm:sqref>
        </x14:conditionalFormatting>
        <x14:conditionalFormatting xmlns:xm="http://schemas.microsoft.com/office/excel/2006/main">
          <x14:cfRule type="dataBar" id="{64576707-95C9-4D15-9974-3137242CA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E20:E31</xm:sqref>
        </x14:conditionalFormatting>
        <x14:conditionalFormatting xmlns:xm="http://schemas.microsoft.com/office/excel/2006/main">
          <x14:cfRule type="dataBar" id="{AF24BC46-1242-4684-BB2D-F95ACE599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N4:Q13</xm:sqref>
        </x14:conditionalFormatting>
        <x14:conditionalFormatting xmlns:xm="http://schemas.microsoft.com/office/excel/2006/main">
          <x14:cfRule type="dataBar" id="{B06B1BF0-1FEC-4FC0-AC20-9127B3809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N20:N31</xm:sqref>
        </x14:conditionalFormatting>
        <x14:conditionalFormatting xmlns:xm="http://schemas.microsoft.com/office/excel/2006/main">
          <x14:cfRule type="dataBar" id="{5A184E5D-AD62-460D-B745-411CD080D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O20:O31</xm:sqref>
        </x14:conditionalFormatting>
        <x14:conditionalFormatting xmlns:xm="http://schemas.microsoft.com/office/excel/2006/main">
          <x14:cfRule type="dataBar" id="{E8DC518C-B7A7-44EF-8790-AA80AD1B0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T4:W13</xm:sqref>
        </x14:conditionalFormatting>
        <x14:conditionalFormatting xmlns:xm="http://schemas.microsoft.com/office/excel/2006/main">
          <x14:cfRule type="dataBar" id="{50EE89FB-10CD-4C04-9D87-1C045A87C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W20:W31</xm:sqref>
        </x14:conditionalFormatting>
        <x14:conditionalFormatting xmlns:xm="http://schemas.microsoft.com/office/excel/2006/main">
          <x14:cfRule type="dataBar" id="{381FAAC3-D7BD-4D41-96E3-2C5581588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V20:V31</xm:sqref>
        </x14:conditionalFormatting>
        <x14:conditionalFormatting xmlns:xm="http://schemas.microsoft.com/office/excel/2006/main">
          <x14:cfRule type="dataBar" id="{E3A9F201-D81D-4156-A998-CA1DA1450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T20:T31</xm:sqref>
        </x14:conditionalFormatting>
        <x14:conditionalFormatting xmlns:xm="http://schemas.microsoft.com/office/excel/2006/main">
          <x14:cfRule type="dataBar" id="{29529594-0006-4E8A-BA4F-A6E779F024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U20:U31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2026-07-14T03:33:19Z</dcterms:modified>
</cp:coreProperties>
</file>