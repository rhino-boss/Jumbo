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31480E1-6597-40F9-9ABB-5059874DEAB4}" xr6:coauthVersionLast="47" xr6:coauthVersionMax="47" xr10:uidLastSave="{00000000-0000-0000-0000-000000000000}"/>
  <bookViews>
    <workbookView xWindow="-17280" yWindow="1755" windowWidth="10440" windowHeight="11790" tabRatio="840" firstSheet="1" activeTab="1" xr2:uid="{F1DDA356-D507-4748-9DE5-3B246F72C201}"/>
  </bookViews>
  <sheets>
    <sheet name="Description" sheetId="55" state="hidden" r:id="rId1"/>
    <sheet name="Test1" sheetId="48" r:id="rId2"/>
    <sheet name="Multiplier_Weight_Oldhand (2)" sheetId="7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6" i="48" l="1" a="1"/>
  <c r="P16" i="48" s="1"/>
  <c r="I16" i="48" a="1"/>
  <c r="I16" i="48" s="1"/>
  <c r="F16" i="48" l="1" a="1"/>
  <c r="F16" i="48" s="1"/>
  <c r="H362" i="78"/>
  <c r="H361" i="78"/>
  <c r="H360" i="78"/>
  <c r="H359" i="78"/>
  <c r="H358" i="78"/>
  <c r="H357" i="78"/>
  <c r="H356" i="78"/>
  <c r="H355" i="78"/>
  <c r="H354" i="78"/>
  <c r="H353" i="78"/>
  <c r="H352" i="78"/>
  <c r="H351" i="78"/>
  <c r="H350" i="78"/>
  <c r="H349" i="78"/>
  <c r="H348" i="78"/>
  <c r="H347" i="78"/>
  <c r="H346" i="78"/>
  <c r="H345" i="78"/>
  <c r="H344" i="78"/>
  <c r="H343" i="78"/>
  <c r="H342" i="78"/>
  <c r="H341" i="78"/>
  <c r="H340" i="78"/>
  <c r="H339" i="78"/>
  <c r="H338" i="78"/>
  <c r="H337" i="78"/>
  <c r="H336" i="78"/>
  <c r="H335" i="78"/>
  <c r="H334" i="78"/>
  <c r="H333" i="78"/>
  <c r="H332" i="78"/>
  <c r="H331" i="78"/>
  <c r="H330" i="78"/>
  <c r="H329" i="78"/>
  <c r="H328" i="78"/>
  <c r="H327" i="78"/>
  <c r="H326" i="78"/>
  <c r="H325" i="78"/>
  <c r="H324" i="78"/>
  <c r="H323" i="78"/>
  <c r="H322" i="78"/>
  <c r="H321" i="78"/>
  <c r="H320" i="78"/>
  <c r="H319" i="78"/>
  <c r="O318" i="78" a="1"/>
  <c r="O318" i="78" s="1"/>
  <c r="I318" i="78" a="1"/>
  <c r="I318" i="78" s="1"/>
  <c r="H318" i="78"/>
  <c r="H317" i="78"/>
  <c r="H316" i="78"/>
  <c r="H315" i="78"/>
  <c r="H314" i="78"/>
  <c r="H313" i="78"/>
  <c r="H312" i="78"/>
  <c r="H311" i="78"/>
  <c r="H310" i="78"/>
  <c r="H309" i="78"/>
  <c r="H308" i="78"/>
  <c r="H307" i="78"/>
  <c r="H306" i="78"/>
  <c r="H305" i="78"/>
  <c r="H304" i="78"/>
  <c r="H303" i="78"/>
  <c r="H302" i="78"/>
  <c r="H301" i="78"/>
  <c r="G301" i="78"/>
  <c r="H300" i="78"/>
  <c r="H299" i="78"/>
  <c r="C299" i="78" a="1"/>
  <c r="H292" i="78"/>
  <c r="H291" i="78"/>
  <c r="H290" i="78"/>
  <c r="H289" i="78"/>
  <c r="H288" i="78"/>
  <c r="H287" i="78"/>
  <c r="H286" i="78"/>
  <c r="H285" i="78"/>
  <c r="H284" i="78"/>
  <c r="H283" i="78"/>
  <c r="H282" i="78"/>
  <c r="H281" i="78"/>
  <c r="H280" i="78"/>
  <c r="H279" i="78"/>
  <c r="H278" i="78"/>
  <c r="H277" i="78"/>
  <c r="H276" i="78"/>
  <c r="H275" i="78"/>
  <c r="H274" i="78"/>
  <c r="H273" i="78"/>
  <c r="H272" i="78"/>
  <c r="H271" i="78"/>
  <c r="H270" i="78"/>
  <c r="H269" i="78"/>
  <c r="H268" i="78"/>
  <c r="H267" i="78"/>
  <c r="H266" i="78"/>
  <c r="H265" i="78"/>
  <c r="H264" i="78"/>
  <c r="H263" i="78"/>
  <c r="H262" i="78"/>
  <c r="H261" i="78"/>
  <c r="H260" i="78"/>
  <c r="H259" i="78"/>
  <c r="H258" i="78"/>
  <c r="H257" i="78"/>
  <c r="H256" i="78"/>
  <c r="H255" i="78"/>
  <c r="H254" i="78"/>
  <c r="H253" i="78"/>
  <c r="H252" i="78"/>
  <c r="O251" i="78" a="1"/>
  <c r="O251" i="78" s="1"/>
  <c r="H251" i="78"/>
  <c r="H250" i="78"/>
  <c r="H249" i="78"/>
  <c r="O248" i="78" a="1"/>
  <c r="O248" i="78" s="1"/>
  <c r="H248" i="78"/>
  <c r="H247" i="78"/>
  <c r="H246" i="78"/>
  <c r="O245" i="78" a="1"/>
  <c r="O245" i="78" s="1"/>
  <c r="H245" i="78"/>
  <c r="H244" i="78"/>
  <c r="H243" i="78"/>
  <c r="H242" i="78"/>
  <c r="H241" i="78"/>
  <c r="H240" i="78"/>
  <c r="H239" i="78"/>
  <c r="H238" i="78"/>
  <c r="H237" i="78"/>
  <c r="H236" i="78"/>
  <c r="H235" i="78"/>
  <c r="H234" i="78"/>
  <c r="H233" i="78"/>
  <c r="H232" i="78"/>
  <c r="H231" i="78"/>
  <c r="G231" i="78"/>
  <c r="I248" i="78" s="1" a="1"/>
  <c r="I248" i="78" s="1"/>
  <c r="H230" i="78"/>
  <c r="H229" i="78"/>
  <c r="C229" i="78" a="1"/>
  <c r="C229" i="78" s="1"/>
  <c r="E229" i="78" s="1" a="1"/>
  <c r="E229" i="78" s="1"/>
  <c r="J229" i="78" s="1" a="1"/>
  <c r="J229" i="78" s="1"/>
  <c r="K229" i="78" s="1" a="1"/>
  <c r="K229" i="78" s="1"/>
  <c r="L229" i="78" s="1" a="1"/>
  <c r="L229" i="78" s="1"/>
  <c r="F227" i="78"/>
  <c r="I222" i="78"/>
  <c r="D222" i="78" a="1"/>
  <c r="D222" i="78" s="1"/>
  <c r="C222" i="78"/>
  <c r="H221" i="78"/>
  <c r="H220" i="78"/>
  <c r="H219" i="78"/>
  <c r="H218" i="78"/>
  <c r="H217" i="78"/>
  <c r="H216" i="78"/>
  <c r="H215" i="78"/>
  <c r="H214" i="78"/>
  <c r="H213" i="78"/>
  <c r="H212" i="78"/>
  <c r="H211" i="78"/>
  <c r="H210" i="78"/>
  <c r="H209" i="78"/>
  <c r="H208" i="78"/>
  <c r="H207" i="78"/>
  <c r="H206" i="78"/>
  <c r="H205" i="78"/>
  <c r="H204" i="78"/>
  <c r="H203" i="78"/>
  <c r="H202" i="78"/>
  <c r="H201" i="78"/>
  <c r="H200" i="78"/>
  <c r="H199" i="78"/>
  <c r="H198" i="78"/>
  <c r="H197" i="78"/>
  <c r="H196" i="78"/>
  <c r="H195" i="78"/>
  <c r="H194" i="78"/>
  <c r="H193" i="78"/>
  <c r="H192" i="78"/>
  <c r="H191" i="78"/>
  <c r="H190" i="78"/>
  <c r="H189" i="78"/>
  <c r="H188" i="78"/>
  <c r="H187" i="78"/>
  <c r="H186" i="78"/>
  <c r="H185" i="78"/>
  <c r="H184" i="78"/>
  <c r="H183" i="78"/>
  <c r="H182" i="78"/>
  <c r="H181" i="78"/>
  <c r="H180" i="78"/>
  <c r="H179" i="78"/>
  <c r="H178" i="78"/>
  <c r="H177" i="78"/>
  <c r="H176" i="78"/>
  <c r="H175" i="78"/>
  <c r="H174" i="78"/>
  <c r="H173" i="78"/>
  <c r="H172" i="78"/>
  <c r="H171" i="78"/>
  <c r="H170" i="78"/>
  <c r="H169" i="78"/>
  <c r="H168" i="78"/>
  <c r="H167" i="78"/>
  <c r="H166" i="78"/>
  <c r="H165" i="78"/>
  <c r="H164" i="78"/>
  <c r="H163" i="78"/>
  <c r="H162" i="78"/>
  <c r="H161" i="78"/>
  <c r="H160" i="78"/>
  <c r="G160" i="78"/>
  <c r="I164" i="78" s="1" a="1"/>
  <c r="I164" i="78" s="1"/>
  <c r="H159" i="78"/>
  <c r="H158" i="78"/>
  <c r="C158" i="78" a="1"/>
  <c r="C158" i="78" s="1"/>
  <c r="E158" i="78" s="1" a="1"/>
  <c r="E158" i="78" s="1"/>
  <c r="J158" i="78" s="1" a="1"/>
  <c r="H151" i="78"/>
  <c r="H150" i="78"/>
  <c r="H149" i="78"/>
  <c r="H148" i="78"/>
  <c r="H147" i="78"/>
  <c r="H146" i="78"/>
  <c r="H145" i="78"/>
  <c r="H144" i="78"/>
  <c r="H143" i="78"/>
  <c r="H142" i="78"/>
  <c r="H141" i="78"/>
  <c r="H140" i="78"/>
  <c r="H139" i="78"/>
  <c r="H138" i="78"/>
  <c r="H137" i="78"/>
  <c r="H136" i="78"/>
  <c r="H135" i="78"/>
  <c r="H134" i="78"/>
  <c r="H133" i="78"/>
  <c r="H132" i="78"/>
  <c r="H131" i="78"/>
  <c r="H130" i="78"/>
  <c r="H129" i="78"/>
  <c r="H128" i="78"/>
  <c r="H127" i="78"/>
  <c r="H126" i="78"/>
  <c r="H125" i="78"/>
  <c r="H124" i="78"/>
  <c r="H123" i="78"/>
  <c r="H122" i="78"/>
  <c r="H121" i="78"/>
  <c r="H120" i="78"/>
  <c r="H119" i="78"/>
  <c r="H118" i="78"/>
  <c r="H117" i="78"/>
  <c r="H116" i="78"/>
  <c r="H115" i="78"/>
  <c r="H114" i="78"/>
  <c r="H113" i="78"/>
  <c r="H112" i="78"/>
  <c r="H111" i="78"/>
  <c r="H110" i="78"/>
  <c r="H109" i="78"/>
  <c r="H108" i="78"/>
  <c r="O107" i="78" a="1"/>
  <c r="O107" i="78" s="1"/>
  <c r="H107" i="78"/>
  <c r="H106" i="78"/>
  <c r="H105" i="78"/>
  <c r="H104" i="78"/>
  <c r="H103" i="78"/>
  <c r="H102" i="78"/>
  <c r="H101" i="78"/>
  <c r="O100" i="78" a="1"/>
  <c r="O100" i="78" s="1"/>
  <c r="H100" i="78"/>
  <c r="H99" i="78"/>
  <c r="H98" i="78"/>
  <c r="H97" i="78"/>
  <c r="H96" i="78"/>
  <c r="H95" i="78"/>
  <c r="H94" i="78"/>
  <c r="H93" i="78"/>
  <c r="H92" i="78"/>
  <c r="H91" i="78"/>
  <c r="H90" i="78"/>
  <c r="G90" i="78"/>
  <c r="I107" i="78" s="1" a="1"/>
  <c r="I107" i="78" s="1"/>
  <c r="H89" i="78"/>
  <c r="H88" i="78"/>
  <c r="E88" i="78" a="1"/>
  <c r="E88" i="78" s="1"/>
  <c r="J88" i="78" s="1" a="1"/>
  <c r="J88" i="78" s="1"/>
  <c r="K88" i="78" s="1" a="1"/>
  <c r="K88" i="78" s="1"/>
  <c r="L88" i="78" s="1" a="1"/>
  <c r="L88" i="78" s="1"/>
  <c r="B86" i="78"/>
  <c r="B227" i="78" s="1"/>
  <c r="M81" i="78"/>
  <c r="C80" i="78"/>
  <c r="H79" i="78"/>
  <c r="H78" i="78"/>
  <c r="H77" i="78"/>
  <c r="H76" i="78"/>
  <c r="H75" i="78"/>
  <c r="H74" i="78"/>
  <c r="H73" i="78"/>
  <c r="H72" i="78"/>
  <c r="H71" i="78"/>
  <c r="H70" i="78"/>
  <c r="H69" i="78"/>
  <c r="H68" i="78"/>
  <c r="H67" i="78"/>
  <c r="H66" i="78"/>
  <c r="H65" i="78"/>
  <c r="H64" i="78"/>
  <c r="H63" i="78"/>
  <c r="H62" i="78"/>
  <c r="H61" i="78"/>
  <c r="H60" i="78"/>
  <c r="H59" i="78"/>
  <c r="H58" i="78"/>
  <c r="H57" i="78"/>
  <c r="H56" i="78"/>
  <c r="H55" i="78"/>
  <c r="H54" i="78"/>
  <c r="H53" i="78"/>
  <c r="H52" i="78"/>
  <c r="H51" i="78"/>
  <c r="H50" i="78"/>
  <c r="H49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I22" i="78" a="1"/>
  <c r="I22" i="78" s="1"/>
  <c r="H22" i="78"/>
  <c r="H21" i="78"/>
  <c r="H20" i="78"/>
  <c r="H19" i="78"/>
  <c r="H18" i="78"/>
  <c r="G18" i="78"/>
  <c r="H17" i="78"/>
  <c r="H16" i="78"/>
  <c r="E16" i="78" a="1"/>
  <c r="E16" i="78" s="1"/>
  <c r="F9" i="78"/>
  <c r="G9" i="78" s="1"/>
  <c r="B7" i="78" a="1"/>
  <c r="B7" i="78" s="1"/>
  <c r="F88" i="78" a="1"/>
  <c r="F88" i="78" s="1"/>
  <c r="F16" i="78" l="1" a="1"/>
  <c r="N81" i="78" s="1"/>
  <c r="C9" i="78" s="1"/>
  <c r="E9" i="78" s="1"/>
  <c r="M88" i="78" a="1"/>
  <c r="M88" i="78" s="1"/>
  <c r="L7" i="78" a="1"/>
  <c r="L7" i="78" s="1"/>
  <c r="F299" i="78" a="1"/>
  <c r="F299" i="78" s="1"/>
  <c r="J16" i="78" a="1"/>
  <c r="L8" i="78" a="1"/>
  <c r="L8" i="78" s="1"/>
  <c r="M229" i="78" a="1"/>
  <c r="M229" i="78" s="1"/>
  <c r="K222" i="78"/>
  <c r="J158" i="78"/>
  <c r="K158" i="78" s="1" a="1"/>
  <c r="K158" i="78" s="1"/>
  <c r="L158" i="78" s="1" a="1"/>
  <c r="L158" i="78" s="1"/>
  <c r="F158" i="78" a="1"/>
  <c r="F158" i="78" s="1"/>
  <c r="F229" i="78" a="1"/>
  <c r="F229" i="78" s="1"/>
  <c r="C299" i="78"/>
  <c r="E299" i="78" s="1" a="1"/>
  <c r="E299" i="78" s="1"/>
  <c r="J299" i="78" s="1" a="1"/>
  <c r="J299" i="78" s="1"/>
  <c r="K299" i="78" s="1" a="1"/>
  <c r="K299" i="78" s="1"/>
  <c r="L299" i="78" s="1" a="1"/>
  <c r="L299" i="78" s="1"/>
  <c r="F16" i="78" l="1"/>
  <c r="I8" i="78" a="1"/>
  <c r="I8" i="78" s="1"/>
  <c r="M158" i="78" a="1"/>
  <c r="P229" i="78" a="1"/>
  <c r="P229" i="78" s="1"/>
  <c r="V229" i="78"/>
  <c r="V230" i="78" s="1"/>
  <c r="S229" i="78" a="1"/>
  <c r="S229" i="78" s="1"/>
  <c r="N229" i="78" a="1"/>
  <c r="N229" i="78" s="1"/>
  <c r="K80" i="78"/>
  <c r="K152" i="78" s="1"/>
  <c r="J16" i="78"/>
  <c r="K16" i="78" s="1" a="1"/>
  <c r="K16" i="78" s="1"/>
  <c r="L9" i="78" a="1"/>
  <c r="L9" i="78" s="1"/>
  <c r="M299" i="78" a="1"/>
  <c r="M299" i="78" s="1"/>
  <c r="P88" i="78" a="1"/>
  <c r="P88" i="78" s="1"/>
  <c r="V88" i="78"/>
  <c r="V89" i="78" s="1"/>
  <c r="S88" i="78" a="1"/>
  <c r="S88" i="78" s="1"/>
  <c r="N88" i="78" a="1"/>
  <c r="N88" i="78" s="1"/>
  <c r="N299" i="78" l="1" a="1"/>
  <c r="N299" i="78" s="1"/>
  <c r="D9" i="78" s="1"/>
  <c r="H9" i="78" s="1"/>
  <c r="V299" i="78"/>
  <c r="V300" i="78" s="1"/>
  <c r="S299" i="78" a="1"/>
  <c r="S299" i="78" s="1"/>
  <c r="P299" i="78" a="1"/>
  <c r="P299" i="78" s="1"/>
  <c r="M158" i="78"/>
  <c r="F8" i="78"/>
  <c r="L16" i="78" a="1"/>
  <c r="L16" i="78" s="1"/>
  <c r="G18" i="48"/>
  <c r="I7" i="78" l="1" a="1"/>
  <c r="I7" i="78" s="1"/>
  <c r="M16" i="78" a="1"/>
  <c r="G8" i="78"/>
  <c r="D8" i="78"/>
  <c r="H8" i="78" s="1"/>
  <c r="S158" i="78" a="1"/>
  <c r="S158" i="78" s="1"/>
  <c r="N158" i="78" a="1"/>
  <c r="N158" i="78" s="1"/>
  <c r="C8" i="78" s="1"/>
  <c r="E8" i="78" s="1"/>
  <c r="P158" i="78" a="1"/>
  <c r="P158" i="78" s="1"/>
  <c r="M16" i="78" l="1"/>
  <c r="F7" i="78"/>
  <c r="G7" i="78" l="1"/>
  <c r="D7" i="78"/>
  <c r="H7" i="78" s="1"/>
  <c r="S16" i="78" a="1"/>
  <c r="S16" i="78" s="1"/>
  <c r="P16" i="78" a="1"/>
  <c r="P16" i="78" s="1"/>
  <c r="N16" i="78" a="1"/>
  <c r="N16" i="78" s="1"/>
  <c r="C7" i="78" s="1"/>
  <c r="E7" i="78" s="1"/>
  <c r="C80" i="48" l="1"/>
  <c r="I8" i="48" l="1" a="1"/>
  <c r="I8" i="48" s="1"/>
  <c r="F8" i="48" l="1"/>
  <c r="G8" i="48" l="1"/>
  <c r="H29" i="48" l="1"/>
  <c r="B7" i="48" l="1" a="1"/>
  <c r="B7" i="48" s="1"/>
  <c r="C8" i="48" l="1"/>
  <c r="L8" i="48" l="1" a="1"/>
  <c r="L8" i="48" s="1"/>
  <c r="D8" i="48" l="1"/>
  <c r="L9" i="48" a="1"/>
  <c r="L9" i="48" s="1"/>
  <c r="F9" i="48" l="1"/>
  <c r="G9" i="48" s="1"/>
  <c r="E16" i="48" a="1"/>
  <c r="E16" i="48" s="1"/>
  <c r="J16" i="48" s="1" a="1"/>
  <c r="J16" i="48" s="1"/>
  <c r="K16" i="48" l="1" a="1"/>
  <c r="L7" i="48" l="1" a="1"/>
  <c r="L7" i="48" s="1"/>
  <c r="K16" i="48"/>
  <c r="H79" i="48" l="1"/>
  <c r="H73" i="48"/>
  <c r="H74" i="48"/>
  <c r="H75" i="48"/>
  <c r="H76" i="48"/>
  <c r="H77" i="48"/>
  <c r="H78" i="48"/>
  <c r="H72" i="48" l="1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K80" i="48" l="1"/>
  <c r="L16" i="48" l="1" a="1"/>
  <c r="L16" i="48" s="1"/>
  <c r="I7" i="48" s="1" a="1"/>
  <c r="I7" i="48" s="1"/>
  <c r="M16" i="48" l="1" a="1"/>
  <c r="M16" i="48" s="1"/>
  <c r="S16" i="48" l="1" a="1"/>
  <c r="S16" i="48" s="1"/>
  <c r="F7" i="48"/>
  <c r="G7" i="48" l="1"/>
  <c r="D7" i="48" l="1"/>
  <c r="D9" i="48"/>
  <c r="C9" i="48"/>
  <c r="N16" i="48" a="1"/>
  <c r="N16" i="48" s="1"/>
  <c r="C7" i="48" s="1"/>
  <c r="H7" i="48" l="1"/>
  <c r="H8" i="48"/>
  <c r="E8" i="48"/>
  <c r="H9" i="48"/>
  <c r="E7" i="48"/>
  <c r="E9" i="4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<sst xmlns="http://schemas.openxmlformats.org/spreadsheetml/2006/main" count="227" uniqueCount="105">
  <si>
    <t>Base Game</t>
    <phoneticPr fontId="20" type="noConversion"/>
  </si>
  <si>
    <t>Free Game</t>
    <phoneticPr fontId="20" type="noConversion"/>
  </si>
  <si>
    <t>Normal Bet</t>
    <phoneticPr fontId="20" type="noConversion"/>
  </si>
  <si>
    <t>Buy Feature</t>
    <phoneticPr fontId="20" type="noConversion"/>
  </si>
  <si>
    <t>Lower</t>
    <phoneticPr fontId="27" type="noConversion"/>
  </si>
  <si>
    <t>Upper</t>
    <phoneticPr fontId="27" type="noConversion"/>
  </si>
  <si>
    <t>Simulator RTP</t>
    <phoneticPr fontId="27" type="noConversion"/>
  </si>
  <si>
    <t>Range</t>
    <phoneticPr fontId="27" type="noConversion"/>
  </si>
  <si>
    <t>Threshold</t>
  </si>
  <si>
    <t>Fix Num</t>
    <phoneticPr fontId="27" type="noConversion"/>
  </si>
  <si>
    <t>Fix Rate</t>
    <phoneticPr fontId="27" type="noConversion"/>
  </si>
  <si>
    <t>Final Rate</t>
    <phoneticPr fontId="27" type="noConversion"/>
  </si>
  <si>
    <t>Weight</t>
    <phoneticPr fontId="27" type="noConversion"/>
  </si>
  <si>
    <t>Hit Rate</t>
    <phoneticPr fontId="27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</si>
  <si>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</si>
  <si>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</si>
  <si>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</si>
  <si>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</si>
  <si>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</si>
  <si>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</si>
  <si>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</si>
  <si>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</si>
  <si>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</si>
  <si>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</si>
  <si>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7" type="noConversion"/>
  </si>
  <si>
    <t>Buy Feature</t>
    <phoneticPr fontId="27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</si>
  <si>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</si>
  <si>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</si>
  <si>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</si>
  <si>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</si>
  <si>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BG</t>
    <phoneticPr fontId="20" type="noConversion"/>
  </si>
  <si>
    <t>FG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</si>
  <si>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</si>
  <si>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</si>
  <si>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</si>
  <si>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</si>
  <si>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</si>
  <si>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</si>
  <si>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</si>
  <si>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</si>
  <si>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</si>
  <si>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</si>
  <si>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</si>
  <si>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</si>
  <si>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</si>
  <si>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</si>
  <si>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</si>
  <si>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</si>
  <si>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</si>
  <si>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</si>
  <si>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</si>
  <si>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</si>
  <si>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</si>
  <si>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</si>
  <si>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</si>
  <si>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</si>
  <si>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</si>
  <si>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</si>
  <si>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</si>
  <si>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</si>
  <si>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</si>
  <si>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</si>
  <si>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</si>
  <si>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</si>
  <si>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</si>
  <si>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</si>
  <si>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</si>
  <si>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</si>
  <si>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</si>
  <si>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</si>
  <si>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</si>
  <si>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</si>
  <si>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</si>
  <si>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</si>
  <si>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</si>
  <si>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</si>
  <si>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</si>
  <si>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</si>
  <si>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</si>
  <si>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</si>
  <si>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</si>
  <si>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</si>
  <si>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Extra Bet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</si>
  <si>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</si>
  <si>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</si>
  <si>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</si>
  <si>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</si>
  <si>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</si>
  <si>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</si>
  <si>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</si>
  <si>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</si>
  <si>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</si>
  <si>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</si>
  <si>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</si>
  <si>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</si>
  <si>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H026192_2606171759_betmode0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</si>
  <si>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</si>
  <si>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Range Hit Rate</t>
    <phoneticPr fontId="27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</si>
  <si>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</si>
  <si>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</si>
  <si>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</si>
  <si>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</si>
  <si>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</si>
  <si>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</si>
  <si>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Tilt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</si>
</sst>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1" formatCode="0.0000"/>
    <numFmt numFmtId="182" formatCode="0.000"/>
    <numFmt numFmtId="183" formatCode="0.00000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  <font>
      <sz val="12"/>
      <color rgb="FF000000"/>
      <name val="Courier New"/>
      <family val="3"/>
    </font>
    <font>
      <sz val="12"/>
      <color rgb="FF0000FF"/>
      <name val="Courier New"/>
      <family val="3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1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3" fillId="0" borderId="0" xfId="0" applyFont="1"/>
    <xf numFmtId="0" fontId="25" fillId="0" borderId="0" xfId="0" applyFont="1"/>
    <xf numFmtId="0" fontId="23" fillId="0" borderId="0" xfId="0" applyFont="1" applyAlignment="1">
      <alignment vertical="center"/>
    </xf>
    <xf numFmtId="0" fontId="19" fillId="37" borderId="0" xfId="0" applyFont="1" applyFill="1" applyAlignment="1">
      <alignment vertical="center"/>
    </xf>
    <xf numFmtId="0" fontId="23" fillId="37" borderId="0" xfId="0" applyFont="1" applyFill="1" applyAlignment="1">
      <alignment vertical="center"/>
    </xf>
    <xf numFmtId="0" fontId="23" fillId="37" borderId="0" xfId="0" applyFont="1" applyFill="1" applyAlignment="1">
      <alignment horizontal="center" vertical="center"/>
    </xf>
    <xf numFmtId="10" fontId="23" fillId="37" borderId="0" xfId="0" applyNumberFormat="1" applyFont="1" applyFill="1" applyAlignment="1">
      <alignment vertical="center"/>
    </xf>
    <xf numFmtId="0" fontId="23" fillId="37" borderId="0" xfId="0" applyFont="1" applyFill="1"/>
    <xf numFmtId="0" fontId="23" fillId="0" borderId="11" xfId="0" applyFont="1" applyBorder="1" applyAlignment="1">
      <alignment vertical="center"/>
    </xf>
    <xf numFmtId="10" fontId="23" fillId="0" borderId="11" xfId="1" applyNumberFormat="1" applyFont="1" applyFill="1" applyBorder="1">
      <alignment vertical="center"/>
    </xf>
    <xf numFmtId="0" fontId="23" fillId="0" borderId="11" xfId="1" applyNumberFormat="1" applyFont="1" applyFill="1" applyBorder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10" fontId="23" fillId="0" borderId="0" xfId="1" applyNumberFormat="1" applyFont="1">
      <alignment vertical="center"/>
    </xf>
    <xf numFmtId="178" fontId="23" fillId="0" borderId="0" xfId="61099" applyNumberFormat="1" applyFont="1" applyAlignment="1">
      <alignment vertical="center"/>
    </xf>
    <xf numFmtId="10" fontId="23" fillId="0" borderId="10" xfId="1" applyNumberFormat="1" applyFont="1" applyFill="1" applyBorder="1">
      <alignment vertical="center"/>
    </xf>
    <xf numFmtId="0" fontId="23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0" fontId="19" fillId="36" borderId="0" xfId="0" applyFont="1" applyFill="1" applyAlignment="1">
      <alignment vertical="center"/>
    </xf>
    <xf numFmtId="0" fontId="23" fillId="36" borderId="0" xfId="0" applyFont="1" applyFill="1" applyAlignment="1">
      <alignment vertical="center"/>
    </xf>
    <xf numFmtId="0" fontId="23" fillId="36" borderId="0" xfId="0" applyFont="1" applyFill="1" applyAlignment="1">
      <alignment horizontal="center" vertical="center"/>
    </xf>
    <xf numFmtId="10" fontId="23" fillId="36" borderId="0" xfId="0" applyNumberFormat="1" applyFont="1" applyFill="1" applyAlignment="1">
      <alignment vertical="center"/>
    </xf>
    <xf numFmtId="0" fontId="23" fillId="36" borderId="0" xfId="0" applyFont="1" applyFill="1"/>
    <xf numFmtId="10" fontId="23" fillId="0" borderId="11" xfId="1" applyNumberFormat="1" applyFont="1" applyBorder="1" applyAlignment="1"/>
    <xf numFmtId="179" fontId="23" fillId="38" borderId="11" xfId="61099" applyNumberFormat="1" applyFont="1" applyFill="1" applyBorder="1">
      <alignment vertical="center"/>
    </xf>
    <xf numFmtId="0" fontId="23" fillId="34" borderId="11" xfId="0" applyFont="1" applyFill="1" applyBorder="1" applyAlignment="1">
      <alignment horizontal="center" vertical="center"/>
    </xf>
    <xf numFmtId="0" fontId="25" fillId="37" borderId="0" xfId="0" applyFont="1" applyFill="1"/>
    <xf numFmtId="0" fontId="25" fillId="36" borderId="0" xfId="0" applyFont="1" applyFill="1"/>
    <xf numFmtId="2" fontId="25" fillId="0" borderId="0" xfId="0" applyNumberFormat="1" applyFont="1"/>
    <xf numFmtId="176" fontId="23" fillId="0" borderId="10" xfId="1" applyNumberFormat="1" applyFont="1" applyFill="1" applyBorder="1">
      <alignment vertical="center"/>
    </xf>
    <xf numFmtId="176" fontId="23" fillId="0" borderId="11" xfId="1" applyNumberFormat="1" applyFont="1" applyFill="1" applyBorder="1">
      <alignment vertical="center"/>
    </xf>
    <xf numFmtId="178" fontId="25" fillId="0" borderId="11" xfId="61099" applyNumberFormat="1" applyFont="1" applyFill="1" applyBorder="1" applyAlignment="1">
      <alignment vertical="center"/>
    </xf>
    <xf numFmtId="178" fontId="25" fillId="0" borderId="10" xfId="61099" applyNumberFormat="1" applyFont="1" applyFill="1" applyBorder="1" applyAlignment="1">
      <alignment vertical="center"/>
    </xf>
    <xf numFmtId="10" fontId="23" fillId="0" borderId="0" xfId="1" applyNumberFormat="1" applyFont="1" applyAlignment="1"/>
    <xf numFmtId="177" fontId="19" fillId="0" borderId="0" xfId="0" applyNumberFormat="1" applyFont="1" applyAlignment="1">
      <alignment vertical="center"/>
    </xf>
    <xf numFmtId="10" fontId="23" fillId="0" borderId="0" xfId="1" applyNumberFormat="1" applyFont="1" applyAlignment="1">
      <alignment vertical="center"/>
    </xf>
    <xf numFmtId="0" fontId="23" fillId="35" borderId="11" xfId="0" applyFont="1" applyFill="1" applyBorder="1" applyAlignment="1">
      <alignment horizontal="center" vertical="center"/>
    </xf>
    <xf numFmtId="43" fontId="23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8" borderId="11" xfId="61099" applyNumberFormat="1" applyFont="1" applyFill="1" applyBorder="1">
      <alignment vertical="center"/>
    </xf>
    <xf numFmtId="10" fontId="25" fillId="0" borderId="0" xfId="1" applyNumberFormat="1" applyFont="1" applyAlignment="1"/>
    <xf numFmtId="181" fontId="25" fillId="0" borderId="0" xfId="0" applyNumberFormat="1" applyFont="1"/>
    <xf numFmtId="10" fontId="23" fillId="0" borderId="0" xfId="0" applyNumberFormat="1" applyFont="1" applyAlignment="1">
      <alignment vertical="center"/>
    </xf>
    <xf numFmtId="182" fontId="25" fillId="0" borderId="0" xfId="1" applyNumberFormat="1" applyFont="1" applyAlignment="1"/>
    <xf numFmtId="182" fontId="25" fillId="0" borderId="0" xfId="0" applyNumberFormat="1" applyFo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19" fillId="34" borderId="14" xfId="0" applyFont="1" applyFill="1" applyBorder="1" applyAlignment="1">
      <alignment horizontal="center" vertical="center"/>
    </xf>
    <xf numFmtId="0" fontId="19" fillId="40" borderId="0" xfId="0" applyFont="1" applyFill="1" applyAlignment="1">
      <alignment vertical="center"/>
    </xf>
    <xf numFmtId="0" fontId="25" fillId="40" borderId="0" xfId="0" applyFont="1" applyFill="1"/>
    <xf numFmtId="0" fontId="23" fillId="40" borderId="0" xfId="0" applyFont="1" applyFill="1" applyAlignment="1">
      <alignment horizontal="center" vertical="center"/>
    </xf>
    <xf numFmtId="10" fontId="23" fillId="40" borderId="0" xfId="0" applyNumberFormat="1" applyFont="1" applyFill="1" applyAlignment="1">
      <alignment vertical="center"/>
    </xf>
    <xf numFmtId="0" fontId="23" fillId="40" borderId="0" xfId="0" applyFont="1" applyFill="1" applyAlignment="1">
      <alignment vertical="center"/>
    </xf>
    <xf numFmtId="0" fontId="23" fillId="40" borderId="0" xfId="0" applyFont="1" applyFill="1"/>
    <xf numFmtId="0" fontId="23" fillId="39" borderId="14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78" fontId="23" fillId="33" borderId="0" xfId="61099" applyNumberFormat="1" applyFont="1" applyFill="1" applyAlignment="1">
      <alignment vertical="center"/>
    </xf>
    <xf numFmtId="0" fontId="19" fillId="41" borderId="0" xfId="0" applyFont="1" applyFill="1" applyAlignment="1">
      <alignment vertical="center"/>
    </xf>
    <xf numFmtId="0" fontId="25" fillId="41" borderId="0" xfId="0" applyFont="1" applyFill="1"/>
    <xf numFmtId="0" fontId="23" fillId="41" borderId="0" xfId="0" applyFont="1" applyFill="1" applyAlignment="1">
      <alignment horizontal="center" vertical="center"/>
    </xf>
    <xf numFmtId="10" fontId="23" fillId="41" borderId="0" xfId="0" applyNumberFormat="1" applyFont="1" applyFill="1" applyAlignment="1">
      <alignment vertical="center"/>
    </xf>
    <xf numFmtId="0" fontId="23" fillId="41" borderId="0" xfId="0" applyFont="1" applyFill="1" applyAlignment="1">
      <alignment vertical="center"/>
    </xf>
    <xf numFmtId="0" fontId="23" fillId="41" borderId="0" xfId="0" applyFont="1" applyFill="1"/>
    <xf numFmtId="10" fontId="25" fillId="0" borderId="10" xfId="1" applyNumberFormat="1" applyFont="1" applyFill="1" applyBorder="1" applyAlignment="1">
      <alignment vertical="center"/>
    </xf>
    <xf numFmtId="0" fontId="23" fillId="0" borderId="14" xfId="0" applyFont="1" applyBorder="1" applyAlignment="1">
      <alignment vertical="center"/>
    </xf>
    <xf numFmtId="177" fontId="23" fillId="38" borderId="14" xfId="1" applyNumberFormat="1" applyFont="1" applyFill="1" applyBorder="1" applyAlignment="1">
      <alignment vertical="center"/>
    </xf>
    <xf numFmtId="10" fontId="23" fillId="38" borderId="14" xfId="1" applyNumberFormat="1" applyFont="1" applyFill="1" applyBorder="1" applyAlignment="1"/>
    <xf numFmtId="0" fontId="23" fillId="34" borderId="14" xfId="0" applyFont="1" applyFill="1" applyBorder="1" applyAlignment="1">
      <alignment horizontal="center" vertical="center"/>
    </xf>
    <xf numFmtId="179" fontId="25" fillId="0" borderId="0" xfId="1" applyNumberFormat="1" applyFont="1" applyAlignment="1">
      <alignment vertical="center"/>
    </xf>
    <xf numFmtId="179" fontId="25" fillId="0" borderId="0" xfId="0" applyNumberFormat="1" applyFont="1"/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78" fontId="25" fillId="0" borderId="0" xfId="61099" applyNumberFormat="1" applyFont="1" applyFill="1" applyBorder="1" applyAlignment="1">
      <alignment vertical="center"/>
    </xf>
    <xf numFmtId="181" fontId="23" fillId="33" borderId="14" xfId="0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181" fontId="25" fillId="0" borderId="0" xfId="1" applyNumberFormat="1" applyFont="1" applyAlignment="1"/>
    <xf numFmtId="0" fontId="29" fillId="0" borderId="0" xfId="0" applyFont="1"/>
    <xf numFmtId="10" fontId="23" fillId="0" borderId="14" xfId="1" applyNumberFormat="1" applyFont="1" applyFill="1" applyBorder="1">
      <alignment vertical="center"/>
    </xf>
    <xf numFmtId="0" fontId="23" fillId="35" borderId="14" xfId="0" applyFont="1" applyFill="1" applyBorder="1" applyAlignment="1">
      <alignment horizontal="center" vertical="center"/>
    </xf>
    <xf numFmtId="0" fontId="23" fillId="34" borderId="14" xfId="0" applyFont="1" applyFill="1" applyBorder="1" applyAlignment="1">
      <alignment vertical="center"/>
    </xf>
    <xf numFmtId="177" fontId="23" fillId="35" borderId="14" xfId="1" applyNumberFormat="1" applyFont="1" applyFill="1" applyBorder="1" applyAlignment="1">
      <alignment vertical="center"/>
    </xf>
    <xf numFmtId="1" fontId="23" fillId="38" borderId="14" xfId="1" applyNumberFormat="1" applyFont="1" applyFill="1" applyBorder="1" applyAlignment="1"/>
    <xf numFmtId="2" fontId="23" fillId="38" borderId="14" xfId="1" applyNumberFormat="1" applyFont="1" applyFill="1" applyBorder="1" applyAlignment="1"/>
    <xf numFmtId="10" fontId="23" fillId="38" borderId="14" xfId="1" quotePrefix="1" applyNumberFormat="1" applyFont="1" applyFill="1" applyBorder="1" applyAlignment="1">
      <alignment vertical="center"/>
    </xf>
    <xf numFmtId="179" fontId="19" fillId="38" borderId="14" xfId="61099" applyNumberFormat="1" applyFont="1" applyFill="1" applyBorder="1">
      <alignment vertical="center"/>
    </xf>
    <xf numFmtId="10" fontId="23" fillId="0" borderId="14" xfId="1" applyNumberFormat="1" applyFont="1" applyBorder="1" applyAlignment="1"/>
    <xf numFmtId="178" fontId="19" fillId="33" borderId="14" xfId="61099" applyNumberFormat="1" applyFont="1" applyFill="1" applyBorder="1" applyAlignment="1">
      <alignment vertical="center"/>
    </xf>
    <xf numFmtId="176" fontId="23" fillId="0" borderId="14" xfId="1" applyNumberFormat="1" applyFont="1" applyFill="1" applyBorder="1">
      <alignment vertical="center"/>
    </xf>
    <xf numFmtId="179" fontId="23" fillId="38" borderId="14" xfId="61099" applyNumberFormat="1" applyFont="1" applyFill="1" applyBorder="1">
      <alignment vertical="center"/>
    </xf>
    <xf numFmtId="178" fontId="19" fillId="0" borderId="14" xfId="61099" applyNumberFormat="1" applyFont="1" applyFill="1" applyBorder="1" applyAlignment="1">
      <alignment vertical="center"/>
    </xf>
    <xf numFmtId="181" fontId="23" fillId="33" borderId="14" xfId="1" applyNumberFormat="1" applyFont="1" applyFill="1" applyBorder="1">
      <alignment vertical="center"/>
    </xf>
    <xf numFmtId="10" fontId="23" fillId="0" borderId="14" xfId="1" applyNumberFormat="1" applyFont="1" applyBorder="1">
      <alignment vertical="center"/>
    </xf>
    <xf numFmtId="179" fontId="23" fillId="0" borderId="14" xfId="61099" applyNumberFormat="1" applyFont="1" applyFill="1" applyBorder="1">
      <alignment vertical="center"/>
    </xf>
    <xf numFmtId="0" fontId="23" fillId="33" borderId="14" xfId="0" applyFont="1" applyFill="1" applyBorder="1" applyAlignment="1">
      <alignment vertical="center"/>
    </xf>
    <xf numFmtId="0" fontId="23" fillId="0" borderId="14" xfId="1" applyNumberFormat="1" applyFont="1" applyFill="1" applyBorder="1">
      <alignment vertical="center"/>
    </xf>
    <xf numFmtId="10" fontId="19" fillId="0" borderId="14" xfId="1" applyNumberFormat="1" applyFont="1" applyFill="1" applyBorder="1">
      <alignment vertical="center"/>
    </xf>
    <xf numFmtId="178" fontId="25" fillId="0" borderId="14" xfId="61099" applyNumberFormat="1" applyFont="1" applyFill="1" applyBorder="1" applyAlignment="1">
      <alignment vertical="center"/>
    </xf>
    <xf numFmtId="181" fontId="23" fillId="0" borderId="0" xfId="1" applyNumberFormat="1" applyFont="1" applyAlignment="1"/>
    <xf numFmtId="2" fontId="23" fillId="0" borderId="0" xfId="0" applyNumberFormat="1" applyFont="1"/>
    <xf numFmtId="0" fontId="26" fillId="41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30" fillId="42" borderId="0" xfId="0" applyFont="1" applyFill="1" applyAlignment="1">
      <alignment horizontal="center"/>
    </xf>
    <xf numFmtId="183" fontId="31" fillId="39" borderId="0" xfId="0" applyNumberFormat="1" applyFont="1" applyFill="1"/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4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 x14ac:dyDescent="0.3"/>
  <cols>
    <col min="1" max="16384" width="8.88671875" style="4"/>
  </cols>
  <sheetData>
    <row r="3" spans="2:2" x14ac:dyDescent="0.3">
      <c r="B3" s="4" t="s">
        <v>33</v>
      </c>
    </row>
    <row r="5" spans="2:2" x14ac:dyDescent="0.3">
      <c r="B5" s="4" t="s">
        <v>34</v>
      </c>
    </row>
    <row r="7" spans="2:2" x14ac:dyDescent="0.3">
      <c r="B7" s="4" t="s">
        <v>35</v>
      </c>
    </row>
    <row r="8" spans="2:2" x14ac:dyDescent="0.3">
      <c r="B8" s="4" t="s">
        <v>36</v>
      </c>
    </row>
    <row r="9" spans="2:2" x14ac:dyDescent="0.3">
      <c r="B9" s="4" t="s">
        <v>37</v>
      </c>
    </row>
    <row r="10" spans="2:2" x14ac:dyDescent="0.3">
      <c r="B10" s="4" t="s">
        <v>38</v>
      </c>
    </row>
    <row r="11" spans="2:2" x14ac:dyDescent="0.3">
      <c r="B11" s="4" t="s">
        <v>83</v>
      </c>
    </row>
    <row r="12" spans="2:2" x14ac:dyDescent="0.3">
      <c r="B12" s="4" t="s">
        <v>84</v>
      </c>
    </row>
    <row r="13" spans="2:2" x14ac:dyDescent="0.3">
      <c r="B13" s="4" t="s">
        <v>39</v>
      </c>
    </row>
    <row r="14" spans="2:2" x14ac:dyDescent="0.3">
      <c r="B14" s="4" t="s">
        <v>85</v>
      </c>
    </row>
    <row r="15" spans="2:2" x14ac:dyDescent="0.3">
      <c r="B15" s="4" t="s">
        <v>86</v>
      </c>
    </row>
    <row r="16" spans="2:2" x14ac:dyDescent="0.3">
      <c r="B16" s="4" t="s">
        <v>40</v>
      </c>
    </row>
    <row r="18" spans="2:2" x14ac:dyDescent="0.3">
      <c r="B18" s="4" t="s">
        <v>41</v>
      </c>
    </row>
    <row r="19" spans="2:2" x14ac:dyDescent="0.3">
      <c r="B19" s="4" t="s">
        <v>32</v>
      </c>
    </row>
    <row r="20" spans="2:2" x14ac:dyDescent="0.3">
      <c r="B20" s="4" t="s">
        <v>42</v>
      </c>
    </row>
    <row r="21" spans="2:2" x14ac:dyDescent="0.3">
      <c r="B21" s="4" t="s">
        <v>43</v>
      </c>
    </row>
    <row r="22" spans="2:2" x14ac:dyDescent="0.3">
      <c r="B22" s="4" t="s">
        <v>87</v>
      </c>
    </row>
    <row r="23" spans="2:2" x14ac:dyDescent="0.3">
      <c r="B23" s="4" t="s">
        <v>44</v>
      </c>
    </row>
    <row r="24" spans="2:2" x14ac:dyDescent="0.3">
      <c r="B24" s="4" t="s">
        <v>88</v>
      </c>
    </row>
    <row r="25" spans="2:2" x14ac:dyDescent="0.3">
      <c r="B25" s="4" t="s">
        <v>45</v>
      </c>
    </row>
    <row r="26" spans="2:2" x14ac:dyDescent="0.3">
      <c r="B26" s="4" t="s">
        <v>46</v>
      </c>
    </row>
    <row r="28" spans="2:2" x14ac:dyDescent="0.3">
      <c r="B28" s="4" t="s">
        <v>47</v>
      </c>
    </row>
    <row r="30" spans="2:2" x14ac:dyDescent="0.3">
      <c r="B30" s="4" t="s">
        <v>48</v>
      </c>
    </row>
    <row r="31" spans="2:2" x14ac:dyDescent="0.3">
      <c r="B31" s="4" t="s">
        <v>49</v>
      </c>
    </row>
    <row r="33" spans="2:2" x14ac:dyDescent="0.3">
      <c r="B33" s="4" t="s">
        <v>50</v>
      </c>
    </row>
    <row r="35" spans="2:2" x14ac:dyDescent="0.3">
      <c r="B35" s="4" t="s">
        <v>51</v>
      </c>
    </row>
    <row r="37" spans="2:2" x14ac:dyDescent="0.3">
      <c r="B37" s="4" t="s">
        <v>52</v>
      </c>
    </row>
    <row r="38" spans="2:2" x14ac:dyDescent="0.3">
      <c r="B38" s="4" t="s">
        <v>53</v>
      </c>
    </row>
    <row r="39" spans="2:2" x14ac:dyDescent="0.3">
      <c r="B39" s="4" t="s">
        <v>54</v>
      </c>
    </row>
    <row r="40" spans="2:2" x14ac:dyDescent="0.3">
      <c r="B40" s="4" t="s">
        <v>55</v>
      </c>
    </row>
    <row r="42" spans="2:2" x14ac:dyDescent="0.3">
      <c r="B42" s="4" t="s">
        <v>56</v>
      </c>
    </row>
    <row r="43" spans="2:2" x14ac:dyDescent="0.3">
      <c r="B43" s="4" t="s">
        <v>32</v>
      </c>
    </row>
    <row r="44" spans="2:2" x14ac:dyDescent="0.3">
      <c r="B44" s="4" t="s">
        <v>57</v>
      </c>
    </row>
    <row r="46" spans="2:2" x14ac:dyDescent="0.3">
      <c r="B46" s="4" t="s">
        <v>58</v>
      </c>
    </row>
    <row r="47" spans="2:2" x14ac:dyDescent="0.3">
      <c r="B47" s="4" t="s">
        <v>59</v>
      </c>
    </row>
    <row r="48" spans="2:2" x14ac:dyDescent="0.3">
      <c r="B48" s="4" t="s">
        <v>89</v>
      </c>
    </row>
    <row r="49" spans="2:2" x14ac:dyDescent="0.3">
      <c r="B49" s="4" t="s">
        <v>60</v>
      </c>
    </row>
    <row r="50" spans="2:2" x14ac:dyDescent="0.3">
      <c r="B50" s="4" t="s">
        <v>61</v>
      </c>
    </row>
    <row r="51" spans="2:2" x14ac:dyDescent="0.3">
      <c r="B51" s="4" t="s">
        <v>62</v>
      </c>
    </row>
    <row r="53" spans="2:2" x14ac:dyDescent="0.3">
      <c r="B53" s="4" t="s">
        <v>63</v>
      </c>
    </row>
    <row r="55" spans="2:2" x14ac:dyDescent="0.3">
      <c r="B55" s="4" t="s">
        <v>64</v>
      </c>
    </row>
    <row r="56" spans="2:2" x14ac:dyDescent="0.3">
      <c r="B56" s="4" t="s">
        <v>90</v>
      </c>
    </row>
    <row r="57" spans="2:2" x14ac:dyDescent="0.3">
      <c r="B57" s="4" t="s">
        <v>65</v>
      </c>
    </row>
    <row r="58" spans="2:2" x14ac:dyDescent="0.3">
      <c r="B58" s="4" t="s">
        <v>91</v>
      </c>
    </row>
    <row r="59" spans="2:2" x14ac:dyDescent="0.3">
      <c r="B59" s="4" t="s">
        <v>66</v>
      </c>
    </row>
    <row r="60" spans="2:2" x14ac:dyDescent="0.3">
      <c r="B60" s="4" t="s">
        <v>67</v>
      </c>
    </row>
    <row r="62" spans="2:2" x14ac:dyDescent="0.3">
      <c r="B62" s="4" t="s">
        <v>68</v>
      </c>
    </row>
    <row r="64" spans="2:2" x14ac:dyDescent="0.3">
      <c r="B64" s="4" t="s">
        <v>69</v>
      </c>
    </row>
    <row r="65" spans="2:2" x14ac:dyDescent="0.3">
      <c r="B65" s="4" t="s">
        <v>70</v>
      </c>
    </row>
    <row r="67" spans="2:2" x14ac:dyDescent="0.3">
      <c r="B67" s="4" t="s">
        <v>71</v>
      </c>
    </row>
    <row r="69" spans="2:2" x14ac:dyDescent="0.3">
      <c r="B69" s="4" t="s">
        <v>72</v>
      </c>
    </row>
    <row r="70" spans="2:2" x14ac:dyDescent="0.3">
      <c r="B70" s="4" t="s">
        <v>73</v>
      </c>
    </row>
    <row r="71" spans="2:2" x14ac:dyDescent="0.3">
      <c r="B71" s="4" t="s">
        <v>92</v>
      </c>
    </row>
    <row r="72" spans="2:2" x14ac:dyDescent="0.3">
      <c r="B72" s="4" t="s">
        <v>74</v>
      </c>
    </row>
    <row r="73" spans="2:2" x14ac:dyDescent="0.3">
      <c r="B73" s="4" t="s">
        <v>93</v>
      </c>
    </row>
    <row r="74" spans="2:2" x14ac:dyDescent="0.3">
      <c r="B74" s="4" t="s">
        <v>75</v>
      </c>
    </row>
    <row r="75" spans="2:2" x14ac:dyDescent="0.3">
      <c r="B75" s="4" t="s">
        <v>76</v>
      </c>
    </row>
    <row r="77" spans="2:2" x14ac:dyDescent="0.3">
      <c r="B77" s="4" t="s">
        <v>77</v>
      </c>
    </row>
    <row r="79" spans="2:2" x14ac:dyDescent="0.3">
      <c r="B79" s="4" t="s">
        <v>78</v>
      </c>
    </row>
    <row r="80" spans="2:2" x14ac:dyDescent="0.3">
      <c r="B80" s="4" t="s">
        <v>79</v>
      </c>
    </row>
    <row r="81" spans="2:2" x14ac:dyDescent="0.3">
      <c r="B81" s="4" t="s">
        <v>80</v>
      </c>
    </row>
    <row r="82" spans="2:2" x14ac:dyDescent="0.3">
      <c r="B82" s="4" t="s">
        <v>94</v>
      </c>
    </row>
    <row r="83" spans="2:2" x14ac:dyDescent="0.3">
      <c r="B83" s="4" t="s">
        <v>81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82"/>
  <sheetViews>
    <sheetView tabSelected="1" topLeftCell="D13" zoomScale="70" zoomScaleNormal="70" workbookViewId="0">
      <selection activeCell="R8" sqref="R8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3.8867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 t="e" cm="1">
        <f t="array" ref="B7">#REF!</f>
        <v>#REF!</v>
      </c>
      <c r="C7" s="70">
        <f>SUM(N16:N80)</f>
        <v>0.67999999376666409</v>
      </c>
      <c r="D7" s="70" t="e">
        <f>SUM(_xlfn.ANCHORARRAY(#REF!))*F7</f>
        <v>#REF!</v>
      </c>
      <c r="E7" s="85" t="e">
        <f>SUM(C7:D7)</f>
        <v>#REF!</v>
      </c>
      <c r="F7" s="71">
        <f>M80</f>
        <v>4.1955544976641744E-3</v>
      </c>
      <c r="G7" s="86">
        <f>1/F7</f>
        <v>238.34751772542538</v>
      </c>
      <c r="H7" s="87" t="e">
        <f>D7*G7</f>
        <v>#REF!</v>
      </c>
      <c r="I7" s="73" cm="1">
        <f t="array" ref="I7">LOOKUP(2,1/(L16:L79&lt;&gt;0),B16:B79)</f>
        <v>80</v>
      </c>
      <c r="L7" s="73" t="e" cm="1">
        <f t="array" ref="L7">LOOKUP(2,1/(_xlfn.ANCHORARRAY(#REF!)&lt;&gt;0),B16:B79)</f>
        <v>#REF!</v>
      </c>
      <c r="M7" s="37"/>
      <c r="N7" s="44"/>
    </row>
    <row r="8" spans="1:19" x14ac:dyDescent="0.3">
      <c r="A8" s="69" t="s">
        <v>82</v>
      </c>
      <c r="B8" s="69"/>
      <c r="C8" s="70" t="e">
        <f>SUM(_xlfn.ANCHORARRAY(#REF!))/B8</f>
        <v>#REF!</v>
      </c>
      <c r="D8" s="70" t="e">
        <f>SUM(_xlfn.ANCHORARRAY(#REF!))*F8/B8</f>
        <v>#REF!</v>
      </c>
      <c r="E8" s="85" t="e">
        <f>SUM(C8:D8)</f>
        <v>#REF!</v>
      </c>
      <c r="F8" s="71" t="e">
        <f>#REF!</f>
        <v>#REF!</v>
      </c>
      <c r="G8" s="86" t="e">
        <f>1/F8</f>
        <v>#REF!</v>
      </c>
      <c r="H8" s="87" t="e">
        <f>D8*G8</f>
        <v>#REF!</v>
      </c>
      <c r="I8" s="73" t="e" cm="1">
        <f t="array" ref="I8">LOOKUP(2,1/(#REF!&lt;&gt;0),B16:B79)</f>
        <v>#REF!</v>
      </c>
      <c r="L8" s="73" t="e" cm="1">
        <f t="array" ref="L8">LOOKUP(2,1/(_xlfn.ANCHORARRAY(#REF!)&lt;&gt;0),B16:B79)</f>
        <v>#REF!</v>
      </c>
      <c r="M8" s="37"/>
      <c r="N8" s="44"/>
    </row>
    <row r="9" spans="1:19" x14ac:dyDescent="0.3">
      <c r="A9" s="69" t="s">
        <v>3</v>
      </c>
      <c r="B9" s="69"/>
      <c r="C9" s="70" t="e">
        <f>#REF!</f>
        <v>#REF!</v>
      </c>
      <c r="D9" s="70" t="e">
        <f>SUM(_xlfn.ANCHORARRAY(#REF!))/B9</f>
        <v>#REF!</v>
      </c>
      <c r="E9" s="85" t="e">
        <f>SUM(C9:D9)</f>
        <v>#REF!</v>
      </c>
      <c r="F9" s="88" t="e">
        <f>#REF!</f>
        <v>#REF!</v>
      </c>
      <c r="G9" s="86" t="e">
        <f>1/F9</f>
        <v>#REF!</v>
      </c>
      <c r="H9" s="87" t="e">
        <f>D9*G9*B9</f>
        <v>#REF!</v>
      </c>
      <c r="I9" s="74"/>
      <c r="L9" s="74" t="e" cm="1">
        <f t="array" ref="L9">LOOKUP(2,1/(_xlfn.ANCHORARRAY(#REF!)&lt;&gt;0),B16:B79)</f>
        <v>#REF!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5" t="s">
        <v>102</v>
      </c>
      <c r="B12" s="105"/>
      <c r="C12" s="105"/>
      <c r="D12" s="105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6"/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O15" s="109" t="s">
        <v>104</v>
      </c>
      <c r="P15" s="72" t="s">
        <v>99</v>
      </c>
      <c r="Q15" s="72" t="s">
        <v>99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0">_xlfn.LET(_xlpm.x, D16:D80/C16:C80/B3, IF(ISERR(_xlpm.x), 0, _xlpm.x))</f>
        <v>0</v>
      </c>
      <c r="G16" s="5">
        <v>1E-3</v>
      </c>
      <c r="H16" s="60" t="str">
        <f>"("&amp;$A16&amp;", "&amp;$B16&amp;"]"</f>
        <v>(-1, 0]</v>
      </c>
      <c r="I16" s="78" cm="1">
        <f t="array" ref="I16:I79">IF(E16:E79&gt;0.1%, IFERROR(Q16:Q79/E16:E79,0)*EXP($O$16*F16:F79), 0)</f>
        <v>0.96870542237138657</v>
      </c>
      <c r="J16" s="82" cm="1">
        <f t="array" ref="J16:J80">E16:E80*I16:I80</f>
        <v>0.72554635178004934</v>
      </c>
      <c r="K16" s="82" cm="1">
        <f t="array" ref="K16:K79">J16:J79/SUM(_xlfn.ANCHORARRAY(J16))</f>
        <v>0.72086606880313964</v>
      </c>
      <c r="L16" s="89" cm="1">
        <f t="array" ref="L16:L80">INT(K16:K80*$B$2)</f>
        <v>720866068</v>
      </c>
      <c r="M16" s="82" cm="1">
        <f t="array" ref="M16:M80">_xlfn.LET(_xlpm.x, L16:L80, _xlpm.x/SUM(_xlpm.x))</f>
        <v>0.72084656693782467</v>
      </c>
      <c r="N16" s="82" cm="1">
        <f t="array" ref="N16:N80">M16:M80*F16:F80</f>
        <v>0</v>
      </c>
      <c r="O16" s="110">
        <v>3.8597711817190002E-3</v>
      </c>
      <c r="P16" s="82" cm="1">
        <f t="array" ref="P16:P79">M16:M79</f>
        <v>0.72084656693782467</v>
      </c>
      <c r="Q16" s="82">
        <v>0.72554635178004934</v>
      </c>
      <c r="R16" s="82">
        <v>0.72554635178004934</v>
      </c>
      <c r="S16" s="90" cm="1">
        <f t="array" ref="S16:S79">_xlfn.LET(_xlpm.x, Q16:Q79/M16:M79, IF(ISERR(_xlpm.x), 0, ROUND(_xlpm.x,2)))</f>
        <v>1.01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G17" s="5">
        <v>100</v>
      </c>
      <c r="H17" s="60" t="str">
        <f t="shared" ref="H17:H79" si="0">"("&amp;$A17&amp;", "&amp;$B17&amp;"]"</f>
        <v>(0, 1]</v>
      </c>
      <c r="I17" s="78">
        <v>1.167268671775608</v>
      </c>
      <c r="J17" s="82">
        <v>0.15932665997796425</v>
      </c>
      <c r="K17" s="82">
        <v>0.15829889124529364</v>
      </c>
      <c r="L17" s="89">
        <v>158298891</v>
      </c>
      <c r="M17" s="82">
        <v>0.15829460865595202</v>
      </c>
      <c r="N17" s="82">
        <v>6.8989624111803816E-2</v>
      </c>
      <c r="O17" s="45"/>
      <c r="P17" s="82">
        <v>0.15829460865595202</v>
      </c>
      <c r="Q17" s="82">
        <v>0.15905886499823757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>
        <f>1+G17*G16</f>
        <v>1.1000000000000001</v>
      </c>
      <c r="H18" s="60" t="str">
        <f t="shared" si="0"/>
        <v>(1, 2]</v>
      </c>
      <c r="I18" s="78">
        <v>1.4402715470681617</v>
      </c>
      <c r="J18" s="82">
        <v>5.0077074066147982E-2</v>
      </c>
      <c r="K18" s="82">
        <v>4.9754041806788912E-2</v>
      </c>
      <c r="L18" s="89">
        <v>49754041</v>
      </c>
      <c r="M18" s="82">
        <v>4.975269504034107E-2</v>
      </c>
      <c r="N18" s="82">
        <v>7.4492780616610882E-2</v>
      </c>
      <c r="O18" s="45"/>
      <c r="P18" s="82">
        <v>4.975269504034107E-2</v>
      </c>
      <c r="Q18" s="82">
        <v>4.9788508988367994E-2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1.3344029627761604</v>
      </c>
      <c r="J19" s="82">
        <v>2.1667072182864913E-2</v>
      </c>
      <c r="K19" s="82">
        <v>2.1527304366724506E-2</v>
      </c>
      <c r="L19" s="89">
        <v>21527304</v>
      </c>
      <c r="M19" s="82">
        <v>2.1526721637599538E-2</v>
      </c>
      <c r="N19" s="82">
        <v>5.4200759026108707E-2</v>
      </c>
      <c r="O19" s="45"/>
      <c r="P19" s="82">
        <v>2.1526721637599538E-2</v>
      </c>
      <c r="Q19" s="82">
        <v>2.1457525555163906E-2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1.1838113992384476</v>
      </c>
      <c r="J20" s="82">
        <v>9.5597047849739682E-3</v>
      </c>
      <c r="K20" s="82">
        <v>9.4980379824883294E-3</v>
      </c>
      <c r="L20" s="89">
        <v>9498037</v>
      </c>
      <c r="M20" s="82">
        <v>9.4977800565561304E-3</v>
      </c>
      <c r="N20" s="82">
        <v>3.3882826269215779E-2</v>
      </c>
      <c r="O20" s="45"/>
      <c r="P20" s="82">
        <v>9.4977800565561304E-3</v>
      </c>
      <c r="Q20" s="82">
        <v>9.4289742685935846E-3</v>
      </c>
      <c r="R20" s="82">
        <v>9.4289742685935846E-3</v>
      </c>
      <c r="S20" s="90">
        <v>0.99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1.1263363351755367</v>
      </c>
      <c r="J21" s="82">
        <v>6.3685991292265418E-3</v>
      </c>
      <c r="K21" s="82">
        <v>6.3275171969445401E-3</v>
      </c>
      <c r="L21" s="89">
        <v>6327517</v>
      </c>
      <c r="M21" s="82">
        <v>6.3273458263133605E-3</v>
      </c>
      <c r="N21" s="82">
        <v>2.9083202721331945E-2</v>
      </c>
      <c r="O21" s="45"/>
      <c r="P21" s="82">
        <v>6.3273458263133605E-3</v>
      </c>
      <c r="Q21" s="82">
        <v>6.2566090941134998E-3</v>
      </c>
      <c r="R21" s="82">
        <v>6.2566090941134998E-3</v>
      </c>
      <c r="S21" s="90">
        <v>0.99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>
        <v>1.79</v>
      </c>
      <c r="H22" s="60" t="str">
        <f t="shared" si="0"/>
        <v>(5, 6]</v>
      </c>
      <c r="I22" s="78">
        <v>1.3031279361128862</v>
      </c>
      <c r="J22" s="82">
        <v>5.4925384039617936E-3</v>
      </c>
      <c r="K22" s="82">
        <v>5.457107677959221E-3</v>
      </c>
      <c r="L22" s="89">
        <v>5457107</v>
      </c>
      <c r="M22" s="82">
        <v>5.4569593728780851E-3</v>
      </c>
      <c r="N22" s="82">
        <v>3.0479023974014242E-2</v>
      </c>
      <c r="O22" s="45"/>
      <c r="P22" s="82">
        <v>5.4569593728780851E-3</v>
      </c>
      <c r="Q22" s="82">
        <v>5.37539654564681E-3</v>
      </c>
      <c r="R22" s="82">
        <v>5.37539654564681E-3</v>
      </c>
      <c r="S22" s="90">
        <v>0.99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>
        <v>1.24</v>
      </c>
      <c r="H23" s="60" t="str">
        <f t="shared" si="0"/>
        <v>(6, 7]</v>
      </c>
      <c r="I23" s="78">
        <v>0.91673802938437932</v>
      </c>
      <c r="J23" s="82">
        <v>2.5758586086900071E-3</v>
      </c>
      <c r="K23" s="82">
        <v>2.5592425135672063E-3</v>
      </c>
      <c r="L23" s="89">
        <v>2559242</v>
      </c>
      <c r="M23" s="82">
        <v>2.5591727666991423E-3</v>
      </c>
      <c r="N23" s="82">
        <v>1.6788338793785704E-2</v>
      </c>
      <c r="O23" s="45"/>
      <c r="P23" s="82">
        <v>2.5591727666991423E-3</v>
      </c>
      <c r="Q23" s="82">
        <v>2.5114557631300671E-3</v>
      </c>
      <c r="R23" s="82">
        <v>2.5114557631300671E-3</v>
      </c>
      <c r="S23" s="90">
        <v>0.98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>
        <v>1.02</v>
      </c>
      <c r="H24" s="60" t="str">
        <f t="shared" si="0"/>
        <v>(7, 8]</v>
      </c>
      <c r="I24" s="78">
        <v>1.091233965369673</v>
      </c>
      <c r="J24" s="82">
        <v>3.1763199339097303E-3</v>
      </c>
      <c r="K24" s="82">
        <v>3.1558304419848872E-3</v>
      </c>
      <c r="L24" s="89">
        <v>3155830</v>
      </c>
      <c r="M24" s="82">
        <v>3.1557446276405886E-3</v>
      </c>
      <c r="N24" s="82">
        <v>2.4051084625626617E-2</v>
      </c>
      <c r="O24" s="45"/>
      <c r="P24" s="82">
        <v>3.1557446276405886E-3</v>
      </c>
      <c r="Q24" s="82">
        <v>3.0842439196334154E-3</v>
      </c>
      <c r="R24" s="82">
        <v>3.0842439196334154E-3</v>
      </c>
      <c r="S24" s="90">
        <v>0.98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>
        <v>1.26</v>
      </c>
      <c r="H25" s="60" t="str">
        <f t="shared" si="0"/>
        <v>(8, 9]</v>
      </c>
      <c r="I25" s="78">
        <v>1.3020124671771875</v>
      </c>
      <c r="J25" s="82">
        <v>2.7783961481065273E-3</v>
      </c>
      <c r="K25" s="82">
        <v>2.7604735437640323E-3</v>
      </c>
      <c r="L25" s="89">
        <v>2760473</v>
      </c>
      <c r="M25" s="82">
        <v>2.7603983229441695E-3</v>
      </c>
      <c r="N25" s="82">
        <v>2.3735590288614009E-2</v>
      </c>
      <c r="O25" s="45"/>
      <c r="P25" s="82">
        <v>2.7603983229441695E-3</v>
      </c>
      <c r="Q25" s="82">
        <v>2.687698272823405E-3</v>
      </c>
      <c r="R25" s="82">
        <v>2.687698272823405E-3</v>
      </c>
      <c r="S25" s="90">
        <v>0.97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>
        <v>1.21</v>
      </c>
      <c r="H26" s="60" t="str">
        <f t="shared" si="0"/>
        <v>(9, 10]</v>
      </c>
      <c r="I26" s="78">
        <v>1.1775175594211036</v>
      </c>
      <c r="J26" s="82">
        <v>2.3323340132401253E-3</v>
      </c>
      <c r="K26" s="82">
        <v>2.3172888226029534E-3</v>
      </c>
      <c r="L26" s="89">
        <v>2317288</v>
      </c>
      <c r="M26" s="82">
        <v>2.3172253121036316E-3</v>
      </c>
      <c r="N26" s="82">
        <v>2.2352676127904064E-2</v>
      </c>
      <c r="O26" s="45"/>
      <c r="P26" s="82">
        <v>2.3172253121036316E-3</v>
      </c>
      <c r="Q26" s="82">
        <v>2.2470919985900597E-3</v>
      </c>
      <c r="R26" s="82">
        <v>2.2470919985900597E-3</v>
      </c>
      <c r="S26" s="90">
        <v>0.97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>
        <v>0.48</v>
      </c>
      <c r="H27" s="60" t="str">
        <f t="shared" si="0"/>
        <v>(10, 15]</v>
      </c>
      <c r="I27" s="78">
        <v>0.76530975390269562</v>
      </c>
      <c r="J27" s="82">
        <v>5.2238979870269635E-3</v>
      </c>
      <c r="K27" s="82">
        <v>5.1902001801786323E-3</v>
      </c>
      <c r="L27" s="89">
        <v>5190200</v>
      </c>
      <c r="M27" s="82">
        <v>5.1900595933178223E-3</v>
      </c>
      <c r="N27" s="82">
        <v>6.4603590905923935E-2</v>
      </c>
      <c r="O27" s="45"/>
      <c r="P27" s="82">
        <v>5.1900595933178223E-3</v>
      </c>
      <c r="Q27" s="82">
        <v>4.9788508988367992E-3</v>
      </c>
      <c r="R27" s="82">
        <v>4.9788508988367992E-3</v>
      </c>
      <c r="S27" s="90">
        <v>0.96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>
        <v>1.1299999999999999</v>
      </c>
      <c r="H28" s="83" t="str">
        <f t="shared" si="0"/>
        <v>(15, 20]</v>
      </c>
      <c r="I28" s="78">
        <v>0.54425155551565907</v>
      </c>
      <c r="J28" s="82">
        <v>2.4982605330961813E-3</v>
      </c>
      <c r="K28" s="82">
        <v>2.4821449999999855E-3</v>
      </c>
      <c r="L28" s="89">
        <v>2482144</v>
      </c>
      <c r="M28" s="82">
        <v>2.4820768523749126E-3</v>
      </c>
      <c r="N28" s="82">
        <v>4.3401292322231416E-2</v>
      </c>
      <c r="O28" s="45"/>
      <c r="P28" s="82">
        <v>2.4820768523749126E-3</v>
      </c>
      <c r="Q28" s="82">
        <v>2.3352132534367291E-3</v>
      </c>
      <c r="R28" s="82">
        <v>2.3352132534367291E-3</v>
      </c>
      <c r="S28" s="90">
        <v>0.94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>
        <v>0.54</v>
      </c>
      <c r="H29" s="60" t="str">
        <f t="shared" si="0"/>
        <v>(20, 25]</v>
      </c>
      <c r="I29" s="78">
        <v>0.62123820633453275</v>
      </c>
      <c r="J29" s="82">
        <v>1.9706819209226794E-3</v>
      </c>
      <c r="K29" s="82">
        <v>1.9579696399984218E-3</v>
      </c>
      <c r="L29" s="89">
        <v>1957969</v>
      </c>
      <c r="M29" s="82">
        <v>1.9579160324975729E-3</v>
      </c>
      <c r="N29" s="82">
        <v>4.4129917745864528E-2</v>
      </c>
      <c r="O29" s="45"/>
      <c r="P29" s="82">
        <v>1.9579160324975729E-3</v>
      </c>
      <c r="Q29" s="82">
        <v>1.8064857243567148E-3</v>
      </c>
      <c r="R29" s="82">
        <v>1.8064857243567148E-3</v>
      </c>
      <c r="S29" s="90">
        <v>0.92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>
        <v>0.2</v>
      </c>
      <c r="H30" s="60" t="str">
        <f t="shared" si="0"/>
        <v>(25, 30]</v>
      </c>
      <c r="I30" s="78">
        <v>0.38570747954673873</v>
      </c>
      <c r="J30" s="82">
        <v>9.8006077192854739E-4</v>
      </c>
      <c r="K30" s="82">
        <v>9.7373869238677783E-4</v>
      </c>
      <c r="L30" s="89">
        <v>973738</v>
      </c>
      <c r="M30" s="82">
        <v>9.737116581785113E-4</v>
      </c>
      <c r="N30" s="82">
        <v>2.6820466250776918E-2</v>
      </c>
      <c r="O30" s="45"/>
      <c r="P30" s="82">
        <v>9.737116581785113E-4</v>
      </c>
      <c r="Q30" s="82">
        <v>8.8121254846669017E-4</v>
      </c>
      <c r="R30" s="82">
        <v>8.8121254846669017E-4</v>
      </c>
      <c r="S30" s="90">
        <v>0.91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>
        <v>0.22</v>
      </c>
      <c r="H31" s="60" t="str">
        <f t="shared" si="0"/>
        <v>(30, 35]</v>
      </c>
      <c r="I31" s="78">
        <v>0.28857835250050912</v>
      </c>
      <c r="J31" s="82">
        <v>5.4951052115476725E-4</v>
      </c>
      <c r="K31" s="82">
        <v>5.4596579278354241E-4</v>
      </c>
      <c r="L31" s="89">
        <v>545965</v>
      </c>
      <c r="M31" s="82">
        <v>5.4595023040841675E-4</v>
      </c>
      <c r="N31" s="82">
        <v>1.7760851492670114E-2</v>
      </c>
      <c r="O31" s="45"/>
      <c r="P31" s="82">
        <v>5.4595023040841675E-4</v>
      </c>
      <c r="Q31" s="82">
        <v>4.8466690165667957E-4</v>
      </c>
      <c r="R31" s="82">
        <v>4.8466690165667957E-4</v>
      </c>
      <c r="S31" s="90">
        <v>0.89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>
        <v>0.33</v>
      </c>
      <c r="H32" s="83" t="str">
        <f t="shared" si="0"/>
        <v>(35, 40]</v>
      </c>
      <c r="I32" s="78">
        <v>0.49574539879426366</v>
      </c>
      <c r="J32" s="82">
        <v>8.1490384264207489E-4</v>
      </c>
      <c r="K32" s="82">
        <v>8.0964714116024835E-4</v>
      </c>
      <c r="L32" s="89">
        <v>809647</v>
      </c>
      <c r="M32" s="82">
        <v>8.096250972122451E-4</v>
      </c>
      <c r="N32" s="82">
        <v>3.0397313247063799E-2</v>
      </c>
      <c r="O32" s="45"/>
      <c r="P32" s="82">
        <v>8.096250972122451E-4</v>
      </c>
      <c r="Q32" s="82">
        <v>7.0497003877335212E-4</v>
      </c>
      <c r="R32" s="82">
        <v>7.0497003877335212E-4</v>
      </c>
      <c r="S32" s="90">
        <v>0.87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>
        <v>0.16</v>
      </c>
      <c r="H33" s="60" t="str">
        <f t="shared" si="0"/>
        <v>(40, 45]</v>
      </c>
      <c r="I33" s="78">
        <v>0.30665753290910425</v>
      </c>
      <c r="J33" s="82">
        <v>4.1552160077150131E-4</v>
      </c>
      <c r="K33" s="82">
        <v>4.1284119493683908E-4</v>
      </c>
      <c r="L33" s="89">
        <v>412841</v>
      </c>
      <c r="M33" s="82">
        <v>4.1282983171456265E-4</v>
      </c>
      <c r="N33" s="82">
        <v>1.7597270589222416E-2</v>
      </c>
      <c r="O33" s="45"/>
      <c r="P33" s="82">
        <v>4.1282983171456265E-4</v>
      </c>
      <c r="Q33" s="82">
        <v>3.5248501938667606E-4</v>
      </c>
      <c r="R33" s="82">
        <v>3.5248501938667606E-4</v>
      </c>
      <c r="S33" s="90">
        <v>0.85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>
        <v>0.2</v>
      </c>
      <c r="H34" s="60" t="str">
        <f t="shared" si="0"/>
        <v>(45, 50]</v>
      </c>
      <c r="I34" s="78">
        <v>0.1387289815747284</v>
      </c>
      <c r="J34" s="82">
        <v>1.5888165870778497E-4</v>
      </c>
      <c r="K34" s="82">
        <v>1.5785676054549822E-4</v>
      </c>
      <c r="L34" s="89">
        <v>157856</v>
      </c>
      <c r="M34" s="82">
        <v>1.5785172963715812E-4</v>
      </c>
      <c r="N34" s="82">
        <v>7.5241980452578081E-3</v>
      </c>
      <c r="O34" s="45"/>
      <c r="P34" s="82">
        <v>1.5785172963715812E-4</v>
      </c>
      <c r="Q34" s="82">
        <v>1.3218188227000352E-4</v>
      </c>
      <c r="R34" s="82">
        <v>1.3218188227000352E-4</v>
      </c>
      <c r="S34" s="90">
        <v>0.84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>
        <v>0.2</v>
      </c>
      <c r="H35" s="83" t="str">
        <f t="shared" si="0"/>
        <v>(50, 60]</v>
      </c>
      <c r="I35" s="78">
        <v>0.20047703313459031</v>
      </c>
      <c r="J35" s="82">
        <v>3.8122244597422512E-4</v>
      </c>
      <c r="K35" s="82">
        <v>3.7876329375061921E-4</v>
      </c>
      <c r="L35" s="89">
        <v>378763</v>
      </c>
      <c r="M35" s="82">
        <v>3.7875275360175678E-4</v>
      </c>
      <c r="N35" s="82">
        <v>2.0794005436029474E-2</v>
      </c>
      <c r="O35" s="45"/>
      <c r="P35" s="82">
        <v>3.7875275360175678E-4</v>
      </c>
      <c r="Q35" s="82">
        <v>3.0842439196334157E-4</v>
      </c>
      <c r="R35" s="82">
        <v>3.0842439196334157E-4</v>
      </c>
      <c r="S35" s="90">
        <v>0.81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>
        <v>0.11</v>
      </c>
      <c r="H36" s="60" t="str">
        <f t="shared" si="0"/>
        <v>(60, 70]</v>
      </c>
      <c r="I36" s="78">
        <v>0.1632537211210783</v>
      </c>
      <c r="J36" s="82">
        <v>2.2650466798924897E-4</v>
      </c>
      <c r="K36" s="82">
        <v>2.250435539760921E-4</v>
      </c>
      <c r="L36" s="89">
        <v>225043</v>
      </c>
      <c r="M36" s="82">
        <v>2.2503691207641758E-4</v>
      </c>
      <c r="N36" s="82">
        <v>1.4628535294774557E-2</v>
      </c>
      <c r="O36" s="45"/>
      <c r="P36" s="82">
        <v>2.2503691207641758E-4</v>
      </c>
      <c r="Q36" s="82">
        <v>1.7624250969333803E-4</v>
      </c>
      <c r="R36" s="82">
        <v>1.7624250969333803E-4</v>
      </c>
      <c r="S36" s="90">
        <v>0.78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>
        <v>0.12</v>
      </c>
      <c r="H37" s="60" t="str">
        <f t="shared" si="0"/>
        <v>(70, 80]</v>
      </c>
      <c r="I37" s="78">
        <v>0.15734212332534414</v>
      </c>
      <c r="J37" s="82">
        <v>1.7656028883072383E-4</v>
      </c>
      <c r="K37" s="82">
        <v>1.7542135110167959E-4</v>
      </c>
      <c r="L37" s="89">
        <v>175421</v>
      </c>
      <c r="M37" s="82">
        <v>1.75416254464068E-4</v>
      </c>
      <c r="N37" s="82">
        <v>1.3156250400422067E-2</v>
      </c>
      <c r="O37" s="45"/>
      <c r="P37" s="82">
        <v>1.75416254464068E-4</v>
      </c>
      <c r="Q37" s="82">
        <v>1.3218188227000352E-4</v>
      </c>
      <c r="R37" s="82">
        <v>1.3218188227000352E-4</v>
      </c>
      <c r="S37" s="90">
        <v>0.75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>
        <v>0</v>
      </c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>
        <v>0</v>
      </c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8.8121254846669015E-5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>
        <v>0.08</v>
      </c>
      <c r="H40" s="60" t="str">
        <f t="shared" si="0"/>
        <v>(100, 120]</v>
      </c>
      <c r="I40" s="78">
        <v>0</v>
      </c>
      <c r="J40" s="82">
        <v>0</v>
      </c>
      <c r="K40" s="82">
        <v>0</v>
      </c>
      <c r="L40" s="89">
        <v>0</v>
      </c>
      <c r="M40" s="82">
        <v>0</v>
      </c>
      <c r="N40" s="82">
        <v>0</v>
      </c>
      <c r="O40" s="45"/>
      <c r="P40" s="82">
        <v>0</v>
      </c>
      <c r="Q40" s="82">
        <v>0</v>
      </c>
      <c r="R40" s="82">
        <v>0</v>
      </c>
      <c r="S40" s="90">
        <v>0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>
        <v>0</v>
      </c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4.4060627423334507E-5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>
        <v>0</v>
      </c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8.8121254846669015E-5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>
        <v>0</v>
      </c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>
        <v>0</v>
      </c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>
        <v>0</v>
      </c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4.4060627423334507E-5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>
        <v>0</v>
      </c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>
        <v>0</v>
      </c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>
        <v>0</v>
      </c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>
        <v>0</v>
      </c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>
        <v>0</v>
      </c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>
        <v>0</v>
      </c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>
        <v>0</v>
      </c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>
        <v>0</v>
      </c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>
        <v>0</v>
      </c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>
        <v>0</v>
      </c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>
        <v>0</v>
      </c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>
        <v>0</v>
      </c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>
        <v>0</v>
      </c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>
        <v>0</v>
      </c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>
        <v>0</v>
      </c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>
        <v>0</v>
      </c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>
        <v>0</v>
      </c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>
        <v>0</v>
      </c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>
        <v>0</v>
      </c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>
        <v>0</v>
      </c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>
        <v>0</v>
      </c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>
        <v>0</v>
      </c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>
        <v>0</v>
      </c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>
        <v>0</v>
      </c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>
        <v>0</v>
      </c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>
        <v>0</v>
      </c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>
        <v>0</v>
      </c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>
        <v>0</v>
      </c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>
        <v>0</v>
      </c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>
        <v>0</v>
      </c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>
        <v>0</v>
      </c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>
        <v>0</v>
      </c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>
        <v>0</v>
      </c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>
        <v>0</v>
      </c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6" t="s">
        <v>24</v>
      </c>
      <c r="B80" s="107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78">
        <v>0.314</v>
      </c>
      <c r="J80" s="82">
        <v>4.1956680000000005E-3</v>
      </c>
      <c r="K80" s="82">
        <f>J80</f>
        <v>4.1956680000000005E-3</v>
      </c>
      <c r="L80" s="93">
        <v>4195668</v>
      </c>
      <c r="M80" s="96">
        <v>4.1955544976641744E-3</v>
      </c>
      <c r="N80" s="82">
        <v>1.1303954814110412E-3</v>
      </c>
      <c r="P80" s="5"/>
      <c r="Q80" s="5"/>
      <c r="R80" s="5"/>
      <c r="S80" s="5"/>
      <c r="T80" s="5"/>
    </row>
    <row r="81" spans="1:14" x14ac:dyDescent="0.3">
      <c r="A81" s="17"/>
      <c r="B81" s="6"/>
      <c r="C81" s="1"/>
      <c r="D81" s="1"/>
      <c r="E81" s="1"/>
      <c r="F81" s="1"/>
      <c r="H81" s="2"/>
      <c r="I81" s="6"/>
      <c r="J81" s="6"/>
      <c r="L81" s="18"/>
      <c r="M81" s="6"/>
    </row>
    <row r="82" spans="1:14" x14ac:dyDescent="0.3">
      <c r="A82" s="6"/>
      <c r="D82" s="41"/>
      <c r="E82" s="1"/>
      <c r="F82" s="1"/>
      <c r="H82" s="2"/>
      <c r="I82" s="6"/>
      <c r="J82" s="6"/>
      <c r="K82" s="6"/>
      <c r="L82" s="6"/>
      <c r="M82" s="6"/>
      <c r="N82" s="6"/>
    </row>
  </sheetData>
  <mergeCells count="2">
    <mergeCell ref="A12:D12"/>
    <mergeCell ref="A80:B80"/>
  </mergeCells>
  <phoneticPr fontId="20" type="noConversion"/>
  <conditionalFormatting sqref="E16:E79">
    <cfRule type="cellIs" dxfId="5" priority="22" operator="lessThan">
      <formula>0.001</formula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01B-548C-4807-9F75-A04864359A27}">
  <dimension ref="A1:V362"/>
  <sheetViews>
    <sheetView zoomScale="70" zoomScaleNormal="70" workbookViewId="0">
      <selection activeCell="R4" sqref="R4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3.8867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 t="e" cm="1">
        <f t="array" ref="B7">#REF!</f>
        <v>#REF!</v>
      </c>
      <c r="C7" s="70">
        <f>SUM(N16:N80)</f>
        <v>0.67999976892735525</v>
      </c>
      <c r="D7" s="70">
        <f>SUM(_xlfn.ANCHORARRAY(N88))*F7</f>
        <v>0.24000006647878189</v>
      </c>
      <c r="E7" s="85">
        <f>SUM(C7:D7)</f>
        <v>0.91999983540613717</v>
      </c>
      <c r="F7" s="71">
        <f>M80</f>
        <v>4.1956200146938917E-3</v>
      </c>
      <c r="G7" s="86">
        <f>1/F7</f>
        <v>238.34379579127807</v>
      </c>
      <c r="H7" s="87">
        <f>D7*G7</f>
        <v>57.202526834711954</v>
      </c>
      <c r="I7" s="73" cm="1">
        <f t="array" ref="I7">LOOKUP(2,1/(L16:L79&lt;&gt;0),B16:B79)</f>
        <v>120</v>
      </c>
      <c r="L7" s="73" cm="1">
        <f t="array" ref="L7">LOOKUP(2,1/(_xlfn.ANCHORARRAY(L88)&lt;&gt;0),B16:B79)</f>
        <v>20000</v>
      </c>
      <c r="M7" s="37"/>
      <c r="N7" s="44"/>
    </row>
    <row r="8" spans="1:19" x14ac:dyDescent="0.3">
      <c r="A8" s="69" t="s">
        <v>82</v>
      </c>
      <c r="B8" s="69"/>
      <c r="C8" s="70" t="e">
        <f>SUM(_xlfn.ANCHORARRAY(N158))/B8</f>
        <v>#DIV/0!</v>
      </c>
      <c r="D8" s="70" t="e">
        <f>SUM(_xlfn.ANCHORARRAY(N229))*F8/B8</f>
        <v>#DIV/0!</v>
      </c>
      <c r="E8" s="85" t="e">
        <f>SUM(C8:D8)</f>
        <v>#DIV/0!</v>
      </c>
      <c r="F8" s="71">
        <f>M222</f>
        <v>2.0970757162946694E-2</v>
      </c>
      <c r="G8" s="86">
        <f>1/F8</f>
        <v>47.685450374052472</v>
      </c>
      <c r="H8" s="87" t="e">
        <f>D8*G8</f>
        <v>#DIV/0!</v>
      </c>
      <c r="I8" s="73" cm="1">
        <f t="array" ref="I8">LOOKUP(2,1/(L158:L221&lt;&gt;0),B16:B79)</f>
        <v>120</v>
      </c>
      <c r="L8" s="73" cm="1">
        <f t="array" ref="L8">LOOKUP(2,1/(_xlfn.ANCHORARRAY(L229)&lt;&gt;0),B16:B79)</f>
        <v>20000</v>
      </c>
      <c r="M8" s="37"/>
      <c r="N8" s="44"/>
    </row>
    <row r="9" spans="1:19" x14ac:dyDescent="0.3">
      <c r="A9" s="69" t="s">
        <v>3</v>
      </c>
      <c r="B9" s="69"/>
      <c r="C9" s="70" t="e">
        <f>N81</f>
        <v>#DIV/0!</v>
      </c>
      <c r="D9" s="70" t="e">
        <f>SUM(_xlfn.ANCHORARRAY(N299))/B9</f>
        <v>#DIV/0!</v>
      </c>
      <c r="E9" s="85" t="e">
        <f>SUM(C9:D9)</f>
        <v>#DIV/0!</v>
      </c>
      <c r="F9" s="88">
        <f>E81</f>
        <v>1</v>
      </c>
      <c r="G9" s="86">
        <f>1/F9</f>
        <v>1</v>
      </c>
      <c r="H9" s="87" t="e">
        <f>D9*G9*B9</f>
        <v>#DIV/0!</v>
      </c>
      <c r="I9" s="74"/>
      <c r="L9" s="74" cm="1">
        <f t="array" ref="L9">LOOKUP(2,1/(_xlfn.ANCHORARRAY(L299)&lt;&gt;0),B16:B79)</f>
        <v>20000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5" t="s">
        <v>102</v>
      </c>
      <c r="B12" s="105"/>
      <c r="C12" s="105"/>
      <c r="D12" s="105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6"/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P15" s="72" t="s">
        <v>99</v>
      </c>
      <c r="Q15" s="72" t="s">
        <v>100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1">_xlfn.LET(_xlpm.x, D16:D81/C16:C81/B3, IF(ISERR(_xlpm.x), 0, _xlpm.x))</f>
        <v>0</v>
      </c>
      <c r="G16" s="5">
        <v>9.9999999999999995E-7</v>
      </c>
      <c r="H16" s="60" t="str">
        <f>"("&amp;$A16&amp;", "&amp;$B16&amp;"]"</f>
        <v>(-1, 0]</v>
      </c>
      <c r="I16" s="78">
        <v>0.96</v>
      </c>
      <c r="J16" s="82" cm="1">
        <f t="array" ref="J16:J80">E16:E80*I16:I80</f>
        <v>0.71902611632312174</v>
      </c>
      <c r="K16" s="82" cm="1">
        <f t="array" ref="K16:K79">J16:J79/SUM(_xlfn.ANCHORARRAY(J16))</f>
        <v>0.7170640585721576</v>
      </c>
      <c r="L16" s="89" cm="1">
        <f t="array" ref="L16:L80">INT(K16:K80*$B$2)</f>
        <v>717064058</v>
      </c>
      <c r="M16" s="82" cm="1">
        <f t="array" ref="M16:M80">_xlfn.LET(_xlpm.x, L16:L80, _xlpm.x/SUM(_xlpm.x))</f>
        <v>0.71705585703216312</v>
      </c>
      <c r="N16" s="82" cm="1">
        <f t="array" ref="N16:N80">M16:M80*F16:F80</f>
        <v>0</v>
      </c>
      <c r="O16" s="45"/>
      <c r="P16" s="82" cm="1">
        <f t="array" ref="P16:P79">M16:M79</f>
        <v>0.71705585703216312</v>
      </c>
      <c r="Q16" s="82">
        <v>0.71705585703216312</v>
      </c>
      <c r="R16" s="82">
        <v>0.72554635178004934</v>
      </c>
      <c r="S16" s="90" cm="1">
        <f t="array" ref="S16:S79">_xlfn.LET(_xlpm.x, Q16:Q79/M16:M79, IF(ISERR(_xlpm.x), 0, ROUND(_xlpm.x,2)))</f>
        <v>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G17" s="5">
        <v>-44364</v>
      </c>
      <c r="H17" s="60" t="str">
        <f t="shared" ref="H17:H79" si="0">"("&amp;$A17&amp;", "&amp;$B17&amp;"]"</f>
        <v>(0, 1]</v>
      </c>
      <c r="I17" s="78">
        <v>1.18</v>
      </c>
      <c r="J17" s="82">
        <v>0.16106442614279243</v>
      </c>
      <c r="K17" s="82">
        <v>0.16062491817702609</v>
      </c>
      <c r="L17" s="89">
        <v>160624918</v>
      </c>
      <c r="M17" s="82">
        <v>0.16062308095382313</v>
      </c>
      <c r="N17" s="82">
        <v>7.0004443441083836E-2</v>
      </c>
      <c r="O17" s="45"/>
      <c r="P17" s="82">
        <v>0.16062308095382313</v>
      </c>
      <c r="Q17" s="82">
        <v>0.16062308095382313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>
        <f>1+G17*G16</f>
        <v>0.95563600000000004</v>
      </c>
      <c r="H18" s="60" t="str">
        <f t="shared" si="0"/>
        <v>(1, 2]</v>
      </c>
      <c r="I18" s="78">
        <v>1.31</v>
      </c>
      <c r="J18" s="82">
        <v>4.5547637985484168E-2</v>
      </c>
      <c r="K18" s="82">
        <v>4.5423348903184183E-2</v>
      </c>
      <c r="L18" s="89">
        <v>45423348</v>
      </c>
      <c r="M18" s="82">
        <v>4.5422828499110453E-2</v>
      </c>
      <c r="N18" s="82">
        <v>6.80098393790846E-2</v>
      </c>
      <c r="O18" s="45"/>
      <c r="P18" s="82">
        <v>4.5422828499110453E-2</v>
      </c>
      <c r="Q18" s="82">
        <v>4.5422828499110453E-2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1.33</v>
      </c>
      <c r="J19" s="82">
        <v>2.159558005121447E-2</v>
      </c>
      <c r="K19" s="82">
        <v>2.1536650654542862E-2</v>
      </c>
      <c r="L19" s="89">
        <v>21536650</v>
      </c>
      <c r="M19" s="82">
        <v>2.1536403688151018E-2</v>
      </c>
      <c r="N19" s="82">
        <v>5.4225136843486288E-2</v>
      </c>
      <c r="O19" s="45"/>
      <c r="P19" s="82">
        <v>2.1536403688151018E-2</v>
      </c>
      <c r="Q19" s="82">
        <v>2.1536403688151018E-2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1.44</v>
      </c>
      <c r="J20" s="82">
        <v>1.1628520302489266E-2</v>
      </c>
      <c r="K20" s="82">
        <v>1.1596788731307379E-2</v>
      </c>
      <c r="L20" s="89">
        <v>11596788</v>
      </c>
      <c r="M20" s="82">
        <v>1.1596655369052545E-2</v>
      </c>
      <c r="N20" s="82">
        <v>4.1370452551419711E-2</v>
      </c>
      <c r="O20" s="45"/>
      <c r="P20" s="82">
        <v>1.1596655369052545E-2</v>
      </c>
      <c r="Q20" s="82">
        <v>1.1596655369052545E-2</v>
      </c>
      <c r="R20" s="82">
        <v>9.4289742685935846E-3</v>
      </c>
      <c r="S20" s="90">
        <v>1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1.62</v>
      </c>
      <c r="J21" s="82">
        <v>9.1599021243855185E-3</v>
      </c>
      <c r="K21" s="82">
        <v>9.1349068473667531E-3</v>
      </c>
      <c r="L21" s="89">
        <v>9134906</v>
      </c>
      <c r="M21" s="82">
        <v>9.1348015252749552E-3</v>
      </c>
      <c r="N21" s="82">
        <v>4.1987476561478936E-2</v>
      </c>
      <c r="O21" s="45"/>
      <c r="P21" s="82">
        <v>9.1348015252749552E-3</v>
      </c>
      <c r="Q21" s="82">
        <v>9.1348015252749552E-3</v>
      </c>
      <c r="R21" s="82">
        <v>6.2566090941134998E-3</v>
      </c>
      <c r="S21" s="90">
        <v>1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>
        <v>1.79</v>
      </c>
      <c r="H22" s="60" t="str">
        <f t="shared" si="0"/>
        <v>(5, 6]</v>
      </c>
      <c r="I22" s="78" cm="1">
        <f t="array" ref="I22:I79">G22:G79*G18</f>
        <v>1.7105884400000002</v>
      </c>
      <c r="J22" s="82">
        <v>7.2099388246551965E-3</v>
      </c>
      <c r="K22" s="82">
        <v>7.1902645513099786E-3</v>
      </c>
      <c r="L22" s="89">
        <v>7190264</v>
      </c>
      <c r="M22" s="82">
        <v>7.1901817658911434E-3</v>
      </c>
      <c r="N22" s="82">
        <v>4.0159676377530602E-2</v>
      </c>
      <c r="O22" s="45"/>
      <c r="P22" s="82">
        <v>7.1901817658911434E-3</v>
      </c>
      <c r="Q22" s="82">
        <v>7.1901817658911434E-3</v>
      </c>
      <c r="R22" s="82">
        <v>5.37539654564681E-3</v>
      </c>
      <c r="S22" s="90">
        <v>1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>
        <v>1.24</v>
      </c>
      <c r="H23" s="60" t="str">
        <f t="shared" si="0"/>
        <v>(6, 7]</v>
      </c>
      <c r="I23" s="78">
        <v>1.18498864</v>
      </c>
      <c r="J23" s="82">
        <v>3.3295915427372742E-3</v>
      </c>
      <c r="K23" s="82">
        <v>3.3205058492615223E-3</v>
      </c>
      <c r="L23" s="89">
        <v>3320505</v>
      </c>
      <c r="M23" s="82">
        <v>3.3204670238186486E-3</v>
      </c>
      <c r="N23" s="82">
        <v>2.1782478336295222E-2</v>
      </c>
      <c r="O23" s="45"/>
      <c r="P23" s="82">
        <v>3.3204670238186486E-3</v>
      </c>
      <c r="Q23" s="82">
        <v>3.3204670238186486E-3</v>
      </c>
      <c r="R23" s="82">
        <v>2.5114557631300671E-3</v>
      </c>
      <c r="S23" s="90">
        <v>1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>
        <v>1.02</v>
      </c>
      <c r="H24" s="60" t="str">
        <f t="shared" si="0"/>
        <v>(7, 8]</v>
      </c>
      <c r="I24" s="78">
        <v>0.97474872000000001</v>
      </c>
      <c r="J24" s="82">
        <v>2.8372593670507097E-3</v>
      </c>
      <c r="K24" s="82">
        <v>2.8295171354318018E-3</v>
      </c>
      <c r="L24" s="89">
        <v>2829517</v>
      </c>
      <c r="M24" s="82">
        <v>2.8294846391841814E-3</v>
      </c>
      <c r="N24" s="82">
        <v>2.156453786148373E-2</v>
      </c>
      <c r="O24" s="45"/>
      <c r="P24" s="82">
        <v>2.8294846391841814E-3</v>
      </c>
      <c r="Q24" s="82">
        <v>2.8294846391841814E-3</v>
      </c>
      <c r="R24" s="82">
        <v>3.0842439196334154E-3</v>
      </c>
      <c r="S24" s="90">
        <v>1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>
        <v>1.26</v>
      </c>
      <c r="H25" s="60" t="str">
        <f t="shared" si="0"/>
        <v>(8, 9]</v>
      </c>
      <c r="I25" s="78">
        <v>1.2041013600000001</v>
      </c>
      <c r="J25" s="82">
        <v>2.5694612493280793E-3</v>
      </c>
      <c r="K25" s="82">
        <v>2.5624497774975061E-3</v>
      </c>
      <c r="L25" s="89">
        <v>2562449</v>
      </c>
      <c r="M25" s="82">
        <v>2.5624196936059641E-3</v>
      </c>
      <c r="N25" s="82">
        <v>2.2033249147187347E-2</v>
      </c>
      <c r="O25" s="45"/>
      <c r="P25" s="82">
        <v>2.5624196936059641E-3</v>
      </c>
      <c r="Q25" s="82">
        <v>2.5624196936059641E-3</v>
      </c>
      <c r="R25" s="82">
        <v>2.687698272823405E-3</v>
      </c>
      <c r="S25" s="90">
        <v>1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>
        <v>1.21</v>
      </c>
      <c r="H26" s="60" t="str">
        <f t="shared" si="0"/>
        <v>(9, 10]</v>
      </c>
      <c r="I26" s="78">
        <v>1.15631956</v>
      </c>
      <c r="J26" s="82">
        <v>2.2903466860305075E-3</v>
      </c>
      <c r="K26" s="82">
        <v>2.2840968539789251E-3</v>
      </c>
      <c r="L26" s="89">
        <v>2284096</v>
      </c>
      <c r="M26" s="82">
        <v>2.2840698770928156E-3</v>
      </c>
      <c r="N26" s="82">
        <v>2.2032848488871527E-2</v>
      </c>
      <c r="O26" s="45"/>
      <c r="P26" s="82">
        <v>2.2840698770928156E-3</v>
      </c>
      <c r="Q26" s="82">
        <v>2.2840698770928156E-3</v>
      </c>
      <c r="R26" s="82">
        <v>2.2470919985900597E-3</v>
      </c>
      <c r="S26" s="90">
        <v>1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>
        <v>0.48</v>
      </c>
      <c r="H27" s="60" t="str">
        <f t="shared" si="0"/>
        <v>(10, 15]</v>
      </c>
      <c r="I27" s="78">
        <v>0.45870527999999999</v>
      </c>
      <c r="J27" s="82">
        <v>3.1310584722213084E-3</v>
      </c>
      <c r="K27" s="82">
        <v>3.1225145300686108E-3</v>
      </c>
      <c r="L27" s="89">
        <v>3122514</v>
      </c>
      <c r="M27" s="82">
        <v>3.1224782882158177E-3</v>
      </c>
      <c r="N27" s="82">
        <v>3.886724349066091E-2</v>
      </c>
      <c r="O27" s="45"/>
      <c r="P27" s="82">
        <v>3.1224782882158177E-3</v>
      </c>
      <c r="Q27" s="82">
        <v>3.1224782882158177E-3</v>
      </c>
      <c r="R27" s="82">
        <v>4.9788508988367992E-3</v>
      </c>
      <c r="S27" s="90">
        <v>1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>
        <v>1.1299999999999999</v>
      </c>
      <c r="H28" s="83" t="str">
        <f t="shared" si="0"/>
        <v>(15, 20]</v>
      </c>
      <c r="I28" s="78">
        <v>1.0798686799999999</v>
      </c>
      <c r="J28" s="82">
        <v>4.9568867131938761E-3</v>
      </c>
      <c r="K28" s="82">
        <v>4.9433605035396188E-3</v>
      </c>
      <c r="L28" s="89">
        <v>4943360</v>
      </c>
      <c r="M28" s="82">
        <v>4.9433034634382891E-3</v>
      </c>
      <c r="N28" s="82">
        <v>8.6437999874541149E-2</v>
      </c>
      <c r="O28" s="45"/>
      <c r="P28" s="82">
        <v>4.9433034634382891E-3</v>
      </c>
      <c r="Q28" s="82">
        <v>4.9433034634382891E-3</v>
      </c>
      <c r="R28" s="82">
        <v>2.3352132534367291E-3</v>
      </c>
      <c r="S28" s="90">
        <v>1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>
        <v>0.54</v>
      </c>
      <c r="H29" s="60" t="str">
        <f t="shared" si="0"/>
        <v>(20, 25]</v>
      </c>
      <c r="I29" s="78">
        <v>0.51604344000000002</v>
      </c>
      <c r="J29" s="82">
        <v>1.6369847624457317E-3</v>
      </c>
      <c r="K29" s="82">
        <v>1.6325178055877651E-3</v>
      </c>
      <c r="L29" s="89">
        <v>1632517</v>
      </c>
      <c r="M29" s="82">
        <v>1.6324983291166099E-3</v>
      </c>
      <c r="N29" s="82">
        <v>3.6795253620901427E-2</v>
      </c>
      <c r="O29" s="45"/>
      <c r="P29" s="82">
        <v>1.6324983291166099E-3</v>
      </c>
      <c r="Q29" s="82">
        <v>1.6324983291166099E-3</v>
      </c>
      <c r="R29" s="82">
        <v>1.8064857243567148E-3</v>
      </c>
      <c r="S29" s="90">
        <v>1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>
        <v>0.2</v>
      </c>
      <c r="H30" s="60" t="str">
        <f t="shared" si="0"/>
        <v>(25, 30]</v>
      </c>
      <c r="I30" s="78">
        <v>0.19112720000000002</v>
      </c>
      <c r="J30" s="82">
        <v>4.8564334658136572E-4</v>
      </c>
      <c r="K30" s="82">
        <v>4.843181370086777E-4</v>
      </c>
      <c r="L30" s="89">
        <v>484318</v>
      </c>
      <c r="M30" s="82">
        <v>4.8431246091838449E-4</v>
      </c>
      <c r="N30" s="82">
        <v>1.3340177149764468E-2</v>
      </c>
      <c r="O30" s="45"/>
      <c r="P30" s="82">
        <v>4.8431246091838449E-4</v>
      </c>
      <c r="Q30" s="82">
        <v>4.8431246091838449E-4</v>
      </c>
      <c r="R30" s="82">
        <v>8.8121254846669017E-4</v>
      </c>
      <c r="S30" s="90">
        <v>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>
        <v>0.22</v>
      </c>
      <c r="H31" s="60" t="str">
        <f t="shared" si="0"/>
        <v>(30, 35]</v>
      </c>
      <c r="I31" s="78">
        <v>0.21023992</v>
      </c>
      <c r="J31" s="82">
        <v>4.0033858051266249E-4</v>
      </c>
      <c r="K31" s="82">
        <v>3.9924614812797865E-4</v>
      </c>
      <c r="L31" s="89">
        <v>399246</v>
      </c>
      <c r="M31" s="82">
        <v>3.9924143387572077E-4</v>
      </c>
      <c r="N31" s="82">
        <v>1.2988121300878992E-2</v>
      </c>
      <c r="O31" s="45"/>
      <c r="P31" s="82">
        <v>3.9924143387572077E-4</v>
      </c>
      <c r="Q31" s="82">
        <v>3.9924143387572077E-4</v>
      </c>
      <c r="R31" s="82">
        <v>4.8466690165667957E-4</v>
      </c>
      <c r="S31" s="90">
        <v>1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>
        <v>0.33</v>
      </c>
      <c r="H32" s="83" t="str">
        <f t="shared" si="0"/>
        <v>(35, 40]</v>
      </c>
      <c r="I32" s="78">
        <v>0.31535988000000004</v>
      </c>
      <c r="J32" s="82">
        <v>5.1838701610177674E-4</v>
      </c>
      <c r="K32" s="82">
        <v>5.1697245654705177E-4</v>
      </c>
      <c r="L32" s="89">
        <v>516972</v>
      </c>
      <c r="M32" s="82">
        <v>5.1696608745885775E-4</v>
      </c>
      <c r="N32" s="82">
        <v>1.9409452785869256E-2</v>
      </c>
      <c r="O32" s="45"/>
      <c r="P32" s="82">
        <v>5.1696608745885775E-4</v>
      </c>
      <c r="Q32" s="82">
        <v>5.1696608745885775E-4</v>
      </c>
      <c r="R32" s="82">
        <v>7.0497003877335212E-4</v>
      </c>
      <c r="S32" s="90">
        <v>1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>
        <v>0.16</v>
      </c>
      <c r="H33" s="60" t="str">
        <f t="shared" si="0"/>
        <v>(40, 45]</v>
      </c>
      <c r="I33" s="78">
        <v>0.15290176</v>
      </c>
      <c r="J33" s="82">
        <v>2.0718220574353832E-4</v>
      </c>
      <c r="K33" s="82">
        <v>2.0661685290945814E-4</v>
      </c>
      <c r="L33" s="89">
        <v>206616</v>
      </c>
      <c r="M33" s="82">
        <v>2.066136369598341E-4</v>
      </c>
      <c r="N33" s="82">
        <v>8.8071059736774138E-3</v>
      </c>
      <c r="O33" s="45"/>
      <c r="P33" s="82">
        <v>2.066136369598341E-4</v>
      </c>
      <c r="Q33" s="82">
        <v>2.066136369598341E-4</v>
      </c>
      <c r="R33" s="82">
        <v>3.5248501938667606E-4</v>
      </c>
      <c r="S33" s="90">
        <v>1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>
        <v>0.2</v>
      </c>
      <c r="H34" s="60" t="str">
        <f t="shared" si="0"/>
        <v>(45, 50]</v>
      </c>
      <c r="I34" s="78">
        <v>0.19112720000000002</v>
      </c>
      <c r="J34" s="82">
        <v>2.1889158426364677E-4</v>
      </c>
      <c r="K34" s="82">
        <v>2.1829427921481E-4</v>
      </c>
      <c r="L34" s="89">
        <v>218294</v>
      </c>
      <c r="M34" s="82">
        <v>2.1829150340007563E-4</v>
      </c>
      <c r="N34" s="82">
        <v>1.0405134659941046E-2</v>
      </c>
      <c r="O34" s="45"/>
      <c r="P34" s="82">
        <v>2.1829150340007563E-4</v>
      </c>
      <c r="Q34" s="82">
        <v>2.1829150340007563E-4</v>
      </c>
      <c r="R34" s="82">
        <v>1.3218188227000352E-4</v>
      </c>
      <c r="S34" s="90">
        <v>1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>
        <v>0.2</v>
      </c>
      <c r="H35" s="83" t="str">
        <f t="shared" si="0"/>
        <v>(50, 60]</v>
      </c>
      <c r="I35" s="78">
        <v>0.19112720000000002</v>
      </c>
      <c r="J35" s="82">
        <v>3.6344302156192133E-4</v>
      </c>
      <c r="K35" s="82">
        <v>3.6245126871553525E-4</v>
      </c>
      <c r="L35" s="89">
        <v>362451</v>
      </c>
      <c r="M35" s="82">
        <v>3.6244685469532286E-4</v>
      </c>
      <c r="N35" s="82">
        <v>1.9898790953031292E-2</v>
      </c>
      <c r="O35" s="45"/>
      <c r="P35" s="82">
        <v>3.6244685469532286E-4</v>
      </c>
      <c r="Q35" s="82">
        <v>3.6244685469532286E-4</v>
      </c>
      <c r="R35" s="82">
        <v>3.0842439196334157E-4</v>
      </c>
      <c r="S35" s="90">
        <v>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>
        <v>0.11</v>
      </c>
      <c r="H36" s="60" t="str">
        <f t="shared" si="0"/>
        <v>(60, 70]</v>
      </c>
      <c r="I36" s="78">
        <v>0.10511996</v>
      </c>
      <c r="J36" s="82">
        <v>1.4584758911059768E-4</v>
      </c>
      <c r="K36" s="82">
        <v>1.4544960441132527E-4</v>
      </c>
      <c r="L36" s="89">
        <v>145449</v>
      </c>
      <c r="M36" s="82">
        <v>1.4544733651881224E-4</v>
      </c>
      <c r="N36" s="82">
        <v>9.4548111070502216E-3</v>
      </c>
      <c r="O36" s="45"/>
      <c r="P36" s="82">
        <v>1.4544733651881224E-4</v>
      </c>
      <c r="Q36" s="82">
        <v>1.4544733651881224E-4</v>
      </c>
      <c r="R36" s="82">
        <v>1.7624250969333803E-4</v>
      </c>
      <c r="S36" s="90">
        <v>1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>
        <v>0.12</v>
      </c>
      <c r="H37" s="60" t="str">
        <f t="shared" si="0"/>
        <v>(70, 80]</v>
      </c>
      <c r="I37" s="78">
        <v>0.11467632</v>
      </c>
      <c r="J37" s="82">
        <v>1.2868317621072262E-4</v>
      </c>
      <c r="K37" s="82">
        <v>1.2833202926686187E-4</v>
      </c>
      <c r="L37" s="89">
        <v>128332</v>
      </c>
      <c r="M37" s="82">
        <v>1.2833053228370226E-4</v>
      </c>
      <c r="N37" s="82">
        <v>9.6248128310690486E-3</v>
      </c>
      <c r="O37" s="45"/>
      <c r="P37" s="82">
        <v>1.2833053228370226E-4</v>
      </c>
      <c r="Q37" s="82">
        <v>1.2833053228370226E-4</v>
      </c>
      <c r="R37" s="82">
        <v>1.3218188227000352E-4</v>
      </c>
      <c r="S37" s="90">
        <v>1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>
        <v>0</v>
      </c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>
        <v>0</v>
      </c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0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>
        <v>0.08</v>
      </c>
      <c r="H40" s="60" t="str">
        <f t="shared" si="0"/>
        <v>(100, 120]</v>
      </c>
      <c r="I40" s="78">
        <v>7.6450879999999999E-2</v>
      </c>
      <c r="J40" s="82">
        <v>8.8442689360751769E-5</v>
      </c>
      <c r="K40" s="82">
        <v>8.8201349498072306E-5</v>
      </c>
      <c r="L40" s="89">
        <v>88201</v>
      </c>
      <c r="M40" s="82">
        <v>8.81999912567E-5</v>
      </c>
      <c r="N40" s="82">
        <v>9.6703130585832596E-3</v>
      </c>
      <c r="O40" s="45"/>
      <c r="P40" s="82">
        <v>8.81999912567E-5</v>
      </c>
      <c r="Q40" s="82">
        <v>8.81999912567E-5</v>
      </c>
      <c r="R40" s="82">
        <v>0</v>
      </c>
      <c r="S40" s="90">
        <v>1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>
        <v>0</v>
      </c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0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>
        <v>0</v>
      </c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0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>
        <v>0</v>
      </c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>
        <v>0</v>
      </c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>
        <v>0</v>
      </c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0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>
        <v>0</v>
      </c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>
        <v>0</v>
      </c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>
        <v>0</v>
      </c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>
        <v>0</v>
      </c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>
        <v>0</v>
      </c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>
        <v>0</v>
      </c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>
        <v>0</v>
      </c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>
        <v>0</v>
      </c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>
        <v>0</v>
      </c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>
        <v>0</v>
      </c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>
        <v>0</v>
      </c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>
        <v>0</v>
      </c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>
        <v>0</v>
      </c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>
        <v>0</v>
      </c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>
        <v>0</v>
      </c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>
        <v>0</v>
      </c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>
        <v>0</v>
      </c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>
        <v>0</v>
      </c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>
        <v>0</v>
      </c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>
        <v>0</v>
      </c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>
        <v>0</v>
      </c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>
        <v>0</v>
      </c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>
        <v>0</v>
      </c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>
        <v>0</v>
      </c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>
        <v>0</v>
      </c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>
        <v>0</v>
      </c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>
        <v>0</v>
      </c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>
        <v>0</v>
      </c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>
        <v>0</v>
      </c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>
        <v>0</v>
      </c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>
        <v>0</v>
      </c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>
        <v>0</v>
      </c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>
        <v>0</v>
      </c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>
        <v>0</v>
      </c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6" t="s">
        <v>24</v>
      </c>
      <c r="B80" s="107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78">
        <v>0.314</v>
      </c>
      <c r="J80" s="82">
        <v>4.1956680000000005E-3</v>
      </c>
      <c r="K80" s="82">
        <f>J80</f>
        <v>4.1956680000000005E-3</v>
      </c>
      <c r="L80" s="93">
        <v>4195668</v>
      </c>
      <c r="M80" s="96">
        <v>4.1956200146938917E-3</v>
      </c>
      <c r="N80" s="82">
        <v>1.1304131334649923E-3</v>
      </c>
      <c r="P80" s="5"/>
      <c r="Q80" s="5"/>
      <c r="R80" s="5"/>
      <c r="S80" s="5"/>
      <c r="T80" s="5"/>
    </row>
    <row r="81" spans="1:22" x14ac:dyDescent="0.3">
      <c r="A81" s="106" t="s">
        <v>25</v>
      </c>
      <c r="B81" s="107"/>
      <c r="C81" s="94">
        <v>10000000</v>
      </c>
      <c r="D81" s="91">
        <v>0</v>
      </c>
      <c r="E81" s="82">
        <v>1</v>
      </c>
      <c r="F81" s="92">
        <v>0</v>
      </c>
      <c r="G81" s="80"/>
      <c r="H81" s="60" t="s">
        <v>25</v>
      </c>
      <c r="I81" s="69"/>
      <c r="J81" s="82"/>
      <c r="K81" s="82"/>
      <c r="L81" s="97"/>
      <c r="M81" s="96">
        <f>E81</f>
        <v>1</v>
      </c>
      <c r="N81" s="82" t="e">
        <f>F81/B9</f>
        <v>#DIV/0!</v>
      </c>
      <c r="P81" s="5"/>
      <c r="Q81" s="5"/>
      <c r="R81" s="5"/>
      <c r="S81" s="5"/>
      <c r="T81" s="5"/>
    </row>
    <row r="82" spans="1:22" x14ac:dyDescent="0.3">
      <c r="A82" s="17"/>
      <c r="B82" s="6"/>
      <c r="C82" s="1"/>
      <c r="D82" s="1"/>
      <c r="E82" s="1"/>
      <c r="F82" s="1"/>
      <c r="H82" s="2"/>
      <c r="I82" s="6"/>
      <c r="J82" s="6"/>
      <c r="L82" s="18"/>
      <c r="M82" s="6"/>
    </row>
    <row r="83" spans="1:22" x14ac:dyDescent="0.3">
      <c r="A83" s="6"/>
      <c r="D83" s="41"/>
      <c r="E83" s="1"/>
      <c r="F83" s="1"/>
      <c r="H83" s="2"/>
      <c r="I83" s="6"/>
      <c r="J83" s="6"/>
      <c r="K83" s="6"/>
      <c r="L83" s="6"/>
      <c r="M83" s="6"/>
      <c r="N83" s="6"/>
    </row>
    <row r="84" spans="1:22" s="26" customFormat="1" x14ac:dyDescent="0.3">
      <c r="A84" s="105" t="s">
        <v>103</v>
      </c>
      <c r="B84" s="105"/>
      <c r="C84" s="105"/>
      <c r="D84" s="105"/>
      <c r="E84" s="22"/>
      <c r="F84" s="22"/>
      <c r="G84" s="31"/>
      <c r="H84" s="24"/>
      <c r="I84" s="25"/>
      <c r="J84" s="23"/>
      <c r="K84" s="23"/>
      <c r="L84" s="23"/>
      <c r="M84" s="23"/>
      <c r="N84" s="23"/>
      <c r="O84" s="31"/>
    </row>
    <row r="85" spans="1:22" x14ac:dyDescent="0.3">
      <c r="A85" s="6"/>
      <c r="B85" s="6"/>
      <c r="C85" s="1"/>
      <c r="D85" s="1"/>
      <c r="E85" s="1"/>
      <c r="F85" s="1"/>
      <c r="H85" s="2"/>
      <c r="I85" s="6"/>
      <c r="J85" s="6"/>
      <c r="K85" s="6"/>
      <c r="L85" s="6"/>
      <c r="M85" s="6"/>
      <c r="N85" s="6"/>
    </row>
    <row r="86" spans="1:22" x14ac:dyDescent="0.3">
      <c r="A86" s="20" t="s">
        <v>21</v>
      </c>
      <c r="B86" s="77">
        <f>B14</f>
        <v>1000000000</v>
      </c>
      <c r="C86" s="1"/>
      <c r="D86" s="1"/>
      <c r="E86" s="1"/>
      <c r="F86" s="1"/>
      <c r="H86" s="20" t="s">
        <v>22</v>
      </c>
      <c r="I86" s="6"/>
      <c r="J86" s="6"/>
      <c r="K86" s="6"/>
      <c r="M86" s="6"/>
      <c r="N86" s="6"/>
    </row>
    <row r="87" spans="1:22" x14ac:dyDescent="0.3">
      <c r="A87" s="52" t="s">
        <v>4</v>
      </c>
      <c r="B87" s="52" t="s">
        <v>5</v>
      </c>
      <c r="C87" s="52" t="s">
        <v>17</v>
      </c>
      <c r="D87" s="52" t="s">
        <v>18</v>
      </c>
      <c r="E87" s="52" t="s">
        <v>19</v>
      </c>
      <c r="F87" s="52" t="s">
        <v>29</v>
      </c>
      <c r="H87" s="52" t="s">
        <v>7</v>
      </c>
      <c r="I87" s="52" t="s">
        <v>9</v>
      </c>
      <c r="J87" s="52" t="s">
        <v>10</v>
      </c>
      <c r="K87" s="52" t="s">
        <v>11</v>
      </c>
      <c r="L87" s="52" t="s">
        <v>12</v>
      </c>
      <c r="M87" s="52" t="s">
        <v>13</v>
      </c>
      <c r="N87" s="52" t="s">
        <v>6</v>
      </c>
      <c r="P87" s="72" t="s">
        <v>99</v>
      </c>
      <c r="Q87" s="72" t="s">
        <v>100</v>
      </c>
      <c r="R87" s="72" t="s">
        <v>96</v>
      </c>
      <c r="S87" s="72" t="s">
        <v>26</v>
      </c>
      <c r="U87" s="52" t="s">
        <v>97</v>
      </c>
    </row>
    <row r="88" spans="1:22" x14ac:dyDescent="0.3">
      <c r="A88" s="16">
        <v>-1</v>
      </c>
      <c r="B88" s="16">
        <v>0</v>
      </c>
      <c r="C88" s="21">
        <v>0</v>
      </c>
      <c r="D88" s="21">
        <v>0</v>
      </c>
      <c r="E88" s="82" cm="1">
        <f t="array" ref="E88:E151">_xlfn.LET(_xlpm.x, C88:C151, _xlpm.x/SUM(_xlpm.x))</f>
        <v>0</v>
      </c>
      <c r="F88" s="33" cm="1">
        <f t="array" ref="F88:F151">_xlfn.LET(_xlpm.x, D88:D151/C88:C151/B3, IF(ISERR(_xlpm.x), 0, _xlpm.x))</f>
        <v>0</v>
      </c>
      <c r="G88" s="5">
        <v>1.0000000000000001E-5</v>
      </c>
      <c r="H88" s="60" t="str">
        <f>"("&amp;$A88&amp;", "&amp;$B88&amp;"]"</f>
        <v>(-1, 0]</v>
      </c>
      <c r="I88" s="78">
        <v>0</v>
      </c>
      <c r="J88" s="82" cm="1">
        <f t="array" ref="J88:J151">_xlfn.ANCHORARRAY(E88)*I88:I151</f>
        <v>0</v>
      </c>
      <c r="K88" s="82" cm="1">
        <f t="array" ref="K88:K151">J88:J151/SUM(_xlfn.ANCHORARRAY(J88))</f>
        <v>0</v>
      </c>
      <c r="L88" s="89" cm="1">
        <f t="array" ref="L88:L151">INT(_xlfn.ANCHORARRAY(K88)*$B$2)</f>
        <v>0</v>
      </c>
      <c r="M88" s="82" cm="1">
        <f t="array" ref="M88:M151">_xlfn.LET(_xlpm.x, L88:L151, _xlpm.x/SUM(_xlpm.x))</f>
        <v>0</v>
      </c>
      <c r="N88" s="99" cm="1">
        <f t="array" ref="N88:N151">M88:M151*_xlfn.ANCHORARRAY(F88)</f>
        <v>0</v>
      </c>
      <c r="O88" s="45"/>
      <c r="P88" s="82" cm="1">
        <f t="array" ref="P88:P151">_xlfn.ANCHORARRAY(M88)</f>
        <v>0</v>
      </c>
      <c r="Q88" s="82">
        <v>0</v>
      </c>
      <c r="R88" s="82">
        <v>0</v>
      </c>
      <c r="S88" s="90" cm="1">
        <f t="array" ref="S88:S151">_xlfn.LET(_xlpm.x, Q88:Q151/M88:M151, IF(ISERR(_xlpm.x), 0, ROUND(_xlpm.x,2)))</f>
        <v>0</v>
      </c>
      <c r="T88" s="37"/>
      <c r="U88" s="82">
        <v>0</v>
      </c>
      <c r="V88" s="37">
        <f>SUMPRODUCT(U88:U151,M88:M151)</f>
        <v>0.35283637388854699</v>
      </c>
    </row>
    <row r="89" spans="1:22" x14ac:dyDescent="0.3">
      <c r="A89" s="69">
        <v>0</v>
      </c>
      <c r="B89" s="69">
        <v>1</v>
      </c>
      <c r="C89" s="91">
        <v>7042</v>
      </c>
      <c r="D89" s="91">
        <v>397470</v>
      </c>
      <c r="E89" s="82">
        <v>5.2724048380341487E-4</v>
      </c>
      <c r="F89" s="92">
        <v>0.56442771939789838</v>
      </c>
      <c r="G89" s="5">
        <v>-45768</v>
      </c>
      <c r="H89" s="60" t="str">
        <f t="shared" ref="H89:H151" si="1">"("&amp;$A89&amp;", "&amp;$B89&amp;"]"</f>
        <v>(0, 1]</v>
      </c>
      <c r="I89" s="78">
        <v>0</v>
      </c>
      <c r="J89" s="82">
        <v>0</v>
      </c>
      <c r="K89" s="82">
        <v>0</v>
      </c>
      <c r="L89" s="89">
        <v>0</v>
      </c>
      <c r="M89" s="82">
        <v>0</v>
      </c>
      <c r="N89" s="82">
        <v>0</v>
      </c>
      <c r="O89" s="45"/>
      <c r="P89" s="82">
        <v>0</v>
      </c>
      <c r="Q89" s="82">
        <v>0</v>
      </c>
      <c r="R89" s="82">
        <v>0</v>
      </c>
      <c r="S89" s="90">
        <v>0</v>
      </c>
      <c r="T89" s="37"/>
      <c r="U89" s="82">
        <v>0.1035961922670114</v>
      </c>
      <c r="V89" s="103">
        <f>V88*12</f>
        <v>4.2340364866625642</v>
      </c>
    </row>
    <row r="90" spans="1:22" x14ac:dyDescent="0.3">
      <c r="A90" s="69">
        <v>1</v>
      </c>
      <c r="B90" s="69">
        <v>2</v>
      </c>
      <c r="C90" s="91">
        <v>6961</v>
      </c>
      <c r="D90" s="91">
        <v>1078515</v>
      </c>
      <c r="E90" s="82">
        <v>5.2117594543532684E-4</v>
      </c>
      <c r="F90" s="92">
        <v>1.5493679069099267</v>
      </c>
      <c r="G90" s="32">
        <f>1+G89*G88</f>
        <v>0.54231999999999991</v>
      </c>
      <c r="H90" s="60" t="str">
        <f t="shared" si="1"/>
        <v>(1, 2]</v>
      </c>
      <c r="I90" s="78">
        <v>0</v>
      </c>
      <c r="J90" s="82">
        <v>0</v>
      </c>
      <c r="K90" s="82">
        <v>0</v>
      </c>
      <c r="L90" s="89">
        <v>0</v>
      </c>
      <c r="M90" s="82">
        <v>0</v>
      </c>
      <c r="N90" s="82">
        <v>0</v>
      </c>
      <c r="O90" s="45"/>
      <c r="P90" s="82">
        <v>0</v>
      </c>
      <c r="Q90" s="82">
        <v>0</v>
      </c>
      <c r="R90" s="82">
        <v>0</v>
      </c>
      <c r="S90" s="90">
        <v>0</v>
      </c>
      <c r="T90" s="37"/>
      <c r="U90" s="82">
        <v>0.1484915483916982</v>
      </c>
    </row>
    <row r="91" spans="1:22" x14ac:dyDescent="0.3">
      <c r="A91" s="69">
        <v>2</v>
      </c>
      <c r="B91" s="69">
        <v>3</v>
      </c>
      <c r="C91" s="91">
        <v>7196</v>
      </c>
      <c r="D91" s="91">
        <v>1845290</v>
      </c>
      <c r="E91" s="82">
        <v>5.3877059378718744E-4</v>
      </c>
      <c r="F91" s="92">
        <v>2.5643274041133965</v>
      </c>
      <c r="G91" s="45"/>
      <c r="H91" s="60" t="str">
        <f t="shared" si="1"/>
        <v>(2, 3]</v>
      </c>
      <c r="I91" s="78">
        <v>0</v>
      </c>
      <c r="J91" s="82">
        <v>0</v>
      </c>
      <c r="K91" s="82">
        <v>0</v>
      </c>
      <c r="L91" s="89">
        <v>0</v>
      </c>
      <c r="M91" s="82">
        <v>0</v>
      </c>
      <c r="N91" s="82">
        <v>0</v>
      </c>
      <c r="O91" s="45"/>
      <c r="P91" s="82">
        <v>0</v>
      </c>
      <c r="Q91" s="82">
        <v>0</v>
      </c>
      <c r="R91" s="82">
        <v>0</v>
      </c>
      <c r="S91" s="90">
        <v>0</v>
      </c>
      <c r="T91" s="37"/>
      <c r="U91" s="82">
        <v>0.17406206150944259</v>
      </c>
    </row>
    <row r="92" spans="1:22" x14ac:dyDescent="0.3">
      <c r="A92" s="69">
        <v>3</v>
      </c>
      <c r="B92" s="69">
        <v>4</v>
      </c>
      <c r="C92" s="91">
        <v>7104</v>
      </c>
      <c r="D92" s="91">
        <v>2524955</v>
      </c>
      <c r="E92" s="82">
        <v>5.3188247613454413E-4</v>
      </c>
      <c r="F92" s="92">
        <v>3.5542722409909908</v>
      </c>
      <c r="G92" s="45"/>
      <c r="H92" s="60" t="str">
        <f t="shared" si="1"/>
        <v>(3, 4]</v>
      </c>
      <c r="I92" s="78">
        <v>0</v>
      </c>
      <c r="J92" s="82">
        <v>0</v>
      </c>
      <c r="K92" s="82">
        <v>0</v>
      </c>
      <c r="L92" s="89">
        <v>0</v>
      </c>
      <c r="M92" s="82">
        <v>0</v>
      </c>
      <c r="N92" s="82">
        <v>0</v>
      </c>
      <c r="O92" s="45"/>
      <c r="P92" s="82">
        <v>0</v>
      </c>
      <c r="Q92" s="82">
        <v>0</v>
      </c>
      <c r="R92" s="82">
        <v>3.614457831325301E-2</v>
      </c>
      <c r="S92" s="90">
        <v>0</v>
      </c>
      <c r="T92" s="37"/>
      <c r="U92" s="82">
        <v>0.1929305403453177</v>
      </c>
    </row>
    <row r="93" spans="1:22" x14ac:dyDescent="0.3">
      <c r="A93" s="69">
        <v>4</v>
      </c>
      <c r="B93" s="69">
        <v>5</v>
      </c>
      <c r="C93" s="91">
        <v>7483</v>
      </c>
      <c r="D93" s="91">
        <v>3409320</v>
      </c>
      <c r="E93" s="82">
        <v>5.6025852602967251E-4</v>
      </c>
      <c r="F93" s="92">
        <v>4.5560871308298809</v>
      </c>
      <c r="G93" s="45"/>
      <c r="H93" s="60" t="str">
        <f t="shared" si="1"/>
        <v>(4, 5]</v>
      </c>
      <c r="I93" s="78">
        <v>0</v>
      </c>
      <c r="J93" s="82">
        <v>0</v>
      </c>
      <c r="K93" s="82">
        <v>0</v>
      </c>
      <c r="L93" s="89">
        <v>0</v>
      </c>
      <c r="M93" s="82">
        <v>0</v>
      </c>
      <c r="N93" s="82">
        <v>0</v>
      </c>
      <c r="O93" s="45"/>
      <c r="P93" s="82">
        <v>0</v>
      </c>
      <c r="Q93" s="82">
        <v>0</v>
      </c>
      <c r="R93" s="82">
        <v>0</v>
      </c>
      <c r="S93" s="90">
        <v>0</v>
      </c>
      <c r="T93" s="37"/>
      <c r="U93" s="82">
        <v>0.2063314917127072</v>
      </c>
    </row>
    <row r="94" spans="1:22" x14ac:dyDescent="0.3">
      <c r="A94" s="69">
        <v>5</v>
      </c>
      <c r="B94" s="69">
        <v>6</v>
      </c>
      <c r="C94" s="91">
        <v>8182</v>
      </c>
      <c r="D94" s="91">
        <v>4541655</v>
      </c>
      <c r="E94" s="82">
        <v>6.1259324602095158E-4</v>
      </c>
      <c r="F94" s="92">
        <v>5.550788315815204</v>
      </c>
      <c r="G94" s="45"/>
      <c r="H94" s="60" t="str">
        <f t="shared" si="1"/>
        <v>(5, 6]</v>
      </c>
      <c r="I94" s="78">
        <v>0</v>
      </c>
      <c r="J94" s="82">
        <v>0</v>
      </c>
      <c r="K94" s="82">
        <v>0</v>
      </c>
      <c r="L94" s="89">
        <v>0</v>
      </c>
      <c r="M94" s="82">
        <v>0</v>
      </c>
      <c r="N94" s="82">
        <v>0</v>
      </c>
      <c r="O94" s="45"/>
      <c r="P94" s="82">
        <v>0</v>
      </c>
      <c r="Q94" s="82">
        <v>0</v>
      </c>
      <c r="R94" s="82">
        <v>0</v>
      </c>
      <c r="S94" s="90">
        <v>0</v>
      </c>
      <c r="T94" s="37"/>
      <c r="U94" s="82">
        <v>0.21336163331311911</v>
      </c>
    </row>
    <row r="95" spans="1:22" x14ac:dyDescent="0.3">
      <c r="A95" s="69">
        <v>6</v>
      </c>
      <c r="B95" s="69">
        <v>7</v>
      </c>
      <c r="C95" s="91">
        <v>8390</v>
      </c>
      <c r="D95" s="91">
        <v>5496365</v>
      </c>
      <c r="E95" s="82">
        <v>6.2816638158344951E-4</v>
      </c>
      <c r="F95" s="92">
        <v>6.5510905840286053</v>
      </c>
      <c r="G95" s="45"/>
      <c r="H95" s="60" t="str">
        <f t="shared" si="1"/>
        <v>(6, 7]</v>
      </c>
      <c r="I95" s="78">
        <v>0</v>
      </c>
      <c r="J95" s="82">
        <v>0</v>
      </c>
      <c r="K95" s="82">
        <v>0</v>
      </c>
      <c r="L95" s="89">
        <v>0</v>
      </c>
      <c r="M95" s="82">
        <v>0</v>
      </c>
      <c r="N95" s="82">
        <v>0</v>
      </c>
      <c r="O95" s="45"/>
      <c r="P95" s="82">
        <v>0</v>
      </c>
      <c r="Q95" s="82">
        <v>0</v>
      </c>
      <c r="R95" s="82">
        <v>1.2048192771084338E-2</v>
      </c>
      <c r="S95" s="90">
        <v>0</v>
      </c>
      <c r="T95" s="37"/>
      <c r="U95" s="82">
        <v>0.22473548361673201</v>
      </c>
    </row>
    <row r="96" spans="1:22" x14ac:dyDescent="0.3">
      <c r="A96" s="69">
        <v>7</v>
      </c>
      <c r="B96" s="69">
        <v>8</v>
      </c>
      <c r="C96" s="91">
        <v>8747</v>
      </c>
      <c r="D96" s="91">
        <v>6605700</v>
      </c>
      <c r="E96" s="82">
        <v>6.5489527290946755E-4</v>
      </c>
      <c r="F96" s="92">
        <v>7.5519606722304786</v>
      </c>
      <c r="G96" s="45"/>
      <c r="H96" s="60" t="str">
        <f t="shared" si="1"/>
        <v>(7, 8]</v>
      </c>
      <c r="I96" s="78">
        <v>0</v>
      </c>
      <c r="J96" s="82">
        <v>0</v>
      </c>
      <c r="K96" s="82">
        <v>0</v>
      </c>
      <c r="L96" s="89">
        <v>0</v>
      </c>
      <c r="M96" s="82">
        <v>0</v>
      </c>
      <c r="N96" s="82">
        <v>0</v>
      </c>
      <c r="O96" s="45"/>
      <c r="P96" s="82">
        <v>0</v>
      </c>
      <c r="Q96" s="82">
        <v>0</v>
      </c>
      <c r="R96" s="82">
        <v>3.614457831325301E-2</v>
      </c>
      <c r="S96" s="90">
        <v>0</v>
      </c>
      <c r="T96" s="37"/>
      <c r="U96" s="82">
        <v>0.2344830191530354</v>
      </c>
    </row>
    <row r="97" spans="1:21" x14ac:dyDescent="0.3">
      <c r="A97" s="69">
        <v>8</v>
      </c>
      <c r="B97" s="69">
        <v>9</v>
      </c>
      <c r="C97" s="91">
        <v>8856</v>
      </c>
      <c r="D97" s="91">
        <v>7570485</v>
      </c>
      <c r="E97" s="82">
        <v>6.6305619491096885E-4</v>
      </c>
      <c r="F97" s="92">
        <v>8.5484247967479678</v>
      </c>
      <c r="G97" s="45"/>
      <c r="H97" s="60" t="str">
        <f t="shared" si="1"/>
        <v>(8, 9]</v>
      </c>
      <c r="I97" s="78">
        <v>0</v>
      </c>
      <c r="J97" s="82">
        <v>0</v>
      </c>
      <c r="K97" s="82">
        <v>0</v>
      </c>
      <c r="L97" s="89">
        <v>0</v>
      </c>
      <c r="M97" s="82">
        <v>0</v>
      </c>
      <c r="N97" s="82">
        <v>0</v>
      </c>
      <c r="O97" s="45"/>
      <c r="P97" s="82">
        <v>0</v>
      </c>
      <c r="Q97" s="82">
        <v>0</v>
      </c>
      <c r="R97" s="82">
        <v>2.4096385542168676E-2</v>
      </c>
      <c r="S97" s="90">
        <v>0</v>
      </c>
      <c r="T97" s="37"/>
      <c r="U97" s="82">
        <v>0.24127152960495621</v>
      </c>
    </row>
    <row r="98" spans="1:21" x14ac:dyDescent="0.3">
      <c r="A98" s="69">
        <v>9</v>
      </c>
      <c r="B98" s="69">
        <v>10</v>
      </c>
      <c r="C98" s="91">
        <v>9108</v>
      </c>
      <c r="D98" s="91">
        <v>8694310</v>
      </c>
      <c r="E98" s="82">
        <v>6.8192364761168744E-4</v>
      </c>
      <c r="F98" s="92">
        <v>9.5457949055775142</v>
      </c>
      <c r="G98" s="45"/>
      <c r="H98" s="60" t="str">
        <f t="shared" si="1"/>
        <v>(9, 10]</v>
      </c>
      <c r="I98" s="78">
        <v>0</v>
      </c>
      <c r="J98" s="82">
        <v>0</v>
      </c>
      <c r="K98" s="82">
        <v>0</v>
      </c>
      <c r="L98" s="89">
        <v>0</v>
      </c>
      <c r="M98" s="82">
        <v>0</v>
      </c>
      <c r="N98" s="82">
        <v>0</v>
      </c>
      <c r="O98" s="45"/>
      <c r="P98" s="82">
        <v>0</v>
      </c>
      <c r="Q98" s="82">
        <v>0</v>
      </c>
      <c r="R98" s="82">
        <v>1.2048192771084338E-2</v>
      </c>
      <c r="S98" s="90">
        <v>0</v>
      </c>
      <c r="T98" s="37"/>
      <c r="U98" s="82">
        <v>0.24651398937424071</v>
      </c>
    </row>
    <row r="99" spans="1:21" x14ac:dyDescent="0.3">
      <c r="A99" s="69">
        <v>10</v>
      </c>
      <c r="B99" s="69">
        <v>15</v>
      </c>
      <c r="C99" s="91">
        <v>51671</v>
      </c>
      <c r="D99" s="91">
        <v>65170480</v>
      </c>
      <c r="E99" s="82">
        <v>3.8686513829318736E-3</v>
      </c>
      <c r="F99" s="92">
        <v>12.612583460742004</v>
      </c>
      <c r="G99" s="45"/>
      <c r="H99" s="60" t="str">
        <f t="shared" si="1"/>
        <v>(10, 15]</v>
      </c>
      <c r="I99" s="78">
        <v>5</v>
      </c>
      <c r="J99" s="82">
        <v>1.9343256914659369E-2</v>
      </c>
      <c r="K99" s="82">
        <v>1.1909520842399879E-2</v>
      </c>
      <c r="L99" s="89">
        <v>11909520</v>
      </c>
      <c r="M99" s="82">
        <v>1.1909520250099925E-2</v>
      </c>
      <c r="N99" s="82">
        <v>0.15020981813178227</v>
      </c>
      <c r="O99" s="45">
        <v>0.7</v>
      </c>
      <c r="P99" s="82">
        <v>1.1909520250099925E-2</v>
      </c>
      <c r="Q99" s="82">
        <v>0.14065752251643807</v>
      </c>
      <c r="R99" s="82">
        <v>7.2289156626506021E-2</v>
      </c>
      <c r="S99" s="90">
        <v>11.81</v>
      </c>
      <c r="T99" s="37"/>
      <c r="U99" s="82">
        <v>0.2621944591855655</v>
      </c>
    </row>
    <row r="100" spans="1:21" x14ac:dyDescent="0.3">
      <c r="A100" s="69">
        <v>15</v>
      </c>
      <c r="B100" s="69">
        <v>20</v>
      </c>
      <c r="C100" s="91">
        <v>60539</v>
      </c>
      <c r="D100" s="91">
        <v>106561110</v>
      </c>
      <c r="E100" s="82">
        <v>4.5326060279714479E-3</v>
      </c>
      <c r="F100" s="92">
        <v>17.602059829201011</v>
      </c>
      <c r="G100" s="45"/>
      <c r="H100" s="83" t="str">
        <f t="shared" si="1"/>
        <v>(15, 20]</v>
      </c>
      <c r="I100" s="78">
        <v>15</v>
      </c>
      <c r="J100" s="82">
        <v>6.7989090419571713E-2</v>
      </c>
      <c r="K100" s="82">
        <v>4.1860452610441801E-2</v>
      </c>
      <c r="L100" s="89">
        <v>41860452</v>
      </c>
      <c r="M100" s="82">
        <v>4.1860452879069511E-2</v>
      </c>
      <c r="N100" s="82">
        <v>0.73683019605483124</v>
      </c>
      <c r="O100" s="45" cm="1">
        <f t="array" ref="O100:O106">I100:I106*O99</f>
        <v>10.5</v>
      </c>
      <c r="P100" s="82">
        <v>4.1860452879069511E-2</v>
      </c>
      <c r="Q100" s="82">
        <v>0.13948329848708246</v>
      </c>
      <c r="R100" s="82">
        <v>7.2289156626506021E-2</v>
      </c>
      <c r="S100" s="90">
        <v>3.33</v>
      </c>
      <c r="T100" s="37"/>
      <c r="U100" s="82">
        <v>0.28343220593126539</v>
      </c>
    </row>
    <row r="101" spans="1:21" x14ac:dyDescent="0.3">
      <c r="A101" s="69">
        <v>20</v>
      </c>
      <c r="B101" s="69">
        <v>25</v>
      </c>
      <c r="C101" s="91">
        <v>68801</v>
      </c>
      <c r="D101" s="91">
        <v>155359970</v>
      </c>
      <c r="E101" s="82">
        <v>5.151188941516437E-3</v>
      </c>
      <c r="F101" s="92">
        <v>22.581062775250363</v>
      </c>
      <c r="G101" s="45"/>
      <c r="H101" s="60" t="str">
        <f t="shared" si="1"/>
        <v>(20, 25]</v>
      </c>
      <c r="I101" s="78">
        <v>35</v>
      </c>
      <c r="J101" s="82">
        <v>0.1802916129530753</v>
      </c>
      <c r="K101" s="82">
        <v>0.11100440487595901</v>
      </c>
      <c r="L101" s="89">
        <v>111004404</v>
      </c>
      <c r="M101" s="82">
        <v>0.11100440633109253</v>
      </c>
      <c r="N101" s="82">
        <v>2.5065974676917993</v>
      </c>
      <c r="O101" s="45">
        <v>24.5</v>
      </c>
      <c r="P101" s="82">
        <v>0.11100440633109253</v>
      </c>
      <c r="Q101" s="82">
        <v>0.1402127125053178</v>
      </c>
      <c r="R101" s="82">
        <v>7.2289156626506021E-2</v>
      </c>
      <c r="S101" s="90">
        <v>1.26</v>
      </c>
      <c r="T101" s="37"/>
      <c r="U101" s="82">
        <v>0.29907072112041061</v>
      </c>
    </row>
    <row r="102" spans="1:21" x14ac:dyDescent="0.3">
      <c r="A102" s="69">
        <v>25</v>
      </c>
      <c r="B102" s="69">
        <v>30</v>
      </c>
      <c r="C102" s="91">
        <v>76304</v>
      </c>
      <c r="D102" s="91">
        <v>210369015</v>
      </c>
      <c r="E102" s="82">
        <v>5.7129448844271194E-3</v>
      </c>
      <c r="F102" s="92">
        <v>27.56985413608723</v>
      </c>
      <c r="G102" s="45"/>
      <c r="H102" s="60" t="str">
        <f t="shared" si="1"/>
        <v>(25, 30]</v>
      </c>
      <c r="I102" s="78">
        <v>31.66</v>
      </c>
      <c r="J102" s="82">
        <v>0.1808718350409626</v>
      </c>
      <c r="K102" s="82">
        <v>0.11136164394275121</v>
      </c>
      <c r="L102" s="89">
        <v>111361643</v>
      </c>
      <c r="M102" s="82">
        <v>0.11136164533859455</v>
      </c>
      <c r="N102" s="82">
        <v>3.0702243183397302</v>
      </c>
      <c r="O102" s="5">
        <v>22.161999999999999</v>
      </c>
      <c r="P102" s="82">
        <v>0.11136164533859455</v>
      </c>
      <c r="Q102" s="82">
        <v>0.13974440349361009</v>
      </c>
      <c r="R102" s="82">
        <v>8.4337349397590355E-2</v>
      </c>
      <c r="S102" s="90">
        <v>1.25</v>
      </c>
      <c r="T102" s="37"/>
      <c r="U102" s="82">
        <v>0.31171104584443621</v>
      </c>
    </row>
    <row r="103" spans="1:21" x14ac:dyDescent="0.3">
      <c r="A103" s="69">
        <v>30</v>
      </c>
      <c r="B103" s="69">
        <v>35</v>
      </c>
      <c r="C103" s="91">
        <v>83241</v>
      </c>
      <c r="D103" s="91">
        <v>271107480</v>
      </c>
      <c r="E103" s="82">
        <v>6.2323239296052345E-3</v>
      </c>
      <c r="F103" s="92">
        <v>32.568984034310013</v>
      </c>
      <c r="G103" s="45"/>
      <c r="H103" s="60" t="str">
        <f t="shared" si="1"/>
        <v>(30, 35]</v>
      </c>
      <c r="I103" s="78">
        <v>21</v>
      </c>
      <c r="J103" s="82">
        <v>0.13087880252170991</v>
      </c>
      <c r="K103" s="82">
        <v>8.0581250269150473E-2</v>
      </c>
      <c r="L103" s="89">
        <v>80581250</v>
      </c>
      <c r="M103" s="82">
        <v>8.0581251692206285E-2</v>
      </c>
      <c r="N103" s="82">
        <v>2.6244494998281831</v>
      </c>
      <c r="O103" s="45">
        <v>14.7</v>
      </c>
      <c r="P103" s="82">
        <v>8.0581251692206285E-2</v>
      </c>
      <c r="Q103" s="82">
        <v>3.6792875919821895E-2</v>
      </c>
      <c r="R103" s="82">
        <v>3.614457831325301E-2</v>
      </c>
      <c r="S103" s="90">
        <v>0.46</v>
      </c>
      <c r="T103" s="37"/>
      <c r="U103" s="82">
        <v>0.32425899924548329</v>
      </c>
    </row>
    <row r="104" spans="1:21" x14ac:dyDescent="0.3">
      <c r="A104" s="69">
        <v>35</v>
      </c>
      <c r="B104" s="69">
        <v>40</v>
      </c>
      <c r="C104" s="91">
        <v>89448</v>
      </c>
      <c r="D104" s="91">
        <v>335898775</v>
      </c>
      <c r="E104" s="82">
        <v>6.6970472586265067E-3</v>
      </c>
      <c r="F104" s="92">
        <v>37.552407544047938</v>
      </c>
      <c r="G104" s="45"/>
      <c r="H104" s="83" t="str">
        <f t="shared" si="1"/>
        <v>(35, 40]</v>
      </c>
      <c r="I104" s="78">
        <v>19.247058600000003</v>
      </c>
      <c r="J104" s="82">
        <v>0.12889846103375374</v>
      </c>
      <c r="K104" s="82">
        <v>7.9361966550284629E-2</v>
      </c>
      <c r="L104" s="89">
        <v>79361966</v>
      </c>
      <c r="M104" s="82">
        <v>7.9361967666601321E-2</v>
      </c>
      <c r="N104" s="82">
        <v>2.9802329533137679</v>
      </c>
      <c r="O104" s="45">
        <v>13.47294102</v>
      </c>
      <c r="P104" s="82">
        <v>7.9361967666601321E-2</v>
      </c>
      <c r="Q104" s="82">
        <v>2.9973236749330917E-2</v>
      </c>
      <c r="R104" s="82">
        <v>2.4096385542168676E-2</v>
      </c>
      <c r="S104" s="90">
        <v>0.38</v>
      </c>
      <c r="T104" s="37"/>
      <c r="U104" s="82">
        <v>0.33402138771449891</v>
      </c>
    </row>
    <row r="105" spans="1:21" x14ac:dyDescent="0.3">
      <c r="A105" s="69">
        <v>40</v>
      </c>
      <c r="B105" s="69">
        <v>45</v>
      </c>
      <c r="C105" s="91">
        <v>95401</v>
      </c>
      <c r="D105" s="91">
        <v>405939470</v>
      </c>
      <c r="E105" s="82">
        <v>7.1427533932589583E-3</v>
      </c>
      <c r="F105" s="92">
        <v>42.55086110208488</v>
      </c>
      <c r="G105" s="45"/>
      <c r="H105" s="60" t="str">
        <f t="shared" si="1"/>
        <v>(40, 45]</v>
      </c>
      <c r="I105" s="78">
        <v>18.263183400000003</v>
      </c>
      <c r="J105" s="82">
        <v>0.13044941520206069</v>
      </c>
      <c r="K105" s="82">
        <v>8.0316879214400685E-2</v>
      </c>
      <c r="L105" s="89">
        <v>80316879</v>
      </c>
      <c r="M105" s="82">
        <v>8.031688068665449E-2</v>
      </c>
      <c r="N105" s="82">
        <v>3.4175524342505588</v>
      </c>
      <c r="O105" s="45">
        <v>12.784228380000002</v>
      </c>
      <c r="P105" s="82">
        <v>8.031688068665449E-2</v>
      </c>
      <c r="Q105" s="82">
        <v>2.961772074044302E-2</v>
      </c>
      <c r="R105" s="82">
        <v>3.614457831325301E-2</v>
      </c>
      <c r="S105" s="90">
        <v>0.37</v>
      </c>
      <c r="T105" s="37"/>
      <c r="U105" s="82">
        <v>0.3430985244299562</v>
      </c>
    </row>
    <row r="106" spans="1:21" x14ac:dyDescent="0.3">
      <c r="A106" s="69">
        <v>45</v>
      </c>
      <c r="B106" s="69">
        <v>50</v>
      </c>
      <c r="C106" s="91">
        <v>100624</v>
      </c>
      <c r="D106" s="91">
        <v>478490985</v>
      </c>
      <c r="E106" s="82">
        <v>7.5338038117345671E-3</v>
      </c>
      <c r="F106" s="92">
        <v>47.552371700588331</v>
      </c>
      <c r="G106" s="45"/>
      <c r="H106" s="60" t="str">
        <f t="shared" si="1"/>
        <v>(45, 50]</v>
      </c>
      <c r="I106" s="78">
        <v>17.5</v>
      </c>
      <c r="J106" s="82">
        <v>0.13184156670535493</v>
      </c>
      <c r="K106" s="82">
        <v>8.1174018082865798E-2</v>
      </c>
      <c r="L106" s="89">
        <v>81174018</v>
      </c>
      <c r="M106" s="82">
        <v>8.1174019704654418E-2</v>
      </c>
      <c r="N106" s="82">
        <v>3.8600171574266082</v>
      </c>
      <c r="O106" s="45">
        <v>12.25</v>
      </c>
      <c r="P106" s="82">
        <v>8.1174019704654418E-2</v>
      </c>
      <c r="Q106" s="82">
        <v>2.7089906677247668E-2</v>
      </c>
      <c r="R106" s="82">
        <v>2.4096385542168676E-2</v>
      </c>
      <c r="S106" s="90">
        <v>0.33</v>
      </c>
      <c r="T106" s="37"/>
      <c r="U106" s="82">
        <v>0.35173334075126161</v>
      </c>
    </row>
    <row r="107" spans="1:21" x14ac:dyDescent="0.3">
      <c r="A107" s="69">
        <v>50</v>
      </c>
      <c r="B107" s="69">
        <v>60</v>
      </c>
      <c r="C107" s="91">
        <v>214959</v>
      </c>
      <c r="D107" s="91">
        <v>1184621845</v>
      </c>
      <c r="E107" s="82">
        <v>1.6094161766245139E-2</v>
      </c>
      <c r="F107" s="92">
        <v>55.10919966133077</v>
      </c>
      <c r="G107" s="45">
        <v>10</v>
      </c>
      <c r="H107" s="83" t="str">
        <f t="shared" si="1"/>
        <v>(50, 60]</v>
      </c>
      <c r="I107" s="78" cm="1">
        <f t="array" ref="I107:I151">G107:G151*G90</f>
        <v>5.4231999999999996</v>
      </c>
      <c r="J107" s="82">
        <v>8.7281858090700631E-2</v>
      </c>
      <c r="K107" s="82">
        <v>5.3738887545189427E-2</v>
      </c>
      <c r="L107" s="89">
        <v>53738887</v>
      </c>
      <c r="M107" s="82">
        <v>5.3738888128516647E-2</v>
      </c>
      <c r="N107" s="82">
        <v>2.9615071154523416</v>
      </c>
      <c r="O107" s="45" cm="1">
        <f t="array" ref="O107:O151">G107:G151*O99</f>
        <v>7</v>
      </c>
      <c r="P107" s="82">
        <v>5.3738888128516647E-2</v>
      </c>
      <c r="Q107" s="82">
        <v>2.0696065517401638E-2</v>
      </c>
      <c r="R107" s="82">
        <v>2.4096385542168676E-2</v>
      </c>
      <c r="S107" s="90">
        <v>0.39</v>
      </c>
      <c r="T107" s="37"/>
      <c r="U107" s="82">
        <v>0.36271288727141282</v>
      </c>
    </row>
    <row r="108" spans="1:21" x14ac:dyDescent="0.3">
      <c r="A108" s="69">
        <v>60</v>
      </c>
      <c r="B108" s="69">
        <v>70</v>
      </c>
      <c r="C108" s="91">
        <v>229908</v>
      </c>
      <c r="D108" s="91">
        <v>1496133495</v>
      </c>
      <c r="E108" s="82">
        <v>1.7213406013955625E-2</v>
      </c>
      <c r="F108" s="92">
        <v>65.075312516310873</v>
      </c>
      <c r="G108" s="45">
        <v>13.365</v>
      </c>
      <c r="H108" s="60" t="str">
        <f t="shared" si="1"/>
        <v>(60, 70]</v>
      </c>
      <c r="I108" s="78">
        <v>7.2481067999999986</v>
      </c>
      <c r="J108" s="82">
        <v>0.12476460518091263</v>
      </c>
      <c r="K108" s="82">
        <v>7.6816777668386627E-2</v>
      </c>
      <c r="L108" s="89">
        <v>76816777</v>
      </c>
      <c r="M108" s="82">
        <v>7.6816778613152351E-2</v>
      </c>
      <c r="N108" s="82">
        <v>4.9988758747471547</v>
      </c>
      <c r="O108" s="45">
        <v>9.3554999999999993</v>
      </c>
      <c r="P108" s="82">
        <v>7.6816778613152351E-2</v>
      </c>
      <c r="Q108" s="82">
        <v>6.0878189521954736E-2</v>
      </c>
      <c r="R108" s="82">
        <v>6.0240963855421686E-2</v>
      </c>
      <c r="S108" s="90">
        <v>0.79</v>
      </c>
      <c r="T108" s="37"/>
      <c r="U108" s="82">
        <v>0.3762682804482122</v>
      </c>
    </row>
    <row r="109" spans="1:21" x14ac:dyDescent="0.3">
      <c r="A109" s="69">
        <v>70</v>
      </c>
      <c r="B109" s="69">
        <v>80</v>
      </c>
      <c r="C109" s="91">
        <v>241897</v>
      </c>
      <c r="D109" s="91">
        <v>1815887605</v>
      </c>
      <c r="E109" s="82">
        <v>1.811103256327672E-2</v>
      </c>
      <c r="F109" s="92">
        <v>75.068628589854356</v>
      </c>
      <c r="G109" s="45">
        <v>11.407500000000001</v>
      </c>
      <c r="H109" s="60" t="str">
        <f t="shared" si="1"/>
        <v>(70, 80]</v>
      </c>
      <c r="I109" s="78">
        <v>6.1865153999999993</v>
      </c>
      <c r="J109" s="82">
        <v>0.11204418186261289</v>
      </c>
      <c r="K109" s="82">
        <v>6.8984893549708048E-2</v>
      </c>
      <c r="L109" s="89">
        <v>68984893</v>
      </c>
      <c r="M109" s="82">
        <v>6.898489444868279E-2</v>
      </c>
      <c r="N109" s="82">
        <v>5.1786014196784738</v>
      </c>
      <c r="O109" s="45">
        <v>7.9852499999999997</v>
      </c>
      <c r="P109" s="82">
        <v>6.898489444868279E-2</v>
      </c>
      <c r="Q109" s="82">
        <v>5.4668850366721262E-2</v>
      </c>
      <c r="R109" s="82">
        <v>4.8192771084337352E-2</v>
      </c>
      <c r="S109" s="90">
        <v>0.79</v>
      </c>
      <c r="T109" s="37"/>
      <c r="U109" s="82">
        <v>0.38787950467443449</v>
      </c>
    </row>
    <row r="110" spans="1:21" x14ac:dyDescent="0.3">
      <c r="A110" s="69">
        <v>80</v>
      </c>
      <c r="B110" s="69">
        <v>90</v>
      </c>
      <c r="C110" s="91">
        <v>251871</v>
      </c>
      <c r="D110" s="91">
        <v>2142451880</v>
      </c>
      <c r="E110" s="82">
        <v>1.8857794361836114E-2</v>
      </c>
      <c r="F110" s="92">
        <v>85.061475120200413</v>
      </c>
      <c r="G110" s="45">
        <v>5</v>
      </c>
      <c r="H110" s="60" t="str">
        <f t="shared" si="1"/>
        <v>(80, 90]</v>
      </c>
      <c r="I110" s="78">
        <v>2.7115999999999998</v>
      </c>
      <c r="J110" s="82">
        <v>5.1134795191554804E-2</v>
      </c>
      <c r="K110" s="82">
        <v>3.1483369723748267E-2</v>
      </c>
      <c r="L110" s="89">
        <v>31483369</v>
      </c>
      <c r="M110" s="82">
        <v>3.1483369661150763E-2</v>
      </c>
      <c r="N110" s="82">
        <v>2.678021865132048</v>
      </c>
      <c r="O110" s="45">
        <v>3.5</v>
      </c>
      <c r="P110" s="82">
        <v>3.1483369661150763E-2</v>
      </c>
      <c r="Q110" s="82">
        <v>2.7836151695903793E-2</v>
      </c>
      <c r="R110" s="82">
        <v>2.4096385542168676E-2</v>
      </c>
      <c r="S110" s="90">
        <v>0.88</v>
      </c>
      <c r="T110" s="37"/>
      <c r="U110" s="82">
        <v>0.39818380745410098</v>
      </c>
    </row>
    <row r="111" spans="1:21" x14ac:dyDescent="0.3">
      <c r="A111" s="69">
        <v>90</v>
      </c>
      <c r="B111" s="69">
        <v>100</v>
      </c>
      <c r="C111" s="91">
        <v>258300</v>
      </c>
      <c r="D111" s="91">
        <v>2455049550</v>
      </c>
      <c r="E111" s="82">
        <v>1.9339139018236591E-2</v>
      </c>
      <c r="F111" s="92">
        <v>95.046440185830434</v>
      </c>
      <c r="G111" s="45">
        <v>5</v>
      </c>
      <c r="H111" s="60" t="str">
        <f t="shared" si="1"/>
        <v>(90, 100]</v>
      </c>
      <c r="I111" s="78">
        <v>2.7115999999999998</v>
      </c>
      <c r="J111" s="100">
        <v>5.2440009361850337E-2</v>
      </c>
      <c r="K111" s="100">
        <v>3.2286981826586535E-2</v>
      </c>
      <c r="L111" s="89">
        <v>32286981</v>
      </c>
      <c r="M111" s="100">
        <v>3.2286981678026613E-2</v>
      </c>
      <c r="N111" s="100">
        <v>3.0687626728415598</v>
      </c>
      <c r="O111" s="45">
        <v>3.5</v>
      </c>
      <c r="P111" s="82">
        <v>3.2286981678026613E-2</v>
      </c>
      <c r="Q111" s="82">
        <v>2.4594054614851365E-2</v>
      </c>
      <c r="R111" s="82">
        <v>1.2048192771084338E-2</v>
      </c>
      <c r="S111" s="90">
        <v>0.76</v>
      </c>
      <c r="T111" s="37"/>
      <c r="U111" s="100">
        <v>0.40764951657436599</v>
      </c>
    </row>
    <row r="112" spans="1:21" x14ac:dyDescent="0.3">
      <c r="A112" s="69">
        <v>100</v>
      </c>
      <c r="B112" s="69">
        <v>120</v>
      </c>
      <c r="C112" s="91">
        <v>527850</v>
      </c>
      <c r="D112" s="91">
        <v>5809282525</v>
      </c>
      <c r="E112" s="82">
        <v>3.9520575032040976E-2</v>
      </c>
      <c r="F112" s="92">
        <v>110.05555602917495</v>
      </c>
      <c r="G112" s="45">
        <v>5</v>
      </c>
      <c r="H112" s="60" t="str">
        <f t="shared" si="1"/>
        <v>(100, 120]</v>
      </c>
      <c r="I112" s="78">
        <v>2.7115999999999998</v>
      </c>
      <c r="J112" s="100">
        <v>0.10716399125688231</v>
      </c>
      <c r="K112" s="100">
        <v>6.5980191084644604E-2</v>
      </c>
      <c r="L112" s="89">
        <v>65980191</v>
      </c>
      <c r="M112" s="100">
        <v>6.5980192385584044E-2</v>
      </c>
      <c r="N112" s="100">
        <v>7.2614867599073873</v>
      </c>
      <c r="O112" s="45">
        <v>3.5</v>
      </c>
      <c r="P112" s="82">
        <v>6.5980192385584044E-2</v>
      </c>
      <c r="Q112" s="82">
        <v>3.8380480959512027E-2</v>
      </c>
      <c r="R112" s="82">
        <v>6.0240963855421686E-2</v>
      </c>
      <c r="S112" s="90">
        <v>0.57999999999999996</v>
      </c>
      <c r="T112" s="37"/>
      <c r="U112" s="100">
        <v>0.41948421306338879</v>
      </c>
    </row>
    <row r="113" spans="1:21" x14ac:dyDescent="0.3">
      <c r="A113" s="69">
        <v>120</v>
      </c>
      <c r="B113" s="69">
        <v>140</v>
      </c>
      <c r="C113" s="91">
        <v>535919</v>
      </c>
      <c r="D113" s="91">
        <v>6967737790</v>
      </c>
      <c r="E113" s="82">
        <v>4.0124707872684226E-2</v>
      </c>
      <c r="F113" s="92">
        <v>130.01475577465996</v>
      </c>
      <c r="G113" s="45">
        <v>3</v>
      </c>
      <c r="H113" s="60" t="str">
        <f t="shared" si="1"/>
        <v>(120, 140]</v>
      </c>
      <c r="I113" s="78">
        <v>1.6269599999999997</v>
      </c>
      <c r="J113" s="100">
        <v>6.5281294720542324E-2</v>
      </c>
      <c r="K113" s="100">
        <v>4.0193279938495773E-2</v>
      </c>
      <c r="L113" s="89">
        <v>40193279</v>
      </c>
      <c r="M113" s="100">
        <v>4.0193279844058877E-2</v>
      </c>
      <c r="N113" s="100">
        <v>5.225719462707878</v>
      </c>
      <c r="O113" s="45">
        <v>2.0999999999999996</v>
      </c>
      <c r="P113" s="82">
        <v>4.0193279844058877E-2</v>
      </c>
      <c r="Q113" s="82">
        <v>1.6844639421115984E-2</v>
      </c>
      <c r="R113" s="82">
        <v>7.2289156626506021E-2</v>
      </c>
      <c r="S113" s="90">
        <v>0.42</v>
      </c>
      <c r="T113" s="37"/>
      <c r="U113" s="100">
        <v>0.43345839496888611</v>
      </c>
    </row>
    <row r="114" spans="1:21" x14ac:dyDescent="0.3">
      <c r="A114" s="69">
        <v>140</v>
      </c>
      <c r="B114" s="69">
        <v>160</v>
      </c>
      <c r="C114" s="91">
        <v>529244</v>
      </c>
      <c r="D114" s="91">
        <v>7938511790</v>
      </c>
      <c r="E114" s="82">
        <v>3.9624944988647333E-2</v>
      </c>
      <c r="F114" s="92">
        <v>149.99719959035909</v>
      </c>
      <c r="G114" s="45">
        <v>1.2000000000000002</v>
      </c>
      <c r="H114" s="60" t="str">
        <f t="shared" si="1"/>
        <v>(140, 160]</v>
      </c>
      <c r="I114" s="78">
        <v>0.65078400000000003</v>
      </c>
      <c r="J114" s="100">
        <v>2.5787280199491867E-2</v>
      </c>
      <c r="K114" s="100">
        <v>1.5877065189156762E-2</v>
      </c>
      <c r="L114" s="89">
        <v>15877065</v>
      </c>
      <c r="M114" s="100">
        <v>1.5877065333418372E-2</v>
      </c>
      <c r="N114" s="100">
        <v>2.3815153377259266</v>
      </c>
      <c r="O114" s="45">
        <v>0.84000000000000008</v>
      </c>
      <c r="P114" s="82">
        <v>1.5877065333418372E-2</v>
      </c>
      <c r="Q114" s="82">
        <v>2.573943964348599E-2</v>
      </c>
      <c r="R114" s="82">
        <v>2.4096385542168676E-2</v>
      </c>
      <c r="S114" s="90">
        <v>1.62</v>
      </c>
      <c r="T114" s="37"/>
      <c r="U114" s="100">
        <v>0.44527616641431639</v>
      </c>
    </row>
    <row r="115" spans="1:21" x14ac:dyDescent="0.3">
      <c r="A115" s="69">
        <v>160</v>
      </c>
      <c r="B115" s="69">
        <v>180</v>
      </c>
      <c r="C115" s="91">
        <v>519627</v>
      </c>
      <c r="D115" s="91">
        <v>8832072340</v>
      </c>
      <c r="E115" s="82">
        <v>3.8904912081413959E-2</v>
      </c>
      <c r="F115" s="92">
        <v>169.96946540499243</v>
      </c>
      <c r="G115" s="45">
        <v>0.22499999999999998</v>
      </c>
      <c r="H115" s="60" t="str">
        <f t="shared" si="1"/>
        <v>(160, 180]</v>
      </c>
      <c r="I115" s="78">
        <v>0.12202199999999996</v>
      </c>
      <c r="J115" s="100">
        <v>4.7472551819982929E-3</v>
      </c>
      <c r="K115" s="100">
        <v>2.922854966133045E-3</v>
      </c>
      <c r="L115" s="89">
        <v>2922854</v>
      </c>
      <c r="M115" s="100">
        <v>2.9228540613799353E-3</v>
      </c>
      <c r="N115" s="100">
        <v>0.49679594226955853</v>
      </c>
      <c r="O115" s="45">
        <v>0.15749999999999997</v>
      </c>
      <c r="P115" s="82">
        <v>2.9228540613799353E-3</v>
      </c>
      <c r="Q115" s="82">
        <v>7.539038188475955E-3</v>
      </c>
      <c r="R115" s="82">
        <v>3.614457831325301E-2</v>
      </c>
      <c r="S115" s="90">
        <v>2.58</v>
      </c>
      <c r="T115" s="37"/>
      <c r="U115" s="100">
        <v>0.45612421386622082</v>
      </c>
    </row>
    <row r="116" spans="1:21" x14ac:dyDescent="0.3">
      <c r="A116" s="69">
        <v>180</v>
      </c>
      <c r="B116" s="69">
        <v>200</v>
      </c>
      <c r="C116" s="91">
        <v>500559</v>
      </c>
      <c r="D116" s="91">
        <v>9508456100</v>
      </c>
      <c r="E116" s="82">
        <v>3.7477274827059578E-2</v>
      </c>
      <c r="F116" s="92">
        <v>189.95675035310524</v>
      </c>
      <c r="G116" s="45">
        <v>0.19500000000000001</v>
      </c>
      <c r="H116" s="60" t="str">
        <f t="shared" si="1"/>
        <v>(180, 200]</v>
      </c>
      <c r="I116" s="78">
        <v>0.10575239999999998</v>
      </c>
      <c r="J116" s="100">
        <v>3.9633117584211347E-3</v>
      </c>
      <c r="K116" s="100">
        <v>2.4401859624825347E-3</v>
      </c>
      <c r="L116" s="89">
        <v>2440185</v>
      </c>
      <c r="M116" s="100">
        <v>2.440185051243886E-3</v>
      </c>
      <c r="N116" s="100">
        <v>0.46352962259451413</v>
      </c>
      <c r="O116" s="45">
        <v>0.13649999999999998</v>
      </c>
      <c r="P116" s="82">
        <v>2.440185051243886E-3</v>
      </c>
      <c r="Q116" s="82">
        <v>6.4951011623775295E-3</v>
      </c>
      <c r="R116" s="82">
        <v>0</v>
      </c>
      <c r="S116" s="90">
        <v>2.66</v>
      </c>
      <c r="T116" s="37"/>
      <c r="U116" s="100">
        <v>0.46526182882358769</v>
      </c>
    </row>
    <row r="117" spans="1:21" x14ac:dyDescent="0.3">
      <c r="A117" s="69">
        <v>200</v>
      </c>
      <c r="B117" s="69">
        <v>250</v>
      </c>
      <c r="C117" s="91">
        <v>1165700</v>
      </c>
      <c r="D117" s="91">
        <v>26176231540</v>
      </c>
      <c r="E117" s="82">
        <v>8.727694290963374E-2</v>
      </c>
      <c r="F117" s="92">
        <v>224.55375774212919</v>
      </c>
      <c r="G117" s="45">
        <v>0.3</v>
      </c>
      <c r="H117" s="60" t="str">
        <f t="shared" si="1"/>
        <v>(200, 250]</v>
      </c>
      <c r="I117" s="78">
        <v>0.16269599999999998</v>
      </c>
      <c r="J117" s="100">
        <v>1.419960950362577E-2</v>
      </c>
      <c r="K117" s="100">
        <v>8.7426096899539899E-3</v>
      </c>
      <c r="L117" s="89">
        <v>8742609</v>
      </c>
      <c r="M117" s="100">
        <v>8.7426091835947923E-3</v>
      </c>
      <c r="N117" s="100">
        <v>1.9631857446470589</v>
      </c>
      <c r="O117" s="45">
        <v>0.21</v>
      </c>
      <c r="P117" s="82">
        <v>8.7426091835947923E-3</v>
      </c>
      <c r="Q117" s="82">
        <v>1.8141927453548187E-2</v>
      </c>
      <c r="R117" s="82">
        <v>6.0240963855421686E-2</v>
      </c>
      <c r="S117" s="90">
        <v>2.08</v>
      </c>
      <c r="T117" s="37"/>
      <c r="U117" s="100">
        <v>0.47911332319836658</v>
      </c>
    </row>
    <row r="118" spans="1:21" x14ac:dyDescent="0.3">
      <c r="A118" s="69">
        <v>250</v>
      </c>
      <c r="B118" s="69">
        <v>300</v>
      </c>
      <c r="C118" s="91">
        <v>1026762</v>
      </c>
      <c r="D118" s="91">
        <v>28180089350</v>
      </c>
      <c r="E118" s="82">
        <v>7.6874537578949437E-2</v>
      </c>
      <c r="F118" s="92">
        <v>274.45590458158756</v>
      </c>
      <c r="G118" s="45">
        <v>5.3999999999999992E-2</v>
      </c>
      <c r="H118" s="60" t="str">
        <f t="shared" si="1"/>
        <v>(250, 300]</v>
      </c>
      <c r="I118" s="78">
        <v>2.928527999999999E-2</v>
      </c>
      <c r="J118" s="100">
        <v>2.2512923578700554E-3</v>
      </c>
      <c r="K118" s="100">
        <v>1.3861064543928766E-3</v>
      </c>
      <c r="L118" s="89">
        <v>1386106</v>
      </c>
      <c r="M118" s="100">
        <v>1.3861060291082267E-3</v>
      </c>
      <c r="N118" s="100">
        <v>0.38042498406489067</v>
      </c>
      <c r="O118" s="45">
        <v>3.7799999999999993E-2</v>
      </c>
      <c r="P118" s="82">
        <v>1.3861060291082267E-3</v>
      </c>
      <c r="Q118" s="82">
        <v>5.0921931273048282E-3</v>
      </c>
      <c r="R118" s="82">
        <v>2.4096385542168676E-2</v>
      </c>
      <c r="S118" s="90">
        <v>3.67</v>
      </c>
      <c r="T118" s="102"/>
      <c r="U118" s="100">
        <v>0.49589479128688968</v>
      </c>
    </row>
    <row r="119" spans="1:21" x14ac:dyDescent="0.3">
      <c r="A119" s="69">
        <v>300</v>
      </c>
      <c r="B119" s="69">
        <v>350</v>
      </c>
      <c r="C119" s="91">
        <v>890637</v>
      </c>
      <c r="D119" s="91">
        <v>28893976955</v>
      </c>
      <c r="E119" s="82">
        <v>6.66827439325791E-2</v>
      </c>
      <c r="F119" s="92">
        <v>324.41922977599182</v>
      </c>
      <c r="G119" s="45">
        <v>4.8000000000000001E-2</v>
      </c>
      <c r="H119" s="60" t="str">
        <f t="shared" si="1"/>
        <v>(300, 350]</v>
      </c>
      <c r="I119" s="78">
        <v>2.6031359999999996E-2</v>
      </c>
      <c r="J119" s="100">
        <v>1.7358425130967821E-3</v>
      </c>
      <c r="K119" s="100">
        <v>1.0687472476872677E-3</v>
      </c>
      <c r="L119" s="89">
        <v>1068747</v>
      </c>
      <c r="M119" s="100">
        <v>1.0687470224436874E-3</v>
      </c>
      <c r="N119" s="100">
        <v>0.34672208584656572</v>
      </c>
      <c r="O119" s="45">
        <v>3.3599999999999998E-2</v>
      </c>
      <c r="P119" s="82">
        <v>1.0687470224436874E-3</v>
      </c>
      <c r="Q119" s="82">
        <v>4.1641551041038775E-3</v>
      </c>
      <c r="R119" s="82">
        <v>1.2048192771084338E-2</v>
      </c>
      <c r="S119" s="90">
        <v>3.9</v>
      </c>
      <c r="T119" s="37"/>
      <c r="U119" s="100">
        <v>0.50967718085653457</v>
      </c>
    </row>
    <row r="120" spans="1:21" x14ac:dyDescent="0.3">
      <c r="A120" s="69">
        <v>350</v>
      </c>
      <c r="B120" s="69">
        <v>400</v>
      </c>
      <c r="C120" s="91">
        <v>765141</v>
      </c>
      <c r="D120" s="91">
        <v>28648734925</v>
      </c>
      <c r="E120" s="82">
        <v>5.7286752487621231E-2</v>
      </c>
      <c r="F120" s="92">
        <v>374.42425546402558</v>
      </c>
      <c r="G120" s="45">
        <v>5.0000000000000001E-3</v>
      </c>
      <c r="H120" s="60" t="str">
        <f t="shared" si="1"/>
        <v>(350, 400]</v>
      </c>
      <c r="I120" s="78">
        <v>2.7115999999999998E-3</v>
      </c>
      <c r="J120" s="100">
        <v>1.5533875804543373E-4</v>
      </c>
      <c r="K120" s="100">
        <v>9.5641090057205767E-5</v>
      </c>
      <c r="L120" s="89">
        <v>95641</v>
      </c>
      <c r="M120" s="100">
        <v>9.5641002008461039E-5</v>
      </c>
      <c r="N120" s="100">
        <v>3.58103109688514E-2</v>
      </c>
      <c r="O120" s="45">
        <v>3.4999999999999996E-3</v>
      </c>
      <c r="P120" s="82">
        <v>9.5641002008461039E-5</v>
      </c>
      <c r="Q120" s="82">
        <v>4.734770118369253E-4</v>
      </c>
      <c r="R120" s="82">
        <v>0</v>
      </c>
      <c r="S120" s="90">
        <v>4.95</v>
      </c>
      <c r="T120" s="37"/>
      <c r="U120" s="100">
        <v>0.52141424686719351</v>
      </c>
    </row>
    <row r="121" spans="1:21" x14ac:dyDescent="0.3">
      <c r="A121" s="69">
        <v>400</v>
      </c>
      <c r="B121" s="69">
        <v>450</v>
      </c>
      <c r="C121" s="91">
        <v>655533</v>
      </c>
      <c r="D121" s="91">
        <v>27818394850</v>
      </c>
      <c r="E121" s="82">
        <v>4.908030901293723E-2</v>
      </c>
      <c r="F121" s="92">
        <v>424.36299698108252</v>
      </c>
      <c r="G121" s="45">
        <v>3.3333333333333335E-3</v>
      </c>
      <c r="H121" s="60" t="str">
        <f t="shared" si="1"/>
        <v>(400, 450]</v>
      </c>
      <c r="I121" s="78">
        <v>1.8077333333333331E-3</v>
      </c>
      <c r="J121" s="100">
        <v>8.8724110612987045E-5</v>
      </c>
      <c r="K121" s="100">
        <v>5.4626873293915977E-5</v>
      </c>
      <c r="L121" s="89">
        <v>54626</v>
      </c>
      <c r="M121" s="100">
        <v>5.4626001147146026E-5</v>
      </c>
      <c r="N121" s="100">
        <v>2.3181253559894938E-2</v>
      </c>
      <c r="O121" s="45">
        <v>2.3333333333333335E-3</v>
      </c>
      <c r="P121" s="82">
        <v>5.4626001147146026E-5</v>
      </c>
      <c r="Q121" s="82">
        <v>4.2735301068382524E-4</v>
      </c>
      <c r="R121" s="82">
        <v>0</v>
      </c>
      <c r="S121" s="90">
        <v>7.82</v>
      </c>
      <c r="T121" s="37"/>
      <c r="U121" s="100">
        <v>0.53116771467993662</v>
      </c>
    </row>
    <row r="122" spans="1:21" x14ac:dyDescent="0.3">
      <c r="A122" s="69">
        <v>450</v>
      </c>
      <c r="B122" s="69">
        <v>500</v>
      </c>
      <c r="C122" s="91">
        <v>560281</v>
      </c>
      <c r="D122" s="91">
        <v>26577237665</v>
      </c>
      <c r="E122" s="82">
        <v>4.1948711375441795E-2</v>
      </c>
      <c r="F122" s="92">
        <v>474.35550491628311</v>
      </c>
      <c r="G122" s="45">
        <v>3.3333333333333335E-3</v>
      </c>
      <c r="H122" s="60" t="str">
        <f t="shared" si="1"/>
        <v>(450, 500]</v>
      </c>
      <c r="I122" s="78">
        <v>1.8077333333333331E-3</v>
      </c>
      <c r="J122" s="100">
        <v>7.5832083843765306E-5</v>
      </c>
      <c r="K122" s="100">
        <v>4.6689334016729206E-5</v>
      </c>
      <c r="L122" s="89">
        <v>46689</v>
      </c>
      <c r="M122" s="100">
        <v>4.6689000980469022E-5</v>
      </c>
      <c r="N122" s="100">
        <v>2.214718463412722E-2</v>
      </c>
      <c r="O122" s="45">
        <v>2.3333333333333335E-3</v>
      </c>
      <c r="P122" s="82">
        <v>4.6689000980469022E-5</v>
      </c>
      <c r="Q122" s="82">
        <v>3.8447000961175024E-4</v>
      </c>
      <c r="R122" s="82">
        <v>0</v>
      </c>
      <c r="S122" s="90">
        <v>8.23</v>
      </c>
      <c r="T122" s="37"/>
      <c r="U122" s="100">
        <v>0.53993864838765926</v>
      </c>
    </row>
    <row r="123" spans="1:21" x14ac:dyDescent="0.3">
      <c r="A123" s="69">
        <v>500</v>
      </c>
      <c r="B123" s="69">
        <v>550</v>
      </c>
      <c r="C123" s="91">
        <v>478425</v>
      </c>
      <c r="D123" s="91">
        <v>25087256455</v>
      </c>
      <c r="E123" s="82">
        <v>3.5820083564846464E-2</v>
      </c>
      <c r="F123" s="92">
        <v>524.37177101949101</v>
      </c>
      <c r="G123" s="45">
        <v>3.3333333333333335E-3</v>
      </c>
      <c r="H123" s="60" t="str">
        <f t="shared" si="1"/>
        <v>(500, 550]</v>
      </c>
      <c r="I123" s="78">
        <v>1.8077333333333331E-3</v>
      </c>
      <c r="J123" s="100">
        <v>6.4753159062958438E-5</v>
      </c>
      <c r="K123" s="100">
        <v>3.9868110157141985E-5</v>
      </c>
      <c r="L123" s="89">
        <v>39868</v>
      </c>
      <c r="M123" s="100">
        <v>3.9868000837228018E-5</v>
      </c>
      <c r="N123" s="100">
        <v>2.0905654206023805E-2</v>
      </c>
      <c r="O123" s="45">
        <v>2.3333333333333335E-3</v>
      </c>
      <c r="P123" s="82">
        <v>3.9868000837228018E-5</v>
      </c>
      <c r="Q123" s="82">
        <v>3.460800086520002E-4</v>
      </c>
      <c r="R123" s="82">
        <v>0</v>
      </c>
      <c r="S123" s="90">
        <v>8.68</v>
      </c>
      <c r="T123" s="37"/>
      <c r="U123" s="100">
        <v>0.54798421649816254</v>
      </c>
    </row>
    <row r="124" spans="1:21" x14ac:dyDescent="0.3">
      <c r="A124" s="69">
        <v>550</v>
      </c>
      <c r="B124" s="69">
        <v>600</v>
      </c>
      <c r="C124" s="91">
        <v>409136</v>
      </c>
      <c r="D124" s="91">
        <v>23501071195</v>
      </c>
      <c r="E124" s="82">
        <v>3.0632357651433396E-2</v>
      </c>
      <c r="F124" s="92">
        <v>574.40731676019709</v>
      </c>
      <c r="G124" s="45">
        <v>3.3333333333333335E-3</v>
      </c>
      <c r="H124" s="60" t="str">
        <f t="shared" si="1"/>
        <v>(550, 600]</v>
      </c>
      <c r="I124" s="78">
        <v>1.8077333333333331E-3</v>
      </c>
      <c r="J124" s="82">
        <v>5.5375134005084526E-5</v>
      </c>
      <c r="K124" s="82">
        <v>3.409411949052086E-5</v>
      </c>
      <c r="L124" s="89">
        <v>34094</v>
      </c>
      <c r="M124" s="82">
        <v>3.4094000715974015E-5</v>
      </c>
      <c r="N124" s="82">
        <v>1.9583843468882874E-2</v>
      </c>
      <c r="O124" s="45">
        <v>2.3333333333333335E-3</v>
      </c>
      <c r="P124" s="82">
        <v>3.4094000715974015E-5</v>
      </c>
      <c r="Q124" s="82">
        <v>3.1015400775385017E-4</v>
      </c>
      <c r="R124" s="82">
        <v>0</v>
      </c>
      <c r="S124" s="90">
        <v>9.1</v>
      </c>
      <c r="T124" s="37"/>
      <c r="U124" s="82">
        <v>0.55433683780878396</v>
      </c>
    </row>
    <row r="125" spans="1:21" x14ac:dyDescent="0.3">
      <c r="A125" s="69">
        <v>600</v>
      </c>
      <c r="B125" s="69">
        <v>650</v>
      </c>
      <c r="C125" s="91">
        <v>348904</v>
      </c>
      <c r="D125" s="91">
        <v>21784236745</v>
      </c>
      <c r="E125" s="82">
        <v>2.612273697258544E-2</v>
      </c>
      <c r="F125" s="92">
        <v>624.36190886318298</v>
      </c>
      <c r="G125" s="45">
        <v>3.3333333333333335E-3</v>
      </c>
      <c r="H125" s="60" t="str">
        <f t="shared" si="1"/>
        <v>(600, 650]</v>
      </c>
      <c r="I125" s="78">
        <v>1.8077333333333331E-3</v>
      </c>
      <c r="J125" s="82">
        <v>4.7222942383241778E-5</v>
      </c>
      <c r="K125" s="82">
        <v>2.9074866711119747E-5</v>
      </c>
      <c r="L125" s="89">
        <v>29074</v>
      </c>
      <c r="M125" s="82">
        <v>2.9074000610554013E-5</v>
      </c>
      <c r="N125" s="82">
        <v>1.8152698519494852E-2</v>
      </c>
      <c r="O125" s="45">
        <v>2.3333333333333335E-3</v>
      </c>
      <c r="P125" s="82">
        <v>2.9074000610554013E-5</v>
      </c>
      <c r="Q125" s="82">
        <v>2.7749600693740016E-4</v>
      </c>
      <c r="R125" s="82">
        <v>0</v>
      </c>
      <c r="S125" s="90">
        <v>9.5399999999999991</v>
      </c>
      <c r="T125" s="37"/>
      <c r="U125" s="82">
        <v>0.56015255402955211</v>
      </c>
    </row>
    <row r="126" spans="1:21" x14ac:dyDescent="0.3">
      <c r="A126" s="69">
        <v>650</v>
      </c>
      <c r="B126" s="69">
        <v>700</v>
      </c>
      <c r="C126" s="91">
        <v>299066</v>
      </c>
      <c r="D126" s="91">
        <v>20167888070</v>
      </c>
      <c r="E126" s="82">
        <v>2.2391323846798081E-2</v>
      </c>
      <c r="F126" s="92">
        <v>674.36245076337673</v>
      </c>
      <c r="G126" s="45">
        <v>3.3333333333333335E-3</v>
      </c>
      <c r="H126" s="60" t="str">
        <f t="shared" si="1"/>
        <v>(650, 700]</v>
      </c>
      <c r="I126" s="78">
        <v>1.8077333333333331E-3</v>
      </c>
      <c r="J126" s="82">
        <v>4.0477542495318448E-5</v>
      </c>
      <c r="K126" s="82">
        <v>2.4921766697509172E-5</v>
      </c>
      <c r="L126" s="89">
        <v>24921</v>
      </c>
      <c r="M126" s="82">
        <v>2.4921000523341011E-5</v>
      </c>
      <c r="N126" s="82">
        <v>1.6805786988395639E-2</v>
      </c>
      <c r="O126" s="45">
        <v>2.3333333333333335E-3</v>
      </c>
      <c r="P126" s="82">
        <v>2.4921000523341011E-5</v>
      </c>
      <c r="Q126" s="82">
        <v>2.4982700624567514E-4</v>
      </c>
      <c r="R126" s="82">
        <v>0</v>
      </c>
      <c r="S126" s="90">
        <v>10.02</v>
      </c>
      <c r="T126" s="37"/>
      <c r="U126" s="82">
        <v>0.56577541145018329</v>
      </c>
    </row>
    <row r="127" spans="1:21" x14ac:dyDescent="0.3">
      <c r="A127" s="69">
        <v>700</v>
      </c>
      <c r="B127" s="69">
        <v>750</v>
      </c>
      <c r="C127" s="91">
        <v>257143</v>
      </c>
      <c r="D127" s="91">
        <v>18626033505</v>
      </c>
      <c r="E127" s="82">
        <v>1.9252513451670197E-2</v>
      </c>
      <c r="F127" s="92">
        <v>724.3453450025861</v>
      </c>
      <c r="G127" s="45">
        <v>3.3333333333333335E-3</v>
      </c>
      <c r="H127" s="60" t="str">
        <f t="shared" si="1"/>
        <v>(700, 750]</v>
      </c>
      <c r="I127" s="78">
        <v>1.8077333333333331E-3</v>
      </c>
      <c r="J127" s="82">
        <v>3.4803410317032601E-5</v>
      </c>
      <c r="K127" s="82">
        <v>2.1428239431756203E-5</v>
      </c>
      <c r="L127" s="89">
        <v>21428</v>
      </c>
      <c r="M127" s="82">
        <v>2.142800044998801E-5</v>
      </c>
      <c r="N127" s="82">
        <v>1.5521272378662136E-2</v>
      </c>
      <c r="O127" s="45">
        <v>2.3333333333333335E-3</v>
      </c>
      <c r="P127" s="82">
        <v>2.142800044998801E-5</v>
      </c>
      <c r="Q127" s="82">
        <v>2.2392200559805014E-4</v>
      </c>
      <c r="R127" s="82">
        <v>0</v>
      </c>
      <c r="S127" s="90">
        <v>10.45</v>
      </c>
      <c r="T127" s="37"/>
      <c r="U127" s="82">
        <v>0.57041148553038556</v>
      </c>
    </row>
    <row r="128" spans="1:21" x14ac:dyDescent="0.3">
      <c r="A128" s="69">
        <v>750</v>
      </c>
      <c r="B128" s="69">
        <v>800</v>
      </c>
      <c r="C128" s="91">
        <v>221618</v>
      </c>
      <c r="D128" s="91">
        <v>17161453475</v>
      </c>
      <c r="E128" s="82">
        <v>1.6592726716777223E-2</v>
      </c>
      <c r="F128" s="92">
        <v>774.37092090895135</v>
      </c>
      <c r="G128" s="45">
        <v>3.3333333333333335E-3</v>
      </c>
      <c r="H128" s="60" t="str">
        <f t="shared" si="1"/>
        <v>(750, 800]</v>
      </c>
      <c r="I128" s="78">
        <v>1.8077333333333331E-3</v>
      </c>
      <c r="J128" s="82">
        <v>2.9995225176808741E-5</v>
      </c>
      <c r="K128" s="82">
        <v>1.8467870276021303E-5</v>
      </c>
      <c r="L128" s="89">
        <v>18467</v>
      </c>
      <c r="M128" s="82">
        <v>1.8467000387807009E-5</v>
      </c>
      <c r="N128" s="82">
        <v>1.4300308096732075E-2</v>
      </c>
      <c r="O128" s="45">
        <v>2.3333333333333335E-3</v>
      </c>
      <c r="P128" s="82">
        <v>1.8467000387807009E-5</v>
      </c>
      <c r="Q128" s="82">
        <v>2.0146700503667514E-4</v>
      </c>
      <c r="R128" s="82">
        <v>0</v>
      </c>
      <c r="S128" s="90">
        <v>10.91</v>
      </c>
      <c r="T128" s="37"/>
      <c r="U128" s="82">
        <v>0.57462227105111441</v>
      </c>
    </row>
    <row r="129" spans="1:21" x14ac:dyDescent="0.3">
      <c r="A129" s="69">
        <v>800</v>
      </c>
      <c r="B129" s="69">
        <v>850</v>
      </c>
      <c r="C129" s="91">
        <v>190331</v>
      </c>
      <c r="D129" s="91">
        <v>15690756525</v>
      </c>
      <c r="E129" s="82">
        <v>1.4250242618970146E-2</v>
      </c>
      <c r="F129" s="92">
        <v>824.39311121152105</v>
      </c>
      <c r="G129" s="45">
        <v>3.3333333333333335E-3</v>
      </c>
      <c r="H129" s="60" t="str">
        <f t="shared" si="1"/>
        <v>(800, 850]</v>
      </c>
      <c r="I129" s="78">
        <v>1.8077333333333331E-3</v>
      </c>
      <c r="J129" s="82">
        <v>2.5760638590399629E-5</v>
      </c>
      <c r="K129" s="82">
        <v>1.5860662119076117E-5</v>
      </c>
      <c r="L129" s="89">
        <v>15860</v>
      </c>
      <c r="M129" s="82">
        <v>1.5860000333060006E-5</v>
      </c>
      <c r="N129" s="82">
        <v>1.3074875018387099E-2</v>
      </c>
      <c r="O129" s="45">
        <v>2.3333333333333335E-3</v>
      </c>
      <c r="P129" s="82">
        <v>1.5860000333060006E-5</v>
      </c>
      <c r="Q129" s="82">
        <v>1.8110900452772511E-4</v>
      </c>
      <c r="R129" s="82">
        <v>0</v>
      </c>
      <c r="S129" s="90">
        <v>11.42</v>
      </c>
      <c r="T129" s="37"/>
      <c r="U129" s="82">
        <v>0.57819078708863703</v>
      </c>
    </row>
    <row r="130" spans="1:21" x14ac:dyDescent="0.3">
      <c r="A130" s="69">
        <v>850</v>
      </c>
      <c r="B130" s="69">
        <v>900</v>
      </c>
      <c r="C130" s="91">
        <v>165233</v>
      </c>
      <c r="D130" s="91">
        <v>14447963260</v>
      </c>
      <c r="E130" s="82">
        <v>1.2371134174991432E-2</v>
      </c>
      <c r="F130" s="92">
        <v>874.39937905866259</v>
      </c>
      <c r="G130" s="45">
        <v>3.3333333333333335E-3</v>
      </c>
      <c r="H130" s="60" t="str">
        <f t="shared" si="1"/>
        <v>(850, 900]</v>
      </c>
      <c r="I130" s="78">
        <v>1.8077333333333331E-3</v>
      </c>
      <c r="J130" s="82">
        <v>2.2363711619271176E-5</v>
      </c>
      <c r="K130" s="82">
        <v>1.3769195684997736E-5</v>
      </c>
      <c r="L130" s="93">
        <v>13769</v>
      </c>
      <c r="M130" s="82">
        <v>1.3769000289149006E-5</v>
      </c>
      <c r="N130" s="82">
        <v>1.2039605303090437E-2</v>
      </c>
      <c r="O130" s="45">
        <v>2.3333333333333335E-3</v>
      </c>
      <c r="P130" s="82">
        <v>1.3769000289149006E-5</v>
      </c>
      <c r="Q130" s="82">
        <v>1.6346100408652509E-4</v>
      </c>
      <c r="R130" s="82">
        <v>0</v>
      </c>
      <c r="S130" s="90">
        <v>11.87</v>
      </c>
      <c r="T130" s="37"/>
      <c r="U130" s="82">
        <v>0.58160603182602288</v>
      </c>
    </row>
    <row r="131" spans="1:21" x14ac:dyDescent="0.3">
      <c r="A131" s="69">
        <v>900</v>
      </c>
      <c r="B131" s="69">
        <v>950</v>
      </c>
      <c r="C131" s="91">
        <v>142742</v>
      </c>
      <c r="D131" s="91">
        <v>13196035120</v>
      </c>
      <c r="E131" s="82">
        <v>1.0687214021452294E-2</v>
      </c>
      <c r="F131" s="92">
        <v>924.46757926889074</v>
      </c>
      <c r="G131" s="45">
        <v>3.3333333333333335E-3</v>
      </c>
      <c r="H131" s="60" t="str">
        <f t="shared" si="1"/>
        <v>(900, 950]</v>
      </c>
      <c r="I131" s="78">
        <v>1.8077333333333331E-3</v>
      </c>
      <c r="J131" s="82">
        <v>1.9319633027046691E-5</v>
      </c>
      <c r="K131" s="82">
        <v>1.1894975764332469E-5</v>
      </c>
      <c r="L131" s="93">
        <v>11894</v>
      </c>
      <c r="M131" s="82">
        <v>1.1894000249774005E-5</v>
      </c>
      <c r="N131" s="82">
        <v>1.0995617618732157E-2</v>
      </c>
      <c r="O131" s="45">
        <v>2.3333333333333335E-3</v>
      </c>
      <c r="P131" s="82">
        <v>1.1894000249774005E-5</v>
      </c>
      <c r="Q131" s="82">
        <v>1.4801600370040009E-4</v>
      </c>
      <c r="R131" s="82">
        <v>0</v>
      </c>
      <c r="S131" s="90">
        <v>12.44</v>
      </c>
      <c r="T131" s="37"/>
      <c r="U131" s="82">
        <v>0.58509858428704342</v>
      </c>
    </row>
    <row r="132" spans="1:21" x14ac:dyDescent="0.3">
      <c r="A132" s="69">
        <v>950</v>
      </c>
      <c r="B132" s="69">
        <v>1000</v>
      </c>
      <c r="C132" s="91">
        <v>124020</v>
      </c>
      <c r="D132" s="91">
        <v>12085225970</v>
      </c>
      <c r="E132" s="82">
        <v>9.2854820791393802E-3</v>
      </c>
      <c r="F132" s="92">
        <v>974.45782696339302</v>
      </c>
      <c r="G132" s="45">
        <v>3.3333333333333335E-3</v>
      </c>
      <c r="H132" s="60" t="str">
        <f t="shared" si="1"/>
        <v>(950, 1000]</v>
      </c>
      <c r="I132" s="78">
        <v>1.8077333333333331E-3</v>
      </c>
      <c r="J132" s="82">
        <v>1.6785675470529559E-5</v>
      </c>
      <c r="K132" s="82">
        <v>1.0334834136361496E-5</v>
      </c>
      <c r="L132" s="93">
        <v>10334</v>
      </c>
      <c r="M132" s="82">
        <v>1.0334000217014005E-5</v>
      </c>
      <c r="N132" s="82">
        <v>1.0070047395310699E-2</v>
      </c>
      <c r="O132" s="45">
        <v>2.3333333333333335E-3</v>
      </c>
      <c r="P132" s="82">
        <v>1.0334000217014005E-5</v>
      </c>
      <c r="Q132" s="82">
        <v>1.3288400332210008E-4</v>
      </c>
      <c r="R132" s="82">
        <v>0</v>
      </c>
      <c r="S132" s="90">
        <v>12.86</v>
      </c>
      <c r="T132" s="37"/>
      <c r="U132" s="82">
        <v>0.58790730776309064</v>
      </c>
    </row>
    <row r="133" spans="1:21" x14ac:dyDescent="0.3">
      <c r="A133" s="69">
        <v>1000</v>
      </c>
      <c r="B133" s="69">
        <v>2000</v>
      </c>
      <c r="C133" s="91">
        <v>850635</v>
      </c>
      <c r="D133" s="91">
        <v>112397654425</v>
      </c>
      <c r="E133" s="82">
        <v>6.368776042887217E-2</v>
      </c>
      <c r="F133" s="92">
        <v>1321.3382287937834</v>
      </c>
      <c r="G133" s="45">
        <v>3.3333333333333335E-3</v>
      </c>
      <c r="H133" s="60" t="str">
        <f t="shared" si="1"/>
        <v>(1000, 2000]</v>
      </c>
      <c r="I133" s="78">
        <v>1.8077333333333331E-3</v>
      </c>
      <c r="J133" s="82">
        <v>1.1513048745261983E-4</v>
      </c>
      <c r="K133" s="82">
        <v>7.0885112365617323E-5</v>
      </c>
      <c r="L133" s="93">
        <v>70885</v>
      </c>
      <c r="M133" s="82">
        <v>7.0885001488585036E-5</v>
      </c>
      <c r="N133" s="82">
        <v>9.3663062314971651E-2</v>
      </c>
      <c r="O133" s="45">
        <v>2.3333333333333335E-3</v>
      </c>
      <c r="P133" s="82">
        <v>7.0885001488585036E-5</v>
      </c>
      <c r="Q133" s="82">
        <v>1.1697930292448257E-3</v>
      </c>
      <c r="R133" s="82">
        <v>0</v>
      </c>
      <c r="S133" s="90">
        <v>16.5</v>
      </c>
      <c r="T133" s="37"/>
      <c r="U133" s="82">
        <v>0.59869619235953719</v>
      </c>
    </row>
    <row r="134" spans="1:21" x14ac:dyDescent="0.3">
      <c r="A134" s="69">
        <v>2000</v>
      </c>
      <c r="B134" s="69">
        <v>3000</v>
      </c>
      <c r="C134" s="91">
        <v>119341</v>
      </c>
      <c r="D134" s="91">
        <v>28404013705</v>
      </c>
      <c r="E134" s="82">
        <v>8.9351613998272274E-3</v>
      </c>
      <c r="F134" s="92">
        <v>2380.071702516319</v>
      </c>
      <c r="G134" s="45">
        <v>3.3333333333333335E-3</v>
      </c>
      <c r="H134" s="60" t="str">
        <f t="shared" si="1"/>
        <v>(2000, 3000]</v>
      </c>
      <c r="I134" s="78">
        <v>1.8077333333333331E-3</v>
      </c>
      <c r="J134" s="82">
        <v>1.6152389101181004E-5</v>
      </c>
      <c r="K134" s="82">
        <v>9.9449237273626602E-6</v>
      </c>
      <c r="L134" s="93">
        <v>9944</v>
      </c>
      <c r="M134" s="82">
        <v>9.9440002088240046E-6</v>
      </c>
      <c r="N134" s="82">
        <v>2.3667433506838378E-2</v>
      </c>
      <c r="O134" s="45">
        <v>2.3333333333333335E-3</v>
      </c>
      <c r="P134" s="82">
        <v>9.9440002088240046E-6</v>
      </c>
      <c r="Q134" s="82">
        <v>2.7582200689555016E-4</v>
      </c>
      <c r="R134" s="82">
        <v>0</v>
      </c>
      <c r="S134" s="90">
        <v>27.74</v>
      </c>
      <c r="T134" s="37"/>
      <c r="U134" s="82">
        <v>0.59860977513435354</v>
      </c>
    </row>
    <row r="135" spans="1:21" x14ac:dyDescent="0.3">
      <c r="A135" s="69">
        <v>3000</v>
      </c>
      <c r="B135" s="69">
        <v>4000</v>
      </c>
      <c r="C135" s="91">
        <v>35102</v>
      </c>
      <c r="D135" s="91">
        <v>12029474040</v>
      </c>
      <c r="E135" s="82">
        <v>2.6281163678596236E-3</v>
      </c>
      <c r="F135" s="92">
        <v>3427.0053102387333</v>
      </c>
      <c r="G135" s="45">
        <v>3.3333333333333335E-3</v>
      </c>
      <c r="H135" s="60" t="str">
        <f t="shared" si="1"/>
        <v>(3000, 4000]</v>
      </c>
      <c r="I135" s="78">
        <v>1.8077333333333331E-3</v>
      </c>
      <c r="J135" s="82">
        <v>4.7509335620587698E-6</v>
      </c>
      <c r="K135" s="82">
        <v>2.925119721452679E-6</v>
      </c>
      <c r="L135" s="93">
        <v>2925</v>
      </c>
      <c r="M135" s="82">
        <v>2.9250000614250014E-6</v>
      </c>
      <c r="N135" s="82">
        <v>1.0023990742952101E-2</v>
      </c>
      <c r="O135" s="45">
        <v>2.3333333333333335E-3</v>
      </c>
      <c r="P135" s="82">
        <v>2.9250000614250014E-6</v>
      </c>
      <c r="Q135" s="82">
        <v>1.0459900261497507E-4</v>
      </c>
      <c r="R135" s="82">
        <v>0</v>
      </c>
      <c r="S135" s="90">
        <v>35.76</v>
      </c>
      <c r="T135" s="37"/>
      <c r="U135" s="82">
        <v>0.5718032900793858</v>
      </c>
    </row>
    <row r="136" spans="1:21" x14ac:dyDescent="0.3">
      <c r="A136" s="69">
        <v>4000</v>
      </c>
      <c r="B136" s="69">
        <v>5000</v>
      </c>
      <c r="C136" s="91">
        <v>17552</v>
      </c>
      <c r="D136" s="91">
        <v>7832008840</v>
      </c>
      <c r="E136" s="82">
        <v>1.3141330547738624E-3</v>
      </c>
      <c r="F136" s="92">
        <v>4462.1745897903374</v>
      </c>
      <c r="G136" s="45">
        <v>3.3333333333333335E-3</v>
      </c>
      <c r="H136" s="60" t="str">
        <f t="shared" si="1"/>
        <v>(4000, 5000]</v>
      </c>
      <c r="I136" s="78">
        <v>1.8077333333333331E-3</v>
      </c>
      <c r="J136" s="82">
        <v>2.37560212754987E-6</v>
      </c>
      <c r="K136" s="82">
        <v>1.4626431927222787E-6</v>
      </c>
      <c r="L136" s="93">
        <v>1462</v>
      </c>
      <c r="M136" s="82">
        <v>1.4620000307020006E-6</v>
      </c>
      <c r="N136" s="82">
        <v>6.5236993872711604E-3</v>
      </c>
      <c r="O136" s="45">
        <v>2.3333333333333335E-3</v>
      </c>
      <c r="P136" s="82">
        <v>1.4620000307020006E-6</v>
      </c>
      <c r="Q136" s="82">
        <v>5.2747001318675036E-5</v>
      </c>
      <c r="R136" s="82">
        <v>0</v>
      </c>
      <c r="S136" s="90">
        <v>36.08</v>
      </c>
      <c r="T136" s="37"/>
      <c r="U136" s="82">
        <v>0.53357712175811689</v>
      </c>
    </row>
    <row r="137" spans="1:21" x14ac:dyDescent="0.3">
      <c r="A137" s="69">
        <v>5000</v>
      </c>
      <c r="B137" s="69">
        <v>6000</v>
      </c>
      <c r="C137" s="91">
        <v>12722</v>
      </c>
      <c r="D137" s="91">
        <v>6971945490</v>
      </c>
      <c r="E137" s="82">
        <v>9.5250687801008867E-4</v>
      </c>
      <c r="F137" s="92">
        <v>5480.2275506995757</v>
      </c>
      <c r="G137" s="45">
        <v>0</v>
      </c>
      <c r="H137" s="60" t="str">
        <f t="shared" si="1"/>
        <v>(5000, 6000]</v>
      </c>
      <c r="I137" s="78">
        <v>0</v>
      </c>
      <c r="J137" s="82">
        <v>0</v>
      </c>
      <c r="K137" s="82">
        <v>0</v>
      </c>
      <c r="L137" s="93">
        <v>0</v>
      </c>
      <c r="M137" s="82">
        <v>0</v>
      </c>
      <c r="N137" s="82">
        <v>0</v>
      </c>
      <c r="O137" s="45">
        <v>0</v>
      </c>
      <c r="P137" s="82">
        <v>0</v>
      </c>
      <c r="Q137" s="82">
        <v>3.3335000833375021E-5</v>
      </c>
      <c r="R137" s="82">
        <v>0</v>
      </c>
      <c r="S137" s="90">
        <v>0</v>
      </c>
      <c r="T137" s="37"/>
      <c r="U137" s="82">
        <v>0.50684342931154724</v>
      </c>
    </row>
    <row r="138" spans="1:21" x14ac:dyDescent="0.3">
      <c r="A138" s="69">
        <v>6000</v>
      </c>
      <c r="B138" s="69">
        <v>7000</v>
      </c>
      <c r="C138" s="91">
        <v>10710</v>
      </c>
      <c r="D138" s="91">
        <v>6952573520</v>
      </c>
      <c r="E138" s="82">
        <v>8.0186673978054155E-4</v>
      </c>
      <c r="F138" s="92">
        <v>6491.665284780579</v>
      </c>
      <c r="G138" s="45">
        <v>0</v>
      </c>
      <c r="H138" s="60" t="str">
        <f t="shared" si="1"/>
        <v>(6000, 7000]</v>
      </c>
      <c r="I138" s="78">
        <v>0</v>
      </c>
      <c r="J138" s="82">
        <v>0</v>
      </c>
      <c r="K138" s="82">
        <v>0</v>
      </c>
      <c r="L138" s="93">
        <v>0</v>
      </c>
      <c r="M138" s="82">
        <v>0</v>
      </c>
      <c r="N138" s="82">
        <v>0</v>
      </c>
      <c r="O138" s="45">
        <v>0</v>
      </c>
      <c r="P138" s="82">
        <v>0</v>
      </c>
      <c r="Q138" s="82">
        <v>2.4351000608775015E-5</v>
      </c>
      <c r="R138" s="82">
        <v>0</v>
      </c>
      <c r="S138" s="90">
        <v>0</v>
      </c>
      <c r="T138" s="37"/>
      <c r="U138" s="82">
        <v>0.49768341505105479</v>
      </c>
    </row>
    <row r="139" spans="1:21" x14ac:dyDescent="0.3">
      <c r="A139" s="69">
        <v>7000</v>
      </c>
      <c r="B139" s="69">
        <v>8000</v>
      </c>
      <c r="C139" s="91">
        <v>9675</v>
      </c>
      <c r="D139" s="91">
        <v>7245136075</v>
      </c>
      <c r="E139" s="82">
        <v>7.2437541618830439E-4</v>
      </c>
      <c r="F139" s="92">
        <v>7488.5127390180878</v>
      </c>
      <c r="G139" s="45">
        <v>0</v>
      </c>
      <c r="H139" s="60" t="str">
        <f t="shared" si="1"/>
        <v>(7000, 8000]</v>
      </c>
      <c r="I139" s="78">
        <v>0</v>
      </c>
      <c r="J139" s="82">
        <v>0</v>
      </c>
      <c r="K139" s="82">
        <v>0</v>
      </c>
      <c r="L139" s="93">
        <v>0</v>
      </c>
      <c r="M139" s="82">
        <v>0</v>
      </c>
      <c r="N139" s="82">
        <v>0</v>
      </c>
      <c r="O139" s="45">
        <v>0</v>
      </c>
      <c r="P139" s="82">
        <v>0</v>
      </c>
      <c r="Q139" s="82">
        <v>2.0013000500325011E-5</v>
      </c>
      <c r="R139" s="82">
        <v>0</v>
      </c>
      <c r="S139" s="90">
        <v>0</v>
      </c>
      <c r="T139" s="37"/>
      <c r="U139" s="82">
        <v>0.49755258190080021</v>
      </c>
    </row>
    <row r="140" spans="1:21" x14ac:dyDescent="0.3">
      <c r="A140" s="69">
        <v>8000</v>
      </c>
      <c r="B140" s="69">
        <v>9000</v>
      </c>
      <c r="C140" s="91">
        <v>8807</v>
      </c>
      <c r="D140" s="91">
        <v>7479169640</v>
      </c>
      <c r="E140" s="82">
        <v>6.5938752355249573E-4</v>
      </c>
      <c r="F140" s="92">
        <v>8492.3011695242421</v>
      </c>
      <c r="G140" s="45">
        <v>0</v>
      </c>
      <c r="H140" s="60" t="str">
        <f t="shared" si="1"/>
        <v>(8000, 9000]</v>
      </c>
      <c r="I140" s="78">
        <v>0</v>
      </c>
      <c r="J140" s="82">
        <v>0</v>
      </c>
      <c r="K140" s="82">
        <v>0</v>
      </c>
      <c r="L140" s="93">
        <v>0</v>
      </c>
      <c r="M140" s="82">
        <v>0</v>
      </c>
      <c r="N140" s="82">
        <v>0</v>
      </c>
      <c r="O140" s="45">
        <v>0</v>
      </c>
      <c r="P140" s="82">
        <v>0</v>
      </c>
      <c r="Q140" s="82">
        <v>1.7986000449650012E-5</v>
      </c>
      <c r="R140" s="82">
        <v>0</v>
      </c>
      <c r="S140" s="90">
        <v>0</v>
      </c>
      <c r="T140" s="37"/>
      <c r="U140" s="82">
        <v>0.50538824918807201</v>
      </c>
    </row>
    <row r="141" spans="1:21" x14ac:dyDescent="0.3">
      <c r="A141" s="69">
        <v>9000</v>
      </c>
      <c r="B141" s="69">
        <v>10000</v>
      </c>
      <c r="C141" s="91">
        <v>7932</v>
      </c>
      <c r="D141" s="91">
        <v>7529399725</v>
      </c>
      <c r="E141" s="82">
        <v>5.9387553500833386E-4</v>
      </c>
      <c r="F141" s="92">
        <v>9492.4353567826529</v>
      </c>
      <c r="G141" s="45">
        <v>0</v>
      </c>
      <c r="H141" s="60" t="str">
        <f t="shared" si="1"/>
        <v>(9000, 10000]</v>
      </c>
      <c r="I141" s="78">
        <v>0</v>
      </c>
      <c r="J141" s="82">
        <v>0</v>
      </c>
      <c r="K141" s="82">
        <v>0</v>
      </c>
      <c r="L141" s="93">
        <v>0</v>
      </c>
      <c r="M141" s="82">
        <v>0</v>
      </c>
      <c r="N141" s="82">
        <v>0</v>
      </c>
      <c r="O141" s="45">
        <v>0</v>
      </c>
      <c r="P141" s="82">
        <v>0</v>
      </c>
      <c r="Q141" s="82">
        <v>1.650800041270001E-5</v>
      </c>
      <c r="R141" s="82">
        <v>0</v>
      </c>
      <c r="S141" s="90">
        <v>0</v>
      </c>
      <c r="T141" s="37"/>
      <c r="U141" s="82">
        <v>0.50688905747032165</v>
      </c>
    </row>
    <row r="142" spans="1:21" x14ac:dyDescent="0.3">
      <c r="A142" s="69">
        <v>10000</v>
      </c>
      <c r="B142" s="69">
        <v>20000</v>
      </c>
      <c r="C142" s="91">
        <v>48185</v>
      </c>
      <c r="D142" s="91">
        <v>67839372830</v>
      </c>
      <c r="E142" s="82">
        <v>3.6076516205719323E-3</v>
      </c>
      <c r="F142" s="92">
        <v>14078.940091314726</v>
      </c>
      <c r="G142" s="45">
        <v>5.0000000000000001E-3</v>
      </c>
      <c r="H142" s="60" t="str">
        <f t="shared" si="1"/>
        <v>(10000, 20000]</v>
      </c>
      <c r="I142" s="78">
        <v>2.7115999999999998E-3</v>
      </c>
      <c r="J142" s="82">
        <v>9.782508134342851E-6</v>
      </c>
      <c r="K142" s="82">
        <v>6.0230283364849866E-6</v>
      </c>
      <c r="L142" s="93">
        <v>6023</v>
      </c>
      <c r="M142" s="82">
        <v>6.0230001264830023E-6</v>
      </c>
      <c r="N142" s="82">
        <v>8.4797457950735206E-2</v>
      </c>
      <c r="O142" s="5">
        <v>3.4999999999999996E-3</v>
      </c>
      <c r="P142" s="82">
        <v>6.0230001264830023E-6</v>
      </c>
      <c r="Q142" s="82">
        <v>1.2316600307915007E-4</v>
      </c>
      <c r="R142" s="82">
        <v>0</v>
      </c>
      <c r="S142" s="90">
        <v>20.45</v>
      </c>
      <c r="T142" s="102"/>
      <c r="U142" s="82">
        <v>0.53430923448139311</v>
      </c>
    </row>
    <row r="143" spans="1:21" x14ac:dyDescent="0.3">
      <c r="A143" s="69">
        <v>20000</v>
      </c>
      <c r="B143" s="69">
        <v>30000</v>
      </c>
      <c r="C143" s="91">
        <v>14212</v>
      </c>
      <c r="D143" s="91">
        <v>34063009975</v>
      </c>
      <c r="E143" s="82">
        <v>1.06406443564529E-3</v>
      </c>
      <c r="F143" s="92">
        <v>23967.780731072333</v>
      </c>
      <c r="G143" s="45">
        <v>0</v>
      </c>
      <c r="H143" s="60" t="str">
        <f t="shared" si="1"/>
        <v>(20000, 30000]</v>
      </c>
      <c r="I143" s="78">
        <v>0</v>
      </c>
      <c r="J143" s="82">
        <v>0</v>
      </c>
      <c r="K143" s="82">
        <v>0</v>
      </c>
      <c r="L143" s="93">
        <v>0</v>
      </c>
      <c r="M143" s="82">
        <v>0</v>
      </c>
      <c r="N143" s="82">
        <v>0</v>
      </c>
      <c r="O143" s="45">
        <v>0</v>
      </c>
      <c r="P143" s="82">
        <v>0</v>
      </c>
      <c r="Q143" s="82">
        <v>0</v>
      </c>
      <c r="R143" s="82">
        <v>0</v>
      </c>
      <c r="S143" s="90">
        <v>0</v>
      </c>
      <c r="T143" s="37"/>
      <c r="U143" s="82">
        <v>0.5714717606485421</v>
      </c>
    </row>
    <row r="144" spans="1:21" x14ac:dyDescent="0.3">
      <c r="A144" s="69">
        <v>30000</v>
      </c>
      <c r="B144" s="69">
        <v>40000</v>
      </c>
      <c r="C144" s="91">
        <v>3788</v>
      </c>
      <c r="D144" s="91">
        <v>12848313455</v>
      </c>
      <c r="E144" s="82">
        <v>2.8361075726318315E-4</v>
      </c>
      <c r="F144" s="92">
        <v>33918.462130411826</v>
      </c>
      <c r="G144" s="45">
        <v>0</v>
      </c>
      <c r="H144" s="60" t="str">
        <f t="shared" si="1"/>
        <v>(30000, 40000]</v>
      </c>
      <c r="I144" s="78">
        <v>0</v>
      </c>
      <c r="J144" s="82">
        <v>0</v>
      </c>
      <c r="K144" s="82">
        <v>0</v>
      </c>
      <c r="L144" s="93">
        <v>0</v>
      </c>
      <c r="M144" s="82">
        <v>0</v>
      </c>
      <c r="N144" s="82">
        <v>0</v>
      </c>
      <c r="O144" s="45">
        <v>0</v>
      </c>
      <c r="P144" s="82">
        <v>0</v>
      </c>
      <c r="Q144" s="82">
        <v>0</v>
      </c>
      <c r="R144" s="82">
        <v>0</v>
      </c>
      <c r="S144" s="90">
        <v>0</v>
      </c>
      <c r="T144" s="37"/>
      <c r="U144" s="82">
        <v>0.5848011246175473</v>
      </c>
    </row>
    <row r="145" spans="1:21" x14ac:dyDescent="0.3">
      <c r="A145" s="69">
        <v>40000</v>
      </c>
      <c r="B145" s="69">
        <v>50000</v>
      </c>
      <c r="C145" s="91">
        <v>1035</v>
      </c>
      <c r="D145" s="91">
        <v>4548080825</v>
      </c>
      <c r="E145" s="82">
        <v>7.7491323592237215E-5</v>
      </c>
      <c r="F145" s="92">
        <v>43942.809903381647</v>
      </c>
      <c r="G145" s="45">
        <v>0</v>
      </c>
      <c r="H145" s="60" t="str">
        <f t="shared" si="1"/>
        <v>(40000, 50000]</v>
      </c>
      <c r="I145" s="78">
        <v>0</v>
      </c>
      <c r="J145" s="82">
        <v>0</v>
      </c>
      <c r="K145" s="82">
        <v>0</v>
      </c>
      <c r="L145" s="93">
        <v>0</v>
      </c>
      <c r="M145" s="82">
        <v>0</v>
      </c>
      <c r="N145" s="82">
        <v>0</v>
      </c>
      <c r="O145" s="45">
        <v>0</v>
      </c>
      <c r="P145" s="82">
        <v>0</v>
      </c>
      <c r="Q145" s="82">
        <v>0</v>
      </c>
      <c r="R145" s="82">
        <v>0</v>
      </c>
      <c r="S145" s="90">
        <v>0</v>
      </c>
      <c r="T145" s="37"/>
      <c r="U145" s="82">
        <v>0.59034690799396683</v>
      </c>
    </row>
    <row r="146" spans="1:21" x14ac:dyDescent="0.3">
      <c r="A146" s="69">
        <v>50000</v>
      </c>
      <c r="B146" s="69">
        <v>60000</v>
      </c>
      <c r="C146" s="91">
        <v>329</v>
      </c>
      <c r="D146" s="91">
        <v>1790316875</v>
      </c>
      <c r="E146" s="82">
        <v>2.4632507692604873E-5</v>
      </c>
      <c r="F146" s="92">
        <v>54416.926291793316</v>
      </c>
      <c r="G146" s="45">
        <v>0</v>
      </c>
      <c r="H146" s="60" t="str">
        <f t="shared" si="1"/>
        <v>(50000, 60000]</v>
      </c>
      <c r="I146" s="78">
        <v>0</v>
      </c>
      <c r="J146" s="82">
        <v>0</v>
      </c>
      <c r="K146" s="82">
        <v>0</v>
      </c>
      <c r="L146" s="93">
        <v>0</v>
      </c>
      <c r="M146" s="82">
        <v>0</v>
      </c>
      <c r="N146" s="82">
        <v>0</v>
      </c>
      <c r="O146" s="45">
        <v>0</v>
      </c>
      <c r="P146" s="82">
        <v>0</v>
      </c>
      <c r="Q146" s="82">
        <v>0</v>
      </c>
      <c r="R146" s="82">
        <v>0</v>
      </c>
      <c r="S146" s="90">
        <v>0</v>
      </c>
      <c r="T146" s="37"/>
      <c r="U146" s="82">
        <v>0.56178435114503822</v>
      </c>
    </row>
    <row r="147" spans="1:21" x14ac:dyDescent="0.3">
      <c r="A147" s="69">
        <v>60000</v>
      </c>
      <c r="B147" s="69">
        <v>70000</v>
      </c>
      <c r="C147" s="91">
        <v>215</v>
      </c>
      <c r="D147" s="91">
        <v>1386330070</v>
      </c>
      <c r="E147" s="82">
        <v>1.6097231470851209E-5</v>
      </c>
      <c r="F147" s="92">
        <v>64480.468372093019</v>
      </c>
      <c r="G147" s="45">
        <v>0</v>
      </c>
      <c r="H147" s="60" t="str">
        <f t="shared" si="1"/>
        <v>(60000, 70000]</v>
      </c>
      <c r="I147" s="78">
        <v>0</v>
      </c>
      <c r="J147" s="82">
        <v>0</v>
      </c>
      <c r="K147" s="82">
        <v>0</v>
      </c>
      <c r="L147" s="93">
        <v>0</v>
      </c>
      <c r="M147" s="82">
        <v>0</v>
      </c>
      <c r="N147" s="82">
        <v>0</v>
      </c>
      <c r="O147" s="45">
        <v>0</v>
      </c>
      <c r="P147" s="82">
        <v>0</v>
      </c>
      <c r="Q147" s="82">
        <v>0</v>
      </c>
      <c r="R147" s="82">
        <v>0</v>
      </c>
      <c r="S147" s="90">
        <v>0</v>
      </c>
      <c r="T147" s="37"/>
      <c r="U147" s="82">
        <v>0.55228758169934644</v>
      </c>
    </row>
    <row r="148" spans="1:21" x14ac:dyDescent="0.3">
      <c r="A148" s="69">
        <v>70000</v>
      </c>
      <c r="B148" s="69">
        <v>80000</v>
      </c>
      <c r="C148" s="91">
        <v>83</v>
      </c>
      <c r="D148" s="91">
        <v>616536055</v>
      </c>
      <c r="E148" s="82">
        <v>6.2142800561890709E-6</v>
      </c>
      <c r="F148" s="92">
        <v>74281.452409638558</v>
      </c>
      <c r="G148" s="45">
        <v>0</v>
      </c>
      <c r="H148" s="60" t="str">
        <f t="shared" si="1"/>
        <v>(70000, 80000]</v>
      </c>
      <c r="I148" s="78">
        <v>0</v>
      </c>
      <c r="J148" s="82">
        <v>0</v>
      </c>
      <c r="K148" s="82">
        <v>0</v>
      </c>
      <c r="L148" s="93">
        <v>0</v>
      </c>
      <c r="M148" s="82">
        <v>0</v>
      </c>
      <c r="N148" s="82">
        <v>0</v>
      </c>
      <c r="O148" s="45">
        <v>0</v>
      </c>
      <c r="P148" s="82">
        <v>0</v>
      </c>
      <c r="Q148" s="82">
        <v>0</v>
      </c>
      <c r="R148" s="82">
        <v>0</v>
      </c>
      <c r="S148" s="90">
        <v>0</v>
      </c>
      <c r="T148" s="37"/>
      <c r="U148" s="82">
        <v>0.58650190114068446</v>
      </c>
    </row>
    <row r="149" spans="1:21" x14ac:dyDescent="0.3">
      <c r="A149" s="69">
        <v>80000</v>
      </c>
      <c r="B149" s="69">
        <v>90000</v>
      </c>
      <c r="C149" s="91">
        <v>26</v>
      </c>
      <c r="D149" s="91">
        <v>216739195</v>
      </c>
      <c r="E149" s="82">
        <v>1.9466419453122389E-6</v>
      </c>
      <c r="F149" s="92">
        <v>83361.228846153856</v>
      </c>
      <c r="G149" s="45">
        <v>0</v>
      </c>
      <c r="H149" s="60" t="str">
        <f t="shared" si="1"/>
        <v>(80000, 90000]</v>
      </c>
      <c r="I149" s="78">
        <v>0</v>
      </c>
      <c r="J149" s="82">
        <v>0</v>
      </c>
      <c r="K149" s="82">
        <v>0</v>
      </c>
      <c r="L149" s="93">
        <v>0</v>
      </c>
      <c r="M149" s="82">
        <v>0</v>
      </c>
      <c r="N149" s="82">
        <v>0</v>
      </c>
      <c r="O149" s="45">
        <v>0</v>
      </c>
      <c r="P149" s="82">
        <v>0</v>
      </c>
      <c r="Q149" s="82">
        <v>0</v>
      </c>
      <c r="R149" s="82">
        <v>0</v>
      </c>
      <c r="S149" s="90">
        <v>0</v>
      </c>
      <c r="T149" s="37"/>
      <c r="U149" s="82">
        <v>0.63975155279503104</v>
      </c>
    </row>
    <row r="150" spans="1:21" x14ac:dyDescent="0.3">
      <c r="A150" s="69">
        <v>90000</v>
      </c>
      <c r="B150" s="69">
        <v>100000</v>
      </c>
      <c r="C150" s="91">
        <v>15</v>
      </c>
      <c r="D150" s="91">
        <v>138944095</v>
      </c>
      <c r="E150" s="82">
        <v>1.1230626607570611E-6</v>
      </c>
      <c r="F150" s="92">
        <v>92629.396666666667</v>
      </c>
      <c r="G150" s="45">
        <v>0</v>
      </c>
      <c r="H150" s="60" t="str">
        <f t="shared" si="1"/>
        <v>(90000, 100000]</v>
      </c>
      <c r="I150" s="78">
        <v>0</v>
      </c>
      <c r="J150" s="82">
        <v>0</v>
      </c>
      <c r="K150" s="82">
        <v>0</v>
      </c>
      <c r="L150" s="93">
        <v>0</v>
      </c>
      <c r="M150" s="82">
        <v>0</v>
      </c>
      <c r="N150" s="82">
        <v>0</v>
      </c>
      <c r="O150" s="45">
        <v>0</v>
      </c>
      <c r="P150" s="82">
        <v>0</v>
      </c>
      <c r="Q150" s="82">
        <v>0</v>
      </c>
      <c r="R150" s="82">
        <v>0</v>
      </c>
      <c r="S150" s="90">
        <v>0</v>
      </c>
      <c r="T150" s="37"/>
      <c r="U150" s="82">
        <v>0.63</v>
      </c>
    </row>
    <row r="151" spans="1:21" x14ac:dyDescent="0.3">
      <c r="A151" s="69">
        <v>100000</v>
      </c>
      <c r="B151" s="69">
        <v>9999999</v>
      </c>
      <c r="C151" s="91">
        <v>66</v>
      </c>
      <c r="D151" s="91">
        <v>817933950</v>
      </c>
      <c r="E151" s="82">
        <v>4.9414757073310689E-6</v>
      </c>
      <c r="F151" s="92">
        <v>123929.38636363637</v>
      </c>
      <c r="G151" s="45">
        <v>0</v>
      </c>
      <c r="H151" s="60" t="str">
        <f t="shared" si="1"/>
        <v>(100000, 9999999]</v>
      </c>
      <c r="I151" s="78">
        <v>0</v>
      </c>
      <c r="J151" s="82">
        <v>0</v>
      </c>
      <c r="K151" s="82">
        <v>0</v>
      </c>
      <c r="L151" s="93">
        <v>0</v>
      </c>
      <c r="M151" s="82">
        <v>0</v>
      </c>
      <c r="N151" s="82">
        <v>0</v>
      </c>
      <c r="O151" s="45">
        <v>0</v>
      </c>
      <c r="P151" s="82">
        <v>0</v>
      </c>
      <c r="Q151" s="82">
        <v>0</v>
      </c>
      <c r="R151" s="82">
        <v>0</v>
      </c>
      <c r="S151" s="90">
        <v>0</v>
      </c>
      <c r="T151" s="37"/>
      <c r="U151" s="82">
        <v>0.50990099009900991</v>
      </c>
    </row>
    <row r="152" spans="1:21" x14ac:dyDescent="0.3">
      <c r="A152" s="17"/>
      <c r="B152" s="6"/>
      <c r="C152" s="1"/>
      <c r="D152" s="1"/>
      <c r="E152" s="1"/>
      <c r="F152" s="1"/>
      <c r="H152" s="2"/>
      <c r="I152" s="6"/>
      <c r="J152" s="6"/>
      <c r="K152" s="6">
        <f>1/K80</f>
        <v>238.34106988446175</v>
      </c>
      <c r="L152" s="18"/>
      <c r="M152" s="6"/>
      <c r="N152" s="6"/>
    </row>
    <row r="153" spans="1:21" x14ac:dyDescent="0.3">
      <c r="A153" s="6"/>
      <c r="D153" s="41"/>
      <c r="E153" s="1"/>
      <c r="F153" s="1"/>
      <c r="H153" s="2"/>
      <c r="I153" s="6"/>
      <c r="J153" s="6"/>
      <c r="K153" s="6"/>
      <c r="L153" s="6"/>
      <c r="M153" s="6"/>
      <c r="N153" s="6"/>
    </row>
    <row r="154" spans="1:21" s="67" customFormat="1" x14ac:dyDescent="0.3">
      <c r="A154" s="104" t="s">
        <v>101</v>
      </c>
      <c r="B154" s="104"/>
      <c r="C154" s="104"/>
      <c r="D154" s="104"/>
      <c r="E154" s="62"/>
      <c r="F154" s="62"/>
      <c r="G154" s="63"/>
      <c r="H154" s="64"/>
      <c r="I154" s="65"/>
      <c r="J154" s="66"/>
      <c r="K154" s="66"/>
      <c r="L154" s="66"/>
      <c r="M154" s="66"/>
      <c r="N154" s="66"/>
      <c r="O154" s="63"/>
    </row>
    <row r="155" spans="1:21" x14ac:dyDescent="0.3">
      <c r="A155" s="6"/>
      <c r="B155" s="6"/>
      <c r="C155" s="1"/>
      <c r="D155" s="1"/>
      <c r="E155" s="1"/>
      <c r="F155" s="1"/>
      <c r="H155" s="2"/>
      <c r="I155" s="6"/>
      <c r="J155" s="6"/>
      <c r="K155" s="6"/>
      <c r="L155" s="6"/>
      <c r="M155" s="6"/>
      <c r="N155" s="6"/>
    </row>
    <row r="156" spans="1:21" x14ac:dyDescent="0.3">
      <c r="A156" s="20" t="s">
        <v>21</v>
      </c>
      <c r="B156" s="77">
        <v>1000000000</v>
      </c>
      <c r="C156" s="1"/>
      <c r="D156" s="1"/>
      <c r="E156" s="1"/>
      <c r="F156" s="1"/>
      <c r="H156" s="20" t="s">
        <v>22</v>
      </c>
      <c r="I156" s="6"/>
      <c r="J156" s="6"/>
      <c r="K156" s="6"/>
      <c r="L156" s="6"/>
      <c r="M156" s="6"/>
      <c r="N156" s="6"/>
    </row>
    <row r="157" spans="1:21" x14ac:dyDescent="0.3">
      <c r="A157" s="52" t="s">
        <v>4</v>
      </c>
      <c r="B157" s="52" t="s">
        <v>5</v>
      </c>
      <c r="C157" s="52" t="s">
        <v>17</v>
      </c>
      <c r="D157" s="52" t="s">
        <v>18</v>
      </c>
      <c r="E157" s="52" t="s">
        <v>19</v>
      </c>
      <c r="F157" s="52" t="s">
        <v>29</v>
      </c>
      <c r="H157" s="52" t="s">
        <v>7</v>
      </c>
      <c r="I157" s="52" t="s">
        <v>9</v>
      </c>
      <c r="J157" s="52" t="s">
        <v>10</v>
      </c>
      <c r="K157" s="52" t="s">
        <v>11</v>
      </c>
      <c r="L157" s="52" t="s">
        <v>12</v>
      </c>
      <c r="M157" s="52" t="s">
        <v>13</v>
      </c>
      <c r="N157" s="52" t="s">
        <v>6</v>
      </c>
      <c r="P157" s="72" t="s">
        <v>99</v>
      </c>
      <c r="Q157" s="72" t="s">
        <v>100</v>
      </c>
      <c r="R157" s="72" t="s">
        <v>96</v>
      </c>
      <c r="S157" s="72" t="s">
        <v>26</v>
      </c>
    </row>
    <row r="158" spans="1:21" x14ac:dyDescent="0.3">
      <c r="A158" s="16">
        <v>-1</v>
      </c>
      <c r="B158" s="16">
        <v>0</v>
      </c>
      <c r="C158" s="36" cm="1">
        <f t="array" ref="C158:D221">C16:D79</f>
        <v>738977283</v>
      </c>
      <c r="D158" s="36">
        <v>0</v>
      </c>
      <c r="E158" s="19" cm="1">
        <f t="array" ref="E158:E221">_xlfn.LET(_xlpm.x, C158:C221, _xlpm.x/SUM(_xlpm.x))</f>
        <v>0.74898553783658517</v>
      </c>
      <c r="F158" s="33" cm="1">
        <f t="array" ref="F158:F222">_xlfn.LET(_xlpm.x, D158:D222/C158:C222/B3, IF(ISERR(_xlpm.x), 0, _xlpm.x))</f>
        <v>0</v>
      </c>
      <c r="G158" s="5">
        <v>9.9999999999999995E-7</v>
      </c>
      <c r="H158" s="60" t="str">
        <f t="shared" ref="H158:H221" si="2">"("&amp;$A158&amp;", "&amp;$B158&amp;"]"</f>
        <v>(-1, 0]</v>
      </c>
      <c r="I158" s="78">
        <v>0.97</v>
      </c>
      <c r="J158" s="82" cm="1">
        <f t="array" ref="J158:J222">E158:E222*I158:I222</f>
        <v>0.72651597170148763</v>
      </c>
      <c r="K158" s="82" cm="1">
        <f t="array" ref="K158:K221">J158:J221/SUM(_xlfn.ANCHORARRAY(J158))</f>
        <v>0.71399300744205052</v>
      </c>
      <c r="L158" s="89" cm="1">
        <f t="array" ref="L158:L222">INT(K158:K222*$B$2)</f>
        <v>713993007</v>
      </c>
      <c r="M158" s="82" cm="1">
        <f t="array" ref="M158:M222">_xlfn.LET(_xlpm.x, L158:L222, _xlpm.x/SUM(_xlpm.x))</f>
        <v>0.71373492687405671</v>
      </c>
      <c r="N158" s="82" cm="1">
        <f t="array" ref="N158:N222">M158:M222*F158:F222</f>
        <v>0</v>
      </c>
      <c r="O158" s="45"/>
      <c r="P158" s="82" cm="1">
        <f t="array" ref="P158:P221">M158:M221</f>
        <v>0.71373492687405671</v>
      </c>
      <c r="Q158" s="82">
        <v>0.71373492687405671</v>
      </c>
      <c r="R158" s="82"/>
      <c r="S158" s="90" cm="1">
        <f t="array" ref="S158:S221">_xlfn.LET(_xlpm.x, Q158:Q221/M158:M221, IF(ISERR(_xlpm.x), 0, ROUND(_xlpm.x,2)))</f>
        <v>1</v>
      </c>
    </row>
    <row r="159" spans="1:21" x14ac:dyDescent="0.3">
      <c r="A159" s="69">
        <v>0</v>
      </c>
      <c r="B159" s="69">
        <v>1</v>
      </c>
      <c r="C159" s="36">
        <v>134671370</v>
      </c>
      <c r="D159" s="36">
        <v>5869389535</v>
      </c>
      <c r="E159" s="82">
        <v>0.13649527639219697</v>
      </c>
      <c r="F159" s="92">
        <v>0.43583053584440407</v>
      </c>
      <c r="G159" s="5">
        <v>-99505</v>
      </c>
      <c r="H159" s="60" t="str">
        <f t="shared" si="2"/>
        <v>(0, 1]</v>
      </c>
      <c r="I159" s="78">
        <v>1.18</v>
      </c>
      <c r="J159" s="82">
        <v>0.16106442614279243</v>
      </c>
      <c r="K159" s="82">
        <v>0.15828815675489563</v>
      </c>
      <c r="L159" s="89">
        <v>158288156</v>
      </c>
      <c r="M159" s="82">
        <v>0.15823094111577102</v>
      </c>
      <c r="N159" s="82">
        <v>6.8961875853650836E-2</v>
      </c>
      <c r="O159" s="45"/>
      <c r="P159" s="82">
        <v>0.15823094111577102</v>
      </c>
      <c r="Q159" s="82">
        <v>0.15823094111577102</v>
      </c>
      <c r="R159" s="82"/>
      <c r="S159" s="90">
        <v>1</v>
      </c>
    </row>
    <row r="160" spans="1:21" x14ac:dyDescent="0.3">
      <c r="A160" s="69">
        <v>1</v>
      </c>
      <c r="B160" s="69">
        <v>2</v>
      </c>
      <c r="C160" s="36">
        <v>34304589</v>
      </c>
      <c r="D160" s="36">
        <v>5136293060</v>
      </c>
      <c r="E160" s="82">
        <v>3.4769189301896312E-2</v>
      </c>
      <c r="F160" s="92">
        <v>1.4972612148188105</v>
      </c>
      <c r="G160" s="32">
        <f>1+G159*G158</f>
        <v>0.90049500000000005</v>
      </c>
      <c r="H160" s="60" t="str">
        <f t="shared" si="2"/>
        <v>(1, 2]</v>
      </c>
      <c r="I160" s="78">
        <v>1.3</v>
      </c>
      <c r="J160" s="82">
        <v>4.5199946092465207E-2</v>
      </c>
      <c r="K160" s="82">
        <v>4.4420834095630815E-2</v>
      </c>
      <c r="L160" s="89">
        <v>44420834</v>
      </c>
      <c r="M160" s="82">
        <v>4.4404777632051251E-2</v>
      </c>
      <c r="N160" s="82">
        <v>6.6485551301124199E-2</v>
      </c>
      <c r="O160" s="45"/>
      <c r="P160" s="82">
        <v>4.4404777632051251E-2</v>
      </c>
      <c r="Q160" s="82">
        <v>4.4404777632051251E-2</v>
      </c>
      <c r="R160" s="82"/>
      <c r="S160" s="90">
        <v>1</v>
      </c>
    </row>
    <row r="161" spans="1:19" x14ac:dyDescent="0.3">
      <c r="A161" s="69">
        <v>2</v>
      </c>
      <c r="B161" s="69">
        <v>3</v>
      </c>
      <c r="C161" s="36">
        <v>16020309</v>
      </c>
      <c r="D161" s="36">
        <v>4033651395</v>
      </c>
      <c r="E161" s="82">
        <v>1.6237278233995841E-2</v>
      </c>
      <c r="F161" s="92">
        <v>2.5178362009122295</v>
      </c>
      <c r="G161" s="80"/>
      <c r="H161" s="60" t="str">
        <f t="shared" si="2"/>
        <v>(2, 3]</v>
      </c>
      <c r="I161" s="78">
        <v>1.32</v>
      </c>
      <c r="J161" s="82">
        <v>2.1433207268874512E-2</v>
      </c>
      <c r="K161" s="82">
        <v>2.10637628257405E-2</v>
      </c>
      <c r="L161" s="89">
        <v>21063762</v>
      </c>
      <c r="M161" s="82">
        <v>2.1056148286285013E-2</v>
      </c>
      <c r="N161" s="82">
        <v>5.3015932406984406E-2</v>
      </c>
      <c r="O161" s="45"/>
      <c r="P161" s="82">
        <v>2.1056148286285013E-2</v>
      </c>
      <c r="Q161" s="82">
        <v>2.1056148286285013E-2</v>
      </c>
      <c r="R161" s="82"/>
      <c r="S161" s="90">
        <v>1</v>
      </c>
    </row>
    <row r="162" spans="1:19" x14ac:dyDescent="0.3">
      <c r="A162" s="69">
        <v>3</v>
      </c>
      <c r="B162" s="69">
        <v>4</v>
      </c>
      <c r="C162" s="36">
        <v>7967455</v>
      </c>
      <c r="D162" s="36">
        <v>2842347285</v>
      </c>
      <c r="E162" s="82">
        <v>8.0753613211731017E-3</v>
      </c>
      <c r="F162" s="92">
        <v>3.5674469262769604</v>
      </c>
      <c r="G162" s="80"/>
      <c r="H162" s="60" t="str">
        <f t="shared" si="2"/>
        <v>(3, 4]</v>
      </c>
      <c r="I162" s="78">
        <v>1.08</v>
      </c>
      <c r="J162" s="82">
        <v>8.7213902268669496E-3</v>
      </c>
      <c r="K162" s="82">
        <v>8.5710595220265962E-3</v>
      </c>
      <c r="L162" s="89">
        <v>8571059</v>
      </c>
      <c r="M162" s="82">
        <v>8.5679609024493231E-3</v>
      </c>
      <c r="N162" s="82">
        <v>3.056574578590401E-2</v>
      </c>
      <c r="O162" s="45"/>
      <c r="P162" s="82">
        <v>8.5679609024493231E-3</v>
      </c>
      <c r="Q162" s="82">
        <v>8.5679609024493231E-3</v>
      </c>
      <c r="R162" s="82"/>
      <c r="S162" s="90">
        <v>1</v>
      </c>
    </row>
    <row r="163" spans="1:19" x14ac:dyDescent="0.3">
      <c r="A163" s="69">
        <v>4</v>
      </c>
      <c r="B163" s="69">
        <v>5</v>
      </c>
      <c r="C163" s="36">
        <v>5578706</v>
      </c>
      <c r="D163" s="36">
        <v>2564213210</v>
      </c>
      <c r="E163" s="82">
        <v>5.6542605706083448E-3</v>
      </c>
      <c r="F163" s="92">
        <v>4.5964300861167446</v>
      </c>
      <c r="G163" s="80"/>
      <c r="H163" s="60" t="str">
        <f t="shared" si="2"/>
        <v>(4, 5]</v>
      </c>
      <c r="I163" s="78">
        <v>1.21</v>
      </c>
      <c r="J163" s="82">
        <v>6.8416552904360974E-3</v>
      </c>
      <c r="K163" s="82">
        <v>6.7237255985714249E-3</v>
      </c>
      <c r="L163" s="89">
        <v>6723725</v>
      </c>
      <c r="M163" s="82">
        <v>6.7212946403497013E-3</v>
      </c>
      <c r="N163" s="82">
        <v>3.0893960902558592E-2</v>
      </c>
      <c r="O163" s="45"/>
      <c r="P163" s="82">
        <v>6.7212946403497013E-3</v>
      </c>
      <c r="Q163" s="82">
        <v>6.7212946403497013E-3</v>
      </c>
      <c r="R163" s="82"/>
      <c r="S163" s="90">
        <v>1</v>
      </c>
    </row>
    <row r="164" spans="1:19" x14ac:dyDescent="0.3">
      <c r="A164" s="69">
        <v>5</v>
      </c>
      <c r="B164" s="69">
        <v>6</v>
      </c>
      <c r="C164" s="36">
        <v>4158567</v>
      </c>
      <c r="D164" s="36">
        <v>2322704910</v>
      </c>
      <c r="E164" s="82">
        <v>4.214888079481699E-3</v>
      </c>
      <c r="F164" s="92">
        <v>5.5853492561259683</v>
      </c>
      <c r="G164" s="80">
        <v>1.34</v>
      </c>
      <c r="H164" s="60" t="str">
        <f t="shared" si="2"/>
        <v>(5, 6]</v>
      </c>
      <c r="I164" s="78" cm="1">
        <f t="array" ref="I164:I221">G164:G221*G160</f>
        <v>1.2066633000000002</v>
      </c>
      <c r="J164" s="82">
        <v>5.0859507591180502E-3</v>
      </c>
      <c r="K164" s="82">
        <v>4.9982841666926575E-3</v>
      </c>
      <c r="L164" s="89">
        <v>4998284</v>
      </c>
      <c r="M164" s="82">
        <v>4.9964773187698283E-3</v>
      </c>
      <c r="N164" s="82">
        <v>2.7907070875641333E-2</v>
      </c>
      <c r="O164" s="45"/>
      <c r="P164" s="82">
        <v>4.9964773187698283E-3</v>
      </c>
      <c r="Q164" s="82">
        <v>4.9964773187698283E-3</v>
      </c>
      <c r="R164" s="82"/>
      <c r="S164" s="90">
        <v>1</v>
      </c>
    </row>
    <row r="165" spans="1:19" x14ac:dyDescent="0.3">
      <c r="A165" s="69">
        <v>6</v>
      </c>
      <c r="B165" s="69">
        <v>7</v>
      </c>
      <c r="C165" s="36">
        <v>2772263</v>
      </c>
      <c r="D165" s="36">
        <v>1818622450</v>
      </c>
      <c r="E165" s="82">
        <v>2.8098088288317042E-3</v>
      </c>
      <c r="F165" s="92">
        <v>6.5600646475460671</v>
      </c>
      <c r="G165" s="80">
        <v>1.23</v>
      </c>
      <c r="H165" s="60" t="str">
        <f t="shared" si="2"/>
        <v>(6, 7]</v>
      </c>
      <c r="I165" s="78">
        <v>1.1076088500000001</v>
      </c>
      <c r="J165" s="82">
        <v>3.1121691256221309E-3</v>
      </c>
      <c r="K165" s="82">
        <v>3.0585246301842481E-3</v>
      </c>
      <c r="L165" s="89">
        <v>3058524</v>
      </c>
      <c r="M165" s="82">
        <v>3.0574184649998222E-3</v>
      </c>
      <c r="N165" s="82">
        <v>2.0056862784999897E-2</v>
      </c>
      <c r="O165" s="45"/>
      <c r="P165" s="82">
        <v>3.0574184649998222E-3</v>
      </c>
      <c r="Q165" s="82">
        <v>3.0574184649998222E-3</v>
      </c>
      <c r="R165" s="82"/>
      <c r="S165" s="90">
        <v>1</v>
      </c>
    </row>
    <row r="166" spans="1:19" x14ac:dyDescent="0.3">
      <c r="A166" s="69">
        <v>7</v>
      </c>
      <c r="B166" s="69">
        <v>8</v>
      </c>
      <c r="C166" s="36">
        <v>2871865</v>
      </c>
      <c r="D166" s="36">
        <v>2188753410</v>
      </c>
      <c r="E166" s="82">
        <v>2.9107597771974602E-3</v>
      </c>
      <c r="F166" s="92">
        <v>7.6213659416441928</v>
      </c>
      <c r="G166" s="80">
        <v>1.01</v>
      </c>
      <c r="H166" s="60" t="str">
        <f t="shared" si="2"/>
        <v>(7, 8]</v>
      </c>
      <c r="I166" s="78">
        <v>0.90949995000000006</v>
      </c>
      <c r="J166" s="82">
        <v>2.6473358718231014E-3</v>
      </c>
      <c r="K166" s="82">
        <v>2.6017037125906982E-3</v>
      </c>
      <c r="L166" s="89">
        <v>2601703</v>
      </c>
      <c r="M166" s="82">
        <v>2.6007625876551671E-3</v>
      </c>
      <c r="N166" s="82">
        <v>1.982136340785751E-2</v>
      </c>
      <c r="O166" s="45"/>
      <c r="P166" s="82">
        <v>2.6007625876551671E-3</v>
      </c>
      <c r="Q166" s="82">
        <v>2.6007625876551671E-3</v>
      </c>
      <c r="R166" s="82"/>
      <c r="S166" s="90">
        <v>1</v>
      </c>
    </row>
    <row r="167" spans="1:19" x14ac:dyDescent="0.3">
      <c r="A167" s="69">
        <v>8</v>
      </c>
      <c r="B167" s="69">
        <v>9</v>
      </c>
      <c r="C167" s="36">
        <v>2105410</v>
      </c>
      <c r="D167" s="36">
        <v>1810360075</v>
      </c>
      <c r="E167" s="82">
        <v>2.1339243810239356E-3</v>
      </c>
      <c r="F167" s="92">
        <v>8.5986106031604308</v>
      </c>
      <c r="G167" s="80">
        <v>1.24</v>
      </c>
      <c r="H167" s="60" t="str">
        <f t="shared" si="2"/>
        <v>(8, 9]</v>
      </c>
      <c r="I167" s="78">
        <v>1.1166138000000001</v>
      </c>
      <c r="J167" s="82">
        <v>2.382769412007785E-3</v>
      </c>
      <c r="K167" s="82">
        <v>2.3416975879222523E-3</v>
      </c>
      <c r="L167" s="89">
        <v>2341697</v>
      </c>
      <c r="M167" s="82">
        <v>2.3408505695017233E-3</v>
      </c>
      <c r="N167" s="82">
        <v>2.0128062527331653E-2</v>
      </c>
      <c r="O167" s="45"/>
      <c r="P167" s="82">
        <v>2.3408505695017233E-3</v>
      </c>
      <c r="Q167" s="82">
        <v>2.3408505695017233E-3</v>
      </c>
      <c r="R167" s="82"/>
      <c r="S167" s="90">
        <v>1</v>
      </c>
    </row>
    <row r="168" spans="1:19" x14ac:dyDescent="0.3">
      <c r="A168" s="69">
        <v>9</v>
      </c>
      <c r="B168" s="69">
        <v>10</v>
      </c>
      <c r="C168" s="36">
        <v>1954254</v>
      </c>
      <c r="D168" s="36">
        <v>1885134195</v>
      </c>
      <c r="E168" s="82">
        <v>1.980721216919056E-3</v>
      </c>
      <c r="F168" s="92">
        <v>9.6463110475915617</v>
      </c>
      <c r="G168" s="80">
        <v>1.2</v>
      </c>
      <c r="H168" s="60" t="str">
        <f t="shared" si="2"/>
        <v>(9, 10]</v>
      </c>
      <c r="I168" s="78">
        <v>1.0805940000000001</v>
      </c>
      <c r="J168" s="82">
        <v>2.1403554626754306E-3</v>
      </c>
      <c r="K168" s="82">
        <v>2.1034621306557618E-3</v>
      </c>
      <c r="L168" s="89">
        <v>2103462</v>
      </c>
      <c r="M168" s="82">
        <v>2.1027016819961052E-3</v>
      </c>
      <c r="N168" s="82">
        <v>2.0283314464828388E-2</v>
      </c>
      <c r="O168" s="45"/>
      <c r="P168" s="82">
        <v>2.1027016819961052E-3</v>
      </c>
      <c r="Q168" s="82">
        <v>2.1027016819961052E-3</v>
      </c>
      <c r="R168" s="82"/>
      <c r="S168" s="90">
        <v>1</v>
      </c>
    </row>
    <row r="169" spans="1:19" x14ac:dyDescent="0.3">
      <c r="A169" s="69">
        <v>10</v>
      </c>
      <c r="B169" s="69">
        <v>15</v>
      </c>
      <c r="C169" s="36">
        <v>6734651</v>
      </c>
      <c r="D169" s="36">
        <v>8382998890</v>
      </c>
      <c r="E169" s="82">
        <v>6.8258609803255555E-3</v>
      </c>
      <c r="F169" s="92">
        <v>12.447562449783961</v>
      </c>
      <c r="G169" s="80">
        <v>0.46</v>
      </c>
      <c r="H169" s="60" t="str">
        <f t="shared" si="2"/>
        <v>(10, 15]</v>
      </c>
      <c r="I169" s="78">
        <v>0.41422770000000003</v>
      </c>
      <c r="J169" s="82">
        <v>2.8274606944000001E-3</v>
      </c>
      <c r="K169" s="82">
        <v>2.77872372150454E-3</v>
      </c>
      <c r="L169" s="89">
        <v>2778723</v>
      </c>
      <c r="M169" s="82">
        <v>2.7777186019530011E-3</v>
      </c>
      <c r="N169" s="82">
        <v>3.4575825765736576E-2</v>
      </c>
      <c r="O169" s="45"/>
      <c r="P169" s="82">
        <v>2.7777186019530011E-3</v>
      </c>
      <c r="Q169" s="82">
        <v>2.7777186019530011E-3</v>
      </c>
      <c r="R169" s="82"/>
      <c r="S169" s="90">
        <v>1</v>
      </c>
    </row>
    <row r="170" spans="1:19" x14ac:dyDescent="0.3">
      <c r="A170" s="69">
        <v>15</v>
      </c>
      <c r="B170" s="69">
        <v>20</v>
      </c>
      <c r="C170" s="36">
        <v>4528931</v>
      </c>
      <c r="D170" s="36">
        <v>7919233365</v>
      </c>
      <c r="E170" s="82">
        <v>4.5902680622183396E-3</v>
      </c>
      <c r="F170" s="92">
        <v>17.485877715955485</v>
      </c>
      <c r="G170" s="80">
        <v>0.89</v>
      </c>
      <c r="H170" s="83" t="str">
        <f t="shared" si="2"/>
        <v>(15, 20]</v>
      </c>
      <c r="I170" s="78">
        <v>0.80144055000000003</v>
      </c>
      <c r="J170" s="82">
        <v>3.6788269604317004E-3</v>
      </c>
      <c r="K170" s="82">
        <v>3.6154149773004211E-3</v>
      </c>
      <c r="L170" s="89">
        <v>3615414</v>
      </c>
      <c r="M170" s="82">
        <v>3.6141071713737959E-3</v>
      </c>
      <c r="N170" s="82">
        <v>6.3195836050999973E-2</v>
      </c>
      <c r="O170" s="45"/>
      <c r="P170" s="82">
        <v>3.6141071713737959E-3</v>
      </c>
      <c r="Q170" s="82">
        <v>3.6141071713737959E-3</v>
      </c>
      <c r="R170" s="82"/>
      <c r="S170" s="90">
        <v>1</v>
      </c>
    </row>
    <row r="171" spans="1:19" x14ac:dyDescent="0.3">
      <c r="A171" s="69">
        <v>20</v>
      </c>
      <c r="B171" s="69">
        <v>25</v>
      </c>
      <c r="C171" s="36">
        <v>3129796</v>
      </c>
      <c r="D171" s="36">
        <v>7054318865</v>
      </c>
      <c r="E171" s="82">
        <v>3.1721840363782778E-3</v>
      </c>
      <c r="F171" s="92">
        <v>22.539228962526632</v>
      </c>
      <c r="G171" s="80">
        <v>0.54</v>
      </c>
      <c r="H171" s="60" t="str">
        <f t="shared" si="2"/>
        <v>(20, 25]</v>
      </c>
      <c r="I171" s="78">
        <v>0.48626730000000007</v>
      </c>
      <c r="J171" s="82">
        <v>1.5425293664727672E-3</v>
      </c>
      <c r="K171" s="82">
        <v>1.515940769830865E-3</v>
      </c>
      <c r="L171" s="89">
        <v>1515940</v>
      </c>
      <c r="M171" s="82">
        <v>1.5153920478740172E-3</v>
      </c>
      <c r="N171" s="82">
        <v>3.4155768335024594E-2</v>
      </c>
      <c r="O171" s="45"/>
      <c r="P171" s="82">
        <v>1.5153920478740172E-3</v>
      </c>
      <c r="Q171" s="82">
        <v>1.5153920478740172E-3</v>
      </c>
      <c r="R171" s="82"/>
      <c r="S171" s="90">
        <v>1</v>
      </c>
    </row>
    <row r="172" spans="1:19" x14ac:dyDescent="0.3">
      <c r="A172" s="69">
        <v>25</v>
      </c>
      <c r="B172" s="69">
        <v>30</v>
      </c>
      <c r="C172" s="36">
        <v>2506990</v>
      </c>
      <c r="D172" s="36">
        <v>6905395465</v>
      </c>
      <c r="E172" s="82">
        <v>2.540943134108414E-3</v>
      </c>
      <c r="F172" s="92">
        <v>27.544567249969088</v>
      </c>
      <c r="G172" s="80">
        <v>0.27</v>
      </c>
      <c r="H172" s="60" t="str">
        <f t="shared" si="2"/>
        <v>(25, 30]</v>
      </c>
      <c r="I172" s="78">
        <v>0.24313365000000003</v>
      </c>
      <c r="J172" s="82">
        <v>6.1778877863821822E-4</v>
      </c>
      <c r="K172" s="82">
        <v>6.0713994627098358E-4</v>
      </c>
      <c r="L172" s="89">
        <v>607139</v>
      </c>
      <c r="M172" s="82">
        <v>6.0691954335539858E-4</v>
      </c>
      <c r="N172" s="82">
        <v>1.6717336177273306E-2</v>
      </c>
      <c r="O172" s="45"/>
      <c r="P172" s="82">
        <v>6.0691954335539858E-4</v>
      </c>
      <c r="Q172" s="82">
        <v>6.0691954335539858E-4</v>
      </c>
      <c r="R172" s="82"/>
      <c r="S172" s="90">
        <v>1</v>
      </c>
    </row>
    <row r="173" spans="1:19" x14ac:dyDescent="0.3">
      <c r="A173" s="69">
        <v>30</v>
      </c>
      <c r="B173" s="69">
        <v>35</v>
      </c>
      <c r="C173" s="36">
        <v>1878754</v>
      </c>
      <c r="D173" s="36">
        <v>6111962030</v>
      </c>
      <c r="E173" s="82">
        <v>1.9041986912507506E-3</v>
      </c>
      <c r="F173" s="92">
        <v>32.531997430211725</v>
      </c>
      <c r="G173" s="80">
        <v>0.3</v>
      </c>
      <c r="H173" s="60" t="str">
        <f t="shared" si="2"/>
        <v>(30, 35]</v>
      </c>
      <c r="I173" s="78">
        <v>0.27014850000000001</v>
      </c>
      <c r="J173" s="82">
        <v>5.1441642014335345E-4</v>
      </c>
      <c r="K173" s="82">
        <v>5.0554941832254598E-4</v>
      </c>
      <c r="L173" s="89">
        <v>505549</v>
      </c>
      <c r="M173" s="82">
        <v>5.0536626410719525E-4</v>
      </c>
      <c r="N173" s="82">
        <v>1.6440574005250976E-2</v>
      </c>
      <c r="O173" s="45"/>
      <c r="P173" s="82">
        <v>5.0536626410719525E-4</v>
      </c>
      <c r="Q173" s="82">
        <v>5.0536626410719525E-4</v>
      </c>
      <c r="R173" s="82"/>
      <c r="S173" s="90">
        <v>1</v>
      </c>
    </row>
    <row r="174" spans="1:19" x14ac:dyDescent="0.3">
      <c r="A174" s="69">
        <v>35</v>
      </c>
      <c r="B174" s="69">
        <v>40</v>
      </c>
      <c r="C174" s="36">
        <v>1621830</v>
      </c>
      <c r="D174" s="36">
        <v>6089148510</v>
      </c>
      <c r="E174" s="82">
        <v>1.6437950702599729E-3</v>
      </c>
      <c r="F174" s="92">
        <v>37.544924622186052</v>
      </c>
      <c r="G174" s="80">
        <v>0.6</v>
      </c>
      <c r="H174" s="83" t="str">
        <f t="shared" si="2"/>
        <v>(35, 40]</v>
      </c>
      <c r="I174" s="78">
        <v>0.54029700000000003</v>
      </c>
      <c r="J174" s="82">
        <v>8.8813754507625269E-4</v>
      </c>
      <c r="K174" s="82">
        <v>8.728287078755972E-4</v>
      </c>
      <c r="L174" s="89">
        <v>872828</v>
      </c>
      <c r="M174" s="82">
        <v>8.725125073299621E-4</v>
      </c>
      <c r="N174" s="82">
        <v>3.2758416319617983E-2</v>
      </c>
      <c r="O174" s="45"/>
      <c r="P174" s="82">
        <v>8.725125073299621E-4</v>
      </c>
      <c r="Q174" s="82">
        <v>8.725125073299621E-4</v>
      </c>
      <c r="R174" s="82"/>
      <c r="S174" s="90">
        <v>1</v>
      </c>
    </row>
    <row r="175" spans="1:19" x14ac:dyDescent="0.3">
      <c r="A175" s="69">
        <v>40</v>
      </c>
      <c r="B175" s="69">
        <v>45</v>
      </c>
      <c r="C175" s="36">
        <v>1336896</v>
      </c>
      <c r="D175" s="36">
        <v>5698648415</v>
      </c>
      <c r="E175" s="82">
        <v>1.3550020990179467E-3</v>
      </c>
      <c r="F175" s="92">
        <v>42.625966529932022</v>
      </c>
      <c r="G175" s="80">
        <v>0.16</v>
      </c>
      <c r="H175" s="60" t="str">
        <f t="shared" si="2"/>
        <v>(40, 45]</v>
      </c>
      <c r="I175" s="78">
        <v>0.14407920000000002</v>
      </c>
      <c r="J175" s="82">
        <v>1.9522761842482659E-4</v>
      </c>
      <c r="K175" s="82">
        <v>1.9186247769397194E-4</v>
      </c>
      <c r="L175" s="89">
        <v>191862</v>
      </c>
      <c r="M175" s="82">
        <v>1.9179264950407317E-4</v>
      </c>
      <c r="N175" s="82">
        <v>8.1753470584476073E-3</v>
      </c>
      <c r="O175" s="45"/>
      <c r="P175" s="82">
        <v>1.9179264950407317E-4</v>
      </c>
      <c r="Q175" s="82">
        <v>1.9179264950407317E-4</v>
      </c>
      <c r="R175" s="82"/>
      <c r="S175" s="90">
        <v>1</v>
      </c>
    </row>
    <row r="176" spans="1:19" x14ac:dyDescent="0.3">
      <c r="A176" s="69">
        <v>45</v>
      </c>
      <c r="B176" s="69">
        <v>50</v>
      </c>
      <c r="C176" s="36">
        <v>1129963</v>
      </c>
      <c r="D176" s="36">
        <v>5386108480</v>
      </c>
      <c r="E176" s="82">
        <v>1.1452665254534505E-3</v>
      </c>
      <c r="F176" s="92">
        <v>47.666237567070787</v>
      </c>
      <c r="G176" s="80">
        <v>0.19</v>
      </c>
      <c r="H176" s="60" t="str">
        <f t="shared" si="2"/>
        <v>(45, 50]</v>
      </c>
      <c r="I176" s="78">
        <v>0.17109405</v>
      </c>
      <c r="J176" s="82">
        <v>1.9594828816925892E-4</v>
      </c>
      <c r="K176" s="82">
        <v>1.925707252456323E-4</v>
      </c>
      <c r="L176" s="89">
        <v>192570</v>
      </c>
      <c r="M176" s="82">
        <v>1.9250039359018132E-4</v>
      </c>
      <c r="N176" s="82">
        <v>9.1757694926242143E-3</v>
      </c>
      <c r="O176" s="45"/>
      <c r="P176" s="82">
        <v>1.9250039359018132E-4</v>
      </c>
      <c r="Q176" s="82">
        <v>1.9250039359018132E-4</v>
      </c>
      <c r="R176" s="82"/>
      <c r="S176" s="90">
        <v>1</v>
      </c>
    </row>
    <row r="177" spans="1:19" x14ac:dyDescent="0.3">
      <c r="A177" s="69">
        <v>50</v>
      </c>
      <c r="B177" s="69">
        <v>60</v>
      </c>
      <c r="C177" s="36">
        <v>1876167</v>
      </c>
      <c r="D177" s="36">
        <v>10300394235</v>
      </c>
      <c r="E177" s="82">
        <v>1.9015766545103015E-3</v>
      </c>
      <c r="F177" s="92">
        <v>54.901265372432199</v>
      </c>
      <c r="G177" s="80">
        <v>0.34</v>
      </c>
      <c r="H177" s="83" t="str">
        <f t="shared" si="2"/>
        <v>(50, 60]</v>
      </c>
      <c r="I177" s="78">
        <v>0.30616830000000006</v>
      </c>
      <c r="J177" s="82">
        <v>5.8220249163110646E-4</v>
      </c>
      <c r="K177" s="82">
        <v>5.7216706050716791E-4</v>
      </c>
      <c r="L177" s="89">
        <v>572167</v>
      </c>
      <c r="M177" s="82">
        <v>5.7196018434498247E-4</v>
      </c>
      <c r="N177" s="82">
        <v>3.1401337863189126E-2</v>
      </c>
      <c r="O177" s="45"/>
      <c r="P177" s="82">
        <v>5.7196018434498247E-4</v>
      </c>
      <c r="Q177" s="82">
        <v>5.7196018434498247E-4</v>
      </c>
      <c r="R177" s="82"/>
      <c r="S177" s="90">
        <v>1</v>
      </c>
    </row>
    <row r="178" spans="1:19" x14ac:dyDescent="0.3">
      <c r="A178" s="69">
        <v>60</v>
      </c>
      <c r="B178" s="69">
        <v>70</v>
      </c>
      <c r="C178" s="36">
        <v>1368900</v>
      </c>
      <c r="D178" s="36">
        <v>8898541035</v>
      </c>
      <c r="E178" s="82">
        <v>1.3874395415542176E-3</v>
      </c>
      <c r="F178" s="92">
        <v>65.005048104317339</v>
      </c>
      <c r="G178" s="80">
        <v>0.11</v>
      </c>
      <c r="H178" s="60" t="str">
        <f t="shared" si="2"/>
        <v>(60, 70]</v>
      </c>
      <c r="I178" s="78">
        <v>9.9054450000000002E-2</v>
      </c>
      <c r="J178" s="82">
        <v>1.3743206069690518E-4</v>
      </c>
      <c r="K178" s="82">
        <v>1.3506314266723346E-4</v>
      </c>
      <c r="L178" s="89">
        <v>135063</v>
      </c>
      <c r="M178" s="82">
        <v>1.3501418008760794E-4</v>
      </c>
      <c r="N178" s="82">
        <v>8.7766032713599181E-3</v>
      </c>
      <c r="O178" s="45"/>
      <c r="P178" s="82">
        <v>1.3501418008760794E-4</v>
      </c>
      <c r="Q178" s="82">
        <v>1.3501418008760794E-4</v>
      </c>
      <c r="R178" s="82"/>
      <c r="S178" s="90">
        <v>1</v>
      </c>
    </row>
    <row r="179" spans="1:19" x14ac:dyDescent="0.3">
      <c r="A179" s="69">
        <v>70</v>
      </c>
      <c r="B179" s="69">
        <v>80</v>
      </c>
      <c r="C179" s="36">
        <v>1107148</v>
      </c>
      <c r="D179" s="36">
        <v>8303629765</v>
      </c>
      <c r="E179" s="82">
        <v>1.1221425330942135E-3</v>
      </c>
      <c r="F179" s="92">
        <v>75.00017852175138</v>
      </c>
      <c r="G179" s="80">
        <v>0.12</v>
      </c>
      <c r="H179" s="60" t="str">
        <f t="shared" si="2"/>
        <v>(70, 80]</v>
      </c>
      <c r="I179" s="78">
        <v>0.1080594</v>
      </c>
      <c r="J179" s="82">
        <v>1.2125804884064085E-4</v>
      </c>
      <c r="K179" s="82">
        <v>1.1916792244156927E-4</v>
      </c>
      <c r="L179" s="89">
        <v>119167</v>
      </c>
      <c r="M179" s="82">
        <v>1.1912392586052417E-4</v>
      </c>
      <c r="N179" s="82">
        <v>8.9343157057511884E-3</v>
      </c>
      <c r="O179" s="45"/>
      <c r="P179" s="82">
        <v>1.1912392586052417E-4</v>
      </c>
      <c r="Q179" s="82">
        <v>1.1912392586052417E-4</v>
      </c>
      <c r="R179" s="82"/>
      <c r="S179" s="90">
        <v>1</v>
      </c>
    </row>
    <row r="180" spans="1:19" x14ac:dyDescent="0.3">
      <c r="A180" s="69">
        <v>80</v>
      </c>
      <c r="B180" s="69">
        <v>90</v>
      </c>
      <c r="C180" s="36">
        <v>880621</v>
      </c>
      <c r="D180" s="36">
        <v>7488356915</v>
      </c>
      <c r="E180" s="82">
        <v>8.9254759041786601E-4</v>
      </c>
      <c r="F180" s="92">
        <v>85.034957319891305</v>
      </c>
      <c r="G180" s="80">
        <v>0</v>
      </c>
      <c r="H180" s="60" t="str">
        <f t="shared" si="2"/>
        <v>(80, 90]</v>
      </c>
      <c r="I180" s="78">
        <v>0</v>
      </c>
      <c r="J180" s="82">
        <v>0</v>
      </c>
      <c r="K180" s="82">
        <v>0</v>
      </c>
      <c r="L180" s="89">
        <v>0</v>
      </c>
      <c r="M180" s="82">
        <v>0</v>
      </c>
      <c r="N180" s="82">
        <v>0</v>
      </c>
      <c r="O180" s="45"/>
      <c r="P180" s="82">
        <v>0</v>
      </c>
      <c r="Q180" s="82">
        <v>0</v>
      </c>
      <c r="R180" s="82"/>
      <c r="S180" s="90">
        <v>0</v>
      </c>
    </row>
    <row r="181" spans="1:19" x14ac:dyDescent="0.3">
      <c r="A181" s="69">
        <v>90</v>
      </c>
      <c r="B181" s="69">
        <v>100</v>
      </c>
      <c r="C181" s="36">
        <v>740089</v>
      </c>
      <c r="D181" s="36">
        <v>7048903000</v>
      </c>
      <c r="E181" s="82">
        <v>7.5011231124941149E-4</v>
      </c>
      <c r="F181" s="92">
        <v>95.24399092541573</v>
      </c>
      <c r="G181" s="80">
        <v>0</v>
      </c>
      <c r="H181" s="60" t="str">
        <f t="shared" si="2"/>
        <v>(90, 100]</v>
      </c>
      <c r="I181" s="78">
        <v>0</v>
      </c>
      <c r="J181" s="82">
        <v>0</v>
      </c>
      <c r="K181" s="82">
        <v>0</v>
      </c>
      <c r="L181" s="89">
        <v>0</v>
      </c>
      <c r="M181" s="82">
        <v>0</v>
      </c>
      <c r="N181" s="82">
        <v>0</v>
      </c>
      <c r="O181" s="45"/>
      <c r="P181" s="82">
        <v>0</v>
      </c>
      <c r="Q181" s="82">
        <v>0</v>
      </c>
      <c r="R181" s="82"/>
      <c r="S181" s="90">
        <v>0</v>
      </c>
    </row>
    <row r="182" spans="1:19" x14ac:dyDescent="0.3">
      <c r="A182" s="69">
        <v>100</v>
      </c>
      <c r="B182" s="69">
        <v>120</v>
      </c>
      <c r="C182" s="36">
        <v>1141398</v>
      </c>
      <c r="D182" s="36">
        <v>12514373105</v>
      </c>
      <c r="E182" s="82">
        <v>1.1568563940761933E-3</v>
      </c>
      <c r="F182" s="92">
        <v>109.64074849439021</v>
      </c>
      <c r="G182" s="80">
        <v>0.11</v>
      </c>
      <c r="H182" s="60" t="str">
        <f t="shared" si="2"/>
        <v>(100, 120]</v>
      </c>
      <c r="I182" s="78">
        <v>9.9054450000000002E-2</v>
      </c>
      <c r="J182" s="82">
        <v>1.1459177384420058E-4</v>
      </c>
      <c r="K182" s="82">
        <v>1.1261655410482498E-4</v>
      </c>
      <c r="L182" s="89">
        <v>112616</v>
      </c>
      <c r="M182" s="82">
        <v>1.1257529378694429E-4</v>
      </c>
      <c r="N182" s="82">
        <v>1.2342839472776448E-2</v>
      </c>
      <c r="O182" s="45"/>
      <c r="P182" s="82">
        <v>1.1257529378694429E-4</v>
      </c>
      <c r="Q182" s="82">
        <v>1.1257529378694429E-4</v>
      </c>
      <c r="R182" s="82"/>
      <c r="S182" s="90">
        <v>1</v>
      </c>
    </row>
    <row r="183" spans="1:19" x14ac:dyDescent="0.3">
      <c r="A183" s="69">
        <v>120</v>
      </c>
      <c r="B183" s="69">
        <v>140</v>
      </c>
      <c r="C183" s="36">
        <v>816317</v>
      </c>
      <c r="D183" s="36">
        <v>10590153750</v>
      </c>
      <c r="E183" s="82">
        <v>8.2737269650296906E-4</v>
      </c>
      <c r="F183" s="92">
        <v>129.73089804573468</v>
      </c>
      <c r="G183" s="80">
        <v>0</v>
      </c>
      <c r="H183" s="60" t="str">
        <f t="shared" si="2"/>
        <v>(120, 140]</v>
      </c>
      <c r="I183" s="78">
        <v>0</v>
      </c>
      <c r="J183" s="82">
        <v>0</v>
      </c>
      <c r="K183" s="82">
        <v>0</v>
      </c>
      <c r="L183" s="89">
        <v>0</v>
      </c>
      <c r="M183" s="82">
        <v>0</v>
      </c>
      <c r="N183" s="82">
        <v>0</v>
      </c>
      <c r="O183" s="45"/>
      <c r="P183" s="82">
        <v>0</v>
      </c>
      <c r="Q183" s="82">
        <v>0</v>
      </c>
      <c r="R183" s="82"/>
      <c r="S183" s="90">
        <v>0</v>
      </c>
    </row>
    <row r="184" spans="1:19" x14ac:dyDescent="0.3">
      <c r="A184" s="69">
        <v>140</v>
      </c>
      <c r="B184" s="69">
        <v>160</v>
      </c>
      <c r="C184" s="36">
        <v>633041</v>
      </c>
      <c r="D184" s="36">
        <v>9490295895</v>
      </c>
      <c r="E184" s="82">
        <v>6.4161451882900394E-4</v>
      </c>
      <c r="F184" s="92">
        <v>149.91597534756832</v>
      </c>
      <c r="G184" s="80">
        <v>0</v>
      </c>
      <c r="H184" s="60" t="str">
        <f t="shared" si="2"/>
        <v>(140, 160]</v>
      </c>
      <c r="I184" s="78">
        <v>0</v>
      </c>
      <c r="J184" s="82">
        <v>0</v>
      </c>
      <c r="K184" s="82">
        <v>0</v>
      </c>
      <c r="L184" s="89">
        <v>0</v>
      </c>
      <c r="M184" s="82">
        <v>0</v>
      </c>
      <c r="N184" s="82">
        <v>0</v>
      </c>
      <c r="O184" s="45"/>
      <c r="P184" s="82">
        <v>0</v>
      </c>
      <c r="Q184" s="82">
        <v>0</v>
      </c>
      <c r="R184" s="82"/>
      <c r="S184" s="90">
        <v>0</v>
      </c>
    </row>
    <row r="185" spans="1:19" x14ac:dyDescent="0.3">
      <c r="A185" s="69">
        <v>160</v>
      </c>
      <c r="B185" s="69">
        <v>180</v>
      </c>
      <c r="C185" s="36">
        <v>482659</v>
      </c>
      <c r="D185" s="36">
        <v>8201830650</v>
      </c>
      <c r="E185" s="82">
        <v>4.8919583730514806E-4</v>
      </c>
      <c r="F185" s="92">
        <v>169.93012976034839</v>
      </c>
      <c r="G185" s="80">
        <v>0</v>
      </c>
      <c r="H185" s="60" t="str">
        <f t="shared" si="2"/>
        <v>(160, 180]</v>
      </c>
      <c r="I185" s="78">
        <v>0</v>
      </c>
      <c r="J185" s="82">
        <v>0</v>
      </c>
      <c r="K185" s="82">
        <v>0</v>
      </c>
      <c r="L185" s="89">
        <v>0</v>
      </c>
      <c r="M185" s="82">
        <v>0</v>
      </c>
      <c r="N185" s="82">
        <v>0</v>
      </c>
      <c r="O185" s="45"/>
      <c r="P185" s="82">
        <v>0</v>
      </c>
      <c r="Q185" s="82">
        <v>0</v>
      </c>
      <c r="R185" s="82"/>
      <c r="S185" s="90">
        <v>0</v>
      </c>
    </row>
    <row r="186" spans="1:19" x14ac:dyDescent="0.3">
      <c r="A186" s="69">
        <v>180</v>
      </c>
      <c r="B186" s="69">
        <v>200</v>
      </c>
      <c r="C186" s="36">
        <v>388393</v>
      </c>
      <c r="D186" s="36">
        <v>7389979140</v>
      </c>
      <c r="E186" s="82">
        <v>3.9365315644887663E-4</v>
      </c>
      <c r="F186" s="92">
        <v>190.27065729814905</v>
      </c>
      <c r="G186" s="80">
        <v>0</v>
      </c>
      <c r="H186" s="60" t="str">
        <f t="shared" si="2"/>
        <v>(180, 200]</v>
      </c>
      <c r="I186" s="78">
        <v>0</v>
      </c>
      <c r="J186" s="82">
        <v>0</v>
      </c>
      <c r="K186" s="82">
        <v>0</v>
      </c>
      <c r="L186" s="89">
        <v>0</v>
      </c>
      <c r="M186" s="82">
        <v>0</v>
      </c>
      <c r="N186" s="82">
        <v>0</v>
      </c>
      <c r="O186" s="45"/>
      <c r="P186" s="82">
        <v>0</v>
      </c>
      <c r="Q186" s="82">
        <v>0</v>
      </c>
      <c r="R186" s="82"/>
      <c r="S186" s="90">
        <v>0</v>
      </c>
    </row>
    <row r="187" spans="1:19" x14ac:dyDescent="0.3">
      <c r="A187" s="69">
        <v>200</v>
      </c>
      <c r="B187" s="69">
        <v>250</v>
      </c>
      <c r="C187" s="36">
        <v>687424</v>
      </c>
      <c r="D187" s="36">
        <v>15371333635</v>
      </c>
      <c r="E187" s="82">
        <v>6.9673404880806963E-4</v>
      </c>
      <c r="F187" s="92">
        <v>223.60775351166092</v>
      </c>
      <c r="G187" s="80">
        <v>0</v>
      </c>
      <c r="H187" s="60" t="str">
        <f t="shared" si="2"/>
        <v>(200, 250]</v>
      </c>
      <c r="I187" s="78">
        <v>0</v>
      </c>
      <c r="J187" s="82">
        <v>0</v>
      </c>
      <c r="K187" s="82">
        <v>0</v>
      </c>
      <c r="L187" s="89">
        <v>0</v>
      </c>
      <c r="M187" s="82">
        <v>0</v>
      </c>
      <c r="N187" s="82">
        <v>0</v>
      </c>
      <c r="O187" s="45"/>
      <c r="P187" s="82">
        <v>0</v>
      </c>
      <c r="Q187" s="82">
        <v>0</v>
      </c>
      <c r="R187" s="82"/>
      <c r="S187" s="90">
        <v>0</v>
      </c>
    </row>
    <row r="188" spans="1:19" x14ac:dyDescent="0.3">
      <c r="A188" s="69">
        <v>250</v>
      </c>
      <c r="B188" s="69">
        <v>300</v>
      </c>
      <c r="C188" s="36">
        <v>439263</v>
      </c>
      <c r="D188" s="36">
        <v>12028209705</v>
      </c>
      <c r="E188" s="82">
        <v>4.452121085117469E-4</v>
      </c>
      <c r="F188" s="92">
        <v>273.82706271641365</v>
      </c>
      <c r="G188" s="80">
        <v>0</v>
      </c>
      <c r="H188" s="60" t="str">
        <f t="shared" si="2"/>
        <v>(250, 300]</v>
      </c>
      <c r="I188" s="78">
        <v>0</v>
      </c>
      <c r="J188" s="82">
        <v>0</v>
      </c>
      <c r="K188" s="82">
        <v>0</v>
      </c>
      <c r="L188" s="89">
        <v>0</v>
      </c>
      <c r="M188" s="82">
        <v>0</v>
      </c>
      <c r="N188" s="82">
        <v>0</v>
      </c>
      <c r="O188" s="45"/>
      <c r="P188" s="82">
        <v>0</v>
      </c>
      <c r="Q188" s="82">
        <v>0</v>
      </c>
      <c r="R188" s="82"/>
      <c r="S188" s="90">
        <v>0</v>
      </c>
    </row>
    <row r="189" spans="1:19" x14ac:dyDescent="0.3">
      <c r="A189" s="69">
        <v>300</v>
      </c>
      <c r="B189" s="69">
        <v>350</v>
      </c>
      <c r="C189" s="36">
        <v>298334</v>
      </c>
      <c r="D189" s="36">
        <v>9668805040</v>
      </c>
      <c r="E189" s="82">
        <v>3.0237445261891734E-4</v>
      </c>
      <c r="F189" s="92">
        <v>324.09329945631407</v>
      </c>
      <c r="G189" s="80">
        <v>0</v>
      </c>
      <c r="H189" s="60" t="str">
        <f t="shared" si="2"/>
        <v>(300, 350]</v>
      </c>
      <c r="I189" s="78">
        <v>0</v>
      </c>
      <c r="J189" s="82">
        <v>0</v>
      </c>
      <c r="K189" s="82">
        <v>0</v>
      </c>
      <c r="L189" s="89">
        <v>0</v>
      </c>
      <c r="M189" s="82">
        <v>0</v>
      </c>
      <c r="N189" s="82">
        <v>0</v>
      </c>
      <c r="O189" s="45"/>
      <c r="P189" s="82">
        <v>0</v>
      </c>
      <c r="Q189" s="82">
        <v>0</v>
      </c>
      <c r="R189" s="82"/>
      <c r="S189" s="90">
        <v>0</v>
      </c>
    </row>
    <row r="190" spans="1:19" x14ac:dyDescent="0.3">
      <c r="A190" s="69">
        <v>350</v>
      </c>
      <c r="B190" s="69">
        <v>400</v>
      </c>
      <c r="C190" s="36">
        <v>211467</v>
      </c>
      <c r="D190" s="36">
        <v>7917340960</v>
      </c>
      <c r="E190" s="82">
        <v>2.1433097927813993E-4</v>
      </c>
      <c r="F190" s="92">
        <v>374.4007793178132</v>
      </c>
      <c r="G190" s="80">
        <v>0</v>
      </c>
      <c r="H190" s="60" t="str">
        <f t="shared" si="2"/>
        <v>(350, 400]</v>
      </c>
      <c r="I190" s="78">
        <v>0</v>
      </c>
      <c r="J190" s="82">
        <v>0</v>
      </c>
      <c r="K190" s="82">
        <v>0</v>
      </c>
      <c r="L190" s="89">
        <v>0</v>
      </c>
      <c r="M190" s="82">
        <v>0</v>
      </c>
      <c r="N190" s="82">
        <v>0</v>
      </c>
      <c r="O190" s="45"/>
      <c r="P190" s="82">
        <v>0</v>
      </c>
      <c r="Q190" s="82">
        <v>0</v>
      </c>
      <c r="R190" s="82"/>
      <c r="S190" s="90">
        <v>0</v>
      </c>
    </row>
    <row r="191" spans="1:19" x14ac:dyDescent="0.3">
      <c r="A191" s="69">
        <v>400</v>
      </c>
      <c r="B191" s="69">
        <v>450</v>
      </c>
      <c r="C191" s="36">
        <v>160769</v>
      </c>
      <c r="D191" s="36">
        <v>6824830435</v>
      </c>
      <c r="E191" s="82">
        <v>1.6294635667771936E-4</v>
      </c>
      <c r="F191" s="92">
        <v>424.51159334199997</v>
      </c>
      <c r="G191" s="80">
        <v>0</v>
      </c>
      <c r="H191" s="60" t="str">
        <f t="shared" si="2"/>
        <v>(400, 450]</v>
      </c>
      <c r="I191" s="78">
        <v>0</v>
      </c>
      <c r="J191" s="82">
        <v>0</v>
      </c>
      <c r="K191" s="82">
        <v>0</v>
      </c>
      <c r="L191" s="89">
        <v>0</v>
      </c>
      <c r="M191" s="82">
        <v>0</v>
      </c>
      <c r="N191" s="82">
        <v>0</v>
      </c>
      <c r="O191" s="45"/>
      <c r="P191" s="82">
        <v>0</v>
      </c>
      <c r="Q191" s="82">
        <v>0</v>
      </c>
      <c r="R191" s="82"/>
      <c r="S191" s="90">
        <v>0</v>
      </c>
    </row>
    <row r="192" spans="1:19" x14ac:dyDescent="0.3">
      <c r="A192" s="69">
        <v>450</v>
      </c>
      <c r="B192" s="69">
        <v>500</v>
      </c>
      <c r="C192" s="36">
        <v>129237</v>
      </c>
      <c r="D192" s="36">
        <v>6165238720</v>
      </c>
      <c r="E192" s="82">
        <v>1.309873066197987E-4</v>
      </c>
      <c r="F192" s="92">
        <v>477.04904323065375</v>
      </c>
      <c r="G192" s="80">
        <v>0</v>
      </c>
      <c r="H192" s="60" t="str">
        <f t="shared" si="2"/>
        <v>(450, 500]</v>
      </c>
      <c r="I192" s="78">
        <v>0</v>
      </c>
      <c r="J192" s="82">
        <v>0</v>
      </c>
      <c r="K192" s="82">
        <v>0</v>
      </c>
      <c r="L192" s="89">
        <v>0</v>
      </c>
      <c r="M192" s="82">
        <v>0</v>
      </c>
      <c r="N192" s="82">
        <v>0</v>
      </c>
      <c r="O192" s="45"/>
      <c r="P192" s="82">
        <v>0</v>
      </c>
      <c r="Q192" s="82">
        <v>0</v>
      </c>
      <c r="R192" s="82"/>
      <c r="S192" s="90">
        <v>0</v>
      </c>
    </row>
    <row r="193" spans="1:19" x14ac:dyDescent="0.3">
      <c r="A193" s="69">
        <v>500</v>
      </c>
      <c r="B193" s="69">
        <v>550</v>
      </c>
      <c r="C193" s="36">
        <v>94393</v>
      </c>
      <c r="D193" s="36">
        <v>4953718110</v>
      </c>
      <c r="E193" s="82">
        <v>9.5671400866335934E-5</v>
      </c>
      <c r="F193" s="92">
        <v>524.79718941023168</v>
      </c>
      <c r="G193" s="80">
        <v>0</v>
      </c>
      <c r="H193" s="60" t="str">
        <f t="shared" si="2"/>
        <v>(500, 550]</v>
      </c>
      <c r="I193" s="78">
        <v>0</v>
      </c>
      <c r="J193" s="82">
        <v>0</v>
      </c>
      <c r="K193" s="82">
        <v>0</v>
      </c>
      <c r="L193" s="89">
        <v>0</v>
      </c>
      <c r="M193" s="82">
        <v>0</v>
      </c>
      <c r="N193" s="82">
        <v>0</v>
      </c>
      <c r="O193" s="45"/>
      <c r="P193" s="82">
        <v>0</v>
      </c>
      <c r="Q193" s="82">
        <v>0</v>
      </c>
      <c r="R193" s="82"/>
      <c r="S193" s="90">
        <v>0</v>
      </c>
    </row>
    <row r="194" spans="1:19" x14ac:dyDescent="0.3">
      <c r="A194" s="69">
        <v>550</v>
      </c>
      <c r="B194" s="69">
        <v>600</v>
      </c>
      <c r="C194" s="36">
        <v>80326</v>
      </c>
      <c r="D194" s="36">
        <v>4635061450</v>
      </c>
      <c r="E194" s="82">
        <v>8.1413886050759064E-5</v>
      </c>
      <c r="F194" s="92">
        <v>577.03127878893508</v>
      </c>
      <c r="G194" s="80">
        <v>0</v>
      </c>
      <c r="H194" s="60" t="str">
        <f t="shared" si="2"/>
        <v>(550, 600]</v>
      </c>
      <c r="I194" s="78">
        <v>0</v>
      </c>
      <c r="J194" s="82">
        <v>0</v>
      </c>
      <c r="K194" s="82">
        <v>0</v>
      </c>
      <c r="L194" s="89">
        <v>0</v>
      </c>
      <c r="M194" s="82">
        <v>0</v>
      </c>
      <c r="N194" s="82">
        <v>0</v>
      </c>
      <c r="O194" s="45"/>
      <c r="P194" s="82">
        <v>0</v>
      </c>
      <c r="Q194" s="82">
        <v>0</v>
      </c>
      <c r="R194" s="82"/>
      <c r="S194" s="90">
        <v>0</v>
      </c>
    </row>
    <row r="195" spans="1:19" x14ac:dyDescent="0.3">
      <c r="A195" s="69">
        <v>600</v>
      </c>
      <c r="B195" s="69">
        <v>650</v>
      </c>
      <c r="C195" s="36">
        <v>60220</v>
      </c>
      <c r="D195" s="36">
        <v>3762531690</v>
      </c>
      <c r="E195" s="82">
        <v>6.1035582725104092E-5</v>
      </c>
      <c r="F195" s="92">
        <v>624.79769013616738</v>
      </c>
      <c r="G195" s="80">
        <v>0</v>
      </c>
      <c r="H195" s="60" t="str">
        <f t="shared" si="2"/>
        <v>(600, 650]</v>
      </c>
      <c r="I195" s="78">
        <v>0</v>
      </c>
      <c r="J195" s="82">
        <v>0</v>
      </c>
      <c r="K195" s="82">
        <v>0</v>
      </c>
      <c r="L195" s="89">
        <v>0</v>
      </c>
      <c r="M195" s="82">
        <v>0</v>
      </c>
      <c r="N195" s="82">
        <v>0</v>
      </c>
      <c r="O195" s="45"/>
      <c r="P195" s="82">
        <v>0</v>
      </c>
      <c r="Q195" s="82">
        <v>0</v>
      </c>
      <c r="R195" s="82"/>
      <c r="S195" s="90">
        <v>0</v>
      </c>
    </row>
    <row r="196" spans="1:19" x14ac:dyDescent="0.3">
      <c r="A196" s="69">
        <v>650</v>
      </c>
      <c r="B196" s="69">
        <v>700</v>
      </c>
      <c r="C196" s="36">
        <v>53095</v>
      </c>
      <c r="D196" s="36">
        <v>3597267525</v>
      </c>
      <c r="E196" s="82">
        <v>5.3814086097465986E-5</v>
      </c>
      <c r="F196" s="92">
        <v>677.51530746774642</v>
      </c>
      <c r="G196" s="80">
        <v>0</v>
      </c>
      <c r="H196" s="60" t="str">
        <f t="shared" si="2"/>
        <v>(650, 700]</v>
      </c>
      <c r="I196" s="78">
        <v>0</v>
      </c>
      <c r="J196" s="82">
        <v>0</v>
      </c>
      <c r="K196" s="82">
        <v>0</v>
      </c>
      <c r="L196" s="89">
        <v>0</v>
      </c>
      <c r="M196" s="82">
        <v>0</v>
      </c>
      <c r="N196" s="82">
        <v>0</v>
      </c>
      <c r="O196" s="45"/>
      <c r="P196" s="82">
        <v>0</v>
      </c>
      <c r="Q196" s="82">
        <v>0</v>
      </c>
      <c r="R196" s="82"/>
      <c r="S196" s="90">
        <v>0</v>
      </c>
    </row>
    <row r="197" spans="1:19" x14ac:dyDescent="0.3">
      <c r="A197" s="69">
        <v>700</v>
      </c>
      <c r="B197" s="69">
        <v>750</v>
      </c>
      <c r="C197" s="36">
        <v>46405</v>
      </c>
      <c r="D197" s="36">
        <v>3371782130</v>
      </c>
      <c r="E197" s="82">
        <v>4.703348084288368E-5</v>
      </c>
      <c r="F197" s="92">
        <v>726.59888589591628</v>
      </c>
      <c r="G197" s="80">
        <v>0</v>
      </c>
      <c r="H197" s="60" t="str">
        <f t="shared" si="2"/>
        <v>(700, 750]</v>
      </c>
      <c r="I197" s="78">
        <v>0</v>
      </c>
      <c r="J197" s="82">
        <v>0</v>
      </c>
      <c r="K197" s="82">
        <v>0</v>
      </c>
      <c r="L197" s="89">
        <v>0</v>
      </c>
      <c r="M197" s="82">
        <v>0</v>
      </c>
      <c r="N197" s="82">
        <v>0</v>
      </c>
      <c r="O197" s="45"/>
      <c r="P197" s="82">
        <v>0</v>
      </c>
      <c r="Q197" s="82">
        <v>0</v>
      </c>
      <c r="R197" s="82"/>
      <c r="S197" s="90">
        <v>0</v>
      </c>
    </row>
    <row r="198" spans="1:19" x14ac:dyDescent="0.3">
      <c r="A198" s="69">
        <v>750</v>
      </c>
      <c r="B198" s="69">
        <v>800</v>
      </c>
      <c r="C198" s="36">
        <v>37597</v>
      </c>
      <c r="D198" s="36">
        <v>2923058065</v>
      </c>
      <c r="E198" s="82">
        <v>3.810619069604348E-5</v>
      </c>
      <c r="F198" s="92">
        <v>777.4710921084129</v>
      </c>
      <c r="G198" s="80">
        <v>0</v>
      </c>
      <c r="H198" s="60" t="str">
        <f t="shared" si="2"/>
        <v>(750, 800]</v>
      </c>
      <c r="I198" s="78">
        <v>0</v>
      </c>
      <c r="J198" s="82">
        <v>0</v>
      </c>
      <c r="K198" s="82">
        <v>0</v>
      </c>
      <c r="L198" s="89">
        <v>0</v>
      </c>
      <c r="M198" s="82">
        <v>0</v>
      </c>
      <c r="N198" s="82">
        <v>0</v>
      </c>
      <c r="O198" s="45"/>
      <c r="P198" s="82">
        <v>0</v>
      </c>
      <c r="Q198" s="82">
        <v>0</v>
      </c>
      <c r="R198" s="82"/>
      <c r="S198" s="90">
        <v>0</v>
      </c>
    </row>
    <row r="199" spans="1:19" x14ac:dyDescent="0.3">
      <c r="A199" s="69">
        <v>800</v>
      </c>
      <c r="B199" s="69">
        <v>850</v>
      </c>
      <c r="C199" s="36">
        <v>33614</v>
      </c>
      <c r="D199" s="36">
        <v>2776922115</v>
      </c>
      <c r="E199" s="82">
        <v>3.4069247388270488E-5</v>
      </c>
      <c r="F199" s="92">
        <v>826.12069822097942</v>
      </c>
      <c r="G199" s="80">
        <v>0</v>
      </c>
      <c r="H199" s="60" t="str">
        <f t="shared" si="2"/>
        <v>(800, 850]</v>
      </c>
      <c r="I199" s="78">
        <v>0</v>
      </c>
      <c r="J199" s="82">
        <v>0</v>
      </c>
      <c r="K199" s="82">
        <v>0</v>
      </c>
      <c r="L199" s="89">
        <v>0</v>
      </c>
      <c r="M199" s="82">
        <v>0</v>
      </c>
      <c r="N199" s="82">
        <v>0</v>
      </c>
      <c r="O199" s="45"/>
      <c r="P199" s="82">
        <v>0</v>
      </c>
      <c r="Q199" s="82">
        <v>0</v>
      </c>
      <c r="R199" s="82"/>
      <c r="S199" s="90">
        <v>0</v>
      </c>
    </row>
    <row r="200" spans="1:19" x14ac:dyDescent="0.3">
      <c r="A200" s="69">
        <v>850</v>
      </c>
      <c r="B200" s="69">
        <v>900</v>
      </c>
      <c r="C200" s="36">
        <v>26774</v>
      </c>
      <c r="D200" s="36">
        <v>2345628000</v>
      </c>
      <c r="E200" s="82">
        <v>2.713661062573791E-5</v>
      </c>
      <c r="F200" s="92">
        <v>876.08426085007841</v>
      </c>
      <c r="G200" s="80">
        <v>0</v>
      </c>
      <c r="H200" s="60" t="str">
        <f t="shared" si="2"/>
        <v>(850, 900]</v>
      </c>
      <c r="I200" s="78">
        <v>0</v>
      </c>
      <c r="J200" s="82">
        <v>0</v>
      </c>
      <c r="K200" s="82">
        <v>0</v>
      </c>
      <c r="L200" s="93">
        <v>0</v>
      </c>
      <c r="M200" s="82">
        <v>0</v>
      </c>
      <c r="N200" s="82">
        <v>0</v>
      </c>
      <c r="O200" s="45"/>
      <c r="P200" s="82">
        <v>0</v>
      </c>
      <c r="Q200" s="82">
        <v>0</v>
      </c>
      <c r="R200" s="82"/>
      <c r="S200" s="90">
        <v>0</v>
      </c>
    </row>
    <row r="201" spans="1:19" x14ac:dyDescent="0.3">
      <c r="A201" s="69">
        <v>900</v>
      </c>
      <c r="B201" s="69">
        <v>950</v>
      </c>
      <c r="C201" s="36">
        <v>24569</v>
      </c>
      <c r="D201" s="36">
        <v>2274867630</v>
      </c>
      <c r="E201" s="82">
        <v>2.4901747458868855E-5</v>
      </c>
      <c r="F201" s="92">
        <v>925.90973584598487</v>
      </c>
      <c r="G201" s="80">
        <v>0</v>
      </c>
      <c r="H201" s="60" t="str">
        <f t="shared" si="2"/>
        <v>(900, 950]</v>
      </c>
      <c r="I201" s="78">
        <v>0</v>
      </c>
      <c r="J201" s="82">
        <v>0</v>
      </c>
      <c r="K201" s="82">
        <v>0</v>
      </c>
      <c r="L201" s="93">
        <v>0</v>
      </c>
      <c r="M201" s="82">
        <v>0</v>
      </c>
      <c r="N201" s="82">
        <v>0</v>
      </c>
      <c r="O201" s="45"/>
      <c r="P201" s="82">
        <v>0</v>
      </c>
      <c r="Q201" s="82">
        <v>0</v>
      </c>
      <c r="R201" s="82"/>
      <c r="S201" s="90">
        <v>0</v>
      </c>
    </row>
    <row r="202" spans="1:19" x14ac:dyDescent="0.3">
      <c r="A202" s="69">
        <v>950</v>
      </c>
      <c r="B202" s="69">
        <v>1000</v>
      </c>
      <c r="C202" s="36">
        <v>27962</v>
      </c>
      <c r="D202" s="36">
        <v>2747461710</v>
      </c>
      <c r="E202" s="82">
        <v>2.8340700168704095E-5</v>
      </c>
      <c r="F202" s="92">
        <v>982.56981260281816</v>
      </c>
      <c r="G202" s="80">
        <v>0</v>
      </c>
      <c r="H202" s="60" t="str">
        <f t="shared" si="2"/>
        <v>(950, 1000]</v>
      </c>
      <c r="I202" s="78">
        <v>0</v>
      </c>
      <c r="J202" s="82">
        <v>0</v>
      </c>
      <c r="K202" s="82">
        <v>0</v>
      </c>
      <c r="L202" s="93">
        <v>0</v>
      </c>
      <c r="M202" s="82">
        <v>0</v>
      </c>
      <c r="N202" s="82">
        <v>0</v>
      </c>
      <c r="O202" s="45"/>
      <c r="P202" s="82">
        <v>0</v>
      </c>
      <c r="Q202" s="82">
        <v>0</v>
      </c>
      <c r="R202" s="82"/>
      <c r="S202" s="90">
        <v>0</v>
      </c>
    </row>
    <row r="203" spans="1:19" x14ac:dyDescent="0.3">
      <c r="A203" s="69">
        <v>1000</v>
      </c>
      <c r="B203" s="69">
        <v>2000</v>
      </c>
      <c r="C203" s="36">
        <v>233082</v>
      </c>
      <c r="D203" s="36">
        <v>32853564355</v>
      </c>
      <c r="E203" s="82">
        <v>2.3623871957377467E-4</v>
      </c>
      <c r="F203" s="92">
        <v>1409.5281641224976</v>
      </c>
      <c r="G203" s="80">
        <v>0</v>
      </c>
      <c r="H203" s="60" t="str">
        <f t="shared" si="2"/>
        <v>(1000, 2000]</v>
      </c>
      <c r="I203" s="78">
        <v>0</v>
      </c>
      <c r="J203" s="82">
        <v>0</v>
      </c>
      <c r="K203" s="82">
        <v>0</v>
      </c>
      <c r="L203" s="93">
        <v>0</v>
      </c>
      <c r="M203" s="82">
        <v>0</v>
      </c>
      <c r="N203" s="82">
        <v>0</v>
      </c>
      <c r="O203" s="45"/>
      <c r="P203" s="82">
        <v>0</v>
      </c>
      <c r="Q203" s="82">
        <v>0</v>
      </c>
      <c r="R203" s="82"/>
      <c r="S203" s="90">
        <v>0</v>
      </c>
    </row>
    <row r="204" spans="1:19" x14ac:dyDescent="0.3">
      <c r="A204" s="69">
        <v>2000</v>
      </c>
      <c r="B204" s="69">
        <v>3000</v>
      </c>
      <c r="C204" s="36">
        <v>99782</v>
      </c>
      <c r="D204" s="36">
        <v>24536958475</v>
      </c>
      <c r="E204" s="82">
        <v>1.0113338617529619E-4</v>
      </c>
      <c r="F204" s="92">
        <v>2459.0565908680924</v>
      </c>
      <c r="G204" s="80">
        <v>0</v>
      </c>
      <c r="H204" s="60" t="str">
        <f t="shared" si="2"/>
        <v>(2000, 3000]</v>
      </c>
      <c r="I204" s="78">
        <v>0</v>
      </c>
      <c r="J204" s="82">
        <v>0</v>
      </c>
      <c r="K204" s="82">
        <v>0</v>
      </c>
      <c r="L204" s="93">
        <v>0</v>
      </c>
      <c r="M204" s="82">
        <v>0</v>
      </c>
      <c r="N204" s="82">
        <v>0</v>
      </c>
      <c r="O204" s="45"/>
      <c r="P204" s="82">
        <v>0</v>
      </c>
      <c r="Q204" s="82">
        <v>0</v>
      </c>
      <c r="R204" s="82"/>
      <c r="S204" s="90">
        <v>0</v>
      </c>
    </row>
    <row r="205" spans="1:19" x14ac:dyDescent="0.3">
      <c r="A205" s="69">
        <v>3000</v>
      </c>
      <c r="B205" s="69">
        <v>4000</v>
      </c>
      <c r="C205" s="36">
        <v>57998</v>
      </c>
      <c r="D205" s="36">
        <v>20106047060</v>
      </c>
      <c r="E205" s="82">
        <v>5.8783489320667335E-5</v>
      </c>
      <c r="F205" s="92">
        <v>3466.6793785992618</v>
      </c>
      <c r="G205" s="80">
        <v>0</v>
      </c>
      <c r="H205" s="60" t="str">
        <f t="shared" si="2"/>
        <v>(3000, 4000]</v>
      </c>
      <c r="I205" s="78">
        <v>0</v>
      </c>
      <c r="J205" s="82">
        <v>0</v>
      </c>
      <c r="K205" s="82">
        <v>0</v>
      </c>
      <c r="L205" s="93">
        <v>0</v>
      </c>
      <c r="M205" s="82">
        <v>0</v>
      </c>
      <c r="N205" s="82">
        <v>0</v>
      </c>
      <c r="O205" s="45"/>
      <c r="P205" s="82">
        <v>0</v>
      </c>
      <c r="Q205" s="82">
        <v>0</v>
      </c>
      <c r="R205" s="82"/>
      <c r="S205" s="90">
        <v>0</v>
      </c>
    </row>
    <row r="206" spans="1:19" x14ac:dyDescent="0.3">
      <c r="A206" s="69">
        <v>4000</v>
      </c>
      <c r="B206" s="69">
        <v>5000</v>
      </c>
      <c r="C206" s="36">
        <v>38503</v>
      </c>
      <c r="D206" s="36">
        <v>17231506030</v>
      </c>
      <c r="E206" s="82">
        <v>3.9024461004063148E-5</v>
      </c>
      <c r="F206" s="92">
        <v>4475.3671220424385</v>
      </c>
      <c r="G206" s="80">
        <v>0</v>
      </c>
      <c r="H206" s="60" t="str">
        <f t="shared" si="2"/>
        <v>(4000, 5000]</v>
      </c>
      <c r="I206" s="78">
        <v>0</v>
      </c>
      <c r="J206" s="82">
        <v>0</v>
      </c>
      <c r="K206" s="82">
        <v>0</v>
      </c>
      <c r="L206" s="93">
        <v>0</v>
      </c>
      <c r="M206" s="82">
        <v>0</v>
      </c>
      <c r="N206" s="82">
        <v>0</v>
      </c>
      <c r="O206" s="45"/>
      <c r="P206" s="82">
        <v>0</v>
      </c>
      <c r="Q206" s="82">
        <v>0</v>
      </c>
      <c r="R206" s="82"/>
      <c r="S206" s="90">
        <v>0</v>
      </c>
    </row>
    <row r="207" spans="1:19" x14ac:dyDescent="0.3">
      <c r="A207" s="69">
        <v>5000</v>
      </c>
      <c r="B207" s="69">
        <v>6000</v>
      </c>
      <c r="C207" s="36">
        <v>26773</v>
      </c>
      <c r="D207" s="36">
        <v>14661579840</v>
      </c>
      <c r="E207" s="82">
        <v>2.7135597082351575E-5</v>
      </c>
      <c r="F207" s="92">
        <v>5476.2558697194936</v>
      </c>
      <c r="G207" s="80">
        <v>0</v>
      </c>
      <c r="H207" s="60" t="str">
        <f t="shared" si="2"/>
        <v>(5000, 6000]</v>
      </c>
      <c r="I207" s="78">
        <v>0</v>
      </c>
      <c r="J207" s="82">
        <v>0</v>
      </c>
      <c r="K207" s="82">
        <v>0</v>
      </c>
      <c r="L207" s="93">
        <v>0</v>
      </c>
      <c r="M207" s="82">
        <v>0</v>
      </c>
      <c r="N207" s="82">
        <v>0</v>
      </c>
      <c r="O207" s="45"/>
      <c r="P207" s="82">
        <v>0</v>
      </c>
      <c r="Q207" s="82">
        <v>0</v>
      </c>
      <c r="R207" s="82"/>
      <c r="S207" s="90">
        <v>0</v>
      </c>
    </row>
    <row r="208" spans="1:19" x14ac:dyDescent="0.3">
      <c r="A208" s="69">
        <v>6000</v>
      </c>
      <c r="B208" s="69">
        <v>7000</v>
      </c>
      <c r="C208" s="36">
        <v>18992</v>
      </c>
      <c r="D208" s="36">
        <v>12301404390</v>
      </c>
      <c r="E208" s="82">
        <v>1.9249215993277597E-5</v>
      </c>
      <c r="F208" s="92">
        <v>6477.1505844566136</v>
      </c>
      <c r="G208" s="80">
        <v>0</v>
      </c>
      <c r="H208" s="60" t="str">
        <f t="shared" si="2"/>
        <v>(6000, 7000]</v>
      </c>
      <c r="I208" s="78">
        <v>0</v>
      </c>
      <c r="J208" s="82">
        <v>0</v>
      </c>
      <c r="K208" s="82">
        <v>0</v>
      </c>
      <c r="L208" s="93">
        <v>0</v>
      </c>
      <c r="M208" s="82">
        <v>0</v>
      </c>
      <c r="N208" s="82">
        <v>0</v>
      </c>
      <c r="O208" s="45"/>
      <c r="P208" s="82">
        <v>0</v>
      </c>
      <c r="Q208" s="82">
        <v>0</v>
      </c>
      <c r="R208" s="82"/>
      <c r="S208" s="90">
        <v>0</v>
      </c>
    </row>
    <row r="209" spans="1:20" x14ac:dyDescent="0.3">
      <c r="A209" s="69">
        <v>7000</v>
      </c>
      <c r="B209" s="69">
        <v>8000</v>
      </c>
      <c r="C209" s="36">
        <v>13726</v>
      </c>
      <c r="D209" s="36">
        <v>10266031555</v>
      </c>
      <c r="E209" s="82">
        <v>1.3911896520836579E-5</v>
      </c>
      <c r="F209" s="92">
        <v>7479.2594747195099</v>
      </c>
      <c r="G209" s="80">
        <v>0</v>
      </c>
      <c r="H209" s="60" t="str">
        <f t="shared" si="2"/>
        <v>(7000, 8000]</v>
      </c>
      <c r="I209" s="78">
        <v>0</v>
      </c>
      <c r="J209" s="82">
        <v>0</v>
      </c>
      <c r="K209" s="82">
        <v>0</v>
      </c>
      <c r="L209" s="93">
        <v>0</v>
      </c>
      <c r="M209" s="82">
        <v>0</v>
      </c>
      <c r="N209" s="82">
        <v>0</v>
      </c>
      <c r="O209" s="45"/>
      <c r="P209" s="82">
        <v>0</v>
      </c>
      <c r="Q209" s="82">
        <v>0</v>
      </c>
      <c r="R209" s="82"/>
      <c r="S209" s="90">
        <v>0</v>
      </c>
    </row>
    <row r="210" spans="1:20" x14ac:dyDescent="0.3">
      <c r="A210" s="69">
        <v>8000</v>
      </c>
      <c r="B210" s="69">
        <v>9000</v>
      </c>
      <c r="C210" s="36">
        <v>10373</v>
      </c>
      <c r="D210" s="36">
        <v>8803774195</v>
      </c>
      <c r="E210" s="82">
        <v>1.0513485546454745E-5</v>
      </c>
      <c r="F210" s="92">
        <v>8487.2015762074625</v>
      </c>
      <c r="G210" s="80">
        <v>0</v>
      </c>
      <c r="H210" s="60" t="str">
        <f t="shared" si="2"/>
        <v>(8000, 9000]</v>
      </c>
      <c r="I210" s="78">
        <v>0</v>
      </c>
      <c r="J210" s="82">
        <v>0</v>
      </c>
      <c r="K210" s="82">
        <v>0</v>
      </c>
      <c r="L210" s="93">
        <v>0</v>
      </c>
      <c r="M210" s="82">
        <v>0</v>
      </c>
      <c r="N210" s="82">
        <v>0</v>
      </c>
      <c r="O210" s="45"/>
      <c r="P210" s="82">
        <v>0</v>
      </c>
      <c r="Q210" s="82">
        <v>0</v>
      </c>
      <c r="R210" s="82"/>
      <c r="S210" s="90">
        <v>0</v>
      </c>
    </row>
    <row r="211" spans="1:20" x14ac:dyDescent="0.3">
      <c r="A211" s="69">
        <v>9000</v>
      </c>
      <c r="B211" s="69">
        <v>10000</v>
      </c>
      <c r="C211" s="36">
        <v>7646</v>
      </c>
      <c r="D211" s="36">
        <v>7255896185</v>
      </c>
      <c r="E211" s="82">
        <v>7.7495527319187284E-6</v>
      </c>
      <c r="F211" s="92">
        <v>9489.7935979597169</v>
      </c>
      <c r="G211" s="80">
        <v>0</v>
      </c>
      <c r="H211" s="60" t="str">
        <f t="shared" si="2"/>
        <v>(9000, 10000]</v>
      </c>
      <c r="I211" s="78">
        <v>0</v>
      </c>
      <c r="J211" s="82">
        <v>0</v>
      </c>
      <c r="K211" s="82">
        <v>0</v>
      </c>
      <c r="L211" s="93">
        <v>0</v>
      </c>
      <c r="M211" s="82">
        <v>0</v>
      </c>
      <c r="N211" s="82">
        <v>0</v>
      </c>
      <c r="O211" s="45"/>
      <c r="P211" s="82">
        <v>0</v>
      </c>
      <c r="Q211" s="82">
        <v>0</v>
      </c>
      <c r="R211" s="82"/>
      <c r="S211" s="90">
        <v>0</v>
      </c>
    </row>
    <row r="212" spans="1:20" x14ac:dyDescent="0.3">
      <c r="A212" s="69">
        <v>10000</v>
      </c>
      <c r="B212" s="69">
        <v>20000</v>
      </c>
      <c r="C212" s="36">
        <v>27261</v>
      </c>
      <c r="D212" s="36">
        <v>36767192000</v>
      </c>
      <c r="E212" s="82">
        <v>2.7630206254883139E-5</v>
      </c>
      <c r="F212" s="92">
        <v>13487.103187704046</v>
      </c>
      <c r="G212" s="80">
        <v>0</v>
      </c>
      <c r="H212" s="60" t="str">
        <f t="shared" si="2"/>
        <v>(10000, 20000]</v>
      </c>
      <c r="I212" s="78">
        <v>0</v>
      </c>
      <c r="J212" s="82">
        <v>0</v>
      </c>
      <c r="K212" s="82">
        <v>0</v>
      </c>
      <c r="L212" s="93">
        <v>0</v>
      </c>
      <c r="M212" s="82">
        <v>0</v>
      </c>
      <c r="N212" s="82">
        <v>0</v>
      </c>
      <c r="O212" s="45"/>
      <c r="P212" s="82">
        <v>0</v>
      </c>
      <c r="Q212" s="82">
        <v>0</v>
      </c>
      <c r="R212" s="82"/>
      <c r="S212" s="90">
        <v>0</v>
      </c>
    </row>
    <row r="213" spans="1:20" x14ac:dyDescent="0.3">
      <c r="A213" s="69">
        <v>20000</v>
      </c>
      <c r="B213" s="69">
        <v>30000</v>
      </c>
      <c r="C213" s="36">
        <v>4794</v>
      </c>
      <c r="D213" s="36">
        <v>11474887465</v>
      </c>
      <c r="E213" s="82">
        <v>4.8589269940908168E-6</v>
      </c>
      <c r="F213" s="92">
        <v>23935.93547142261</v>
      </c>
      <c r="G213" s="80">
        <v>0</v>
      </c>
      <c r="H213" s="60" t="str">
        <f t="shared" si="2"/>
        <v>(20000, 30000]</v>
      </c>
      <c r="I213" s="78">
        <v>0</v>
      </c>
      <c r="J213" s="82">
        <v>0</v>
      </c>
      <c r="K213" s="82">
        <v>0</v>
      </c>
      <c r="L213" s="93">
        <v>0</v>
      </c>
      <c r="M213" s="82">
        <v>0</v>
      </c>
      <c r="N213" s="82">
        <v>0</v>
      </c>
      <c r="O213" s="45"/>
      <c r="P213" s="82">
        <v>0</v>
      </c>
      <c r="Q213" s="82">
        <v>0</v>
      </c>
      <c r="R213" s="82"/>
      <c r="S213" s="90">
        <v>0</v>
      </c>
    </row>
    <row r="214" spans="1:20" x14ac:dyDescent="0.3">
      <c r="A214" s="69">
        <v>30000</v>
      </c>
      <c r="B214" s="69">
        <v>40000</v>
      </c>
      <c r="C214" s="36">
        <v>1168</v>
      </c>
      <c r="D214" s="36">
        <v>3941775520</v>
      </c>
      <c r="E214" s="82">
        <v>1.1838186752394815E-6</v>
      </c>
      <c r="F214" s="92">
        <v>33748.07808219178</v>
      </c>
      <c r="G214" s="80">
        <v>0</v>
      </c>
      <c r="H214" s="60" t="str">
        <f t="shared" si="2"/>
        <v>(30000, 40000]</v>
      </c>
      <c r="I214" s="78">
        <v>0</v>
      </c>
      <c r="J214" s="82">
        <v>0</v>
      </c>
      <c r="K214" s="82">
        <v>0</v>
      </c>
      <c r="L214" s="93">
        <v>0</v>
      </c>
      <c r="M214" s="82">
        <v>0</v>
      </c>
      <c r="N214" s="82">
        <v>0</v>
      </c>
      <c r="O214" s="45"/>
      <c r="P214" s="82">
        <v>0</v>
      </c>
      <c r="Q214" s="82">
        <v>0</v>
      </c>
      <c r="R214" s="82"/>
      <c r="S214" s="90">
        <v>0</v>
      </c>
    </row>
    <row r="215" spans="1:20" x14ac:dyDescent="0.3">
      <c r="A215" s="69">
        <v>40000</v>
      </c>
      <c r="B215" s="69">
        <v>50000</v>
      </c>
      <c r="C215" s="36">
        <v>348</v>
      </c>
      <c r="D215" s="36">
        <v>1549257685</v>
      </c>
      <c r="E215" s="82">
        <v>3.5271309844464005E-7</v>
      </c>
      <c r="F215" s="92">
        <v>44518.898994252879</v>
      </c>
      <c r="G215" s="80">
        <v>0</v>
      </c>
      <c r="H215" s="60" t="str">
        <f t="shared" si="2"/>
        <v>(40000, 50000]</v>
      </c>
      <c r="I215" s="78">
        <v>0</v>
      </c>
      <c r="J215" s="82">
        <v>0</v>
      </c>
      <c r="K215" s="82">
        <v>0</v>
      </c>
      <c r="L215" s="93">
        <v>0</v>
      </c>
      <c r="M215" s="82">
        <v>0</v>
      </c>
      <c r="N215" s="82">
        <v>0</v>
      </c>
      <c r="O215" s="45"/>
      <c r="P215" s="82">
        <v>0</v>
      </c>
      <c r="Q215" s="82">
        <v>0</v>
      </c>
      <c r="R215" s="82"/>
      <c r="S215" s="90">
        <v>0</v>
      </c>
    </row>
    <row r="216" spans="1:20" x14ac:dyDescent="0.3">
      <c r="A216" s="69">
        <v>50000</v>
      </c>
      <c r="B216" s="69">
        <v>60000</v>
      </c>
      <c r="C216" s="36">
        <v>658</v>
      </c>
      <c r="D216" s="36">
        <v>3583737515</v>
      </c>
      <c r="E216" s="82">
        <v>6.6691154820854352E-7</v>
      </c>
      <c r="F216" s="92">
        <v>54464.095972644376</v>
      </c>
      <c r="G216" s="80">
        <v>0</v>
      </c>
      <c r="H216" s="60" t="str">
        <f t="shared" si="2"/>
        <v>(50000, 60000]</v>
      </c>
      <c r="I216" s="78">
        <v>0</v>
      </c>
      <c r="J216" s="82">
        <v>0</v>
      </c>
      <c r="K216" s="82">
        <v>0</v>
      </c>
      <c r="L216" s="93">
        <v>0</v>
      </c>
      <c r="M216" s="82">
        <v>0</v>
      </c>
      <c r="N216" s="82">
        <v>0</v>
      </c>
      <c r="O216" s="45"/>
      <c r="P216" s="82">
        <v>0</v>
      </c>
      <c r="Q216" s="82">
        <v>0</v>
      </c>
      <c r="R216" s="82"/>
      <c r="S216" s="90">
        <v>0</v>
      </c>
    </row>
    <row r="217" spans="1:20" x14ac:dyDescent="0.3">
      <c r="A217" s="69">
        <v>60000</v>
      </c>
      <c r="B217" s="69">
        <v>70000</v>
      </c>
      <c r="C217" s="36">
        <v>192</v>
      </c>
      <c r="D217" s="36">
        <v>1228675605</v>
      </c>
      <c r="E217" s="82">
        <v>1.9460033017635312E-7</v>
      </c>
      <c r="F217" s="92">
        <v>63993.521093750001</v>
      </c>
      <c r="G217" s="80">
        <v>0</v>
      </c>
      <c r="H217" s="60" t="str">
        <f t="shared" si="2"/>
        <v>(60000, 70000]</v>
      </c>
      <c r="I217" s="78">
        <v>0</v>
      </c>
      <c r="J217" s="82">
        <v>0</v>
      </c>
      <c r="K217" s="82">
        <v>0</v>
      </c>
      <c r="L217" s="93">
        <v>0</v>
      </c>
      <c r="M217" s="82">
        <v>0</v>
      </c>
      <c r="N217" s="82">
        <v>0</v>
      </c>
      <c r="O217" s="45"/>
      <c r="P217" s="82">
        <v>0</v>
      </c>
      <c r="Q217" s="82">
        <v>0</v>
      </c>
      <c r="R217" s="82"/>
      <c r="S217" s="90">
        <v>0</v>
      </c>
    </row>
    <row r="218" spans="1:20" x14ac:dyDescent="0.3">
      <c r="A218" s="69">
        <v>70000</v>
      </c>
      <c r="B218" s="69">
        <v>80000</v>
      </c>
      <c r="C218" s="36">
        <v>46</v>
      </c>
      <c r="D218" s="36">
        <v>339933765</v>
      </c>
      <c r="E218" s="82">
        <v>4.6622995771417934E-8</v>
      </c>
      <c r="F218" s="92">
        <v>73898.644565217386</v>
      </c>
      <c r="G218" s="80">
        <v>0</v>
      </c>
      <c r="H218" s="60" t="str">
        <f t="shared" si="2"/>
        <v>(70000, 80000]</v>
      </c>
      <c r="I218" s="78">
        <v>0</v>
      </c>
      <c r="J218" s="82">
        <v>0</v>
      </c>
      <c r="K218" s="82">
        <v>0</v>
      </c>
      <c r="L218" s="93">
        <v>0</v>
      </c>
      <c r="M218" s="82">
        <v>0</v>
      </c>
      <c r="N218" s="82">
        <v>0</v>
      </c>
      <c r="O218" s="45"/>
      <c r="P218" s="82">
        <v>0</v>
      </c>
      <c r="Q218" s="82">
        <v>0</v>
      </c>
      <c r="R218" s="82"/>
      <c r="S218" s="90">
        <v>0</v>
      </c>
    </row>
    <row r="219" spans="1:20" x14ac:dyDescent="0.3">
      <c r="A219" s="69">
        <v>80000</v>
      </c>
      <c r="B219" s="69">
        <v>90000</v>
      </c>
      <c r="C219" s="36">
        <v>18</v>
      </c>
      <c r="D219" s="36">
        <v>149870980</v>
      </c>
      <c r="E219" s="82">
        <v>1.8243780954033104E-8</v>
      </c>
      <c r="F219" s="92">
        <v>83261.655555555553</v>
      </c>
      <c r="G219" s="80">
        <v>0</v>
      </c>
      <c r="H219" s="60" t="str">
        <f t="shared" si="2"/>
        <v>(80000, 90000]</v>
      </c>
      <c r="I219" s="78">
        <v>0</v>
      </c>
      <c r="J219" s="82">
        <v>0</v>
      </c>
      <c r="K219" s="82">
        <v>0</v>
      </c>
      <c r="L219" s="93">
        <v>0</v>
      </c>
      <c r="M219" s="82">
        <v>0</v>
      </c>
      <c r="N219" s="82">
        <v>0</v>
      </c>
      <c r="O219" s="45"/>
      <c r="P219" s="82">
        <v>0</v>
      </c>
      <c r="Q219" s="82">
        <v>0</v>
      </c>
      <c r="R219" s="82"/>
      <c r="S219" s="90">
        <v>0</v>
      </c>
    </row>
    <row r="220" spans="1:20" x14ac:dyDescent="0.3">
      <c r="A220" s="69">
        <v>90000</v>
      </c>
      <c r="B220" s="69">
        <v>100000</v>
      </c>
      <c r="C220" s="36">
        <v>6</v>
      </c>
      <c r="D220" s="36">
        <v>57272250</v>
      </c>
      <c r="E220" s="82">
        <v>6.081260318011035E-9</v>
      </c>
      <c r="F220" s="92">
        <v>95453.75</v>
      </c>
      <c r="G220" s="80">
        <v>0</v>
      </c>
      <c r="H220" s="60" t="str">
        <f t="shared" si="2"/>
        <v>(90000, 100000]</v>
      </c>
      <c r="I220" s="78">
        <v>0</v>
      </c>
      <c r="J220" s="82">
        <v>0</v>
      </c>
      <c r="K220" s="82">
        <v>0</v>
      </c>
      <c r="L220" s="93">
        <v>0</v>
      </c>
      <c r="M220" s="82">
        <v>0</v>
      </c>
      <c r="N220" s="82">
        <v>0</v>
      </c>
      <c r="O220" s="45"/>
      <c r="P220" s="82">
        <v>0</v>
      </c>
      <c r="Q220" s="82">
        <v>0</v>
      </c>
      <c r="R220" s="82"/>
      <c r="S220" s="90">
        <v>0</v>
      </c>
    </row>
    <row r="221" spans="1:20" x14ac:dyDescent="0.3">
      <c r="A221" s="69">
        <v>100000</v>
      </c>
      <c r="B221" s="69">
        <v>9999999</v>
      </c>
      <c r="C221" s="36">
        <v>156</v>
      </c>
      <c r="D221" s="36">
        <v>1792140330</v>
      </c>
      <c r="E221" s="82">
        <v>1.5811276826828693E-7</v>
      </c>
      <c r="F221" s="92">
        <v>114880.79038461538</v>
      </c>
      <c r="G221" s="80">
        <v>0</v>
      </c>
      <c r="H221" s="60" t="str">
        <f t="shared" si="2"/>
        <v>(100000, 9999999]</v>
      </c>
      <c r="I221" s="78">
        <v>0</v>
      </c>
      <c r="J221" s="82">
        <v>0</v>
      </c>
      <c r="K221" s="82">
        <v>0</v>
      </c>
      <c r="L221" s="93">
        <v>0</v>
      </c>
      <c r="M221" s="82">
        <v>0</v>
      </c>
      <c r="N221" s="82">
        <v>0</v>
      </c>
      <c r="O221" s="45"/>
      <c r="P221" s="82">
        <v>0</v>
      </c>
      <c r="Q221" s="82">
        <v>0</v>
      </c>
      <c r="R221" s="82"/>
      <c r="S221" s="90">
        <v>0</v>
      </c>
    </row>
    <row r="222" spans="1:20" x14ac:dyDescent="0.3">
      <c r="A222" s="106" t="s">
        <v>24</v>
      </c>
      <c r="B222" s="107"/>
      <c r="C222" s="94">
        <f>E222*B156</f>
        <v>13362000</v>
      </c>
      <c r="D222" s="36" cm="1">
        <f t="array" ref="D222:E222">D80:E80</f>
        <v>360008300</v>
      </c>
      <c r="E222" s="68">
        <v>1.3362000000000001E-2</v>
      </c>
      <c r="F222" s="92">
        <v>0.26942695704235892</v>
      </c>
      <c r="G222" s="80"/>
      <c r="H222" s="60" t="s">
        <v>24</v>
      </c>
      <c r="I222" s="98">
        <f>I80*5</f>
        <v>1.57</v>
      </c>
      <c r="J222" s="82">
        <v>2.0978340000000002E-2</v>
      </c>
      <c r="K222" s="82">
        <f>J222</f>
        <v>2.0978340000000002E-2</v>
      </c>
      <c r="L222" s="93">
        <v>20978340</v>
      </c>
      <c r="M222" s="96">
        <v>2.0970757162946694E-2</v>
      </c>
      <c r="N222" s="82">
        <v>5.6500872892869796E-3</v>
      </c>
      <c r="P222" s="5"/>
      <c r="Q222" s="5"/>
      <c r="R222" s="5"/>
      <c r="S222" s="5"/>
      <c r="T222" s="5"/>
    </row>
    <row r="223" spans="1:20" x14ac:dyDescent="0.3">
      <c r="G223" s="4"/>
    </row>
    <row r="224" spans="1:20" x14ac:dyDescent="0.3">
      <c r="G224" s="4"/>
    </row>
    <row r="225" spans="1:22" s="67" customFormat="1" x14ac:dyDescent="0.3">
      <c r="A225" s="104" t="s">
        <v>98</v>
      </c>
      <c r="B225" s="104"/>
      <c r="C225" s="104"/>
      <c r="D225" s="104"/>
      <c r="E225" s="104"/>
      <c r="F225" s="104"/>
      <c r="G225" s="104"/>
      <c r="H225" s="104"/>
      <c r="I225" s="65"/>
      <c r="J225" s="66"/>
      <c r="K225" s="66"/>
      <c r="L225" s="66"/>
      <c r="M225" s="66"/>
      <c r="N225" s="66"/>
      <c r="O225" s="63"/>
    </row>
    <row r="226" spans="1:22" x14ac:dyDescent="0.3">
      <c r="A226" s="6"/>
      <c r="B226" s="6"/>
      <c r="C226" s="1"/>
      <c r="D226" s="1"/>
      <c r="E226" s="6"/>
      <c r="F226" s="6"/>
      <c r="G226" s="1"/>
      <c r="H226" s="1"/>
      <c r="I226" s="6"/>
      <c r="J226" s="6"/>
      <c r="K226" s="6"/>
      <c r="L226" s="6"/>
      <c r="M226" s="6"/>
      <c r="N226" s="6"/>
      <c r="Q226" s="6"/>
    </row>
    <row r="227" spans="1:22" x14ac:dyDescent="0.3">
      <c r="A227" s="20" t="s">
        <v>21</v>
      </c>
      <c r="B227" s="77">
        <f>B86</f>
        <v>1000000000</v>
      </c>
      <c r="C227" s="1"/>
      <c r="D227" s="1"/>
      <c r="E227" s="20" t="s">
        <v>21</v>
      </c>
      <c r="F227" s="77">
        <f>F86</f>
        <v>0</v>
      </c>
      <c r="G227" s="1"/>
      <c r="H227" s="1"/>
      <c r="I227" s="6"/>
      <c r="J227" s="6"/>
      <c r="K227" s="6"/>
      <c r="M227" s="6"/>
      <c r="N227" s="6"/>
      <c r="Q227" s="6"/>
    </row>
    <row r="228" spans="1:22" x14ac:dyDescent="0.3">
      <c r="A228" s="3" t="s">
        <v>4</v>
      </c>
      <c r="B228" s="3" t="s">
        <v>5</v>
      </c>
      <c r="C228" s="3" t="s">
        <v>17</v>
      </c>
      <c r="D228" s="3" t="s">
        <v>18</v>
      </c>
      <c r="E228" s="3" t="s">
        <v>19</v>
      </c>
      <c r="F228" s="3" t="s">
        <v>29</v>
      </c>
      <c r="H228" s="3" t="s">
        <v>7</v>
      </c>
      <c r="I228" s="3" t="s">
        <v>9</v>
      </c>
      <c r="J228" s="3" t="s">
        <v>10</v>
      </c>
      <c r="K228" s="3" t="s">
        <v>11</v>
      </c>
      <c r="L228" s="3" t="s">
        <v>12</v>
      </c>
      <c r="M228" s="3" t="s">
        <v>13</v>
      </c>
      <c r="N228" s="3" t="s">
        <v>6</v>
      </c>
      <c r="P228" s="29" t="s">
        <v>99</v>
      </c>
      <c r="Q228" s="3" t="s">
        <v>100</v>
      </c>
      <c r="R228" s="29" t="s">
        <v>96</v>
      </c>
      <c r="S228" s="29" t="s">
        <v>26</v>
      </c>
      <c r="U228" s="52" t="s">
        <v>97</v>
      </c>
    </row>
    <row r="229" spans="1:22" x14ac:dyDescent="0.3">
      <c r="A229" s="16">
        <v>-1</v>
      </c>
      <c r="B229" s="16">
        <v>0</v>
      </c>
      <c r="C229" s="36" cm="1">
        <f t="array" ref="C229:D292">C88:D151</f>
        <v>0</v>
      </c>
      <c r="D229" s="36">
        <v>0</v>
      </c>
      <c r="E229" s="13" cm="1">
        <f t="array" ref="E229:E292">_xlfn.LET(_xlpm.x, C229:C292, _xlpm.x/SUM(_xlpm.x))</f>
        <v>0</v>
      </c>
      <c r="F229" s="33" cm="1">
        <f t="array" ref="F229:F292">_xlfn.LET(_xlpm.x, D229:D292/C229:C292/B3, IF(ISERR(_xlpm.x), 0, _xlpm.x))</f>
        <v>0</v>
      </c>
      <c r="G229" s="5">
        <v>1E-4</v>
      </c>
      <c r="H229" s="15" t="str">
        <f t="shared" ref="H229:H292" si="3">"("&amp;$A229&amp;", "&amp;$B229&amp;"]"</f>
        <v>(-1, 0]</v>
      </c>
      <c r="I229" s="78">
        <v>0</v>
      </c>
      <c r="J229" s="13" cm="1">
        <f t="array" ref="J229:J292">_xlfn.ANCHORARRAY(E229)*I229:I292</f>
        <v>0</v>
      </c>
      <c r="K229" s="13" cm="1">
        <f t="array" ref="K229:K292">J229:J292/SUM(_xlfn.ANCHORARRAY(J229))</f>
        <v>0</v>
      </c>
      <c r="L229" s="43" cm="1">
        <f t="array" ref="L229:L292">INT(_xlfn.ANCHORARRAY(K229)*$B$2)</f>
        <v>0</v>
      </c>
      <c r="M229" s="13" cm="1">
        <f t="array" ref="M229:M292">_xlfn.LET(_xlpm.x, L229:L292, _xlpm.x/SUM(_xlpm.x))</f>
        <v>0</v>
      </c>
      <c r="N229" s="14" cm="1">
        <f t="array" ref="N229:N292">M229:M292*_xlfn.ANCHORARRAY(F229)</f>
        <v>0</v>
      </c>
      <c r="O229" s="45"/>
      <c r="P229" s="13" cm="1">
        <f t="array" ref="P229:P292">_xlfn.ANCHORARRAY(M229)</f>
        <v>0</v>
      </c>
      <c r="Q229" s="13">
        <v>0</v>
      </c>
      <c r="R229" s="13">
        <v>0</v>
      </c>
      <c r="S229" s="27" cm="1">
        <f t="array" ref="S229:S292">_xlfn.LET(_xlpm.x, Q229:Q292/M229:M292, IF(ISERR(_xlpm.x), 0, ROUND(_xlpm.x,2)))</f>
        <v>0</v>
      </c>
      <c r="T229" s="37"/>
      <c r="U229" s="82">
        <v>0</v>
      </c>
      <c r="V229" s="37">
        <f>SUMPRODUCT(U229:U292,M229:M292)</f>
        <v>0.36154330707260368</v>
      </c>
    </row>
    <row r="230" spans="1:22" x14ac:dyDescent="0.3">
      <c r="A230" s="12">
        <v>0</v>
      </c>
      <c r="B230" s="12">
        <v>1</v>
      </c>
      <c r="C230" s="35">
        <v>7042</v>
      </c>
      <c r="D230" s="35">
        <v>397470</v>
      </c>
      <c r="E230" s="13">
        <v>5.2724048380341487E-4</v>
      </c>
      <c r="F230" s="34">
        <v>0.56442771939789838</v>
      </c>
      <c r="G230" s="5">
        <v>-4935</v>
      </c>
      <c r="H230" s="15" t="str">
        <f t="shared" si="3"/>
        <v>(0, 1]</v>
      </c>
      <c r="I230" s="78">
        <v>0</v>
      </c>
      <c r="J230" s="13">
        <v>0</v>
      </c>
      <c r="K230" s="13">
        <v>0</v>
      </c>
      <c r="L230" s="43">
        <v>0</v>
      </c>
      <c r="M230" s="13">
        <v>0</v>
      </c>
      <c r="N230" s="13">
        <v>0</v>
      </c>
      <c r="O230" s="45"/>
      <c r="P230" s="13">
        <v>0</v>
      </c>
      <c r="Q230" s="13">
        <v>0</v>
      </c>
      <c r="R230" s="13">
        <v>0</v>
      </c>
      <c r="S230" s="27">
        <v>0</v>
      </c>
      <c r="T230" s="37"/>
      <c r="U230" s="82">
        <v>0.1058891505320077</v>
      </c>
      <c r="V230" s="103">
        <f>V229*12</f>
        <v>4.338519684871244</v>
      </c>
    </row>
    <row r="231" spans="1:22" x14ac:dyDescent="0.3">
      <c r="A231" s="12">
        <v>1</v>
      </c>
      <c r="B231" s="12">
        <v>2</v>
      </c>
      <c r="C231" s="35">
        <v>6961</v>
      </c>
      <c r="D231" s="35">
        <v>1078515</v>
      </c>
      <c r="E231" s="13">
        <v>5.2117594543532684E-4</v>
      </c>
      <c r="F231" s="34">
        <v>1.5493679069099267</v>
      </c>
      <c r="G231" s="32">
        <f>1+G230*G229</f>
        <v>0.50649999999999995</v>
      </c>
      <c r="H231" s="15" t="str">
        <f t="shared" si="3"/>
        <v>(1, 2]</v>
      </c>
      <c r="I231" s="78">
        <v>0</v>
      </c>
      <c r="J231" s="13">
        <v>0</v>
      </c>
      <c r="K231" s="13">
        <v>0</v>
      </c>
      <c r="L231" s="43">
        <v>0</v>
      </c>
      <c r="M231" s="13">
        <v>0</v>
      </c>
      <c r="N231" s="13">
        <v>0</v>
      </c>
      <c r="O231" s="45"/>
      <c r="P231" s="13">
        <v>0</v>
      </c>
      <c r="Q231" s="13">
        <v>0</v>
      </c>
      <c r="R231" s="13">
        <v>0</v>
      </c>
      <c r="S231" s="27">
        <v>0</v>
      </c>
      <c r="T231" s="37"/>
      <c r="U231" s="82">
        <v>0.15170441803094861</v>
      </c>
    </row>
    <row r="232" spans="1:22" x14ac:dyDescent="0.3">
      <c r="A232" s="12">
        <v>2</v>
      </c>
      <c r="B232" s="12">
        <v>3</v>
      </c>
      <c r="C232" s="35">
        <v>7196</v>
      </c>
      <c r="D232" s="35">
        <v>1845290</v>
      </c>
      <c r="E232" s="13">
        <v>5.3877059378718744E-4</v>
      </c>
      <c r="F232" s="34">
        <v>2.5643274041133965</v>
      </c>
      <c r="G232" s="45"/>
      <c r="H232" s="15" t="str">
        <f t="shared" si="3"/>
        <v>(2, 3]</v>
      </c>
      <c r="I232" s="78">
        <v>0</v>
      </c>
      <c r="J232" s="13">
        <v>0</v>
      </c>
      <c r="K232" s="13">
        <v>0</v>
      </c>
      <c r="L232" s="43">
        <v>0</v>
      </c>
      <c r="M232" s="13">
        <v>0</v>
      </c>
      <c r="N232" s="13">
        <v>0</v>
      </c>
      <c r="O232" s="45"/>
      <c r="P232" s="13">
        <v>0</v>
      </c>
      <c r="Q232" s="13">
        <v>0</v>
      </c>
      <c r="R232" s="13">
        <v>0</v>
      </c>
      <c r="S232" s="27">
        <v>0</v>
      </c>
      <c r="T232" s="37"/>
      <c r="U232" s="82">
        <v>0.17677620747899339</v>
      </c>
    </row>
    <row r="233" spans="1:22" x14ac:dyDescent="0.3">
      <c r="A233" s="12">
        <v>3</v>
      </c>
      <c r="B233" s="12">
        <v>4</v>
      </c>
      <c r="C233" s="35">
        <v>7104</v>
      </c>
      <c r="D233" s="35">
        <v>2524955</v>
      </c>
      <c r="E233" s="13">
        <v>5.3188247613454413E-4</v>
      </c>
      <c r="F233" s="34">
        <v>3.5542722409909908</v>
      </c>
      <c r="G233" s="45"/>
      <c r="H233" s="15" t="str">
        <f t="shared" si="3"/>
        <v>(3, 4]</v>
      </c>
      <c r="I233" s="78">
        <v>0</v>
      </c>
      <c r="J233" s="13">
        <v>0</v>
      </c>
      <c r="K233" s="13">
        <v>0</v>
      </c>
      <c r="L233" s="43">
        <v>0</v>
      </c>
      <c r="M233" s="13">
        <v>0</v>
      </c>
      <c r="N233" s="13">
        <v>0</v>
      </c>
      <c r="O233" s="45"/>
      <c r="P233" s="13">
        <v>0</v>
      </c>
      <c r="Q233" s="13">
        <v>0</v>
      </c>
      <c r="R233" s="13">
        <v>3.614457831325301E-2</v>
      </c>
      <c r="S233" s="27">
        <v>0</v>
      </c>
      <c r="T233" s="37"/>
      <c r="U233" s="82">
        <v>0.1955627891039918</v>
      </c>
    </row>
    <row r="234" spans="1:22" x14ac:dyDescent="0.3">
      <c r="A234" s="12">
        <v>4</v>
      </c>
      <c r="B234" s="12">
        <v>5</v>
      </c>
      <c r="C234" s="35">
        <v>7483</v>
      </c>
      <c r="D234" s="35">
        <v>3409320</v>
      </c>
      <c r="E234" s="13">
        <v>5.6025852602967251E-4</v>
      </c>
      <c r="F234" s="34">
        <v>4.5560871308298809</v>
      </c>
      <c r="G234" s="45"/>
      <c r="H234" s="15" t="str">
        <f t="shared" si="3"/>
        <v>(4, 5]</v>
      </c>
      <c r="I234" s="78">
        <v>0</v>
      </c>
      <c r="J234" s="13">
        <v>0</v>
      </c>
      <c r="K234" s="13">
        <v>0</v>
      </c>
      <c r="L234" s="43">
        <v>0</v>
      </c>
      <c r="M234" s="13">
        <v>0</v>
      </c>
      <c r="N234" s="13">
        <v>0</v>
      </c>
      <c r="O234" s="45"/>
      <c r="P234" s="13">
        <v>0</v>
      </c>
      <c r="Q234" s="13">
        <v>0</v>
      </c>
      <c r="R234" s="13">
        <v>0</v>
      </c>
      <c r="S234" s="27">
        <v>0</v>
      </c>
      <c r="T234" s="37"/>
      <c r="U234" s="82">
        <v>0.2078578548036045</v>
      </c>
    </row>
    <row r="235" spans="1:22" x14ac:dyDescent="0.3">
      <c r="A235" s="12">
        <v>5</v>
      </c>
      <c r="B235" s="12">
        <v>6</v>
      </c>
      <c r="C235" s="35">
        <v>8182</v>
      </c>
      <c r="D235" s="35">
        <v>4541655</v>
      </c>
      <c r="E235" s="13">
        <v>6.1259324602095158E-4</v>
      </c>
      <c r="F235" s="34">
        <v>5.550788315815204</v>
      </c>
      <c r="G235" s="45"/>
      <c r="H235" s="15" t="str">
        <f t="shared" si="3"/>
        <v>(5, 6]</v>
      </c>
      <c r="I235" s="78">
        <v>0</v>
      </c>
      <c r="J235" s="13">
        <v>0</v>
      </c>
      <c r="K235" s="13">
        <v>0</v>
      </c>
      <c r="L235" s="43">
        <v>0</v>
      </c>
      <c r="M235" s="13">
        <v>0</v>
      </c>
      <c r="N235" s="13">
        <v>0</v>
      </c>
      <c r="O235" s="45"/>
      <c r="P235" s="13">
        <v>0</v>
      </c>
      <c r="Q235" s="13">
        <v>0</v>
      </c>
      <c r="R235" s="13">
        <v>0</v>
      </c>
      <c r="S235" s="27">
        <v>0</v>
      </c>
      <c r="T235" s="37"/>
      <c r="U235" s="82">
        <v>0.21803709019489351</v>
      </c>
    </row>
    <row r="236" spans="1:22" x14ac:dyDescent="0.3">
      <c r="A236" s="12">
        <v>6</v>
      </c>
      <c r="B236" s="12">
        <v>7</v>
      </c>
      <c r="C236" s="35">
        <v>8390</v>
      </c>
      <c r="D236" s="35">
        <v>5496365</v>
      </c>
      <c r="E236" s="13">
        <v>6.2816638158344951E-4</v>
      </c>
      <c r="F236" s="34">
        <v>6.5510905840286053</v>
      </c>
      <c r="G236" s="45"/>
      <c r="H236" s="15" t="str">
        <f t="shared" si="3"/>
        <v>(6, 7]</v>
      </c>
      <c r="I236" s="78">
        <v>0</v>
      </c>
      <c r="J236" s="13">
        <v>0</v>
      </c>
      <c r="K236" s="13">
        <v>0</v>
      </c>
      <c r="L236" s="43">
        <v>0</v>
      </c>
      <c r="M236" s="13">
        <v>0</v>
      </c>
      <c r="N236" s="13">
        <v>0</v>
      </c>
      <c r="O236" s="45"/>
      <c r="P236" s="13">
        <v>0</v>
      </c>
      <c r="Q236" s="13">
        <v>0</v>
      </c>
      <c r="R236" s="13">
        <v>1.2048192771084338E-2</v>
      </c>
      <c r="S236" s="27">
        <v>0</v>
      </c>
      <c r="T236" s="37"/>
      <c r="U236" s="82">
        <v>0.22959410003327049</v>
      </c>
    </row>
    <row r="237" spans="1:22" x14ac:dyDescent="0.3">
      <c r="A237" s="12">
        <v>7</v>
      </c>
      <c r="B237" s="12">
        <v>8</v>
      </c>
      <c r="C237" s="35">
        <v>8747</v>
      </c>
      <c r="D237" s="35">
        <v>6605700</v>
      </c>
      <c r="E237" s="13">
        <v>6.5489527290946755E-4</v>
      </c>
      <c r="F237" s="34">
        <v>7.5519606722304786</v>
      </c>
      <c r="G237" s="45"/>
      <c r="H237" s="15" t="str">
        <f t="shared" si="3"/>
        <v>(7, 8]</v>
      </c>
      <c r="I237" s="78">
        <v>0</v>
      </c>
      <c r="J237" s="13">
        <v>0</v>
      </c>
      <c r="K237" s="13">
        <v>0</v>
      </c>
      <c r="L237" s="43">
        <v>0</v>
      </c>
      <c r="M237" s="13">
        <v>0</v>
      </c>
      <c r="N237" s="13">
        <v>0</v>
      </c>
      <c r="O237" s="45"/>
      <c r="P237" s="13">
        <v>0</v>
      </c>
      <c r="Q237" s="13">
        <v>0</v>
      </c>
      <c r="R237" s="13">
        <v>3.614457831325301E-2</v>
      </c>
      <c r="S237" s="27">
        <v>0</v>
      </c>
      <c r="T237" s="37"/>
      <c r="U237" s="82">
        <v>0.23616206872221829</v>
      </c>
    </row>
    <row r="238" spans="1:22" x14ac:dyDescent="0.3">
      <c r="A238" s="12">
        <v>8</v>
      </c>
      <c r="B238" s="12">
        <v>9</v>
      </c>
      <c r="C238" s="35">
        <v>8856</v>
      </c>
      <c r="D238" s="35">
        <v>7570485</v>
      </c>
      <c r="E238" s="13">
        <v>6.6305619491096885E-4</v>
      </c>
      <c r="F238" s="34">
        <v>8.5484247967479678</v>
      </c>
      <c r="G238" s="45"/>
      <c r="H238" s="15" t="str">
        <f t="shared" si="3"/>
        <v>(8, 9]</v>
      </c>
      <c r="I238" s="78">
        <v>0</v>
      </c>
      <c r="J238" s="13">
        <v>0</v>
      </c>
      <c r="K238" s="13">
        <v>0</v>
      </c>
      <c r="L238" s="43">
        <v>0</v>
      </c>
      <c r="M238" s="13">
        <v>0</v>
      </c>
      <c r="N238" s="13">
        <v>0</v>
      </c>
      <c r="O238" s="45"/>
      <c r="P238" s="13">
        <v>0</v>
      </c>
      <c r="Q238" s="13">
        <v>0</v>
      </c>
      <c r="R238" s="13">
        <v>2.4096385542168676E-2</v>
      </c>
      <c r="S238" s="27">
        <v>0</v>
      </c>
      <c r="T238" s="37"/>
      <c r="U238" s="82">
        <v>0.2460493890985542</v>
      </c>
    </row>
    <row r="239" spans="1:22" x14ac:dyDescent="0.3">
      <c r="A239" s="12">
        <v>9</v>
      </c>
      <c r="B239" s="12">
        <v>10</v>
      </c>
      <c r="C239" s="35">
        <v>9108</v>
      </c>
      <c r="D239" s="35">
        <v>8694310</v>
      </c>
      <c r="E239" s="13">
        <v>6.8192364761168744E-4</v>
      </c>
      <c r="F239" s="34">
        <v>9.5457949055775142</v>
      </c>
      <c r="G239" s="45"/>
      <c r="H239" s="15" t="str">
        <f t="shared" si="3"/>
        <v>(9, 10]</v>
      </c>
      <c r="I239" s="78">
        <v>0</v>
      </c>
      <c r="J239" s="13">
        <v>0</v>
      </c>
      <c r="K239" s="13">
        <v>0</v>
      </c>
      <c r="L239" s="43">
        <v>0</v>
      </c>
      <c r="M239" s="13">
        <v>0</v>
      </c>
      <c r="N239" s="13">
        <v>0</v>
      </c>
      <c r="O239" s="45"/>
      <c r="P239" s="13">
        <v>0</v>
      </c>
      <c r="Q239" s="13">
        <v>0</v>
      </c>
      <c r="R239" s="13">
        <v>1.2048192771084338E-2</v>
      </c>
      <c r="S239" s="27">
        <v>0</v>
      </c>
      <c r="T239" s="37"/>
      <c r="U239" s="82">
        <v>0.24911116572458419</v>
      </c>
    </row>
    <row r="240" spans="1:22" x14ac:dyDescent="0.3">
      <c r="A240" s="12">
        <v>10</v>
      </c>
      <c r="B240" s="12">
        <v>15</v>
      </c>
      <c r="C240" s="35">
        <v>51671</v>
      </c>
      <c r="D240" s="35">
        <v>65170480</v>
      </c>
      <c r="E240" s="13">
        <v>3.8686513829318736E-3</v>
      </c>
      <c r="F240" s="34">
        <v>12.612583460742004</v>
      </c>
      <c r="G240" s="45"/>
      <c r="H240" s="15" t="str">
        <f t="shared" si="3"/>
        <v>(10, 15]</v>
      </c>
      <c r="I240" s="78">
        <v>0</v>
      </c>
      <c r="J240" s="13">
        <v>0</v>
      </c>
      <c r="K240" s="13">
        <v>0</v>
      </c>
      <c r="L240" s="43">
        <v>0</v>
      </c>
      <c r="M240" s="13">
        <v>0</v>
      </c>
      <c r="N240" s="13">
        <v>0</v>
      </c>
      <c r="O240" s="45"/>
      <c r="P240" s="13">
        <v>0</v>
      </c>
      <c r="Q240" s="13">
        <v>1.1909520250099925E-2</v>
      </c>
      <c r="R240" s="13">
        <v>7.2289156626506021E-2</v>
      </c>
      <c r="S240" s="27">
        <v>0</v>
      </c>
      <c r="T240" s="37"/>
      <c r="U240" s="82">
        <v>0.26623994018568342</v>
      </c>
    </row>
    <row r="241" spans="1:21" x14ac:dyDescent="0.3">
      <c r="A241" s="12">
        <v>15</v>
      </c>
      <c r="B241" s="12">
        <v>20</v>
      </c>
      <c r="C241" s="35">
        <v>60539</v>
      </c>
      <c r="D241" s="35">
        <v>106561110</v>
      </c>
      <c r="E241" s="13">
        <v>4.5326060279714479E-3</v>
      </c>
      <c r="F241" s="34">
        <v>17.602059829201011</v>
      </c>
      <c r="G241" s="45"/>
      <c r="H241" s="40" t="str">
        <f t="shared" si="3"/>
        <v>(15, 20]</v>
      </c>
      <c r="I241" s="78">
        <v>0</v>
      </c>
      <c r="J241" s="13">
        <v>0</v>
      </c>
      <c r="K241" s="13">
        <v>0</v>
      </c>
      <c r="L241" s="43">
        <v>0</v>
      </c>
      <c r="M241" s="13">
        <v>0</v>
      </c>
      <c r="N241" s="13">
        <v>0</v>
      </c>
      <c r="O241" s="45"/>
      <c r="P241" s="13">
        <v>0</v>
      </c>
      <c r="Q241" s="13">
        <v>4.1860452879069511E-2</v>
      </c>
      <c r="R241" s="13">
        <v>7.2289156626506021E-2</v>
      </c>
      <c r="S241" s="27">
        <v>0</v>
      </c>
      <c r="T241" s="37"/>
      <c r="U241" s="82">
        <v>0.28653505966539411</v>
      </c>
    </row>
    <row r="242" spans="1:21" x14ac:dyDescent="0.3">
      <c r="A242" s="12">
        <v>20</v>
      </c>
      <c r="B242" s="12">
        <v>25</v>
      </c>
      <c r="C242" s="35">
        <v>68801</v>
      </c>
      <c r="D242" s="35">
        <v>155359970</v>
      </c>
      <c r="E242" s="13">
        <v>5.151188941516437E-3</v>
      </c>
      <c r="F242" s="34">
        <v>22.581062775250363</v>
      </c>
      <c r="G242" s="45"/>
      <c r="H242" s="15" t="str">
        <f t="shared" si="3"/>
        <v>(20, 25]</v>
      </c>
      <c r="I242" s="78">
        <v>35</v>
      </c>
      <c r="J242" s="13">
        <v>0.1802916129530753</v>
      </c>
      <c r="K242" s="13">
        <v>6.0503820056230999E-2</v>
      </c>
      <c r="L242" s="43">
        <v>60503820</v>
      </c>
      <c r="M242" s="13">
        <v>6.0503820968061138E-2</v>
      </c>
      <c r="N242" s="13">
        <v>1.3662405794222978</v>
      </c>
      <c r="O242" s="45"/>
      <c r="P242" s="13">
        <v>6.0503820968061138E-2</v>
      </c>
      <c r="Q242" s="13">
        <v>0.11100440633109253</v>
      </c>
      <c r="R242" s="13">
        <v>7.2289156626506021E-2</v>
      </c>
      <c r="S242" s="27">
        <v>1.83</v>
      </c>
      <c r="T242" s="37"/>
      <c r="U242" s="82">
        <v>0.30237898056905232</v>
      </c>
    </row>
    <row r="243" spans="1:21" x14ac:dyDescent="0.3">
      <c r="A243" s="12">
        <v>25</v>
      </c>
      <c r="B243" s="12">
        <v>30</v>
      </c>
      <c r="C243" s="35">
        <v>76304</v>
      </c>
      <c r="D243" s="35">
        <v>210369015</v>
      </c>
      <c r="E243" s="13">
        <v>5.7129448844271194E-3</v>
      </c>
      <c r="F243" s="34">
        <v>27.56985413608723</v>
      </c>
      <c r="G243" s="45"/>
      <c r="H243" s="15" t="str">
        <f t="shared" si="3"/>
        <v>(25, 30]</v>
      </c>
      <c r="I243" s="78">
        <v>31.66</v>
      </c>
      <c r="J243" s="13">
        <v>0.1808718350409626</v>
      </c>
      <c r="K243" s="13">
        <v>6.0698536006813353E-2</v>
      </c>
      <c r="L243" s="43">
        <v>60698536</v>
      </c>
      <c r="M243" s="13">
        <v>6.0698536971176595E-2</v>
      </c>
      <c r="N243" s="13">
        <v>1.6734498105692366</v>
      </c>
      <c r="O243" s="45"/>
      <c r="P243" s="13">
        <v>6.0698536971176595E-2</v>
      </c>
      <c r="Q243" s="13">
        <v>0.11136164533859455</v>
      </c>
      <c r="R243" s="13">
        <v>8.4337349397590355E-2</v>
      </c>
      <c r="S243" s="27">
        <v>1.83</v>
      </c>
      <c r="T243" s="37"/>
      <c r="U243" s="82">
        <v>0.3162044578648337</v>
      </c>
    </row>
    <row r="244" spans="1:21" x14ac:dyDescent="0.3">
      <c r="A244" s="12">
        <v>30</v>
      </c>
      <c r="B244" s="12">
        <v>35</v>
      </c>
      <c r="C244" s="35">
        <v>83241</v>
      </c>
      <c r="D244" s="35">
        <v>271107480</v>
      </c>
      <c r="E244" s="13">
        <v>6.2323239296052345E-3</v>
      </c>
      <c r="F244" s="34">
        <v>32.568984034310013</v>
      </c>
      <c r="G244" s="45"/>
      <c r="H244" s="15" t="str">
        <f t="shared" si="3"/>
        <v>(30, 35]</v>
      </c>
      <c r="I244" s="78">
        <v>21</v>
      </c>
      <c r="J244" s="13">
        <v>0.13087880252170991</v>
      </c>
      <c r="K244" s="13">
        <v>4.39214414206252E-2</v>
      </c>
      <c r="L244" s="43">
        <v>43921441</v>
      </c>
      <c r="M244" s="13">
        <v>4.3921441702743071E-2</v>
      </c>
      <c r="N244" s="13">
        <v>1.4304767335805171</v>
      </c>
      <c r="O244" s="45"/>
      <c r="P244" s="13">
        <v>4.3921441702743071E-2</v>
      </c>
      <c r="Q244" s="13">
        <v>8.0581251692206285E-2</v>
      </c>
      <c r="R244" s="13">
        <v>3.614457831325301E-2</v>
      </c>
      <c r="S244" s="27">
        <v>1.83</v>
      </c>
      <c r="T244" s="37"/>
      <c r="U244" s="82">
        <v>0.32743314564967207</v>
      </c>
    </row>
    <row r="245" spans="1:21" x14ac:dyDescent="0.3">
      <c r="A245" s="12">
        <v>35</v>
      </c>
      <c r="B245" s="12">
        <v>40</v>
      </c>
      <c r="C245" s="35">
        <v>89448</v>
      </c>
      <c r="D245" s="35">
        <v>335898775</v>
      </c>
      <c r="E245" s="13">
        <v>6.6970472586265067E-3</v>
      </c>
      <c r="F245" s="34">
        <v>37.552407544047938</v>
      </c>
      <c r="G245" s="45"/>
      <c r="H245" s="40" t="str">
        <f t="shared" si="3"/>
        <v>(35, 40]</v>
      </c>
      <c r="I245" s="78">
        <v>57.741175800000008</v>
      </c>
      <c r="J245" s="13">
        <v>0.38669538310126123</v>
      </c>
      <c r="K245" s="13">
        <v>0.12977058384753296</v>
      </c>
      <c r="L245" s="43">
        <v>129770583</v>
      </c>
      <c r="M245" s="13">
        <v>0.12977058507632935</v>
      </c>
      <c r="N245" s="13">
        <v>4.8731978980158654</v>
      </c>
      <c r="O245" s="45" cm="1">
        <f t="array" ref="O245:O247">I245:I247*1.5</f>
        <v>86.611763700000012</v>
      </c>
      <c r="P245" s="13">
        <v>0.12977058507632935</v>
      </c>
      <c r="Q245" s="13">
        <v>7.9361967666601321E-2</v>
      </c>
      <c r="R245" s="13">
        <v>2.4096385542168676E-2</v>
      </c>
      <c r="S245" s="27">
        <v>0.61</v>
      </c>
      <c r="T245" s="37"/>
      <c r="U245" s="82">
        <v>0.33705596911860491</v>
      </c>
    </row>
    <row r="246" spans="1:21" x14ac:dyDescent="0.3">
      <c r="A246" s="12">
        <v>40</v>
      </c>
      <c r="B246" s="12">
        <v>45</v>
      </c>
      <c r="C246" s="35">
        <v>95401</v>
      </c>
      <c r="D246" s="35">
        <v>405939470</v>
      </c>
      <c r="E246" s="13">
        <v>7.1427533932589583E-3</v>
      </c>
      <c r="F246" s="34">
        <v>42.55086110208488</v>
      </c>
      <c r="G246" s="45"/>
      <c r="H246" s="15" t="str">
        <f t="shared" si="3"/>
        <v>(40, 45]</v>
      </c>
      <c r="I246" s="78">
        <v>54.789550200000008</v>
      </c>
      <c r="J246" s="13">
        <v>0.39134824560618209</v>
      </c>
      <c r="K246" s="13">
        <v>0.13133203172152469</v>
      </c>
      <c r="L246" s="43">
        <v>131332031</v>
      </c>
      <c r="M246" s="13">
        <v>0.13133203310131253</v>
      </c>
      <c r="N246" s="13">
        <v>5.5882910987483632</v>
      </c>
      <c r="O246" s="45">
        <v>82.184325300000012</v>
      </c>
      <c r="P246" s="13">
        <v>0.13133203310131253</v>
      </c>
      <c r="Q246" s="13">
        <v>8.031688068665449E-2</v>
      </c>
      <c r="R246" s="13">
        <v>3.614457831325301E-2</v>
      </c>
      <c r="S246" s="27">
        <v>0.61</v>
      </c>
      <c r="T246" s="37"/>
      <c r="U246" s="82">
        <v>0.34630663093382918</v>
      </c>
    </row>
    <row r="247" spans="1:21" x14ac:dyDescent="0.3">
      <c r="A247" s="12">
        <v>45</v>
      </c>
      <c r="B247" s="12">
        <v>50</v>
      </c>
      <c r="C247" s="35">
        <v>100624</v>
      </c>
      <c r="D247" s="35">
        <v>478490985</v>
      </c>
      <c r="E247" s="13">
        <v>7.5338038117345671E-3</v>
      </c>
      <c r="F247" s="34">
        <v>47.552371700588331</v>
      </c>
      <c r="G247" s="45"/>
      <c r="H247" s="15" t="str">
        <f t="shared" si="3"/>
        <v>(45, 50]</v>
      </c>
      <c r="I247" s="78">
        <v>52.5</v>
      </c>
      <c r="J247" s="13">
        <v>0.39552470011606478</v>
      </c>
      <c r="K247" s="13">
        <v>0.13273360247681401</v>
      </c>
      <c r="L247" s="43">
        <v>132733602</v>
      </c>
      <c r="M247" s="13">
        <v>0.13273360412373766</v>
      </c>
      <c r="N247" s="13">
        <v>6.3117976804507174</v>
      </c>
      <c r="O247" s="45">
        <v>78.75</v>
      </c>
      <c r="P247" s="13">
        <v>0.13273360412373766</v>
      </c>
      <c r="Q247" s="13">
        <v>8.1174019704654418E-2</v>
      </c>
      <c r="R247" s="13">
        <v>2.4096385542168676E-2</v>
      </c>
      <c r="S247" s="27">
        <v>0.61</v>
      </c>
      <c r="T247" s="37"/>
      <c r="U247" s="82">
        <v>0.35514780883072311</v>
      </c>
    </row>
    <row r="248" spans="1:21" x14ac:dyDescent="0.3">
      <c r="A248" s="12">
        <v>50</v>
      </c>
      <c r="B248" s="12">
        <v>60</v>
      </c>
      <c r="C248" s="35">
        <v>214959</v>
      </c>
      <c r="D248" s="35">
        <v>1184621845</v>
      </c>
      <c r="E248" s="13">
        <v>1.6094161766245139E-2</v>
      </c>
      <c r="F248" s="34">
        <v>55.10919966133077</v>
      </c>
      <c r="G248" s="45">
        <v>30</v>
      </c>
      <c r="H248" s="40" t="str">
        <f t="shared" si="3"/>
        <v>(50, 60]</v>
      </c>
      <c r="I248" s="78" cm="1">
        <f t="array" ref="I248:I292">G248:G292*G231</f>
        <v>15.194999999999999</v>
      </c>
      <c r="J248" s="13">
        <v>0.24455078803809488</v>
      </c>
      <c r="K248" s="13">
        <v>8.2068470250568001E-2</v>
      </c>
      <c r="L248" s="43">
        <v>82068470</v>
      </c>
      <c r="M248" s="13">
        <v>8.206847131309554E-2</v>
      </c>
      <c r="N248" s="13">
        <v>4.522727771493579</v>
      </c>
      <c r="O248" s="45" cm="1">
        <f t="array" ref="O248:O250">G248:G250*1.5</f>
        <v>45</v>
      </c>
      <c r="P248" s="13">
        <v>8.206847131309554E-2</v>
      </c>
      <c r="Q248" s="13">
        <v>5.3738888128516647E-2</v>
      </c>
      <c r="R248" s="13">
        <v>2.4096385542168676E-2</v>
      </c>
      <c r="S248" s="27">
        <v>0.65</v>
      </c>
      <c r="T248" s="37"/>
      <c r="U248" s="82">
        <v>0.36609409525769698</v>
      </c>
    </row>
    <row r="249" spans="1:21" x14ac:dyDescent="0.3">
      <c r="A249" s="12">
        <v>60</v>
      </c>
      <c r="B249" s="12">
        <v>70</v>
      </c>
      <c r="C249" s="35">
        <v>229908</v>
      </c>
      <c r="D249" s="35">
        <v>1496133495</v>
      </c>
      <c r="E249" s="13">
        <v>1.7213406013955625E-2</v>
      </c>
      <c r="F249" s="34">
        <v>65.075312516310873</v>
      </c>
      <c r="G249" s="45">
        <v>40.094999999999999</v>
      </c>
      <c r="H249" s="15" t="str">
        <f t="shared" si="3"/>
        <v>(60, 70]</v>
      </c>
      <c r="I249" s="78">
        <v>20.308117499999998</v>
      </c>
      <c r="J249" s="13">
        <v>0.34957187190661743</v>
      </c>
      <c r="K249" s="13">
        <v>0.11731235462440874</v>
      </c>
      <c r="L249" s="43">
        <v>117312354</v>
      </c>
      <c r="M249" s="13">
        <v>0.11731235587699769</v>
      </c>
      <c r="N249" s="13">
        <v>7.6341382207203035</v>
      </c>
      <c r="O249" s="45">
        <v>60.142499999999998</v>
      </c>
      <c r="P249" s="13">
        <v>0.11731235587699769</v>
      </c>
      <c r="Q249" s="13">
        <v>7.6816778613152351E-2</v>
      </c>
      <c r="R249" s="13">
        <v>6.0240963855421686E-2</v>
      </c>
      <c r="S249" s="27">
        <v>0.65</v>
      </c>
      <c r="T249" s="37"/>
      <c r="U249" s="82">
        <v>0.37920328529188319</v>
      </c>
    </row>
    <row r="250" spans="1:21" x14ac:dyDescent="0.3">
      <c r="A250" s="12">
        <v>70</v>
      </c>
      <c r="B250" s="12">
        <v>80</v>
      </c>
      <c r="C250" s="35">
        <v>241897</v>
      </c>
      <c r="D250" s="35">
        <v>1815887605</v>
      </c>
      <c r="E250" s="13">
        <v>1.811103256327672E-2</v>
      </c>
      <c r="F250" s="34">
        <v>75.068628589854356</v>
      </c>
      <c r="G250" s="45">
        <v>34.222500000000004</v>
      </c>
      <c r="H250" s="15" t="str">
        <f t="shared" si="3"/>
        <v>(70, 80]</v>
      </c>
      <c r="I250" s="78">
        <v>17.333696249999999</v>
      </c>
      <c r="J250" s="13">
        <v>0.31393113722569754</v>
      </c>
      <c r="K250" s="13">
        <v>0.10535172837848626</v>
      </c>
      <c r="L250" s="43">
        <v>105351728</v>
      </c>
      <c r="M250" s="13">
        <v>0.10535172968562767</v>
      </c>
      <c r="N250" s="13">
        <v>7.9086098670691172</v>
      </c>
      <c r="O250" s="45">
        <v>51.333750000000009</v>
      </c>
      <c r="P250" s="13">
        <v>0.10535172968562767</v>
      </c>
      <c r="Q250" s="13">
        <v>6.898489444868279E-2</v>
      </c>
      <c r="R250" s="13">
        <v>4.8192771084337352E-2</v>
      </c>
      <c r="S250" s="27">
        <v>0.65</v>
      </c>
      <c r="T250" s="37"/>
      <c r="U250" s="82">
        <v>0.39031090064681029</v>
      </c>
    </row>
    <row r="251" spans="1:21" x14ac:dyDescent="0.3">
      <c r="A251" s="12">
        <v>80</v>
      </c>
      <c r="B251" s="12">
        <v>90</v>
      </c>
      <c r="C251" s="35">
        <v>251871</v>
      </c>
      <c r="D251" s="35">
        <v>2142451880</v>
      </c>
      <c r="E251" s="13">
        <v>1.8857794361836114E-2</v>
      </c>
      <c r="F251" s="34">
        <v>85.061475120200413</v>
      </c>
      <c r="G251" s="45">
        <v>7.5</v>
      </c>
      <c r="H251" s="15" t="str">
        <f t="shared" si="3"/>
        <v>(80, 90]</v>
      </c>
      <c r="I251" s="78">
        <v>3.7987499999999996</v>
      </c>
      <c r="J251" s="13">
        <v>7.163604633202493E-2</v>
      </c>
      <c r="K251" s="13">
        <v>2.4040244500673165E-2</v>
      </c>
      <c r="L251" s="43">
        <v>24040244</v>
      </c>
      <c r="M251" s="13">
        <v>2.4040244384643909E-2</v>
      </c>
      <c r="N251" s="13">
        <v>2.0448986496079256</v>
      </c>
      <c r="O251" s="45" cm="1">
        <f t="array" ref="O251:O253">G251:G253*1.5</f>
        <v>11.25</v>
      </c>
      <c r="P251" s="13">
        <v>2.4040244384643909E-2</v>
      </c>
      <c r="Q251" s="13">
        <v>3.1483369661150763E-2</v>
      </c>
      <c r="R251" s="13">
        <v>2.4096385542168676E-2</v>
      </c>
      <c r="S251" s="27">
        <v>1.31</v>
      </c>
      <c r="T251" s="37"/>
      <c r="U251" s="82">
        <v>0.40047450541398422</v>
      </c>
    </row>
    <row r="252" spans="1:21" x14ac:dyDescent="0.3">
      <c r="A252" s="12">
        <v>90</v>
      </c>
      <c r="B252" s="12">
        <v>100</v>
      </c>
      <c r="C252" s="35">
        <v>258300</v>
      </c>
      <c r="D252" s="35">
        <v>2455049550</v>
      </c>
      <c r="E252" s="13">
        <v>1.9339139018236591E-2</v>
      </c>
      <c r="F252" s="34">
        <v>95.046440185830434</v>
      </c>
      <c r="G252" s="45">
        <v>7.5</v>
      </c>
      <c r="H252" s="15" t="str">
        <f t="shared" si="3"/>
        <v>(90, 100]</v>
      </c>
      <c r="I252" s="78">
        <v>3.7987499999999996</v>
      </c>
      <c r="J252" s="42">
        <v>7.3464554345526248E-2</v>
      </c>
      <c r="K252" s="42">
        <v>2.4653871047178432E-2</v>
      </c>
      <c r="L252" s="43">
        <v>24653871</v>
      </c>
      <c r="M252" s="42">
        <v>2.4653871394461943E-2</v>
      </c>
      <c r="N252" s="42">
        <v>2.3432627128428831</v>
      </c>
      <c r="O252" s="45">
        <v>11.25</v>
      </c>
      <c r="P252" s="13">
        <v>2.4653871394461943E-2</v>
      </c>
      <c r="Q252" s="42">
        <v>3.2286981678026613E-2</v>
      </c>
      <c r="R252" s="13">
        <v>1.2048192771084338E-2</v>
      </c>
      <c r="S252" s="27">
        <v>1.31</v>
      </c>
      <c r="T252" s="37"/>
      <c r="U252" s="100">
        <v>0.40980344805207769</v>
      </c>
    </row>
    <row r="253" spans="1:21" x14ac:dyDescent="0.3">
      <c r="A253" s="12">
        <v>100</v>
      </c>
      <c r="B253" s="12">
        <v>120</v>
      </c>
      <c r="C253" s="35">
        <v>527850</v>
      </c>
      <c r="D253" s="35">
        <v>5809282525</v>
      </c>
      <c r="E253" s="13">
        <v>3.9520575032040976E-2</v>
      </c>
      <c r="F253" s="34">
        <v>110.05555602917495</v>
      </c>
      <c r="G253" s="45">
        <v>7.5</v>
      </c>
      <c r="H253" s="15" t="str">
        <f t="shared" si="3"/>
        <v>(100, 120]</v>
      </c>
      <c r="I253" s="78">
        <v>3.7987499999999996</v>
      </c>
      <c r="J253" s="42">
        <v>0.15012878440296565</v>
      </c>
      <c r="K253" s="42">
        <v>5.0381516965749648E-2</v>
      </c>
      <c r="L253" s="43">
        <v>50381516</v>
      </c>
      <c r="M253" s="42">
        <v>5.0381516806104268E-2</v>
      </c>
      <c r="N253" s="42">
        <v>5.5447658456890281</v>
      </c>
      <c r="O253" s="45">
        <v>11.25</v>
      </c>
      <c r="P253" s="13">
        <v>5.0381516806104268E-2</v>
      </c>
      <c r="Q253" s="42">
        <v>6.5980192385584044E-2</v>
      </c>
      <c r="R253" s="13">
        <v>6.0240963855421686E-2</v>
      </c>
      <c r="S253" s="27">
        <v>1.31</v>
      </c>
      <c r="T253" s="37"/>
      <c r="U253" s="100">
        <v>0.421465812891617</v>
      </c>
    </row>
    <row r="254" spans="1:21" x14ac:dyDescent="0.3">
      <c r="A254" s="12">
        <v>120</v>
      </c>
      <c r="B254" s="12">
        <v>140</v>
      </c>
      <c r="C254" s="35">
        <v>535919</v>
      </c>
      <c r="D254" s="35">
        <v>6967737790</v>
      </c>
      <c r="E254" s="13">
        <v>4.0124707872684226E-2</v>
      </c>
      <c r="F254" s="34">
        <v>130.01475577465996</v>
      </c>
      <c r="G254" s="45">
        <v>3</v>
      </c>
      <c r="H254" s="15" t="str">
        <f t="shared" si="3"/>
        <v>(120, 140]</v>
      </c>
      <c r="I254" s="78">
        <v>1.5194999999999999</v>
      </c>
      <c r="J254" s="42">
        <v>6.0969493612543675E-2</v>
      </c>
      <c r="K254" s="42">
        <v>2.046067041073607E-2</v>
      </c>
      <c r="L254" s="43">
        <v>20460670</v>
      </c>
      <c r="M254" s="42">
        <v>2.0460670327370725E-2</v>
      </c>
      <c r="N254" s="42">
        <v>2.6601890555989365</v>
      </c>
      <c r="O254" s="45"/>
      <c r="P254" s="13">
        <v>2.0460670327370725E-2</v>
      </c>
      <c r="Q254" s="42">
        <v>4.0193279844058877E-2</v>
      </c>
      <c r="R254" s="13">
        <v>7.2289156626506021E-2</v>
      </c>
      <c r="S254" s="27">
        <v>1.96</v>
      </c>
      <c r="T254" s="37"/>
      <c r="U254" s="100">
        <v>0.43566693356949571</v>
      </c>
    </row>
    <row r="255" spans="1:21" x14ac:dyDescent="0.3">
      <c r="A255" s="12">
        <v>140</v>
      </c>
      <c r="B255" s="12">
        <v>160</v>
      </c>
      <c r="C255" s="35">
        <v>529244</v>
      </c>
      <c r="D255" s="35">
        <v>7938511790</v>
      </c>
      <c r="E255" s="13">
        <v>3.9624944988647333E-2</v>
      </c>
      <c r="F255" s="34">
        <v>149.99719959035909</v>
      </c>
      <c r="G255" s="45">
        <v>1.2000000000000002</v>
      </c>
      <c r="H255" s="15" t="str">
        <f t="shared" si="3"/>
        <v>(140, 160]</v>
      </c>
      <c r="I255" s="78">
        <v>0.60780000000000001</v>
      </c>
      <c r="J255" s="42">
        <v>2.4084041564099851E-2</v>
      </c>
      <c r="K255" s="42">
        <v>8.082331136503541E-3</v>
      </c>
      <c r="L255" s="43">
        <v>8082331</v>
      </c>
      <c r="M255" s="42">
        <v>8.0823311293172981E-3</v>
      </c>
      <c r="N255" s="42">
        <v>1.2123270355595792</v>
      </c>
      <c r="O255" s="45"/>
      <c r="P255" s="13">
        <v>8.0823311293172981E-3</v>
      </c>
      <c r="Q255" s="42">
        <v>1.5877065333418372E-2</v>
      </c>
      <c r="R255" s="13">
        <v>2.4096385542168676E-2</v>
      </c>
      <c r="S255" s="27">
        <v>1.96</v>
      </c>
      <c r="T255" s="37"/>
      <c r="U255" s="100">
        <v>0.44717023498564051</v>
      </c>
    </row>
    <row r="256" spans="1:21" x14ac:dyDescent="0.3">
      <c r="A256" s="12">
        <v>160</v>
      </c>
      <c r="B256" s="12">
        <v>180</v>
      </c>
      <c r="C256" s="35">
        <v>519627</v>
      </c>
      <c r="D256" s="35">
        <v>8832072340</v>
      </c>
      <c r="E256" s="13">
        <v>3.8904912081413959E-2</v>
      </c>
      <c r="F256" s="34">
        <v>169.96946540499243</v>
      </c>
      <c r="G256" s="45">
        <v>0.22499999999999998</v>
      </c>
      <c r="H256" s="15" t="str">
        <f t="shared" si="3"/>
        <v>(160, 180]</v>
      </c>
      <c r="I256" s="78">
        <v>0.11396249999999998</v>
      </c>
      <c r="J256" s="42">
        <v>4.4337010430781374E-3</v>
      </c>
      <c r="K256" s="42">
        <v>1.4878997735925884E-3</v>
      </c>
      <c r="L256" s="43">
        <v>1487899</v>
      </c>
      <c r="M256" s="42">
        <v>1.4878990238063844E-3</v>
      </c>
      <c r="N256" s="42">
        <v>0.25289740165298125</v>
      </c>
      <c r="O256" s="45"/>
      <c r="P256" s="13">
        <v>1.4878990238063844E-3</v>
      </c>
      <c r="Q256" s="42">
        <v>2.9228540613799353E-3</v>
      </c>
      <c r="R256" s="13">
        <v>3.614457831325301E-2</v>
      </c>
      <c r="S256" s="27">
        <v>1.96</v>
      </c>
      <c r="T256" s="37"/>
      <c r="U256" s="100">
        <v>0.45747273730325311</v>
      </c>
    </row>
    <row r="257" spans="1:21" x14ac:dyDescent="0.3">
      <c r="A257" s="12">
        <v>180</v>
      </c>
      <c r="B257" s="12">
        <v>200</v>
      </c>
      <c r="C257" s="35">
        <v>500559</v>
      </c>
      <c r="D257" s="35">
        <v>9508456100</v>
      </c>
      <c r="E257" s="13">
        <v>3.7477274827059578E-2</v>
      </c>
      <c r="F257" s="34">
        <v>189.95675035310524</v>
      </c>
      <c r="G257" s="45">
        <v>0.19500000000000001</v>
      </c>
      <c r="H257" s="15" t="str">
        <f t="shared" si="3"/>
        <v>(180, 200]</v>
      </c>
      <c r="I257" s="78">
        <v>9.8767499999999994E-2</v>
      </c>
      <c r="J257" s="42">
        <v>3.7015367414816066E-3</v>
      </c>
      <c r="K257" s="42">
        <v>1.2421937397410735E-3</v>
      </c>
      <c r="L257" s="43">
        <v>1242193</v>
      </c>
      <c r="M257" s="42">
        <v>1.2421930198750883E-3</v>
      </c>
      <c r="N257" s="42">
        <v>0.23596294936678203</v>
      </c>
      <c r="O257" s="45"/>
      <c r="P257" s="13">
        <v>1.2421930198750883E-3</v>
      </c>
      <c r="Q257" s="42">
        <v>2.440185051243886E-3</v>
      </c>
      <c r="R257" s="13">
        <v>0</v>
      </c>
      <c r="S257" s="27">
        <v>1.96</v>
      </c>
      <c r="T257" s="37"/>
      <c r="U257" s="100">
        <v>0.46688540167069742</v>
      </c>
    </row>
    <row r="258" spans="1:21" x14ac:dyDescent="0.3">
      <c r="A258" s="12">
        <v>200</v>
      </c>
      <c r="B258" s="12">
        <v>250</v>
      </c>
      <c r="C258" s="35">
        <v>1165700</v>
      </c>
      <c r="D258" s="35">
        <v>26176231540</v>
      </c>
      <c r="E258" s="13">
        <v>8.727694290963374E-2</v>
      </c>
      <c r="F258" s="34">
        <v>224.55375774212919</v>
      </c>
      <c r="G258" s="45">
        <v>0.3</v>
      </c>
      <c r="H258" s="15" t="str">
        <f t="shared" si="3"/>
        <v>(200, 250]</v>
      </c>
      <c r="I258" s="78">
        <v>0.15194999999999997</v>
      </c>
      <c r="J258" s="42">
        <v>1.3261731475118844E-2</v>
      </c>
      <c r="K258" s="42">
        <v>4.4504866402935959E-3</v>
      </c>
      <c r="L258" s="43">
        <v>4450486</v>
      </c>
      <c r="M258" s="42">
        <v>4.4504860712077775E-3</v>
      </c>
      <c r="N258" s="42">
        <v>0.9993733710687116</v>
      </c>
      <c r="O258" s="45"/>
      <c r="P258" s="13">
        <v>4.4504860712077775E-3</v>
      </c>
      <c r="Q258" s="42">
        <v>8.7426091835947923E-3</v>
      </c>
      <c r="R258" s="13">
        <v>6.0240963855421686E-2</v>
      </c>
      <c r="S258" s="27">
        <v>1.96</v>
      </c>
      <c r="T258" s="37"/>
      <c r="U258" s="100">
        <v>0.48025330649648901</v>
      </c>
    </row>
    <row r="259" spans="1:21" x14ac:dyDescent="0.3">
      <c r="A259" s="12">
        <v>250</v>
      </c>
      <c r="B259" s="12">
        <v>300</v>
      </c>
      <c r="C259" s="35">
        <v>1026762</v>
      </c>
      <c r="D259" s="35">
        <v>28180089350</v>
      </c>
      <c r="E259" s="13">
        <v>7.6874537578949437E-2</v>
      </c>
      <c r="F259" s="34">
        <v>274.45590458158756</v>
      </c>
      <c r="G259" s="45">
        <v>5.3999999999999992E-2</v>
      </c>
      <c r="H259" s="15" t="str">
        <f t="shared" si="3"/>
        <v>(250, 300]</v>
      </c>
      <c r="I259" s="78">
        <v>2.7350999999999993E-2</v>
      </c>
      <c r="J259" s="42">
        <v>2.1025954773218457E-3</v>
      </c>
      <c r="K259" s="42">
        <v>7.0560719008064168E-4</v>
      </c>
      <c r="L259" s="43">
        <v>705607</v>
      </c>
      <c r="M259" s="42">
        <v>7.0560701128971213E-4</v>
      </c>
      <c r="N259" s="42">
        <v>0.19365801056262841</v>
      </c>
      <c r="O259" s="45"/>
      <c r="P259" s="13">
        <v>7.0560701128971213E-4</v>
      </c>
      <c r="Q259" s="42">
        <v>1.3861060291082267E-3</v>
      </c>
      <c r="R259" s="13">
        <v>2.4096385542168676E-2</v>
      </c>
      <c r="S259" s="27">
        <v>1.96</v>
      </c>
      <c r="T259" s="37"/>
      <c r="U259" s="100">
        <v>0.49682640747581852</v>
      </c>
    </row>
    <row r="260" spans="1:21" x14ac:dyDescent="0.3">
      <c r="A260" s="12">
        <v>300</v>
      </c>
      <c r="B260" s="12">
        <v>350</v>
      </c>
      <c r="C260" s="35">
        <v>890637</v>
      </c>
      <c r="D260" s="35">
        <v>28893976955</v>
      </c>
      <c r="E260" s="13">
        <v>6.66827439325791E-2</v>
      </c>
      <c r="F260" s="34">
        <v>324.41922977599182</v>
      </c>
      <c r="G260" s="45">
        <v>4.8000000000000001E-2</v>
      </c>
      <c r="H260" s="15" t="str">
        <f t="shared" si="3"/>
        <v>(300, 350]</v>
      </c>
      <c r="I260" s="78">
        <v>2.4311999999999997E-2</v>
      </c>
      <c r="J260" s="42">
        <v>1.6211908704888629E-3</v>
      </c>
      <c r="K260" s="42">
        <v>5.4405326514213499E-4</v>
      </c>
      <c r="L260" s="43">
        <v>544053</v>
      </c>
      <c r="M260" s="42">
        <v>5.4405300870484811E-4</v>
      </c>
      <c r="N260" s="42">
        <v>0.17650125804133779</v>
      </c>
      <c r="O260" s="45"/>
      <c r="P260" s="13">
        <v>5.4405300870484811E-4</v>
      </c>
      <c r="Q260" s="42">
        <v>1.0687470224436874E-3</v>
      </c>
      <c r="R260" s="13">
        <v>1.2048192771084338E-2</v>
      </c>
      <c r="S260" s="27">
        <v>1.96</v>
      </c>
      <c r="T260" s="37"/>
      <c r="U260" s="100">
        <v>0.5100563402168331</v>
      </c>
    </row>
    <row r="261" spans="1:21" x14ac:dyDescent="0.3">
      <c r="A261" s="12">
        <v>350</v>
      </c>
      <c r="B261" s="12">
        <v>400</v>
      </c>
      <c r="C261" s="35">
        <v>765141</v>
      </c>
      <c r="D261" s="35">
        <v>28648734925</v>
      </c>
      <c r="E261" s="13">
        <v>5.7286752487621231E-2</v>
      </c>
      <c r="F261" s="34">
        <v>374.42425546402558</v>
      </c>
      <c r="G261" s="45">
        <v>5.0000000000000001E-3</v>
      </c>
      <c r="H261" s="15" t="str">
        <f t="shared" si="3"/>
        <v>(350, 400]</v>
      </c>
      <c r="I261" s="78">
        <v>2.5324999999999996E-3</v>
      </c>
      <c r="J261" s="42">
        <v>1.4507870067490076E-4</v>
      </c>
      <c r="K261" s="42">
        <v>4.8686766155398511E-5</v>
      </c>
      <c r="L261" s="43">
        <v>48686</v>
      </c>
      <c r="M261" s="42">
        <v>4.8686000778976013E-5</v>
      </c>
      <c r="N261" s="42">
        <v>1.8229219593189062E-2</v>
      </c>
      <c r="O261" s="45"/>
      <c r="P261" s="13">
        <v>4.8686000778976013E-5</v>
      </c>
      <c r="Q261" s="42">
        <v>9.5641002008461039E-5</v>
      </c>
      <c r="R261" s="13">
        <v>0</v>
      </c>
      <c r="S261" s="27">
        <v>1.96</v>
      </c>
      <c r="T261" s="37"/>
      <c r="U261" s="100">
        <v>0.52143714187281465</v>
      </c>
    </row>
    <row r="262" spans="1:21" x14ac:dyDescent="0.3">
      <c r="A262" s="12">
        <v>400</v>
      </c>
      <c r="B262" s="12">
        <v>450</v>
      </c>
      <c r="C262" s="35">
        <v>655533</v>
      </c>
      <c r="D262" s="35">
        <v>27818394850</v>
      </c>
      <c r="E262" s="13">
        <v>4.908030901293723E-2</v>
      </c>
      <c r="F262" s="34">
        <v>424.36299698108252</v>
      </c>
      <c r="G262" s="45">
        <v>3.3333333333333335E-3</v>
      </c>
      <c r="H262" s="15" t="str">
        <f t="shared" si="3"/>
        <v>(400, 450]</v>
      </c>
      <c r="I262" s="78">
        <v>1.6883333333333334E-3</v>
      </c>
      <c r="J262" s="42">
        <v>8.2863921716842359E-5</v>
      </c>
      <c r="K262" s="42">
        <v>2.7808192109381888E-5</v>
      </c>
      <c r="L262" s="43">
        <v>27808</v>
      </c>
      <c r="M262" s="42">
        <v>2.7808000444928008E-5</v>
      </c>
      <c r="N262" s="42">
        <v>1.1800686408860925E-2</v>
      </c>
      <c r="O262" s="45"/>
      <c r="P262" s="13">
        <v>2.7808000444928008E-5</v>
      </c>
      <c r="Q262" s="42">
        <v>5.4626001147146026E-5</v>
      </c>
      <c r="R262" s="13">
        <v>0</v>
      </c>
      <c r="S262" s="27">
        <v>1.96</v>
      </c>
      <c r="T262" s="37"/>
      <c r="U262" s="100">
        <v>0.53100027358521928</v>
      </c>
    </row>
    <row r="263" spans="1:21" x14ac:dyDescent="0.3">
      <c r="A263" s="12">
        <v>450</v>
      </c>
      <c r="B263" s="12">
        <v>500</v>
      </c>
      <c r="C263" s="35">
        <v>560281</v>
      </c>
      <c r="D263" s="35">
        <v>26577237665</v>
      </c>
      <c r="E263" s="13">
        <v>4.1948711375441795E-2</v>
      </c>
      <c r="F263" s="34">
        <v>474.35550491628311</v>
      </c>
      <c r="G263" s="45">
        <v>3.3333333333333335E-3</v>
      </c>
      <c r="H263" s="15" t="str">
        <f t="shared" si="3"/>
        <v>(450, 500]</v>
      </c>
      <c r="I263" s="78">
        <v>1.6883333333333334E-3</v>
      </c>
      <c r="J263" s="42">
        <v>7.0823407705537567E-5</v>
      </c>
      <c r="K263" s="42">
        <v>2.3767532196299187E-5</v>
      </c>
      <c r="L263" s="43">
        <v>23767</v>
      </c>
      <c r="M263" s="42">
        <v>2.3767000380272007E-5</v>
      </c>
      <c r="N263" s="42">
        <v>1.1274007465729421E-2</v>
      </c>
      <c r="O263" s="45"/>
      <c r="P263" s="13">
        <v>2.3767000380272007E-5</v>
      </c>
      <c r="Q263" s="42">
        <v>4.6689000980469022E-5</v>
      </c>
      <c r="R263" s="13">
        <v>0</v>
      </c>
      <c r="S263" s="27">
        <v>1.96</v>
      </c>
      <c r="T263" s="37"/>
      <c r="U263" s="100">
        <v>0.53927150015387737</v>
      </c>
    </row>
    <row r="264" spans="1:21" x14ac:dyDescent="0.3">
      <c r="A264" s="12">
        <v>500</v>
      </c>
      <c r="B264" s="12">
        <v>550</v>
      </c>
      <c r="C264" s="35">
        <v>478425</v>
      </c>
      <c r="D264" s="35">
        <v>25087256455</v>
      </c>
      <c r="E264" s="13">
        <v>3.5820083564846464E-2</v>
      </c>
      <c r="F264" s="34">
        <v>524.37177101949101</v>
      </c>
      <c r="G264" s="45">
        <v>3.3333333333333335E-3</v>
      </c>
      <c r="H264" s="15" t="str">
        <f t="shared" si="3"/>
        <v>(500, 550]</v>
      </c>
      <c r="I264" s="78">
        <v>1.6883333333333334E-3</v>
      </c>
      <c r="J264" s="42">
        <v>6.0476241085315782E-5</v>
      </c>
      <c r="K264" s="42">
        <v>2.0295140458117337E-5</v>
      </c>
      <c r="L264" s="43">
        <v>20295</v>
      </c>
      <c r="M264" s="42">
        <v>2.0295000324720006E-5</v>
      </c>
      <c r="N264" s="42">
        <v>1.0642125263114574E-2</v>
      </c>
      <c r="O264" s="45"/>
      <c r="P264" s="13">
        <v>2.0295000324720006E-5</v>
      </c>
      <c r="Q264" s="42">
        <v>3.9868000837228018E-5</v>
      </c>
      <c r="R264" s="13">
        <v>0</v>
      </c>
      <c r="S264" s="27">
        <v>1.96</v>
      </c>
      <c r="T264" s="37"/>
      <c r="U264" s="100">
        <v>0.54676261482494559</v>
      </c>
    </row>
    <row r="265" spans="1:21" x14ac:dyDescent="0.3">
      <c r="A265" s="12">
        <v>550</v>
      </c>
      <c r="B265" s="12">
        <v>600</v>
      </c>
      <c r="C265" s="35">
        <v>409136</v>
      </c>
      <c r="D265" s="35">
        <v>23501071195</v>
      </c>
      <c r="E265" s="13">
        <v>3.0632357651433396E-2</v>
      </c>
      <c r="F265" s="34">
        <v>574.40731676019709</v>
      </c>
      <c r="G265" s="45">
        <v>3.3333333333333335E-3</v>
      </c>
      <c r="H265" s="15" t="str">
        <f t="shared" si="3"/>
        <v>(550, 600]</v>
      </c>
      <c r="I265" s="78">
        <v>1.6883333333333334E-3</v>
      </c>
      <c r="J265" s="13">
        <v>5.1717630501503383E-5</v>
      </c>
      <c r="K265" s="13">
        <v>1.7355850104974227E-5</v>
      </c>
      <c r="L265" s="43">
        <v>17355</v>
      </c>
      <c r="M265" s="13">
        <v>1.7355000277680005E-5</v>
      </c>
      <c r="N265" s="13">
        <v>9.9688391418746476E-3</v>
      </c>
      <c r="O265" s="45"/>
      <c r="P265" s="13">
        <v>1.7355000277680005E-5</v>
      </c>
      <c r="Q265" s="13">
        <v>3.4094000715974015E-5</v>
      </c>
      <c r="R265" s="13">
        <v>0</v>
      </c>
      <c r="S265" s="27">
        <v>1.96</v>
      </c>
      <c r="T265" s="37"/>
      <c r="U265" s="82">
        <v>0.55355376742561602</v>
      </c>
    </row>
    <row r="266" spans="1:21" x14ac:dyDescent="0.3">
      <c r="A266" s="12">
        <v>600</v>
      </c>
      <c r="B266" s="12">
        <v>650</v>
      </c>
      <c r="C266" s="35">
        <v>348904</v>
      </c>
      <c r="D266" s="35">
        <v>21784236745</v>
      </c>
      <c r="E266" s="13">
        <v>2.612273697258544E-2</v>
      </c>
      <c r="F266" s="34">
        <v>624.36190886318298</v>
      </c>
      <c r="G266" s="45">
        <v>3.3333333333333335E-3</v>
      </c>
      <c r="H266" s="15" t="str">
        <f t="shared" si="3"/>
        <v>(600, 650]</v>
      </c>
      <c r="I266" s="78">
        <v>1.6883333333333334E-3</v>
      </c>
      <c r="J266" s="13">
        <v>4.4103887588715086E-5</v>
      </c>
      <c r="K266" s="13">
        <v>1.4800764354703392E-5</v>
      </c>
      <c r="L266" s="43">
        <v>14800</v>
      </c>
      <c r="M266" s="13">
        <v>1.4800000236800004E-5</v>
      </c>
      <c r="N266" s="13">
        <v>9.2405563990240105E-3</v>
      </c>
      <c r="O266" s="45"/>
      <c r="P266" s="13">
        <v>1.4800000236800004E-5</v>
      </c>
      <c r="Q266" s="13">
        <v>2.9074000610554013E-5</v>
      </c>
      <c r="R266" s="13">
        <v>0</v>
      </c>
      <c r="S266" s="27">
        <v>1.96</v>
      </c>
      <c r="T266" s="37"/>
      <c r="U266" s="82">
        <v>0.55890973295901325</v>
      </c>
    </row>
    <row r="267" spans="1:21" x14ac:dyDescent="0.3">
      <c r="A267" s="12">
        <v>650</v>
      </c>
      <c r="B267" s="12">
        <v>700</v>
      </c>
      <c r="C267" s="35">
        <v>299066</v>
      </c>
      <c r="D267" s="35">
        <v>20167888070</v>
      </c>
      <c r="E267" s="13">
        <v>2.2391323846798081E-2</v>
      </c>
      <c r="F267" s="34">
        <v>674.36245076337673</v>
      </c>
      <c r="G267" s="45">
        <v>3.3333333333333335E-3</v>
      </c>
      <c r="H267" s="15" t="str">
        <f t="shared" si="3"/>
        <v>(650, 700]</v>
      </c>
      <c r="I267" s="78">
        <v>1.6883333333333334E-3</v>
      </c>
      <c r="J267" s="13">
        <v>3.7804018428010758E-5</v>
      </c>
      <c r="K267" s="13">
        <v>1.2686599730882203E-5</v>
      </c>
      <c r="L267" s="43">
        <v>12686</v>
      </c>
      <c r="M267" s="13">
        <v>1.2686000202976003E-5</v>
      </c>
      <c r="N267" s="13">
        <v>8.5549621872635911E-3</v>
      </c>
      <c r="O267" s="45"/>
      <c r="P267" s="13">
        <v>1.2686000202976003E-5</v>
      </c>
      <c r="Q267" s="13">
        <v>2.4921000523341011E-5</v>
      </c>
      <c r="R267" s="13">
        <v>0</v>
      </c>
      <c r="S267" s="27">
        <v>1.96</v>
      </c>
      <c r="T267" s="37"/>
      <c r="U267" s="82">
        <v>0.56408631602044401</v>
      </c>
    </row>
    <row r="268" spans="1:21" x14ac:dyDescent="0.3">
      <c r="A268" s="12">
        <v>700</v>
      </c>
      <c r="B268" s="12">
        <v>750</v>
      </c>
      <c r="C268" s="35">
        <v>257143</v>
      </c>
      <c r="D268" s="35">
        <v>18626033505</v>
      </c>
      <c r="E268" s="13">
        <v>1.9252513451670197E-2</v>
      </c>
      <c r="F268" s="34">
        <v>724.3453450025861</v>
      </c>
      <c r="G268" s="45">
        <v>3.3333333333333335E-3</v>
      </c>
      <c r="H268" s="15" t="str">
        <f t="shared" si="3"/>
        <v>(700, 750]</v>
      </c>
      <c r="I268" s="78">
        <v>1.6883333333333334E-3</v>
      </c>
      <c r="J268" s="13">
        <v>3.2504660210903185E-5</v>
      </c>
      <c r="K268" s="13">
        <v>1.0908195229809618E-5</v>
      </c>
      <c r="L268" s="43">
        <v>10908</v>
      </c>
      <c r="M268" s="13">
        <v>1.0908000174528003E-5</v>
      </c>
      <c r="N268" s="13">
        <v>7.9011591497067553E-3</v>
      </c>
      <c r="O268" s="45"/>
      <c r="P268" s="13">
        <v>1.0908000174528003E-5</v>
      </c>
      <c r="Q268" s="13">
        <v>2.142800044998801E-5</v>
      </c>
      <c r="R268" s="13">
        <v>0</v>
      </c>
      <c r="S268" s="27">
        <v>1.96</v>
      </c>
      <c r="T268" s="37"/>
      <c r="U268" s="82">
        <v>0.56856346140145408</v>
      </c>
    </row>
    <row r="269" spans="1:21" x14ac:dyDescent="0.3">
      <c r="A269" s="12">
        <v>750</v>
      </c>
      <c r="B269" s="12">
        <v>800</v>
      </c>
      <c r="C269" s="35">
        <v>221618</v>
      </c>
      <c r="D269" s="35">
        <v>17161453475</v>
      </c>
      <c r="E269" s="13">
        <v>1.6592726716777223E-2</v>
      </c>
      <c r="F269" s="34">
        <v>774.37092090895135</v>
      </c>
      <c r="G269" s="45">
        <v>3.3333333333333335E-3</v>
      </c>
      <c r="H269" s="15" t="str">
        <f t="shared" si="3"/>
        <v>(750, 800]</v>
      </c>
      <c r="I269" s="78">
        <v>1.6883333333333334E-3</v>
      </c>
      <c r="J269" s="13">
        <v>2.8014053606825545E-5</v>
      </c>
      <c r="K269" s="13">
        <v>9.4011985954894647E-6</v>
      </c>
      <c r="L269" s="43">
        <v>9401</v>
      </c>
      <c r="M269" s="13">
        <v>9.4010001504160026E-6</v>
      </c>
      <c r="N269" s="13">
        <v>7.2798611439428302E-3</v>
      </c>
      <c r="O269" s="45"/>
      <c r="P269" s="13">
        <v>9.4010001504160026E-6</v>
      </c>
      <c r="Q269" s="13">
        <v>1.8467000387807009E-5</v>
      </c>
      <c r="R269" s="13">
        <v>0</v>
      </c>
      <c r="S269" s="27">
        <v>1.96</v>
      </c>
      <c r="T269" s="37"/>
      <c r="U269" s="82">
        <v>0.57334680236536373</v>
      </c>
    </row>
    <row r="270" spans="1:21" x14ac:dyDescent="0.3">
      <c r="A270" s="12">
        <v>800</v>
      </c>
      <c r="B270" s="12">
        <v>850</v>
      </c>
      <c r="C270" s="35">
        <v>190331</v>
      </c>
      <c r="D270" s="35">
        <v>15690756525</v>
      </c>
      <c r="E270" s="13">
        <v>1.4250242618970146E-2</v>
      </c>
      <c r="F270" s="34">
        <v>824.39311121152105</v>
      </c>
      <c r="G270" s="45">
        <v>3.3333333333333335E-3</v>
      </c>
      <c r="H270" s="15" t="str">
        <f t="shared" si="3"/>
        <v>(800, 850]</v>
      </c>
      <c r="I270" s="78">
        <v>1.6883333333333334E-3</v>
      </c>
      <c r="J270" s="13">
        <v>2.4059159621694597E-5</v>
      </c>
      <c r="K270" s="13">
        <v>8.073981038896233E-6</v>
      </c>
      <c r="L270" s="43">
        <v>8073</v>
      </c>
      <c r="M270" s="13">
        <v>8.0730001291680018E-6</v>
      </c>
      <c r="N270" s="13">
        <v>6.6553256932958202E-3</v>
      </c>
      <c r="O270" s="45"/>
      <c r="P270" s="13">
        <v>8.0730001291680018E-6</v>
      </c>
      <c r="Q270" s="13">
        <v>1.5860000333060006E-5</v>
      </c>
      <c r="R270" s="13">
        <v>0</v>
      </c>
      <c r="S270" s="27">
        <v>1.96</v>
      </c>
      <c r="T270" s="37"/>
      <c r="U270" s="82">
        <v>0.57698274648178982</v>
      </c>
    </row>
    <row r="271" spans="1:21" x14ac:dyDescent="0.3">
      <c r="A271" s="12">
        <v>850</v>
      </c>
      <c r="B271" s="12">
        <v>900</v>
      </c>
      <c r="C271" s="35">
        <v>165233</v>
      </c>
      <c r="D271" s="35">
        <v>14447963260</v>
      </c>
      <c r="E271" s="13">
        <v>1.2371134174991432E-2</v>
      </c>
      <c r="F271" s="34">
        <v>874.39937905866259</v>
      </c>
      <c r="G271" s="45">
        <v>3.3333333333333335E-3</v>
      </c>
      <c r="H271" s="15" t="str">
        <f t="shared" si="3"/>
        <v>(850, 900]</v>
      </c>
      <c r="I271" s="78">
        <v>1.6883333333333334E-3</v>
      </c>
      <c r="J271" s="13">
        <v>2.0886598198777202E-5</v>
      </c>
      <c r="K271" s="13">
        <v>7.0093054153025066E-6</v>
      </c>
      <c r="L271" s="28">
        <v>7009</v>
      </c>
      <c r="M271" s="13">
        <v>7.0090001121440021E-6</v>
      </c>
      <c r="N271" s="13">
        <v>6.128665345880812E-3</v>
      </c>
      <c r="O271" s="45"/>
      <c r="P271" s="13">
        <v>7.0090001121440021E-6</v>
      </c>
      <c r="Q271" s="13">
        <v>1.3769000289149006E-5</v>
      </c>
      <c r="R271" s="13">
        <v>0</v>
      </c>
      <c r="S271" s="27">
        <v>1.96</v>
      </c>
      <c r="T271" s="37"/>
      <c r="U271" s="82">
        <v>0.58038352925724046</v>
      </c>
    </row>
    <row r="272" spans="1:21" x14ac:dyDescent="0.3">
      <c r="A272" s="12">
        <v>900</v>
      </c>
      <c r="B272" s="12">
        <v>950</v>
      </c>
      <c r="C272" s="35">
        <v>142742</v>
      </c>
      <c r="D272" s="35">
        <v>13196035120</v>
      </c>
      <c r="E272" s="13">
        <v>1.0687214021452294E-2</v>
      </c>
      <c r="F272" s="34">
        <v>924.46757926889074</v>
      </c>
      <c r="G272" s="45">
        <v>3.3333333333333335E-3</v>
      </c>
      <c r="H272" s="15" t="str">
        <f t="shared" si="3"/>
        <v>(900, 950]</v>
      </c>
      <c r="I272" s="78">
        <v>1.6883333333333334E-3</v>
      </c>
      <c r="J272" s="13">
        <v>1.8043579672885288E-5</v>
      </c>
      <c r="K272" s="13">
        <v>6.0552206495742992E-6</v>
      </c>
      <c r="L272" s="28">
        <v>6055</v>
      </c>
      <c r="M272" s="13">
        <v>6.0550000968800011E-6</v>
      </c>
      <c r="N272" s="13">
        <v>5.5976512820355533E-3</v>
      </c>
      <c r="O272" s="45"/>
      <c r="P272" s="13">
        <v>6.0550000968800011E-6</v>
      </c>
      <c r="Q272" s="13">
        <v>1.1894000249774005E-5</v>
      </c>
      <c r="R272" s="13">
        <v>0</v>
      </c>
      <c r="S272" s="27">
        <v>1.96</v>
      </c>
      <c r="T272" s="37"/>
      <c r="U272" s="82">
        <v>0.58365360408592371</v>
      </c>
    </row>
    <row r="273" spans="1:21" x14ac:dyDescent="0.3">
      <c r="A273" s="12">
        <v>950</v>
      </c>
      <c r="B273" s="12">
        <v>1000</v>
      </c>
      <c r="C273" s="35">
        <v>124020</v>
      </c>
      <c r="D273" s="35">
        <v>12085225970</v>
      </c>
      <c r="E273" s="13">
        <v>9.2854820791393802E-3</v>
      </c>
      <c r="F273" s="34">
        <v>974.45782696339302</v>
      </c>
      <c r="G273" s="45">
        <v>3.3333333333333335E-3</v>
      </c>
      <c r="H273" s="15" t="str">
        <f t="shared" si="3"/>
        <v>(950, 1000]</v>
      </c>
      <c r="I273" s="78">
        <v>1.6883333333333334E-3</v>
      </c>
      <c r="J273" s="13">
        <v>1.5676988910280321E-5</v>
      </c>
      <c r="K273" s="13">
        <v>5.2610196365484909E-6</v>
      </c>
      <c r="L273" s="28">
        <v>5261</v>
      </c>
      <c r="M273" s="13">
        <v>5.2610000841760016E-6</v>
      </c>
      <c r="N273" s="13">
        <v>5.1266227096803743E-3</v>
      </c>
      <c r="O273" s="45"/>
      <c r="P273" s="13">
        <v>5.2610000841760016E-6</v>
      </c>
      <c r="Q273" s="13">
        <v>1.0334000217014005E-5</v>
      </c>
      <c r="R273" s="13">
        <v>0</v>
      </c>
      <c r="S273" s="27">
        <v>1.96</v>
      </c>
      <c r="T273" s="37"/>
      <c r="U273" s="82">
        <v>0.58652278290282522</v>
      </c>
    </row>
    <row r="274" spans="1:21" x14ac:dyDescent="0.3">
      <c r="A274" s="12">
        <v>1000</v>
      </c>
      <c r="B274" s="12">
        <v>2000</v>
      </c>
      <c r="C274" s="35">
        <v>850635</v>
      </c>
      <c r="D274" s="35">
        <v>112397654425</v>
      </c>
      <c r="E274" s="13">
        <v>6.368776042887217E-2</v>
      </c>
      <c r="F274" s="34">
        <v>1321.3382287937834</v>
      </c>
      <c r="G274" s="45">
        <v>3.3333333333333335E-3</v>
      </c>
      <c r="H274" s="15" t="str">
        <f t="shared" si="3"/>
        <v>(1000, 2000]</v>
      </c>
      <c r="I274" s="78">
        <v>1.6883333333333334E-3</v>
      </c>
      <c r="J274" s="13">
        <v>1.0752616885741251E-4</v>
      </c>
      <c r="K274" s="13">
        <v>3.6084562478111799E-5</v>
      </c>
      <c r="L274" s="28">
        <v>36084</v>
      </c>
      <c r="M274" s="13">
        <v>3.6084000577344008E-5</v>
      </c>
      <c r="N274" s="13">
        <v>4.7679169410661588E-2</v>
      </c>
      <c r="O274" s="45"/>
      <c r="P274" s="13">
        <v>3.6084000577344008E-5</v>
      </c>
      <c r="Q274" s="13">
        <v>7.0885001488585036E-5</v>
      </c>
      <c r="R274" s="13">
        <v>0</v>
      </c>
      <c r="S274" s="27">
        <v>1.96</v>
      </c>
      <c r="T274" s="37"/>
      <c r="U274" s="82">
        <v>0.59752520032021483</v>
      </c>
    </row>
    <row r="275" spans="1:21" x14ac:dyDescent="0.3">
      <c r="A275" s="12">
        <v>2000</v>
      </c>
      <c r="B275" s="12">
        <v>3000</v>
      </c>
      <c r="C275" s="35">
        <v>119341</v>
      </c>
      <c r="D275" s="35">
        <v>28404013705</v>
      </c>
      <c r="E275" s="13">
        <v>8.9351613998272274E-3</v>
      </c>
      <c r="F275" s="34">
        <v>2380.071702516319</v>
      </c>
      <c r="G275" s="45">
        <v>3.3333333333333335E-3</v>
      </c>
      <c r="H275" s="15" t="str">
        <f t="shared" si="3"/>
        <v>(2000, 3000]</v>
      </c>
      <c r="I275" s="78">
        <v>1.6883333333333334E-3</v>
      </c>
      <c r="J275" s="13">
        <v>1.5085530830041636E-5</v>
      </c>
      <c r="K275" s="13">
        <v>5.0625330143955287E-6</v>
      </c>
      <c r="L275" s="28">
        <v>5062</v>
      </c>
      <c r="M275" s="13">
        <v>5.0620000809920012E-6</v>
      </c>
      <c r="N275" s="13">
        <v>1.2047923150904376E-2</v>
      </c>
      <c r="O275" s="45"/>
      <c r="P275" s="13">
        <v>5.0620000809920012E-6</v>
      </c>
      <c r="Q275" s="13">
        <v>9.9440002088240046E-6</v>
      </c>
      <c r="R275" s="13">
        <v>0</v>
      </c>
      <c r="S275" s="27">
        <v>1.96</v>
      </c>
      <c r="T275" s="37"/>
      <c r="U275" s="82">
        <v>0.60105240338188048</v>
      </c>
    </row>
    <row r="276" spans="1:21" x14ac:dyDescent="0.3">
      <c r="A276" s="12">
        <v>3000</v>
      </c>
      <c r="B276" s="12">
        <v>4000</v>
      </c>
      <c r="C276" s="35">
        <v>35102</v>
      </c>
      <c r="D276" s="35">
        <v>12029474040</v>
      </c>
      <c r="E276" s="13">
        <v>2.6281163678596236E-3</v>
      </c>
      <c r="F276" s="34">
        <v>3427.0053102387333</v>
      </c>
      <c r="G276" s="45">
        <v>3.3333333333333335E-3</v>
      </c>
      <c r="H276" s="15" t="str">
        <f t="shared" si="3"/>
        <v>(3000, 4000]</v>
      </c>
      <c r="I276" s="78">
        <v>1.6883333333333334E-3</v>
      </c>
      <c r="J276" s="13">
        <v>4.4371364677363313E-6</v>
      </c>
      <c r="K276" s="13">
        <v>1.4890526631359871E-6</v>
      </c>
      <c r="L276" s="28">
        <v>1489</v>
      </c>
      <c r="M276" s="13">
        <v>1.4890000238240005E-6</v>
      </c>
      <c r="N276" s="13">
        <v>5.1028109885904501E-3</v>
      </c>
      <c r="O276" s="45"/>
      <c r="P276" s="13">
        <v>1.4890000238240005E-6</v>
      </c>
      <c r="Q276" s="13">
        <v>2.9250000614250014E-6</v>
      </c>
      <c r="R276" s="13">
        <v>0</v>
      </c>
      <c r="S276" s="27">
        <v>1.96</v>
      </c>
      <c r="T276" s="37"/>
      <c r="U276" s="82">
        <v>0.57457059818472023</v>
      </c>
    </row>
    <row r="277" spans="1:21" x14ac:dyDescent="0.3">
      <c r="A277" s="12">
        <v>4000</v>
      </c>
      <c r="B277" s="12">
        <v>5000</v>
      </c>
      <c r="C277" s="35">
        <v>17552</v>
      </c>
      <c r="D277" s="35">
        <v>7832008840</v>
      </c>
      <c r="E277" s="13">
        <v>1.3141330547738624E-3</v>
      </c>
      <c r="F277" s="34">
        <v>4462.1745897903374</v>
      </c>
      <c r="G277" s="45">
        <v>3.3333333333333335E-3</v>
      </c>
      <c r="H277" s="15" t="str">
        <f t="shared" si="3"/>
        <v>(4000, 5000]</v>
      </c>
      <c r="I277" s="78">
        <v>1.6883333333333334E-3</v>
      </c>
      <c r="J277" s="13">
        <v>2.2186946408098711E-6</v>
      </c>
      <c r="K277" s="13">
        <v>7.4456875230365366E-7</v>
      </c>
      <c r="L277" s="28">
        <v>744</v>
      </c>
      <c r="M277" s="13">
        <v>7.4400001190400018E-7</v>
      </c>
      <c r="N277" s="13">
        <v>3.3198579479217383E-3</v>
      </c>
      <c r="O277" s="45"/>
      <c r="P277" s="13">
        <v>7.4400001190400018E-7</v>
      </c>
      <c r="Q277" s="13">
        <v>1.4620000307020006E-6</v>
      </c>
      <c r="R277" s="13">
        <v>0</v>
      </c>
      <c r="S277" s="27">
        <v>1.97</v>
      </c>
      <c r="T277" s="37"/>
      <c r="U277" s="82">
        <v>0.53973922050151191</v>
      </c>
    </row>
    <row r="278" spans="1:21" x14ac:dyDescent="0.3">
      <c r="A278" s="12">
        <v>5000</v>
      </c>
      <c r="B278" s="12">
        <v>6000</v>
      </c>
      <c r="C278" s="35">
        <v>12722</v>
      </c>
      <c r="D278" s="35">
        <v>6971945490</v>
      </c>
      <c r="E278" s="13">
        <v>9.5250687801008867E-4</v>
      </c>
      <c r="F278" s="34">
        <v>5480.2275506995757</v>
      </c>
      <c r="G278" s="45">
        <v>0</v>
      </c>
      <c r="H278" s="15" t="str">
        <f t="shared" si="3"/>
        <v>(5000, 6000]</v>
      </c>
      <c r="I278" s="78">
        <v>0</v>
      </c>
      <c r="J278" s="13">
        <v>0</v>
      </c>
      <c r="K278" s="13">
        <v>0</v>
      </c>
      <c r="L278" s="28">
        <v>0</v>
      </c>
      <c r="M278" s="13">
        <v>0</v>
      </c>
      <c r="N278" s="13">
        <v>0</v>
      </c>
      <c r="O278" s="45"/>
      <c r="P278" s="13">
        <v>0</v>
      </c>
      <c r="Q278" s="13">
        <v>0</v>
      </c>
      <c r="R278" s="13">
        <v>0</v>
      </c>
      <c r="S278" s="27">
        <v>0</v>
      </c>
      <c r="T278" s="37"/>
      <c r="U278" s="82">
        <v>0.50866411935067779</v>
      </c>
    </row>
    <row r="279" spans="1:21" x14ac:dyDescent="0.3">
      <c r="A279" s="12">
        <v>6000</v>
      </c>
      <c r="B279" s="12">
        <v>7000</v>
      </c>
      <c r="C279" s="35">
        <v>10710</v>
      </c>
      <c r="D279" s="35">
        <v>6952573520</v>
      </c>
      <c r="E279" s="13">
        <v>8.0186673978054155E-4</v>
      </c>
      <c r="F279" s="34">
        <v>6491.665284780579</v>
      </c>
      <c r="G279" s="45">
        <v>0</v>
      </c>
      <c r="H279" s="15" t="str">
        <f t="shared" si="3"/>
        <v>(6000, 7000]</v>
      </c>
      <c r="I279" s="78">
        <v>0</v>
      </c>
      <c r="J279" s="13">
        <v>0</v>
      </c>
      <c r="K279" s="13">
        <v>0</v>
      </c>
      <c r="L279" s="28">
        <v>0</v>
      </c>
      <c r="M279" s="13">
        <v>0</v>
      </c>
      <c r="N279" s="13">
        <v>0</v>
      </c>
      <c r="O279" s="45"/>
      <c r="P279" s="13">
        <v>0</v>
      </c>
      <c r="Q279" s="13">
        <v>0</v>
      </c>
      <c r="R279" s="13">
        <v>0</v>
      </c>
      <c r="S279" s="27">
        <v>0</v>
      </c>
      <c r="T279" s="37"/>
      <c r="U279" s="82">
        <v>0.50214690771258086</v>
      </c>
    </row>
    <row r="280" spans="1:21" x14ac:dyDescent="0.3">
      <c r="A280" s="12">
        <v>7000</v>
      </c>
      <c r="B280" s="12">
        <v>8000</v>
      </c>
      <c r="C280" s="35">
        <v>9675</v>
      </c>
      <c r="D280" s="35">
        <v>7245136075</v>
      </c>
      <c r="E280" s="13">
        <v>7.2437541618830439E-4</v>
      </c>
      <c r="F280" s="34">
        <v>7488.5127390180878</v>
      </c>
      <c r="G280" s="45">
        <v>0</v>
      </c>
      <c r="H280" s="15" t="str">
        <f t="shared" si="3"/>
        <v>(7000, 8000]</v>
      </c>
      <c r="I280" s="78">
        <v>0</v>
      </c>
      <c r="J280" s="13">
        <v>0</v>
      </c>
      <c r="K280" s="13">
        <v>0</v>
      </c>
      <c r="L280" s="28">
        <v>0</v>
      </c>
      <c r="M280" s="13">
        <v>0</v>
      </c>
      <c r="N280" s="13">
        <v>0</v>
      </c>
      <c r="O280" s="45"/>
      <c r="P280" s="13">
        <v>0</v>
      </c>
      <c r="Q280" s="13">
        <v>0</v>
      </c>
      <c r="R280" s="13">
        <v>0</v>
      </c>
      <c r="S280" s="27">
        <v>0</v>
      </c>
      <c r="T280" s="37"/>
      <c r="U280" s="82">
        <v>0.49964756230594948</v>
      </c>
    </row>
    <row r="281" spans="1:21" x14ac:dyDescent="0.3">
      <c r="A281" s="12">
        <v>8000</v>
      </c>
      <c r="B281" s="12">
        <v>9000</v>
      </c>
      <c r="C281" s="35">
        <v>8807</v>
      </c>
      <c r="D281" s="35">
        <v>7479169640</v>
      </c>
      <c r="E281" s="13">
        <v>6.5938752355249573E-4</v>
      </c>
      <c r="F281" s="34">
        <v>8492.3011695242421</v>
      </c>
      <c r="G281" s="45">
        <v>0</v>
      </c>
      <c r="H281" s="15" t="str">
        <f t="shared" si="3"/>
        <v>(8000, 9000]</v>
      </c>
      <c r="I281" s="78">
        <v>0</v>
      </c>
      <c r="J281" s="13">
        <v>0</v>
      </c>
      <c r="K281" s="13">
        <v>0</v>
      </c>
      <c r="L281" s="28">
        <v>0</v>
      </c>
      <c r="M281" s="13">
        <v>0</v>
      </c>
      <c r="N281" s="13">
        <v>0</v>
      </c>
      <c r="O281" s="45"/>
      <c r="P281" s="13">
        <v>0</v>
      </c>
      <c r="Q281" s="13">
        <v>0</v>
      </c>
      <c r="R281" s="13">
        <v>0</v>
      </c>
      <c r="S281" s="27">
        <v>0</v>
      </c>
      <c r="T281" s="37"/>
      <c r="U281" s="82">
        <v>0.504346464813894</v>
      </c>
    </row>
    <row r="282" spans="1:21" x14ac:dyDescent="0.3">
      <c r="A282" s="12">
        <v>9000</v>
      </c>
      <c r="B282" s="12">
        <v>10000</v>
      </c>
      <c r="C282" s="35">
        <v>7932</v>
      </c>
      <c r="D282" s="35">
        <v>7529399725</v>
      </c>
      <c r="E282" s="13">
        <v>5.9387553500833386E-4</v>
      </c>
      <c r="F282" s="34">
        <v>9492.4353567826529</v>
      </c>
      <c r="G282" s="45">
        <v>0</v>
      </c>
      <c r="H282" s="15" t="str">
        <f t="shared" si="3"/>
        <v>(9000, 10000]</v>
      </c>
      <c r="I282" s="78">
        <v>0</v>
      </c>
      <c r="J282" s="13">
        <v>0</v>
      </c>
      <c r="K282" s="13">
        <v>0</v>
      </c>
      <c r="L282" s="28">
        <v>0</v>
      </c>
      <c r="M282" s="13">
        <v>0</v>
      </c>
      <c r="N282" s="13">
        <v>0</v>
      </c>
      <c r="O282" s="45"/>
      <c r="P282" s="13">
        <v>0</v>
      </c>
      <c r="Q282" s="13">
        <v>0</v>
      </c>
      <c r="R282" s="13">
        <v>0</v>
      </c>
      <c r="S282" s="27">
        <v>0</v>
      </c>
      <c r="T282" s="37"/>
      <c r="U282" s="82">
        <v>0.51076910465807324</v>
      </c>
    </row>
    <row r="283" spans="1:21" x14ac:dyDescent="0.3">
      <c r="A283" s="12">
        <v>10000</v>
      </c>
      <c r="B283" s="12">
        <v>20000</v>
      </c>
      <c r="C283" s="35">
        <v>48185</v>
      </c>
      <c r="D283" s="35">
        <v>67839372830</v>
      </c>
      <c r="E283" s="13">
        <v>3.6076516205719323E-3</v>
      </c>
      <c r="F283" s="34">
        <v>14078.940091314726</v>
      </c>
      <c r="G283" s="45">
        <v>5.0000000000000001E-3</v>
      </c>
      <c r="H283" s="15" t="str">
        <f t="shared" si="3"/>
        <v>(10000, 20000]</v>
      </c>
      <c r="I283" s="78">
        <v>2.5324999999999996E-3</v>
      </c>
      <c r="J283" s="13">
        <v>9.1363777290984171E-6</v>
      </c>
      <c r="K283" s="13">
        <v>3.0660647216629049E-6</v>
      </c>
      <c r="L283" s="28">
        <v>3066</v>
      </c>
      <c r="M283" s="13">
        <v>3.0660000490560008E-6</v>
      </c>
      <c r="N283" s="13">
        <v>4.3166031010627444E-2</v>
      </c>
      <c r="O283" s="45"/>
      <c r="P283" s="13">
        <v>3.0660000490560008E-6</v>
      </c>
      <c r="Q283" s="13">
        <v>6.0230001264830023E-6</v>
      </c>
      <c r="R283" s="13">
        <v>0</v>
      </c>
      <c r="S283" s="27">
        <v>1.96</v>
      </c>
      <c r="T283" s="37"/>
      <c r="U283" s="82">
        <v>0.53459566114129264</v>
      </c>
    </row>
    <row r="284" spans="1:21" x14ac:dyDescent="0.3">
      <c r="A284" s="12">
        <v>20000</v>
      </c>
      <c r="B284" s="12">
        <v>30000</v>
      </c>
      <c r="C284" s="35">
        <v>14212</v>
      </c>
      <c r="D284" s="35">
        <v>34063009975</v>
      </c>
      <c r="E284" s="13">
        <v>1.06406443564529E-3</v>
      </c>
      <c r="F284" s="34">
        <v>23967.780731072333</v>
      </c>
      <c r="G284" s="45">
        <v>0</v>
      </c>
      <c r="H284" s="15" t="str">
        <f t="shared" si="3"/>
        <v>(20000, 30000]</v>
      </c>
      <c r="I284" s="78">
        <v>0</v>
      </c>
      <c r="J284" s="13">
        <v>0</v>
      </c>
      <c r="K284" s="13">
        <v>0</v>
      </c>
      <c r="L284" s="28">
        <v>0</v>
      </c>
      <c r="M284" s="13">
        <v>0</v>
      </c>
      <c r="N284" s="13">
        <v>0</v>
      </c>
      <c r="O284" s="45"/>
      <c r="P284" s="13">
        <v>0</v>
      </c>
      <c r="Q284" s="13">
        <v>0</v>
      </c>
      <c r="R284" s="13">
        <v>0</v>
      </c>
      <c r="S284" s="27">
        <v>0</v>
      </c>
      <c r="T284" s="37"/>
      <c r="U284" s="82">
        <v>0.56948653378291858</v>
      </c>
    </row>
    <row r="285" spans="1:21" x14ac:dyDescent="0.3">
      <c r="A285" s="12">
        <v>30000</v>
      </c>
      <c r="B285" s="12">
        <v>40000</v>
      </c>
      <c r="C285" s="35">
        <v>3788</v>
      </c>
      <c r="D285" s="35">
        <v>12848313455</v>
      </c>
      <c r="E285" s="13">
        <v>2.8361075726318315E-4</v>
      </c>
      <c r="F285" s="34">
        <v>33918.462130411826</v>
      </c>
      <c r="G285" s="45">
        <v>0</v>
      </c>
      <c r="H285" s="15" t="str">
        <f t="shared" si="3"/>
        <v>(30000, 40000]</v>
      </c>
      <c r="I285" s="78">
        <v>0</v>
      </c>
      <c r="J285" s="13">
        <v>0</v>
      </c>
      <c r="K285" s="13">
        <v>0</v>
      </c>
      <c r="L285" s="28">
        <v>0</v>
      </c>
      <c r="M285" s="13">
        <v>0</v>
      </c>
      <c r="N285" s="13">
        <v>0</v>
      </c>
      <c r="O285" s="45"/>
      <c r="P285" s="13">
        <v>0</v>
      </c>
      <c r="Q285" s="13">
        <v>0</v>
      </c>
      <c r="R285" s="13">
        <v>0</v>
      </c>
      <c r="S285" s="27">
        <v>0</v>
      </c>
      <c r="T285" s="37"/>
      <c r="U285" s="82">
        <v>0.58357223210073661</v>
      </c>
    </row>
    <row r="286" spans="1:21" x14ac:dyDescent="0.3">
      <c r="A286" s="12">
        <v>40000</v>
      </c>
      <c r="B286" s="12">
        <v>50000</v>
      </c>
      <c r="C286" s="35">
        <v>1035</v>
      </c>
      <c r="D286" s="35">
        <v>4548080825</v>
      </c>
      <c r="E286" s="13">
        <v>7.7491323592237215E-5</v>
      </c>
      <c r="F286" s="34">
        <v>43942.809903381647</v>
      </c>
      <c r="G286" s="45">
        <v>0</v>
      </c>
      <c r="H286" s="15" t="str">
        <f t="shared" si="3"/>
        <v>(40000, 50000]</v>
      </c>
      <c r="I286" s="78">
        <v>0</v>
      </c>
      <c r="J286" s="13">
        <v>0</v>
      </c>
      <c r="K286" s="13">
        <v>0</v>
      </c>
      <c r="L286" s="28">
        <v>0</v>
      </c>
      <c r="M286" s="13">
        <v>0</v>
      </c>
      <c r="N286" s="13">
        <v>0</v>
      </c>
      <c r="O286" s="45"/>
      <c r="P286" s="13">
        <v>0</v>
      </c>
      <c r="Q286" s="13">
        <v>0</v>
      </c>
      <c r="R286" s="13">
        <v>0</v>
      </c>
      <c r="S286" s="27">
        <v>0</v>
      </c>
      <c r="T286" s="37"/>
      <c r="U286" s="82">
        <v>0.59727533460803062</v>
      </c>
    </row>
    <row r="287" spans="1:21" x14ac:dyDescent="0.3">
      <c r="A287" s="12">
        <v>50000</v>
      </c>
      <c r="B287" s="12">
        <v>60000</v>
      </c>
      <c r="C287" s="35">
        <v>329</v>
      </c>
      <c r="D287" s="35">
        <v>1790316875</v>
      </c>
      <c r="E287" s="13">
        <v>2.4632507692604873E-5</v>
      </c>
      <c r="F287" s="34">
        <v>54416.926291793316</v>
      </c>
      <c r="G287" s="45">
        <v>0</v>
      </c>
      <c r="H287" s="15" t="str">
        <f t="shared" si="3"/>
        <v>(50000, 60000]</v>
      </c>
      <c r="I287" s="78">
        <v>0</v>
      </c>
      <c r="J287" s="13">
        <v>0</v>
      </c>
      <c r="K287" s="13">
        <v>0</v>
      </c>
      <c r="L287" s="28">
        <v>0</v>
      </c>
      <c r="M287" s="13">
        <v>0</v>
      </c>
      <c r="N287" s="13">
        <v>0</v>
      </c>
      <c r="O287" s="45"/>
      <c r="P287" s="13">
        <v>0</v>
      </c>
      <c r="Q287" s="13">
        <v>0</v>
      </c>
      <c r="R287" s="13">
        <v>0</v>
      </c>
      <c r="S287" s="27">
        <v>0</v>
      </c>
      <c r="T287" s="37"/>
      <c r="U287" s="82">
        <v>0.58342077649527802</v>
      </c>
    </row>
    <row r="288" spans="1:21" x14ac:dyDescent="0.3">
      <c r="A288" s="12">
        <v>60000</v>
      </c>
      <c r="B288" s="12">
        <v>70000</v>
      </c>
      <c r="C288" s="35">
        <v>215</v>
      </c>
      <c r="D288" s="35">
        <v>1386330070</v>
      </c>
      <c r="E288" s="13">
        <v>1.6097231470851209E-5</v>
      </c>
      <c r="F288" s="34">
        <v>64480.468372093019</v>
      </c>
      <c r="G288" s="45">
        <v>0</v>
      </c>
      <c r="H288" s="15" t="str">
        <f t="shared" si="3"/>
        <v>(60000, 70000]</v>
      </c>
      <c r="I288" s="78">
        <v>0</v>
      </c>
      <c r="J288" s="13">
        <v>0</v>
      </c>
      <c r="K288" s="13">
        <v>0</v>
      </c>
      <c r="L288" s="28">
        <v>0</v>
      </c>
      <c r="M288" s="13">
        <v>0</v>
      </c>
      <c r="N288" s="13">
        <v>0</v>
      </c>
      <c r="O288" s="45"/>
      <c r="P288" s="13">
        <v>0</v>
      </c>
      <c r="Q288" s="13">
        <v>0</v>
      </c>
      <c r="R288" s="13">
        <v>0</v>
      </c>
      <c r="S288" s="27">
        <v>0</v>
      </c>
      <c r="T288" s="37"/>
      <c r="U288" s="82">
        <v>0.56822880771881457</v>
      </c>
    </row>
    <row r="289" spans="1:22" x14ac:dyDescent="0.3">
      <c r="A289" s="12">
        <v>70000</v>
      </c>
      <c r="B289" s="12">
        <v>80000</v>
      </c>
      <c r="C289" s="35">
        <v>83</v>
      </c>
      <c r="D289" s="35">
        <v>616536055</v>
      </c>
      <c r="E289" s="13">
        <v>6.2142800561890709E-6</v>
      </c>
      <c r="F289" s="34">
        <v>74281.452409638558</v>
      </c>
      <c r="G289" s="45">
        <v>0</v>
      </c>
      <c r="H289" s="15" t="str">
        <f t="shared" si="3"/>
        <v>(70000, 80000]</v>
      </c>
      <c r="I289" s="78">
        <v>0</v>
      </c>
      <c r="J289" s="13">
        <v>0</v>
      </c>
      <c r="K289" s="13">
        <v>0</v>
      </c>
      <c r="L289" s="28">
        <v>0</v>
      </c>
      <c r="M289" s="13">
        <v>0</v>
      </c>
      <c r="N289" s="13">
        <v>0</v>
      </c>
      <c r="O289" s="45"/>
      <c r="P289" s="13">
        <v>0</v>
      </c>
      <c r="Q289" s="13">
        <v>0</v>
      </c>
      <c r="R289" s="13">
        <v>0</v>
      </c>
      <c r="S289" s="27">
        <v>0</v>
      </c>
      <c r="T289" s="37"/>
      <c r="U289" s="82">
        <v>0.57094017094017091</v>
      </c>
    </row>
    <row r="290" spans="1:22" x14ac:dyDescent="0.3">
      <c r="A290" s="12">
        <v>80000</v>
      </c>
      <c r="B290" s="12">
        <v>90000</v>
      </c>
      <c r="C290" s="35">
        <v>26</v>
      </c>
      <c r="D290" s="35">
        <v>216739195</v>
      </c>
      <c r="E290" s="13">
        <v>1.9466419453122389E-6</v>
      </c>
      <c r="F290" s="34">
        <v>83361.228846153856</v>
      </c>
      <c r="G290" s="45">
        <v>0</v>
      </c>
      <c r="H290" s="15" t="str">
        <f t="shared" si="3"/>
        <v>(80000, 90000]</v>
      </c>
      <c r="I290" s="78">
        <v>0</v>
      </c>
      <c r="J290" s="13">
        <v>0</v>
      </c>
      <c r="K290" s="13">
        <v>0</v>
      </c>
      <c r="L290" s="28">
        <v>0</v>
      </c>
      <c r="M290" s="13">
        <v>0</v>
      </c>
      <c r="N290" s="13">
        <v>0</v>
      </c>
      <c r="O290" s="45"/>
      <c r="P290" s="13">
        <v>0</v>
      </c>
      <c r="Q290" s="13">
        <v>0</v>
      </c>
      <c r="R290" s="13">
        <v>0</v>
      </c>
      <c r="S290" s="27">
        <v>0</v>
      </c>
      <c r="T290" s="37"/>
      <c r="U290" s="82">
        <v>0.57268722466960353</v>
      </c>
    </row>
    <row r="291" spans="1:22" x14ac:dyDescent="0.3">
      <c r="A291" s="12">
        <v>90000</v>
      </c>
      <c r="B291" s="12">
        <v>100000</v>
      </c>
      <c r="C291" s="35">
        <v>15</v>
      </c>
      <c r="D291" s="35">
        <v>138944095</v>
      </c>
      <c r="E291" s="13">
        <v>1.1230626607570611E-6</v>
      </c>
      <c r="F291" s="34">
        <v>92629.396666666667</v>
      </c>
      <c r="G291" s="45">
        <v>0</v>
      </c>
      <c r="H291" s="15" t="str">
        <f t="shared" si="3"/>
        <v>(90000, 100000]</v>
      </c>
      <c r="I291" s="78">
        <v>0</v>
      </c>
      <c r="J291" s="13">
        <v>0</v>
      </c>
      <c r="K291" s="13">
        <v>0</v>
      </c>
      <c r="L291" s="28">
        <v>0</v>
      </c>
      <c r="M291" s="13">
        <v>0</v>
      </c>
      <c r="N291" s="13">
        <v>0</v>
      </c>
      <c r="O291" s="45"/>
      <c r="P291" s="13">
        <v>0</v>
      </c>
      <c r="Q291" s="13">
        <v>0</v>
      </c>
      <c r="R291" s="13">
        <v>0</v>
      </c>
      <c r="S291" s="27">
        <v>0</v>
      </c>
      <c r="T291" s="37"/>
      <c r="U291" s="82">
        <v>0.55882352941176472</v>
      </c>
    </row>
    <row r="292" spans="1:22" x14ac:dyDescent="0.3">
      <c r="A292" s="12">
        <v>100000</v>
      </c>
      <c r="B292" s="12">
        <v>9999999</v>
      </c>
      <c r="C292" s="35">
        <v>66</v>
      </c>
      <c r="D292" s="35">
        <v>817933950</v>
      </c>
      <c r="E292" s="13">
        <v>4.9414757073310689E-6</v>
      </c>
      <c r="F292" s="34">
        <v>123929.38636363637</v>
      </c>
      <c r="G292" s="45">
        <v>0</v>
      </c>
      <c r="H292" s="15" t="str">
        <f t="shared" si="3"/>
        <v>(100000, 9999999]</v>
      </c>
      <c r="I292" s="78">
        <v>0</v>
      </c>
      <c r="J292" s="13">
        <v>0</v>
      </c>
      <c r="K292" s="13">
        <v>0</v>
      </c>
      <c r="L292" s="28">
        <v>0</v>
      </c>
      <c r="M292" s="13">
        <v>0</v>
      </c>
      <c r="N292" s="13">
        <v>0</v>
      </c>
      <c r="O292" s="45"/>
      <c r="P292" s="13">
        <v>0</v>
      </c>
      <c r="Q292" s="13">
        <v>0</v>
      </c>
      <c r="R292" s="13">
        <v>0</v>
      </c>
      <c r="S292" s="27">
        <v>0</v>
      </c>
      <c r="T292" s="37"/>
      <c r="U292" s="82">
        <v>0.53078817733990147</v>
      </c>
    </row>
    <row r="295" spans="1:22" s="58" customFormat="1" x14ac:dyDescent="0.3">
      <c r="A295" s="108" t="s">
        <v>3</v>
      </c>
      <c r="B295" s="108"/>
      <c r="C295" s="108"/>
      <c r="D295" s="108"/>
      <c r="E295" s="53"/>
      <c r="F295" s="53"/>
      <c r="G295" s="54"/>
      <c r="H295" s="55"/>
      <c r="I295" s="56"/>
      <c r="J295" s="57"/>
      <c r="K295" s="57"/>
      <c r="L295" s="57"/>
      <c r="M295" s="57"/>
      <c r="N295" s="57"/>
      <c r="O295" s="54"/>
    </row>
    <row r="296" spans="1:22" x14ac:dyDescent="0.3">
      <c r="A296" s="6"/>
      <c r="B296" s="6"/>
      <c r="C296" s="1"/>
      <c r="D296" s="1"/>
      <c r="E296" s="1"/>
      <c r="F296" s="1"/>
      <c r="H296" s="2"/>
      <c r="I296" s="6"/>
      <c r="J296" s="6"/>
      <c r="K296" s="6"/>
      <c r="L296" s="6"/>
      <c r="M296" s="6"/>
      <c r="N296" s="6"/>
    </row>
    <row r="297" spans="1:22" x14ac:dyDescent="0.3">
      <c r="A297" s="20" t="s">
        <v>21</v>
      </c>
      <c r="B297" s="77">
        <v>10000000</v>
      </c>
      <c r="C297" s="1"/>
      <c r="D297" s="1"/>
      <c r="E297" s="1"/>
      <c r="F297" s="1"/>
      <c r="H297" s="20" t="s">
        <v>22</v>
      </c>
      <c r="I297" s="6"/>
      <c r="J297" s="6"/>
      <c r="K297" s="6"/>
      <c r="M297" s="6"/>
      <c r="N297" s="6"/>
    </row>
    <row r="298" spans="1:22" x14ac:dyDescent="0.3">
      <c r="A298" s="52" t="s">
        <v>4</v>
      </c>
      <c r="B298" s="52" t="s">
        <v>5</v>
      </c>
      <c r="C298" s="52" t="s">
        <v>17</v>
      </c>
      <c r="D298" s="52" t="s">
        <v>18</v>
      </c>
      <c r="E298" s="52" t="s">
        <v>19</v>
      </c>
      <c r="F298" s="52" t="s">
        <v>29</v>
      </c>
      <c r="H298" s="52" t="s">
        <v>7</v>
      </c>
      <c r="I298" s="52" t="s">
        <v>9</v>
      </c>
      <c r="J298" s="52" t="s">
        <v>10</v>
      </c>
      <c r="K298" s="52" t="s">
        <v>11</v>
      </c>
      <c r="L298" s="52" t="s">
        <v>12</v>
      </c>
      <c r="M298" s="52" t="s">
        <v>13</v>
      </c>
      <c r="N298" s="52" t="s">
        <v>6</v>
      </c>
      <c r="P298" s="72" t="s">
        <v>99</v>
      </c>
      <c r="Q298" s="72" t="s">
        <v>100</v>
      </c>
      <c r="R298" s="72" t="s">
        <v>96</v>
      </c>
      <c r="S298" s="72" t="s">
        <v>26</v>
      </c>
      <c r="U298" s="52" t="s">
        <v>97</v>
      </c>
    </row>
    <row r="299" spans="1:22" x14ac:dyDescent="0.3">
      <c r="A299" s="16">
        <v>-1</v>
      </c>
      <c r="B299" s="16">
        <v>0</v>
      </c>
      <c r="C299" s="36" cm="1">
        <f t="array" ref="C299:D362">C88:D151</f>
        <v>0</v>
      </c>
      <c r="D299" s="36">
        <v>0</v>
      </c>
      <c r="E299" s="82" cm="1">
        <f t="array" ref="E299:E362">_xlfn.LET(_xlpm.x, C299:C362, _xlpm.x/SUM(_xlpm.x))</f>
        <v>0</v>
      </c>
      <c r="F299" s="33" cm="1">
        <f t="array" ref="F299:F362">_xlfn.LET(_xlpm.x, D299:D362/C299:C362/B3, IF(ISERR(_xlpm.x), 0, _xlpm.x))</f>
        <v>0</v>
      </c>
      <c r="G299" s="5">
        <v>9.9999999999999995E-7</v>
      </c>
      <c r="H299" s="60" t="str">
        <f>"("&amp;$A299&amp;", "&amp;$B299&amp;"]"</f>
        <v>(-1, 0]</v>
      </c>
      <c r="I299" s="78">
        <v>0</v>
      </c>
      <c r="J299" s="82" cm="1">
        <f t="array" ref="J299:J362">_xlfn.ANCHORARRAY(E299)*I299:I362</f>
        <v>0</v>
      </c>
      <c r="K299" s="82" cm="1">
        <f t="array" ref="K299:K362">J299:J362/SUM(_xlfn.ANCHORARRAY(J299))</f>
        <v>0</v>
      </c>
      <c r="L299" s="89" cm="1">
        <f t="array" ref="L299:L362">INT(_xlfn.ANCHORARRAY(K299)*$B$2)</f>
        <v>0</v>
      </c>
      <c r="M299" s="82" cm="1">
        <f t="array" ref="M299:M362">_xlfn.LET(_xlpm.x, L299:L362, _xlpm.x/SUM(_xlpm.x))</f>
        <v>0</v>
      </c>
      <c r="N299" s="99" cm="1">
        <f t="array" ref="N299:N362">M299:M362*_xlfn.ANCHORARRAY(F299)</f>
        <v>0</v>
      </c>
      <c r="O299" s="45"/>
      <c r="P299" s="82" cm="1">
        <f t="array" ref="P299:P362">_xlfn.ANCHORARRAY(M299)</f>
        <v>0</v>
      </c>
      <c r="Q299" s="82">
        <v>0</v>
      </c>
      <c r="R299" s="82">
        <v>0</v>
      </c>
      <c r="S299" s="90" cm="1">
        <f t="array" ref="S299:S362">_xlfn.LET(_xlpm.x, Q299:Q362/M299:M362, IF(ISERR(_xlpm.x), 0, ROUND(_xlpm.x,2)))</f>
        <v>0</v>
      </c>
      <c r="U299" s="82">
        <v>0</v>
      </c>
      <c r="V299" s="37">
        <f>SUMPRODUCT(U299:U362,M299:M362)</f>
        <v>0.36356777533508378</v>
      </c>
    </row>
    <row r="300" spans="1:22" x14ac:dyDescent="0.3">
      <c r="A300" s="69">
        <v>0</v>
      </c>
      <c r="B300" s="69">
        <v>1</v>
      </c>
      <c r="C300" s="101">
        <v>7042</v>
      </c>
      <c r="D300" s="101">
        <v>397470</v>
      </c>
      <c r="E300" s="82">
        <v>5.2724048380341487E-4</v>
      </c>
      <c r="F300" s="92">
        <v>0.56442771939789838</v>
      </c>
      <c r="G300" s="5">
        <v>344274</v>
      </c>
      <c r="H300" s="60" t="str">
        <f t="shared" ref="H300:H362" si="4">"("&amp;$A300&amp;", "&amp;$B300&amp;"]"</f>
        <v>(0, 1]</v>
      </c>
      <c r="I300" s="78">
        <v>0</v>
      </c>
      <c r="J300" s="82">
        <v>0</v>
      </c>
      <c r="K300" s="82">
        <v>0</v>
      </c>
      <c r="L300" s="89">
        <v>0</v>
      </c>
      <c r="M300" s="82">
        <v>0</v>
      </c>
      <c r="N300" s="82">
        <v>0</v>
      </c>
      <c r="O300" s="45"/>
      <c r="P300" s="82">
        <v>0</v>
      </c>
      <c r="Q300" s="82">
        <v>0</v>
      </c>
      <c r="R300" s="82">
        <v>0</v>
      </c>
      <c r="S300" s="90">
        <v>0</v>
      </c>
      <c r="U300" s="82">
        <v>0.1058891505320077</v>
      </c>
      <c r="V300" s="103">
        <f>V299*12</f>
        <v>4.3628133040210049</v>
      </c>
    </row>
    <row r="301" spans="1:22" x14ac:dyDescent="0.3">
      <c r="A301" s="69">
        <v>1</v>
      </c>
      <c r="B301" s="69">
        <v>2</v>
      </c>
      <c r="C301" s="101">
        <v>6961</v>
      </c>
      <c r="D301" s="101">
        <v>1078515</v>
      </c>
      <c r="E301" s="82">
        <v>5.2117594543532684E-4</v>
      </c>
      <c r="F301" s="92">
        <v>1.5493679069099267</v>
      </c>
      <c r="G301" s="32">
        <f>1+G300*G299</f>
        <v>1.344274</v>
      </c>
      <c r="H301" s="60" t="str">
        <f t="shared" si="4"/>
        <v>(1, 2]</v>
      </c>
      <c r="I301" s="78">
        <v>0</v>
      </c>
      <c r="J301" s="82">
        <v>0</v>
      </c>
      <c r="K301" s="82">
        <v>0</v>
      </c>
      <c r="L301" s="89">
        <v>0</v>
      </c>
      <c r="M301" s="82">
        <v>0</v>
      </c>
      <c r="N301" s="82">
        <v>0</v>
      </c>
      <c r="O301" s="45"/>
      <c r="P301" s="82">
        <v>0</v>
      </c>
      <c r="Q301" s="82">
        <v>0</v>
      </c>
      <c r="R301" s="82">
        <v>0</v>
      </c>
      <c r="S301" s="90">
        <v>0</v>
      </c>
      <c r="U301" s="82">
        <v>0.15170441803094861</v>
      </c>
    </row>
    <row r="302" spans="1:22" ht="16.2" customHeight="1" x14ac:dyDescent="0.3">
      <c r="A302" s="69">
        <v>2</v>
      </c>
      <c r="B302" s="69">
        <v>3</v>
      </c>
      <c r="C302" s="101">
        <v>7196</v>
      </c>
      <c r="D302" s="101">
        <v>1845290</v>
      </c>
      <c r="E302" s="82">
        <v>5.3877059378718744E-4</v>
      </c>
      <c r="F302" s="92">
        <v>2.5643274041133965</v>
      </c>
      <c r="G302" s="45"/>
      <c r="H302" s="60" t="str">
        <f t="shared" si="4"/>
        <v>(2, 3]</v>
      </c>
      <c r="I302" s="78">
        <v>0</v>
      </c>
      <c r="J302" s="82">
        <v>0</v>
      </c>
      <c r="K302" s="82">
        <v>0</v>
      </c>
      <c r="L302" s="89">
        <v>0</v>
      </c>
      <c r="M302" s="82">
        <v>0</v>
      </c>
      <c r="N302" s="82">
        <v>0</v>
      </c>
      <c r="O302" s="45"/>
      <c r="P302" s="82">
        <v>0</v>
      </c>
      <c r="Q302" s="82">
        <v>0</v>
      </c>
      <c r="R302" s="82">
        <v>0</v>
      </c>
      <c r="S302" s="90">
        <v>0</v>
      </c>
      <c r="U302" s="82">
        <v>0.17677620747899339</v>
      </c>
    </row>
    <row r="303" spans="1:22" x14ac:dyDescent="0.3">
      <c r="A303" s="69">
        <v>3</v>
      </c>
      <c r="B303" s="69">
        <v>4</v>
      </c>
      <c r="C303" s="101">
        <v>7104</v>
      </c>
      <c r="D303" s="101">
        <v>2524955</v>
      </c>
      <c r="E303" s="82">
        <v>5.3188247613454413E-4</v>
      </c>
      <c r="F303" s="92">
        <v>3.5542722409909908</v>
      </c>
      <c r="G303" s="45"/>
      <c r="H303" s="60" t="str">
        <f t="shared" si="4"/>
        <v>(3, 4]</v>
      </c>
      <c r="I303" s="78">
        <v>0</v>
      </c>
      <c r="J303" s="82">
        <v>0</v>
      </c>
      <c r="K303" s="82">
        <v>0</v>
      </c>
      <c r="L303" s="89">
        <v>0</v>
      </c>
      <c r="M303" s="82">
        <v>0</v>
      </c>
      <c r="N303" s="82">
        <v>0</v>
      </c>
      <c r="O303" s="45"/>
      <c r="P303" s="82">
        <v>0</v>
      </c>
      <c r="Q303" s="82">
        <v>0</v>
      </c>
      <c r="R303" s="82">
        <v>3.614457831325301E-2</v>
      </c>
      <c r="S303" s="90">
        <v>0</v>
      </c>
      <c r="U303" s="82">
        <v>0.1955627891039918</v>
      </c>
    </row>
    <row r="304" spans="1:22" x14ac:dyDescent="0.3">
      <c r="A304" s="69">
        <v>4</v>
      </c>
      <c r="B304" s="69">
        <v>5</v>
      </c>
      <c r="C304" s="101">
        <v>7483</v>
      </c>
      <c r="D304" s="101">
        <v>3409320</v>
      </c>
      <c r="E304" s="82">
        <v>5.6025852602967251E-4</v>
      </c>
      <c r="F304" s="92">
        <v>4.5560871308298809</v>
      </c>
      <c r="G304" s="45"/>
      <c r="H304" s="60" t="str">
        <f t="shared" si="4"/>
        <v>(4, 5]</v>
      </c>
      <c r="I304" s="78">
        <v>0</v>
      </c>
      <c r="J304" s="82">
        <v>0</v>
      </c>
      <c r="K304" s="82">
        <v>0</v>
      </c>
      <c r="L304" s="89">
        <v>0</v>
      </c>
      <c r="M304" s="82">
        <v>0</v>
      </c>
      <c r="N304" s="82">
        <v>0</v>
      </c>
      <c r="O304" s="45"/>
      <c r="P304" s="82">
        <v>0</v>
      </c>
      <c r="Q304" s="82">
        <v>0</v>
      </c>
      <c r="R304" s="82">
        <v>0</v>
      </c>
      <c r="S304" s="90">
        <v>0</v>
      </c>
      <c r="U304" s="82">
        <v>0.2078578548036045</v>
      </c>
    </row>
    <row r="305" spans="1:21" x14ac:dyDescent="0.3">
      <c r="A305" s="69">
        <v>5</v>
      </c>
      <c r="B305" s="69">
        <v>6</v>
      </c>
      <c r="C305" s="101">
        <v>8182</v>
      </c>
      <c r="D305" s="101">
        <v>4541655</v>
      </c>
      <c r="E305" s="82">
        <v>6.1259324602095158E-4</v>
      </c>
      <c r="F305" s="92">
        <v>5.550788315815204</v>
      </c>
      <c r="G305" s="45"/>
      <c r="H305" s="60" t="str">
        <f t="shared" si="4"/>
        <v>(5, 6]</v>
      </c>
      <c r="I305" s="78">
        <v>0</v>
      </c>
      <c r="J305" s="82">
        <v>0</v>
      </c>
      <c r="K305" s="82">
        <v>0</v>
      </c>
      <c r="L305" s="89">
        <v>0</v>
      </c>
      <c r="M305" s="82">
        <v>0</v>
      </c>
      <c r="N305" s="82">
        <v>0</v>
      </c>
      <c r="O305" s="45"/>
      <c r="P305" s="82">
        <v>0</v>
      </c>
      <c r="Q305" s="82">
        <v>0</v>
      </c>
      <c r="R305" s="82">
        <v>0</v>
      </c>
      <c r="S305" s="90">
        <v>0</v>
      </c>
      <c r="U305" s="82">
        <v>0.21803709019489351</v>
      </c>
    </row>
    <row r="306" spans="1:21" x14ac:dyDescent="0.3">
      <c r="A306" s="69">
        <v>6</v>
      </c>
      <c r="B306" s="69">
        <v>7</v>
      </c>
      <c r="C306" s="101">
        <v>8390</v>
      </c>
      <c r="D306" s="101">
        <v>5496365</v>
      </c>
      <c r="E306" s="82">
        <v>6.2816638158344951E-4</v>
      </c>
      <c r="F306" s="92">
        <v>6.5510905840286053</v>
      </c>
      <c r="G306" s="45"/>
      <c r="H306" s="60" t="str">
        <f t="shared" si="4"/>
        <v>(6, 7]</v>
      </c>
      <c r="I306" s="78">
        <v>0</v>
      </c>
      <c r="J306" s="82">
        <v>0</v>
      </c>
      <c r="K306" s="82">
        <v>0</v>
      </c>
      <c r="L306" s="89">
        <v>0</v>
      </c>
      <c r="M306" s="82">
        <v>0</v>
      </c>
      <c r="N306" s="82">
        <v>0</v>
      </c>
      <c r="O306" s="45"/>
      <c r="P306" s="82">
        <v>0</v>
      </c>
      <c r="Q306" s="82">
        <v>0</v>
      </c>
      <c r="R306" s="82">
        <v>1.2048192771084338E-2</v>
      </c>
      <c r="S306" s="90">
        <v>0</v>
      </c>
      <c r="U306" s="82">
        <v>0.22959410003327049</v>
      </c>
    </row>
    <row r="307" spans="1:21" x14ac:dyDescent="0.3">
      <c r="A307" s="69">
        <v>7</v>
      </c>
      <c r="B307" s="69">
        <v>8</v>
      </c>
      <c r="C307" s="101">
        <v>8747</v>
      </c>
      <c r="D307" s="101">
        <v>6605700</v>
      </c>
      <c r="E307" s="82">
        <v>6.5489527290946755E-4</v>
      </c>
      <c r="F307" s="92">
        <v>7.5519606722304786</v>
      </c>
      <c r="G307" s="45"/>
      <c r="H307" s="60" t="str">
        <f t="shared" si="4"/>
        <v>(7, 8]</v>
      </c>
      <c r="I307" s="78">
        <v>0</v>
      </c>
      <c r="J307" s="82">
        <v>0</v>
      </c>
      <c r="K307" s="82">
        <v>0</v>
      </c>
      <c r="L307" s="89">
        <v>0</v>
      </c>
      <c r="M307" s="82">
        <v>0</v>
      </c>
      <c r="N307" s="82">
        <v>0</v>
      </c>
      <c r="O307" s="45"/>
      <c r="P307" s="82">
        <v>0</v>
      </c>
      <c r="Q307" s="82">
        <v>0</v>
      </c>
      <c r="R307" s="82">
        <v>3.614457831325301E-2</v>
      </c>
      <c r="S307" s="90">
        <v>0</v>
      </c>
      <c r="U307" s="82">
        <v>0.23616206872221829</v>
      </c>
    </row>
    <row r="308" spans="1:21" x14ac:dyDescent="0.3">
      <c r="A308" s="69">
        <v>8</v>
      </c>
      <c r="B308" s="69">
        <v>9</v>
      </c>
      <c r="C308" s="101">
        <v>8856</v>
      </c>
      <c r="D308" s="101">
        <v>7570485</v>
      </c>
      <c r="E308" s="82">
        <v>6.6305619491096885E-4</v>
      </c>
      <c r="F308" s="92">
        <v>8.5484247967479678</v>
      </c>
      <c r="G308" s="45"/>
      <c r="H308" s="60" t="str">
        <f t="shared" si="4"/>
        <v>(8, 9]</v>
      </c>
      <c r="I308" s="78">
        <v>0</v>
      </c>
      <c r="J308" s="82">
        <v>0</v>
      </c>
      <c r="K308" s="82">
        <v>0</v>
      </c>
      <c r="L308" s="89">
        <v>0</v>
      </c>
      <c r="M308" s="82">
        <v>0</v>
      </c>
      <c r="N308" s="82">
        <v>0</v>
      </c>
      <c r="O308" s="45"/>
      <c r="P308" s="82">
        <v>0</v>
      </c>
      <c r="Q308" s="82">
        <v>0</v>
      </c>
      <c r="R308" s="82">
        <v>2.4096385542168676E-2</v>
      </c>
      <c r="S308" s="90">
        <v>0</v>
      </c>
      <c r="U308" s="82">
        <v>0.2460493890985542</v>
      </c>
    </row>
    <row r="309" spans="1:21" x14ac:dyDescent="0.3">
      <c r="A309" s="69">
        <v>9</v>
      </c>
      <c r="B309" s="69">
        <v>10</v>
      </c>
      <c r="C309" s="101">
        <v>9108</v>
      </c>
      <c r="D309" s="101">
        <v>8694310</v>
      </c>
      <c r="E309" s="82">
        <v>6.8192364761168744E-4</v>
      </c>
      <c r="F309" s="92">
        <v>9.5457949055775142</v>
      </c>
      <c r="G309" s="45"/>
      <c r="H309" s="60" t="str">
        <f t="shared" si="4"/>
        <v>(9, 10]</v>
      </c>
      <c r="I309" s="78">
        <v>0</v>
      </c>
      <c r="J309" s="82">
        <v>0</v>
      </c>
      <c r="K309" s="82">
        <v>0</v>
      </c>
      <c r="L309" s="89">
        <v>0</v>
      </c>
      <c r="M309" s="82">
        <v>0</v>
      </c>
      <c r="N309" s="82">
        <v>0</v>
      </c>
      <c r="O309" s="45"/>
      <c r="P309" s="82">
        <v>0</v>
      </c>
      <c r="Q309" s="82">
        <v>0</v>
      </c>
      <c r="R309" s="82">
        <v>1.2048192771084338E-2</v>
      </c>
      <c r="S309" s="90">
        <v>0</v>
      </c>
      <c r="U309" s="82">
        <v>0.24911116572458419</v>
      </c>
    </row>
    <row r="310" spans="1:21" x14ac:dyDescent="0.3">
      <c r="A310" s="69">
        <v>10</v>
      </c>
      <c r="B310" s="69">
        <v>15</v>
      </c>
      <c r="C310" s="101">
        <v>51671</v>
      </c>
      <c r="D310" s="101">
        <v>65170480</v>
      </c>
      <c r="E310" s="82">
        <v>3.8686513829318736E-3</v>
      </c>
      <c r="F310" s="92">
        <v>12.612583460742004</v>
      </c>
      <c r="G310" s="45"/>
      <c r="H310" s="60" t="str">
        <f t="shared" si="4"/>
        <v>(10, 15]</v>
      </c>
      <c r="I310" s="78">
        <v>3.08</v>
      </c>
      <c r="J310" s="82">
        <v>1.1915446259430171E-2</v>
      </c>
      <c r="K310" s="82">
        <v>1.0358053634705515E-2</v>
      </c>
      <c r="L310" s="89">
        <v>10358053</v>
      </c>
      <c r="M310" s="82">
        <v>1.0358053186444957E-2</v>
      </c>
      <c r="N310" s="82">
        <v>0.13064181030484168</v>
      </c>
      <c r="O310" s="45"/>
      <c r="P310" s="82">
        <v>1.0358053186444957E-2</v>
      </c>
      <c r="Q310" s="82">
        <v>1.1910025238200506E-2</v>
      </c>
      <c r="R310" s="82">
        <v>7.2289156626506021E-2</v>
      </c>
      <c r="S310" s="90">
        <v>1.1499999999999999</v>
      </c>
      <c r="T310" s="37"/>
      <c r="U310" s="82">
        <v>0.26623994018568342</v>
      </c>
    </row>
    <row r="311" spans="1:21" x14ac:dyDescent="0.3">
      <c r="A311" s="69">
        <v>15</v>
      </c>
      <c r="B311" s="69">
        <v>20</v>
      </c>
      <c r="C311" s="101">
        <v>60539</v>
      </c>
      <c r="D311" s="101">
        <v>106561110</v>
      </c>
      <c r="E311" s="82">
        <v>4.5326060279714479E-3</v>
      </c>
      <c r="F311" s="92">
        <v>17.602059829201011</v>
      </c>
      <c r="G311" s="45"/>
      <c r="H311" s="83" t="str">
        <f t="shared" si="4"/>
        <v>(15, 20]</v>
      </c>
      <c r="I311" s="78">
        <v>9.24</v>
      </c>
      <c r="J311" s="82">
        <v>4.1881279698456182E-2</v>
      </c>
      <c r="K311" s="82">
        <v>3.6407242495293521E-2</v>
      </c>
      <c r="L311" s="89">
        <v>36407242</v>
      </c>
      <c r="M311" s="82">
        <v>3.6407242655330366E-2</v>
      </c>
      <c r="N311" s="82">
        <v>0.64084246343536422</v>
      </c>
      <c r="O311" s="45"/>
      <c r="P311" s="82">
        <v>3.6407242655330366E-2</v>
      </c>
      <c r="Q311" s="82">
        <v>4.186222683724454E-2</v>
      </c>
      <c r="R311" s="82">
        <v>7.2289156626506021E-2</v>
      </c>
      <c r="S311" s="90">
        <v>1.1499999999999999</v>
      </c>
      <c r="T311" s="37"/>
      <c r="U311" s="82">
        <v>0.28653505966539411</v>
      </c>
    </row>
    <row r="312" spans="1:21" x14ac:dyDescent="0.3">
      <c r="A312" s="69">
        <v>20</v>
      </c>
      <c r="B312" s="69">
        <v>25</v>
      </c>
      <c r="C312" s="101">
        <v>68801</v>
      </c>
      <c r="D312" s="101">
        <v>155359970</v>
      </c>
      <c r="E312" s="82">
        <v>5.151188941516437E-3</v>
      </c>
      <c r="F312" s="92">
        <v>22.581062775250363</v>
      </c>
      <c r="G312" s="45"/>
      <c r="H312" s="60" t="str">
        <f t="shared" si="4"/>
        <v>(20, 25]</v>
      </c>
      <c r="I312" s="78">
        <v>21.55</v>
      </c>
      <c r="J312" s="82">
        <v>0.11100812168967922</v>
      </c>
      <c r="K312" s="82">
        <v>9.6498952142863498E-2</v>
      </c>
      <c r="L312" s="89">
        <v>96498952</v>
      </c>
      <c r="M312" s="82">
        <v>9.6498953736981169E-2</v>
      </c>
      <c r="N312" s="82">
        <v>2.1790489320807525</v>
      </c>
      <c r="O312" s="45"/>
      <c r="P312" s="82">
        <v>9.6498953736981169E-2</v>
      </c>
      <c r="Q312" s="82">
        <v>0.11100911122018223</v>
      </c>
      <c r="R312" s="82">
        <v>7.2289156626506021E-2</v>
      </c>
      <c r="S312" s="90">
        <v>1.1499999999999999</v>
      </c>
      <c r="T312" s="37"/>
      <c r="U312" s="82">
        <v>0.30237898056905232</v>
      </c>
    </row>
    <row r="313" spans="1:21" x14ac:dyDescent="0.3">
      <c r="A313" s="69">
        <v>25</v>
      </c>
      <c r="B313" s="69">
        <v>30</v>
      </c>
      <c r="C313" s="101">
        <v>76304</v>
      </c>
      <c r="D313" s="101">
        <v>210369015</v>
      </c>
      <c r="E313" s="82">
        <v>5.7129448844271194E-3</v>
      </c>
      <c r="F313" s="92">
        <v>27.56985413608723</v>
      </c>
      <c r="G313" s="45"/>
      <c r="H313" s="60" t="str">
        <f t="shared" si="4"/>
        <v>(25, 30]</v>
      </c>
      <c r="I313" s="78">
        <v>19.489999999999998</v>
      </c>
      <c r="J313" s="82">
        <v>0.11134529579748455</v>
      </c>
      <c r="K313" s="82">
        <v>9.6792056355399184E-2</v>
      </c>
      <c r="L313" s="89">
        <v>96792056</v>
      </c>
      <c r="M313" s="82">
        <v>9.6792057742257034E-2</v>
      </c>
      <c r="N313" s="82">
        <v>2.668542913485759</v>
      </c>
      <c r="O313" s="45"/>
      <c r="P313" s="82">
        <v>9.6792057742257034E-2</v>
      </c>
      <c r="Q313" s="82">
        <v>0.1113663652273273</v>
      </c>
      <c r="R313" s="82">
        <v>8.4337349397590355E-2</v>
      </c>
      <c r="S313" s="90">
        <v>1.1499999999999999</v>
      </c>
      <c r="T313" s="37"/>
      <c r="U313" s="82">
        <v>0.3162044578648337</v>
      </c>
    </row>
    <row r="314" spans="1:21" x14ac:dyDescent="0.3">
      <c r="A314" s="69">
        <v>30</v>
      </c>
      <c r="B314" s="69">
        <v>35</v>
      </c>
      <c r="C314" s="101">
        <v>83241</v>
      </c>
      <c r="D314" s="101">
        <v>271107480</v>
      </c>
      <c r="E314" s="82">
        <v>6.2323239296052345E-3</v>
      </c>
      <c r="F314" s="92">
        <v>32.568984034310013</v>
      </c>
      <c r="G314" s="45"/>
      <c r="H314" s="60" t="str">
        <f t="shared" si="4"/>
        <v>(30, 35]</v>
      </c>
      <c r="I314" s="78">
        <v>12.93</v>
      </c>
      <c r="J314" s="82">
        <v>8.0583948409795686E-2</v>
      </c>
      <c r="K314" s="82">
        <v>7.0051330143376694E-2</v>
      </c>
      <c r="L314" s="89">
        <v>70051330</v>
      </c>
      <c r="M314" s="82">
        <v>7.0051331260923957E-2</v>
      </c>
      <c r="N314" s="82">
        <v>2.2815006894191945</v>
      </c>
      <c r="O314" s="45"/>
      <c r="P314" s="82">
        <v>7.0051331260923957E-2</v>
      </c>
      <c r="Q314" s="82">
        <v>8.0584666611693334E-2</v>
      </c>
      <c r="R314" s="82">
        <v>3.614457831325301E-2</v>
      </c>
      <c r="S314" s="90">
        <v>1.1499999999999999</v>
      </c>
      <c r="T314" s="37"/>
      <c r="U314" s="82">
        <v>0.32743314564967207</v>
      </c>
    </row>
    <row r="315" spans="1:21" x14ac:dyDescent="0.3">
      <c r="A315" s="69">
        <v>35</v>
      </c>
      <c r="B315" s="69">
        <v>40</v>
      </c>
      <c r="C315" s="101">
        <v>89448</v>
      </c>
      <c r="D315" s="101">
        <v>335898775</v>
      </c>
      <c r="E315" s="82">
        <v>6.6970472586265067E-3</v>
      </c>
      <c r="F315" s="92">
        <v>37.552407544047938</v>
      </c>
      <c r="G315" s="45"/>
      <c r="H315" s="83" t="str">
        <f t="shared" si="4"/>
        <v>(35, 40]</v>
      </c>
      <c r="I315" s="78">
        <v>11.85</v>
      </c>
      <c r="J315" s="82">
        <v>7.9360010014724106E-2</v>
      </c>
      <c r="K315" s="82">
        <v>6.8987364995475212E-2</v>
      </c>
      <c r="L315" s="89">
        <v>68987364</v>
      </c>
      <c r="M315" s="82">
        <v>6.8987365241772569E-2</v>
      </c>
      <c r="N315" s="82">
        <v>2.5906416549491307</v>
      </c>
      <c r="O315" s="45"/>
      <c r="P315" s="82">
        <v>6.8987365241772569E-2</v>
      </c>
      <c r="Q315" s="82">
        <v>7.9365330587306618E-2</v>
      </c>
      <c r="R315" s="82">
        <v>2.4096385542168676E-2</v>
      </c>
      <c r="S315" s="90">
        <v>1.1499999999999999</v>
      </c>
      <c r="T315" s="37"/>
      <c r="U315" s="82">
        <v>0.33705596911860491</v>
      </c>
    </row>
    <row r="316" spans="1:21" x14ac:dyDescent="0.3">
      <c r="A316" s="69">
        <v>40</v>
      </c>
      <c r="B316" s="69">
        <v>45</v>
      </c>
      <c r="C316" s="101">
        <v>95401</v>
      </c>
      <c r="D316" s="101">
        <v>405939470</v>
      </c>
      <c r="E316" s="82">
        <v>7.1427533932589583E-3</v>
      </c>
      <c r="F316" s="92">
        <v>42.55086110208488</v>
      </c>
      <c r="G316" s="45"/>
      <c r="H316" s="60" t="str">
        <f t="shared" si="4"/>
        <v>(40, 45]</v>
      </c>
      <c r="I316" s="78">
        <v>11.25</v>
      </c>
      <c r="J316" s="82">
        <v>8.0355975674163277E-2</v>
      </c>
      <c r="K316" s="82">
        <v>6.985315428227018E-2</v>
      </c>
      <c r="L316" s="89">
        <v>69853154</v>
      </c>
      <c r="M316" s="82">
        <v>6.9853155257356789E-2</v>
      </c>
      <c r="N316" s="82">
        <v>2.9723119068981592</v>
      </c>
      <c r="O316" s="45"/>
      <c r="P316" s="82">
        <v>6.9853155257356789E-2</v>
      </c>
      <c r="Q316" s="82">
        <v>8.0320283606405668E-2</v>
      </c>
      <c r="R316" s="82">
        <v>3.614457831325301E-2</v>
      </c>
      <c r="S316" s="90">
        <v>1.1499999999999999</v>
      </c>
      <c r="T316" s="37"/>
      <c r="U316" s="82">
        <v>0.34630663093382918</v>
      </c>
    </row>
    <row r="317" spans="1:21" x14ac:dyDescent="0.3">
      <c r="A317" s="69">
        <v>45</v>
      </c>
      <c r="B317" s="69">
        <v>50</v>
      </c>
      <c r="C317" s="101">
        <v>100624</v>
      </c>
      <c r="D317" s="101">
        <v>478490985</v>
      </c>
      <c r="E317" s="82">
        <v>7.5338038117345671E-3</v>
      </c>
      <c r="F317" s="92">
        <v>47.552371700588331</v>
      </c>
      <c r="G317" s="45"/>
      <c r="H317" s="60" t="str">
        <f t="shared" si="4"/>
        <v>(45, 50]</v>
      </c>
      <c r="I317" s="78">
        <v>10.78</v>
      </c>
      <c r="J317" s="82">
        <v>8.1214405090498626E-2</v>
      </c>
      <c r="K317" s="82">
        <v>7.059938381848864E-2</v>
      </c>
      <c r="L317" s="89">
        <v>70599383</v>
      </c>
      <c r="M317" s="82">
        <v>7.059938427078892E-2</v>
      </c>
      <c r="N317" s="82">
        <v>3.3571681626772238</v>
      </c>
      <c r="O317" s="45">
        <v>1.5</v>
      </c>
      <c r="P317" s="82">
        <v>7.059938427078892E-2</v>
      </c>
      <c r="Q317" s="82">
        <v>8.1177459623549192E-2</v>
      </c>
      <c r="R317" s="82">
        <v>2.4096385542168676E-2</v>
      </c>
      <c r="S317" s="90">
        <v>1.1499999999999999</v>
      </c>
      <c r="T317" s="37"/>
      <c r="U317" s="82">
        <v>0.35514780883072311</v>
      </c>
    </row>
    <row r="318" spans="1:21" x14ac:dyDescent="0.3">
      <c r="A318" s="69">
        <v>50</v>
      </c>
      <c r="B318" s="69">
        <v>60</v>
      </c>
      <c r="C318" s="101">
        <v>214959</v>
      </c>
      <c r="D318" s="101">
        <v>1184621845</v>
      </c>
      <c r="E318" s="82">
        <v>1.6094161766245139E-2</v>
      </c>
      <c r="F318" s="92">
        <v>55.10919966133077</v>
      </c>
      <c r="G318" s="45">
        <v>3.34</v>
      </c>
      <c r="H318" s="83" t="str">
        <f t="shared" si="4"/>
        <v>(50, 60]</v>
      </c>
      <c r="I318" s="78" cm="1">
        <f t="array" ref="I318:I362">G318:G362*G301</f>
        <v>4.4898751599999995</v>
      </c>
      <c r="J318" s="82">
        <v>7.2260777135285767E-2</v>
      </c>
      <c r="K318" s="82">
        <v>6.2816027948632308E-2</v>
      </c>
      <c r="L318" s="89">
        <v>62816027</v>
      </c>
      <c r="M318" s="82">
        <v>6.2816028130688512E-2</v>
      </c>
      <c r="N318" s="82">
        <v>3.4617410361858836</v>
      </c>
      <c r="O318" s="45" cm="1">
        <f t="array" ref="O318:O362">G318:G362*O317</f>
        <v>5.01</v>
      </c>
      <c r="P318" s="82">
        <v>6.2816028130688512E-2</v>
      </c>
      <c r="Q318" s="82">
        <v>5.3735220074704403E-2</v>
      </c>
      <c r="R318" s="82">
        <v>2.4096385542168676E-2</v>
      </c>
      <c r="S318" s="90">
        <v>0.86</v>
      </c>
      <c r="T318" s="37"/>
      <c r="U318" s="82">
        <v>0.36609409525769698</v>
      </c>
    </row>
    <row r="319" spans="1:21" x14ac:dyDescent="0.3">
      <c r="A319" s="69">
        <v>60</v>
      </c>
      <c r="B319" s="69">
        <v>70</v>
      </c>
      <c r="C319" s="101">
        <v>229908</v>
      </c>
      <c r="D319" s="101">
        <v>1496133495</v>
      </c>
      <c r="E319" s="82">
        <v>1.7213406013955625E-2</v>
      </c>
      <c r="F319" s="92">
        <v>65.075312516310873</v>
      </c>
      <c r="G319" s="45">
        <v>4.46</v>
      </c>
      <c r="H319" s="60" t="str">
        <f t="shared" si="4"/>
        <v>(60, 70]</v>
      </c>
      <c r="I319" s="78">
        <v>5.9954620399999996</v>
      </c>
      <c r="J319" s="82">
        <v>0.10320232233577865</v>
      </c>
      <c r="K319" s="82">
        <v>8.971339945695693E-2</v>
      </c>
      <c r="L319" s="89">
        <v>89713399</v>
      </c>
      <c r="M319" s="82">
        <v>8.9713400614841204E-2</v>
      </c>
      <c r="N319" s="82">
        <v>5.8381275819117873</v>
      </c>
      <c r="O319" s="45">
        <v>6.6899999999999995</v>
      </c>
      <c r="P319" s="82">
        <v>8.9713400614841204E-2</v>
      </c>
      <c r="Q319" s="82">
        <v>7.6811535536230713E-2</v>
      </c>
      <c r="R319" s="82">
        <v>6.0240963855421686E-2</v>
      </c>
      <c r="S319" s="90">
        <v>0.86</v>
      </c>
      <c r="T319" s="37"/>
      <c r="U319" s="82">
        <v>0.37920328529188319</v>
      </c>
    </row>
    <row r="320" spans="1:21" x14ac:dyDescent="0.3">
      <c r="A320" s="69">
        <v>70</v>
      </c>
      <c r="B320" s="69">
        <v>80</v>
      </c>
      <c r="C320" s="101">
        <v>241897</v>
      </c>
      <c r="D320" s="101">
        <v>1815887605</v>
      </c>
      <c r="E320" s="82">
        <v>1.811103256327672E-2</v>
      </c>
      <c r="F320" s="92">
        <v>75.068628589854356</v>
      </c>
      <c r="G320" s="45">
        <v>3.81</v>
      </c>
      <c r="H320" s="60" t="str">
        <f t="shared" si="4"/>
        <v>(70, 80]</v>
      </c>
      <c r="I320" s="78">
        <v>5.1216839399999996</v>
      </c>
      <c r="J320" s="82">
        <v>9.2758984616151396E-2</v>
      </c>
      <c r="K320" s="82">
        <v>8.063504436474779E-2</v>
      </c>
      <c r="L320" s="89">
        <v>80635044</v>
      </c>
      <c r="M320" s="82">
        <v>8.0635045451430812E-2</v>
      </c>
      <c r="N320" s="82">
        <v>6.0531622783194843</v>
      </c>
      <c r="O320" s="45">
        <v>5.7149999999999999</v>
      </c>
      <c r="P320" s="82">
        <v>8.0635045451430812E-2</v>
      </c>
      <c r="Q320" s="82">
        <v>6.8980185379603709E-2</v>
      </c>
      <c r="R320" s="82">
        <v>4.8192771084337352E-2</v>
      </c>
      <c r="S320" s="90">
        <v>0.86</v>
      </c>
      <c r="T320" s="37"/>
      <c r="U320" s="82">
        <v>0.39031090064681029</v>
      </c>
    </row>
    <row r="321" spans="1:21" x14ac:dyDescent="0.3">
      <c r="A321" s="69">
        <v>80</v>
      </c>
      <c r="B321" s="69">
        <v>90</v>
      </c>
      <c r="C321" s="101">
        <v>251871</v>
      </c>
      <c r="D321" s="101">
        <v>2142451880</v>
      </c>
      <c r="E321" s="82">
        <v>1.8857794361836114E-2</v>
      </c>
      <c r="F321" s="92">
        <v>85.061475120200413</v>
      </c>
      <c r="G321" s="45">
        <v>1.67</v>
      </c>
      <c r="H321" s="60" t="str">
        <f t="shared" si="4"/>
        <v>(80, 90]</v>
      </c>
      <c r="I321" s="78">
        <v>2.2449375799999998</v>
      </c>
      <c r="J321" s="82">
        <v>4.2334571238798004E-2</v>
      </c>
      <c r="K321" s="82">
        <v>3.6801287165110476E-2</v>
      </c>
      <c r="L321" s="89">
        <v>36801287</v>
      </c>
      <c r="M321" s="82">
        <v>3.6801287662423181E-2</v>
      </c>
      <c r="N321" s="82">
        <v>3.130371814888548</v>
      </c>
      <c r="O321" s="45">
        <v>2.5049999999999999</v>
      </c>
      <c r="P321" s="82">
        <v>3.6801287662423181E-2</v>
      </c>
      <c r="Q321" s="82">
        <v>3.1481220629624412E-2</v>
      </c>
      <c r="R321" s="82">
        <v>2.4096385542168676E-2</v>
      </c>
      <c r="S321" s="90">
        <v>0.86</v>
      </c>
      <c r="T321" s="37"/>
      <c r="U321" s="82">
        <v>0.40047450541398422</v>
      </c>
    </row>
    <row r="322" spans="1:21" x14ac:dyDescent="0.3">
      <c r="A322" s="69">
        <v>90</v>
      </c>
      <c r="B322" s="69">
        <v>100</v>
      </c>
      <c r="C322" s="101">
        <v>258300</v>
      </c>
      <c r="D322" s="101">
        <v>2455049550</v>
      </c>
      <c r="E322" s="82">
        <v>1.9339139018236591E-2</v>
      </c>
      <c r="F322" s="92">
        <v>95.046440185830434</v>
      </c>
      <c r="G322" s="45">
        <v>1.67</v>
      </c>
      <c r="H322" s="60" t="str">
        <f t="shared" si="4"/>
        <v>(90, 100]</v>
      </c>
      <c r="I322" s="78">
        <v>2.2449375799999998</v>
      </c>
      <c r="J322" s="82">
        <v>4.3415159946883622E-2</v>
      </c>
      <c r="K322" s="82">
        <v>3.7740638957037678E-2</v>
      </c>
      <c r="L322" s="89">
        <v>37740638</v>
      </c>
      <c r="M322" s="82">
        <v>3.7740638679331494E-2</v>
      </c>
      <c r="N322" s="82">
        <v>3.5871133568101192</v>
      </c>
      <c r="O322" s="45">
        <v>2.5049999999999999</v>
      </c>
      <c r="P322" s="82">
        <v>3.7740638679331494E-2</v>
      </c>
      <c r="Q322" s="82">
        <v>3.2284777645695553E-2</v>
      </c>
      <c r="R322" s="82">
        <v>1.2048192771084338E-2</v>
      </c>
      <c r="S322" s="90">
        <v>0.86</v>
      </c>
      <c r="T322" s="37"/>
      <c r="U322" s="100">
        <v>0.40980344805207769</v>
      </c>
    </row>
    <row r="323" spans="1:21" x14ac:dyDescent="0.3">
      <c r="A323" s="69">
        <v>100</v>
      </c>
      <c r="B323" s="69">
        <v>120</v>
      </c>
      <c r="C323" s="101">
        <v>527850</v>
      </c>
      <c r="D323" s="101">
        <v>5809282525</v>
      </c>
      <c r="E323" s="82">
        <v>3.9520575032040976E-2</v>
      </c>
      <c r="F323" s="92">
        <v>110.05555602917495</v>
      </c>
      <c r="G323" s="45">
        <v>1.67</v>
      </c>
      <c r="H323" s="59" t="str">
        <f t="shared" si="4"/>
        <v>(100, 120]</v>
      </c>
      <c r="I323" s="78">
        <v>2.2449375799999998</v>
      </c>
      <c r="J323" s="82">
        <v>8.872122407263848E-2</v>
      </c>
      <c r="K323" s="82">
        <v>7.7125033966211134E-2</v>
      </c>
      <c r="L323" s="89">
        <v>77125033</v>
      </c>
      <c r="M323" s="82">
        <v>7.7125034388250621E-2</v>
      </c>
      <c r="N323" s="82">
        <v>8.4880385433681607</v>
      </c>
      <c r="O323" s="45">
        <v>2.5049999999999999</v>
      </c>
      <c r="P323" s="82">
        <v>7.7125034388250621E-2</v>
      </c>
      <c r="Q323" s="82">
        <v>6.5975688319513767E-2</v>
      </c>
      <c r="R323" s="82">
        <v>6.0240963855421686E-2</v>
      </c>
      <c r="S323" s="90">
        <v>0.86</v>
      </c>
      <c r="T323" s="37"/>
      <c r="U323" s="100">
        <v>0.421465812891617</v>
      </c>
    </row>
    <row r="324" spans="1:21" x14ac:dyDescent="0.3">
      <c r="A324" s="69">
        <v>120</v>
      </c>
      <c r="B324" s="69">
        <v>140</v>
      </c>
      <c r="C324" s="101">
        <v>535919</v>
      </c>
      <c r="D324" s="101">
        <v>6967737790</v>
      </c>
      <c r="E324" s="82">
        <v>4.0124707872684226E-2</v>
      </c>
      <c r="F324" s="92">
        <v>130.01475577465996</v>
      </c>
      <c r="G324" s="45">
        <v>1</v>
      </c>
      <c r="H324" s="60" t="str">
        <f t="shared" si="4"/>
        <v>(120, 140]</v>
      </c>
      <c r="I324" s="78">
        <v>1.344274</v>
      </c>
      <c r="J324" s="82">
        <v>5.3938601550844713E-2</v>
      </c>
      <c r="K324" s="82">
        <v>4.688862806145358E-2</v>
      </c>
      <c r="L324" s="89">
        <v>46888628</v>
      </c>
      <c r="M324" s="82">
        <v>4.688862884399532E-2</v>
      </c>
      <c r="N324" s="82">
        <v>6.0962136277607284</v>
      </c>
      <c r="O324" s="45">
        <v>1.5</v>
      </c>
      <c r="P324" s="82">
        <v>4.688862884399532E-2</v>
      </c>
      <c r="Q324" s="82">
        <v>4.0190536803810739E-2</v>
      </c>
      <c r="R324" s="82">
        <v>7.2289156626506021E-2</v>
      </c>
      <c r="S324" s="90">
        <v>0.86</v>
      </c>
      <c r="T324" s="37"/>
      <c r="U324" s="100">
        <v>0.43566693356949571</v>
      </c>
    </row>
    <row r="325" spans="1:21" x14ac:dyDescent="0.3">
      <c r="A325" s="69">
        <v>140</v>
      </c>
      <c r="B325" s="69">
        <v>160</v>
      </c>
      <c r="C325" s="101">
        <v>529244</v>
      </c>
      <c r="D325" s="101">
        <v>7938511790</v>
      </c>
      <c r="E325" s="82">
        <v>3.9624944988647333E-2</v>
      </c>
      <c r="F325" s="92">
        <v>149.99719959035909</v>
      </c>
      <c r="G325" s="45">
        <v>0.4</v>
      </c>
      <c r="H325" s="59" t="str">
        <f t="shared" si="4"/>
        <v>(140, 160]</v>
      </c>
      <c r="I325" s="78">
        <v>0.53770960000000001</v>
      </c>
      <c r="J325" s="82">
        <v>2.1306713319867561E-2</v>
      </c>
      <c r="K325" s="82">
        <v>1.8521847570066325E-2</v>
      </c>
      <c r="L325" s="89">
        <v>18521847</v>
      </c>
      <c r="M325" s="82">
        <v>1.8521847333393252E-2</v>
      </c>
      <c r="N325" s="82">
        <v>2.7782252312491478</v>
      </c>
      <c r="O325" s="45">
        <v>0.60000000000000009</v>
      </c>
      <c r="P325" s="82">
        <v>1.8521847333393252E-2</v>
      </c>
      <c r="Q325" s="82">
        <v>1.5875981317519626E-2</v>
      </c>
      <c r="R325" s="82">
        <v>2.4096385542168676E-2</v>
      </c>
      <c r="S325" s="90">
        <v>0.86</v>
      </c>
      <c r="T325" s="37"/>
      <c r="U325" s="100">
        <v>0.44717023498564051</v>
      </c>
    </row>
    <row r="326" spans="1:21" x14ac:dyDescent="0.3">
      <c r="A326" s="69">
        <v>160</v>
      </c>
      <c r="B326" s="69">
        <v>180</v>
      </c>
      <c r="C326" s="101">
        <v>519627</v>
      </c>
      <c r="D326" s="101">
        <v>8832072340</v>
      </c>
      <c r="E326" s="82">
        <v>3.8904912081413959E-2</v>
      </c>
      <c r="F326" s="92">
        <v>169.96946540499243</v>
      </c>
      <c r="G326" s="45">
        <v>0.08</v>
      </c>
      <c r="H326" s="60" t="str">
        <f t="shared" si="4"/>
        <v>(160, 180]</v>
      </c>
      <c r="I326" s="78">
        <v>0.10754192</v>
      </c>
      <c r="J326" s="82">
        <v>4.1839089426664536E-3</v>
      </c>
      <c r="K326" s="82">
        <v>3.6370566647107405E-3</v>
      </c>
      <c r="L326" s="89">
        <v>3637056</v>
      </c>
      <c r="M326" s="82">
        <v>3.637056065467009E-3</v>
      </c>
      <c r="N326" s="82">
        <v>0.61818847509541264</v>
      </c>
      <c r="O326" s="45">
        <v>0.12</v>
      </c>
      <c r="P326" s="82">
        <v>3.637056065467009E-3</v>
      </c>
      <c r="Q326" s="82">
        <v>2.922655058453101E-3</v>
      </c>
      <c r="R326" s="82">
        <v>3.614457831325301E-2</v>
      </c>
      <c r="S326" s="90">
        <v>0.8</v>
      </c>
      <c r="T326" s="37"/>
      <c r="U326" s="100">
        <v>0.45747273730325311</v>
      </c>
    </row>
    <row r="327" spans="1:21" x14ac:dyDescent="0.3">
      <c r="A327" s="69">
        <v>180</v>
      </c>
      <c r="B327" s="69">
        <v>200</v>
      </c>
      <c r="C327" s="101">
        <v>500559</v>
      </c>
      <c r="D327" s="101">
        <v>9508456100</v>
      </c>
      <c r="E327" s="82">
        <v>3.7477274827059578E-2</v>
      </c>
      <c r="F327" s="92">
        <v>189.95675035310524</v>
      </c>
      <c r="G327" s="45">
        <v>7.0000000000000007E-2</v>
      </c>
      <c r="H327" s="60" t="str">
        <f t="shared" si="4"/>
        <v>(180, 200]</v>
      </c>
      <c r="I327" s="78">
        <v>9.4099180000000004E-2</v>
      </c>
      <c r="J327" s="82">
        <v>3.5265808298609483E-3</v>
      </c>
      <c r="K327" s="82">
        <v>3.0656437524456495E-3</v>
      </c>
      <c r="L327" s="89">
        <v>3065643</v>
      </c>
      <c r="M327" s="82">
        <v>3.0656430551815749E-3</v>
      </c>
      <c r="N327" s="82">
        <v>0.58233959250485723</v>
      </c>
      <c r="O327" s="45">
        <v>0.10500000000000001</v>
      </c>
      <c r="P327" s="82">
        <v>3.0656430551815749E-3</v>
      </c>
      <c r="Q327" s="82">
        <v>2.4400190488003811E-3</v>
      </c>
      <c r="R327" s="82">
        <v>0</v>
      </c>
      <c r="S327" s="90">
        <v>0.8</v>
      </c>
      <c r="T327" s="37"/>
      <c r="U327" s="100">
        <v>0.46688540167069742</v>
      </c>
    </row>
    <row r="328" spans="1:21" x14ac:dyDescent="0.3">
      <c r="A328" s="69">
        <v>200</v>
      </c>
      <c r="B328" s="69">
        <v>250</v>
      </c>
      <c r="C328" s="101">
        <v>1165700</v>
      </c>
      <c r="D328" s="101">
        <v>26176231540</v>
      </c>
      <c r="E328" s="82">
        <v>8.727694290963374E-2</v>
      </c>
      <c r="F328" s="92">
        <v>224.55375774212919</v>
      </c>
      <c r="G328" s="45">
        <v>0.1</v>
      </c>
      <c r="H328" s="60" t="str">
        <f t="shared" si="4"/>
        <v>(200, 250]</v>
      </c>
      <c r="I328" s="78">
        <v>0.1344274</v>
      </c>
      <c r="J328" s="82">
        <v>1.1732412515290499E-2</v>
      </c>
      <c r="K328" s="82">
        <v>1.0198943073717565E-2</v>
      </c>
      <c r="L328" s="89">
        <v>10198943</v>
      </c>
      <c r="M328" s="82">
        <v>1.0198943183580977E-2</v>
      </c>
      <c r="N328" s="82">
        <v>2.2902110168715826</v>
      </c>
      <c r="O328" s="45">
        <v>0.15000000000000002</v>
      </c>
      <c r="P328" s="82">
        <v>1.0198943183580977E-2</v>
      </c>
      <c r="Q328" s="82">
        <v>8.7420121748402434E-3</v>
      </c>
      <c r="R328" s="82">
        <v>6.0240963855421686E-2</v>
      </c>
      <c r="S328" s="90">
        <v>0.86</v>
      </c>
      <c r="T328" s="37"/>
      <c r="U328" s="100">
        <v>0.48025330649648901</v>
      </c>
    </row>
    <row r="329" spans="1:21" x14ac:dyDescent="0.3">
      <c r="A329" s="69">
        <v>250</v>
      </c>
      <c r="B329" s="69">
        <v>300</v>
      </c>
      <c r="C329" s="101">
        <v>1026762</v>
      </c>
      <c r="D329" s="101">
        <v>28180089350</v>
      </c>
      <c r="E329" s="82">
        <v>7.6874537578949437E-2</v>
      </c>
      <c r="F329" s="92">
        <v>274.45590458158756</v>
      </c>
      <c r="G329" s="45">
        <v>0.02</v>
      </c>
      <c r="H329" s="60" t="str">
        <f t="shared" si="4"/>
        <v>(250, 300]</v>
      </c>
      <c r="I329" s="78">
        <v>2.688548E-2</v>
      </c>
      <c r="J329" s="82">
        <v>2.0668088425880933E-3</v>
      </c>
      <c r="K329" s="82">
        <v>1.7966693297171476E-3</v>
      </c>
      <c r="L329" s="89">
        <v>1796669</v>
      </c>
      <c r="M329" s="82">
        <v>1.7966690323400426E-3</v>
      </c>
      <c r="N329" s="82">
        <v>0.49310642450461201</v>
      </c>
      <c r="O329" s="45">
        <v>0.03</v>
      </c>
      <c r="P329" s="82">
        <v>1.7966690323400426E-3</v>
      </c>
      <c r="Q329" s="82">
        <v>1.3860110277202206E-3</v>
      </c>
      <c r="R329" s="82">
        <v>2.4096385542168676E-2</v>
      </c>
      <c r="S329" s="90">
        <v>0.77</v>
      </c>
      <c r="T329" s="37"/>
      <c r="U329" s="100">
        <v>0.49682640747581852</v>
      </c>
    </row>
    <row r="330" spans="1:21" x14ac:dyDescent="0.3">
      <c r="A330" s="69">
        <v>300</v>
      </c>
      <c r="B330" s="69">
        <v>350</v>
      </c>
      <c r="C330" s="101">
        <v>890637</v>
      </c>
      <c r="D330" s="101">
        <v>28893976955</v>
      </c>
      <c r="E330" s="82">
        <v>6.66827439325791E-2</v>
      </c>
      <c r="F330" s="92">
        <v>324.41922977599182</v>
      </c>
      <c r="G330" s="45">
        <v>0.02</v>
      </c>
      <c r="H330" s="60" t="str">
        <f t="shared" si="4"/>
        <v>(300, 350]</v>
      </c>
      <c r="I330" s="78">
        <v>2.688548E-2</v>
      </c>
      <c r="J330" s="82">
        <v>1.7927975783444767E-3</v>
      </c>
      <c r="K330" s="82">
        <v>1.5584723449166321E-3</v>
      </c>
      <c r="L330" s="89">
        <v>1558472</v>
      </c>
      <c r="M330" s="82">
        <v>1.5584720280524965E-3</v>
      </c>
      <c r="N330" s="82">
        <v>0.50559829496821884</v>
      </c>
      <c r="O330" s="45">
        <v>0.03</v>
      </c>
      <c r="P330" s="82">
        <v>1.5584720280524965E-3</v>
      </c>
      <c r="Q330" s="82">
        <v>1.0686740213734804E-3</v>
      </c>
      <c r="R330" s="82">
        <v>1.2048192771084338E-2</v>
      </c>
      <c r="S330" s="90">
        <v>0.69</v>
      </c>
      <c r="T330" s="37"/>
      <c r="U330" s="100">
        <v>0.5100563402168331</v>
      </c>
    </row>
    <row r="331" spans="1:21" x14ac:dyDescent="0.3">
      <c r="A331" s="69">
        <v>350</v>
      </c>
      <c r="B331" s="69">
        <v>400</v>
      </c>
      <c r="C331" s="101">
        <v>765141</v>
      </c>
      <c r="D331" s="101">
        <v>28648734925</v>
      </c>
      <c r="E331" s="82">
        <v>5.7286752487621231E-2</v>
      </c>
      <c r="F331" s="92">
        <v>374.42425546402558</v>
      </c>
      <c r="G331" s="45">
        <v>0.02</v>
      </c>
      <c r="H331" s="60" t="str">
        <f t="shared" si="4"/>
        <v>(350, 400]</v>
      </c>
      <c r="I331" s="78">
        <v>2.688548E-2</v>
      </c>
      <c r="J331" s="82">
        <v>1.5401818382708909E-3</v>
      </c>
      <c r="K331" s="82">
        <v>1.3388744106317804E-3</v>
      </c>
      <c r="L331" s="89">
        <v>1338874</v>
      </c>
      <c r="M331" s="82">
        <v>1.3388740240997325E-3</v>
      </c>
      <c r="N331" s="82">
        <v>0.5013069096336662</v>
      </c>
      <c r="O331" s="45">
        <v>0.03</v>
      </c>
      <c r="P331" s="82">
        <v>1.3388740240997325E-3</v>
      </c>
      <c r="Q331" s="82">
        <v>9.5634001912680043E-5</v>
      </c>
      <c r="R331" s="82">
        <v>0</v>
      </c>
      <c r="S331" s="90">
        <v>7.0000000000000007E-2</v>
      </c>
      <c r="T331" s="37"/>
      <c r="U331" s="100">
        <v>0.52143714187281465</v>
      </c>
    </row>
    <row r="332" spans="1:21" x14ac:dyDescent="0.3">
      <c r="A332" s="69">
        <v>400</v>
      </c>
      <c r="B332" s="69">
        <v>450</v>
      </c>
      <c r="C332" s="101">
        <v>655533</v>
      </c>
      <c r="D332" s="101">
        <v>27818394850</v>
      </c>
      <c r="E332" s="82">
        <v>4.908030901293723E-2</v>
      </c>
      <c r="F332" s="92">
        <v>424.36299698108252</v>
      </c>
      <c r="G332" s="45">
        <v>0.02</v>
      </c>
      <c r="H332" s="60" t="str">
        <f t="shared" si="4"/>
        <v>(400, 450]</v>
      </c>
      <c r="I332" s="78">
        <v>2.688548E-2</v>
      </c>
      <c r="J332" s="82">
        <v>1.3195476663611437E-3</v>
      </c>
      <c r="K332" s="82">
        <v>1.147077935994389E-3</v>
      </c>
      <c r="L332" s="89">
        <v>1147077</v>
      </c>
      <c r="M332" s="82">
        <v>1.1470770206473864E-3</v>
      </c>
      <c r="N332" s="82">
        <v>0.48677704225005597</v>
      </c>
      <c r="O332" s="45">
        <v>0.03</v>
      </c>
      <c r="P332" s="82">
        <v>1.1470770206473864E-3</v>
      </c>
      <c r="Q332" s="82">
        <v>5.4623001092460021E-5</v>
      </c>
      <c r="R332" s="82">
        <v>0</v>
      </c>
      <c r="S332" s="90">
        <v>0.05</v>
      </c>
      <c r="T332" s="37"/>
      <c r="U332" s="100">
        <v>0.53100027358521928</v>
      </c>
    </row>
    <row r="333" spans="1:21" x14ac:dyDescent="0.3">
      <c r="A333" s="69">
        <v>450</v>
      </c>
      <c r="B333" s="69">
        <v>500</v>
      </c>
      <c r="C333" s="101">
        <v>560281</v>
      </c>
      <c r="D333" s="101">
        <v>26577237665</v>
      </c>
      <c r="E333" s="82">
        <v>4.1948711375441795E-2</v>
      </c>
      <c r="F333" s="92">
        <v>474.35550491628311</v>
      </c>
      <c r="G333" s="45">
        <v>0.02</v>
      </c>
      <c r="H333" s="60" t="str">
        <f t="shared" si="4"/>
        <v>(450, 500]</v>
      </c>
      <c r="I333" s="78">
        <v>2.688548E-2</v>
      </c>
      <c r="J333" s="82">
        <v>1.1278112407102129E-3</v>
      </c>
      <c r="K333" s="82">
        <v>9.8040216595788828E-4</v>
      </c>
      <c r="L333" s="89">
        <v>980402</v>
      </c>
      <c r="M333" s="82">
        <v>9.8040201764723633E-4</v>
      </c>
      <c r="N333" s="82">
        <v>0.46505909410199747</v>
      </c>
      <c r="O333" s="45">
        <v>0.03</v>
      </c>
      <c r="P333" s="82">
        <v>9.8040201764723633E-4</v>
      </c>
      <c r="Q333" s="82">
        <v>4.668600093372002E-5</v>
      </c>
      <c r="R333" s="82">
        <v>0</v>
      </c>
      <c r="S333" s="90">
        <v>0.05</v>
      </c>
      <c r="T333" s="37"/>
      <c r="U333" s="100">
        <v>0.53927150015387737</v>
      </c>
    </row>
    <row r="334" spans="1:21" x14ac:dyDescent="0.3">
      <c r="A334" s="69">
        <v>500</v>
      </c>
      <c r="B334" s="69">
        <v>550</v>
      </c>
      <c r="C334" s="101">
        <v>478425</v>
      </c>
      <c r="D334" s="101">
        <v>25087256455</v>
      </c>
      <c r="E334" s="82">
        <v>3.5820083564846464E-2</v>
      </c>
      <c r="F334" s="92">
        <v>524.37177101949101</v>
      </c>
      <c r="G334" s="45">
        <v>0.02</v>
      </c>
      <c r="H334" s="60" t="str">
        <f t="shared" si="4"/>
        <v>(500, 550]</v>
      </c>
      <c r="I334" s="78">
        <v>2.688548E-2</v>
      </c>
      <c r="J334" s="82">
        <v>9.6304014028100835E-4</v>
      </c>
      <c r="K334" s="82">
        <v>8.3716725401789937E-4</v>
      </c>
      <c r="L334" s="89">
        <v>837167</v>
      </c>
      <c r="M334" s="82">
        <v>8.3716701506900625E-4</v>
      </c>
      <c r="N334" s="82">
        <v>0.43898675033083573</v>
      </c>
      <c r="O334" s="45">
        <v>0.03</v>
      </c>
      <c r="P334" s="82">
        <v>8.3716701506900625E-4</v>
      </c>
      <c r="Q334" s="82">
        <v>3.9865000797300016E-5</v>
      </c>
      <c r="R334" s="82">
        <v>0</v>
      </c>
      <c r="S334" s="90">
        <v>0.05</v>
      </c>
      <c r="T334" s="37"/>
      <c r="U334" s="100">
        <v>0.54676261482494559</v>
      </c>
    </row>
    <row r="335" spans="1:21" x14ac:dyDescent="0.3">
      <c r="A335" s="69">
        <v>550</v>
      </c>
      <c r="B335" s="69">
        <v>600</v>
      </c>
      <c r="C335" s="101">
        <v>409136</v>
      </c>
      <c r="D335" s="101">
        <v>23501071195</v>
      </c>
      <c r="E335" s="82">
        <v>3.0632357651433396E-2</v>
      </c>
      <c r="F335" s="92">
        <v>574.40731676019709</v>
      </c>
      <c r="G335" s="45">
        <v>0.02</v>
      </c>
      <c r="H335" s="60" t="str">
        <f t="shared" si="4"/>
        <v>(550, 600]</v>
      </c>
      <c r="I335" s="78">
        <v>2.688548E-2</v>
      </c>
      <c r="J335" s="82">
        <v>8.2356563899045956E-4</v>
      </c>
      <c r="K335" s="82">
        <v>7.1592258272428757E-4</v>
      </c>
      <c r="L335" s="89">
        <v>715922</v>
      </c>
      <c r="M335" s="82">
        <v>7.1592201288659622E-4</v>
      </c>
      <c r="N335" s="82">
        <v>0.41123084243174896</v>
      </c>
      <c r="O335" s="45">
        <v>0.03</v>
      </c>
      <c r="P335" s="82">
        <v>7.1592201288659622E-4</v>
      </c>
      <c r="Q335" s="82">
        <v>3.4091000681820014E-5</v>
      </c>
      <c r="R335" s="82">
        <v>0</v>
      </c>
      <c r="S335" s="90">
        <v>0.05</v>
      </c>
      <c r="T335" s="37"/>
      <c r="U335" s="82">
        <v>0.55355376742561602</v>
      </c>
    </row>
    <row r="336" spans="1:21" x14ac:dyDescent="0.3">
      <c r="A336" s="69">
        <v>600</v>
      </c>
      <c r="B336" s="69">
        <v>650</v>
      </c>
      <c r="C336" s="101">
        <v>348904</v>
      </c>
      <c r="D336" s="101">
        <v>21784236745</v>
      </c>
      <c r="E336" s="82">
        <v>2.612273697258544E-2</v>
      </c>
      <c r="F336" s="92">
        <v>624.36190886318298</v>
      </c>
      <c r="G336" s="45">
        <v>0.02</v>
      </c>
      <c r="H336" s="60" t="str">
        <f t="shared" si="4"/>
        <v>(600, 650]</v>
      </c>
      <c r="I336" s="78">
        <v>2.688548E-2</v>
      </c>
      <c r="J336" s="82">
        <v>7.0232232242170643E-4</v>
      </c>
      <c r="K336" s="82">
        <v>6.1052621329541965E-4</v>
      </c>
      <c r="L336" s="89">
        <v>610526</v>
      </c>
      <c r="M336" s="82">
        <v>6.1052601098946825E-4</v>
      </c>
      <c r="N336" s="82">
        <v>0.38118918563200904</v>
      </c>
      <c r="O336" s="45">
        <v>0.03</v>
      </c>
      <c r="P336" s="82">
        <v>6.1052601098946825E-4</v>
      </c>
      <c r="Q336" s="82">
        <v>2.9072000581440012E-5</v>
      </c>
      <c r="R336" s="82">
        <v>0</v>
      </c>
      <c r="S336" s="90">
        <v>0.05</v>
      </c>
      <c r="T336" s="37"/>
      <c r="U336" s="82">
        <v>0.55890973295901325</v>
      </c>
    </row>
    <row r="337" spans="1:21" x14ac:dyDescent="0.3">
      <c r="A337" s="69">
        <v>650</v>
      </c>
      <c r="B337" s="69">
        <v>700</v>
      </c>
      <c r="C337" s="101">
        <v>299066</v>
      </c>
      <c r="D337" s="101">
        <v>20167888070</v>
      </c>
      <c r="E337" s="82">
        <v>2.2391323846798081E-2</v>
      </c>
      <c r="F337" s="92">
        <v>674.36245076337673</v>
      </c>
      <c r="G337" s="45">
        <v>0.02</v>
      </c>
      <c r="H337" s="60" t="str">
        <f t="shared" si="4"/>
        <v>(650, 700]</v>
      </c>
      <c r="I337" s="78">
        <v>2.688548E-2</v>
      </c>
      <c r="J337" s="82">
        <v>6.0200148945661284E-4</v>
      </c>
      <c r="K337" s="82">
        <v>5.2331768195666424E-4</v>
      </c>
      <c r="L337" s="89">
        <v>523317</v>
      </c>
      <c r="M337" s="82">
        <v>5.2331700941970615E-4</v>
      </c>
      <c r="N337" s="82">
        <v>0.35290534099843412</v>
      </c>
      <c r="O337" s="45">
        <v>0.03</v>
      </c>
      <c r="P337" s="82">
        <v>5.2331700941970615E-4</v>
      </c>
      <c r="Q337" s="82">
        <v>2.4920000498400009E-5</v>
      </c>
      <c r="R337" s="82">
        <v>0</v>
      </c>
      <c r="S337" s="90">
        <v>0.05</v>
      </c>
      <c r="T337" s="37"/>
      <c r="U337" s="82">
        <v>0.56408631602044401</v>
      </c>
    </row>
    <row r="338" spans="1:21" x14ac:dyDescent="0.3">
      <c r="A338" s="69">
        <v>700</v>
      </c>
      <c r="B338" s="69">
        <v>750</v>
      </c>
      <c r="C338" s="101">
        <v>257143</v>
      </c>
      <c r="D338" s="101">
        <v>18626033505</v>
      </c>
      <c r="E338" s="82">
        <v>1.9252513451670197E-2</v>
      </c>
      <c r="F338" s="92">
        <v>724.3453450025861</v>
      </c>
      <c r="G338" s="45">
        <v>0.02</v>
      </c>
      <c r="H338" s="60" t="str">
        <f t="shared" si="4"/>
        <v>(700, 750]</v>
      </c>
      <c r="I338" s="78">
        <v>2.688548E-2</v>
      </c>
      <c r="J338" s="82">
        <v>5.1761306535461006E-4</v>
      </c>
      <c r="K338" s="82">
        <v>4.499591350784861E-4</v>
      </c>
      <c r="L338" s="89">
        <v>449959</v>
      </c>
      <c r="M338" s="82">
        <v>4.4995900809926214E-4</v>
      </c>
      <c r="N338" s="82">
        <v>0.32592571295868145</v>
      </c>
      <c r="O338" s="45">
        <v>0.03</v>
      </c>
      <c r="P338" s="82">
        <v>4.4995900809926214E-4</v>
      </c>
      <c r="Q338" s="82">
        <v>2.142600042852001E-5</v>
      </c>
      <c r="R338" s="82">
        <v>0</v>
      </c>
      <c r="S338" s="90">
        <v>0.05</v>
      </c>
      <c r="T338" s="37"/>
      <c r="U338" s="82">
        <v>0.56856346140145408</v>
      </c>
    </row>
    <row r="339" spans="1:21" x14ac:dyDescent="0.3">
      <c r="A339" s="69">
        <v>750</v>
      </c>
      <c r="B339" s="69">
        <v>800</v>
      </c>
      <c r="C339" s="101">
        <v>221618</v>
      </c>
      <c r="D339" s="101">
        <v>17161453475</v>
      </c>
      <c r="E339" s="82">
        <v>1.6592726716777223E-2</v>
      </c>
      <c r="F339" s="92">
        <v>774.37092090895135</v>
      </c>
      <c r="G339" s="45">
        <v>0.02</v>
      </c>
      <c r="H339" s="60" t="str">
        <f t="shared" si="4"/>
        <v>(750, 800]</v>
      </c>
      <c r="I339" s="78">
        <v>2.688548E-2</v>
      </c>
      <c r="J339" s="82">
        <v>4.4610342228937967E-4</v>
      </c>
      <c r="K339" s="82">
        <v>3.8779606521594564E-4</v>
      </c>
      <c r="L339" s="89">
        <v>387796</v>
      </c>
      <c r="M339" s="82">
        <v>3.8779600698032814E-4</v>
      </c>
      <c r="N339" s="82">
        <v>0.30029795105017082</v>
      </c>
      <c r="O339" s="45">
        <v>0.03</v>
      </c>
      <c r="P339" s="82">
        <v>3.8779600698032814E-4</v>
      </c>
      <c r="Q339" s="82">
        <v>1.8466000369320008E-5</v>
      </c>
      <c r="R339" s="82">
        <v>0</v>
      </c>
      <c r="S339" s="90">
        <v>0.05</v>
      </c>
      <c r="T339" s="37"/>
      <c r="U339" s="82">
        <v>0.57334680236536373</v>
      </c>
    </row>
    <row r="340" spans="1:21" x14ac:dyDescent="0.3">
      <c r="A340" s="69">
        <v>800</v>
      </c>
      <c r="B340" s="69">
        <v>850</v>
      </c>
      <c r="C340" s="101">
        <v>190331</v>
      </c>
      <c r="D340" s="101">
        <v>15690756525</v>
      </c>
      <c r="E340" s="82">
        <v>1.4250242618970146E-2</v>
      </c>
      <c r="F340" s="92">
        <v>824.39311121152105</v>
      </c>
      <c r="G340" s="45">
        <v>0.02</v>
      </c>
      <c r="H340" s="60" t="str">
        <f t="shared" si="4"/>
        <v>(800, 850]</v>
      </c>
      <c r="I340" s="78">
        <v>2.688548E-2</v>
      </c>
      <c r="J340" s="82">
        <v>3.8312461292746945E-4</v>
      </c>
      <c r="K340" s="82">
        <v>3.3304881773419195E-4</v>
      </c>
      <c r="L340" s="89">
        <v>333048</v>
      </c>
      <c r="M340" s="82">
        <v>3.3304800599486412E-4</v>
      </c>
      <c r="N340" s="82">
        <v>0.27456248184489934</v>
      </c>
      <c r="O340" s="45">
        <v>0.03</v>
      </c>
      <c r="P340" s="82">
        <v>3.3304800599486412E-4</v>
      </c>
      <c r="Q340" s="82">
        <v>1.5859000317180007E-5</v>
      </c>
      <c r="R340" s="82">
        <v>0</v>
      </c>
      <c r="S340" s="90">
        <v>0.05</v>
      </c>
      <c r="T340" s="37"/>
      <c r="U340" s="82">
        <v>0.57698274648178982</v>
      </c>
    </row>
    <row r="341" spans="1:21" x14ac:dyDescent="0.3">
      <c r="A341" s="69">
        <v>850</v>
      </c>
      <c r="B341" s="69">
        <v>900</v>
      </c>
      <c r="C341" s="101">
        <v>165233</v>
      </c>
      <c r="D341" s="101">
        <v>14447963260</v>
      </c>
      <c r="E341" s="82">
        <v>1.2371134174991432E-2</v>
      </c>
      <c r="F341" s="92">
        <v>874.39937905866259</v>
      </c>
      <c r="G341" s="45">
        <v>0.02</v>
      </c>
      <c r="H341" s="60" t="str">
        <f t="shared" si="4"/>
        <v>(850, 900]</v>
      </c>
      <c r="I341" s="78">
        <v>2.688548E-2</v>
      </c>
      <c r="J341" s="82">
        <v>3.3260388043904865E-4</v>
      </c>
      <c r="K341" s="82">
        <v>2.8913133068535207E-4</v>
      </c>
      <c r="L341" s="93">
        <v>289131</v>
      </c>
      <c r="M341" s="82">
        <v>2.8913100520435808E-4</v>
      </c>
      <c r="N341" s="82">
        <v>0.25281597141729767</v>
      </c>
      <c r="O341" s="45">
        <v>0.03</v>
      </c>
      <c r="P341" s="82">
        <v>2.8913100520435808E-4</v>
      </c>
      <c r="Q341" s="82">
        <v>1.3768000275360006E-5</v>
      </c>
      <c r="R341" s="82">
        <v>0</v>
      </c>
      <c r="S341" s="90">
        <v>0.05</v>
      </c>
      <c r="T341" s="37"/>
      <c r="U341" s="82">
        <v>0.58038352925724046</v>
      </c>
    </row>
    <row r="342" spans="1:21" x14ac:dyDescent="0.3">
      <c r="A342" s="69">
        <v>900</v>
      </c>
      <c r="B342" s="69">
        <v>950</v>
      </c>
      <c r="C342" s="101">
        <v>142742</v>
      </c>
      <c r="D342" s="101">
        <v>13196035120</v>
      </c>
      <c r="E342" s="82">
        <v>1.0687214021452294E-2</v>
      </c>
      <c r="F342" s="92">
        <v>924.46757926889074</v>
      </c>
      <c r="G342" s="45">
        <v>0.02</v>
      </c>
      <c r="H342" s="60" t="str">
        <f t="shared" si="4"/>
        <v>(900, 950]</v>
      </c>
      <c r="I342" s="78">
        <v>2.688548E-2</v>
      </c>
      <c r="J342" s="82">
        <v>2.873308788294752E-4</v>
      </c>
      <c r="K342" s="82">
        <v>2.4977567679996442E-4</v>
      </c>
      <c r="L342" s="93">
        <v>249775</v>
      </c>
      <c r="M342" s="82">
        <v>2.4977500449595009E-4</v>
      </c>
      <c r="N342" s="82">
        <v>0.23090889376824728</v>
      </c>
      <c r="O342" s="45">
        <v>0.03</v>
      </c>
      <c r="P342" s="82">
        <v>2.4977500449595009E-4</v>
      </c>
      <c r="Q342" s="82">
        <v>1.1894000237880004E-5</v>
      </c>
      <c r="R342" s="82">
        <v>0</v>
      </c>
      <c r="S342" s="90">
        <v>0.05</v>
      </c>
      <c r="T342" s="37"/>
      <c r="U342" s="82">
        <v>0.58365360408592371</v>
      </c>
    </row>
    <row r="343" spans="1:21" x14ac:dyDescent="0.3">
      <c r="A343" s="69">
        <v>950</v>
      </c>
      <c r="B343" s="69">
        <v>1000</v>
      </c>
      <c r="C343" s="101">
        <v>124020</v>
      </c>
      <c r="D343" s="101">
        <v>12085225970</v>
      </c>
      <c r="E343" s="82">
        <v>9.2854820791393802E-3</v>
      </c>
      <c r="F343" s="92">
        <v>974.45782696339302</v>
      </c>
      <c r="G343" s="45">
        <v>0.02</v>
      </c>
      <c r="H343" s="60" t="str">
        <f t="shared" si="4"/>
        <v>(950, 1000]</v>
      </c>
      <c r="I343" s="78">
        <v>2.688548E-2</v>
      </c>
      <c r="J343" s="82">
        <v>2.4964464272906022E-4</v>
      </c>
      <c r="K343" s="82">
        <v>2.1701517028437033E-4</v>
      </c>
      <c r="L343" s="93">
        <v>217015</v>
      </c>
      <c r="M343" s="82">
        <v>2.1701500390627006E-4</v>
      </c>
      <c r="N343" s="82">
        <v>0.21147196912495617</v>
      </c>
      <c r="O343" s="45">
        <v>0.03</v>
      </c>
      <c r="P343" s="82">
        <v>2.1701500390627006E-4</v>
      </c>
      <c r="Q343" s="82">
        <v>1.0334000206680005E-5</v>
      </c>
      <c r="R343" s="82">
        <v>0</v>
      </c>
      <c r="S343" s="90">
        <v>0.05</v>
      </c>
      <c r="T343" s="37"/>
      <c r="U343" s="82">
        <v>0.58652278290282522</v>
      </c>
    </row>
    <row r="344" spans="1:21" x14ac:dyDescent="0.3">
      <c r="A344" s="69">
        <v>1000</v>
      </c>
      <c r="B344" s="69">
        <v>2000</v>
      </c>
      <c r="C344" s="101">
        <v>850635</v>
      </c>
      <c r="D344" s="101">
        <v>112397654425</v>
      </c>
      <c r="E344" s="82">
        <v>6.368776042887217E-2</v>
      </c>
      <c r="F344" s="92">
        <v>1321.3382287937834</v>
      </c>
      <c r="G344" s="45">
        <v>0.02</v>
      </c>
      <c r="H344" s="60" t="str">
        <f t="shared" si="4"/>
        <v>(1000, 2000]</v>
      </c>
      <c r="I344" s="78">
        <v>2.688548E-2</v>
      </c>
      <c r="J344" s="82">
        <v>1.7122760092552342E-3</v>
      </c>
      <c r="K344" s="82">
        <v>1.4884752408873194E-3</v>
      </c>
      <c r="L344" s="93">
        <v>1488475</v>
      </c>
      <c r="M344" s="82">
        <v>1.4884750267925506E-3</v>
      </c>
      <c r="N344" s="82">
        <v>1.9667789555058481</v>
      </c>
      <c r="O344" s="45">
        <v>0.03</v>
      </c>
      <c r="P344" s="82">
        <v>1.4884750267925506E-3</v>
      </c>
      <c r="Q344" s="82">
        <v>7.0880001417600032E-5</v>
      </c>
      <c r="R344" s="82">
        <v>0</v>
      </c>
      <c r="S344" s="90">
        <v>0.05</v>
      </c>
      <c r="T344" s="37"/>
      <c r="U344" s="82">
        <v>0.59752520032021483</v>
      </c>
    </row>
    <row r="345" spans="1:21" x14ac:dyDescent="0.3">
      <c r="A345" s="69">
        <v>2000</v>
      </c>
      <c r="B345" s="69">
        <v>3000</v>
      </c>
      <c r="C345" s="101">
        <v>119341</v>
      </c>
      <c r="D345" s="101">
        <v>28404013705</v>
      </c>
      <c r="E345" s="82">
        <v>8.9351613998272274E-3</v>
      </c>
      <c r="F345" s="92">
        <v>2380.071702516319</v>
      </c>
      <c r="G345" s="45">
        <v>0.02</v>
      </c>
      <c r="H345" s="60" t="str">
        <f t="shared" si="4"/>
        <v>(2000, 3000]</v>
      </c>
      <c r="I345" s="78">
        <v>2.688548E-2</v>
      </c>
      <c r="J345" s="82">
        <v>2.4022610311182692E-4</v>
      </c>
      <c r="K345" s="82">
        <v>2.0882766841563488E-4</v>
      </c>
      <c r="L345" s="93">
        <v>208827</v>
      </c>
      <c r="M345" s="82">
        <v>2.0882700375888608E-4</v>
      </c>
      <c r="N345" s="82">
        <v>0.49702324236779372</v>
      </c>
      <c r="O345" s="45">
        <v>0.03</v>
      </c>
      <c r="P345" s="82">
        <v>2.0882700375888608E-4</v>
      </c>
      <c r="Q345" s="82">
        <v>9.9440001988800038E-6</v>
      </c>
      <c r="R345" s="82">
        <v>0</v>
      </c>
      <c r="S345" s="90">
        <v>0.05</v>
      </c>
      <c r="U345" s="82">
        <v>0.60105240338188048</v>
      </c>
    </row>
    <row r="346" spans="1:21" x14ac:dyDescent="0.3">
      <c r="A346" s="69">
        <v>3000</v>
      </c>
      <c r="B346" s="69">
        <v>4000</v>
      </c>
      <c r="C346" s="101">
        <v>35102</v>
      </c>
      <c r="D346" s="101">
        <v>12029474040</v>
      </c>
      <c r="E346" s="82">
        <v>2.6281163678596236E-3</v>
      </c>
      <c r="F346" s="92">
        <v>3427.0053102387333</v>
      </c>
      <c r="G346" s="45">
        <v>0.02</v>
      </c>
      <c r="H346" s="60" t="str">
        <f t="shared" si="4"/>
        <v>(3000, 4000]</v>
      </c>
      <c r="I346" s="78">
        <v>2.688548E-2</v>
      </c>
      <c r="J346" s="82">
        <v>7.0658170045762559E-5</v>
      </c>
      <c r="K346" s="82">
        <v>6.1422887496548687E-5</v>
      </c>
      <c r="L346" s="93">
        <v>61422</v>
      </c>
      <c r="M346" s="82">
        <v>6.1422001105596025E-5</v>
      </c>
      <c r="N346" s="82">
        <v>0.21049352395436693</v>
      </c>
      <c r="O346" s="45">
        <v>0.03</v>
      </c>
      <c r="P346" s="82">
        <v>6.1422001105596025E-5</v>
      </c>
      <c r="Q346" s="82">
        <v>2.9240000584800012E-6</v>
      </c>
      <c r="R346" s="82">
        <v>0</v>
      </c>
      <c r="S346" s="90">
        <v>0.05</v>
      </c>
      <c r="U346" s="82">
        <v>0.57457059818472023</v>
      </c>
    </row>
    <row r="347" spans="1:21" x14ac:dyDescent="0.3">
      <c r="A347" s="69">
        <v>4000</v>
      </c>
      <c r="B347" s="69">
        <v>5000</v>
      </c>
      <c r="C347" s="101">
        <v>17552</v>
      </c>
      <c r="D347" s="101">
        <v>7832008840</v>
      </c>
      <c r="E347" s="82">
        <v>1.3141330547738624E-3</v>
      </c>
      <c r="F347" s="92">
        <v>4462.1745897903374</v>
      </c>
      <c r="G347" s="45">
        <v>0.02</v>
      </c>
      <c r="H347" s="60" t="str">
        <f t="shared" si="4"/>
        <v>(4000, 5000]</v>
      </c>
      <c r="I347" s="78">
        <v>2.688548E-2</v>
      </c>
      <c r="J347" s="82">
        <v>3.5331097961461579E-5</v>
      </c>
      <c r="K347" s="82">
        <v>3.0713193588383065E-5</v>
      </c>
      <c r="L347" s="93">
        <v>30713</v>
      </c>
      <c r="M347" s="82">
        <v>3.0713000552834012E-5</v>
      </c>
      <c r="N347" s="82">
        <v>0.13704677064307252</v>
      </c>
      <c r="O347" s="45">
        <v>0.03</v>
      </c>
      <c r="P347" s="82">
        <v>3.0713000552834012E-5</v>
      </c>
      <c r="Q347" s="82">
        <v>1.4620000292400006E-6</v>
      </c>
      <c r="R347" s="82">
        <v>0</v>
      </c>
      <c r="S347" s="90">
        <v>0.05</v>
      </c>
      <c r="U347" s="82">
        <v>0.53973922050151191</v>
      </c>
    </row>
    <row r="348" spans="1:21" x14ac:dyDescent="0.3">
      <c r="A348" s="69">
        <v>5000</v>
      </c>
      <c r="B348" s="69">
        <v>6000</v>
      </c>
      <c r="C348" s="101">
        <v>12722</v>
      </c>
      <c r="D348" s="101">
        <v>6971945490</v>
      </c>
      <c r="E348" s="82">
        <v>9.5250687801008867E-4</v>
      </c>
      <c r="F348" s="92">
        <v>5480.2275506995757</v>
      </c>
      <c r="G348" s="45">
        <v>0</v>
      </c>
      <c r="H348" s="60" t="str">
        <f t="shared" si="4"/>
        <v>(5000, 6000]</v>
      </c>
      <c r="I348" s="78">
        <v>0</v>
      </c>
      <c r="J348" s="82">
        <v>0</v>
      </c>
      <c r="K348" s="82">
        <v>0</v>
      </c>
      <c r="L348" s="93">
        <v>0</v>
      </c>
      <c r="M348" s="82">
        <v>0</v>
      </c>
      <c r="N348" s="82">
        <v>0</v>
      </c>
      <c r="O348" s="45">
        <v>0</v>
      </c>
      <c r="P348" s="82">
        <v>0</v>
      </c>
      <c r="Q348" s="82">
        <v>1.0600000212000003E-6</v>
      </c>
      <c r="R348" s="82">
        <v>0</v>
      </c>
      <c r="S348" s="90">
        <v>0</v>
      </c>
      <c r="U348" s="82">
        <v>0.50866411935067779</v>
      </c>
    </row>
    <row r="349" spans="1:21" x14ac:dyDescent="0.3">
      <c r="A349" s="69">
        <v>6000</v>
      </c>
      <c r="B349" s="69">
        <v>7000</v>
      </c>
      <c r="C349" s="101">
        <v>10710</v>
      </c>
      <c r="D349" s="101">
        <v>6952573520</v>
      </c>
      <c r="E349" s="82">
        <v>8.0186673978054155E-4</v>
      </c>
      <c r="F349" s="92">
        <v>6491.665284780579</v>
      </c>
      <c r="G349" s="45">
        <v>0</v>
      </c>
      <c r="H349" s="60" t="str">
        <f t="shared" si="4"/>
        <v>(6000, 7000]</v>
      </c>
      <c r="I349" s="78">
        <v>0</v>
      </c>
      <c r="J349" s="82">
        <v>0</v>
      </c>
      <c r="K349" s="82">
        <v>0</v>
      </c>
      <c r="L349" s="93">
        <v>0</v>
      </c>
      <c r="M349" s="82">
        <v>0</v>
      </c>
      <c r="N349" s="82">
        <v>0</v>
      </c>
      <c r="O349" s="45">
        <v>0</v>
      </c>
      <c r="P349" s="82">
        <v>0</v>
      </c>
      <c r="Q349" s="82">
        <v>8.9200001784000041E-7</v>
      </c>
      <c r="R349" s="82">
        <v>0</v>
      </c>
      <c r="S349" s="90">
        <v>0</v>
      </c>
      <c r="U349" s="82">
        <v>0.50214690771258086</v>
      </c>
    </row>
    <row r="350" spans="1:21" x14ac:dyDescent="0.3">
      <c r="A350" s="69">
        <v>7000</v>
      </c>
      <c r="B350" s="69">
        <v>8000</v>
      </c>
      <c r="C350" s="101">
        <v>9675</v>
      </c>
      <c r="D350" s="101">
        <v>7245136075</v>
      </c>
      <c r="E350" s="82">
        <v>7.2437541618830439E-4</v>
      </c>
      <c r="F350" s="92">
        <v>7488.5127390180878</v>
      </c>
      <c r="G350" s="45">
        <v>0</v>
      </c>
      <c r="H350" s="60" t="str">
        <f t="shared" si="4"/>
        <v>(7000, 8000]</v>
      </c>
      <c r="I350" s="78">
        <v>0</v>
      </c>
      <c r="J350" s="82">
        <v>0</v>
      </c>
      <c r="K350" s="82">
        <v>0</v>
      </c>
      <c r="L350" s="93">
        <v>0</v>
      </c>
      <c r="M350" s="82">
        <v>0</v>
      </c>
      <c r="N350" s="82">
        <v>0</v>
      </c>
      <c r="O350" s="45">
        <v>0</v>
      </c>
      <c r="P350" s="82">
        <v>0</v>
      </c>
      <c r="Q350" s="82">
        <v>8.0600001612000037E-7</v>
      </c>
      <c r="R350" s="82">
        <v>0</v>
      </c>
      <c r="S350" s="90">
        <v>0</v>
      </c>
      <c r="U350" s="82">
        <v>0.49964756230594948</v>
      </c>
    </row>
    <row r="351" spans="1:21" x14ac:dyDescent="0.3">
      <c r="A351" s="69">
        <v>8000</v>
      </c>
      <c r="B351" s="69">
        <v>9000</v>
      </c>
      <c r="C351" s="101">
        <v>8807</v>
      </c>
      <c r="D351" s="101">
        <v>7479169640</v>
      </c>
      <c r="E351" s="82">
        <v>6.5938752355249573E-4</v>
      </c>
      <c r="F351" s="92">
        <v>8492.3011695242421</v>
      </c>
      <c r="G351" s="45">
        <v>0</v>
      </c>
      <c r="H351" s="60" t="str">
        <f t="shared" si="4"/>
        <v>(8000, 9000]</v>
      </c>
      <c r="I351" s="78">
        <v>0</v>
      </c>
      <c r="J351" s="82">
        <v>0</v>
      </c>
      <c r="K351" s="82">
        <v>0</v>
      </c>
      <c r="L351" s="93">
        <v>0</v>
      </c>
      <c r="M351" s="82">
        <v>0</v>
      </c>
      <c r="N351" s="82">
        <v>0</v>
      </c>
      <c r="O351" s="45">
        <v>0</v>
      </c>
      <c r="P351" s="82">
        <v>0</v>
      </c>
      <c r="Q351" s="82">
        <v>7.330000146600003E-7</v>
      </c>
      <c r="R351" s="82">
        <v>0</v>
      </c>
      <c r="S351" s="90">
        <v>0</v>
      </c>
      <c r="U351" s="82">
        <v>0.504346464813894</v>
      </c>
    </row>
    <row r="352" spans="1:21" x14ac:dyDescent="0.3">
      <c r="A352" s="69">
        <v>9000</v>
      </c>
      <c r="B352" s="69">
        <v>10000</v>
      </c>
      <c r="C352" s="101">
        <v>7932</v>
      </c>
      <c r="D352" s="101">
        <v>7529399725</v>
      </c>
      <c r="E352" s="82">
        <v>5.9387553500833386E-4</v>
      </c>
      <c r="F352" s="92">
        <v>9492.4353567826529</v>
      </c>
      <c r="G352" s="45">
        <v>0</v>
      </c>
      <c r="H352" s="60" t="str">
        <f t="shared" si="4"/>
        <v>(9000, 10000]</v>
      </c>
      <c r="I352" s="78">
        <v>0</v>
      </c>
      <c r="J352" s="82">
        <v>0</v>
      </c>
      <c r="K352" s="82">
        <v>0</v>
      </c>
      <c r="L352" s="93">
        <v>0</v>
      </c>
      <c r="M352" s="82">
        <v>0</v>
      </c>
      <c r="N352" s="82">
        <v>0</v>
      </c>
      <c r="O352" s="45">
        <v>0</v>
      </c>
      <c r="P352" s="82">
        <v>0</v>
      </c>
      <c r="Q352" s="82">
        <v>6.6000001320000023E-7</v>
      </c>
      <c r="R352" s="82">
        <v>0</v>
      </c>
      <c r="S352" s="90">
        <v>0</v>
      </c>
      <c r="U352" s="82">
        <v>0.51076910465807324</v>
      </c>
    </row>
    <row r="353" spans="1:21" x14ac:dyDescent="0.3">
      <c r="A353" s="69">
        <v>10000</v>
      </c>
      <c r="B353" s="69">
        <v>20000</v>
      </c>
      <c r="C353" s="101">
        <v>48185</v>
      </c>
      <c r="D353" s="101">
        <v>67839372830</v>
      </c>
      <c r="E353" s="82">
        <v>3.6076516205719323E-3</v>
      </c>
      <c r="F353" s="92">
        <v>14078.940091314726</v>
      </c>
      <c r="G353" s="45">
        <v>0.02</v>
      </c>
      <c r="H353" s="60" t="str">
        <f t="shared" si="4"/>
        <v>(10000, 20000]</v>
      </c>
      <c r="I353" s="78">
        <v>2.688548E-2</v>
      </c>
      <c r="J353" s="82">
        <v>9.6993445491854274E-5</v>
      </c>
      <c r="K353" s="82">
        <v>8.4316045639029066E-5</v>
      </c>
      <c r="L353" s="93">
        <v>84316</v>
      </c>
      <c r="M353" s="82">
        <v>8.4316001517688031E-5</v>
      </c>
      <c r="N353" s="82">
        <v>1.1870799341067313</v>
      </c>
      <c r="O353" s="45">
        <v>0.03</v>
      </c>
      <c r="P353" s="82">
        <v>8.4316001517688031E-5</v>
      </c>
      <c r="Q353" s="82">
        <v>4.0150000803000012E-6</v>
      </c>
      <c r="R353" s="82">
        <v>0</v>
      </c>
      <c r="S353" s="90">
        <v>0.05</v>
      </c>
      <c r="U353" s="82">
        <v>0.53459566114129264</v>
      </c>
    </row>
    <row r="354" spans="1:21" x14ac:dyDescent="0.3">
      <c r="A354" s="69">
        <v>20000</v>
      </c>
      <c r="B354" s="69">
        <v>30000</v>
      </c>
      <c r="C354" s="101">
        <v>14212</v>
      </c>
      <c r="D354" s="101">
        <v>34063009975</v>
      </c>
      <c r="E354" s="82">
        <v>1.06406443564529E-3</v>
      </c>
      <c r="F354" s="92">
        <v>23967.780731072333</v>
      </c>
      <c r="G354" s="45">
        <v>0</v>
      </c>
      <c r="H354" s="60" t="str">
        <f t="shared" si="4"/>
        <v>(20000, 30000]</v>
      </c>
      <c r="I354" s="78">
        <v>0</v>
      </c>
      <c r="J354" s="82">
        <v>0</v>
      </c>
      <c r="K354" s="82">
        <v>0</v>
      </c>
      <c r="L354" s="93">
        <v>0</v>
      </c>
      <c r="M354" s="82">
        <v>0</v>
      </c>
      <c r="N354" s="82">
        <v>0</v>
      </c>
      <c r="O354" s="45">
        <v>0</v>
      </c>
      <c r="P354" s="82">
        <v>0</v>
      </c>
      <c r="Q354" s="82">
        <v>0</v>
      </c>
      <c r="R354" s="82">
        <v>0</v>
      </c>
      <c r="S354" s="90">
        <v>0</v>
      </c>
      <c r="U354" s="82">
        <v>0.56948653378291858</v>
      </c>
    </row>
    <row r="355" spans="1:21" x14ac:dyDescent="0.3">
      <c r="A355" s="69">
        <v>30000</v>
      </c>
      <c r="B355" s="69">
        <v>40000</v>
      </c>
      <c r="C355" s="101">
        <v>3788</v>
      </c>
      <c r="D355" s="101">
        <v>12848313455</v>
      </c>
      <c r="E355" s="82">
        <v>2.8361075726318315E-4</v>
      </c>
      <c r="F355" s="92">
        <v>33918.462130411826</v>
      </c>
      <c r="G355" s="45">
        <v>0</v>
      </c>
      <c r="H355" s="60" t="str">
        <f t="shared" si="4"/>
        <v>(30000, 40000]</v>
      </c>
      <c r="I355" s="78">
        <v>0</v>
      </c>
      <c r="J355" s="82">
        <v>0</v>
      </c>
      <c r="K355" s="82">
        <v>0</v>
      </c>
      <c r="L355" s="93">
        <v>0</v>
      </c>
      <c r="M355" s="82">
        <v>0</v>
      </c>
      <c r="N355" s="82">
        <v>0</v>
      </c>
      <c r="O355" s="45">
        <v>0</v>
      </c>
      <c r="P355" s="82">
        <v>0</v>
      </c>
      <c r="Q355" s="82">
        <v>0</v>
      </c>
      <c r="R355" s="82">
        <v>0</v>
      </c>
      <c r="S355" s="90">
        <v>0</v>
      </c>
      <c r="U355" s="82">
        <v>0.58357223210073661</v>
      </c>
    </row>
    <row r="356" spans="1:21" x14ac:dyDescent="0.3">
      <c r="A356" s="69">
        <v>40000</v>
      </c>
      <c r="B356" s="69">
        <v>50000</v>
      </c>
      <c r="C356" s="101">
        <v>1035</v>
      </c>
      <c r="D356" s="101">
        <v>4548080825</v>
      </c>
      <c r="E356" s="82">
        <v>7.7491323592237215E-5</v>
      </c>
      <c r="F356" s="92">
        <v>43942.809903381647</v>
      </c>
      <c r="G356" s="45">
        <v>0</v>
      </c>
      <c r="H356" s="60" t="str">
        <f t="shared" si="4"/>
        <v>(40000, 50000]</v>
      </c>
      <c r="I356" s="78">
        <v>0</v>
      </c>
      <c r="J356" s="82">
        <v>0</v>
      </c>
      <c r="K356" s="82">
        <v>0</v>
      </c>
      <c r="L356" s="93">
        <v>0</v>
      </c>
      <c r="M356" s="82">
        <v>0</v>
      </c>
      <c r="N356" s="82">
        <v>0</v>
      </c>
      <c r="O356" s="45">
        <v>0</v>
      </c>
      <c r="P356" s="82">
        <v>0</v>
      </c>
      <c r="Q356" s="82">
        <v>0</v>
      </c>
      <c r="R356" s="82">
        <v>0</v>
      </c>
      <c r="S356" s="90">
        <v>0</v>
      </c>
      <c r="U356" s="82">
        <v>0.59727533460803062</v>
      </c>
    </row>
    <row r="357" spans="1:21" x14ac:dyDescent="0.3">
      <c r="A357" s="69">
        <v>50000</v>
      </c>
      <c r="B357" s="69">
        <v>60000</v>
      </c>
      <c r="C357" s="101">
        <v>329</v>
      </c>
      <c r="D357" s="101">
        <v>1790316875</v>
      </c>
      <c r="E357" s="82">
        <v>2.4632507692604873E-5</v>
      </c>
      <c r="F357" s="92">
        <v>54416.926291793316</v>
      </c>
      <c r="G357" s="45">
        <v>0</v>
      </c>
      <c r="H357" s="60" t="str">
        <f t="shared" si="4"/>
        <v>(50000, 60000]</v>
      </c>
      <c r="I357" s="78">
        <v>0</v>
      </c>
      <c r="J357" s="82">
        <v>0</v>
      </c>
      <c r="K357" s="82">
        <v>0</v>
      </c>
      <c r="L357" s="93">
        <v>0</v>
      </c>
      <c r="M357" s="82">
        <v>0</v>
      </c>
      <c r="N357" s="82">
        <v>0</v>
      </c>
      <c r="O357" s="45">
        <v>0</v>
      </c>
      <c r="P357" s="82">
        <v>0</v>
      </c>
      <c r="Q357" s="82">
        <v>0</v>
      </c>
      <c r="R357" s="82">
        <v>0</v>
      </c>
      <c r="S357" s="90">
        <v>0</v>
      </c>
      <c r="U357" s="82">
        <v>0.58342077649527802</v>
      </c>
    </row>
    <row r="358" spans="1:21" x14ac:dyDescent="0.3">
      <c r="A358" s="69">
        <v>60000</v>
      </c>
      <c r="B358" s="69">
        <v>70000</v>
      </c>
      <c r="C358" s="101">
        <v>215</v>
      </c>
      <c r="D358" s="101">
        <v>1386330070</v>
      </c>
      <c r="E358" s="82">
        <v>1.6097231470851209E-5</v>
      </c>
      <c r="F358" s="92">
        <v>64480.468372093019</v>
      </c>
      <c r="G358" s="45">
        <v>0</v>
      </c>
      <c r="H358" s="60" t="str">
        <f t="shared" si="4"/>
        <v>(60000, 70000]</v>
      </c>
      <c r="I358" s="78">
        <v>0</v>
      </c>
      <c r="J358" s="82">
        <v>0</v>
      </c>
      <c r="K358" s="82">
        <v>0</v>
      </c>
      <c r="L358" s="93">
        <v>0</v>
      </c>
      <c r="M358" s="82">
        <v>0</v>
      </c>
      <c r="N358" s="82">
        <v>0</v>
      </c>
      <c r="O358" s="45">
        <v>0</v>
      </c>
      <c r="P358" s="82">
        <v>0</v>
      </c>
      <c r="Q358" s="82">
        <v>0</v>
      </c>
      <c r="R358" s="82">
        <v>0</v>
      </c>
      <c r="S358" s="90">
        <v>0</v>
      </c>
      <c r="U358" s="82">
        <v>0.56822880771881457</v>
      </c>
    </row>
    <row r="359" spans="1:21" x14ac:dyDescent="0.3">
      <c r="A359" s="69">
        <v>70000</v>
      </c>
      <c r="B359" s="69">
        <v>80000</v>
      </c>
      <c r="C359" s="101">
        <v>83</v>
      </c>
      <c r="D359" s="101">
        <v>616536055</v>
      </c>
      <c r="E359" s="82">
        <v>6.2142800561890709E-6</v>
      </c>
      <c r="F359" s="92">
        <v>74281.452409638558</v>
      </c>
      <c r="G359" s="45">
        <v>0</v>
      </c>
      <c r="H359" s="60" t="str">
        <f t="shared" si="4"/>
        <v>(70000, 80000]</v>
      </c>
      <c r="I359" s="78">
        <v>0</v>
      </c>
      <c r="J359" s="82">
        <v>0</v>
      </c>
      <c r="K359" s="82">
        <v>0</v>
      </c>
      <c r="L359" s="93">
        <v>0</v>
      </c>
      <c r="M359" s="82">
        <v>0</v>
      </c>
      <c r="N359" s="82">
        <v>0</v>
      </c>
      <c r="O359" s="45">
        <v>0</v>
      </c>
      <c r="P359" s="82">
        <v>0</v>
      </c>
      <c r="Q359" s="82">
        <v>0</v>
      </c>
      <c r="R359" s="82">
        <v>0</v>
      </c>
      <c r="S359" s="90">
        <v>0</v>
      </c>
      <c r="U359" s="82">
        <v>0.57094017094017091</v>
      </c>
    </row>
    <row r="360" spans="1:21" x14ac:dyDescent="0.3">
      <c r="A360" s="69">
        <v>80000</v>
      </c>
      <c r="B360" s="69">
        <v>90000</v>
      </c>
      <c r="C360" s="101">
        <v>26</v>
      </c>
      <c r="D360" s="101">
        <v>216739195</v>
      </c>
      <c r="E360" s="82">
        <v>1.9466419453122389E-6</v>
      </c>
      <c r="F360" s="92">
        <v>83361.228846153856</v>
      </c>
      <c r="G360" s="45">
        <v>0</v>
      </c>
      <c r="H360" s="60" t="str">
        <f t="shared" si="4"/>
        <v>(80000, 90000]</v>
      </c>
      <c r="I360" s="78">
        <v>0</v>
      </c>
      <c r="J360" s="82">
        <v>0</v>
      </c>
      <c r="K360" s="82">
        <v>0</v>
      </c>
      <c r="L360" s="93">
        <v>0</v>
      </c>
      <c r="M360" s="82">
        <v>0</v>
      </c>
      <c r="N360" s="82">
        <v>0</v>
      </c>
      <c r="O360" s="45">
        <v>0</v>
      </c>
      <c r="P360" s="82">
        <v>0</v>
      </c>
      <c r="Q360" s="82">
        <v>0</v>
      </c>
      <c r="R360" s="82">
        <v>0</v>
      </c>
      <c r="S360" s="90">
        <v>0</v>
      </c>
      <c r="U360" s="82">
        <v>0.57268722466960353</v>
      </c>
    </row>
    <row r="361" spans="1:21" x14ac:dyDescent="0.3">
      <c r="A361" s="69">
        <v>90000</v>
      </c>
      <c r="B361" s="69">
        <v>100000</v>
      </c>
      <c r="C361" s="101">
        <v>15</v>
      </c>
      <c r="D361" s="101">
        <v>138944095</v>
      </c>
      <c r="E361" s="82">
        <v>1.1230626607570611E-6</v>
      </c>
      <c r="F361" s="92">
        <v>92629.396666666667</v>
      </c>
      <c r="G361" s="45">
        <v>0</v>
      </c>
      <c r="H361" s="60" t="str">
        <f t="shared" si="4"/>
        <v>(90000, 100000]</v>
      </c>
      <c r="I361" s="78">
        <v>0</v>
      </c>
      <c r="J361" s="82">
        <v>0</v>
      </c>
      <c r="K361" s="82">
        <v>0</v>
      </c>
      <c r="L361" s="93">
        <v>0</v>
      </c>
      <c r="M361" s="82">
        <v>0</v>
      </c>
      <c r="N361" s="82">
        <v>0</v>
      </c>
      <c r="O361" s="45">
        <v>0</v>
      </c>
      <c r="P361" s="82">
        <v>0</v>
      </c>
      <c r="Q361" s="82">
        <v>0</v>
      </c>
      <c r="R361" s="82">
        <v>0</v>
      </c>
      <c r="S361" s="90">
        <v>0</v>
      </c>
      <c r="U361" s="82">
        <v>0.55882352941176472</v>
      </c>
    </row>
    <row r="362" spans="1:21" x14ac:dyDescent="0.3">
      <c r="A362" s="69">
        <v>100000</v>
      </c>
      <c r="B362" s="69">
        <v>9999999</v>
      </c>
      <c r="C362" s="101">
        <v>66</v>
      </c>
      <c r="D362" s="101">
        <v>817933950</v>
      </c>
      <c r="E362" s="82">
        <v>4.9414757073310689E-6</v>
      </c>
      <c r="F362" s="92">
        <v>123929.38636363637</v>
      </c>
      <c r="G362" s="45">
        <v>0</v>
      </c>
      <c r="H362" s="60" t="str">
        <f t="shared" si="4"/>
        <v>(100000, 9999999]</v>
      </c>
      <c r="I362" s="78">
        <v>0</v>
      </c>
      <c r="J362" s="82">
        <v>0</v>
      </c>
      <c r="K362" s="82">
        <v>0</v>
      </c>
      <c r="L362" s="93">
        <v>0</v>
      </c>
      <c r="M362" s="82">
        <v>0</v>
      </c>
      <c r="N362" s="82">
        <v>0</v>
      </c>
      <c r="O362" s="45">
        <v>0</v>
      </c>
      <c r="P362" s="82">
        <v>0</v>
      </c>
      <c r="Q362" s="82">
        <v>0</v>
      </c>
      <c r="R362" s="82">
        <v>0</v>
      </c>
      <c r="S362" s="90">
        <v>0</v>
      </c>
      <c r="U362" s="82">
        <v>0.53078817733990147</v>
      </c>
    </row>
  </sheetData>
  <mergeCells count="9">
    <mergeCell ref="A225:D225"/>
    <mergeCell ref="E225:H225"/>
    <mergeCell ref="A295:D295"/>
    <mergeCell ref="A12:D12"/>
    <mergeCell ref="A80:B80"/>
    <mergeCell ref="A81:B81"/>
    <mergeCell ref="A84:D84"/>
    <mergeCell ref="A154:D154"/>
    <mergeCell ref="A222:B222"/>
  </mergeCells>
  <phoneticPr fontId="20" type="noConversion"/>
  <conditionalFormatting sqref="E16:E79">
    <cfRule type="cellIs" dxfId="4" priority="21" operator="lessThan">
      <formula>0.001</formula>
    </cfRule>
  </conditionalFormatting>
  <conditionalFormatting sqref="M229:M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{D32B717B-B3AB-446D-A22A-FDF3DCF537E4}</x14:id>
        </ext>
      </extLst>
    </cfRule>
  </conditionalFormatting>
  <conditionalFormatting sqref="P231:P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{3F1B5259-EB8E-42EE-A036-632DDB0D69FC}</x14:id>
        </ext>
      </extLst>
    </cfRule>
  </conditionalFormatting>
  <conditionalFormatting sqref="E229:E292">
    <cfRule type="cellIs" dxfId="3" priority="30" operator="lessThan">
      <formula>0.001</formula>
    </cfRule>
  </conditionalFormatting>
  <conditionalFormatting sqref="N229:N292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{FB19E221-8FA7-4FA3-99A9-AADD686B8E3E}</x14:id>
        </ext>
      </extLst>
    </cfRule>
  </conditionalFormatting>
  <conditionalFormatting sqref="R231:R292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{02161834-767F-4030-9E37-D31A8D1207E2}</x14:id>
        </ext>
      </extLst>
    </cfRule>
  </conditionalFormatting>
  <conditionalFormatting sqref="Q229:Q29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{87B6ACAA-B80B-470D-A442-5623D20FFCC1}</x14:id>
        </ext>
      </extLst>
    </cfRule>
  </conditionalFormatting>
  <conditionalFormatting sqref="M18:M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{7C7766C4-30F8-4BEA-80DD-615DB1E939CE}</x14:id>
        </ext>
      </extLst>
    </cfRule>
  </conditionalFormatting>
  <conditionalFormatting sqref="M88:M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{C6338E40-A53D-44CB-A6B4-BC4725BB8E16}</x14:id>
        </ext>
      </extLst>
    </cfRule>
  </conditionalFormatting>
  <conditionalFormatting sqref="P20:P7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{B200DADB-2CE1-499F-B729-BA3DDB7EED57}</x14:id>
        </ext>
      </extLst>
    </cfRule>
  </conditionalFormatting>
  <conditionalFormatting sqref="P90:P15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{DBC81923-7892-45BE-B0C7-056AFA37096D}</x14:id>
        </ext>
      </extLst>
    </cfRule>
  </conditionalFormatting>
  <conditionalFormatting sqref="E88:E151 E228:E292 E157:E222">
    <cfRule type="cellIs" dxfId="2" priority="20" operator="lessThan">
      <formula>0.001</formula>
    </cfRule>
  </conditionalFormatting>
  <conditionalFormatting sqref="M299:M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{FF75EED3-08B9-4B60-AFED-57DE39B31A45}</x14:id>
        </ext>
      </extLst>
    </cfRule>
  </conditionalFormatting>
  <conditionalFormatting sqref="N299:N362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{0CF70058-6629-45DA-9FF2-4AFE2254C070}</x14:id>
        </ext>
      </extLst>
    </cfRule>
  </conditionalFormatting>
  <conditionalFormatting sqref="P301:P36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{B8452A0F-4283-4841-8843-30E98F0B7E7F}</x14:id>
        </ext>
      </extLst>
    </cfRule>
  </conditionalFormatting>
  <conditionalFormatting sqref="E299:E362">
    <cfRule type="cellIs" dxfId="1" priority="16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{6178E367-3221-4741-A7F3-EF97C52C8FE3}</x14:id>
        </ext>
      </extLst>
    </cfRule>
  </conditionalFormatting>
  <conditionalFormatting sqref="N88:N15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{A61C5CA2-D5DA-4642-BEE9-24B2A287EBC5}</x14:id>
        </ext>
      </extLst>
    </cfRule>
  </conditionalFormatting>
  <conditionalFormatting sqref="R90:R15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{C49618B1-6496-4BAA-ACEE-1B015A655319}</x14:id>
        </ext>
      </extLst>
    </cfRule>
  </conditionalFormatting>
  <conditionalFormatting sqref="R20:R7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{542DC11D-5D99-46E2-B38F-79040463C4D0}</x14:id>
        </ext>
      </extLst>
    </cfRule>
  </conditionalFormatting>
  <conditionalFormatting sqref="R301:R36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{0DE6F053-CDE7-4062-8766-AE33776563DD}</x14:id>
        </ext>
      </extLst>
    </cfRule>
  </conditionalFormatting>
  <conditionalFormatting sqref="M160:M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{34686FBD-67B1-479B-8CEE-35D8EB0871B1}</x14:id>
        </ext>
      </extLst>
    </cfRule>
  </conditionalFormatting>
  <conditionalFormatting sqref="P162:P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{34486D1B-7627-4416-8910-4FDC2FAFEB80}</x14:id>
        </ext>
      </extLst>
    </cfRule>
  </conditionalFormatting>
  <conditionalFormatting sqref="E158:E221">
    <cfRule type="cellIs" dxfId="0" priority="9" operator="lessThan">
      <formula>0.001</formula>
    </cfRule>
  </conditionalFormatting>
  <conditionalFormatting sqref="N158:N22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{B586D62B-310A-458D-A146-AB47AA23063C}</x14:id>
        </ext>
      </extLst>
    </cfRule>
  </conditionalFormatting>
  <conditionalFormatting sqref="R162:R22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{AE30B037-E42B-4A0D-8E7E-C9627E42DBB1}</x14:id>
        </ext>
      </extLst>
    </cfRule>
  </conditionalFormatting>
  <conditionalFormatting sqref="Q90:Q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{89C40214-0823-4931-95F2-0049D2D90399}</x14:id>
        </ext>
      </extLst>
    </cfRule>
  </conditionalFormatting>
  <conditionalFormatting sqref="Q20:Q7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{0466EACC-EB90-48E1-B623-212933726ABB}</x14:id>
        </ext>
      </extLst>
    </cfRule>
  </conditionalFormatting>
  <conditionalFormatting sqref="Q301:Q36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{9E35719C-1764-41F9-B06A-B83906752FD6}</x14:id>
        </ext>
      </extLst>
    </cfRule>
  </conditionalFormatting>
  <conditionalFormatting sqref="Q162:Q22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{CEB359B3-A8E6-4311-98BA-C72977C34054}</x14:id>
        </ext>
      </extLst>
    </cfRule>
  </conditionalFormatting>
  <conditionalFormatting sqref="U88:U15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{D8E8F91E-DF6E-42FA-AAA0-C9F99562CC34}</x14:id>
        </ext>
      </extLst>
    </cfRule>
  </conditionalFormatting>
  <conditionalFormatting sqref="U299:U36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{C1A2DFF0-58C4-43BF-99AD-AEA5186D553A}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{D41C81D7-2988-4172-BC1F-D002388D030D}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2B717B-B3AB-446D-A22A-FDF3DCF53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3F1B5259-EB8E-42EE-A036-632DDB0D6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FB19E221-8FA7-4FA3-99A9-AADD686B8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02161834-767F-4030-9E37-D31A8D120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87B6ACAA-B80B-470D-A442-5623D20FFC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7C7766C4-30F8-4BEA-80DD-615DB1E93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C6338E40-A53D-44CB-A6B4-BC4725BB8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B200DADB-2CE1-499F-B729-BA3DDB7EE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DBC81923-7892-45BE-B0C7-056AFA370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FF75EED3-08B9-4B60-AFED-57DE39B31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0CF70058-6629-45DA-9FF2-4AFE2254C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B8452A0F-4283-4841-8843-30E98F0B7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6178E367-3221-4741-A7F3-EF97C52C8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A61C5CA2-D5DA-4642-BEE9-24B2A287E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C49618B1-6496-4BAA-ACEE-1B015A655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542DC11D-5D99-46E2-B38F-79040463C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DE6F053-CDE7-4062-8766-AE3377656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34686FBD-67B1-479B-8CEE-35D8EB087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34486D1B-7627-4416-8910-4FDC2FAFE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B586D62B-310A-458D-A146-AB47AA230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AE30B037-E42B-4A0D-8E7E-C9627E42DB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9C40214-0823-4931-95F2-0049D2D90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466EACC-EB90-48E1-B623-212933726A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9E35719C-1764-41F9-B06A-B83906752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CEB359B3-A8E6-4311-98BA-C72977C34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D8E8F91E-DF6E-42FA-AAA0-C9F99562C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1A2DFF0-58C4-43BF-99AD-AEA5186D5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D41C81D7-2988-4172-BC1F-D002388D0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Description</vt:lpstr>
      <vt:lpstr>Test1</vt:lpstr>
      <vt:lpstr>Multiplier_Weight_Oldhand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2026-07-24T03:51:36Z</dcterms:modified>
</cp:coreProperties>
</file>