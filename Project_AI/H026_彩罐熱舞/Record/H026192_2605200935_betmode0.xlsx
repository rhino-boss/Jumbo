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_AI\H026_彩罐熱舞\Record\"/>
    </mc:Choice>
  </mc:AlternateContent>
  <xr:revisionPtr revIDLastSave="0" documentId="13_ncr:1_{BC92C96A-A0A9-4C95-BB32-FDE5716A2E19}" xr6:coauthVersionLast="47" xr6:coauthVersionMax="47" xr10:uidLastSave="{00000000-0000-0000-0000-000000000000}"/>
  <bookViews>
    <workbookView xWindow="-28920" yWindow="60" windowWidth="29040" windowHeight="15720" activeTab="3" xr2:uid="{00000000-000D-0000-FFFF-FFFF00000000}"/>
  </bookViews>
  <sheets>
    <sheet name="Base Info" sheetId="1" r:id="rId1"/>
    <sheet name="Multiplier Line" sheetId="2" r:id="rId2"/>
    <sheet name="Pay" sheetId="4" r:id="rId3"/>
    <sheet name="Hits" sheetId="3" r:id="rId4"/>
    <sheet name="Eliminate" sheetId="5" r:id="rId5"/>
    <sheet name="Record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5" l="1" a="1"/>
  <c r="G6" i="5" s="1"/>
  <c r="G6" i="3" a="1"/>
  <c r="G6" i="3" s="1"/>
  <c r="E30" i="5" a="1"/>
  <c r="E30" i="5" s="1"/>
  <c r="E27" i="5" a="1"/>
  <c r="E27" i="5" s="1"/>
  <c r="E24" i="5" a="1"/>
  <c r="E24" i="5" s="1"/>
  <c r="E21" i="5" a="1"/>
  <c r="E21" i="5" s="1"/>
  <c r="E18" i="5" a="1"/>
  <c r="E18" i="5" s="1"/>
  <c r="E15" i="5" a="1"/>
  <c r="E15" i="5" s="1"/>
  <c r="E12" i="5" a="1"/>
  <c r="E12" i="5" s="1"/>
  <c r="E9" i="5" a="1"/>
  <c r="E9" i="5" s="1"/>
  <c r="E6" i="5" a="1"/>
  <c r="E6" i="5" s="1"/>
  <c r="D6" i="5" a="1"/>
  <c r="D6" i="5" s="1"/>
  <c r="E30" i="3" a="1"/>
  <c r="E30" i="3" s="1"/>
  <c r="E27" i="3" a="1"/>
  <c r="E27" i="3" s="1"/>
  <c r="E24" i="3" a="1"/>
  <c r="E24" i="3" s="1"/>
  <c r="E21" i="3" a="1"/>
  <c r="E21" i="3" s="1"/>
  <c r="E18" i="3" a="1"/>
  <c r="E18" i="3" s="1"/>
  <c r="E15" i="3" a="1"/>
  <c r="E15" i="3" s="1"/>
  <c r="E12" i="3" a="1"/>
  <c r="E12" i="3" s="1"/>
  <c r="E9" i="3" a="1"/>
  <c r="E9" i="3" s="1"/>
  <c r="E6" i="3" a="1"/>
  <c r="E6" i="3" s="1"/>
  <c r="D6" i="3" a="1"/>
  <c r="D6" i="3" s="1"/>
  <c r="H6" i="5" l="1" a="1"/>
  <c r="H6" i="5" s="1"/>
  <c r="I6" i="5" s="1" a="1"/>
  <c r="I6" i="5" s="1"/>
  <c r="H6" i="3" a="1"/>
  <c r="H6" i="3" s="1"/>
  <c r="I6" i="3" s="1" a="1"/>
  <c r="I6" i="3" s="1"/>
  <c r="T3" i="2" a="1"/>
  <c r="T3" i="2" s="1"/>
  <c r="S3" i="2" a="1"/>
  <c r="S3" i="2" s="1"/>
  <c r="R3" i="2" a="1"/>
  <c r="R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<sst xmlns="http://schemas.openxmlformats.org/spreadsheetml/2006/main" count="448" uniqueCount="268">
  <si>
    <t>Index</t>
  </si>
  <si>
    <t>Value</t>
  </si>
  <si>
    <t>Value2</t>
  </si>
  <si>
    <t>game_id</t>
  </si>
  <si>
    <t>H026192</t>
  </si>
  <si>
    <t>bet_mode</t>
  </si>
  <si>
    <t>Normal Bet</t>
  </si>
  <si>
    <t>bet_multi</t>
  </si>
  <si>
    <t>coin_in</t>
  </si>
  <si>
    <t>total_rounds</t>
  </si>
  <si>
    <t>100,000,000</t>
  </si>
  <si>
    <t>threads</t>
  </si>
  <si>
    <t>duration_sec</t>
  </si>
  <si>
    <t>16.66s</t>
  </si>
  <si>
    <t>rtp_total</t>
  </si>
  <si>
    <t>0.334167</t>
  </si>
  <si>
    <t>rtp_bg</t>
  </si>
  <si>
    <t>rtp_fg</t>
  </si>
  <si>
    <t>0.000000</t>
  </si>
  <si>
    <t>hit_rate_bg</t>
  </si>
  <si>
    <t>0.306608</t>
  </si>
  <si>
    <t>hit_rate_fg</t>
  </si>
  <si>
    <t>hit_rate_total</t>
  </si>
  <si>
    <t>fg_trigger_rate</t>
  </si>
  <si>
    <t>retrigger_rate</t>
  </si>
  <si>
    <t>avg_fg_multiplier</t>
  </si>
  <si>
    <t>avg_fg_spins</t>
  </si>
  <si>
    <t>trigger_fg_bg_pay</t>
  </si>
  <si>
    <t>trigger_fg_bg_count</t>
  </si>
  <si>
    <t>card_system</t>
  </si>
  <si>
    <t>off</t>
  </si>
  <si>
    <t>retry_limit</t>
  </si>
  <si>
    <t>retry_total</t>
  </si>
  <si>
    <t>avg_retry</t>
  </si>
  <si>
    <t>retry_limit_exceeded</t>
  </si>
  <si>
    <t>retry_limit_bg_range</t>
  </si>
  <si>
    <t>retry_limit_bg_freegame</t>
  </si>
  <si>
    <t>retry_limit_bg_freegame_never_trigger</t>
  </si>
  <si>
    <t>retry_limit_fg</t>
  </si>
  <si>
    <t>volatility_std</t>
  </si>
  <si>
    <t>1.126088</t>
  </si>
  <si>
    <t>max_win_hits</t>
  </si>
  <si>
    <t>max_win_x</t>
  </si>
  <si>
    <t>257.25</t>
  </si>
  <si>
    <t>gold_usage_rate_bg</t>
  </si>
  <si>
    <t>0.160166</t>
  </si>
  <si>
    <t>gold_usage_rate_fg</t>
  </si>
  <si>
    <t>multiplier_usage_rate_bg</t>
  </si>
  <si>
    <t>multiplier_usage_rate_fg</t>
  </si>
  <si>
    <t>max_multiplier_bg</t>
  </si>
  <si>
    <t>max_multiplier_fg</t>
  </si>
  <si>
    <t>final_c1_present_bg</t>
  </si>
  <si>
    <t>final_c1_present_fg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</si>
  <si>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</si>
  <si>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</si>
  <si>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</si>
  <si>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</si>
  <si>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</si>
  <si>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</si>
  <si>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</si>
  <si>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</si>
  <si>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</si>
  <si>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</si>
  <si>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</si>
  <si>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</si>
  <si>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</si>
  <si>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</si>
  <si>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</si>
  <si>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</si>
  <si>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</si>
  <si>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</si>
  <si>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</si>
  <si>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</si>
  <si>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</si>
  <si>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</si>
  <si>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</si>
  <si>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</si>
  <si>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</si>
  <si>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</si>
  <si>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</si>
  <si>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</si>
  <si>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</si>
  <si>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</si>
  <si>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</si>
  <si>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</si>
  <si>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</si>
  <si>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</si>
  <si>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</si>
  <si>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</si>
  <si>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</si>
  <si>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</si>
  <si>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</si>
  <si>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</si>
  <si>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</si>
  <si>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</si>
  <si>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</si>
  <si>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</si>
  <si>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</si>
  <si>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</si>
  <si>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</si>
  <si>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</si>
  <si>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</si>
  <si>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</si>
  <si>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</si>
  <si>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</si>
  <si>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</si>
  <si>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</si>
  <si>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</si>
  <si>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</si>
  <si>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</si>
  <si>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</si>
  <si>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</si>
  <si>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</si>
  <si>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</si>
  <si>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</si>
  <si>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</si>
  <si>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</si>
  <si>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</si>
  <si>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</si>
  <si>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</si>
  <si>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</si>
  <si>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</si>
  <si>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</si>
  <si>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</si>
  <si>
    <t>WW</t>
  </si>
  <si>
    <t>C1</t>
  </si>
  <si>
    <t>M1</t>
  </si>
  <si>
    <t>M2</t>
  </si>
  <si>
    <t>M3</t>
  </si>
  <si>
    <t>M4</t>
  </si>
  <si>
    <t>M5</t>
  </si>
  <si>
    <t>A</t>
  </si>
  <si>
    <t>K</t>
  </si>
  <si>
    <t>Q</t>
  </si>
  <si>
    <t>J</t>
  </si>
  <si>
    <t>G1</t>
  </si>
  <si>
    <t>G2</t>
  </si>
  <si>
    <t>G3</t>
  </si>
  <si>
    <t>G4</t>
  </si>
  <si>
    <t>G5</t>
  </si>
  <si>
    <t>GA</t>
  </si>
  <si>
    <t>GK</t>
  </si>
  <si>
    <t>GQ</t>
  </si>
  <si>
    <t>GJ</t>
  </si>
  <si>
    <t>3</t>
  </si>
  <si>
    <t>4</t>
  </si>
  <si>
    <t>5</t>
  </si>
  <si>
    <t xml:space="preserve">BaseGame 0x </t>
  </si>
  <si>
    <t xml:space="preserve"> Pay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</si>
  <si>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</si>
  <si>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</si>
  <si>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</si>
  <si>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</si>
  <si>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</si>
  <si>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</si>
  <si>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</si>
  <si>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</si>
  <si>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</si>
  <si>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</si>
  <si>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</si>
  <si>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</si>
  <si>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</si>
  <si>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</si>
  <si>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</si>
  <si>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</si>
  <si>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</si>
  <si>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</si>
  <si>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</si>
  <si>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</si>
  <si>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</si>
  <si>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</si>
  <si>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</si>
  <si>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</si>
  <si>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</si>
  <si>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</si>
  <si>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</si>
  <si>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</si>
  <si>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</si>
  <si>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</si>
  <si>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</si>
  <si>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</si>
  <si>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</si>
  <si>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</si>
  <si>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</si>
  <si>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</si>
  <si>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</si>
  <si>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</si>
  <si>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</si>
  <si>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</si>
  <si>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</si>
  <si>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</si>
  <si>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</si>
  <si>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</si>
  <si>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</si>
  <si>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</si>
  <si>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</si>
  <si>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</si>
  <si>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</si>
  <si>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</si>
  <si>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</si>
  <si>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</si>
  <si>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</si>
  <si>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</si>
  <si>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30000x </t>
  </si>
  <si>
    <t xml:space="preserve">BaseGame 40000x </t>
  </si>
  <si>
    <t xml:space="preserve">BaseGame 50000x </t>
  </si>
  <si>
    <t xml:space="preserve">BaseGame 60000x </t>
  </si>
  <si>
    <t xml:space="preserve">BaseGame 70000x </t>
  </si>
  <si>
    <t xml:space="preserve">BaseGame 80000x </t>
  </si>
  <si>
    <t xml:space="preserve">BaseGame 90000x </t>
  </si>
  <si>
    <t xml:space="preserve">BaseGame 100000x </t>
  </si>
  <si>
    <t xml:space="preserve">BaseGame 9999999x </t>
  </si>
  <si>
    <t>math</t>
    <phoneticPr fontId="2" type="noConversion"/>
  </si>
  <si>
    <t>sps</t>
    <phoneticPr fontId="2" type="noConversion"/>
  </si>
  <si>
    <t xml:space="preserve">BG SymbolHit[2][2] </t>
  </si>
  <si>
    <t xml:space="preserve">BG SymbolHit[2][3] </t>
  </si>
  <si>
    <t xml:space="preserve">BG SymbolHit[2][4] </t>
  </si>
  <si>
    <t xml:space="preserve">BG SymbolHit[3][2] </t>
  </si>
  <si>
    <t xml:space="preserve">BG SymbolHit[3][3] </t>
  </si>
  <si>
    <t xml:space="preserve">BG SymbolHit[3][4] </t>
  </si>
  <si>
    <t xml:space="preserve">BG SymbolHit[4][2] </t>
  </si>
  <si>
    <t xml:space="preserve">BG SymbolHit[4][3] </t>
  </si>
  <si>
    <t xml:space="preserve">BG SymbolHit[4][4] </t>
  </si>
  <si>
    <t xml:space="preserve">BG SymbolHit[5][2] </t>
  </si>
  <si>
    <t xml:space="preserve">BG SymbolHit[5][3] </t>
  </si>
  <si>
    <t xml:space="preserve">BG SymbolHit[5][4] </t>
  </si>
  <si>
    <t xml:space="preserve">BG SymbolHit[6][2] </t>
  </si>
  <si>
    <t xml:space="preserve">BG SymbolHit[6][3] </t>
  </si>
  <si>
    <t xml:space="preserve">BG SymbolHit[6][4] </t>
  </si>
  <si>
    <t xml:space="preserve">BG SymbolHit[7][2] </t>
  </si>
  <si>
    <t xml:space="preserve">BG SymbolHit[7][3] </t>
  </si>
  <si>
    <t xml:space="preserve">BG SymbolHit[7][4] </t>
  </si>
  <si>
    <t xml:space="preserve">BG SymbolHit[8][2] </t>
  </si>
  <si>
    <t xml:space="preserve">BG SymbolHit[8][3] </t>
  </si>
  <si>
    <t xml:space="preserve">BG SymbolHit[8][4] </t>
  </si>
  <si>
    <t xml:space="preserve">BG SymbolHit[9][2] </t>
  </si>
  <si>
    <t xml:space="preserve">BG SymbolHit[9][3] </t>
  </si>
  <si>
    <t xml:space="preserve">BG SymbolHit[9][4] </t>
  </si>
  <si>
    <t xml:space="preserve">BG SymbolHit[10][2] </t>
  </si>
  <si>
    <t xml:space="preserve">BG SymbolHit[10][3] </t>
  </si>
  <si>
    <t xml:space="preserve">BG SymbolHit[10][4] </t>
  </si>
  <si>
    <t xml:space="preserve">BG_eliminateSymbolHit[10][2] </t>
  </si>
  <si>
    <t xml:space="preserve">BG_eliminateSymbolHit[10][3] </t>
  </si>
  <si>
    <t xml:space="preserve">BG_eliminateSymbolHit[10][4] </t>
  </si>
  <si>
    <t xml:space="preserve">BG_eliminateSymbolHit[2][2] </t>
  </si>
  <si>
    <t xml:space="preserve">BG_eliminateSymbolHit[2][3] </t>
  </si>
  <si>
    <t xml:space="preserve">BG_eliminateSymbolHit[2][4] </t>
  </si>
  <si>
    <t xml:space="preserve">BG_eliminateSymbolHit[3][2] </t>
  </si>
  <si>
    <t xml:space="preserve">BG_eliminateSymbolHit[3][3] </t>
  </si>
  <si>
    <t xml:space="preserve">BG_eliminateSymbolHit[3][4] </t>
  </si>
  <si>
    <t xml:space="preserve">BG_eliminateSymbolHit[4][2] </t>
  </si>
  <si>
    <t xml:space="preserve">BG_eliminateSymbolHit[4][3] </t>
  </si>
  <si>
    <t xml:space="preserve">BG_eliminateSymbolHit[4][4] </t>
  </si>
  <si>
    <t xml:space="preserve">BG_eliminateSymbolHit[5][2] </t>
  </si>
  <si>
    <t xml:space="preserve">BG_eliminateSymbolHit[5][3] </t>
  </si>
  <si>
    <t xml:space="preserve">BG_eliminateSymbolHit[5][4] </t>
  </si>
  <si>
    <t xml:space="preserve">BG_eliminateSymbolHit[6][2] </t>
  </si>
  <si>
    <t xml:space="preserve">BG_eliminateSymbolHit[6][3] </t>
  </si>
  <si>
    <t xml:space="preserve">BG_eliminateSymbolHit[6][4] </t>
  </si>
  <si>
    <t xml:space="preserve">BG_eliminateSymbolHit[7][2] </t>
  </si>
  <si>
    <t xml:space="preserve">BG_eliminateSymbolHit[7][3] </t>
  </si>
  <si>
    <t xml:space="preserve">BG_eliminateSymbolHit[7][4] </t>
  </si>
  <si>
    <t xml:space="preserve">BG_eliminateSymbolHit[8][2] </t>
  </si>
  <si>
    <t xml:space="preserve">BG_eliminateSymbolHit[8][3] </t>
  </si>
  <si>
    <t xml:space="preserve">BG_eliminateSymbolHit[8][4] </t>
  </si>
  <si>
    <t xml:space="preserve">BG_eliminateSymbolHit[9][2] </t>
  </si>
  <si>
    <t xml:space="preserve">BG_eliminateSymbolHit[9][3] </t>
  </si>
  <si>
    <t xml:space="preserve">BG_eliminateSymbolHit[9][4]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</si>
</sst>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8" formatCode="0.0000000000000000%"/>
  </numFmts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0" fontId="0" fillId="0" borderId="0" xfId="1" applyNumberFormat="1" applyFont="1" applyAlignment="1"/>
    <xf numFmtId="176" fontId="0" fillId="0" borderId="0" xfId="1" applyNumberFormat="1" applyFont="1" applyAlignment="1"/>
    <xf numFmtId="176" fontId="0" fillId="0" borderId="0" xfId="0" applyNumberFormat="1"/>
    <xf numFmtId="178" fontId="0" fillId="0" borderId="0" xfId="1" applyNumberFormat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Y23" sqref="Y23"/>
    </sheetView>
  </sheetViews>
  <sheetFormatPr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>
        <v>1</v>
      </c>
    </row>
    <row r="5" spans="1:3" x14ac:dyDescent="0.3">
      <c r="A5" t="s">
        <v>8</v>
      </c>
      <c r="B5">
        <v>100</v>
      </c>
    </row>
    <row r="6" spans="1:3" x14ac:dyDescent="0.3">
      <c r="A6" t="s">
        <v>9</v>
      </c>
      <c r="B6" t="s">
        <v>10</v>
      </c>
    </row>
    <row r="7" spans="1:3" x14ac:dyDescent="0.3">
      <c r="A7" t="s">
        <v>11</v>
      </c>
      <c r="B7">
        <v>20</v>
      </c>
    </row>
    <row r="8" spans="1:3" x14ac:dyDescent="0.3">
      <c r="A8" t="s">
        <v>12</v>
      </c>
      <c r="B8" t="s">
        <v>13</v>
      </c>
    </row>
    <row r="10" spans="1:3" x14ac:dyDescent="0.3">
      <c r="A10" t="s">
        <v>14</v>
      </c>
      <c r="B10" t="s">
        <v>15</v>
      </c>
    </row>
    <row r="11" spans="1:3" x14ac:dyDescent="0.3">
      <c r="A11" t="s">
        <v>16</v>
      </c>
      <c r="B11" t="s">
        <v>15</v>
      </c>
    </row>
    <row r="12" spans="1:3" x14ac:dyDescent="0.3">
      <c r="A12" t="s">
        <v>17</v>
      </c>
      <c r="B12" t="s">
        <v>18</v>
      </c>
    </row>
    <row r="14" spans="1:3" x14ac:dyDescent="0.3">
      <c r="A14" t="s">
        <v>19</v>
      </c>
      <c r="B14" t="s">
        <v>20</v>
      </c>
    </row>
    <row r="15" spans="1:3" x14ac:dyDescent="0.3">
      <c r="A15" t="s">
        <v>21</v>
      </c>
      <c r="B15" t="s">
        <v>18</v>
      </c>
    </row>
    <row r="16" spans="1:3" x14ac:dyDescent="0.3">
      <c r="A16" t="s">
        <v>22</v>
      </c>
      <c r="B16" t="s">
        <v>20</v>
      </c>
    </row>
    <row r="18" spans="1:2" x14ac:dyDescent="0.3">
      <c r="A18" t="s">
        <v>23</v>
      </c>
      <c r="B18" t="s">
        <v>18</v>
      </c>
    </row>
    <row r="19" spans="1:2" x14ac:dyDescent="0.3">
      <c r="A19" t="s">
        <v>24</v>
      </c>
      <c r="B19" t="s">
        <v>18</v>
      </c>
    </row>
    <row r="20" spans="1:2" x14ac:dyDescent="0.3">
      <c r="A20" t="s">
        <v>25</v>
      </c>
      <c r="B20" t="s">
        <v>18</v>
      </c>
    </row>
    <row r="21" spans="1:2" x14ac:dyDescent="0.3">
      <c r="A21" t="s">
        <v>26</v>
      </c>
      <c r="B21" t="s">
        <v>18</v>
      </c>
    </row>
    <row r="22" spans="1:2" x14ac:dyDescent="0.3">
      <c r="A22" t="s">
        <v>27</v>
      </c>
      <c r="B22">
        <v>0</v>
      </c>
    </row>
    <row r="23" spans="1:2" x14ac:dyDescent="0.3">
      <c r="A23" t="s">
        <v>28</v>
      </c>
      <c r="B23">
        <v>0</v>
      </c>
    </row>
    <row r="25" spans="1:2" x14ac:dyDescent="0.3">
      <c r="A25" t="s">
        <v>29</v>
      </c>
      <c r="B25" t="s">
        <v>30</v>
      </c>
    </row>
    <row r="26" spans="1:2" x14ac:dyDescent="0.3">
      <c r="A26" t="s">
        <v>31</v>
      </c>
      <c r="B26">
        <v>0</v>
      </c>
    </row>
    <row r="27" spans="1:2" x14ac:dyDescent="0.3">
      <c r="A27" t="s">
        <v>32</v>
      </c>
      <c r="B27">
        <v>0</v>
      </c>
    </row>
    <row r="28" spans="1:2" x14ac:dyDescent="0.3">
      <c r="A28" t="s">
        <v>33</v>
      </c>
      <c r="B28" t="s">
        <v>18</v>
      </c>
    </row>
    <row r="29" spans="1:2" x14ac:dyDescent="0.3">
      <c r="A29" t="s">
        <v>34</v>
      </c>
      <c r="B29">
        <v>0</v>
      </c>
    </row>
    <row r="30" spans="1:2" x14ac:dyDescent="0.3">
      <c r="A30" t="s">
        <v>35</v>
      </c>
      <c r="B30">
        <v>0</v>
      </c>
    </row>
    <row r="31" spans="1:2" x14ac:dyDescent="0.3">
      <c r="A31" t="s">
        <v>36</v>
      </c>
      <c r="B31">
        <v>0</v>
      </c>
    </row>
    <row r="32" spans="1:2" x14ac:dyDescent="0.3">
      <c r="A32" t="s">
        <v>37</v>
      </c>
      <c r="B32">
        <v>0</v>
      </c>
    </row>
    <row r="33" spans="1:2" x14ac:dyDescent="0.3">
      <c r="A33" t="s">
        <v>38</v>
      </c>
      <c r="B33">
        <v>0</v>
      </c>
    </row>
    <row r="35" spans="1:2" x14ac:dyDescent="0.3">
      <c r="A35" t="s">
        <v>39</v>
      </c>
      <c r="B35" t="s">
        <v>40</v>
      </c>
    </row>
    <row r="36" spans="1:2" x14ac:dyDescent="0.3">
      <c r="A36" t="s">
        <v>41</v>
      </c>
      <c r="B36">
        <v>0</v>
      </c>
    </row>
    <row r="37" spans="1:2" x14ac:dyDescent="0.3">
      <c r="A37" t="s">
        <v>42</v>
      </c>
      <c r="B37" t="s">
        <v>43</v>
      </c>
    </row>
    <row r="39" spans="1:2" x14ac:dyDescent="0.3">
      <c r="A39" t="s">
        <v>44</v>
      </c>
      <c r="B39" t="s">
        <v>45</v>
      </c>
    </row>
    <row r="40" spans="1:2" x14ac:dyDescent="0.3">
      <c r="A40" t="s">
        <v>46</v>
      </c>
      <c r="B40" t="s">
        <v>18</v>
      </c>
    </row>
    <row r="41" spans="1:2" x14ac:dyDescent="0.3">
      <c r="A41" t="s">
        <v>47</v>
      </c>
      <c r="B41" t="s">
        <v>18</v>
      </c>
    </row>
    <row r="42" spans="1:2" x14ac:dyDescent="0.3">
      <c r="A42" t="s">
        <v>48</v>
      </c>
      <c r="B42" t="s">
        <v>18</v>
      </c>
    </row>
    <row r="43" spans="1:2" x14ac:dyDescent="0.3">
      <c r="A43" t="s">
        <v>49</v>
      </c>
      <c r="B43">
        <v>1</v>
      </c>
    </row>
    <row r="44" spans="1:2" x14ac:dyDescent="0.3">
      <c r="A44" t="s">
        <v>50</v>
      </c>
      <c r="B44">
        <v>0</v>
      </c>
    </row>
    <row r="46" spans="1:2" x14ac:dyDescent="0.3">
      <c r="A46" t="s">
        <v>51</v>
      </c>
      <c r="B46">
        <v>22662151</v>
      </c>
    </row>
    <row r="47" spans="1:2" x14ac:dyDescent="0.3">
      <c r="A47" t="s">
        <v>52</v>
      </c>
      <c r="B47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6"/>
  <sheetViews>
    <sheetView workbookViewId="0">
      <selection activeCell="A27" activeCellId="1" sqref="A24:XFD24 A27:XFD27"/>
    </sheetView>
  </sheetViews>
  <sheetFormatPr defaultRowHeight="15" x14ac:dyDescent="0.3"/>
  <cols>
    <col min="11" max="11" width="22.375" bestFit="1" customWidth="1"/>
    <col min="12" max="12" width="10.625" bestFit="1" customWidth="1"/>
    <col min="13" max="13" width="6.375" bestFit="1" customWidth="1"/>
    <col min="14" max="14" width="11.75" bestFit="1" customWidth="1"/>
    <col min="20" max="20" width="32.25" customWidth="1"/>
  </cols>
  <sheetData>
    <row r="1" spans="1:20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20" x14ac:dyDescent="0.3">
      <c r="A2" t="s">
        <v>60</v>
      </c>
      <c r="B2">
        <v>69339163</v>
      </c>
      <c r="C2">
        <v>0</v>
      </c>
      <c r="D2">
        <v>0</v>
      </c>
      <c r="E2">
        <v>0</v>
      </c>
      <c r="F2">
        <v>69339163</v>
      </c>
      <c r="G2">
        <v>0</v>
      </c>
      <c r="R2" t="s">
        <v>212</v>
      </c>
      <c r="S2" t="s">
        <v>213</v>
      </c>
    </row>
    <row r="3" spans="1:20" x14ac:dyDescent="0.3">
      <c r="A3" t="s">
        <v>61</v>
      </c>
      <c r="B3">
        <v>21651134</v>
      </c>
      <c r="C3">
        <v>897857350</v>
      </c>
      <c r="D3">
        <v>0</v>
      </c>
      <c r="E3">
        <v>0</v>
      </c>
      <c r="F3">
        <v>21651134</v>
      </c>
      <c r="G3">
        <v>897857350</v>
      </c>
      <c r="K3" t="s">
        <v>147</v>
      </c>
      <c r="L3">
        <v>21565750</v>
      </c>
      <c r="M3" t="s">
        <v>148</v>
      </c>
      <c r="N3">
        <v>893979800</v>
      </c>
      <c r="R3" s="2" cm="1">
        <f t="array" ref="R3:R65">C3:C65/B3:B65/100</f>
        <v>0.41469299021473888</v>
      </c>
      <c r="S3" s="3" cm="1">
        <f t="array" ref="S3:S66">N3:N66/L3:L66/100</f>
        <v>0.41453684662021956</v>
      </c>
      <c r="T3" s="3" cm="1">
        <f t="array" ref="T3:T66">(_xlfn.ANCHORARRAY(S3)-_xlfn.ANCHORARRAY(R3))/_xlfn.ANCHORARRAY(R3)</f>
        <v>-3.7652817434523042E-4</v>
      </c>
    </row>
    <row r="4" spans="1:20" x14ac:dyDescent="0.3">
      <c r="A4" t="s">
        <v>62</v>
      </c>
      <c r="B4">
        <v>4925470</v>
      </c>
      <c r="C4">
        <v>723549140</v>
      </c>
      <c r="D4">
        <v>0</v>
      </c>
      <c r="E4">
        <v>0</v>
      </c>
      <c r="F4">
        <v>4925470</v>
      </c>
      <c r="G4">
        <v>723549140</v>
      </c>
      <c r="K4" t="s">
        <v>149</v>
      </c>
      <c r="L4">
        <v>4943212</v>
      </c>
      <c r="M4" t="s">
        <v>148</v>
      </c>
      <c r="N4">
        <v>727082855</v>
      </c>
      <c r="R4" s="3">
        <v>1.4689951212777663</v>
      </c>
      <c r="S4" s="3">
        <v>1.470871277622728</v>
      </c>
      <c r="T4" s="3">
        <v>1.2771698951115017E-3</v>
      </c>
    </row>
    <row r="5" spans="1:20" x14ac:dyDescent="0.3">
      <c r="A5" t="s">
        <v>63</v>
      </c>
      <c r="B5">
        <v>1981930</v>
      </c>
      <c r="C5">
        <v>493335305</v>
      </c>
      <c r="D5">
        <v>0</v>
      </c>
      <c r="E5">
        <v>0</v>
      </c>
      <c r="F5">
        <v>1981930</v>
      </c>
      <c r="G5">
        <v>493335305</v>
      </c>
      <c r="K5" t="s">
        <v>150</v>
      </c>
      <c r="L5">
        <v>2011408</v>
      </c>
      <c r="M5" t="s">
        <v>148</v>
      </c>
      <c r="N5">
        <v>500549205</v>
      </c>
      <c r="R5" s="3">
        <v>2.4891661410847004</v>
      </c>
      <c r="S5" s="3">
        <v>2.4885513282238114</v>
      </c>
      <c r="T5" s="3">
        <v>-2.4699551015948645E-4</v>
      </c>
    </row>
    <row r="6" spans="1:20" x14ac:dyDescent="0.3">
      <c r="A6" t="s">
        <v>64</v>
      </c>
      <c r="B6">
        <v>800431</v>
      </c>
      <c r="C6">
        <v>279783410</v>
      </c>
      <c r="D6">
        <v>0</v>
      </c>
      <c r="E6">
        <v>0</v>
      </c>
      <c r="F6">
        <v>800431</v>
      </c>
      <c r="G6">
        <v>279783410</v>
      </c>
      <c r="K6" t="s">
        <v>151</v>
      </c>
      <c r="L6">
        <v>814301</v>
      </c>
      <c r="M6" t="s">
        <v>148</v>
      </c>
      <c r="N6">
        <v>284473475</v>
      </c>
      <c r="R6" s="3">
        <v>3.4954094731463425</v>
      </c>
      <c r="S6" s="3">
        <v>3.4934683243665425</v>
      </c>
      <c r="T6" s="3">
        <v>-5.5534231245666016E-4</v>
      </c>
    </row>
    <row r="7" spans="1:20" x14ac:dyDescent="0.3">
      <c r="A7" t="s">
        <v>65</v>
      </c>
      <c r="B7">
        <v>440387</v>
      </c>
      <c r="C7">
        <v>199185175</v>
      </c>
      <c r="D7">
        <v>0</v>
      </c>
      <c r="E7">
        <v>0</v>
      </c>
      <c r="F7">
        <v>440387</v>
      </c>
      <c r="G7">
        <v>199185175</v>
      </c>
      <c r="K7" t="s">
        <v>152</v>
      </c>
      <c r="L7">
        <v>449014</v>
      </c>
      <c r="M7" t="s">
        <v>148</v>
      </c>
      <c r="N7">
        <v>203134190</v>
      </c>
      <c r="R7" s="3">
        <v>4.5229576486136054</v>
      </c>
      <c r="S7" s="3">
        <v>4.5240057102896571</v>
      </c>
      <c r="T7" s="3">
        <v>2.317204266489241E-4</v>
      </c>
    </row>
    <row r="8" spans="1:20" x14ac:dyDescent="0.3">
      <c r="A8" t="s">
        <v>66</v>
      </c>
      <c r="B8">
        <v>270705</v>
      </c>
      <c r="C8">
        <v>149030530</v>
      </c>
      <c r="D8">
        <v>0</v>
      </c>
      <c r="E8">
        <v>0</v>
      </c>
      <c r="F8">
        <v>270705</v>
      </c>
      <c r="G8">
        <v>149030530</v>
      </c>
      <c r="K8" t="s">
        <v>153</v>
      </c>
      <c r="L8">
        <v>275705</v>
      </c>
      <c r="M8" t="s">
        <v>148</v>
      </c>
      <c r="N8">
        <v>151737010</v>
      </c>
      <c r="R8" s="3">
        <v>5.5052743761659375</v>
      </c>
      <c r="S8" s="3">
        <v>5.5036002248780402</v>
      </c>
      <c r="T8" s="3">
        <v>-3.0409951866253952E-4</v>
      </c>
    </row>
    <row r="9" spans="1:20" x14ac:dyDescent="0.3">
      <c r="A9" t="s">
        <v>67</v>
      </c>
      <c r="B9">
        <v>151149</v>
      </c>
      <c r="C9">
        <v>97962260</v>
      </c>
      <c r="D9">
        <v>0</v>
      </c>
      <c r="E9">
        <v>0</v>
      </c>
      <c r="F9">
        <v>151149</v>
      </c>
      <c r="G9">
        <v>97962260</v>
      </c>
      <c r="K9" t="s">
        <v>154</v>
      </c>
      <c r="L9">
        <v>154885</v>
      </c>
      <c r="M9" t="s">
        <v>148</v>
      </c>
      <c r="N9">
        <v>100372970</v>
      </c>
      <c r="R9" s="3">
        <v>6.4811715591899386</v>
      </c>
      <c r="S9" s="3">
        <v>6.4804835845950217</v>
      </c>
      <c r="T9" s="3">
        <v>-1.0614972750433741E-4</v>
      </c>
    </row>
    <row r="10" spans="1:20" x14ac:dyDescent="0.3">
      <c r="A10" t="s">
        <v>68</v>
      </c>
      <c r="B10">
        <v>121340</v>
      </c>
      <c r="C10">
        <v>91979180</v>
      </c>
      <c r="D10">
        <v>0</v>
      </c>
      <c r="E10">
        <v>0</v>
      </c>
      <c r="F10">
        <v>121340</v>
      </c>
      <c r="G10">
        <v>91979180</v>
      </c>
      <c r="K10" t="s">
        <v>155</v>
      </c>
      <c r="L10">
        <v>122763</v>
      </c>
      <c r="M10" t="s">
        <v>148</v>
      </c>
      <c r="N10">
        <v>93054135</v>
      </c>
      <c r="R10" s="3">
        <v>7.5802851491676275</v>
      </c>
      <c r="S10" s="3">
        <v>7.5799821607487594</v>
      </c>
      <c r="T10" s="3">
        <v>-3.997058328358285E-5</v>
      </c>
    </row>
    <row r="11" spans="1:20" x14ac:dyDescent="0.3">
      <c r="A11" t="s">
        <v>69</v>
      </c>
      <c r="B11">
        <v>77049</v>
      </c>
      <c r="C11">
        <v>65456205</v>
      </c>
      <c r="D11">
        <v>0</v>
      </c>
      <c r="E11">
        <v>0</v>
      </c>
      <c r="F11">
        <v>77049</v>
      </c>
      <c r="G11">
        <v>65456205</v>
      </c>
      <c r="K11" t="s">
        <v>156</v>
      </c>
      <c r="L11">
        <v>79235</v>
      </c>
      <c r="M11" t="s">
        <v>148</v>
      </c>
      <c r="N11">
        <v>67313610</v>
      </c>
      <c r="R11" s="3">
        <v>8.4953996807226559</v>
      </c>
      <c r="S11" s="3">
        <v>8.4954388843314188</v>
      </c>
      <c r="T11" s="3">
        <v>4.614686799471014E-6</v>
      </c>
    </row>
    <row r="12" spans="1:20" x14ac:dyDescent="0.3">
      <c r="A12" t="s">
        <v>70</v>
      </c>
      <c r="B12">
        <v>56158</v>
      </c>
      <c r="C12">
        <v>53820230</v>
      </c>
      <c r="D12">
        <v>0</v>
      </c>
      <c r="E12">
        <v>0</v>
      </c>
      <c r="F12">
        <v>56158</v>
      </c>
      <c r="G12">
        <v>53820230</v>
      </c>
      <c r="K12" t="s">
        <v>157</v>
      </c>
      <c r="L12">
        <v>56712</v>
      </c>
      <c r="M12" t="s">
        <v>148</v>
      </c>
      <c r="N12">
        <v>54347560</v>
      </c>
      <c r="R12" s="3">
        <v>9.5837155881619722</v>
      </c>
      <c r="S12" s="3">
        <v>9.5830794188178867</v>
      </c>
      <c r="T12" s="3">
        <v>-6.6380240339280647E-5</v>
      </c>
    </row>
    <row r="13" spans="1:20" x14ac:dyDescent="0.3">
      <c r="A13" t="s">
        <v>71</v>
      </c>
      <c r="B13">
        <v>116569</v>
      </c>
      <c r="C13">
        <v>140085430</v>
      </c>
      <c r="D13">
        <v>0</v>
      </c>
      <c r="E13">
        <v>0</v>
      </c>
      <c r="F13">
        <v>116569</v>
      </c>
      <c r="G13">
        <v>140085430</v>
      </c>
      <c r="K13" t="s">
        <v>158</v>
      </c>
      <c r="L13">
        <v>119299</v>
      </c>
      <c r="M13" t="s">
        <v>148</v>
      </c>
      <c r="N13">
        <v>143208130</v>
      </c>
      <c r="R13" s="3">
        <v>12.017382837632647</v>
      </c>
      <c r="S13" s="3">
        <v>12.00413498855816</v>
      </c>
      <c r="T13" s="3">
        <v>-1.1023905332366607E-3</v>
      </c>
    </row>
    <row r="14" spans="1:20" x14ac:dyDescent="0.3">
      <c r="A14" t="s">
        <v>72</v>
      </c>
      <c r="B14">
        <v>43315</v>
      </c>
      <c r="C14">
        <v>73235295</v>
      </c>
      <c r="D14">
        <v>0</v>
      </c>
      <c r="E14">
        <v>0</v>
      </c>
      <c r="F14">
        <v>43315</v>
      </c>
      <c r="G14">
        <v>73235295</v>
      </c>
      <c r="K14" t="s">
        <v>159</v>
      </c>
      <c r="L14">
        <v>44294</v>
      </c>
      <c r="M14" t="s">
        <v>148</v>
      </c>
      <c r="N14">
        <v>74947275</v>
      </c>
      <c r="R14" s="3">
        <v>16.907605910192775</v>
      </c>
      <c r="S14" s="3">
        <v>16.920412471215062</v>
      </c>
      <c r="T14" s="3">
        <v>7.5744378537751205E-4</v>
      </c>
    </row>
    <row r="15" spans="1:20" x14ac:dyDescent="0.3">
      <c r="A15" t="s">
        <v>73</v>
      </c>
      <c r="B15">
        <v>13727</v>
      </c>
      <c r="C15">
        <v>30317125</v>
      </c>
      <c r="D15">
        <v>0</v>
      </c>
      <c r="E15">
        <v>0</v>
      </c>
      <c r="F15">
        <v>13727</v>
      </c>
      <c r="G15">
        <v>30317125</v>
      </c>
      <c r="K15" t="s">
        <v>160</v>
      </c>
      <c r="L15">
        <v>14258</v>
      </c>
      <c r="M15" t="s">
        <v>148</v>
      </c>
      <c r="N15">
        <v>31464945</v>
      </c>
      <c r="R15" s="3">
        <v>22.085761637648428</v>
      </c>
      <c r="S15" s="3">
        <v>22.068273951465844</v>
      </c>
      <c r="T15" s="3">
        <v>-7.9180815538520261E-4</v>
      </c>
    </row>
    <row r="16" spans="1:20" x14ac:dyDescent="0.3">
      <c r="A16" t="s">
        <v>74</v>
      </c>
      <c r="B16">
        <v>4634</v>
      </c>
      <c r="C16">
        <v>12613150</v>
      </c>
      <c r="D16">
        <v>0</v>
      </c>
      <c r="E16">
        <v>0</v>
      </c>
      <c r="F16">
        <v>4634</v>
      </c>
      <c r="G16">
        <v>12613150</v>
      </c>
      <c r="K16" t="s">
        <v>161</v>
      </c>
      <c r="L16">
        <v>4653</v>
      </c>
      <c r="M16" t="s">
        <v>148</v>
      </c>
      <c r="N16">
        <v>12664855</v>
      </c>
      <c r="R16" s="3">
        <v>27.218709538195945</v>
      </c>
      <c r="S16" s="3">
        <v>27.21868686868687</v>
      </c>
      <c r="T16" s="3">
        <v>-8.3286494693824654E-7</v>
      </c>
    </row>
    <row r="17" spans="1:20" x14ac:dyDescent="0.3">
      <c r="A17" t="s">
        <v>75</v>
      </c>
      <c r="B17">
        <v>1564</v>
      </c>
      <c r="C17">
        <v>4982165</v>
      </c>
      <c r="D17">
        <v>0</v>
      </c>
      <c r="E17">
        <v>0</v>
      </c>
      <c r="F17">
        <v>1564</v>
      </c>
      <c r="G17">
        <v>4982165</v>
      </c>
      <c r="K17" t="s">
        <v>162</v>
      </c>
      <c r="L17">
        <v>1666</v>
      </c>
      <c r="M17" t="s">
        <v>148</v>
      </c>
      <c r="N17">
        <v>5307395</v>
      </c>
      <c r="R17" s="3">
        <v>31.855274936061381</v>
      </c>
      <c r="S17" s="3">
        <v>31.857112845138055</v>
      </c>
      <c r="T17" s="3">
        <v>5.7695596109672877E-5</v>
      </c>
    </row>
    <row r="18" spans="1:20" x14ac:dyDescent="0.3">
      <c r="A18" t="s">
        <v>76</v>
      </c>
      <c r="B18">
        <v>531</v>
      </c>
      <c r="C18">
        <v>1980755</v>
      </c>
      <c r="D18">
        <v>0</v>
      </c>
      <c r="E18">
        <v>0</v>
      </c>
      <c r="F18">
        <v>531</v>
      </c>
      <c r="G18">
        <v>1980755</v>
      </c>
      <c r="K18" t="s">
        <v>163</v>
      </c>
      <c r="L18">
        <v>512</v>
      </c>
      <c r="M18" t="s">
        <v>148</v>
      </c>
      <c r="N18">
        <v>1913950</v>
      </c>
      <c r="R18" s="3">
        <v>37.302354048964219</v>
      </c>
      <c r="S18" s="3">
        <v>37.3818359375</v>
      </c>
      <c r="T18" s="3">
        <v>2.1307472560967849E-3</v>
      </c>
    </row>
    <row r="19" spans="1:20" x14ac:dyDescent="0.3">
      <c r="A19" t="s">
        <v>77</v>
      </c>
      <c r="B19">
        <v>349</v>
      </c>
      <c r="C19">
        <v>1472125</v>
      </c>
      <c r="D19">
        <v>0</v>
      </c>
      <c r="E19">
        <v>0</v>
      </c>
      <c r="F19">
        <v>349</v>
      </c>
      <c r="G19">
        <v>1472125</v>
      </c>
      <c r="K19" t="s">
        <v>164</v>
      </c>
      <c r="L19">
        <v>366</v>
      </c>
      <c r="M19" t="s">
        <v>148</v>
      </c>
      <c r="N19">
        <v>1542645</v>
      </c>
      <c r="R19" s="3">
        <v>42.181232091690546</v>
      </c>
      <c r="S19" s="3">
        <v>42.148770491803276</v>
      </c>
      <c r="T19" s="3">
        <v>-7.6957448318976194E-4</v>
      </c>
    </row>
    <row r="20" spans="1:20" x14ac:dyDescent="0.3">
      <c r="A20" t="s">
        <v>78</v>
      </c>
      <c r="B20">
        <v>436</v>
      </c>
      <c r="C20">
        <v>2145205</v>
      </c>
      <c r="D20">
        <v>0</v>
      </c>
      <c r="E20">
        <v>0</v>
      </c>
      <c r="F20">
        <v>436</v>
      </c>
      <c r="G20">
        <v>2145205</v>
      </c>
      <c r="K20" t="s">
        <v>165</v>
      </c>
      <c r="L20">
        <v>472</v>
      </c>
      <c r="M20" t="s">
        <v>148</v>
      </c>
      <c r="N20">
        <v>2322350</v>
      </c>
      <c r="R20" s="3">
        <v>49.201949541284399</v>
      </c>
      <c r="S20" s="3">
        <v>49.202330508474581</v>
      </c>
      <c r="T20" s="3">
        <v>7.7429287606241889E-6</v>
      </c>
    </row>
    <row r="21" spans="1:20" x14ac:dyDescent="0.3">
      <c r="A21" t="s">
        <v>79</v>
      </c>
      <c r="B21">
        <v>3393</v>
      </c>
      <c r="C21">
        <v>17964970</v>
      </c>
      <c r="D21">
        <v>0</v>
      </c>
      <c r="E21">
        <v>0</v>
      </c>
      <c r="F21">
        <v>3393</v>
      </c>
      <c r="G21">
        <v>17964970</v>
      </c>
      <c r="K21" t="s">
        <v>166</v>
      </c>
      <c r="L21">
        <v>3390</v>
      </c>
      <c r="M21" t="s">
        <v>148</v>
      </c>
      <c r="N21">
        <v>17927170</v>
      </c>
      <c r="R21" s="3">
        <v>52.947155909224875</v>
      </c>
      <c r="S21" s="3">
        <v>52.882507374631267</v>
      </c>
      <c r="T21" s="3">
        <v>-1.2210010808596605E-3</v>
      </c>
    </row>
    <row r="22" spans="1:20" x14ac:dyDescent="0.3">
      <c r="A22" t="s">
        <v>80</v>
      </c>
      <c r="B22">
        <v>230</v>
      </c>
      <c r="C22">
        <v>1473015</v>
      </c>
      <c r="D22">
        <v>0</v>
      </c>
      <c r="E22">
        <v>0</v>
      </c>
      <c r="F22">
        <v>230</v>
      </c>
      <c r="G22">
        <v>1473015</v>
      </c>
      <c r="K22" t="s">
        <v>167</v>
      </c>
      <c r="L22">
        <v>260</v>
      </c>
      <c r="M22" t="s">
        <v>148</v>
      </c>
      <c r="N22">
        <v>1671985</v>
      </c>
      <c r="R22" s="3">
        <v>64.044130434782616</v>
      </c>
      <c r="S22" s="3">
        <v>64.307115384615386</v>
      </c>
      <c r="T22" s="3">
        <v>4.1063083852871229E-3</v>
      </c>
    </row>
    <row r="23" spans="1:20" x14ac:dyDescent="0.3">
      <c r="A23" t="s">
        <v>81</v>
      </c>
      <c r="B23">
        <v>29</v>
      </c>
      <c r="C23">
        <v>215825</v>
      </c>
      <c r="D23">
        <v>0</v>
      </c>
      <c r="E23">
        <v>0</v>
      </c>
      <c r="F23">
        <v>29</v>
      </c>
      <c r="G23">
        <v>215825</v>
      </c>
      <c r="K23" t="s">
        <v>168</v>
      </c>
      <c r="L23">
        <v>33</v>
      </c>
      <c r="M23" t="s">
        <v>148</v>
      </c>
      <c r="N23">
        <v>247025</v>
      </c>
      <c r="R23" s="3">
        <v>74.422413793103445</v>
      </c>
      <c r="S23" s="3">
        <v>74.856060606060609</v>
      </c>
      <c r="T23" s="3">
        <v>5.8268308007681053E-3</v>
      </c>
    </row>
    <row r="24" spans="1:20" x14ac:dyDescent="0.3">
      <c r="A24" t="s">
        <v>82</v>
      </c>
      <c r="B24">
        <v>4</v>
      </c>
      <c r="C24">
        <v>34005</v>
      </c>
      <c r="D24">
        <v>0</v>
      </c>
      <c r="E24">
        <v>0</v>
      </c>
      <c r="F24">
        <v>4</v>
      </c>
      <c r="G24">
        <v>34005</v>
      </c>
      <c r="K24" t="s">
        <v>169</v>
      </c>
      <c r="L24">
        <v>7</v>
      </c>
      <c r="M24" t="s">
        <v>148</v>
      </c>
      <c r="N24">
        <v>57815</v>
      </c>
      <c r="R24" s="3">
        <v>85.012500000000003</v>
      </c>
      <c r="S24" s="3">
        <v>82.592857142857142</v>
      </c>
      <c r="T24" s="3">
        <v>-2.8462200936837066E-2</v>
      </c>
    </row>
    <row r="25" spans="1:20" x14ac:dyDescent="0.3">
      <c r="A25" t="s">
        <v>83</v>
      </c>
      <c r="B25">
        <v>55</v>
      </c>
      <c r="C25">
        <v>550000</v>
      </c>
      <c r="D25">
        <v>0</v>
      </c>
      <c r="E25">
        <v>0</v>
      </c>
      <c r="F25">
        <v>55</v>
      </c>
      <c r="G25">
        <v>550000</v>
      </c>
      <c r="K25" t="s">
        <v>170</v>
      </c>
      <c r="L25">
        <v>52</v>
      </c>
      <c r="M25" t="s">
        <v>148</v>
      </c>
      <c r="N25">
        <v>519190</v>
      </c>
      <c r="R25" s="3">
        <v>100</v>
      </c>
      <c r="S25" s="3">
        <v>99.844230769230762</v>
      </c>
      <c r="T25" s="3">
        <v>-1.5576923076923777E-3</v>
      </c>
    </row>
    <row r="26" spans="1:20" x14ac:dyDescent="0.3">
      <c r="A26" t="s">
        <v>84</v>
      </c>
      <c r="B26">
        <v>236</v>
      </c>
      <c r="C26">
        <v>2438615</v>
      </c>
      <c r="D26">
        <v>0</v>
      </c>
      <c r="E26">
        <v>0</v>
      </c>
      <c r="F26">
        <v>236</v>
      </c>
      <c r="G26">
        <v>2438615</v>
      </c>
      <c r="K26" t="s">
        <v>171</v>
      </c>
      <c r="L26">
        <v>279</v>
      </c>
      <c r="M26" t="s">
        <v>148</v>
      </c>
      <c r="N26">
        <v>2890515</v>
      </c>
      <c r="R26" s="3">
        <v>103.33114406779661</v>
      </c>
      <c r="S26" s="3">
        <v>103.60268817204302</v>
      </c>
      <c r="T26" s="3">
        <v>2.6279018460130406E-3</v>
      </c>
    </row>
    <row r="27" spans="1:20" x14ac:dyDescent="0.3">
      <c r="A27" t="s">
        <v>85</v>
      </c>
      <c r="B27">
        <v>2</v>
      </c>
      <c r="C27">
        <v>25735</v>
      </c>
      <c r="D27">
        <v>0</v>
      </c>
      <c r="E27">
        <v>0</v>
      </c>
      <c r="F27">
        <v>2</v>
      </c>
      <c r="G27">
        <v>25735</v>
      </c>
      <c r="K27" t="s">
        <v>172</v>
      </c>
      <c r="L27">
        <v>1</v>
      </c>
      <c r="M27" t="s">
        <v>148</v>
      </c>
      <c r="N27">
        <v>12590</v>
      </c>
      <c r="R27" s="3">
        <v>128.67500000000001</v>
      </c>
      <c r="S27" s="3">
        <v>125.9</v>
      </c>
      <c r="T27" s="3">
        <v>-2.1565960753837227E-2</v>
      </c>
    </row>
    <row r="28" spans="1:20" x14ac:dyDescent="0.3">
      <c r="A28" t="s">
        <v>86</v>
      </c>
      <c r="B28">
        <v>5</v>
      </c>
      <c r="C28">
        <v>75750</v>
      </c>
      <c r="D28">
        <v>0</v>
      </c>
      <c r="E28">
        <v>0</v>
      </c>
      <c r="F28">
        <v>5</v>
      </c>
      <c r="G28">
        <v>75750</v>
      </c>
      <c r="K28" t="s">
        <v>173</v>
      </c>
      <c r="L28">
        <v>6</v>
      </c>
      <c r="M28" t="s">
        <v>148</v>
      </c>
      <c r="N28">
        <v>91420</v>
      </c>
      <c r="R28" s="3">
        <v>151.5</v>
      </c>
      <c r="S28" s="3">
        <v>152.36666666666667</v>
      </c>
      <c r="T28" s="3">
        <v>5.7205720572057707E-3</v>
      </c>
    </row>
    <row r="29" spans="1:20" x14ac:dyDescent="0.3">
      <c r="A29" t="s">
        <v>87</v>
      </c>
      <c r="B29">
        <v>1</v>
      </c>
      <c r="C29">
        <v>16760</v>
      </c>
      <c r="D29">
        <v>0</v>
      </c>
      <c r="E29">
        <v>0</v>
      </c>
      <c r="F29">
        <v>1</v>
      </c>
      <c r="G29">
        <v>16760</v>
      </c>
      <c r="K29" t="s">
        <v>174</v>
      </c>
      <c r="L29">
        <v>1</v>
      </c>
      <c r="M29" t="s">
        <v>148</v>
      </c>
      <c r="N29">
        <v>16805</v>
      </c>
      <c r="R29" s="3">
        <v>167.6</v>
      </c>
      <c r="S29" s="3">
        <v>168.05</v>
      </c>
      <c r="T29" s="3">
        <v>2.6849642004774287E-3</v>
      </c>
    </row>
    <row r="30" spans="1:20" x14ac:dyDescent="0.3">
      <c r="A30" t="s">
        <v>88</v>
      </c>
      <c r="B30">
        <v>1</v>
      </c>
      <c r="C30">
        <v>18925</v>
      </c>
      <c r="D30">
        <v>0</v>
      </c>
      <c r="E30">
        <v>0</v>
      </c>
      <c r="F30">
        <v>1</v>
      </c>
      <c r="G30">
        <v>18925</v>
      </c>
      <c r="K30" t="s">
        <v>175</v>
      </c>
      <c r="L30">
        <v>0</v>
      </c>
      <c r="M30" t="s">
        <v>148</v>
      </c>
      <c r="N30">
        <v>0</v>
      </c>
      <c r="R30" s="3">
        <v>189.25</v>
      </c>
      <c r="S30" s="3" t="e">
        <v>#DIV/0!</v>
      </c>
      <c r="T30" s="3" t="e">
        <v>#DIV/0!</v>
      </c>
    </row>
    <row r="31" spans="1:20" x14ac:dyDescent="0.3">
      <c r="A31" t="s">
        <v>89</v>
      </c>
      <c r="B31">
        <v>2</v>
      </c>
      <c r="C31">
        <v>40500</v>
      </c>
      <c r="D31">
        <v>0</v>
      </c>
      <c r="E31">
        <v>0</v>
      </c>
      <c r="F31">
        <v>2</v>
      </c>
      <c r="G31">
        <v>40500</v>
      </c>
      <c r="K31" t="s">
        <v>176</v>
      </c>
      <c r="L31">
        <v>3</v>
      </c>
      <c r="M31" t="s">
        <v>148</v>
      </c>
      <c r="N31">
        <v>60900</v>
      </c>
      <c r="R31" s="3">
        <v>202.5</v>
      </c>
      <c r="S31" s="3">
        <v>203</v>
      </c>
      <c r="T31" s="3">
        <v>2.4691358024691358E-3</v>
      </c>
    </row>
    <row r="32" spans="1:20" x14ac:dyDescent="0.3">
      <c r="A32" t="s">
        <v>90</v>
      </c>
      <c r="B32">
        <v>1</v>
      </c>
      <c r="C32">
        <v>25725</v>
      </c>
      <c r="D32">
        <v>0</v>
      </c>
      <c r="E32">
        <v>0</v>
      </c>
      <c r="F32">
        <v>1</v>
      </c>
      <c r="G32">
        <v>25725</v>
      </c>
      <c r="K32" t="s">
        <v>177</v>
      </c>
      <c r="L32">
        <v>0</v>
      </c>
      <c r="M32" t="s">
        <v>148</v>
      </c>
      <c r="N32">
        <v>0</v>
      </c>
      <c r="R32" s="3">
        <v>257.25</v>
      </c>
      <c r="S32" s="3" t="e">
        <v>#DIV/0!</v>
      </c>
      <c r="T32" s="3" t="e">
        <v>#DIV/0!</v>
      </c>
    </row>
    <row r="33" spans="1:20" x14ac:dyDescent="0.3">
      <c r="A33" t="s">
        <v>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t="s">
        <v>178</v>
      </c>
      <c r="L33">
        <v>0</v>
      </c>
      <c r="M33" t="s">
        <v>148</v>
      </c>
      <c r="N33">
        <v>0</v>
      </c>
      <c r="R33" s="3" t="e">
        <v>#DIV/0!</v>
      </c>
      <c r="S33" s="3" t="e">
        <v>#DIV/0!</v>
      </c>
      <c r="T33" s="3" t="e">
        <v>#DIV/0!</v>
      </c>
    </row>
    <row r="34" spans="1:20" x14ac:dyDescent="0.3">
      <c r="A34" t="s">
        <v>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t="s">
        <v>179</v>
      </c>
      <c r="L34">
        <v>0</v>
      </c>
      <c r="M34" t="s">
        <v>148</v>
      </c>
      <c r="N34">
        <v>0</v>
      </c>
      <c r="R34" s="3" t="e">
        <v>#DIV/0!</v>
      </c>
      <c r="S34" s="3" t="e">
        <v>#DIV/0!</v>
      </c>
      <c r="T34" s="3" t="e">
        <v>#DIV/0!</v>
      </c>
    </row>
    <row r="35" spans="1:20" x14ac:dyDescent="0.3">
      <c r="A35" t="s">
        <v>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t="s">
        <v>180</v>
      </c>
      <c r="L35">
        <v>0</v>
      </c>
      <c r="M35" t="s">
        <v>148</v>
      </c>
      <c r="N35">
        <v>0</v>
      </c>
      <c r="R35" s="3" t="e">
        <v>#DIV/0!</v>
      </c>
      <c r="S35" s="3" t="e">
        <v>#DIV/0!</v>
      </c>
      <c r="T35" s="3" t="e">
        <v>#DIV/0!</v>
      </c>
    </row>
    <row r="36" spans="1:20" x14ac:dyDescent="0.3">
      <c r="A36" t="s">
        <v>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K36" t="s">
        <v>181</v>
      </c>
      <c r="L36">
        <v>0</v>
      </c>
      <c r="M36" t="s">
        <v>148</v>
      </c>
      <c r="N36">
        <v>0</v>
      </c>
      <c r="R36" s="3" t="e">
        <v>#DIV/0!</v>
      </c>
      <c r="S36" s="3" t="e">
        <v>#DIV/0!</v>
      </c>
      <c r="T36" s="3" t="e">
        <v>#DIV/0!</v>
      </c>
    </row>
    <row r="37" spans="1:20" x14ac:dyDescent="0.3">
      <c r="A37" t="s">
        <v>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 t="s">
        <v>182</v>
      </c>
      <c r="L37">
        <v>0</v>
      </c>
      <c r="M37" t="s">
        <v>148</v>
      </c>
      <c r="N37">
        <v>0</v>
      </c>
      <c r="R37" s="3" t="e">
        <v>#DIV/0!</v>
      </c>
      <c r="S37" s="3" t="e">
        <v>#DIV/0!</v>
      </c>
      <c r="T37" s="3" t="e">
        <v>#DIV/0!</v>
      </c>
    </row>
    <row r="38" spans="1:20" x14ac:dyDescent="0.3">
      <c r="A38" t="s">
        <v>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 t="s">
        <v>183</v>
      </c>
      <c r="L38">
        <v>0</v>
      </c>
      <c r="M38" t="s">
        <v>148</v>
      </c>
      <c r="N38">
        <v>0</v>
      </c>
      <c r="R38" s="3" t="e">
        <v>#DIV/0!</v>
      </c>
      <c r="S38" s="3" t="e">
        <v>#DIV/0!</v>
      </c>
      <c r="T38" s="3" t="e">
        <v>#DIV/0!</v>
      </c>
    </row>
    <row r="39" spans="1:20" x14ac:dyDescent="0.3">
      <c r="A39" t="s">
        <v>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 t="s">
        <v>184</v>
      </c>
      <c r="L39">
        <v>0</v>
      </c>
      <c r="M39" t="s">
        <v>148</v>
      </c>
      <c r="N39">
        <v>0</v>
      </c>
      <c r="R39" s="3" t="e">
        <v>#DIV/0!</v>
      </c>
      <c r="S39" s="3" t="e">
        <v>#DIV/0!</v>
      </c>
      <c r="T39" s="3" t="e">
        <v>#DIV/0!</v>
      </c>
    </row>
    <row r="40" spans="1:20" x14ac:dyDescent="0.3">
      <c r="A40" t="s">
        <v>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K40" t="s">
        <v>185</v>
      </c>
      <c r="L40">
        <v>0</v>
      </c>
      <c r="M40" t="s">
        <v>148</v>
      </c>
      <c r="N40">
        <v>0</v>
      </c>
      <c r="R40" s="3" t="e">
        <v>#DIV/0!</v>
      </c>
      <c r="S40" s="3" t="e">
        <v>#DIV/0!</v>
      </c>
      <c r="T40" s="3" t="e">
        <v>#DIV/0!</v>
      </c>
    </row>
    <row r="41" spans="1:20" x14ac:dyDescent="0.3">
      <c r="A41" t="s">
        <v>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 t="s">
        <v>186</v>
      </c>
      <c r="L41">
        <v>0</v>
      </c>
      <c r="M41" t="s">
        <v>148</v>
      </c>
      <c r="N41">
        <v>0</v>
      </c>
      <c r="R41" s="3" t="e">
        <v>#DIV/0!</v>
      </c>
      <c r="S41" s="3" t="e">
        <v>#DIV/0!</v>
      </c>
      <c r="T41" s="3" t="e">
        <v>#DIV/0!</v>
      </c>
    </row>
    <row r="42" spans="1:20" x14ac:dyDescent="0.3">
      <c r="A42" t="s">
        <v>100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K42" t="s">
        <v>187</v>
      </c>
      <c r="L42">
        <v>0</v>
      </c>
      <c r="M42" t="s">
        <v>148</v>
      </c>
      <c r="N42">
        <v>0</v>
      </c>
      <c r="R42" s="3" t="e">
        <v>#DIV/0!</v>
      </c>
      <c r="S42" s="3" t="e">
        <v>#DIV/0!</v>
      </c>
      <c r="T42" s="3" t="e">
        <v>#DIV/0!</v>
      </c>
    </row>
    <row r="43" spans="1:20" x14ac:dyDescent="0.3">
      <c r="A43" t="s">
        <v>101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t="s">
        <v>188</v>
      </c>
      <c r="L43">
        <v>0</v>
      </c>
      <c r="M43" t="s">
        <v>148</v>
      </c>
      <c r="N43">
        <v>0</v>
      </c>
      <c r="R43" s="3" t="e">
        <v>#DIV/0!</v>
      </c>
      <c r="S43" s="3" t="e">
        <v>#DIV/0!</v>
      </c>
      <c r="T43" s="3" t="e">
        <v>#DIV/0!</v>
      </c>
    </row>
    <row r="44" spans="1:20" x14ac:dyDescent="0.3">
      <c r="A44" t="s">
        <v>102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K44" t="s">
        <v>189</v>
      </c>
      <c r="L44">
        <v>0</v>
      </c>
      <c r="M44" t="s">
        <v>148</v>
      </c>
      <c r="N44">
        <v>0</v>
      </c>
      <c r="R44" s="3" t="e">
        <v>#DIV/0!</v>
      </c>
      <c r="S44" s="3" t="e">
        <v>#DIV/0!</v>
      </c>
      <c r="T44" s="3" t="e">
        <v>#DIV/0!</v>
      </c>
    </row>
    <row r="45" spans="1:20" x14ac:dyDescent="0.3">
      <c r="A45" t="s">
        <v>103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t="s">
        <v>190</v>
      </c>
      <c r="L45">
        <v>0</v>
      </c>
      <c r="M45" t="s">
        <v>148</v>
      </c>
      <c r="N45">
        <v>0</v>
      </c>
      <c r="R45" s="3" t="e">
        <v>#DIV/0!</v>
      </c>
      <c r="S45" s="3" t="e">
        <v>#DIV/0!</v>
      </c>
      <c r="T45" s="3" t="e">
        <v>#DIV/0!</v>
      </c>
    </row>
    <row r="46" spans="1:20" x14ac:dyDescent="0.3">
      <c r="A46" t="s">
        <v>104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 t="s">
        <v>191</v>
      </c>
      <c r="L46">
        <v>0</v>
      </c>
      <c r="M46" t="s">
        <v>148</v>
      </c>
      <c r="N46">
        <v>0</v>
      </c>
      <c r="R46" s="3" t="e">
        <v>#DIV/0!</v>
      </c>
      <c r="S46" s="3" t="e">
        <v>#DIV/0!</v>
      </c>
      <c r="T46" s="3" t="e">
        <v>#DIV/0!</v>
      </c>
    </row>
    <row r="47" spans="1:20" x14ac:dyDescent="0.3">
      <c r="A47" t="s">
        <v>105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t="s">
        <v>192</v>
      </c>
      <c r="L47">
        <v>0</v>
      </c>
      <c r="M47" t="s">
        <v>148</v>
      </c>
      <c r="N47">
        <v>0</v>
      </c>
      <c r="R47" s="3" t="e">
        <v>#DIV/0!</v>
      </c>
      <c r="S47" s="3" t="e">
        <v>#DIV/0!</v>
      </c>
      <c r="T47" s="3" t="e">
        <v>#DIV/0!</v>
      </c>
    </row>
    <row r="48" spans="1:20" x14ac:dyDescent="0.3">
      <c r="A48" t="s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t="s">
        <v>193</v>
      </c>
      <c r="L48">
        <v>0</v>
      </c>
      <c r="M48" t="s">
        <v>148</v>
      </c>
      <c r="N48">
        <v>0</v>
      </c>
      <c r="R48" s="3" t="e">
        <v>#DIV/0!</v>
      </c>
      <c r="S48" s="3" t="e">
        <v>#DIV/0!</v>
      </c>
      <c r="T48" s="3" t="e">
        <v>#DIV/0!</v>
      </c>
    </row>
    <row r="49" spans="1:20" x14ac:dyDescent="0.3">
      <c r="A49" t="s">
        <v>107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t="s">
        <v>194</v>
      </c>
      <c r="L49">
        <v>0</v>
      </c>
      <c r="M49" t="s">
        <v>148</v>
      </c>
      <c r="N49">
        <v>0</v>
      </c>
      <c r="R49" s="3" t="e">
        <v>#DIV/0!</v>
      </c>
      <c r="S49" s="3" t="e">
        <v>#DIV/0!</v>
      </c>
      <c r="T49" s="3" t="e">
        <v>#DIV/0!</v>
      </c>
    </row>
    <row r="50" spans="1:20" x14ac:dyDescent="0.3">
      <c r="A50" t="s">
        <v>108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t="s">
        <v>195</v>
      </c>
      <c r="L50">
        <v>0</v>
      </c>
      <c r="M50" t="s">
        <v>148</v>
      </c>
      <c r="N50">
        <v>0</v>
      </c>
      <c r="R50" s="3" t="e">
        <v>#DIV/0!</v>
      </c>
      <c r="S50" s="3" t="e">
        <v>#DIV/0!</v>
      </c>
      <c r="T50" s="3" t="e">
        <v>#DIV/0!</v>
      </c>
    </row>
    <row r="51" spans="1:20" x14ac:dyDescent="0.3">
      <c r="A51" t="s">
        <v>109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t="s">
        <v>196</v>
      </c>
      <c r="L51">
        <v>0</v>
      </c>
      <c r="M51" t="s">
        <v>148</v>
      </c>
      <c r="N51">
        <v>0</v>
      </c>
      <c r="R51" s="3" t="e">
        <v>#DIV/0!</v>
      </c>
      <c r="S51" s="3" t="e">
        <v>#DIV/0!</v>
      </c>
      <c r="T51" s="3" t="e">
        <v>#DIV/0!</v>
      </c>
    </row>
    <row r="52" spans="1:20" x14ac:dyDescent="0.3">
      <c r="A52" t="s">
        <v>110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t="s">
        <v>197</v>
      </c>
      <c r="L52">
        <v>0</v>
      </c>
      <c r="M52" t="s">
        <v>148</v>
      </c>
      <c r="N52">
        <v>0</v>
      </c>
      <c r="R52" s="3" t="e">
        <v>#DIV/0!</v>
      </c>
      <c r="S52" s="3" t="e">
        <v>#DIV/0!</v>
      </c>
      <c r="T52" s="3" t="e">
        <v>#DIV/0!</v>
      </c>
    </row>
    <row r="53" spans="1:20" x14ac:dyDescent="0.3">
      <c r="A53" t="s">
        <v>111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t="s">
        <v>198</v>
      </c>
      <c r="L53">
        <v>0</v>
      </c>
      <c r="M53" t="s">
        <v>148</v>
      </c>
      <c r="N53">
        <v>0</v>
      </c>
      <c r="R53" s="3" t="e">
        <v>#DIV/0!</v>
      </c>
      <c r="S53" s="3" t="e">
        <v>#DIV/0!</v>
      </c>
      <c r="T53" s="3" t="e">
        <v>#DIV/0!</v>
      </c>
    </row>
    <row r="54" spans="1:20" x14ac:dyDescent="0.3">
      <c r="A54" t="s">
        <v>112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t="s">
        <v>199</v>
      </c>
      <c r="L54">
        <v>0</v>
      </c>
      <c r="M54" t="s">
        <v>148</v>
      </c>
      <c r="N54">
        <v>0</v>
      </c>
      <c r="R54" s="3" t="e">
        <v>#DIV/0!</v>
      </c>
      <c r="S54" s="3" t="e">
        <v>#DIV/0!</v>
      </c>
      <c r="T54" s="3" t="e">
        <v>#DIV/0!</v>
      </c>
    </row>
    <row r="55" spans="1:20" x14ac:dyDescent="0.3">
      <c r="A55" t="s">
        <v>113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t="s">
        <v>200</v>
      </c>
      <c r="L55">
        <v>0</v>
      </c>
      <c r="M55" t="s">
        <v>148</v>
      </c>
      <c r="N55">
        <v>0</v>
      </c>
      <c r="R55" s="3" t="e">
        <v>#DIV/0!</v>
      </c>
      <c r="S55" s="3" t="e">
        <v>#DIV/0!</v>
      </c>
      <c r="T55" s="3" t="e">
        <v>#DIV/0!</v>
      </c>
    </row>
    <row r="56" spans="1:20" x14ac:dyDescent="0.3">
      <c r="A56" t="s">
        <v>114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t="s">
        <v>201</v>
      </c>
      <c r="L56">
        <v>0</v>
      </c>
      <c r="M56" t="s">
        <v>148</v>
      </c>
      <c r="N56">
        <v>0</v>
      </c>
      <c r="R56" s="3" t="e">
        <v>#DIV/0!</v>
      </c>
      <c r="S56" s="3" t="e">
        <v>#DIV/0!</v>
      </c>
      <c r="T56" s="3" t="e">
        <v>#DIV/0!</v>
      </c>
    </row>
    <row r="57" spans="1:20" x14ac:dyDescent="0.3">
      <c r="A57" t="s">
        <v>115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t="s">
        <v>202</v>
      </c>
      <c r="L57">
        <v>0</v>
      </c>
      <c r="M57" t="s">
        <v>148</v>
      </c>
      <c r="N57">
        <v>0</v>
      </c>
      <c r="R57" s="3" t="e">
        <v>#DIV/0!</v>
      </c>
      <c r="S57" s="3" t="e">
        <v>#DIV/0!</v>
      </c>
      <c r="T57" s="3" t="e">
        <v>#DIV/0!</v>
      </c>
    </row>
    <row r="58" spans="1:20" x14ac:dyDescent="0.3">
      <c r="A58" t="s">
        <v>116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t="s">
        <v>203</v>
      </c>
      <c r="L58">
        <v>0</v>
      </c>
      <c r="M58" t="s">
        <v>148</v>
      </c>
      <c r="N58">
        <v>0</v>
      </c>
      <c r="R58" s="3" t="e">
        <v>#DIV/0!</v>
      </c>
      <c r="S58" s="3" t="e">
        <v>#DIV/0!</v>
      </c>
      <c r="T58" s="3" t="e">
        <v>#DIV/0!</v>
      </c>
    </row>
    <row r="59" spans="1:20" x14ac:dyDescent="0.3">
      <c r="A59" t="s">
        <v>117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t="s">
        <v>204</v>
      </c>
      <c r="L59">
        <v>0</v>
      </c>
      <c r="M59" t="s">
        <v>148</v>
      </c>
      <c r="N59">
        <v>0</v>
      </c>
      <c r="R59" s="3" t="e">
        <v>#DIV/0!</v>
      </c>
      <c r="S59" s="3" t="e">
        <v>#DIV/0!</v>
      </c>
      <c r="T59" s="3" t="e">
        <v>#DIV/0!</v>
      </c>
    </row>
    <row r="60" spans="1:20" x14ac:dyDescent="0.3">
      <c r="A60" t="s">
        <v>118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K60" t="s">
        <v>205</v>
      </c>
      <c r="L60">
        <v>0</v>
      </c>
      <c r="M60" t="s">
        <v>148</v>
      </c>
      <c r="N60">
        <v>0</v>
      </c>
      <c r="R60" s="3" t="e">
        <v>#DIV/0!</v>
      </c>
      <c r="S60" s="3" t="e">
        <v>#DIV/0!</v>
      </c>
      <c r="T60" s="3" t="e">
        <v>#DIV/0!</v>
      </c>
    </row>
    <row r="61" spans="1:20" x14ac:dyDescent="0.3">
      <c r="A61" t="s">
        <v>119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 t="s">
        <v>206</v>
      </c>
      <c r="L61">
        <v>0</v>
      </c>
      <c r="M61" t="s">
        <v>148</v>
      </c>
      <c r="N61">
        <v>0</v>
      </c>
      <c r="R61" s="3" t="e">
        <v>#DIV/0!</v>
      </c>
      <c r="S61" s="3" t="e">
        <v>#DIV/0!</v>
      </c>
      <c r="T61" s="3" t="e">
        <v>#DIV/0!</v>
      </c>
    </row>
    <row r="62" spans="1:20" x14ac:dyDescent="0.3">
      <c r="A62" t="s">
        <v>120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 t="s">
        <v>207</v>
      </c>
      <c r="L62">
        <v>0</v>
      </c>
      <c r="M62" t="s">
        <v>148</v>
      </c>
      <c r="N62">
        <v>0</v>
      </c>
      <c r="R62" s="3" t="e">
        <v>#DIV/0!</v>
      </c>
      <c r="S62" s="3" t="e">
        <v>#DIV/0!</v>
      </c>
      <c r="T62" s="3" t="e">
        <v>#DIV/0!</v>
      </c>
    </row>
    <row r="63" spans="1:20" x14ac:dyDescent="0.3">
      <c r="A63" t="s">
        <v>121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K63" t="s">
        <v>208</v>
      </c>
      <c r="L63">
        <v>0</v>
      </c>
      <c r="M63" t="s">
        <v>148</v>
      </c>
      <c r="N63">
        <v>0</v>
      </c>
      <c r="R63" s="3" t="e">
        <v>#DIV/0!</v>
      </c>
      <c r="S63" s="3" t="e">
        <v>#DIV/0!</v>
      </c>
      <c r="T63" s="3" t="e">
        <v>#DIV/0!</v>
      </c>
    </row>
    <row r="64" spans="1:20" x14ac:dyDescent="0.3">
      <c r="A64" t="s">
        <v>122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 t="s">
        <v>209</v>
      </c>
      <c r="L64">
        <v>0</v>
      </c>
      <c r="M64" t="s">
        <v>148</v>
      </c>
      <c r="N64">
        <v>0</v>
      </c>
      <c r="R64" s="3" t="e">
        <v>#DIV/0!</v>
      </c>
      <c r="S64" s="3" t="e">
        <v>#DIV/0!</v>
      </c>
      <c r="T64" s="3" t="e">
        <v>#DIV/0!</v>
      </c>
    </row>
    <row r="65" spans="1:20" x14ac:dyDescent="0.3">
      <c r="A65" t="s">
        <v>123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 t="s">
        <v>210</v>
      </c>
      <c r="L65">
        <v>0</v>
      </c>
      <c r="M65" t="s">
        <v>148</v>
      </c>
      <c r="N65">
        <v>0</v>
      </c>
      <c r="R65" s="3" t="e">
        <v>#DIV/0!</v>
      </c>
      <c r="S65" s="3" t="e">
        <v>#DIV/0!</v>
      </c>
      <c r="T65" s="3" t="e">
        <v>#DIV/0!</v>
      </c>
    </row>
    <row r="66" spans="1:20" x14ac:dyDescent="0.3">
      <c r="K66" t="s">
        <v>211</v>
      </c>
      <c r="L66">
        <v>0</v>
      </c>
      <c r="M66" t="s">
        <v>148</v>
      </c>
      <c r="N66">
        <v>0</v>
      </c>
      <c r="S66" t="e">
        <v>#DIV/0!</v>
      </c>
      <c r="T66" s="3" t="e">
        <v>#N/A</v>
      </c>
    </row>
  </sheetData>
  <phoneticPr fontId="2" type="noConversion"/>
  <conditionalFormatting sqref="T3:T6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{7A4F7F9E-B265-4CB7-BBD9-48628431E701}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4F7F9E-B265-4CB7-BBD9-48628431E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T3:T66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2"/>
  <sheetViews>
    <sheetView workbookViewId="0">
      <selection activeCell="N34" sqref="A6:N34"/>
    </sheetView>
  </sheetViews>
  <sheetFormatPr defaultRowHeight="15" x14ac:dyDescent="0.3"/>
  <cols>
    <col min="1" max="1" width="23.625" bestFit="1" customWidth="1"/>
    <col min="8" max="8" width="13" bestFit="1" customWidth="1"/>
  </cols>
  <sheetData>
    <row r="1" spans="1:41" x14ac:dyDescent="0.3"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</row>
    <row r="2" spans="1:41" x14ac:dyDescent="0.3">
      <c r="A2" t="s">
        <v>144</v>
      </c>
      <c r="B2">
        <v>0</v>
      </c>
      <c r="C2">
        <v>0</v>
      </c>
      <c r="D2">
        <v>5.8200750000000001E-3</v>
      </c>
      <c r="E2">
        <v>2.8373700000000001E-3</v>
      </c>
      <c r="F2">
        <v>2.0545199999999998E-3</v>
      </c>
      <c r="G2">
        <v>9.9846765000000004E-2</v>
      </c>
      <c r="H2">
        <v>5.2129429999999997E-2</v>
      </c>
      <c r="I2">
        <v>2.3740013000000001E-2</v>
      </c>
      <c r="J2">
        <v>2.3382777E-2</v>
      </c>
      <c r="K2">
        <v>2.9321300000000001E-4</v>
      </c>
      <c r="L2">
        <v>2.36593E-4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145</v>
      </c>
      <c r="B3">
        <v>0</v>
      </c>
      <c r="C3">
        <v>0</v>
      </c>
      <c r="D3">
        <v>4.2640000000000004E-3</v>
      </c>
      <c r="E3">
        <v>2.0658999999999999E-3</v>
      </c>
      <c r="F3">
        <v>9.7502500000000002E-4</v>
      </c>
      <c r="G3">
        <v>3.3981339999999999E-2</v>
      </c>
      <c r="H3">
        <v>1.820929E-2</v>
      </c>
      <c r="I3">
        <v>1.035547E-2</v>
      </c>
      <c r="J3">
        <v>1.0029005000000001E-2</v>
      </c>
      <c r="K3">
        <v>2.0905000000000001E-4</v>
      </c>
      <c r="L3">
        <v>1.64625E-4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146</v>
      </c>
      <c r="B4">
        <v>0</v>
      </c>
      <c r="C4">
        <v>0</v>
      </c>
      <c r="D4">
        <v>2.2404999999999999E-3</v>
      </c>
      <c r="E4">
        <v>1.0938E-3</v>
      </c>
      <c r="F4">
        <v>4.9510000000000005E-4</v>
      </c>
      <c r="G4">
        <v>1.5695325E-2</v>
      </c>
      <c r="H4">
        <v>1.1232900000000001E-2</v>
      </c>
      <c r="I4">
        <v>6.3969250000000004E-3</v>
      </c>
      <c r="J4">
        <v>6.1862000000000002E-3</v>
      </c>
      <c r="K4">
        <v>1.2802500000000001E-4</v>
      </c>
      <c r="L4">
        <v>1.0375E-4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6" spans="1:41" x14ac:dyDescent="0.3">
      <c r="K6" s="1"/>
      <c r="L6" s="1"/>
    </row>
    <row r="7" spans="1:41" x14ac:dyDescent="0.3">
      <c r="K7" s="1"/>
      <c r="L7" s="1"/>
    </row>
    <row r="8" spans="1:41" x14ac:dyDescent="0.3">
      <c r="K8" s="1"/>
      <c r="L8" s="1"/>
    </row>
    <row r="9" spans="1:41" x14ac:dyDescent="0.3">
      <c r="K9" s="1"/>
      <c r="L9" s="1"/>
    </row>
    <row r="10" spans="1:41" x14ac:dyDescent="0.3">
      <c r="K10" s="1"/>
      <c r="L10" s="1"/>
    </row>
    <row r="11" spans="1:41" x14ac:dyDescent="0.3">
      <c r="K11" s="1"/>
      <c r="L11" s="1"/>
    </row>
    <row r="12" spans="1:41" x14ac:dyDescent="0.3">
      <c r="K12" s="1"/>
      <c r="L12" s="1"/>
    </row>
    <row r="13" spans="1:41" x14ac:dyDescent="0.3">
      <c r="K13" s="1"/>
      <c r="L13" s="1"/>
    </row>
    <row r="14" spans="1:41" x14ac:dyDescent="0.3">
      <c r="K14" s="1"/>
      <c r="L14" s="1"/>
    </row>
    <row r="15" spans="1:41" x14ac:dyDescent="0.3">
      <c r="K15" s="1"/>
      <c r="L15" s="1"/>
    </row>
    <row r="16" spans="1:41" x14ac:dyDescent="0.3">
      <c r="K16" s="1"/>
      <c r="L16" s="1"/>
    </row>
    <row r="17" spans="11:12" x14ac:dyDescent="0.3">
      <c r="K17" s="1"/>
      <c r="L17" s="1"/>
    </row>
    <row r="18" spans="11:12" x14ac:dyDescent="0.3">
      <c r="K18" s="1"/>
      <c r="L18" s="1"/>
    </row>
    <row r="19" spans="11:12" x14ac:dyDescent="0.3">
      <c r="K19" s="1"/>
      <c r="L19" s="1"/>
    </row>
    <row r="20" spans="11:12" x14ac:dyDescent="0.3">
      <c r="K20" s="1"/>
      <c r="L20" s="1"/>
    </row>
    <row r="21" spans="11:12" x14ac:dyDescent="0.3">
      <c r="K21" s="1"/>
      <c r="L21" s="1"/>
    </row>
    <row r="22" spans="11:12" x14ac:dyDescent="0.3">
      <c r="K22" s="1"/>
      <c r="L22" s="1"/>
    </row>
    <row r="23" spans="11:12" x14ac:dyDescent="0.3">
      <c r="K23" s="1"/>
      <c r="L23" s="1"/>
    </row>
    <row r="24" spans="11:12" x14ac:dyDescent="0.3">
      <c r="K24" s="1"/>
      <c r="L24" s="1"/>
    </row>
    <row r="25" spans="11:12" x14ac:dyDescent="0.3">
      <c r="K25" s="1"/>
      <c r="L25" s="1"/>
    </row>
    <row r="26" spans="11:12" x14ac:dyDescent="0.3">
      <c r="K26" s="1"/>
      <c r="L26" s="1"/>
    </row>
    <row r="27" spans="11:12" x14ac:dyDescent="0.3">
      <c r="K27" s="1"/>
      <c r="L27" s="1"/>
    </row>
    <row r="28" spans="11:12" x14ac:dyDescent="0.3">
      <c r="K28" s="1"/>
      <c r="L28" s="1"/>
    </row>
    <row r="29" spans="11:12" x14ac:dyDescent="0.3">
      <c r="K29" s="1"/>
      <c r="L29" s="1"/>
    </row>
    <row r="30" spans="11:12" x14ac:dyDescent="0.3">
      <c r="K30" s="1"/>
      <c r="L30" s="1"/>
    </row>
    <row r="31" spans="11:12" x14ac:dyDescent="0.3">
      <c r="K31" s="1"/>
      <c r="L31" s="1"/>
    </row>
    <row r="32" spans="11:12" x14ac:dyDescent="0.3">
      <c r="K32" s="1"/>
      <c r="L32" s="1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2"/>
  <sheetViews>
    <sheetView tabSelected="1" workbookViewId="0">
      <selection activeCell="Q23" sqref="Q23"/>
    </sheetView>
  </sheetViews>
  <sheetFormatPr defaultRowHeight="15" x14ac:dyDescent="0.3"/>
  <cols>
    <col min="1" max="1" width="23.625" bestFit="1" customWidth="1"/>
    <col min="2" max="2" width="9.5" bestFit="1" customWidth="1"/>
    <col min="3" max="3" width="4.375" bestFit="1" customWidth="1"/>
    <col min="4" max="4" width="9.5" bestFit="1" customWidth="1"/>
    <col min="5" max="5" width="10.625" bestFit="1" customWidth="1"/>
    <col min="6" max="6" width="7.375" bestFit="1" customWidth="1"/>
    <col min="7" max="8" width="10.625" bestFit="1" customWidth="1"/>
    <col min="9" max="9" width="24.375" bestFit="1" customWidth="1"/>
  </cols>
  <sheetData>
    <row r="1" spans="1:41" x14ac:dyDescent="0.3"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</row>
    <row r="2" spans="1:41" x14ac:dyDescent="0.3">
      <c r="A2" t="s">
        <v>144</v>
      </c>
      <c r="B2">
        <v>0</v>
      </c>
      <c r="C2">
        <v>0</v>
      </c>
      <c r="D2">
        <v>65270</v>
      </c>
      <c r="E2">
        <v>69973</v>
      </c>
      <c r="F2">
        <v>69396</v>
      </c>
      <c r="G2">
        <v>12125911</v>
      </c>
      <c r="H2">
        <v>12551912</v>
      </c>
      <c r="I2">
        <v>13722440</v>
      </c>
      <c r="J2">
        <v>13716307</v>
      </c>
      <c r="K2">
        <v>70503</v>
      </c>
      <c r="L2">
        <v>56488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145</v>
      </c>
      <c r="B3">
        <v>0</v>
      </c>
      <c r="C3">
        <v>0</v>
      </c>
      <c r="D3">
        <v>8226</v>
      </c>
      <c r="E3">
        <v>8869</v>
      </c>
      <c r="F3">
        <v>8997</v>
      </c>
      <c r="G3">
        <v>1001934</v>
      </c>
      <c r="H3">
        <v>1039643</v>
      </c>
      <c r="I3">
        <v>1134490</v>
      </c>
      <c r="J3">
        <v>1136036</v>
      </c>
      <c r="K3">
        <v>8791</v>
      </c>
      <c r="L3">
        <v>6686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146</v>
      </c>
      <c r="B4">
        <v>0</v>
      </c>
      <c r="C4">
        <v>0</v>
      </c>
      <c r="D4">
        <v>1123</v>
      </c>
      <c r="E4">
        <v>1199</v>
      </c>
      <c r="F4">
        <v>1074</v>
      </c>
      <c r="G4">
        <v>123130</v>
      </c>
      <c r="H4">
        <v>128438</v>
      </c>
      <c r="I4">
        <v>140346</v>
      </c>
      <c r="J4">
        <v>140530</v>
      </c>
      <c r="K4">
        <v>1114</v>
      </c>
      <c r="L4">
        <v>880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6" spans="1:41" x14ac:dyDescent="0.3">
      <c r="A6" t="s">
        <v>214</v>
      </c>
      <c r="B6">
        <v>198282</v>
      </c>
      <c r="C6">
        <v>3</v>
      </c>
      <c r="D6" cm="1">
        <f t="array" ref="D6:D32">B6:B32/C6:C32</f>
        <v>66094</v>
      </c>
      <c r="E6" cm="1">
        <f t="array" ref="E6:E8">D2:D4</f>
        <v>65270</v>
      </c>
      <c r="G6" s="1" cm="1">
        <f t="array" ref="G6:G32">_xlfn.ANCHORARRAY(D6)/100000000</f>
        <v>6.6094000000000005E-4</v>
      </c>
      <c r="H6" s="1" cm="1">
        <f t="array" ref="H6:H32">E6:E32/100000000</f>
        <v>6.5269999999999998E-4</v>
      </c>
      <c r="I6" s="4" cm="1">
        <f t="array" ref="I6:I32">(_xlfn.ANCHORARRAY(G6)-_xlfn.ANCHORARRAY(H6))/_xlfn.ANCHORARRAY(H6)</f>
        <v>1.2624482917113636E-2</v>
      </c>
    </row>
    <row r="7" spans="1:41" x14ac:dyDescent="0.3">
      <c r="A7" t="s">
        <v>215</v>
      </c>
      <c r="B7">
        <v>33448</v>
      </c>
      <c r="C7">
        <v>4</v>
      </c>
      <c r="D7">
        <v>8362</v>
      </c>
      <c r="E7">
        <v>8226</v>
      </c>
      <c r="G7" s="1">
        <v>8.3620000000000002E-5</v>
      </c>
      <c r="H7" s="1">
        <v>8.2260000000000002E-5</v>
      </c>
      <c r="I7" s="1">
        <v>1.6532944322878683E-2</v>
      </c>
    </row>
    <row r="8" spans="1:41" x14ac:dyDescent="0.3">
      <c r="A8" t="s">
        <v>216</v>
      </c>
      <c r="B8">
        <v>5705</v>
      </c>
      <c r="C8">
        <v>5</v>
      </c>
      <c r="D8">
        <v>1141</v>
      </c>
      <c r="E8">
        <v>1123</v>
      </c>
      <c r="G8" s="1">
        <v>1.1409999999999999E-5</v>
      </c>
      <c r="H8" s="1">
        <v>1.1229999999999999E-5</v>
      </c>
      <c r="I8" s="1">
        <v>1.6028495102404273E-2</v>
      </c>
    </row>
    <row r="9" spans="1:41" x14ac:dyDescent="0.3">
      <c r="A9" t="s">
        <v>217</v>
      </c>
      <c r="B9">
        <v>209208</v>
      </c>
      <c r="C9">
        <v>3</v>
      </c>
      <c r="D9">
        <v>69736</v>
      </c>
      <c r="E9" cm="1">
        <f t="array" ref="E9:E11">E2:E4</f>
        <v>69973</v>
      </c>
      <c r="G9" s="1">
        <v>6.9735999999999995E-4</v>
      </c>
      <c r="H9" s="1">
        <v>6.9972999999999997E-4</v>
      </c>
      <c r="I9" s="1">
        <v>-3.387020707987395E-3</v>
      </c>
    </row>
    <row r="10" spans="1:41" x14ac:dyDescent="0.3">
      <c r="A10" t="s">
        <v>218</v>
      </c>
      <c r="B10">
        <v>35976</v>
      </c>
      <c r="C10">
        <v>4</v>
      </c>
      <c r="D10">
        <v>8994</v>
      </c>
      <c r="E10">
        <v>8869</v>
      </c>
      <c r="G10" s="1">
        <v>8.9939999999999996E-5</v>
      </c>
      <c r="H10" s="1">
        <v>8.8690000000000006E-5</v>
      </c>
      <c r="I10" s="1">
        <v>1.4094035404216819E-2</v>
      </c>
    </row>
    <row r="11" spans="1:41" x14ac:dyDescent="0.3">
      <c r="A11" t="s">
        <v>219</v>
      </c>
      <c r="B11">
        <v>5635</v>
      </c>
      <c r="C11">
        <v>5</v>
      </c>
      <c r="D11">
        <v>1127</v>
      </c>
      <c r="E11">
        <v>1199</v>
      </c>
      <c r="G11" s="1">
        <v>1.1270000000000001E-5</v>
      </c>
      <c r="H11" s="1">
        <v>1.199E-5</v>
      </c>
      <c r="I11" s="1">
        <v>-6.0050041701417839E-2</v>
      </c>
    </row>
    <row r="12" spans="1:41" x14ac:dyDescent="0.3">
      <c r="A12" t="s">
        <v>220</v>
      </c>
      <c r="B12">
        <v>208545</v>
      </c>
      <c r="C12">
        <v>3</v>
      </c>
      <c r="D12">
        <v>69515</v>
      </c>
      <c r="E12" cm="1">
        <f t="array" ref="E12:E14">F2:F4</f>
        <v>69396</v>
      </c>
      <c r="G12" s="1">
        <v>6.9514999999999996E-4</v>
      </c>
      <c r="H12" s="1">
        <v>6.9395999999999998E-4</v>
      </c>
      <c r="I12" s="1">
        <v>1.7147962418582918E-3</v>
      </c>
    </row>
    <row r="13" spans="1:41" x14ac:dyDescent="0.3">
      <c r="A13" t="s">
        <v>221</v>
      </c>
      <c r="B13">
        <v>36212</v>
      </c>
      <c r="C13">
        <v>4</v>
      </c>
      <c r="D13">
        <v>9053</v>
      </c>
      <c r="E13">
        <v>8997</v>
      </c>
      <c r="G13" s="1">
        <v>9.0530000000000002E-5</v>
      </c>
      <c r="H13" s="1">
        <v>8.9969999999999994E-5</v>
      </c>
      <c r="I13" s="1">
        <v>6.2242969878849421E-3</v>
      </c>
    </row>
    <row r="14" spans="1:41" x14ac:dyDescent="0.3">
      <c r="A14" t="s">
        <v>222</v>
      </c>
      <c r="B14">
        <v>5585</v>
      </c>
      <c r="C14">
        <v>5</v>
      </c>
      <c r="D14">
        <v>1117</v>
      </c>
      <c r="E14">
        <v>1074</v>
      </c>
      <c r="G14" s="1">
        <v>1.117E-5</v>
      </c>
      <c r="H14" s="1">
        <v>1.0740000000000001E-5</v>
      </c>
      <c r="I14" s="1">
        <v>4.0037243947858403E-2</v>
      </c>
    </row>
    <row r="15" spans="1:41" x14ac:dyDescent="0.3">
      <c r="A15" t="s">
        <v>223</v>
      </c>
      <c r="B15">
        <v>36353550</v>
      </c>
      <c r="C15">
        <v>3</v>
      </c>
      <c r="D15">
        <v>12117850</v>
      </c>
      <c r="E15" cm="1">
        <f t="array" ref="E15:E17">G2:G4</f>
        <v>12125911</v>
      </c>
      <c r="G15" s="1">
        <v>0.12117849999999999</v>
      </c>
      <c r="H15" s="1">
        <v>0.12125911</v>
      </c>
      <c r="I15" s="1">
        <v>-6.6477479506495411E-4</v>
      </c>
    </row>
    <row r="16" spans="1:41" x14ac:dyDescent="0.3">
      <c r="A16" t="s">
        <v>224</v>
      </c>
      <c r="B16">
        <v>4016804</v>
      </c>
      <c r="C16">
        <v>4</v>
      </c>
      <c r="D16">
        <v>1004201</v>
      </c>
      <c r="E16">
        <v>1001934</v>
      </c>
      <c r="G16" s="1">
        <v>1.0042010000000001E-2</v>
      </c>
      <c r="H16" s="1">
        <v>1.001934E-2</v>
      </c>
      <c r="I16" s="1">
        <v>2.2626240850196397E-3</v>
      </c>
    </row>
    <row r="17" spans="1:9" x14ac:dyDescent="0.3">
      <c r="A17" t="s">
        <v>225</v>
      </c>
      <c r="B17">
        <v>618015</v>
      </c>
      <c r="C17">
        <v>5</v>
      </c>
      <c r="D17">
        <v>123603</v>
      </c>
      <c r="E17">
        <v>123130</v>
      </c>
      <c r="G17" s="1">
        <v>1.2360299999999999E-3</v>
      </c>
      <c r="H17" s="1">
        <v>1.2313000000000001E-3</v>
      </c>
      <c r="I17" s="1">
        <v>3.8414683667667357E-3</v>
      </c>
    </row>
    <row r="18" spans="1:9" x14ac:dyDescent="0.3">
      <c r="A18" t="s">
        <v>226</v>
      </c>
      <c r="B18">
        <v>37658316</v>
      </c>
      <c r="C18">
        <v>3</v>
      </c>
      <c r="D18">
        <v>12552772</v>
      </c>
      <c r="E18" cm="1">
        <f t="array" ref="E18:E20">H2:H4</f>
        <v>12551912</v>
      </c>
      <c r="G18" s="1">
        <v>0.12552772000000001</v>
      </c>
      <c r="H18" s="1">
        <v>0.12551912000000001</v>
      </c>
      <c r="I18" s="1">
        <v>6.8515458043344292E-5</v>
      </c>
    </row>
    <row r="19" spans="1:9" x14ac:dyDescent="0.3">
      <c r="A19" t="s">
        <v>227</v>
      </c>
      <c r="B19">
        <v>4151248</v>
      </c>
      <c r="C19">
        <v>4</v>
      </c>
      <c r="D19">
        <v>1037812</v>
      </c>
      <c r="E19">
        <v>1039643</v>
      </c>
      <c r="G19" s="1">
        <v>1.0378119999999999E-2</v>
      </c>
      <c r="H19" s="1">
        <v>1.039643E-2</v>
      </c>
      <c r="I19" s="1">
        <v>-1.761181482489715E-3</v>
      </c>
    </row>
    <row r="20" spans="1:9" x14ac:dyDescent="0.3">
      <c r="A20" t="s">
        <v>228</v>
      </c>
      <c r="B20">
        <v>640780</v>
      </c>
      <c r="C20">
        <v>5</v>
      </c>
      <c r="D20">
        <v>128156</v>
      </c>
      <c r="E20">
        <v>128438</v>
      </c>
      <c r="G20" s="1">
        <v>1.2815599999999999E-3</v>
      </c>
      <c r="H20" s="1">
        <v>1.2843799999999999E-3</v>
      </c>
      <c r="I20" s="1">
        <v>-2.1956118905619437E-3</v>
      </c>
    </row>
    <row r="21" spans="1:9" x14ac:dyDescent="0.3">
      <c r="A21" t="s">
        <v>229</v>
      </c>
      <c r="B21">
        <v>41153409</v>
      </c>
      <c r="C21">
        <v>3</v>
      </c>
      <c r="D21">
        <v>13717803</v>
      </c>
      <c r="E21" cm="1">
        <f t="array" ref="E21:E23">I2:I4</f>
        <v>13722440</v>
      </c>
      <c r="G21" s="1">
        <v>0.13717803000000001</v>
      </c>
      <c r="H21" s="1">
        <v>0.1372244</v>
      </c>
      <c r="I21" s="1">
        <v>-3.37913665499649E-4</v>
      </c>
    </row>
    <row r="22" spans="1:9" x14ac:dyDescent="0.3">
      <c r="A22" t="s">
        <v>230</v>
      </c>
      <c r="B22">
        <v>4529912</v>
      </c>
      <c r="C22">
        <v>4</v>
      </c>
      <c r="D22">
        <v>1132478</v>
      </c>
      <c r="E22">
        <v>1134490</v>
      </c>
      <c r="G22" s="1">
        <v>1.132478E-2</v>
      </c>
      <c r="H22" s="1">
        <v>1.13449E-2</v>
      </c>
      <c r="I22" s="1">
        <v>-1.7734841206180933E-3</v>
      </c>
    </row>
    <row r="23" spans="1:9" x14ac:dyDescent="0.3">
      <c r="A23" t="s">
        <v>231</v>
      </c>
      <c r="B23">
        <v>703975</v>
      </c>
      <c r="C23">
        <v>5</v>
      </c>
      <c r="D23">
        <v>140795</v>
      </c>
      <c r="E23">
        <v>140346</v>
      </c>
      <c r="G23" s="1">
        <v>1.40795E-3</v>
      </c>
      <c r="H23" s="1">
        <v>1.40346E-3</v>
      </c>
      <c r="I23" s="1">
        <v>3.199236173457032E-3</v>
      </c>
    </row>
    <row r="24" spans="1:9" x14ac:dyDescent="0.3">
      <c r="A24" t="s">
        <v>232</v>
      </c>
      <c r="B24">
        <v>41156520</v>
      </c>
      <c r="C24">
        <v>3</v>
      </c>
      <c r="D24">
        <v>13718840</v>
      </c>
      <c r="E24" cm="1">
        <f t="array" ref="E24:E26">J2:J4</f>
        <v>13716307</v>
      </c>
      <c r="G24" s="1">
        <v>0.13718839999999999</v>
      </c>
      <c r="H24" s="1">
        <v>0.13716307</v>
      </c>
      <c r="I24" s="1">
        <v>1.8467069889869104E-4</v>
      </c>
    </row>
    <row r="25" spans="1:9" x14ac:dyDescent="0.3">
      <c r="A25" t="s">
        <v>233</v>
      </c>
      <c r="B25">
        <v>4531804</v>
      </c>
      <c r="C25">
        <v>4</v>
      </c>
      <c r="D25">
        <v>1132951</v>
      </c>
      <c r="E25">
        <v>1136036</v>
      </c>
      <c r="G25" s="1">
        <v>1.1329509999999999E-2</v>
      </c>
      <c r="H25" s="1">
        <v>1.136036E-2</v>
      </c>
      <c r="I25" s="1">
        <v>-2.7155829568781859E-3</v>
      </c>
    </row>
    <row r="26" spans="1:9" x14ac:dyDescent="0.3">
      <c r="A26" t="s">
        <v>234</v>
      </c>
      <c r="B26">
        <v>701325</v>
      </c>
      <c r="C26">
        <v>5</v>
      </c>
      <c r="D26">
        <v>140265</v>
      </c>
      <c r="E26">
        <v>140530</v>
      </c>
      <c r="G26" s="1">
        <v>1.4026500000000001E-3</v>
      </c>
      <c r="H26" s="1">
        <v>1.4053E-3</v>
      </c>
      <c r="I26" s="1">
        <v>-1.8857183519532304E-3</v>
      </c>
    </row>
    <row r="27" spans="1:9" x14ac:dyDescent="0.3">
      <c r="A27" t="s">
        <v>235</v>
      </c>
      <c r="B27">
        <v>212043</v>
      </c>
      <c r="C27">
        <v>3</v>
      </c>
      <c r="D27">
        <v>70681</v>
      </c>
      <c r="E27" cm="1">
        <f t="array" ref="E27:E29">K2:K4</f>
        <v>70503</v>
      </c>
      <c r="G27" s="1">
        <v>7.0680999999999999E-4</v>
      </c>
      <c r="H27" s="1">
        <v>7.0503000000000004E-4</v>
      </c>
      <c r="I27" s="1">
        <v>2.5247152603434541E-3</v>
      </c>
    </row>
    <row r="28" spans="1:9" x14ac:dyDescent="0.3">
      <c r="A28" t="s">
        <v>236</v>
      </c>
      <c r="B28">
        <v>34880</v>
      </c>
      <c r="C28">
        <v>4</v>
      </c>
      <c r="D28">
        <v>8720</v>
      </c>
      <c r="E28">
        <v>8791</v>
      </c>
      <c r="G28" s="1">
        <v>8.7200000000000005E-5</v>
      </c>
      <c r="H28" s="1">
        <v>8.7910000000000004E-5</v>
      </c>
      <c r="I28" s="1">
        <v>-8.0764418154930986E-3</v>
      </c>
    </row>
    <row r="29" spans="1:9" x14ac:dyDescent="0.3">
      <c r="A29" t="s">
        <v>237</v>
      </c>
      <c r="B29">
        <v>5410</v>
      </c>
      <c r="C29">
        <v>5</v>
      </c>
      <c r="D29">
        <v>1082</v>
      </c>
      <c r="E29">
        <v>1114</v>
      </c>
      <c r="G29" s="1">
        <v>1.082E-5</v>
      </c>
      <c r="H29" s="1">
        <v>1.114E-5</v>
      </c>
      <c r="I29" s="1">
        <v>-2.8725314183123907E-2</v>
      </c>
    </row>
    <row r="30" spans="1:9" x14ac:dyDescent="0.3">
      <c r="A30" t="s">
        <v>238</v>
      </c>
      <c r="B30">
        <v>169686</v>
      </c>
      <c r="C30">
        <v>3</v>
      </c>
      <c r="D30">
        <v>56562</v>
      </c>
      <c r="E30" cm="1">
        <f t="array" ref="E30:E32">L2:L4</f>
        <v>56488</v>
      </c>
      <c r="G30" s="1">
        <v>5.6561999999999997E-4</v>
      </c>
      <c r="H30" s="1">
        <v>5.6488000000000003E-4</v>
      </c>
      <c r="I30" s="1">
        <v>1.3100127460698593E-3</v>
      </c>
    </row>
    <row r="31" spans="1:9" x14ac:dyDescent="0.3">
      <c r="A31" t="s">
        <v>239</v>
      </c>
      <c r="B31">
        <v>27440</v>
      </c>
      <c r="C31">
        <v>4</v>
      </c>
      <c r="D31">
        <v>6860</v>
      </c>
      <c r="E31">
        <v>6686</v>
      </c>
      <c r="G31" s="1">
        <v>6.86E-5</v>
      </c>
      <c r="H31" s="1">
        <v>6.6859999999999993E-5</v>
      </c>
      <c r="I31" s="1">
        <v>2.6024528866287873E-2</v>
      </c>
    </row>
    <row r="32" spans="1:9" x14ac:dyDescent="0.3">
      <c r="A32" t="s">
        <v>240</v>
      </c>
      <c r="B32">
        <v>4640</v>
      </c>
      <c r="C32">
        <v>5</v>
      </c>
      <c r="D32">
        <v>928</v>
      </c>
      <c r="E32">
        <v>880</v>
      </c>
      <c r="G32" s="1">
        <v>9.2799999999999992E-6</v>
      </c>
      <c r="H32" s="1">
        <v>8.8000000000000004E-6</v>
      </c>
      <c r="I32" s="1">
        <v>5.4545454545454404E-2</v>
      </c>
    </row>
  </sheetData>
  <phoneticPr fontId="2" type="noConversion"/>
  <conditionalFormatting sqref="G6:I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{3AC8E712-5841-4764-BC37-EA0E9A906A4B}</x14:id>
        </ext>
      </extLst>
    </cfRule>
  </conditionalFormatting>
  <conditionalFormatting sqref="I6:I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{04999A51-9E46-411B-8105-87F174ABE24C}</x14:id>
        </ext>
      </extLst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8E712-5841-4764-BC37-EA0E9A906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G6:I32</xm:sqref>
        </x14:conditionalFormatting>
        <x14:conditionalFormatting xmlns:xm="http://schemas.microsoft.com/office/excel/2006/main">
          <x14:cfRule type="dataBar" id="{04999A51-9E46-411B-8105-87F174ABE2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I6:I32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32"/>
  <sheetViews>
    <sheetView workbookViewId="0">
      <selection activeCell="E9" sqref="E9"/>
    </sheetView>
  </sheetViews>
  <sheetFormatPr defaultRowHeight="15" x14ac:dyDescent="0.3"/>
  <cols>
    <col min="1" max="1" width="33.25" customWidth="1"/>
    <col min="2" max="2" width="9.5" bestFit="1" customWidth="1"/>
    <col min="3" max="3" width="4.375" bestFit="1" customWidth="1"/>
    <col min="4" max="4" width="9.5" bestFit="1" customWidth="1"/>
    <col min="5" max="5" width="10.625" bestFit="1" customWidth="1"/>
    <col min="6" max="6" width="8.375" bestFit="1" customWidth="1"/>
    <col min="7" max="8" width="9.5" bestFit="1" customWidth="1"/>
    <col min="9" max="9" width="25.25" bestFit="1" customWidth="1"/>
  </cols>
  <sheetData>
    <row r="1" spans="1:41" x14ac:dyDescent="0.3"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142</v>
      </c>
      <c r="AO1" t="s">
        <v>143</v>
      </c>
    </row>
    <row r="2" spans="1:41" x14ac:dyDescent="0.3">
      <c r="A2" t="s">
        <v>144</v>
      </c>
      <c r="B2">
        <v>0</v>
      </c>
      <c r="C2">
        <v>0</v>
      </c>
      <c r="D2">
        <v>167541</v>
      </c>
      <c r="E2">
        <v>214730</v>
      </c>
      <c r="F2">
        <v>203591</v>
      </c>
      <c r="G2">
        <v>7854820</v>
      </c>
      <c r="H2">
        <v>8299414</v>
      </c>
      <c r="I2">
        <v>10021492</v>
      </c>
      <c r="J2">
        <v>9666791</v>
      </c>
      <c r="K2">
        <v>222994</v>
      </c>
      <c r="L2">
        <v>180198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145</v>
      </c>
      <c r="B3">
        <v>0</v>
      </c>
      <c r="C3">
        <v>0</v>
      </c>
      <c r="D3">
        <v>25687</v>
      </c>
      <c r="E3">
        <v>32486</v>
      </c>
      <c r="F3">
        <v>30101</v>
      </c>
      <c r="G3">
        <v>694796</v>
      </c>
      <c r="H3">
        <v>783345</v>
      </c>
      <c r="I3">
        <v>937615</v>
      </c>
      <c r="J3">
        <v>874269</v>
      </c>
      <c r="K3">
        <v>33116</v>
      </c>
      <c r="L3">
        <v>26133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146</v>
      </c>
      <c r="B4">
        <v>0</v>
      </c>
      <c r="C4">
        <v>0</v>
      </c>
      <c r="D4">
        <v>3397</v>
      </c>
      <c r="E4">
        <v>4349</v>
      </c>
      <c r="F4">
        <v>3884</v>
      </c>
      <c r="G4">
        <v>84706</v>
      </c>
      <c r="H4">
        <v>96646</v>
      </c>
      <c r="I4">
        <v>115254</v>
      </c>
      <c r="J4">
        <v>107089</v>
      </c>
      <c r="K4">
        <v>4024</v>
      </c>
      <c r="L4">
        <v>3309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6" spans="1:41" x14ac:dyDescent="0.3">
      <c r="A6" t="s">
        <v>244</v>
      </c>
      <c r="B6">
        <v>1573378</v>
      </c>
      <c r="C6">
        <v>1</v>
      </c>
      <c r="D6" cm="1">
        <f t="array" ref="D6:D32">B6:B32/C6:C32</f>
        <v>1573378</v>
      </c>
      <c r="E6" cm="1">
        <f t="array" ref="E6:E8">D2:D4</f>
        <v>167541</v>
      </c>
      <c r="G6" s="1" cm="1">
        <f t="array" ref="G6:G32">_xlfn.ANCHORARRAY(D6)/1000000000</f>
        <v>1.5733780000000001E-3</v>
      </c>
      <c r="H6" s="1" cm="1">
        <f t="array" ref="H6:H32">E6:E32/100000000</f>
        <v>1.67541E-3</v>
      </c>
      <c r="I6" s="4" cm="1">
        <f t="array" ref="I6:I32">(_xlfn.ANCHORARRAY(G6)-_xlfn.ANCHORARRAY(H6))/_xlfn.ANCHORARRAY(H6)</f>
        <v>-6.0899720068520506E-2</v>
      </c>
    </row>
    <row r="7" spans="1:41" x14ac:dyDescent="0.3">
      <c r="A7" t="s">
        <v>245</v>
      </c>
      <c r="B7">
        <v>241547</v>
      </c>
      <c r="C7">
        <v>1</v>
      </c>
      <c r="D7">
        <v>241547</v>
      </c>
      <c r="E7">
        <v>25687</v>
      </c>
      <c r="G7" s="1">
        <v>2.41547E-4</v>
      </c>
      <c r="H7" s="1">
        <v>2.5687000000000003E-4</v>
      </c>
      <c r="I7" s="1">
        <v>-5.9652742632460107E-2</v>
      </c>
    </row>
    <row r="8" spans="1:41" x14ac:dyDescent="0.3">
      <c r="A8" t="s">
        <v>246</v>
      </c>
      <c r="B8">
        <v>31898</v>
      </c>
      <c r="C8">
        <v>1</v>
      </c>
      <c r="D8">
        <v>31898</v>
      </c>
      <c r="E8">
        <v>3397</v>
      </c>
      <c r="G8" s="1">
        <v>3.1897999999999999E-5</v>
      </c>
      <c r="H8" s="1">
        <v>3.3970000000000002E-5</v>
      </c>
      <c r="I8" s="1">
        <v>-6.0994995584339212E-2</v>
      </c>
    </row>
    <row r="9" spans="1:41" x14ac:dyDescent="0.3">
      <c r="A9" t="s">
        <v>247</v>
      </c>
      <c r="B9">
        <v>2042874</v>
      </c>
      <c r="C9">
        <v>1</v>
      </c>
      <c r="D9">
        <v>2042874</v>
      </c>
      <c r="E9" cm="1">
        <f t="array" ref="E9:E11">E2:E4</f>
        <v>214730</v>
      </c>
      <c r="G9" s="1">
        <v>2.0428740000000001E-3</v>
      </c>
      <c r="H9" s="1">
        <v>2.1473E-3</v>
      </c>
      <c r="I9" s="1">
        <v>-4.8631304428817544E-2</v>
      </c>
    </row>
    <row r="10" spans="1:41" x14ac:dyDescent="0.3">
      <c r="A10" t="s">
        <v>248</v>
      </c>
      <c r="B10">
        <v>308447</v>
      </c>
      <c r="C10">
        <v>1</v>
      </c>
      <c r="D10">
        <v>308447</v>
      </c>
      <c r="E10">
        <v>32486</v>
      </c>
      <c r="G10" s="1">
        <v>3.08447E-4</v>
      </c>
      <c r="H10" s="1">
        <v>3.2486E-4</v>
      </c>
      <c r="I10" s="1">
        <v>-5.0523302345625826E-2</v>
      </c>
    </row>
    <row r="11" spans="1:41" x14ac:dyDescent="0.3">
      <c r="A11" t="s">
        <v>249</v>
      </c>
      <c r="B11">
        <v>41943</v>
      </c>
      <c r="C11">
        <v>1</v>
      </c>
      <c r="D11">
        <v>41943</v>
      </c>
      <c r="E11">
        <v>4349</v>
      </c>
      <c r="G11" s="1">
        <v>4.1943000000000001E-5</v>
      </c>
      <c r="H11" s="1">
        <v>4.3489999999999999E-5</v>
      </c>
      <c r="I11" s="1">
        <v>-3.5571395723154688E-2</v>
      </c>
    </row>
    <row r="12" spans="1:41" x14ac:dyDescent="0.3">
      <c r="A12" t="s">
        <v>250</v>
      </c>
      <c r="B12">
        <v>1878742</v>
      </c>
      <c r="C12">
        <v>1</v>
      </c>
      <c r="D12">
        <v>1878742</v>
      </c>
      <c r="E12" cm="1">
        <f t="array" ref="E12:E14">F2:F4</f>
        <v>203591</v>
      </c>
      <c r="G12" s="1">
        <v>1.8787420000000001E-3</v>
      </c>
      <c r="H12" s="1">
        <v>2.0359100000000002E-3</v>
      </c>
      <c r="I12" s="1">
        <v>-7.7197911499034849E-2</v>
      </c>
    </row>
    <row r="13" spans="1:41" x14ac:dyDescent="0.3">
      <c r="A13" t="s">
        <v>251</v>
      </c>
      <c r="B13">
        <v>279209</v>
      </c>
      <c r="C13">
        <v>1</v>
      </c>
      <c r="D13">
        <v>279209</v>
      </c>
      <c r="E13">
        <v>30101</v>
      </c>
      <c r="G13" s="1">
        <v>2.7920899999999999E-4</v>
      </c>
      <c r="H13" s="1">
        <v>3.0100999999999999E-4</v>
      </c>
      <c r="I13" s="1">
        <v>-7.2426165243679619E-2</v>
      </c>
    </row>
    <row r="14" spans="1:41" x14ac:dyDescent="0.3">
      <c r="A14" t="s">
        <v>252</v>
      </c>
      <c r="B14">
        <v>35478</v>
      </c>
      <c r="C14">
        <v>1</v>
      </c>
      <c r="D14">
        <v>35478</v>
      </c>
      <c r="E14">
        <v>3884</v>
      </c>
      <c r="G14" s="1">
        <v>3.5478000000000002E-5</v>
      </c>
      <c r="H14" s="1">
        <v>3.8840000000000001E-5</v>
      </c>
      <c r="I14" s="1">
        <v>-8.6560247167868157E-2</v>
      </c>
    </row>
    <row r="15" spans="1:41" x14ac:dyDescent="0.3">
      <c r="A15" t="s">
        <v>253</v>
      </c>
      <c r="B15">
        <v>77303438</v>
      </c>
      <c r="C15">
        <v>1</v>
      </c>
      <c r="D15">
        <v>77303438</v>
      </c>
      <c r="E15" cm="1">
        <f t="array" ref="E15:E17">G2:G4</f>
        <v>7854820</v>
      </c>
      <c r="G15" s="1">
        <v>7.7303438000000002E-2</v>
      </c>
      <c r="H15" s="1">
        <v>7.8548199999999999E-2</v>
      </c>
      <c r="I15" s="1">
        <v>-1.5847110436649044E-2</v>
      </c>
    </row>
    <row r="16" spans="1:41" x14ac:dyDescent="0.3">
      <c r="A16" t="s">
        <v>254</v>
      </c>
      <c r="B16">
        <v>6844687</v>
      </c>
      <c r="C16">
        <v>1</v>
      </c>
      <c r="D16">
        <v>6844687</v>
      </c>
      <c r="E16">
        <v>694796</v>
      </c>
      <c r="G16" s="1">
        <v>6.8446870000000003E-3</v>
      </c>
      <c r="H16" s="1">
        <v>6.9479600000000004E-3</v>
      </c>
      <c r="I16" s="1">
        <v>-1.4863787356288762E-2</v>
      </c>
    </row>
    <row r="17" spans="1:9" x14ac:dyDescent="0.3">
      <c r="A17" t="s">
        <v>255</v>
      </c>
      <c r="B17">
        <v>838949</v>
      </c>
      <c r="C17">
        <v>1</v>
      </c>
      <c r="D17">
        <v>838949</v>
      </c>
      <c r="E17">
        <v>84706</v>
      </c>
      <c r="G17" s="1">
        <v>8.3894899999999997E-4</v>
      </c>
      <c r="H17" s="1">
        <v>8.4705999999999996E-4</v>
      </c>
      <c r="I17" s="1">
        <v>-9.5754728118433059E-3</v>
      </c>
    </row>
    <row r="18" spans="1:9" x14ac:dyDescent="0.3">
      <c r="A18" t="s">
        <v>256</v>
      </c>
      <c r="B18">
        <v>80980535</v>
      </c>
      <c r="C18">
        <v>1</v>
      </c>
      <c r="D18">
        <v>80980535</v>
      </c>
      <c r="E18" cm="1">
        <f t="array" ref="E18:E20">H2:H4</f>
        <v>8299414</v>
      </c>
      <c r="G18" s="1">
        <v>8.0980535000000006E-2</v>
      </c>
      <c r="H18" s="1">
        <v>8.2994139999999994E-2</v>
      </c>
      <c r="I18" s="1">
        <v>-2.4262014161481618E-2</v>
      </c>
    </row>
    <row r="19" spans="1:9" x14ac:dyDescent="0.3">
      <c r="A19" t="s">
        <v>257</v>
      </c>
      <c r="B19">
        <v>7589647</v>
      </c>
      <c r="C19">
        <v>1</v>
      </c>
      <c r="D19">
        <v>7589647</v>
      </c>
      <c r="E19">
        <v>783345</v>
      </c>
      <c r="G19" s="1">
        <v>7.5896469999999997E-3</v>
      </c>
      <c r="H19" s="1">
        <v>7.8334500000000005E-3</v>
      </c>
      <c r="I19" s="1">
        <v>-3.1123323695179103E-2</v>
      </c>
    </row>
    <row r="20" spans="1:9" x14ac:dyDescent="0.3">
      <c r="A20" t="s">
        <v>258</v>
      </c>
      <c r="B20">
        <v>934708</v>
      </c>
      <c r="C20">
        <v>1</v>
      </c>
      <c r="D20">
        <v>934708</v>
      </c>
      <c r="E20">
        <v>96646</v>
      </c>
      <c r="G20" s="1">
        <v>9.3470800000000002E-4</v>
      </c>
      <c r="H20" s="1">
        <v>9.6646000000000004E-4</v>
      </c>
      <c r="I20" s="1">
        <v>-3.2853920493346872E-2</v>
      </c>
    </row>
    <row r="21" spans="1:9" x14ac:dyDescent="0.3">
      <c r="A21" t="s">
        <v>259</v>
      </c>
      <c r="B21">
        <v>95702199</v>
      </c>
      <c r="C21">
        <v>1</v>
      </c>
      <c r="D21">
        <v>95702199</v>
      </c>
      <c r="E21" cm="1">
        <f t="array" ref="E21:E23">I2:I4</f>
        <v>10021492</v>
      </c>
      <c r="G21" s="1">
        <v>9.5702199000000002E-2</v>
      </c>
      <c r="H21" s="1">
        <v>0.10021492</v>
      </c>
      <c r="I21" s="1">
        <v>-4.5030430598557554E-2</v>
      </c>
    </row>
    <row r="22" spans="1:9" x14ac:dyDescent="0.3">
      <c r="A22" t="s">
        <v>260</v>
      </c>
      <c r="B22">
        <v>8924872</v>
      </c>
      <c r="C22">
        <v>1</v>
      </c>
      <c r="D22">
        <v>8924872</v>
      </c>
      <c r="E22">
        <v>937615</v>
      </c>
      <c r="G22" s="1">
        <v>8.9248720000000004E-3</v>
      </c>
      <c r="H22" s="1">
        <v>9.3761499999999998E-3</v>
      </c>
      <c r="I22" s="1">
        <v>-4.8130416002303653E-2</v>
      </c>
    </row>
    <row r="23" spans="1:9" x14ac:dyDescent="0.3">
      <c r="A23" t="s">
        <v>261</v>
      </c>
      <c r="B23">
        <v>1103088</v>
      </c>
      <c r="C23">
        <v>1</v>
      </c>
      <c r="D23">
        <v>1103088</v>
      </c>
      <c r="E23">
        <v>115254</v>
      </c>
      <c r="G23" s="1">
        <v>1.1030879999999999E-3</v>
      </c>
      <c r="H23" s="1">
        <v>1.1525400000000001E-3</v>
      </c>
      <c r="I23" s="1">
        <v>-4.2906970690822159E-2</v>
      </c>
    </row>
    <row r="24" spans="1:9" x14ac:dyDescent="0.3">
      <c r="A24" t="s">
        <v>262</v>
      </c>
      <c r="B24">
        <v>93430194</v>
      </c>
      <c r="C24">
        <v>1</v>
      </c>
      <c r="D24">
        <v>93430194</v>
      </c>
      <c r="E24" cm="1">
        <f t="array" ref="E24:E26">J2:J4</f>
        <v>9666791</v>
      </c>
      <c r="G24" s="1">
        <v>9.3430193999999994E-2</v>
      </c>
      <c r="H24" s="1">
        <v>9.6667909999999996E-2</v>
      </c>
      <c r="I24" s="1">
        <v>-3.3493183001473824E-2</v>
      </c>
    </row>
    <row r="25" spans="1:9" x14ac:dyDescent="0.3">
      <c r="A25" t="s">
        <v>263</v>
      </c>
      <c r="B25">
        <v>8377551</v>
      </c>
      <c r="C25">
        <v>1</v>
      </c>
      <c r="D25">
        <v>8377551</v>
      </c>
      <c r="E25">
        <v>874269</v>
      </c>
      <c r="G25" s="1">
        <v>8.3775510000000004E-3</v>
      </c>
      <c r="H25" s="1">
        <v>8.7426899999999991E-3</v>
      </c>
      <c r="I25" s="1">
        <v>-4.1765063155619009E-2</v>
      </c>
    </row>
    <row r="26" spans="1:9" x14ac:dyDescent="0.3">
      <c r="A26" t="s">
        <v>264</v>
      </c>
      <c r="B26">
        <v>1030195</v>
      </c>
      <c r="C26">
        <v>1</v>
      </c>
      <c r="D26">
        <v>1030195</v>
      </c>
      <c r="E26">
        <v>107089</v>
      </c>
      <c r="G26" s="1">
        <v>1.030195E-3</v>
      </c>
      <c r="H26" s="1">
        <v>1.0708899999999999E-3</v>
      </c>
      <c r="I26" s="1">
        <v>-3.80011018872152E-2</v>
      </c>
    </row>
    <row r="27" spans="1:9" x14ac:dyDescent="0.3">
      <c r="A27" t="s">
        <v>265</v>
      </c>
      <c r="B27">
        <v>2223349</v>
      </c>
      <c r="C27">
        <v>1</v>
      </c>
      <c r="D27">
        <v>2223349</v>
      </c>
      <c r="E27" cm="1">
        <f t="array" ref="E27:E29">K2:K4</f>
        <v>222994</v>
      </c>
      <c r="G27" s="1">
        <v>2.2233489999999999E-3</v>
      </c>
      <c r="H27" s="1">
        <v>2.2299400000000001E-3</v>
      </c>
      <c r="I27" s="1">
        <v>-2.955684906320455E-3</v>
      </c>
    </row>
    <row r="28" spans="1:9" x14ac:dyDescent="0.3">
      <c r="A28" t="s">
        <v>266</v>
      </c>
      <c r="B28">
        <v>324478</v>
      </c>
      <c r="C28">
        <v>1</v>
      </c>
      <c r="D28">
        <v>324478</v>
      </c>
      <c r="E28">
        <v>33116</v>
      </c>
      <c r="G28" s="1">
        <v>3.2447800000000001E-4</v>
      </c>
      <c r="H28" s="1">
        <v>3.3115999999999999E-4</v>
      </c>
      <c r="I28" s="1">
        <v>-2.0177557676047796E-2</v>
      </c>
    </row>
    <row r="29" spans="1:9" x14ac:dyDescent="0.3">
      <c r="A29" t="s">
        <v>267</v>
      </c>
      <c r="B29">
        <v>40245</v>
      </c>
      <c r="C29">
        <v>1</v>
      </c>
      <c r="D29">
        <v>40245</v>
      </c>
      <c r="E29">
        <v>4024</v>
      </c>
      <c r="G29" s="1">
        <v>4.0244999999999998E-5</v>
      </c>
      <c r="H29" s="1">
        <v>4.0240000000000001E-5</v>
      </c>
      <c r="I29" s="1">
        <v>1.2425447316096946E-4</v>
      </c>
    </row>
    <row r="30" spans="1:9" x14ac:dyDescent="0.3">
      <c r="A30" t="s">
        <v>241</v>
      </c>
      <c r="B30">
        <v>1830916</v>
      </c>
      <c r="C30">
        <v>1</v>
      </c>
      <c r="D30">
        <v>1830916</v>
      </c>
      <c r="E30" cm="1">
        <f t="array" ref="E30:E32">L2:L4</f>
        <v>180198</v>
      </c>
      <c r="G30" s="1">
        <v>1.8309159999999999E-3</v>
      </c>
      <c r="H30" s="1">
        <v>1.8019799999999999E-3</v>
      </c>
      <c r="I30" s="1">
        <v>1.6057891874493625E-2</v>
      </c>
    </row>
    <row r="31" spans="1:9" x14ac:dyDescent="0.3">
      <c r="A31" t="s">
        <v>242</v>
      </c>
      <c r="B31">
        <v>264308</v>
      </c>
      <c r="C31">
        <v>1</v>
      </c>
      <c r="D31">
        <v>264308</v>
      </c>
      <c r="E31">
        <v>26133</v>
      </c>
      <c r="G31" s="1">
        <v>2.6430799999999999E-4</v>
      </c>
      <c r="H31" s="1">
        <v>2.6132999999999999E-4</v>
      </c>
      <c r="I31" s="1">
        <v>1.139555351471319E-2</v>
      </c>
    </row>
    <row r="32" spans="1:9" x14ac:dyDescent="0.3">
      <c r="A32" t="s">
        <v>243</v>
      </c>
      <c r="B32">
        <v>33550</v>
      </c>
      <c r="C32">
        <v>1</v>
      </c>
      <c r="D32">
        <v>33550</v>
      </c>
      <c r="E32">
        <v>3309</v>
      </c>
      <c r="G32" s="1">
        <v>3.3550000000000002E-5</v>
      </c>
      <c r="H32" s="1">
        <v>3.3090000000000003E-5</v>
      </c>
      <c r="I32" s="1">
        <v>1.3901480809912329E-2</v>
      </c>
    </row>
  </sheetData>
  <phoneticPr fontId="2" type="noConversion"/>
  <conditionalFormatting sqref="G6:I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{D92A1E9C-721E-4267-916C-CF5DDBB6714D}</x14:id>
        </ext>
      </extLst>
    </cfRule>
  </conditionalFormatting>
  <conditionalFormatting sqref="I6:I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{0EE02009-579A-4E03-9329-42AB1957F597}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2A1E9C-721E-4267-916C-CF5DDBB67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G6:I32</xm:sqref>
        </x14:conditionalFormatting>
        <x14:conditionalFormatting xmlns:xm="http://schemas.microsoft.com/office/excel/2006/main">
          <x14:cfRule type="dataBar" id="{0EE02009-579A-4E03-9329-42AB1957F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I6:I32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V21"/>
  <sheetViews>
    <sheetView workbookViewId="0"/>
  </sheetViews>
  <sheetFormatPr defaultRowHeight="15" x14ac:dyDescent="0.3"/>
  <sheetData>
    <row r="1" spans="1:10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</row>
    <row r="2" spans="1:100" x14ac:dyDescent="0.3">
      <c r="A2">
        <v>30660837</v>
      </c>
      <c r="B2">
        <v>0</v>
      </c>
      <c r="C2">
        <v>0</v>
      </c>
      <c r="D2">
        <v>0</v>
      </c>
      <c r="E2">
        <v>0</v>
      </c>
      <c r="F2">
        <v>33416698492808</v>
      </c>
      <c r="G2">
        <v>137974268564592</v>
      </c>
      <c r="H2">
        <v>0</v>
      </c>
      <c r="I2">
        <v>0</v>
      </c>
      <c r="J2">
        <v>25725</v>
      </c>
      <c r="K2">
        <v>1</v>
      </c>
      <c r="L2">
        <v>69339163</v>
      </c>
      <c r="M2">
        <v>18262244</v>
      </c>
      <c r="N2">
        <v>8227424</v>
      </c>
      <c r="O2">
        <v>2807375</v>
      </c>
      <c r="P2">
        <v>923598</v>
      </c>
      <c r="Q2">
        <v>440196</v>
      </c>
      <c r="R2">
        <v>0</v>
      </c>
      <c r="S2">
        <v>0</v>
      </c>
      <c r="T2">
        <v>0</v>
      </c>
      <c r="U2">
        <v>0</v>
      </c>
      <c r="V2">
        <v>84706328</v>
      </c>
      <c r="W2">
        <v>13567114</v>
      </c>
      <c r="X2">
        <v>0</v>
      </c>
      <c r="Y2">
        <v>0</v>
      </c>
      <c r="Z2">
        <v>0</v>
      </c>
      <c r="AA2">
        <v>0</v>
      </c>
      <c r="AB2">
        <v>84706328</v>
      </c>
      <c r="AC2">
        <v>13567114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17993315</v>
      </c>
      <c r="AP2">
        <v>35331421</v>
      </c>
      <c r="AQ2">
        <v>29625897</v>
      </c>
      <c r="AR2">
        <v>13264974</v>
      </c>
      <c r="AS2">
        <v>3322342</v>
      </c>
      <c r="AT2">
        <v>438261</v>
      </c>
      <c r="AU2">
        <v>23790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22662151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 x14ac:dyDescent="0.3">
      <c r="A3">
        <v>69339163</v>
      </c>
      <c r="B3">
        <v>21651134</v>
      </c>
      <c r="C3">
        <v>4925470</v>
      </c>
      <c r="D3">
        <v>1981930</v>
      </c>
      <c r="E3">
        <v>800431</v>
      </c>
      <c r="F3">
        <v>440387</v>
      </c>
      <c r="G3">
        <v>270705</v>
      </c>
      <c r="H3">
        <v>151149</v>
      </c>
      <c r="I3">
        <v>121340</v>
      </c>
      <c r="J3">
        <v>77049</v>
      </c>
      <c r="K3">
        <v>56158</v>
      </c>
      <c r="L3">
        <v>116569</v>
      </c>
      <c r="M3">
        <v>43315</v>
      </c>
      <c r="N3">
        <v>13727</v>
      </c>
      <c r="O3">
        <v>4634</v>
      </c>
      <c r="P3">
        <v>1564</v>
      </c>
      <c r="Q3">
        <v>531</v>
      </c>
      <c r="R3">
        <v>349</v>
      </c>
      <c r="S3">
        <v>436</v>
      </c>
      <c r="T3">
        <v>3393</v>
      </c>
      <c r="U3">
        <v>230</v>
      </c>
      <c r="V3">
        <v>29</v>
      </c>
      <c r="W3">
        <v>4</v>
      </c>
      <c r="X3">
        <v>55</v>
      </c>
      <c r="Y3">
        <v>236</v>
      </c>
      <c r="Z3">
        <v>2</v>
      </c>
      <c r="AA3">
        <v>5</v>
      </c>
      <c r="AB3">
        <v>1</v>
      </c>
      <c r="AC3">
        <v>1</v>
      </c>
      <c r="AD3">
        <v>2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3">
      <c r="A5">
        <v>69339163</v>
      </c>
      <c r="B5">
        <v>21651134</v>
      </c>
      <c r="C5">
        <v>4925470</v>
      </c>
      <c r="D5">
        <v>1981930</v>
      </c>
      <c r="E5">
        <v>800431</v>
      </c>
      <c r="F5">
        <v>440387</v>
      </c>
      <c r="G5">
        <v>270705</v>
      </c>
      <c r="H5">
        <v>151149</v>
      </c>
      <c r="I5">
        <v>121340</v>
      </c>
      <c r="J5">
        <v>77049</v>
      </c>
      <c r="K5">
        <v>56158</v>
      </c>
      <c r="L5">
        <v>116569</v>
      </c>
      <c r="M5">
        <v>43315</v>
      </c>
      <c r="N5">
        <v>13727</v>
      </c>
      <c r="O5">
        <v>4634</v>
      </c>
      <c r="P5">
        <v>1564</v>
      </c>
      <c r="Q5">
        <v>531</v>
      </c>
      <c r="R5">
        <v>349</v>
      </c>
      <c r="S5">
        <v>436</v>
      </c>
      <c r="T5">
        <v>3393</v>
      </c>
      <c r="U5">
        <v>230</v>
      </c>
      <c r="V5">
        <v>29</v>
      </c>
      <c r="W5">
        <v>4</v>
      </c>
      <c r="X5">
        <v>55</v>
      </c>
      <c r="Y5">
        <v>236</v>
      </c>
      <c r="Z5">
        <v>2</v>
      </c>
      <c r="AA5">
        <v>5</v>
      </c>
      <c r="AB5">
        <v>1</v>
      </c>
      <c r="AC5">
        <v>1</v>
      </c>
      <c r="AD5">
        <v>2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3">
      <c r="A6">
        <v>0</v>
      </c>
      <c r="B6">
        <v>897857350</v>
      </c>
      <c r="C6">
        <v>723549140</v>
      </c>
      <c r="D6">
        <v>493335305</v>
      </c>
      <c r="E6">
        <v>279783410</v>
      </c>
      <c r="F6">
        <v>199185175</v>
      </c>
      <c r="G6">
        <v>149030530</v>
      </c>
      <c r="H6">
        <v>97962260</v>
      </c>
      <c r="I6">
        <v>91979180</v>
      </c>
      <c r="J6">
        <v>65456205</v>
      </c>
      <c r="K6">
        <v>53820230</v>
      </c>
      <c r="L6">
        <v>140085430</v>
      </c>
      <c r="M6">
        <v>73235295</v>
      </c>
      <c r="N6">
        <v>30317125</v>
      </c>
      <c r="O6">
        <v>12613150</v>
      </c>
      <c r="P6">
        <v>4982165</v>
      </c>
      <c r="Q6">
        <v>1980755</v>
      </c>
      <c r="R6">
        <v>1472125</v>
      </c>
      <c r="S6">
        <v>2145205</v>
      </c>
      <c r="T6">
        <v>17964970</v>
      </c>
      <c r="U6">
        <v>1473015</v>
      </c>
      <c r="V6">
        <v>215825</v>
      </c>
      <c r="W6">
        <v>34005</v>
      </c>
      <c r="X6">
        <v>550000</v>
      </c>
      <c r="Y6">
        <v>2438615</v>
      </c>
      <c r="Z6">
        <v>25735</v>
      </c>
      <c r="AA6">
        <v>75750</v>
      </c>
      <c r="AB6">
        <v>16760</v>
      </c>
      <c r="AC6">
        <v>18925</v>
      </c>
      <c r="AD6">
        <v>40500</v>
      </c>
      <c r="AE6">
        <v>25725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3">
      <c r="A8">
        <v>0</v>
      </c>
      <c r="B8">
        <v>897857350</v>
      </c>
      <c r="C8">
        <v>723549140</v>
      </c>
      <c r="D8">
        <v>493335305</v>
      </c>
      <c r="E8">
        <v>279783410</v>
      </c>
      <c r="F8">
        <v>199185175</v>
      </c>
      <c r="G8">
        <v>149030530</v>
      </c>
      <c r="H8">
        <v>97962260</v>
      </c>
      <c r="I8">
        <v>91979180</v>
      </c>
      <c r="J8">
        <v>65456205</v>
      </c>
      <c r="K8">
        <v>53820230</v>
      </c>
      <c r="L8">
        <v>140085430</v>
      </c>
      <c r="M8">
        <v>73235295</v>
      </c>
      <c r="N8">
        <v>30317125</v>
      </c>
      <c r="O8">
        <v>12613150</v>
      </c>
      <c r="P8">
        <v>4982165</v>
      </c>
      <c r="Q8">
        <v>1980755</v>
      </c>
      <c r="R8">
        <v>1472125</v>
      </c>
      <c r="S8">
        <v>2145205</v>
      </c>
      <c r="T8">
        <v>17964970</v>
      </c>
      <c r="U8">
        <v>1473015</v>
      </c>
      <c r="V8">
        <v>215825</v>
      </c>
      <c r="W8">
        <v>34005</v>
      </c>
      <c r="X8">
        <v>550000</v>
      </c>
      <c r="Y8">
        <v>2438615</v>
      </c>
      <c r="Z8">
        <v>25735</v>
      </c>
      <c r="AA8">
        <v>75750</v>
      </c>
      <c r="AB8">
        <v>16760</v>
      </c>
      <c r="AC8">
        <v>18925</v>
      </c>
      <c r="AD8">
        <v>40500</v>
      </c>
      <c r="AE8">
        <v>25725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3">
      <c r="A12">
        <v>0</v>
      </c>
      <c r="B12">
        <v>0</v>
      </c>
      <c r="C12">
        <v>65262</v>
      </c>
      <c r="D12">
        <v>69007</v>
      </c>
      <c r="E12">
        <v>70345</v>
      </c>
      <c r="F12">
        <v>12114533</v>
      </c>
      <c r="G12">
        <v>12552358</v>
      </c>
      <c r="H12">
        <v>13718521</v>
      </c>
      <c r="I12">
        <v>13715986</v>
      </c>
      <c r="J12">
        <v>70219</v>
      </c>
      <c r="K12">
        <v>56395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3">
      <c r="A13">
        <v>0</v>
      </c>
      <c r="B13">
        <v>0</v>
      </c>
      <c r="C13">
        <v>8425</v>
      </c>
      <c r="D13">
        <v>8832</v>
      </c>
      <c r="E13">
        <v>8900</v>
      </c>
      <c r="F13">
        <v>1004271</v>
      </c>
      <c r="G13">
        <v>1037584</v>
      </c>
      <c r="H13">
        <v>1133479</v>
      </c>
      <c r="I13">
        <v>1131532</v>
      </c>
      <c r="J13">
        <v>8694</v>
      </c>
      <c r="K13">
        <v>6792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3">
      <c r="A14">
        <v>0</v>
      </c>
      <c r="B14">
        <v>0</v>
      </c>
      <c r="C14">
        <v>1084</v>
      </c>
      <c r="D14">
        <v>1120</v>
      </c>
      <c r="E14">
        <v>1067</v>
      </c>
      <c r="F14">
        <v>124565</v>
      </c>
      <c r="G14">
        <v>128012</v>
      </c>
      <c r="H14">
        <v>140623</v>
      </c>
      <c r="I14">
        <v>140359</v>
      </c>
      <c r="J14">
        <v>1097</v>
      </c>
      <c r="K14">
        <v>841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3">
      <c r="A15">
        <v>0</v>
      </c>
      <c r="B15">
        <v>0</v>
      </c>
      <c r="C15">
        <v>58200750</v>
      </c>
      <c r="D15">
        <v>28373700</v>
      </c>
      <c r="E15">
        <v>20545200</v>
      </c>
      <c r="F15">
        <v>998467650</v>
      </c>
      <c r="G15">
        <v>521294300</v>
      </c>
      <c r="H15">
        <v>237400130</v>
      </c>
      <c r="I15">
        <v>233827770</v>
      </c>
      <c r="J15">
        <v>2932130</v>
      </c>
      <c r="K15">
        <v>2365930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3">
      <c r="A16">
        <v>0</v>
      </c>
      <c r="B16">
        <v>0</v>
      </c>
      <c r="C16">
        <v>42640000</v>
      </c>
      <c r="D16">
        <v>20659000</v>
      </c>
      <c r="E16">
        <v>9750250</v>
      </c>
      <c r="F16">
        <v>339813400</v>
      </c>
      <c r="G16">
        <v>182092900</v>
      </c>
      <c r="H16">
        <v>103554700</v>
      </c>
      <c r="I16">
        <v>100290050</v>
      </c>
      <c r="J16">
        <v>2090500</v>
      </c>
      <c r="K16">
        <v>1646250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3">
      <c r="A17">
        <v>0</v>
      </c>
      <c r="B17">
        <v>0</v>
      </c>
      <c r="C17">
        <v>22405000</v>
      </c>
      <c r="D17">
        <v>10938000</v>
      </c>
      <c r="E17">
        <v>4951000</v>
      </c>
      <c r="F17">
        <v>156953250</v>
      </c>
      <c r="G17">
        <v>112329000</v>
      </c>
      <c r="H17">
        <v>63969250</v>
      </c>
      <c r="I17">
        <v>61862000</v>
      </c>
      <c r="J17">
        <v>1280250</v>
      </c>
      <c r="K17">
        <v>1037500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3">
      <c r="A18">
        <v>0</v>
      </c>
      <c r="B18">
        <v>0</v>
      </c>
      <c r="C18">
        <v>167541</v>
      </c>
      <c r="D18">
        <v>214730</v>
      </c>
      <c r="E18">
        <v>203591</v>
      </c>
      <c r="F18">
        <v>7854820</v>
      </c>
      <c r="G18">
        <v>8299414</v>
      </c>
      <c r="H18">
        <v>10021492</v>
      </c>
      <c r="I18">
        <v>9666791</v>
      </c>
      <c r="J18">
        <v>222994</v>
      </c>
      <c r="K18">
        <v>180198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3">
      <c r="A19">
        <v>0</v>
      </c>
      <c r="B19">
        <v>0</v>
      </c>
      <c r="C19">
        <v>25687</v>
      </c>
      <c r="D19">
        <v>32486</v>
      </c>
      <c r="E19">
        <v>30101</v>
      </c>
      <c r="F19">
        <v>694796</v>
      </c>
      <c r="G19">
        <v>783345</v>
      </c>
      <c r="H19">
        <v>937615</v>
      </c>
      <c r="I19">
        <v>874269</v>
      </c>
      <c r="J19">
        <v>33116</v>
      </c>
      <c r="K19">
        <v>26133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3">
      <c r="A20">
        <v>0</v>
      </c>
      <c r="B20">
        <v>0</v>
      </c>
      <c r="C20">
        <v>3397</v>
      </c>
      <c r="D20">
        <v>4349</v>
      </c>
      <c r="E20">
        <v>3884</v>
      </c>
      <c r="F20">
        <v>84706</v>
      </c>
      <c r="G20">
        <v>96646</v>
      </c>
      <c r="H20">
        <v>115254</v>
      </c>
      <c r="I20">
        <v>107089</v>
      </c>
      <c r="J20">
        <v>4024</v>
      </c>
      <c r="K20">
        <v>3309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Base Info</vt:lpstr>
      <vt:lpstr>Multiplier Line</vt:lpstr>
      <vt:lpstr>Pay</vt:lpstr>
      <vt:lpstr>Hits</vt:lpstr>
      <vt:lpstr>Eliminate</vt:lpstr>
      <vt:lpstr>Record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2026-05-20T01:35:26Z</dcterms:created>
  <dcterms:modified xsi:type="dcterms:W3CDTF">2026-05-20T08:32:20Z</dcterms:modified>
</cp:coreProperties>
</file>