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74F8120B-8D1D-47A0-A100-0A8365E68C2E}" xr6:coauthVersionLast="47" xr6:coauthVersionMax="47" xr10:uidLastSave="{00000000-0000-0000-0000-000000000000}"/>
  <bookViews>
    <workbookView xWindow="-24675" yWindow="1740" windowWidth="16410" windowHeight="11235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<sst xmlns="http://schemas.openxmlformats.org/spreadsheetml/2006/main" count="7489" uniqueCount="218">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</sst>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  <sheetName val="H026192_0013"/>
    </sheetNames>
    <sheetDataSet>
      <sheetData sheetId="0">
        <row r="3">
          <cell r="B3" t="str">
            <v>0.0.1.3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K5"/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K6"/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K7"/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L17"/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10000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/>
          <cell r="AD38"/>
          <cell r="AE38"/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  <cell r="AC39"/>
          <cell r="AD39"/>
          <cell r="AE39"/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  <cell r="AC40"/>
          <cell r="AD40"/>
          <cell r="AE40"/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10000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/>
          <cell r="AD49"/>
          <cell r="AE49"/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  <cell r="AC50"/>
          <cell r="AD50"/>
          <cell r="AE50"/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  <cell r="AC51"/>
          <cell r="AD51"/>
          <cell r="AE51"/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  <cell r="AC52"/>
          <cell r="AD52"/>
          <cell r="AE52"/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  <cell r="AC53"/>
          <cell r="AD53"/>
          <cell r="AE53"/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  <cell r="AC54"/>
          <cell r="AD54"/>
          <cell r="AE54"/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topLeftCell="A10" workbookViewId="0">
      <selection activeCell="G20" sqref="G20:J35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0.0.1.3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 x14ac:dyDescent="0.3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 x14ac:dyDescent="0.3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2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 x14ac:dyDescent="0.3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 x14ac:dyDescent="0.3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 x14ac:dyDescent="0.3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 x14ac:dyDescent="0.3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 x14ac:dyDescent="0.3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 x14ac:dyDescent="0.3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 x14ac:dyDescent="0.3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 x14ac:dyDescent="0.3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zoomScale="70" zoomScaleNormal="70" workbookViewId="0">
      <selection activeCell="AC21" sqref="AC21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0</v>
      </c>
      <c r="AE5" s="148">
        <v>0</v>
      </c>
      <c r="AF5" s="148">
        <v>0</v>
      </c>
      <c r="AG5" s="148">
        <v>0</v>
      </c>
      <c r="AH5" s="148">
        <v>0</v>
      </c>
      <c r="AI5" s="148">
        <v>0</v>
      </c>
      <c r="AJ5" s="148">
        <v>0</v>
      </c>
      <c r="AK5" s="148">
        <v>0</v>
      </c>
      <c r="AL5" s="148">
        <v>0</v>
      </c>
      <c r="AM5" s="17" t="str">
        <v/>
      </c>
    </row>
    <row r="6" spans="1:39" x14ac:dyDescent="0.3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148">
        <v>0</v>
      </c>
      <c r="AJ6" s="148">
        <v>0</v>
      </c>
      <c r="AK6" s="148">
        <v>0</v>
      </c>
      <c r="AL6" s="148">
        <v>0</v>
      </c>
      <c r="AM6" s="17" t="str">
        <v/>
      </c>
    </row>
    <row r="7" spans="1:39" x14ac:dyDescent="0.3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0</v>
      </c>
      <c r="AG8" s="148">
        <v>0</v>
      </c>
      <c r="AH8" s="148">
        <v>0</v>
      </c>
      <c r="AI8" s="148">
        <v>0</v>
      </c>
      <c r="AJ8" s="148">
        <v>0</v>
      </c>
      <c r="AK8" s="148">
        <v>0</v>
      </c>
      <c r="AL8" s="148">
        <v>0</v>
      </c>
      <c r="AM8" s="17" t="str">
        <v/>
      </c>
    </row>
    <row r="9" spans="1:39" x14ac:dyDescent="0.3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0</v>
      </c>
      <c r="AG9" s="148">
        <v>0</v>
      </c>
      <c r="AH9" s="148">
        <v>0</v>
      </c>
      <c r="AI9" s="148">
        <v>0</v>
      </c>
      <c r="AJ9" s="148">
        <v>0</v>
      </c>
      <c r="AK9" s="148">
        <v>0</v>
      </c>
      <c r="AL9" s="148">
        <v>0</v>
      </c>
      <c r="AM9" s="17" t="str">
        <v/>
      </c>
    </row>
    <row r="10" spans="1:39" x14ac:dyDescent="0.3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0</v>
      </c>
      <c r="AG10" s="148">
        <v>0</v>
      </c>
      <c r="AH10" s="148">
        <v>0</v>
      </c>
      <c r="AI10" s="148">
        <v>0</v>
      </c>
      <c r="AJ10" s="148">
        <v>0</v>
      </c>
      <c r="AK10" s="148">
        <v>0</v>
      </c>
      <c r="AL10" s="148">
        <v>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10000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10000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10000</v>
      </c>
      <c r="P38" s="147">
        <v>0</v>
      </c>
      <c r="Q38" s="147">
        <v>0</v>
      </c>
      <c r="R38" s="147">
        <v>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10000</v>
      </c>
      <c r="P49" s="147">
        <v>0</v>
      </c>
      <c r="Q49" s="147">
        <v>0</v>
      </c>
      <c r="R49" s="147">
        <v>0</v>
      </c>
      <c r="S49" s="147">
        <v>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4" t="s">
        <v>148</v>
      </c>
    </row>
    <row r="3" spans="2:9" x14ac:dyDescent="0.3">
      <c r="B3" s="146" t="s">
        <v>71</v>
      </c>
      <c r="C3" s="146" t="s">
        <v>146</v>
      </c>
      <c r="D3" s="146" t="s">
        <v>145</v>
      </c>
    </row>
    <row r="4" spans="2:9" x14ac:dyDescent="0.3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 x14ac:dyDescent="0.3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 x14ac:dyDescent="0.3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 x14ac:dyDescent="0.3">
      <c r="B7" s="133">
        <v>3</v>
      </c>
      <c r="C7" s="165">
        <v>0.18173813507088141</v>
      </c>
      <c r="D7" s="165">
        <v>0.13270000000000001</v>
      </c>
      <c r="G7" s="17">
        <v>0</v>
      </c>
      <c r="H7" s="166">
        <v>0</v>
      </c>
    </row>
    <row r="8" spans="2:9" x14ac:dyDescent="0.3">
      <c r="B8" s="133">
        <v>4</v>
      </c>
      <c r="C8" s="165">
        <v>6.3705203839042004E-2</v>
      </c>
      <c r="D8" s="165">
        <v>3.3300000000000003E-2</v>
      </c>
      <c r="G8" s="17">
        <v>0</v>
      </c>
      <c r="H8" s="166">
        <v>0</v>
      </c>
    </row>
    <row r="9" spans="2:9" x14ac:dyDescent="0.3">
      <c r="B9" s="133">
        <v>5</v>
      </c>
      <c r="C9" s="165">
        <v>1.4748613190103021E-2</v>
      </c>
      <c r="D9" s="165">
        <v>4.4000000000000003E-3</v>
      </c>
      <c r="G9" s="17">
        <v>0</v>
      </c>
      <c r="H9" s="166">
        <v>0</v>
      </c>
    </row>
    <row r="10" spans="2:9" x14ac:dyDescent="0.3">
      <c r="B10" s="133">
        <v>6</v>
      </c>
      <c r="C10" s="165">
        <v>3.6101083032490976E-3</v>
      </c>
      <c r="D10" s="165">
        <v>2.0000000000000001E-4</v>
      </c>
      <c r="G10" s="17">
        <v>0</v>
      </c>
      <c r="H10" s="166">
        <v>0</v>
      </c>
    </row>
    <row r="11" spans="2:9" x14ac:dyDescent="0.3">
      <c r="B11" s="133">
        <v>7</v>
      </c>
      <c r="C11" s="165">
        <v>3.9623139913709608E-4</v>
      </c>
      <c r="D11" s="165">
        <v>0</v>
      </c>
      <c r="G11" s="17">
        <v>0</v>
      </c>
      <c r="H11" s="166">
        <v>0</v>
      </c>
    </row>
    <row r="12" spans="2:9" x14ac:dyDescent="0.3">
      <c r="B12" s="133">
        <v>8</v>
      </c>
      <c r="C12" s="165">
        <v>0</v>
      </c>
      <c r="D12" s="165">
        <v>0</v>
      </c>
      <c r="G12" s="17">
        <v>0</v>
      </c>
      <c r="H12" s="166">
        <v>0</v>
      </c>
    </row>
    <row r="13" spans="2:9" x14ac:dyDescent="0.3">
      <c r="B13" s="133">
        <v>9</v>
      </c>
      <c r="C13" s="165">
        <v>0</v>
      </c>
      <c r="D13" s="165">
        <v>0</v>
      </c>
      <c r="G13" s="17">
        <v>0</v>
      </c>
      <c r="H13" s="166">
        <v>0</v>
      </c>
    </row>
    <row r="16" spans="2:9" x14ac:dyDescent="0.3">
      <c r="B16" s="167" t="s">
        <v>147</v>
      </c>
      <c r="I16" s="17" t="e">
        <f>1/I17</f>
        <v>#DIV/0!</v>
      </c>
    </row>
    <row r="17" spans="2:10" x14ac:dyDescent="0.3">
      <c r="B17" s="146"/>
      <c r="C17" s="146" t="s">
        <v>146</v>
      </c>
      <c r="D17" s="146" t="s">
        <v>145</v>
      </c>
      <c r="H17" s="166"/>
      <c r="I17" s="166">
        <f>SUMPRODUCT(H4:H13,D4:D13)</f>
        <v>0</v>
      </c>
    </row>
    <row r="18" spans="2:10" x14ac:dyDescent="0.3">
      <c r="B18" s="168">
        <v>0</v>
      </c>
      <c r="C18" s="169">
        <v>0.86973562490871026</v>
      </c>
      <c r="D18" s="169" cm="1">
        <f t="array" ref="D18:D30">J18:J30</f>
        <v>1</v>
      </c>
      <c r="F18" s="17" cm="1">
        <f t="array" ref="F18:F30">TRANSPOSE(Parameter!O16:AA16)</f>
        <v>10000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1</v>
      </c>
      <c r="I18" s="166" cm="1">
        <f t="array" ref="I18:I30">_xlfn.ANCHORARRAY(G18)/SUM(_xlfn.ANCHORARRAY(G18))*I17</f>
        <v>0</v>
      </c>
      <c r="J18" s="166" cm="1">
        <f t="array" ref="J18:J22">H18:H22</f>
        <v>1</v>
      </c>
    </row>
    <row r="19" spans="2:10" x14ac:dyDescent="0.3">
      <c r="B19" s="170">
        <v>2</v>
      </c>
      <c r="C19" s="171">
        <v>3.4690101757631819E-2</v>
      </c>
      <c r="D19" s="171">
        <v>0</v>
      </c>
      <c r="F19" s="17">
        <v>0</v>
      </c>
      <c r="G19" s="17">
        <v>0</v>
      </c>
      <c r="H19" s="166">
        <v>0</v>
      </c>
      <c r="I19" s="166">
        <v>0</v>
      </c>
      <c r="J19" s="166">
        <v>0</v>
      </c>
    </row>
    <row r="20" spans="2:10" x14ac:dyDescent="0.3">
      <c r="B20" s="170">
        <v>3</v>
      </c>
      <c r="C20" s="171">
        <v>2.8506743268903064E-2</v>
      </c>
      <c r="D20" s="171">
        <v>0</v>
      </c>
      <c r="F20" s="17">
        <v>0</v>
      </c>
      <c r="G20" s="17">
        <v>0</v>
      </c>
      <c r="H20" s="166">
        <v>0</v>
      </c>
      <c r="I20" s="166">
        <v>0</v>
      </c>
      <c r="J20" s="166">
        <v>0</v>
      </c>
    </row>
    <row r="21" spans="2:10" x14ac:dyDescent="0.3">
      <c r="B21" s="170">
        <v>5</v>
      </c>
      <c r="C21" s="171">
        <v>1.9109985880519986E-2</v>
      </c>
      <c r="D21" s="171">
        <v>0</v>
      </c>
      <c r="F21" s="17">
        <v>0</v>
      </c>
      <c r="G21" s="17">
        <v>0</v>
      </c>
      <c r="H21" s="166">
        <v>0</v>
      </c>
      <c r="I21" s="166">
        <v>0</v>
      </c>
      <c r="J21" s="166">
        <v>0</v>
      </c>
    </row>
    <row r="22" spans="2:10" x14ac:dyDescent="0.3">
      <c r="B22" s="170">
        <v>8</v>
      </c>
      <c r="C22" s="171">
        <v>1.8111884707142509E-2</v>
      </c>
      <c r="D22" s="171">
        <v>0</v>
      </c>
      <c r="F22" s="17">
        <v>0</v>
      </c>
      <c r="G22" s="17">
        <v>0</v>
      </c>
      <c r="H22" s="166">
        <v>0</v>
      </c>
      <c r="I22" s="166">
        <v>0</v>
      </c>
      <c r="J22" s="166">
        <v>0</v>
      </c>
    </row>
    <row r="23" spans="2:10" x14ac:dyDescent="0.3">
      <c r="B23" s="170">
        <v>10</v>
      </c>
      <c r="C23" s="171">
        <v>1.4849797945372219E-2</v>
      </c>
      <c r="D23" s="171">
        <v>0</v>
      </c>
      <c r="F23" s="17">
        <v>0</v>
      </c>
      <c r="G23" s="17">
        <v>3400</v>
      </c>
      <c r="H23" s="166">
        <v>0</v>
      </c>
      <c r="I23" s="166">
        <v>0</v>
      </c>
      <c r="J23" s="166" cm="1">
        <f t="array" ref="J23:J30">I23:I30</f>
        <v>0</v>
      </c>
    </row>
    <row r="24" spans="2:10" x14ac:dyDescent="0.3">
      <c r="B24" s="170">
        <v>15</v>
      </c>
      <c r="C24" s="171">
        <v>8.7881591119333951E-3</v>
      </c>
      <c r="D24" s="171">
        <v>0</v>
      </c>
      <c r="F24" s="17">
        <v>0</v>
      </c>
      <c r="G24" s="17">
        <v>1200</v>
      </c>
      <c r="H24" s="166">
        <v>0</v>
      </c>
      <c r="I24" s="166">
        <v>0</v>
      </c>
      <c r="J24" s="166">
        <v>0</v>
      </c>
    </row>
    <row r="25" spans="2:10" x14ac:dyDescent="0.3">
      <c r="B25" s="170">
        <v>20</v>
      </c>
      <c r="C25" s="171">
        <v>4.5523151078436146E-3</v>
      </c>
      <c r="D25" s="171">
        <v>0</v>
      </c>
      <c r="F25" s="17">
        <v>0</v>
      </c>
      <c r="G25" s="17">
        <v>2400</v>
      </c>
      <c r="H25" s="166">
        <v>0</v>
      </c>
      <c r="I25" s="166">
        <v>0</v>
      </c>
      <c r="J25" s="166">
        <v>0</v>
      </c>
    </row>
    <row r="26" spans="2:10" x14ac:dyDescent="0.3">
      <c r="B26" s="170">
        <v>25</v>
      </c>
      <c r="C26" s="171">
        <v>1.3876040703052729E-3</v>
      </c>
      <c r="D26" s="171">
        <v>0</v>
      </c>
      <c r="F26" s="17">
        <v>0</v>
      </c>
      <c r="G26" s="17">
        <v>500</v>
      </c>
      <c r="H26" s="166">
        <v>0</v>
      </c>
      <c r="I26" s="166">
        <v>0</v>
      </c>
      <c r="J26" s="166">
        <v>0</v>
      </c>
    </row>
    <row r="27" spans="2:10" x14ac:dyDescent="0.3">
      <c r="B27" s="170">
        <v>35</v>
      </c>
      <c r="C27" s="171">
        <v>1.9475144846389794E-4</v>
      </c>
      <c r="D27" s="171">
        <v>0</v>
      </c>
      <c r="F27" s="17">
        <v>0</v>
      </c>
      <c r="G27" s="17">
        <v>200</v>
      </c>
      <c r="H27" s="166">
        <v>0</v>
      </c>
      <c r="I27" s="166">
        <v>0</v>
      </c>
      <c r="J27" s="166">
        <v>0</v>
      </c>
    </row>
    <row r="28" spans="2:10" x14ac:dyDescent="0.3">
      <c r="B28" s="170">
        <v>50</v>
      </c>
      <c r="C28" s="171">
        <v>2.4343931057987243E-5</v>
      </c>
      <c r="D28" s="171">
        <v>0</v>
      </c>
      <c r="F28" s="17">
        <v>0</v>
      </c>
      <c r="G28" s="17">
        <v>200</v>
      </c>
      <c r="H28" s="166">
        <v>0</v>
      </c>
      <c r="I28" s="166">
        <v>0</v>
      </c>
      <c r="J28" s="166">
        <v>0</v>
      </c>
    </row>
    <row r="29" spans="2:10" x14ac:dyDescent="0.3">
      <c r="B29" s="170">
        <v>80</v>
      </c>
      <c r="C29" s="171">
        <v>4.8687862115974485E-5</v>
      </c>
      <c r="D29" s="171">
        <v>0</v>
      </c>
      <c r="F29" s="17">
        <v>0</v>
      </c>
      <c r="G29" s="17">
        <v>1200</v>
      </c>
      <c r="H29" s="166">
        <v>0</v>
      </c>
      <c r="I29" s="166">
        <v>0</v>
      </c>
      <c r="J29" s="166">
        <v>0</v>
      </c>
    </row>
    <row r="30" spans="2:10" x14ac:dyDescent="0.3">
      <c r="B30" s="170">
        <v>100</v>
      </c>
      <c r="C30" s="171">
        <v>0</v>
      </c>
      <c r="D30" s="171">
        <v>0</v>
      </c>
      <c r="F30" s="17">
        <v>0</v>
      </c>
      <c r="G30" s="17">
        <v>900</v>
      </c>
      <c r="H30" s="166">
        <v>0</v>
      </c>
      <c r="I30" s="166">
        <v>0</v>
      </c>
      <c r="J30" s="166">
        <v>0</v>
      </c>
    </row>
    <row r="31" spans="2:10" x14ac:dyDescent="0.3">
      <c r="C31" s="17">
        <f>SUMPRODUCT(C18:C30,B18:B30)</f>
        <v>0.81333073664735367</v>
      </c>
      <c r="D31" s="17">
        <f>SUMPRODUCT(D18:D30,B18:B30)</f>
        <v>0</v>
      </c>
    </row>
    <row r="34" spans="2:9" x14ac:dyDescent="0.3">
      <c r="B34" s="164" t="s">
        <v>149</v>
      </c>
    </row>
    <row r="35" spans="2:9" x14ac:dyDescent="0.3">
      <c r="B35" s="146" t="s">
        <v>71</v>
      </c>
      <c r="C35" s="146" t="s">
        <v>146</v>
      </c>
      <c r="D35" s="146" t="s">
        <v>145</v>
      </c>
    </row>
    <row r="36" spans="2:9" x14ac:dyDescent="0.3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 x14ac:dyDescent="0.3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 x14ac:dyDescent="0.3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 x14ac:dyDescent="0.3">
      <c r="B39" s="133">
        <v>3</v>
      </c>
      <c r="C39" s="165">
        <v>0.18173813507088141</v>
      </c>
      <c r="D39" s="165">
        <v>0.17960000000000001</v>
      </c>
      <c r="G39" s="17">
        <v>0</v>
      </c>
      <c r="H39" s="166">
        <v>0</v>
      </c>
    </row>
    <row r="40" spans="2:9" x14ac:dyDescent="0.3">
      <c r="B40" s="133">
        <v>4</v>
      </c>
      <c r="C40" s="165">
        <v>6.3705203839042004E-2</v>
      </c>
      <c r="D40" s="165">
        <v>0.38219999999999998</v>
      </c>
      <c r="G40" s="17">
        <v>0</v>
      </c>
      <c r="H40" s="166">
        <v>0</v>
      </c>
    </row>
    <row r="41" spans="2:9" x14ac:dyDescent="0.3">
      <c r="B41" s="133">
        <v>5</v>
      </c>
      <c r="C41" s="165">
        <v>1.4748613190103021E-2</v>
      </c>
      <c r="D41" s="165">
        <v>0.29920000000000002</v>
      </c>
      <c r="G41" s="17">
        <v>0</v>
      </c>
      <c r="H41" s="166">
        <v>0</v>
      </c>
    </row>
    <row r="42" spans="2:9" x14ac:dyDescent="0.3">
      <c r="B42" s="133">
        <v>6</v>
      </c>
      <c r="C42" s="165">
        <v>3.6101083032490976E-3</v>
      </c>
      <c r="D42" s="165">
        <v>0.1134</v>
      </c>
      <c r="G42" s="17">
        <v>0</v>
      </c>
      <c r="H42" s="166">
        <v>0</v>
      </c>
    </row>
    <row r="43" spans="2:9" x14ac:dyDescent="0.3">
      <c r="B43" s="133">
        <v>7</v>
      </c>
      <c r="C43" s="165">
        <v>3.9623139913709608E-4</v>
      </c>
      <c r="D43" s="165">
        <v>2.3E-2</v>
      </c>
      <c r="G43" s="17">
        <v>0</v>
      </c>
      <c r="H43" s="166">
        <v>0</v>
      </c>
    </row>
    <row r="44" spans="2:9" x14ac:dyDescent="0.3">
      <c r="B44" s="133">
        <v>8</v>
      </c>
      <c r="C44" s="165">
        <v>0</v>
      </c>
      <c r="D44" s="165">
        <v>2.3999999999999998E-3</v>
      </c>
      <c r="G44" s="17">
        <v>0</v>
      </c>
      <c r="H44" s="166">
        <v>0</v>
      </c>
    </row>
    <row r="45" spans="2:9" x14ac:dyDescent="0.3">
      <c r="B45" s="133">
        <v>9</v>
      </c>
      <c r="C45" s="165">
        <v>0</v>
      </c>
      <c r="D45" s="165">
        <v>1E-4</v>
      </c>
      <c r="G45" s="17">
        <v>0</v>
      </c>
      <c r="H45" s="166">
        <v>0</v>
      </c>
    </row>
    <row r="48" spans="2:9" x14ac:dyDescent="0.3">
      <c r="B48" s="167" t="s">
        <v>147</v>
      </c>
      <c r="I48" s="17" t="e">
        <f>1/I49</f>
        <v>#DIV/0!</v>
      </c>
    </row>
    <row r="49" spans="2:10" x14ac:dyDescent="0.3">
      <c r="B49" s="146"/>
      <c r="C49" s="146" t="s">
        <v>146</v>
      </c>
      <c r="D49" s="146" t="s">
        <v>145</v>
      </c>
      <c r="H49" s="166"/>
      <c r="I49" s="166">
        <f>SUMPRODUCT(H36:H45,D36:D45)</f>
        <v>0</v>
      </c>
    </row>
    <row r="50" spans="2:10" x14ac:dyDescent="0.3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 x14ac:dyDescent="0.3">
      <c r="B51" s="170">
        <v>2</v>
      </c>
      <c r="C51" s="171">
        <v>3.4690101757631819E-2</v>
      </c>
      <c r="D51" s="171">
        <v>0.32</v>
      </c>
      <c r="F51" s="17">
        <v>3200</v>
      </c>
      <c r="G51" s="17">
        <v>0</v>
      </c>
      <c r="H51" s="166">
        <v>0.32</v>
      </c>
      <c r="I51" s="166">
        <v>0</v>
      </c>
      <c r="J51" s="166">
        <v>0.32</v>
      </c>
    </row>
    <row r="52" spans="2:10" x14ac:dyDescent="0.3">
      <c r="B52" s="170">
        <v>3</v>
      </c>
      <c r="C52" s="171">
        <v>2.8506743268903064E-2</v>
      </c>
      <c r="D52" s="171">
        <v>0.26</v>
      </c>
      <c r="F52" s="17">
        <v>2600</v>
      </c>
      <c r="G52" s="17">
        <v>0</v>
      </c>
      <c r="H52" s="166">
        <v>0.26</v>
      </c>
      <c r="I52" s="166">
        <v>0</v>
      </c>
      <c r="J52" s="166">
        <v>0.26</v>
      </c>
    </row>
    <row r="53" spans="2:10" x14ac:dyDescent="0.3">
      <c r="B53" s="170">
        <v>5</v>
      </c>
      <c r="C53" s="171">
        <v>1.9109985880519986E-2</v>
      </c>
      <c r="D53" s="171">
        <v>0.21</v>
      </c>
      <c r="F53" s="17">
        <v>2100</v>
      </c>
      <c r="G53" s="17">
        <v>0</v>
      </c>
      <c r="H53" s="166">
        <v>0.21</v>
      </c>
      <c r="I53" s="166">
        <v>0</v>
      </c>
      <c r="J53" s="166">
        <v>0.21</v>
      </c>
    </row>
    <row r="54" spans="2:10" x14ac:dyDescent="0.3">
      <c r="B54" s="170">
        <v>8</v>
      </c>
      <c r="C54" s="171">
        <v>1.8111884707142509E-2</v>
      </c>
      <c r="D54" s="171">
        <v>0.21</v>
      </c>
      <c r="F54" s="17">
        <v>2100</v>
      </c>
      <c r="G54" s="17">
        <v>0</v>
      </c>
      <c r="H54" s="166">
        <v>0.21</v>
      </c>
      <c r="I54" s="166">
        <v>0</v>
      </c>
      <c r="J54" s="166">
        <v>0.21</v>
      </c>
    </row>
    <row r="55" spans="2:10" x14ac:dyDescent="0.3">
      <c r="B55" s="170">
        <v>10</v>
      </c>
      <c r="C55" s="171">
        <v>1.4849797945372219E-2</v>
      </c>
      <c r="D55" s="171">
        <v>0</v>
      </c>
      <c r="F55" s="17">
        <v>0</v>
      </c>
      <c r="G55" s="17">
        <v>4450</v>
      </c>
      <c r="H55" s="166">
        <v>0</v>
      </c>
      <c r="I55" s="166">
        <v>0</v>
      </c>
      <c r="J55" s="166" cm="1">
        <f t="array" ref="J55:J62">I55:I62</f>
        <v>0</v>
      </c>
    </row>
    <row r="56" spans="2:10" x14ac:dyDescent="0.3">
      <c r="B56" s="170">
        <v>15</v>
      </c>
      <c r="C56" s="171">
        <v>8.7881591119333951E-3</v>
      </c>
      <c r="D56" s="171">
        <v>0</v>
      </c>
      <c r="F56" s="17">
        <v>0</v>
      </c>
      <c r="G56" s="17">
        <v>600</v>
      </c>
      <c r="H56" s="166">
        <v>0</v>
      </c>
      <c r="I56" s="166">
        <v>0</v>
      </c>
      <c r="J56" s="166">
        <v>0</v>
      </c>
    </row>
    <row r="57" spans="2:10" x14ac:dyDescent="0.3">
      <c r="B57" s="170">
        <v>20</v>
      </c>
      <c r="C57" s="171">
        <v>4.5523151078436146E-3</v>
      </c>
      <c r="D57" s="171">
        <v>0</v>
      </c>
      <c r="F57" s="17">
        <v>0</v>
      </c>
      <c r="G57" s="17">
        <v>2400</v>
      </c>
      <c r="H57" s="166">
        <v>0</v>
      </c>
      <c r="I57" s="166">
        <v>0</v>
      </c>
      <c r="J57" s="166">
        <v>0</v>
      </c>
    </row>
    <row r="58" spans="2:10" x14ac:dyDescent="0.3">
      <c r="B58" s="170">
        <v>25</v>
      </c>
      <c r="C58" s="171">
        <v>1.3876040703052729E-3</v>
      </c>
      <c r="D58" s="171">
        <v>0</v>
      </c>
      <c r="F58" s="17">
        <v>0</v>
      </c>
      <c r="G58" s="17">
        <v>250</v>
      </c>
      <c r="H58" s="166">
        <v>0</v>
      </c>
      <c r="I58" s="166">
        <v>0</v>
      </c>
      <c r="J58" s="166">
        <v>0</v>
      </c>
    </row>
    <row r="59" spans="2:10" x14ac:dyDescent="0.3">
      <c r="B59" s="170">
        <v>35</v>
      </c>
      <c r="C59" s="171">
        <v>1.9475144846389794E-4</v>
      </c>
      <c r="D59" s="171">
        <v>0</v>
      </c>
      <c r="F59" s="17">
        <v>0</v>
      </c>
      <c r="G59" s="17">
        <v>100</v>
      </c>
      <c r="H59" s="166">
        <v>0</v>
      </c>
      <c r="I59" s="166">
        <v>0</v>
      </c>
      <c r="J59" s="166">
        <v>0</v>
      </c>
    </row>
    <row r="60" spans="2:10" x14ac:dyDescent="0.3">
      <c r="B60" s="170">
        <v>50</v>
      </c>
      <c r="C60" s="171">
        <v>2.4343931057987243E-5</v>
      </c>
      <c r="D60" s="171">
        <v>0</v>
      </c>
      <c r="F60" s="17">
        <v>0</v>
      </c>
      <c r="G60" s="17">
        <v>100</v>
      </c>
      <c r="H60" s="166">
        <v>0</v>
      </c>
      <c r="I60" s="166">
        <v>0</v>
      </c>
      <c r="J60" s="166">
        <v>0</v>
      </c>
    </row>
    <row r="61" spans="2:10" x14ac:dyDescent="0.3">
      <c r="B61" s="170">
        <v>80</v>
      </c>
      <c r="C61" s="171">
        <v>4.8687862115974485E-5</v>
      </c>
      <c r="D61" s="171">
        <v>0</v>
      </c>
      <c r="F61" s="17">
        <v>0</v>
      </c>
      <c r="G61" s="17">
        <v>1200</v>
      </c>
      <c r="H61" s="166">
        <v>0</v>
      </c>
      <c r="I61" s="166">
        <v>0</v>
      </c>
      <c r="J61" s="166">
        <v>0</v>
      </c>
    </row>
    <row r="62" spans="2:10" x14ac:dyDescent="0.3">
      <c r="B62" s="170">
        <v>100</v>
      </c>
      <c r="C62" s="171">
        <v>0</v>
      </c>
      <c r="D62" s="171">
        <v>0</v>
      </c>
      <c r="F62" s="17">
        <v>0</v>
      </c>
      <c r="G62" s="17">
        <v>900</v>
      </c>
      <c r="H62" s="166">
        <v>0</v>
      </c>
      <c r="I62" s="166">
        <v>0</v>
      </c>
      <c r="J62" s="166">
        <v>0</v>
      </c>
    </row>
    <row r="63" spans="2:10" x14ac:dyDescent="0.3">
      <c r="C63" s="17">
        <f>SUMPRODUCT(C50:C62,B50:B62)</f>
        <v>0.81333073664735367</v>
      </c>
      <c r="D63" s="17">
        <f>SUMPRODUCT(D50:D62,B50:B62)</f>
        <v>4.1499999999999995</v>
      </c>
    </row>
    <row r="66" spans="2:9" x14ac:dyDescent="0.3">
      <c r="B66" s="164" t="s">
        <v>150</v>
      </c>
    </row>
    <row r="67" spans="2:9" x14ac:dyDescent="0.3">
      <c r="B67" s="146" t="s">
        <v>71</v>
      </c>
      <c r="C67" s="146" t="s">
        <v>146</v>
      </c>
      <c r="D67" s="146" t="s">
        <v>145</v>
      </c>
    </row>
    <row r="68" spans="2:9" x14ac:dyDescent="0.3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 x14ac:dyDescent="0.3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 x14ac:dyDescent="0.3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 x14ac:dyDescent="0.3">
      <c r="B71" s="133">
        <v>3</v>
      </c>
      <c r="C71" s="165">
        <v>0.24072612470402527</v>
      </c>
      <c r="D71" s="165">
        <v>0.23769999999999999</v>
      </c>
      <c r="G71" s="17">
        <v>0</v>
      </c>
      <c r="H71" s="166">
        <v>0</v>
      </c>
    </row>
    <row r="72" spans="2:9" x14ac:dyDescent="0.3">
      <c r="B72" s="133">
        <v>4</v>
      </c>
      <c r="C72" s="165">
        <v>0.17363851617995266</v>
      </c>
      <c r="D72" s="165">
        <v>0.39269999999999999</v>
      </c>
      <c r="G72" s="17">
        <v>0</v>
      </c>
      <c r="H72" s="166">
        <v>0</v>
      </c>
    </row>
    <row r="73" spans="2:9" x14ac:dyDescent="0.3">
      <c r="B73" s="133">
        <v>5</v>
      </c>
      <c r="C73" s="165">
        <v>0.10023677979479084</v>
      </c>
      <c r="D73" s="165">
        <v>0.25750000000000001</v>
      </c>
      <c r="G73" s="17">
        <v>0</v>
      </c>
      <c r="H73" s="166">
        <v>0</v>
      </c>
    </row>
    <row r="74" spans="2:9" x14ac:dyDescent="0.3">
      <c r="B74" s="133">
        <v>6</v>
      </c>
      <c r="C74" s="165">
        <v>3.1570639305445937E-2</v>
      </c>
      <c r="D74" s="165">
        <v>8.2699999999999996E-2</v>
      </c>
      <c r="G74" s="17">
        <v>0</v>
      </c>
      <c r="H74" s="166">
        <v>0</v>
      </c>
    </row>
    <row r="75" spans="2:9" x14ac:dyDescent="0.3">
      <c r="B75" s="133">
        <v>7</v>
      </c>
      <c r="C75" s="165">
        <v>1.0260457774269928E-2</v>
      </c>
      <c r="D75" s="165">
        <v>1.5800000000000002E-2</v>
      </c>
      <c r="G75" s="17">
        <v>0</v>
      </c>
      <c r="H75" s="166">
        <v>0</v>
      </c>
    </row>
    <row r="76" spans="2:9" x14ac:dyDescent="0.3">
      <c r="B76" s="133">
        <v>8</v>
      </c>
      <c r="C76" s="165">
        <v>7.8926598263614838E-4</v>
      </c>
      <c r="D76" s="165">
        <v>1.6999999999999999E-3</v>
      </c>
      <c r="G76" s="17">
        <v>0</v>
      </c>
      <c r="H76" s="166">
        <v>0</v>
      </c>
    </row>
    <row r="77" spans="2:9" x14ac:dyDescent="0.3">
      <c r="B77" s="133">
        <v>9</v>
      </c>
      <c r="C77" s="165">
        <v>0</v>
      </c>
      <c r="D77" s="165">
        <v>1E-4</v>
      </c>
      <c r="G77" s="17">
        <v>0</v>
      </c>
      <c r="H77" s="166">
        <v>0</v>
      </c>
    </row>
    <row r="80" spans="2:9" x14ac:dyDescent="0.3">
      <c r="B80" s="167" t="s">
        <v>147</v>
      </c>
      <c r="I80" s="17" t="e">
        <f>1/I81</f>
        <v>#DIV/0!</v>
      </c>
    </row>
    <row r="81" spans="2:11" x14ac:dyDescent="0.3">
      <c r="B81" s="146"/>
      <c r="C81" s="146" t="s">
        <v>146</v>
      </c>
      <c r="D81" s="146" t="s">
        <v>145</v>
      </c>
      <c r="H81" s="166"/>
      <c r="I81" s="166">
        <f>SUMPRODUCT(H68:H77,D68:D77)</f>
        <v>0</v>
      </c>
    </row>
    <row r="82" spans="2:11" x14ac:dyDescent="0.3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 x14ac:dyDescent="0.3">
      <c r="B83" s="170">
        <v>2</v>
      </c>
      <c r="C83" s="171">
        <v>0.21617069062324537</v>
      </c>
      <c r="D83" s="171">
        <v>0.64400000000000002</v>
      </c>
      <c r="F83" s="17">
        <v>6440</v>
      </c>
      <c r="G83" s="17">
        <v>0</v>
      </c>
      <c r="H83" s="166">
        <v>0.64400000000000002</v>
      </c>
      <c r="I83" s="166">
        <v>0</v>
      </c>
      <c r="J83" s="166">
        <v>0.64400000000000002</v>
      </c>
      <c r="K83" s="166"/>
    </row>
    <row r="84" spans="2:11" x14ac:dyDescent="0.3">
      <c r="B84" s="170">
        <v>3</v>
      </c>
      <c r="C84" s="171">
        <v>8.5906793935991016E-2</v>
      </c>
      <c r="D84" s="171">
        <v>0.26</v>
      </c>
      <c r="F84" s="17">
        <v>2600</v>
      </c>
      <c r="G84" s="17">
        <v>0</v>
      </c>
      <c r="H84" s="166">
        <v>0.26</v>
      </c>
      <c r="I84" s="166">
        <v>0</v>
      </c>
      <c r="J84" s="166">
        <v>0.26</v>
      </c>
      <c r="K84" s="166"/>
    </row>
    <row r="85" spans="2:11" x14ac:dyDescent="0.3">
      <c r="B85" s="170">
        <v>5</v>
      </c>
      <c r="C85" s="171">
        <v>2.1897810218978103E-2</v>
      </c>
      <c r="D85" s="171">
        <v>6.6000000000000003E-2</v>
      </c>
      <c r="F85" s="17">
        <v>660</v>
      </c>
      <c r="G85" s="17">
        <v>0</v>
      </c>
      <c r="H85" s="166">
        <v>6.6000000000000003E-2</v>
      </c>
      <c r="I85" s="166">
        <v>0</v>
      </c>
      <c r="J85" s="166">
        <v>6.6000000000000003E-2</v>
      </c>
      <c r="K85" s="166"/>
    </row>
    <row r="86" spans="2:11" x14ac:dyDescent="0.3">
      <c r="B86" s="170">
        <v>8</v>
      </c>
      <c r="C86" s="171">
        <v>1.0668163952835485E-2</v>
      </c>
      <c r="D86" s="171">
        <v>0.03</v>
      </c>
      <c r="F86" s="17">
        <v>300</v>
      </c>
      <c r="G86" s="17">
        <v>0</v>
      </c>
      <c r="H86" s="166">
        <v>0.03</v>
      </c>
      <c r="I86" s="166">
        <v>0</v>
      </c>
      <c r="J86" s="166">
        <v>0.03</v>
      </c>
      <c r="K86" s="166"/>
    </row>
    <row r="87" spans="2:11" x14ac:dyDescent="0.3">
      <c r="B87" s="170">
        <v>10</v>
      </c>
      <c r="C87" s="171">
        <v>1.0106681639528355E-2</v>
      </c>
      <c r="D87" s="171">
        <v>0</v>
      </c>
      <c r="F87" s="17">
        <v>0</v>
      </c>
      <c r="G87" s="17">
        <v>3900</v>
      </c>
      <c r="H87" s="166">
        <v>0</v>
      </c>
      <c r="I87" s="166">
        <v>0</v>
      </c>
      <c r="J87" s="166" cm="1">
        <f t="array" ref="J87:J94">I87:I94</f>
        <v>0</v>
      </c>
      <c r="K87" s="166"/>
    </row>
    <row r="88" spans="2:11" x14ac:dyDescent="0.3">
      <c r="B88" s="170">
        <v>15</v>
      </c>
      <c r="C88" s="171">
        <v>5.8955642897248733E-3</v>
      </c>
      <c r="D88" s="171">
        <v>0</v>
      </c>
      <c r="F88" s="17">
        <v>0</v>
      </c>
      <c r="G88" s="17">
        <v>1500</v>
      </c>
      <c r="H88" s="166">
        <v>0</v>
      </c>
      <c r="I88" s="166">
        <v>0</v>
      </c>
      <c r="J88" s="166">
        <v>0</v>
      </c>
      <c r="K88" s="166"/>
    </row>
    <row r="89" spans="2:11" x14ac:dyDescent="0.3">
      <c r="B89" s="170">
        <v>20</v>
      </c>
      <c r="C89" s="171">
        <v>2.807411566535654E-3</v>
      </c>
      <c r="D89" s="171">
        <v>0</v>
      </c>
      <c r="F89" s="17">
        <v>0</v>
      </c>
      <c r="G89" s="17">
        <v>2500</v>
      </c>
      <c r="H89" s="166">
        <v>0</v>
      </c>
      <c r="I89" s="166">
        <v>0</v>
      </c>
      <c r="J89" s="166">
        <v>0</v>
      </c>
      <c r="K89" s="166"/>
    </row>
    <row r="90" spans="2:11" x14ac:dyDescent="0.3">
      <c r="B90" s="170">
        <v>25</v>
      </c>
      <c r="C90" s="171">
        <v>5.6148231330713087E-4</v>
      </c>
      <c r="D90" s="171">
        <v>0</v>
      </c>
      <c r="F90" s="17">
        <v>0</v>
      </c>
      <c r="G90" s="17">
        <v>100</v>
      </c>
      <c r="H90" s="166">
        <v>0</v>
      </c>
      <c r="I90" s="166">
        <v>0</v>
      </c>
      <c r="J90" s="166">
        <v>0</v>
      </c>
      <c r="K90" s="166"/>
    </row>
    <row r="91" spans="2:11" x14ac:dyDescent="0.3">
      <c r="B91" s="170">
        <v>35</v>
      </c>
      <c r="C91" s="171">
        <v>5.6148231330713087E-4</v>
      </c>
      <c r="D91" s="171">
        <v>0</v>
      </c>
      <c r="F91" s="17">
        <v>0</v>
      </c>
      <c r="G91" s="17">
        <v>100</v>
      </c>
      <c r="H91" s="166">
        <v>0</v>
      </c>
      <c r="I91" s="166">
        <v>0</v>
      </c>
      <c r="J91" s="166">
        <v>0</v>
      </c>
      <c r="K91" s="166"/>
    </row>
    <row r="92" spans="2:11" x14ac:dyDescent="0.3">
      <c r="B92" s="170">
        <v>50</v>
      </c>
      <c r="C92" s="171">
        <v>8.4222346996069624E-4</v>
      </c>
      <c r="D92" s="171">
        <v>0</v>
      </c>
      <c r="F92" s="17">
        <v>0</v>
      </c>
      <c r="G92" s="17">
        <v>100</v>
      </c>
      <c r="H92" s="166">
        <v>0</v>
      </c>
      <c r="I92" s="166">
        <v>0</v>
      </c>
      <c r="J92" s="166">
        <v>0</v>
      </c>
      <c r="K92" s="166"/>
    </row>
    <row r="93" spans="2:11" x14ac:dyDescent="0.3">
      <c r="B93" s="170">
        <v>80</v>
      </c>
      <c r="C93" s="171">
        <v>8.4222346996069624E-4</v>
      </c>
      <c r="D93" s="171">
        <v>0</v>
      </c>
      <c r="F93" s="17">
        <v>0</v>
      </c>
      <c r="G93" s="17">
        <v>1000</v>
      </c>
      <c r="H93" s="166">
        <v>0</v>
      </c>
      <c r="I93" s="166">
        <v>0</v>
      </c>
      <c r="J93" s="166">
        <v>0</v>
      </c>
      <c r="K93" s="166"/>
    </row>
    <row r="94" spans="2:11" x14ac:dyDescent="0.3">
      <c r="B94" s="170">
        <v>100</v>
      </c>
      <c r="C94" s="171">
        <v>2.8074115665356543E-4</v>
      </c>
      <c r="D94" s="171">
        <v>0</v>
      </c>
      <c r="F94" s="17">
        <v>0</v>
      </c>
      <c r="G94" s="17">
        <v>800</v>
      </c>
      <c r="H94" s="166">
        <v>0</v>
      </c>
      <c r="I94" s="166">
        <v>0</v>
      </c>
      <c r="J94" s="166">
        <v>0</v>
      </c>
      <c r="K94" s="166"/>
    </row>
    <row r="95" spans="2:11" x14ac:dyDescent="0.3">
      <c r="C95" s="17">
        <f>SUMPRODUCT(C82:C94,B82:B94)</f>
        <v>1.301796743402583</v>
      </c>
      <c r="D95" s="17">
        <f>SUMPRODUCT(D82:D94,B82:B94)</f>
        <v>2.6379999999999999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A10" workbookViewId="0">
      <selection activeCell="AC6" sqref="AC6:AG25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>
      <selection activeCell="W203" sqref="W203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2026-05-21T02:18:07Z</dcterms:modified>
</cp:coreProperties>
</file>