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DEEFCE8A-3B12-4DDB-98AD-BBE8DE527474}" xr6:coauthVersionLast="47" xr6:coauthVersionMax="47" xr10:uidLastSave="{00000000-0000-0000-0000-000000000000}"/>
  <bookViews>
    <workbookView xWindow="-28920" yWindow="60" windowWidth="29040" windowHeight="15720" activeTab="2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21" i="76" l="1"/>
  <c r="R21" i="76"/>
  <c r="R20" i="76"/>
  <c r="M4" i="76" l="1" a="1"/>
  <c r="M4" i="76" s="1"/>
  <c r="I4" i="76" a="1"/>
  <c r="I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P32" i="30" l="1"/>
  <c r="O32" i="30" s="1"/>
  <c r="AB32" i="30" s="1" a="1"/>
  <c r="AB32" i="30" s="1"/>
  <c r="P31" i="30"/>
  <c r="O31" i="30"/>
  <c r="AB31" i="30" s="1" a="1"/>
  <c r="AB31" i="30" s="1"/>
  <c r="P30" i="30"/>
  <c r="O30" i="30" s="1"/>
  <c r="AB30" i="30" s="1" a="1"/>
  <c r="AB30" i="30" s="1"/>
  <c r="T10" i="30"/>
  <c r="T9" i="30"/>
  <c r="P21" i="30"/>
  <c r="O21" i="30"/>
  <c r="P20" i="30"/>
  <c r="O20" i="30" s="1"/>
  <c r="AB20" i="30" s="1" a="1"/>
  <c r="AB20" i="30" s="1"/>
  <c r="T8" i="30"/>
  <c r="G82" i="75" s="1" a="1"/>
  <c r="G82" i="75" s="1"/>
  <c r="P19" i="30"/>
  <c r="O19" i="30"/>
  <c r="F82" i="75" a="1"/>
  <c r="F82" i="75" s="1"/>
  <c r="G69" i="75" a="1"/>
  <c r="G69" i="75" s="1"/>
  <c r="H68" i="75" s="1" a="1"/>
  <c r="H68" i="75" s="1"/>
  <c r="I81" i="75" s="1"/>
  <c r="C95" i="75"/>
  <c r="O54" i="30"/>
  <c r="AB54" i="30" s="1" a="1"/>
  <c r="AB54" i="30" s="1"/>
  <c r="O53" i="30"/>
  <c r="AB53" i="30" s="1" a="1"/>
  <c r="AB53" i="30" s="1"/>
  <c r="O52" i="30"/>
  <c r="AB52" i="30" s="1" a="1"/>
  <c r="AB52" i="30" s="1"/>
  <c r="O44" i="30"/>
  <c r="AB44" i="30" s="1" a="1"/>
  <c r="AB44" i="30" s="1"/>
  <c r="O43" i="30"/>
  <c r="AB43" i="30" s="1" a="1"/>
  <c r="AB43" i="30" s="1"/>
  <c r="O42" i="30"/>
  <c r="AB42" i="30" s="1" a="1"/>
  <c r="AB42" i="30" s="1"/>
  <c r="O41" i="30"/>
  <c r="AB41" i="30" s="1" a="1"/>
  <c r="AB41" i="30" s="1"/>
  <c r="T11" i="30"/>
  <c r="AB11" i="30" s="1" a="1"/>
  <c r="AB11" i="30" s="1"/>
  <c r="O55" i="30"/>
  <c r="AB55" i="30" s="1" a="1"/>
  <c r="AB55" i="30" s="1"/>
  <c r="O33" i="30"/>
  <c r="AB33" i="30" s="1" a="1"/>
  <c r="AB33" i="30" s="1"/>
  <c r="O22" i="30"/>
  <c r="O50" i="30"/>
  <c r="O49" i="30"/>
  <c r="AB50" i="30" a="1"/>
  <c r="AB50" i="30" s="1"/>
  <c r="AB49" i="30" a="1"/>
  <c r="AB49" i="30" s="1"/>
  <c r="AB39" i="30" a="1"/>
  <c r="AB39" i="30" s="1"/>
  <c r="AB38" i="30" a="1"/>
  <c r="AB38" i="30" s="1"/>
  <c r="AB29" i="30" a="1"/>
  <c r="AB29" i="30" s="1"/>
  <c r="AB22" i="30" a="1"/>
  <c r="AB22" i="30" s="1"/>
  <c r="AB21" i="30" a="1"/>
  <c r="AB21" i="30" s="1"/>
  <c r="AB10" i="30" a="1"/>
  <c r="AB10" i="30" s="1"/>
  <c r="AB9" i="30" a="1"/>
  <c r="AB9" i="30" s="1"/>
  <c r="P28" i="30"/>
  <c r="O28" i="30" s="1"/>
  <c r="AB28" i="30" s="1" a="1"/>
  <c r="AB28" i="30" s="1"/>
  <c r="O27" i="30"/>
  <c r="AB27" i="30" s="1" a="1"/>
  <c r="AB27" i="30" s="1"/>
  <c r="O38" i="30"/>
  <c r="O29" i="30"/>
  <c r="O51" i="30"/>
  <c r="AB51" i="30" s="1" a="1"/>
  <c r="AB51" i="30" s="1"/>
  <c r="O40" i="30"/>
  <c r="AB40" i="30" s="1" a="1"/>
  <c r="AB40" i="30" s="1"/>
  <c r="O39" i="30"/>
  <c r="I82" i="75" l="1" a="1"/>
  <c r="I82" i="75" s="1"/>
  <c r="I80" i="75"/>
  <c r="H82" i="75" a="1"/>
  <c r="H82" i="75" s="1"/>
  <c r="J82" i="75" s="1" a="1"/>
  <c r="J82" i="75" s="1"/>
  <c r="AB8" i="30" a="1"/>
  <c r="AB8" i="30" s="1"/>
  <c r="AB19" i="30" a="1"/>
  <c r="AB19" i="30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P17" i="30"/>
  <c r="T6" i="30"/>
  <c r="T7" i="30"/>
  <c r="AB7" i="30" s="1" a="1"/>
  <c r="AB7" i="30" s="1"/>
  <c r="T5" i="30"/>
  <c r="G18" i="75" l="1" a="1"/>
  <c r="G18" i="75" s="1"/>
  <c r="AB5" i="30" a="1"/>
  <c r="AB5" i="30" s="1"/>
  <c r="AB6" i="30" a="1"/>
  <c r="AB6" i="30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O18" i="30" l="1"/>
  <c r="AB18" i="30" s="1" a="1"/>
  <c r="AB18" i="30" s="1"/>
  <c r="O16" i="30"/>
  <c r="AB16" i="30" s="1" a="1"/>
  <c r="AB16" i="30" s="1"/>
  <c r="F18" i="75" l="1" a="1"/>
  <c r="F18" i="75" s="1"/>
  <c r="O17" i="30"/>
  <c r="J5" i="30"/>
  <c r="AB17" i="30" l="1" a="1"/>
  <c r="AB17" i="30" s="1"/>
  <c r="F50" i="75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J8" i="30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O74" i="13"/>
  <c r="AN74" i="13"/>
  <c r="AM74" i="13"/>
  <c r="AL74" i="13"/>
  <c r="AK74" i="13"/>
  <c r="AH74" i="13"/>
  <c r="AG74" i="13"/>
  <c r="AF74" i="13"/>
  <c r="AE74" i="13"/>
  <c r="AD74" i="13"/>
  <c r="AO50" i="13"/>
  <c r="AN50" i="13"/>
  <c r="AM50" i="13"/>
  <c r="AL50" i="13"/>
  <c r="AK50" i="13"/>
  <c r="AH50" i="13"/>
  <c r="AG50" i="13"/>
  <c r="AF50" i="13"/>
  <c r="AE50" i="13"/>
  <c r="AD50" i="13"/>
  <c r="AO26" i="13"/>
  <c r="AN26" i="13"/>
  <c r="AM26" i="13"/>
  <c r="AL26" i="13"/>
  <c r="AK26" i="13"/>
  <c r="AH26" i="13"/>
  <c r="AG26" i="13"/>
  <c r="AF26" i="13"/>
  <c r="AE26" i="13"/>
  <c r="AD26" i="13"/>
  <c r="B5" i="30" l="1" a="1"/>
  <c r="B5" i="30" s="1"/>
  <c r="H4" i="74" l="1" a="1"/>
  <c r="H4" i="74" s="1"/>
  <c r="A4" i="74" a="1"/>
  <c r="D21" i="74" s="1"/>
  <c r="H27" i="74" l="1" a="1"/>
  <c r="H27" i="74" s="1"/>
  <c r="Q4" i="74" a="1"/>
  <c r="Q4" i="74" s="1"/>
  <c r="E6" i="74"/>
  <c r="F9" i="74"/>
  <c r="F13" i="74"/>
  <c r="F17" i="74"/>
  <c r="F21" i="74"/>
  <c r="A4" i="74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A27" i="74" a="1"/>
  <c r="A27" i="74" s="1"/>
  <c r="G4" i="74"/>
  <c r="G24" i="74" s="1"/>
  <c r="F4" i="74"/>
  <c r="F24" i="74" s="1"/>
  <c r="E4" i="74"/>
  <c r="E24" i="74" s="1"/>
  <c r="C24" i="74" l="1"/>
  <c r="C27" i="74" s="1" a="1"/>
  <c r="C27" i="74" s="1"/>
  <c r="G23" i="72" l="1"/>
  <c r="F23" i="72"/>
  <c r="E23" i="72"/>
  <c r="D23" i="72"/>
  <c r="C23" i="72"/>
  <c r="G22" i="72"/>
  <c r="C22" i="72"/>
  <c r="G21" i="72"/>
  <c r="D21" i="72"/>
  <c r="C21" i="72"/>
  <c r="G20" i="72"/>
  <c r="F20" i="72"/>
  <c r="D20" i="72"/>
  <c r="C20" i="72"/>
  <c r="G19" i="72"/>
  <c r="F19" i="72"/>
  <c r="E19" i="72"/>
  <c r="D19" i="72"/>
  <c r="C19" i="72"/>
  <c r="G18" i="72"/>
  <c r="F18" i="72"/>
  <c r="E18" i="72"/>
  <c r="D17" i="72"/>
  <c r="C17" i="72"/>
  <c r="G16" i="72"/>
  <c r="F16" i="72"/>
  <c r="E16" i="72"/>
  <c r="D16" i="72"/>
  <c r="G15" i="72"/>
  <c r="F15" i="72"/>
  <c r="E15" i="72"/>
  <c r="D15" i="72"/>
  <c r="C15" i="72"/>
  <c r="G14" i="72"/>
  <c r="F14" i="72"/>
  <c r="E14" i="72"/>
  <c r="D14" i="72"/>
  <c r="C14" i="72"/>
  <c r="G12" i="72"/>
  <c r="F12" i="72"/>
  <c r="E12" i="72"/>
  <c r="D12" i="72"/>
  <c r="C12" i="72"/>
  <c r="G11" i="72"/>
  <c r="E11" i="72"/>
  <c r="D11" i="72"/>
  <c r="C11" i="72"/>
  <c r="G10" i="72"/>
  <c r="F10" i="72"/>
  <c r="E10" i="72"/>
  <c r="D10" i="72"/>
  <c r="C10" i="72"/>
  <c r="G9" i="72"/>
  <c r="D9" i="72"/>
  <c r="E8" i="72"/>
  <c r="D8" i="72"/>
  <c r="C8" i="72"/>
  <c r="G7" i="72"/>
  <c r="F7" i="72"/>
  <c r="E7" i="72"/>
  <c r="C7" i="72"/>
  <c r="G6" i="72"/>
  <c r="F6" i="72"/>
  <c r="C6" i="72"/>
  <c r="G5" i="72"/>
  <c r="F5" i="72"/>
  <c r="E5" i="72"/>
  <c r="D5" i="72"/>
  <c r="C5" i="72"/>
  <c r="J4" i="72" a="1"/>
  <c r="J4" i="72" s="1"/>
  <c r="H4" i="72" a="1"/>
  <c r="H4" i="72" s="1"/>
  <c r="A4" i="72" a="1"/>
  <c r="F21" i="72" s="1"/>
  <c r="E20" i="71"/>
  <c r="D20" i="71"/>
  <c r="C20" i="71"/>
  <c r="G19" i="71"/>
  <c r="F19" i="71"/>
  <c r="E19" i="71"/>
  <c r="D15" i="71"/>
  <c r="C15" i="71"/>
  <c r="G14" i="71"/>
  <c r="F14" i="71"/>
  <c r="D13" i="71"/>
  <c r="C13" i="71"/>
  <c r="C9" i="71"/>
  <c r="G8" i="71"/>
  <c r="F8" i="71"/>
  <c r="E8" i="71"/>
  <c r="D8" i="71"/>
  <c r="C8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C13" i="70"/>
  <c r="G8" i="70"/>
  <c r="F8" i="70"/>
  <c r="E8" i="70"/>
  <c r="H4" i="70" a="1"/>
  <c r="H4" i="70" s="1"/>
  <c r="A4" i="70" a="1"/>
  <c r="F21" i="70" s="1"/>
  <c r="G23" i="69"/>
  <c r="F23" i="69"/>
  <c r="E23" i="69"/>
  <c r="F22" i="69"/>
  <c r="E22" i="69"/>
  <c r="D22" i="69"/>
  <c r="C22" i="69"/>
  <c r="G21" i="69"/>
  <c r="E21" i="69"/>
  <c r="C21" i="69"/>
  <c r="G20" i="69"/>
  <c r="F20" i="69"/>
  <c r="E20" i="69"/>
  <c r="D20" i="69"/>
  <c r="C20" i="69"/>
  <c r="G19" i="69"/>
  <c r="F19" i="69"/>
  <c r="E19" i="69"/>
  <c r="D19" i="69"/>
  <c r="E18" i="69"/>
  <c r="D18" i="69"/>
  <c r="C18" i="69"/>
  <c r="G17" i="69"/>
  <c r="E17" i="69"/>
  <c r="D17" i="69"/>
  <c r="G16" i="69"/>
  <c r="F16" i="69"/>
  <c r="E16" i="69"/>
  <c r="D16" i="69"/>
  <c r="C16" i="69"/>
  <c r="G15" i="69"/>
  <c r="F15" i="69"/>
  <c r="E15" i="69"/>
  <c r="D15" i="69"/>
  <c r="C15" i="69"/>
  <c r="D14" i="69"/>
  <c r="C14" i="69"/>
  <c r="G13" i="69"/>
  <c r="E13" i="69"/>
  <c r="D13" i="69"/>
  <c r="C13" i="69"/>
  <c r="F12" i="69"/>
  <c r="E12" i="69"/>
  <c r="D12" i="69"/>
  <c r="C12" i="69"/>
  <c r="G11" i="69"/>
  <c r="F11" i="69"/>
  <c r="E11" i="69"/>
  <c r="D11" i="69"/>
  <c r="C11" i="69"/>
  <c r="G10" i="69"/>
  <c r="C10" i="69"/>
  <c r="G9" i="69"/>
  <c r="E9" i="69"/>
  <c r="D9" i="69"/>
  <c r="C9" i="69"/>
  <c r="G8" i="69"/>
  <c r="E8" i="69"/>
  <c r="D8" i="69"/>
  <c r="C8" i="69"/>
  <c r="G7" i="69"/>
  <c r="F7" i="69"/>
  <c r="E7" i="69"/>
  <c r="D7" i="69"/>
  <c r="C7" i="69"/>
  <c r="G6" i="69"/>
  <c r="F6" i="69"/>
  <c r="F5" i="69"/>
  <c r="E5" i="69"/>
  <c r="D5" i="69"/>
  <c r="C5" i="69"/>
  <c r="H4" i="69" a="1"/>
  <c r="H4" i="69" s="1"/>
  <c r="Q4" i="69" s="1" a="1"/>
  <c r="Q4" i="69" s="1"/>
  <c r="A4" i="69"/>
  <c r="A4" i="69" a="1"/>
  <c r="F21" i="69" s="1"/>
  <c r="E23" i="68"/>
  <c r="D23" i="68"/>
  <c r="C23" i="68"/>
  <c r="G22" i="68"/>
  <c r="F22" i="68"/>
  <c r="E22" i="68"/>
  <c r="G19" i="68"/>
  <c r="F19" i="68"/>
  <c r="F14" i="68"/>
  <c r="E14" i="68"/>
  <c r="G11" i="68"/>
  <c r="F11" i="68"/>
  <c r="E11" i="68"/>
  <c r="D11" i="68"/>
  <c r="C11" i="68"/>
  <c r="G10" i="68"/>
  <c r="H4" i="68" a="1"/>
  <c r="H4" i="68" s="1"/>
  <c r="A4" i="68" a="1"/>
  <c r="D22" i="68" s="1"/>
  <c r="J19" i="30"/>
  <c r="J12" i="30"/>
  <c r="J22" i="30" l="1"/>
  <c r="J15" i="30"/>
  <c r="F15" i="7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H27" i="70" a="1"/>
  <c r="H27" i="70" s="1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H27" i="68" a="1"/>
  <c r="H27" i="68" s="1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L12" i="30" a="1"/>
  <c r="L12" i="30" s="1"/>
  <c r="K15" i="30" s="1"/>
  <c r="L19" i="30" a="1"/>
  <c r="L19" i="30" s="1"/>
  <c r="K22" i="30" s="1"/>
  <c r="L5" i="30" a="1"/>
  <c r="L5" i="30" s="1"/>
  <c r="K8" i="30" s="1"/>
  <c r="H27" i="72" a="1"/>
  <c r="H27" i="72" s="1"/>
  <c r="Q4" i="72" a="1"/>
  <c r="Q4" i="72" s="1"/>
  <c r="C4" i="72"/>
  <c r="C24" i="72" s="1"/>
  <c r="E4" i="72"/>
  <c r="F4" i="72"/>
  <c r="D6" i="72"/>
  <c r="E9" i="72"/>
  <c r="E13" i="72"/>
  <c r="E17" i="72"/>
  <c r="E21" i="72"/>
  <c r="E6" i="72"/>
  <c r="F9" i="72"/>
  <c r="F13" i="72"/>
  <c r="F17" i="72"/>
  <c r="H27" i="71" a="1"/>
  <c r="H27" i="71" s="1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H27" i="69" a="1"/>
  <c r="H27" i="69" s="1"/>
  <c r="F4" i="69"/>
  <c r="G4" i="69"/>
  <c r="C4" i="69"/>
  <c r="A27" i="69" a="1"/>
  <c r="A27" i="69" s="1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G24" i="70" l="1"/>
  <c r="G24" i="69"/>
  <c r="A27" i="72" a="1"/>
  <c r="A27" i="72" s="1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A27" i="70" a="1"/>
  <c r="A27" i="70" s="1"/>
  <c r="C24" i="69"/>
  <c r="C27" i="69" s="1" a="1"/>
  <c r="C27" i="69" s="1"/>
  <c r="Q4" i="71" a="1"/>
  <c r="Q4" i="71" s="1"/>
  <c r="E24" i="70"/>
  <c r="F24" i="72"/>
  <c r="E24" i="72"/>
  <c r="G4" i="71"/>
  <c r="G24" i="71" s="1"/>
  <c r="E4" i="71"/>
  <c r="E24" i="71" s="1"/>
  <c r="D4" i="71"/>
  <c r="D24" i="71" s="1"/>
  <c r="C4" i="71"/>
  <c r="C24" i="71" s="1"/>
  <c r="A27" i="71" a="1"/>
  <c r="A27" i="71" s="1"/>
  <c r="F4" i="71"/>
  <c r="F24" i="71" s="1"/>
  <c r="F24" i="70"/>
  <c r="F24" i="69"/>
  <c r="E4" i="68"/>
  <c r="E24" i="68" s="1"/>
  <c r="F4" i="68"/>
  <c r="F24" i="68" s="1"/>
  <c r="G4" i="68"/>
  <c r="G24" i="68" s="1"/>
  <c r="A27" i="68" a="1"/>
  <c r="A27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C27" i="70" l="1" a="1"/>
  <c r="C27" i="70" s="1"/>
  <c r="C27" i="72" a="1"/>
  <c r="C27" i="72" s="1"/>
  <c r="C27" i="71" a="1"/>
  <c r="C27" i="71" s="1"/>
  <c r="C24" i="68"/>
  <c r="C27" i="68" s="1" a="1"/>
  <c r="C27" i="68" s="1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K15" i="67" l="1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H27" i="13" a="1"/>
  <c r="H27" i="13" s="1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J6" i="13" a="1"/>
  <c r="AJ6" i="13" s="1"/>
  <c r="AC6" i="13" a="1"/>
  <c r="AC6" i="13" s="1"/>
  <c r="AJ54" i="13" a="1"/>
  <c r="AJ54" i="13" s="1"/>
  <c r="AJ30" i="13" a="1"/>
  <c r="AJ30" i="13" s="1"/>
  <c r="E4" i="13"/>
  <c r="E24" i="13" s="1"/>
  <c r="Q4" i="13" a="1"/>
  <c r="Q4" i="13" s="1"/>
  <c r="A27" i="13" a="1"/>
  <c r="A27" i="13" s="1"/>
  <c r="D4" i="13"/>
  <c r="D24" i="13" s="1"/>
  <c r="F4" i="13"/>
  <c r="F24" i="13" s="1"/>
  <c r="C4" i="13"/>
  <c r="C24" i="13" s="1"/>
  <c r="B18" i="65" a="1"/>
  <c r="B18" i="65" s="1"/>
  <c r="G4" i="13"/>
  <c r="G24" i="13" s="1"/>
  <c r="C27" i="13" l="1" a="1"/>
  <c r="C27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L106" i="48" s="1" a="1"/>
  <c r="L106" i="48" s="1"/>
  <c r="L105" i="48" s="1"/>
  <c r="K15" i="48" a="1"/>
  <c r="D4" i="76" l="1" a="1"/>
  <c r="D4" i="76" s="1"/>
  <c r="L4" i="76" s="1" a="1"/>
  <c r="L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G79" i="48" l="1"/>
  <c r="C4" i="76" a="1"/>
  <c r="C4" i="76" s="1"/>
  <c r="H4" i="76" s="1" a="1"/>
  <c r="H4" i="76" s="1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R15" i="48" l="1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<sst xmlns="http://schemas.openxmlformats.org/spreadsheetml/2006/main" count="7579" uniqueCount="253">
  <si>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</si>
  <si>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</si>
  <si>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</si>
  <si>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</si>
  <si>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</si>
  <si>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</si>
  <si>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</si>
  <si>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</si>
  <si>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</si>
  <si>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</si>
  <si>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</si>
  <si>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</si>
  <si>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</si>
  <si>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</si>
  <si>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</si>
  <si>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</si>
  <si>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</si>
  <si>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</si>
  <si>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</si>
  <si>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</si>
  <si>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</si>
  <si>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</si>
  <si>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</si>
  <si>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</si>
  <si>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</si>
  <si>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</si>
  <si>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</si>
  <si>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</si>
  <si>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</si>
  <si>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</si>
  <si>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</si>
  <si>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</si>
  <si>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</si>
  <si>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</si>
  <si>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</si>
  <si>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</si>
  <si>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</si>
  <si>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</si>
  <si>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</si>
  <si>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</si>
  <si>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</si>
  <si>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</si>
  <si>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</si>
  <si>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</si>
  <si>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</si>
  <si>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</si>
  <si>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</si>
  <si>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</si>
  <si>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</si>
  <si>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</si>
  <si>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</si>
  <si>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</si>
  <si>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</si>
  <si>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</si>
  <si>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</si>
  <si>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</si>
  <si>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</si>
  <si>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</si>
  <si>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</si>
  <si>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</si>
  <si>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</si>
  <si>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</si>
  <si>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</si>
  <si>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</si>
  <si>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</si>
  <si>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</si>
  <si>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</si>
  <si>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</si>
  <si>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</si>
  <si>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</si>
  <si>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</si>
  <si>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</si>
  <si>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</si>
  <si>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</si>
  <si>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</si>
  <si>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</si>
  <si>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</si>
  <si>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</si>
  <si>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</si>
  <si>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</si>
  <si>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</si>
  <si>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</si>
  <si>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</si>
  <si>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</si>
  <si>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</si>
  <si>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</si>
  <si>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</si>
  <si>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</si>
  <si>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</si>
  <si>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</si>
  <si>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</si>
  <si>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</si>
  <si>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</si>
  <si>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</si>
  <si>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</si>
  <si>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</si>
  <si>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</si>
  <si>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</si>
  <si>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</si>
  <si>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</si>
  <si>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</si>
  <si>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</si>
  <si>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</si>
  <si>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</si>
  <si>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</si>
  <si>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</si>
  <si>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</si>
  <si>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B</t>
    <phoneticPr fontId="20" type="noConversion"/>
  </si>
  <si>
    <t>R6</t>
  </si>
  <si>
    <t>Weight</t>
    <phoneticPr fontId="20" type="noConversion"/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</si>
  <si>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</si>
  <si>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</si>
  <si>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</si>
  <si>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</si>
  <si>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</si>
  <si>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</si>
  <si>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</si>
  <si>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</si>
  <si>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</si>
  <si>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</si>
  <si>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</si>
  <si>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</si>
  <si>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</si>
  <si>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</si>
  <si>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</si>
  <si>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</si>
  <si>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</si>
  <si>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</si>
  <si>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</si>
  <si>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</si>
  <si>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</si>
  <si>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</si>
  <si>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</si>
  <si>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</si>
  <si>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</si>
  <si>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</si>
  <si>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</si>
  <si>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</si>
  <si>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</si>
  <si>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>BG_Symbol</t>
    <phoneticPr fontId="20" type="noConversion"/>
  </si>
  <si>
    <t>BG_Symbol (2)</t>
    <phoneticPr fontId="20" type="noConversion"/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</si>
  <si>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</si>
  <si>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</si>
  <si>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</si>
  <si>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</si>
  <si>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</si>
  <si>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</si>
  <si>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FG_Symbol</t>
  </si>
  <si>
    <t>FG_Symbol</t>
    <phoneticPr fontId="20" type="noConversion"/>
  </si>
  <si>
    <t>FG_Symbol (2)</t>
  </si>
  <si>
    <t>FG_Symbol (2)</t>
    <phoneticPr fontId="20" type="noConversion"/>
  </si>
  <si>
    <t>FG_Symbol (3)</t>
  </si>
  <si>
    <t>FG_Symbol (3)</t>
    <phoneticPr fontId="20" type="noConversion"/>
  </si>
  <si>
    <t>Worksheet Name</t>
  </si>
  <si>
    <t>Worksheet Name</t>
    <phoneticPr fontId="20" type="noConversion"/>
  </si>
  <si>
    <t>BG_Symbol</t>
  </si>
  <si>
    <t>BG_Symbol (2)</t>
  </si>
  <si>
    <t>Worksheet Name \ Multiple</t>
    <phoneticPr fontId="20" type="noConversion"/>
  </si>
  <si>
    <t>Eliminate Wheel Weight A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</si>
  <si>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</si>
  <si>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</si>
  <si>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</si>
  <si>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</si>
  <si>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</si>
  <si>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</si>
  <si>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</si>
  <si>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</si>
  <si>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</si>
  <si>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</si>
  <si>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</si>
  <si>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</si>
  <si>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</si>
  <si>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</si>
  <si>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</si>
  <si>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</si>
  <si>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</si>
  <si>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</si>
  <si>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</si>
  <si>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</si>
  <si>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</si>
  <si>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</si>
  <si>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</si>
  <si>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</si>
  <si>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</si>
  <si>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</si>
  <si>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</si>
  <si>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</si>
  <si>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</si>
  <si>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</si>
  <si>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</si>
  <si>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</si>
  <si>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</si>
  <si>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</si>
  <si>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</si>
  <si>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</si>
  <si>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</si>
  <si>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</si>
  <si>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</si>
  <si>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</si>
  <si>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</si>
  <si>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</si>
  <si>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</si>
  <si>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</si>
  <si>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</si>
  <si>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</si>
  <si>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</si>
  <si>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</si>
  <si>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</si>
  <si>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</si>
  <si>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</si>
  <si>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</si>
  <si>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</si>
  <si>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</si>
  <si>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</si>
  <si>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</si>
  <si>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</si>
  <si>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</si>
  <si>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</si>
  <si>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</si>
  <si>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</si>
  <si>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</si>
  <si>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</si>
  <si>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</si>
  <si>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</si>
  <si>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</si>
  <si>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</si>
  <si>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</si>
  <si>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</si>
  <si>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</si>
  <si>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</si>
  <si>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</si>
  <si>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</si>
  <si>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</si>
  <si>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</si>
  <si>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</si>
  <si>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</si>
  <si>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</si>
  <si>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</si>
  <si>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</si>
  <si>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</si>
  <si>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</si>
  <si>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</si>
  <si>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</si>
  <si>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</si>
  <si>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</si>
  <si>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</si>
  <si>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</si>
  <si>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</si>
  <si>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</si>
  <si>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</si>
  <si>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0.0.1.1</t>
    <phoneticPr fontId="20" type="noConversion"/>
  </si>
  <si>
    <t>no</t>
    <phoneticPr fontId="20" type="noConversion"/>
  </si>
  <si>
    <t>yes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</si>
</sst>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9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27" fillId="0" borderId="0" xfId="0" applyNumberFormat="1" applyFont="1" applyFill="1" applyBorder="1"/>
    <xf numFmtId="0" fontId="19" fillId="0" borderId="15" xfId="0" applyNumberFormat="1" applyFont="1" applyFill="1" applyBorder="1"/>
    <xf numFmtId="0" fontId="19" fillId="34" borderId="15" xfId="0" applyNumberFormat="1" applyFont="1" applyFill="1" applyBorder="1" applyAlignment="1">
      <alignment horizontal="center" vertical="center"/>
    </xf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/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33" borderId="15" xfId="0" applyNumberFormat="1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0" fontId="19" fillId="44" borderId="15" xfId="0" applyNumberFormat="1" applyFont="1" applyFill="1" applyBorder="1"/>
    <xf numFmtId="0" fontId="19" fillId="0" borderId="10" xfId="0" applyNumberFormat="1" applyFont="1" applyFill="1" applyBorder="1"/>
    <xf numFmtId="0" fontId="19" fillId="35" borderId="10" xfId="0" applyNumberFormat="1" applyFont="1" applyFill="1" applyBorder="1"/>
    <xf numFmtId="0" fontId="19" fillId="44" borderId="10" xfId="0" applyNumberFormat="1" applyFont="1" applyFill="1" applyBorder="1"/>
    <xf numFmtId="2" fontId="19" fillId="0" borderId="0" xfId="0" applyNumberFormat="1" applyFont="1" applyFill="1" applyBorder="1"/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  <xf numFmtId="182" fontId="25" fillId="0" borderId="0" xfId="1" applyNumberFormat="1" applyFont="1" applyAlignment="1">
      <alignment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2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workbookViewId="0">
      <selection activeCell="F20" sqref="F20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8" t="s">
        <v>39</v>
      </c>
      <c r="B2" s="38" t="s">
        <v>135</v>
      </c>
      <c r="C2" s="5"/>
    </row>
    <row r="3" spans="1:9" x14ac:dyDescent="0.3">
      <c r="A3" s="18" t="s">
        <v>40</v>
      </c>
      <c r="B3" s="38" t="s">
        <v>250</v>
      </c>
      <c r="C3" s="19"/>
    </row>
    <row r="4" spans="1:9" x14ac:dyDescent="0.3">
      <c r="C4" s="28"/>
    </row>
    <row r="5" spans="1:9" x14ac:dyDescent="0.3">
      <c r="C5" s="28"/>
    </row>
    <row r="6" spans="1:9" x14ac:dyDescent="0.3">
      <c r="A6" s="20" t="s">
        <v>56</v>
      </c>
      <c r="C6" s="28"/>
    </row>
    <row r="7" spans="1:9" x14ac:dyDescent="0.3">
      <c r="A7" s="37">
        <v>100</v>
      </c>
      <c r="C7" s="28"/>
    </row>
    <row r="8" spans="1:9" x14ac:dyDescent="0.3">
      <c r="C8" s="28"/>
    </row>
    <row r="9" spans="1:9" x14ac:dyDescent="0.3">
      <c r="C9" s="28"/>
    </row>
    <row r="10" spans="1:9" x14ac:dyDescent="0.3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 x14ac:dyDescent="0.3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G11" s="7"/>
      <c r="H11" s="7"/>
      <c r="I11" s="7"/>
    </row>
    <row r="12" spans="1:9" x14ac:dyDescent="0.3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 x14ac:dyDescent="0.3">
      <c r="A13" s="23"/>
      <c r="B13" s="23"/>
      <c r="C13" s="24"/>
      <c r="D13" s="2"/>
      <c r="F13" s="3"/>
    </row>
    <row r="14" spans="1:9" x14ac:dyDescent="0.3">
      <c r="A14" s="10"/>
      <c r="B14" s="10"/>
      <c r="C14" s="24"/>
      <c r="D14" s="24"/>
      <c r="F14" s="4"/>
    </row>
    <row r="15" spans="1:9" x14ac:dyDescent="0.3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 x14ac:dyDescent="0.3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 x14ac:dyDescent="0.3">
      <c r="A17" s="184" t="str">
        <f>D11</f>
        <v>Normal Bet</v>
      </c>
      <c r="B17" s="41"/>
      <c r="C17" s="185" t="e">
        <f>1/D17</f>
        <v>#DIV/0!</v>
      </c>
      <c r="D17" s="187"/>
      <c r="E17" s="29" t="s">
        <v>49</v>
      </c>
      <c r="F17" s="114"/>
      <c r="G17" s="7"/>
      <c r="H17" s="7"/>
      <c r="I17" s="12"/>
    </row>
    <row r="18" spans="1:9" x14ac:dyDescent="0.3">
      <c r="A18" s="184"/>
      <c r="B18" s="41"/>
      <c r="C18" s="186"/>
      <c r="D18" s="188"/>
      <c r="E18" s="29" t="s">
        <v>57</v>
      </c>
      <c r="F18" s="114"/>
      <c r="G18" s="7"/>
      <c r="H18" s="7"/>
      <c r="I18" s="12"/>
    </row>
    <row r="19" spans="1:9" x14ac:dyDescent="0.3">
      <c r="A19" s="45"/>
      <c r="B19" s="46"/>
      <c r="C19" s="47"/>
      <c r="D19" s="44"/>
      <c r="E19" s="7"/>
      <c r="F19" s="114"/>
      <c r="G19" s="7"/>
      <c r="H19" s="7"/>
      <c r="I19" s="12"/>
    </row>
    <row r="20" spans="1:9" x14ac:dyDescent="0.3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 x14ac:dyDescent="0.3">
      <c r="A21" s="184" t="str">
        <f>D12</f>
        <v>Buy Feature</v>
      </c>
      <c r="B21" s="41"/>
      <c r="C21" s="185">
        <f>1/D21</f>
        <v>1</v>
      </c>
      <c r="D21" s="189">
        <v>1</v>
      </c>
      <c r="E21" s="29" t="s">
        <v>49</v>
      </c>
      <c r="F21" s="114"/>
      <c r="G21" s="7"/>
      <c r="H21" s="7"/>
      <c r="I21" s="12"/>
    </row>
    <row r="22" spans="1:9" x14ac:dyDescent="0.3">
      <c r="A22" s="184"/>
      <c r="B22" s="41"/>
      <c r="C22" s="186"/>
      <c r="D22" s="190"/>
      <c r="E22" s="29" t="s">
        <v>57</v>
      </c>
      <c r="F22" s="114"/>
      <c r="G22" s="7"/>
      <c r="H22" s="7"/>
      <c r="I22" s="12"/>
    </row>
    <row r="23" spans="1:9" x14ac:dyDescent="0.3">
      <c r="A23" s="45"/>
      <c r="B23" s="46"/>
      <c r="C23" s="47"/>
      <c r="D23" s="44"/>
      <c r="E23" s="7"/>
      <c r="F23" s="7"/>
      <c r="G23" s="7"/>
      <c r="H23" s="7"/>
      <c r="I23" s="12"/>
    </row>
    <row r="24" spans="1:9" x14ac:dyDescent="0.3">
      <c r="A24" s="45"/>
      <c r="B24" s="46"/>
      <c r="C24" s="47"/>
      <c r="D24" s="44"/>
      <c r="E24" s="7"/>
      <c r="F24" s="7"/>
      <c r="G24" s="7"/>
      <c r="H24" s="7"/>
      <c r="I24" s="12"/>
    </row>
    <row r="25" spans="1:9" x14ac:dyDescent="0.3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 x14ac:dyDescent="0.3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 x14ac:dyDescent="0.3">
      <c r="A27" s="31"/>
      <c r="B27" s="31"/>
      <c r="C27" s="31"/>
      <c r="D27" s="31"/>
      <c r="E27" s="31"/>
      <c r="F27" s="31"/>
      <c r="G27" s="31"/>
    </row>
    <row r="28" spans="1:9" x14ac:dyDescent="0.3">
      <c r="A28" s="31"/>
      <c r="B28" s="31"/>
      <c r="C28" s="31"/>
      <c r="D28" s="31"/>
      <c r="E28" s="31"/>
      <c r="F28" s="31"/>
      <c r="G28" s="31"/>
    </row>
    <row r="29" spans="1:9" x14ac:dyDescent="0.3">
      <c r="A29" s="1" t="s">
        <v>47</v>
      </c>
    </row>
    <row r="30" spans="1:9" x14ac:dyDescent="0.3">
      <c r="A30" s="20" t="s">
        <v>41</v>
      </c>
      <c r="B30" s="20" t="s">
        <v>49</v>
      </c>
      <c r="C30" s="20" t="s">
        <v>50</v>
      </c>
    </row>
    <row r="31" spans="1:9" x14ac:dyDescent="0.3">
      <c r="A31" s="22">
        <v>3</v>
      </c>
      <c r="B31" s="39">
        <v>15</v>
      </c>
      <c r="C31" s="39">
        <v>15</v>
      </c>
    </row>
    <row r="32" spans="1:9" x14ac:dyDescent="0.3">
      <c r="A32" s="22">
        <v>4</v>
      </c>
      <c r="B32" s="39">
        <v>17</v>
      </c>
      <c r="C32" s="39">
        <v>17</v>
      </c>
    </row>
    <row r="33" spans="1:6" x14ac:dyDescent="0.3">
      <c r="A33" s="8">
        <v>5</v>
      </c>
      <c r="B33" s="40">
        <v>19</v>
      </c>
      <c r="C33" s="40">
        <v>19</v>
      </c>
    </row>
    <row r="34" spans="1:6" x14ac:dyDescent="0.3">
      <c r="A34" s="168" t="s">
        <v>178</v>
      </c>
      <c r="B34" s="32"/>
    </row>
    <row r="36" spans="1:6" x14ac:dyDescent="0.3">
      <c r="A36" s="1" t="s">
        <v>46</v>
      </c>
      <c r="B36" s="1" t="str">
        <f>"All wins show for "&amp;A7&amp;" credit bet."</f>
        <v>All wins show for 100 credit bet.</v>
      </c>
    </row>
    <row r="37" spans="1:6" x14ac:dyDescent="0.3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 x14ac:dyDescent="0.3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 x14ac:dyDescent="0.3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 x14ac:dyDescent="0.3">
      <c r="A40" s="156" t="s">
        <v>26</v>
      </c>
      <c r="B40" s="156" t="s">
        <v>26</v>
      </c>
      <c r="C40" s="156">
        <v>250</v>
      </c>
      <c r="D40" s="156">
        <v>1250</v>
      </c>
      <c r="E40" s="156">
        <v>5000</v>
      </c>
      <c r="F40" s="157">
        <v>2</v>
      </c>
    </row>
    <row r="41" spans="1:6" x14ac:dyDescent="0.3">
      <c r="A41" s="156" t="s">
        <v>27</v>
      </c>
      <c r="B41" s="156" t="s">
        <v>27</v>
      </c>
      <c r="C41" s="156">
        <v>100</v>
      </c>
      <c r="D41" s="156">
        <v>500</v>
      </c>
      <c r="E41" s="156">
        <v>2000</v>
      </c>
      <c r="F41" s="158">
        <v>3</v>
      </c>
    </row>
    <row r="42" spans="1:6" x14ac:dyDescent="0.3">
      <c r="A42" s="156" t="s">
        <v>28</v>
      </c>
      <c r="B42" s="156" t="s">
        <v>28</v>
      </c>
      <c r="C42" s="156">
        <v>75</v>
      </c>
      <c r="D42" s="156">
        <v>250</v>
      </c>
      <c r="E42" s="156">
        <v>1000</v>
      </c>
      <c r="F42" s="157">
        <v>4</v>
      </c>
    </row>
    <row r="43" spans="1:6" x14ac:dyDescent="0.3">
      <c r="A43" s="156" t="s">
        <v>29</v>
      </c>
      <c r="B43" s="156" t="s">
        <v>29</v>
      </c>
      <c r="C43" s="156">
        <v>50</v>
      </c>
      <c r="D43" s="156">
        <v>200</v>
      </c>
      <c r="E43" s="156">
        <v>750</v>
      </c>
      <c r="F43" s="158">
        <v>5</v>
      </c>
    </row>
    <row r="44" spans="1:6" x14ac:dyDescent="0.3">
      <c r="A44" s="156" t="s">
        <v>136</v>
      </c>
      <c r="B44" s="156" t="s">
        <v>136</v>
      </c>
      <c r="C44" s="159">
        <v>25</v>
      </c>
      <c r="D44" s="159">
        <v>100</v>
      </c>
      <c r="E44" s="159">
        <v>500</v>
      </c>
      <c r="F44" s="157">
        <v>6</v>
      </c>
    </row>
    <row r="45" spans="1:6" x14ac:dyDescent="0.3">
      <c r="A45" s="156" t="s">
        <v>23</v>
      </c>
      <c r="B45" s="156" t="s">
        <v>23</v>
      </c>
      <c r="C45" s="156">
        <v>10</v>
      </c>
      <c r="D45" s="156">
        <v>50</v>
      </c>
      <c r="E45" s="156">
        <v>250</v>
      </c>
      <c r="F45" s="158">
        <v>7</v>
      </c>
    </row>
    <row r="46" spans="1:6" x14ac:dyDescent="0.3">
      <c r="A46" s="156" t="s">
        <v>31</v>
      </c>
      <c r="B46" s="156" t="s">
        <v>31</v>
      </c>
      <c r="C46" s="156">
        <v>10</v>
      </c>
      <c r="D46" s="156">
        <v>50</v>
      </c>
      <c r="E46" s="156">
        <v>250</v>
      </c>
      <c r="F46" s="157">
        <v>8</v>
      </c>
    </row>
    <row r="47" spans="1:6" x14ac:dyDescent="0.3">
      <c r="A47" s="156" t="s">
        <v>32</v>
      </c>
      <c r="B47" s="156" t="s">
        <v>32</v>
      </c>
      <c r="C47" s="156">
        <v>10</v>
      </c>
      <c r="D47" s="156">
        <v>50</v>
      </c>
      <c r="E47" s="156">
        <v>250</v>
      </c>
      <c r="F47" s="158">
        <v>9</v>
      </c>
    </row>
    <row r="48" spans="1:6" x14ac:dyDescent="0.3">
      <c r="A48" s="156" t="s">
        <v>33</v>
      </c>
      <c r="B48" s="156" t="s">
        <v>33</v>
      </c>
      <c r="C48" s="156">
        <v>10</v>
      </c>
      <c r="D48" s="156">
        <v>50</v>
      </c>
      <c r="E48" s="156">
        <v>250</v>
      </c>
      <c r="F48" s="157">
        <v>10</v>
      </c>
    </row>
    <row r="49" spans="1:9" x14ac:dyDescent="0.3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 x14ac:dyDescent="0.3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 x14ac:dyDescent="0.3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 x14ac:dyDescent="0.3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 x14ac:dyDescent="0.3">
      <c r="A53" s="8" t="s">
        <v>137</v>
      </c>
      <c r="B53" s="8" t="s">
        <v>138</v>
      </c>
      <c r="C53" s="142">
        <v>25</v>
      </c>
      <c r="D53" s="142">
        <v>100</v>
      </c>
      <c r="E53" s="142">
        <v>500</v>
      </c>
      <c r="F53" s="36">
        <v>15</v>
      </c>
    </row>
    <row r="54" spans="1:9" x14ac:dyDescent="0.3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 x14ac:dyDescent="0.3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 x14ac:dyDescent="0.3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 x14ac:dyDescent="0.3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 x14ac:dyDescent="0.3">
      <c r="A58" s="24"/>
      <c r="B58" s="24"/>
      <c r="C58" s="24"/>
      <c r="D58" s="24"/>
      <c r="E58" s="24"/>
      <c r="F58" s="24"/>
      <c r="G58" s="24"/>
      <c r="H58" s="24"/>
      <c r="I58" s="24"/>
    </row>
    <row r="59" spans="1:9" x14ac:dyDescent="0.3">
      <c r="A59" s="24"/>
      <c r="B59" s="24"/>
      <c r="C59" s="24"/>
      <c r="D59" s="24"/>
      <c r="E59" s="24"/>
      <c r="F59" s="24"/>
      <c r="G59" s="24"/>
      <c r="H59" s="24"/>
      <c r="I59" s="24"/>
    </row>
    <row r="60" spans="1:9" x14ac:dyDescent="0.3">
      <c r="A60" s="24"/>
      <c r="B60" s="24"/>
      <c r="C60" s="24"/>
      <c r="D60" s="24"/>
      <c r="E60" s="24"/>
      <c r="F60" s="24"/>
      <c r="G60" s="24"/>
      <c r="H60" s="24"/>
      <c r="I60" s="24"/>
    </row>
    <row r="61" spans="1:9" x14ac:dyDescent="0.3">
      <c r="A61" s="24"/>
      <c r="B61" s="24"/>
      <c r="C61" s="24"/>
      <c r="D61" s="24"/>
      <c r="E61" s="24"/>
      <c r="F61" s="24"/>
      <c r="G61" s="24"/>
      <c r="H61" s="24"/>
      <c r="I61" s="24"/>
    </row>
    <row r="62" spans="1:9" x14ac:dyDescent="0.3">
      <c r="A62" s="24"/>
      <c r="B62" s="24"/>
      <c r="C62" s="24"/>
      <c r="D62" s="24"/>
      <c r="E62" s="24"/>
      <c r="F62" s="24"/>
      <c r="G62" s="24"/>
      <c r="H62" s="24"/>
      <c r="I62" s="24"/>
    </row>
    <row r="63" spans="1:9" x14ac:dyDescent="0.3">
      <c r="A63" s="24"/>
      <c r="B63" s="24"/>
      <c r="C63" s="24"/>
      <c r="D63" s="24"/>
      <c r="E63" s="24"/>
      <c r="F63" s="24"/>
      <c r="G63" s="24"/>
      <c r="H63" s="24"/>
      <c r="I63" s="24"/>
    </row>
    <row r="64" spans="1:9" x14ac:dyDescent="0.3">
      <c r="A64" s="24"/>
      <c r="B64" s="24"/>
      <c r="C64" s="24"/>
      <c r="D64" s="24"/>
      <c r="E64" s="24"/>
      <c r="F64" s="24"/>
      <c r="G64" s="24"/>
      <c r="H64" s="24"/>
      <c r="I64" s="24"/>
    </row>
    <row r="65" spans="1:9" x14ac:dyDescent="0.3">
      <c r="A65" s="24"/>
      <c r="B65" s="24"/>
      <c r="C65" s="24"/>
      <c r="D65" s="24"/>
      <c r="E65" s="24"/>
      <c r="F65" s="24"/>
      <c r="G65" s="24"/>
      <c r="H65" s="24"/>
      <c r="I65" s="24"/>
    </row>
    <row r="66" spans="1:9" x14ac:dyDescent="0.3">
      <c r="A66" s="24"/>
      <c r="B66" s="24"/>
      <c r="C66" s="24"/>
      <c r="D66" s="24"/>
      <c r="E66" s="24"/>
      <c r="F66" s="24"/>
      <c r="G66" s="24"/>
      <c r="H66" s="24"/>
      <c r="I66" s="24"/>
    </row>
    <row r="67" spans="1:9" x14ac:dyDescent="0.3">
      <c r="A67" s="24"/>
      <c r="B67" s="24"/>
      <c r="C67" s="24"/>
      <c r="D67" s="24"/>
      <c r="E67" s="24"/>
      <c r="F67" s="24"/>
      <c r="G67" s="24"/>
      <c r="H67" s="24"/>
      <c r="I67" s="24"/>
    </row>
    <row r="68" spans="1:9" x14ac:dyDescent="0.3">
      <c r="A68" s="24"/>
      <c r="B68" s="24"/>
      <c r="C68" s="24"/>
      <c r="D68" s="24"/>
      <c r="E68" s="24"/>
      <c r="F68" s="24"/>
      <c r="G68" s="24"/>
      <c r="H68" s="24"/>
      <c r="I68" s="24"/>
    </row>
    <row r="69" spans="1:9" x14ac:dyDescent="0.3">
      <c r="A69" s="24"/>
      <c r="B69" s="24"/>
      <c r="C69" s="24"/>
      <c r="D69" s="24"/>
      <c r="E69" s="24"/>
      <c r="F69" s="24"/>
      <c r="G69" s="24"/>
      <c r="H69" s="24"/>
      <c r="I69" s="24"/>
    </row>
    <row r="70" spans="1:9" x14ac:dyDescent="0.3">
      <c r="A70" s="24"/>
      <c r="B70" s="24"/>
      <c r="C70" s="24"/>
      <c r="D70" s="24"/>
      <c r="E70" s="24"/>
      <c r="F70" s="24"/>
      <c r="G70" s="24"/>
      <c r="H70" s="24"/>
      <c r="I70" s="24"/>
    </row>
    <row r="71" spans="1:9" x14ac:dyDescent="0.3">
      <c r="A71" s="24"/>
      <c r="B71" s="24"/>
      <c r="C71" s="24"/>
      <c r="D71" s="24"/>
      <c r="E71" s="24"/>
      <c r="F71" s="24"/>
      <c r="G71" s="24"/>
      <c r="H71" s="24"/>
      <c r="I71" s="24"/>
    </row>
    <row r="72" spans="1:9" x14ac:dyDescent="0.3">
      <c r="A72" s="24"/>
      <c r="B72" s="24"/>
      <c r="C72" s="24"/>
      <c r="D72" s="24"/>
      <c r="E72" s="24"/>
      <c r="F72" s="24"/>
      <c r="G72" s="24"/>
      <c r="H72" s="24"/>
      <c r="I72" s="24"/>
    </row>
    <row r="73" spans="1:9" x14ac:dyDescent="0.3">
      <c r="A73" s="24"/>
      <c r="B73" s="24"/>
      <c r="C73" s="24"/>
      <c r="D73" s="24"/>
      <c r="E73" s="24"/>
      <c r="F73" s="24"/>
      <c r="G73" s="24"/>
      <c r="H73" s="24"/>
      <c r="I73" s="24"/>
    </row>
    <row r="74" spans="1:9" x14ac:dyDescent="0.3">
      <c r="A74" s="24"/>
      <c r="B74" s="24"/>
      <c r="C74" s="24"/>
      <c r="D74" s="24"/>
      <c r="E74" s="24"/>
      <c r="F74" s="24"/>
      <c r="G74" s="24"/>
      <c r="H74" s="24"/>
      <c r="I74" s="24"/>
    </row>
    <row r="75" spans="1:9" x14ac:dyDescent="0.3">
      <c r="A75" s="24"/>
      <c r="B75" s="24"/>
      <c r="C75" s="24"/>
      <c r="D75" s="24"/>
      <c r="E75" s="24"/>
      <c r="F75" s="24"/>
      <c r="G75" s="24"/>
      <c r="H75" s="24"/>
      <c r="I75" s="24"/>
    </row>
    <row r="76" spans="1:9" x14ac:dyDescent="0.3">
      <c r="A76" s="24"/>
      <c r="B76" s="24"/>
      <c r="C76" s="24"/>
      <c r="D76" s="24"/>
      <c r="E76" s="24"/>
      <c r="F76" s="24"/>
      <c r="G76" s="24"/>
      <c r="H76" s="24"/>
      <c r="I76" s="24"/>
    </row>
    <row r="77" spans="1:9" x14ac:dyDescent="0.3">
      <c r="A77" s="24"/>
      <c r="B77" s="24"/>
      <c r="C77" s="24"/>
      <c r="D77" s="24"/>
      <c r="E77" s="24"/>
      <c r="F77" s="24"/>
      <c r="G77" s="24"/>
      <c r="H77" s="24"/>
      <c r="I77" s="24"/>
    </row>
    <row r="78" spans="1:9" x14ac:dyDescent="0.3">
      <c r="A78" s="24"/>
      <c r="B78" s="24"/>
      <c r="C78" s="24"/>
      <c r="D78" s="24"/>
      <c r="E78" s="24"/>
      <c r="F78" s="24"/>
      <c r="G78" s="24"/>
      <c r="H78" s="24"/>
      <c r="I78" s="24"/>
    </row>
    <row r="79" spans="1:9" x14ac:dyDescent="0.3">
      <c r="A79" s="24"/>
      <c r="B79" s="24"/>
      <c r="C79" s="24"/>
      <c r="D79" s="24"/>
      <c r="E79" s="24"/>
      <c r="F79" s="24"/>
      <c r="G79" s="24"/>
      <c r="H79" s="24"/>
      <c r="I79" s="24"/>
    </row>
    <row r="80" spans="1:9" x14ac:dyDescent="0.3">
      <c r="B80" s="6"/>
      <c r="C80" s="6"/>
      <c r="D80" s="6"/>
    </row>
    <row r="82" spans="6:9" x14ac:dyDescent="0.3">
      <c r="F82" s="24"/>
      <c r="G82" s="24"/>
      <c r="H82" s="24"/>
      <c r="I82" s="24"/>
    </row>
    <row r="87" spans="6:9" x14ac:dyDescent="0.3">
      <c r="F87" s="24"/>
      <c r="G87" s="24"/>
      <c r="H87" s="24"/>
      <c r="I87" s="24"/>
    </row>
    <row r="92" spans="6:9" x14ac:dyDescent="0.3">
      <c r="F92" s="24"/>
      <c r="G92" s="24"/>
    </row>
    <row r="97" spans="6:7" x14ac:dyDescent="0.3">
      <c r="F97" s="24"/>
      <c r="G97" s="24"/>
    </row>
    <row r="102" spans="6:7" x14ac:dyDescent="0.3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>
      <selection activeCell="M28" sqref="M28"/>
    </sheetView>
  </sheetViews>
  <sheetFormatPr defaultRowHeight="15.6" x14ac:dyDescent="0.3"/>
  <cols>
    <col min="1" max="16384" width="8.88671875" style="24"/>
  </cols>
  <sheetData>
    <row r="3" spans="2:2" x14ac:dyDescent="0.3">
      <c r="B3" s="24" t="s">
        <v>186</v>
      </c>
    </row>
    <row r="5" spans="2:2" x14ac:dyDescent="0.3">
      <c r="B5" s="24" t="s">
        <v>187</v>
      </c>
    </row>
    <row r="7" spans="2:2" x14ac:dyDescent="0.3">
      <c r="B7" s="24" t="s">
        <v>188</v>
      </c>
    </row>
    <row r="8" spans="2:2" x14ac:dyDescent="0.3">
      <c r="B8" s="24" t="s">
        <v>189</v>
      </c>
    </row>
    <row r="9" spans="2:2" x14ac:dyDescent="0.3">
      <c r="B9" s="24" t="s">
        <v>190</v>
      </c>
    </row>
    <row r="10" spans="2:2" x14ac:dyDescent="0.3">
      <c r="B10" s="24" t="s">
        <v>191</v>
      </c>
    </row>
    <row r="11" spans="2:2" x14ac:dyDescent="0.3">
      <c r="B11" s="24" t="s">
        <v>192</v>
      </c>
    </row>
    <row r="12" spans="2:2" x14ac:dyDescent="0.3">
      <c r="B12" s="24" t="s">
        <v>193</v>
      </c>
    </row>
    <row r="13" spans="2:2" x14ac:dyDescent="0.3">
      <c r="B13" s="24" t="s">
        <v>194</v>
      </c>
    </row>
    <row r="14" spans="2:2" x14ac:dyDescent="0.3">
      <c r="B14" s="24" t="s">
        <v>195</v>
      </c>
    </row>
    <row r="15" spans="2:2" x14ac:dyDescent="0.3">
      <c r="B15" s="24" t="s">
        <v>196</v>
      </c>
    </row>
    <row r="16" spans="2:2" x14ac:dyDescent="0.3">
      <c r="B16" s="24" t="s">
        <v>197</v>
      </c>
    </row>
    <row r="18" spans="2:2" x14ac:dyDescent="0.3">
      <c r="B18" s="24" t="s">
        <v>198</v>
      </c>
    </row>
    <row r="19" spans="2:2" x14ac:dyDescent="0.3">
      <c r="B19" s="24" t="s">
        <v>185</v>
      </c>
    </row>
    <row r="20" spans="2:2" x14ac:dyDescent="0.3">
      <c r="B20" s="24" t="s">
        <v>199</v>
      </c>
    </row>
    <row r="21" spans="2:2" x14ac:dyDescent="0.3">
      <c r="B21" s="24" t="s">
        <v>200</v>
      </c>
    </row>
    <row r="22" spans="2:2" x14ac:dyDescent="0.3">
      <c r="B22" s="24" t="s">
        <v>201</v>
      </c>
    </row>
    <row r="23" spans="2:2" x14ac:dyDescent="0.3">
      <c r="B23" s="24" t="s">
        <v>202</v>
      </c>
    </row>
    <row r="24" spans="2:2" x14ac:dyDescent="0.3">
      <c r="B24" s="24" t="s">
        <v>203</v>
      </c>
    </row>
    <row r="25" spans="2:2" x14ac:dyDescent="0.3">
      <c r="B25" s="24" t="s">
        <v>204</v>
      </c>
    </row>
    <row r="26" spans="2:2" x14ac:dyDescent="0.3">
      <c r="B26" s="24" t="s">
        <v>205</v>
      </c>
    </row>
    <row r="28" spans="2:2" x14ac:dyDescent="0.3">
      <c r="B28" s="24" t="s">
        <v>206</v>
      </c>
    </row>
    <row r="30" spans="2:2" x14ac:dyDescent="0.3">
      <c r="B30" s="24" t="s">
        <v>207</v>
      </c>
    </row>
    <row r="31" spans="2:2" x14ac:dyDescent="0.3">
      <c r="B31" s="24" t="s">
        <v>208</v>
      </c>
    </row>
    <row r="33" spans="2:2" x14ac:dyDescent="0.3">
      <c r="B33" s="24" t="s">
        <v>209</v>
      </c>
    </row>
    <row r="35" spans="2:2" x14ac:dyDescent="0.3">
      <c r="B35" s="24" t="s">
        <v>210</v>
      </c>
    </row>
    <row r="37" spans="2:2" x14ac:dyDescent="0.3">
      <c r="B37" s="24" t="s">
        <v>211</v>
      </c>
    </row>
    <row r="38" spans="2:2" x14ac:dyDescent="0.3">
      <c r="B38" s="24" t="s">
        <v>212</v>
      </c>
    </row>
    <row r="39" spans="2:2" x14ac:dyDescent="0.3">
      <c r="B39" s="24" t="s">
        <v>213</v>
      </c>
    </row>
    <row r="40" spans="2:2" x14ac:dyDescent="0.3">
      <c r="B40" s="24" t="s">
        <v>214</v>
      </c>
    </row>
    <row r="42" spans="2:2" x14ac:dyDescent="0.3">
      <c r="B42" s="24" t="s">
        <v>215</v>
      </c>
    </row>
    <row r="43" spans="2:2" x14ac:dyDescent="0.3">
      <c r="B43" s="24" t="s">
        <v>185</v>
      </c>
    </row>
    <row r="44" spans="2:2" x14ac:dyDescent="0.3">
      <c r="B44" s="24" t="s">
        <v>216</v>
      </c>
    </row>
    <row r="46" spans="2:2" x14ac:dyDescent="0.3">
      <c r="B46" s="24" t="s">
        <v>217</v>
      </c>
    </row>
    <row r="47" spans="2:2" x14ac:dyDescent="0.3">
      <c r="B47" s="24" t="s">
        <v>218</v>
      </c>
    </row>
    <row r="48" spans="2:2" x14ac:dyDescent="0.3">
      <c r="B48" s="24" t="s">
        <v>219</v>
      </c>
    </row>
    <row r="49" spans="2:2" x14ac:dyDescent="0.3">
      <c r="B49" s="24" t="s">
        <v>220</v>
      </c>
    </row>
    <row r="50" spans="2:2" x14ac:dyDescent="0.3">
      <c r="B50" s="24" t="s">
        <v>221</v>
      </c>
    </row>
    <row r="51" spans="2:2" x14ac:dyDescent="0.3">
      <c r="B51" s="24" t="s">
        <v>222</v>
      </c>
    </row>
    <row r="53" spans="2:2" x14ac:dyDescent="0.3">
      <c r="B53" s="24" t="s">
        <v>223</v>
      </c>
    </row>
    <row r="55" spans="2:2" x14ac:dyDescent="0.3">
      <c r="B55" s="24" t="s">
        <v>224</v>
      </c>
    </row>
    <row r="56" spans="2:2" x14ac:dyDescent="0.3">
      <c r="B56" s="24" t="s">
        <v>225</v>
      </c>
    </row>
    <row r="57" spans="2:2" x14ac:dyDescent="0.3">
      <c r="B57" s="24" t="s">
        <v>226</v>
      </c>
    </row>
    <row r="58" spans="2:2" x14ac:dyDescent="0.3">
      <c r="B58" s="24" t="s">
        <v>227</v>
      </c>
    </row>
    <row r="59" spans="2:2" x14ac:dyDescent="0.3">
      <c r="B59" s="24" t="s">
        <v>228</v>
      </c>
    </row>
    <row r="60" spans="2:2" x14ac:dyDescent="0.3">
      <c r="B60" s="24" t="s">
        <v>229</v>
      </c>
    </row>
    <row r="62" spans="2:2" x14ac:dyDescent="0.3">
      <c r="B62" s="24" t="s">
        <v>230</v>
      </c>
    </row>
    <row r="64" spans="2:2" x14ac:dyDescent="0.3">
      <c r="B64" s="24" t="s">
        <v>231</v>
      </c>
    </row>
    <row r="65" spans="2:2" x14ac:dyDescent="0.3">
      <c r="B65" s="24" t="s">
        <v>232</v>
      </c>
    </row>
    <row r="67" spans="2:2" x14ac:dyDescent="0.3">
      <c r="B67" s="24" t="s">
        <v>233</v>
      </c>
    </row>
    <row r="69" spans="2:2" x14ac:dyDescent="0.3">
      <c r="B69" s="24" t="s">
        <v>234</v>
      </c>
    </row>
    <row r="70" spans="2:2" x14ac:dyDescent="0.3">
      <c r="B70" s="24" t="s">
        <v>235</v>
      </c>
    </row>
    <row r="71" spans="2:2" x14ac:dyDescent="0.3">
      <c r="B71" s="24" t="s">
        <v>236</v>
      </c>
    </row>
    <row r="72" spans="2:2" x14ac:dyDescent="0.3">
      <c r="B72" s="24" t="s">
        <v>237</v>
      </c>
    </row>
    <row r="73" spans="2:2" x14ac:dyDescent="0.3">
      <c r="B73" s="24" t="s">
        <v>238</v>
      </c>
    </row>
    <row r="74" spans="2:2" x14ac:dyDescent="0.3">
      <c r="B74" s="24" t="s">
        <v>239</v>
      </c>
    </row>
    <row r="75" spans="2:2" x14ac:dyDescent="0.3">
      <c r="B75" s="24" t="s">
        <v>240</v>
      </c>
    </row>
    <row r="77" spans="2:2" x14ac:dyDescent="0.3">
      <c r="B77" s="24" t="s">
        <v>241</v>
      </c>
    </row>
    <row r="79" spans="2:2" x14ac:dyDescent="0.3">
      <c r="B79" s="24" t="s">
        <v>242</v>
      </c>
    </row>
    <row r="80" spans="2:2" x14ac:dyDescent="0.3">
      <c r="B80" s="24" t="s">
        <v>243</v>
      </c>
    </row>
    <row r="81" spans="2:2" x14ac:dyDescent="0.3">
      <c r="B81" s="24" t="s">
        <v>244</v>
      </c>
    </row>
    <row r="82" spans="2:2" x14ac:dyDescent="0.3">
      <c r="B82" s="24" t="s">
        <v>245</v>
      </c>
    </row>
    <row r="83" spans="2:2" x14ac:dyDescent="0.3">
      <c r="B83" s="24" t="s">
        <v>246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B3:AP130"/>
  <sheetViews>
    <sheetView tabSelected="1" workbookViewId="0">
      <selection activeCell="K31" sqref="K31"/>
    </sheetView>
  </sheetViews>
  <sheetFormatPr defaultColWidth="8.88671875" defaultRowHeight="16.2" x14ac:dyDescent="0.3"/>
  <cols>
    <col min="1" max="8" width="8.88671875" style="120"/>
    <col min="9" max="9" width="57.6640625" style="120" customWidth="1"/>
    <col min="10" max="10" width="16.21875" style="120" bestFit="1" customWidth="1"/>
    <col min="11" max="11" width="10.5546875" style="120" customWidth="1"/>
    <col min="12" max="12" width="11" style="120" bestFit="1" customWidth="1"/>
    <col min="13" max="13" width="8.88671875" style="120"/>
    <col min="14" max="14" width="37.33203125" style="120" bestFit="1" customWidth="1"/>
    <col min="15" max="27" width="8.88671875" style="120"/>
    <col min="28" max="28" width="11.6640625" style="152" bestFit="1" customWidth="1"/>
    <col min="29" max="29" width="37.33203125" style="120" customWidth="1"/>
    <col min="30" max="30" width="9.5546875" style="120" bestFit="1" customWidth="1"/>
    <col min="31" max="39" width="8.88671875" style="120"/>
    <col min="43" max="16384" width="8.88671875" style="120"/>
  </cols>
  <sheetData>
    <row r="3" spans="2:38" x14ac:dyDescent="0.3">
      <c r="B3" s="120" t="s">
        <v>173</v>
      </c>
      <c r="I3" s="17" t="s">
        <v>164</v>
      </c>
      <c r="J3" s="17"/>
      <c r="K3" s="17"/>
      <c r="N3" s="120" t="s">
        <v>160</v>
      </c>
      <c r="AC3" s="120" t="s">
        <v>159</v>
      </c>
    </row>
    <row r="4" spans="2:38" x14ac:dyDescent="0.3">
      <c r="B4" s="154" t="s">
        <v>168</v>
      </c>
      <c r="C4" s="154" t="s">
        <v>172</v>
      </c>
      <c r="D4" s="154" t="s">
        <v>14</v>
      </c>
      <c r="E4" s="154" t="s">
        <v>15</v>
      </c>
      <c r="F4" s="154" t="s">
        <v>16</v>
      </c>
      <c r="G4" s="154" t="s">
        <v>17</v>
      </c>
      <c r="I4" s="145" t="s">
        <v>153</v>
      </c>
      <c r="J4" s="146" t="s">
        <v>109</v>
      </c>
      <c r="K4" s="146" t="s">
        <v>169</v>
      </c>
      <c r="N4" s="154" t="s">
        <v>157</v>
      </c>
      <c r="O4" s="154">
        <v>0</v>
      </c>
      <c r="P4" s="154">
        <v>2</v>
      </c>
      <c r="Q4" s="154">
        <v>3</v>
      </c>
      <c r="R4" s="154">
        <v>5</v>
      </c>
      <c r="S4" s="154">
        <v>8</v>
      </c>
      <c r="T4" s="154">
        <v>10</v>
      </c>
      <c r="U4" s="154">
        <v>15</v>
      </c>
      <c r="V4" s="154">
        <v>20</v>
      </c>
      <c r="W4" s="154">
        <v>25</v>
      </c>
      <c r="X4" s="154">
        <v>35</v>
      </c>
      <c r="Y4" s="154">
        <v>50</v>
      </c>
      <c r="Z4" s="154">
        <v>80</v>
      </c>
      <c r="AA4" s="154">
        <v>100</v>
      </c>
      <c r="AC4" s="154" t="s">
        <v>157</v>
      </c>
      <c r="AD4" s="154">
        <v>1</v>
      </c>
      <c r="AE4" s="154">
        <v>2</v>
      </c>
      <c r="AF4" s="154">
        <v>3</v>
      </c>
      <c r="AG4" s="154">
        <v>4</v>
      </c>
      <c r="AH4" s="154">
        <v>5</v>
      </c>
      <c r="AI4" s="154">
        <v>6</v>
      </c>
      <c r="AJ4" s="154">
        <v>7</v>
      </c>
      <c r="AK4" s="154">
        <v>8</v>
      </c>
      <c r="AL4" s="154">
        <v>9</v>
      </c>
    </row>
    <row r="5" spans="2:38" x14ac:dyDescent="0.3">
      <c r="B5" s="153" cm="1">
        <f t="array" ref="B5:B24">_xlfn.SEQUENCE(20,,0)</f>
        <v>0</v>
      </c>
      <c r="C5" s="165">
        <v>1</v>
      </c>
      <c r="D5" s="165">
        <v>1</v>
      </c>
      <c r="E5" s="165">
        <v>1</v>
      </c>
      <c r="F5" s="165">
        <v>1</v>
      </c>
      <c r="G5" s="165">
        <v>1</v>
      </c>
      <c r="I5" s="133" t="s">
        <v>139</v>
      </c>
      <c r="J5" s="147">
        <f>10000-J6-J7</f>
        <v>5999</v>
      </c>
      <c r="K5" s="161"/>
      <c r="L5" s="151" cm="1">
        <f t="array" ref="L5:L7">J5:J7/J8</f>
        <v>0.59989999999999999</v>
      </c>
      <c r="N5" s="153" t="s">
        <v>155</v>
      </c>
      <c r="O5" s="169">
        <v>0</v>
      </c>
      <c r="P5" s="169">
        <v>0</v>
      </c>
      <c r="Q5" s="169">
        <v>0</v>
      </c>
      <c r="R5" s="169">
        <v>0</v>
      </c>
      <c r="S5" s="169">
        <v>0</v>
      </c>
      <c r="T5" s="155">
        <f t="shared" ref="T5:T11" si="0">10000-SUM(U5:AA5)</f>
        <v>3400</v>
      </c>
      <c r="U5" s="155">
        <v>1200</v>
      </c>
      <c r="V5" s="155">
        <v>2400</v>
      </c>
      <c r="W5" s="155">
        <v>500</v>
      </c>
      <c r="X5" s="155">
        <v>200</v>
      </c>
      <c r="Y5" s="155">
        <v>200</v>
      </c>
      <c r="Z5" s="155">
        <v>1200</v>
      </c>
      <c r="AA5" s="155">
        <v>900</v>
      </c>
      <c r="AB5" s="174" cm="1">
        <f t="array" ref="AB5">SUMPRODUCT(O5:AA5/SUM(O5:AA5),$O$4:$AA$4)</f>
        <v>31.549999999999997</v>
      </c>
      <c r="AC5" s="153" t="s">
        <v>155</v>
      </c>
      <c r="AD5" s="155">
        <v>500</v>
      </c>
      <c r="AE5" s="155">
        <v>1000</v>
      </c>
      <c r="AF5" s="155">
        <v>1500</v>
      </c>
      <c r="AG5" s="155">
        <v>3000</v>
      </c>
      <c r="AH5" s="155">
        <v>10000</v>
      </c>
      <c r="AI5" s="155">
        <v>10000</v>
      </c>
      <c r="AJ5" s="155">
        <v>10000</v>
      </c>
      <c r="AK5" s="155">
        <v>10000</v>
      </c>
      <c r="AL5" s="155">
        <v>10000</v>
      </c>
    </row>
    <row r="6" spans="2:38" x14ac:dyDescent="0.3">
      <c r="B6" s="153">
        <v>1</v>
      </c>
      <c r="C6" s="165">
        <v>0</v>
      </c>
      <c r="D6" s="165">
        <v>0</v>
      </c>
      <c r="E6" s="165">
        <v>0</v>
      </c>
      <c r="F6" s="165">
        <v>0</v>
      </c>
      <c r="G6" s="165">
        <v>0</v>
      </c>
      <c r="I6" s="133" t="s">
        <v>140</v>
      </c>
      <c r="J6" s="148">
        <v>1001</v>
      </c>
      <c r="K6" s="162"/>
      <c r="L6" s="151">
        <v>0.10009999999999999</v>
      </c>
      <c r="N6" s="153" t="s">
        <v>156</v>
      </c>
      <c r="O6" s="169">
        <v>0</v>
      </c>
      <c r="P6" s="169">
        <v>0</v>
      </c>
      <c r="Q6" s="169">
        <v>0</v>
      </c>
      <c r="R6" s="169">
        <v>0</v>
      </c>
      <c r="S6" s="169">
        <v>0</v>
      </c>
      <c r="T6" s="155">
        <f t="shared" si="0"/>
        <v>4450</v>
      </c>
      <c r="U6" s="155">
        <v>600</v>
      </c>
      <c r="V6" s="155">
        <v>2400</v>
      </c>
      <c r="W6" s="155">
        <v>250</v>
      </c>
      <c r="X6" s="155">
        <v>100</v>
      </c>
      <c r="Y6" s="155">
        <v>100</v>
      </c>
      <c r="Z6" s="155">
        <v>1200</v>
      </c>
      <c r="AA6" s="155">
        <v>900</v>
      </c>
      <c r="AB6" s="174" cm="1">
        <f t="array" ref="AB6">SUMPRODUCT(O6:AA6/SUM(O6:AA6),$O$4:$AA$4)</f>
        <v>30.224999999999998</v>
      </c>
      <c r="AC6" s="153" t="s">
        <v>156</v>
      </c>
      <c r="AD6" s="155">
        <v>0</v>
      </c>
      <c r="AE6" s="155">
        <v>0</v>
      </c>
      <c r="AF6" s="155">
        <v>1000</v>
      </c>
      <c r="AG6" s="155">
        <v>1500</v>
      </c>
      <c r="AH6" s="155">
        <v>2500</v>
      </c>
      <c r="AI6" s="155">
        <v>5000</v>
      </c>
      <c r="AJ6" s="155">
        <v>10000</v>
      </c>
      <c r="AK6" s="155">
        <v>10000</v>
      </c>
      <c r="AL6" s="155">
        <v>10000</v>
      </c>
    </row>
    <row r="7" spans="2:38" x14ac:dyDescent="0.3">
      <c r="B7" s="153">
        <v>2</v>
      </c>
      <c r="C7" s="165">
        <v>2</v>
      </c>
      <c r="D7" s="165">
        <v>2</v>
      </c>
      <c r="E7" s="165">
        <v>2</v>
      </c>
      <c r="F7" s="165">
        <v>2</v>
      </c>
      <c r="G7" s="165">
        <v>2</v>
      </c>
      <c r="I7" s="133" t="s">
        <v>167</v>
      </c>
      <c r="J7" s="148">
        <v>3000</v>
      </c>
      <c r="K7" s="162"/>
      <c r="L7" s="151">
        <v>0.3</v>
      </c>
      <c r="N7" s="153" t="s">
        <v>167</v>
      </c>
      <c r="O7" s="169">
        <v>0</v>
      </c>
      <c r="P7" s="169">
        <v>0</v>
      </c>
      <c r="Q7" s="169">
        <v>0</v>
      </c>
      <c r="R7" s="169">
        <v>0</v>
      </c>
      <c r="S7" s="169">
        <v>0</v>
      </c>
      <c r="T7" s="155">
        <f t="shared" si="0"/>
        <v>10000</v>
      </c>
      <c r="U7" s="155">
        <v>0</v>
      </c>
      <c r="V7" s="155">
        <v>0</v>
      </c>
      <c r="W7" s="155">
        <v>0</v>
      </c>
      <c r="X7" s="155">
        <v>0</v>
      </c>
      <c r="Y7" s="155">
        <v>0</v>
      </c>
      <c r="Z7" s="155">
        <v>0</v>
      </c>
      <c r="AA7" s="155">
        <v>0</v>
      </c>
      <c r="AB7" s="174" cm="1">
        <f t="array" ref="AB7">SUMPRODUCT(O7:AA7/SUM(O7:AA7),$O$4:$AA$4)</f>
        <v>10</v>
      </c>
      <c r="AC7" s="153" t="s">
        <v>167</v>
      </c>
      <c r="AD7" s="169">
        <v>0</v>
      </c>
      <c r="AE7" s="169">
        <v>0</v>
      </c>
      <c r="AF7" s="169">
        <v>0</v>
      </c>
      <c r="AG7" s="169">
        <v>0</v>
      </c>
      <c r="AH7" s="169">
        <v>0</v>
      </c>
      <c r="AI7" s="169">
        <v>0</v>
      </c>
      <c r="AJ7" s="169">
        <v>0</v>
      </c>
      <c r="AK7" s="169">
        <v>0</v>
      </c>
      <c r="AL7" s="169">
        <v>0</v>
      </c>
    </row>
    <row r="8" spans="2:38" x14ac:dyDescent="0.3">
      <c r="B8" s="153">
        <v>3</v>
      </c>
      <c r="C8" s="165">
        <v>0</v>
      </c>
      <c r="D8" s="165">
        <v>1</v>
      </c>
      <c r="E8" s="165">
        <v>2</v>
      </c>
      <c r="F8" s="165">
        <v>1</v>
      </c>
      <c r="G8" s="165">
        <v>0</v>
      </c>
      <c r="I8" s="17"/>
      <c r="J8" s="51">
        <f>SUM(J5:J7)</f>
        <v>10000</v>
      </c>
      <c r="K8" s="51">
        <f>SUMPRODUCT(K5:K7,_xlfn.ANCHORARRAY(L5))</f>
        <v>0</v>
      </c>
      <c r="L8" s="152"/>
      <c r="N8" s="153" t="s">
        <v>147</v>
      </c>
      <c r="O8" s="169">
        <v>0</v>
      </c>
      <c r="P8" s="169">
        <v>0</v>
      </c>
      <c r="Q8" s="169">
        <v>0</v>
      </c>
      <c r="R8" s="169">
        <v>0</v>
      </c>
      <c r="S8" s="169">
        <v>0</v>
      </c>
      <c r="T8" s="155">
        <f t="shared" si="0"/>
        <v>3900</v>
      </c>
      <c r="U8" s="155">
        <v>1500</v>
      </c>
      <c r="V8" s="155">
        <v>2500</v>
      </c>
      <c r="W8" s="155">
        <v>100</v>
      </c>
      <c r="X8" s="155">
        <v>100</v>
      </c>
      <c r="Y8" s="155">
        <v>100</v>
      </c>
      <c r="Z8" s="155">
        <v>1000</v>
      </c>
      <c r="AA8" s="155">
        <v>800</v>
      </c>
      <c r="AB8" s="174" cm="1">
        <f t="array" ref="AB8">SUMPRODUCT(O8:AA8/SUM(O8:AA8),$O$4:$AA$4)</f>
        <v>28.25</v>
      </c>
      <c r="AC8" s="153" t="s">
        <v>147</v>
      </c>
      <c r="AD8" s="155">
        <v>0</v>
      </c>
      <c r="AE8" s="155">
        <v>0</v>
      </c>
      <c r="AF8" s="155">
        <v>1000</v>
      </c>
      <c r="AG8" s="155">
        <v>1500</v>
      </c>
      <c r="AH8" s="155">
        <v>2500</v>
      </c>
      <c r="AI8" s="155">
        <v>4000</v>
      </c>
      <c r="AJ8" s="155">
        <v>10000</v>
      </c>
      <c r="AK8" s="155">
        <v>10000</v>
      </c>
      <c r="AL8" s="155">
        <v>10000</v>
      </c>
    </row>
    <row r="9" spans="2:38" x14ac:dyDescent="0.3">
      <c r="B9" s="153">
        <v>4</v>
      </c>
      <c r="C9" s="165">
        <v>2</v>
      </c>
      <c r="D9" s="165">
        <v>1</v>
      </c>
      <c r="E9" s="165">
        <v>0</v>
      </c>
      <c r="F9" s="165">
        <v>1</v>
      </c>
      <c r="G9" s="165">
        <v>2</v>
      </c>
      <c r="L9" s="152"/>
      <c r="N9" s="153" t="s">
        <v>149</v>
      </c>
      <c r="O9" s="169">
        <v>0</v>
      </c>
      <c r="P9" s="169">
        <v>0</v>
      </c>
      <c r="Q9" s="169">
        <v>0</v>
      </c>
      <c r="R9" s="169">
        <v>0</v>
      </c>
      <c r="S9" s="169">
        <v>0</v>
      </c>
      <c r="T9" s="155">
        <f t="shared" si="0"/>
        <v>3900</v>
      </c>
      <c r="U9" s="155">
        <v>1500</v>
      </c>
      <c r="V9" s="155">
        <v>2500</v>
      </c>
      <c r="W9" s="155">
        <v>100</v>
      </c>
      <c r="X9" s="155">
        <v>100</v>
      </c>
      <c r="Y9" s="155">
        <v>100</v>
      </c>
      <c r="Z9" s="155">
        <v>1000</v>
      </c>
      <c r="AA9" s="155">
        <v>800</v>
      </c>
      <c r="AB9" s="174" cm="1">
        <f t="array" ref="AB9">SUMPRODUCT(O9:AA9/SUM(O9:AA9),$O$4:$AA$4)</f>
        <v>28.25</v>
      </c>
      <c r="AC9" s="153" t="s">
        <v>149</v>
      </c>
      <c r="AD9" s="155">
        <v>0</v>
      </c>
      <c r="AE9" s="155">
        <v>0</v>
      </c>
      <c r="AF9" s="155">
        <v>1000</v>
      </c>
      <c r="AG9" s="155">
        <v>1500</v>
      </c>
      <c r="AH9" s="155">
        <v>2500</v>
      </c>
      <c r="AI9" s="155">
        <v>4000</v>
      </c>
      <c r="AJ9" s="155">
        <v>10000</v>
      </c>
      <c r="AK9" s="155">
        <v>10000</v>
      </c>
      <c r="AL9" s="155">
        <v>10000</v>
      </c>
    </row>
    <row r="10" spans="2:38" x14ac:dyDescent="0.3">
      <c r="B10" s="153">
        <v>5</v>
      </c>
      <c r="C10" s="165">
        <v>0</v>
      </c>
      <c r="D10" s="165">
        <v>0</v>
      </c>
      <c r="E10" s="165">
        <v>1</v>
      </c>
      <c r="F10" s="165">
        <v>0</v>
      </c>
      <c r="G10" s="165">
        <v>0</v>
      </c>
      <c r="I10" s="17" t="s">
        <v>163</v>
      </c>
      <c r="J10" s="17"/>
      <c r="K10" s="17"/>
      <c r="L10" s="152"/>
      <c r="N10" s="153" t="s">
        <v>151</v>
      </c>
      <c r="O10" s="169">
        <v>0</v>
      </c>
      <c r="P10" s="169">
        <v>0</v>
      </c>
      <c r="Q10" s="169">
        <v>0</v>
      </c>
      <c r="R10" s="169">
        <v>0</v>
      </c>
      <c r="S10" s="169">
        <v>0</v>
      </c>
      <c r="T10" s="155">
        <f t="shared" si="0"/>
        <v>3900</v>
      </c>
      <c r="U10" s="155">
        <v>1500</v>
      </c>
      <c r="V10" s="155">
        <v>2500</v>
      </c>
      <c r="W10" s="155">
        <v>100</v>
      </c>
      <c r="X10" s="155">
        <v>100</v>
      </c>
      <c r="Y10" s="155">
        <v>100</v>
      </c>
      <c r="Z10" s="155">
        <v>1000</v>
      </c>
      <c r="AA10" s="155">
        <v>800</v>
      </c>
      <c r="AB10" s="174" cm="1">
        <f t="array" ref="AB10">SUMPRODUCT(O10:AA10/SUM(O10:AA10),$O$4:$AA$4)</f>
        <v>28.25</v>
      </c>
      <c r="AC10" s="153" t="s">
        <v>151</v>
      </c>
      <c r="AD10" s="155">
        <v>0</v>
      </c>
      <c r="AE10" s="155">
        <v>0</v>
      </c>
      <c r="AF10" s="155">
        <v>1000</v>
      </c>
      <c r="AG10" s="155">
        <v>1500</v>
      </c>
      <c r="AH10" s="155">
        <v>2500</v>
      </c>
      <c r="AI10" s="155">
        <v>4000</v>
      </c>
      <c r="AJ10" s="155">
        <v>10000</v>
      </c>
      <c r="AK10" s="155">
        <v>10000</v>
      </c>
      <c r="AL10" s="155">
        <v>10000</v>
      </c>
    </row>
    <row r="11" spans="2:38" ht="15.6" customHeight="1" x14ac:dyDescent="0.3">
      <c r="B11" s="153">
        <v>6</v>
      </c>
      <c r="C11" s="165">
        <v>2</v>
      </c>
      <c r="D11" s="165">
        <v>2</v>
      </c>
      <c r="E11" s="165">
        <v>1</v>
      </c>
      <c r="F11" s="165">
        <v>2</v>
      </c>
      <c r="G11" s="165">
        <v>2</v>
      </c>
      <c r="I11" s="145" t="s">
        <v>154</v>
      </c>
      <c r="J11" s="146" t="s">
        <v>109</v>
      </c>
      <c r="K11" s="146" t="s">
        <v>169</v>
      </c>
      <c r="N11" s="153" t="s">
        <v>166</v>
      </c>
      <c r="O11" s="169">
        <v>0</v>
      </c>
      <c r="P11" s="169">
        <v>0</v>
      </c>
      <c r="Q11" s="169">
        <v>0</v>
      </c>
      <c r="R11" s="169">
        <v>0</v>
      </c>
      <c r="S11" s="169">
        <v>0</v>
      </c>
      <c r="T11" s="155">
        <f t="shared" si="0"/>
        <v>10000</v>
      </c>
      <c r="U11" s="155">
        <v>0</v>
      </c>
      <c r="V11" s="155">
        <v>0</v>
      </c>
      <c r="W11" s="155">
        <v>0</v>
      </c>
      <c r="X11" s="155">
        <v>0</v>
      </c>
      <c r="Y11" s="155">
        <v>0</v>
      </c>
      <c r="Z11" s="155">
        <v>0</v>
      </c>
      <c r="AA11" s="155">
        <v>0</v>
      </c>
      <c r="AB11" s="174" cm="1">
        <f t="array" ref="AB11">SUMPRODUCT(O11:AA11/SUM(O11:AA11),$O$4:$AA$4)</f>
        <v>10</v>
      </c>
      <c r="AC11" s="153" t="s">
        <v>166</v>
      </c>
      <c r="AD11" s="169">
        <v>0</v>
      </c>
      <c r="AE11" s="169">
        <v>0</v>
      </c>
      <c r="AF11" s="169">
        <v>0</v>
      </c>
      <c r="AG11" s="169">
        <v>0</v>
      </c>
      <c r="AH11" s="169">
        <v>0</v>
      </c>
      <c r="AI11" s="169">
        <v>0</v>
      </c>
      <c r="AJ11" s="169">
        <v>0</v>
      </c>
      <c r="AK11" s="169">
        <v>0</v>
      </c>
      <c r="AL11" s="169">
        <v>0</v>
      </c>
    </row>
    <row r="12" spans="2:38" ht="15.6" customHeight="1" x14ac:dyDescent="0.3">
      <c r="B12" s="153">
        <v>7</v>
      </c>
      <c r="C12" s="165">
        <v>1</v>
      </c>
      <c r="D12" s="165">
        <v>2</v>
      </c>
      <c r="E12" s="165">
        <v>2</v>
      </c>
      <c r="F12" s="165">
        <v>2</v>
      </c>
      <c r="G12" s="165">
        <v>1</v>
      </c>
      <c r="I12" s="133" t="s">
        <v>148</v>
      </c>
      <c r="J12" s="147">
        <f>10000-SUM(J13:J14)</f>
        <v>10000</v>
      </c>
      <c r="K12" s="161"/>
      <c r="L12" s="151" cm="1">
        <f t="array" ref="L12:L14">J12:J14/SUM(J15)</f>
        <v>1</v>
      </c>
    </row>
    <row r="13" spans="2:38" ht="15.6" customHeight="1" x14ac:dyDescent="0.3">
      <c r="B13" s="153">
        <v>8</v>
      </c>
      <c r="C13" s="165">
        <v>1</v>
      </c>
      <c r="D13" s="165">
        <v>0</v>
      </c>
      <c r="E13" s="165">
        <v>0</v>
      </c>
      <c r="F13" s="165">
        <v>0</v>
      </c>
      <c r="G13" s="165">
        <v>1</v>
      </c>
      <c r="I13" s="133" t="s">
        <v>150</v>
      </c>
      <c r="J13" s="148">
        <v>0</v>
      </c>
      <c r="K13" s="162"/>
      <c r="L13" s="151">
        <v>0</v>
      </c>
    </row>
    <row r="14" spans="2:38" ht="15.6" customHeight="1" x14ac:dyDescent="0.3">
      <c r="B14" s="153">
        <v>9</v>
      </c>
      <c r="C14" s="165">
        <v>0</v>
      </c>
      <c r="D14" s="165">
        <v>1</v>
      </c>
      <c r="E14" s="165">
        <v>1</v>
      </c>
      <c r="F14" s="165">
        <v>1</v>
      </c>
      <c r="G14" s="165">
        <v>0</v>
      </c>
      <c r="I14" s="133" t="s">
        <v>152</v>
      </c>
      <c r="J14" s="148">
        <v>0</v>
      </c>
      <c r="K14" s="162"/>
      <c r="L14" s="151">
        <v>0</v>
      </c>
      <c r="N14" s="120" t="s">
        <v>176</v>
      </c>
    </row>
    <row r="15" spans="2:38" ht="15.6" customHeight="1" x14ac:dyDescent="0.3">
      <c r="B15" s="153">
        <v>10</v>
      </c>
      <c r="C15" s="165">
        <v>2</v>
      </c>
      <c r="D15" s="165">
        <v>1</v>
      </c>
      <c r="E15" s="165">
        <v>1</v>
      </c>
      <c r="F15" s="165">
        <v>1</v>
      </c>
      <c r="G15" s="165">
        <v>2</v>
      </c>
      <c r="J15" s="51">
        <f>SUM(J12:J14)</f>
        <v>10000</v>
      </c>
      <c r="K15" s="51">
        <f>SUMPRODUCT(K12:K14,_xlfn.ANCHORARRAY(L12))</f>
        <v>0</v>
      </c>
      <c r="L15" s="152"/>
      <c r="N15" s="154" t="s">
        <v>157</v>
      </c>
      <c r="O15" s="154">
        <v>0</v>
      </c>
      <c r="P15" s="154">
        <v>2</v>
      </c>
      <c r="Q15" s="154">
        <v>3</v>
      </c>
      <c r="R15" s="154">
        <v>5</v>
      </c>
      <c r="S15" s="154">
        <v>8</v>
      </c>
      <c r="T15" s="154">
        <v>10</v>
      </c>
      <c r="U15" s="154">
        <v>15</v>
      </c>
      <c r="V15" s="154">
        <v>20</v>
      </c>
      <c r="W15" s="154">
        <v>25</v>
      </c>
      <c r="X15" s="154">
        <v>35</v>
      </c>
      <c r="Y15" s="154">
        <v>50</v>
      </c>
      <c r="Z15" s="154">
        <v>80</v>
      </c>
      <c r="AA15" s="154">
        <v>100</v>
      </c>
    </row>
    <row r="16" spans="2:38" ht="15.6" customHeight="1" x14ac:dyDescent="0.3">
      <c r="B16" s="153">
        <v>11</v>
      </c>
      <c r="C16" s="165">
        <v>1</v>
      </c>
      <c r="D16" s="165">
        <v>1</v>
      </c>
      <c r="E16" s="165">
        <v>0</v>
      </c>
      <c r="F16" s="165">
        <v>1</v>
      </c>
      <c r="G16" s="165">
        <v>1</v>
      </c>
      <c r="L16" s="152"/>
      <c r="N16" s="170" t="s">
        <v>155</v>
      </c>
      <c r="O16" s="171">
        <f t="shared" ref="O16:O22" si="1">10000-SUM(P16:AA16)</f>
        <v>8100</v>
      </c>
      <c r="P16" s="171">
        <v>600</v>
      </c>
      <c r="Q16" s="171">
        <v>500</v>
      </c>
      <c r="R16" s="171">
        <v>400</v>
      </c>
      <c r="S16" s="171">
        <v>400</v>
      </c>
      <c r="T16" s="171">
        <v>0</v>
      </c>
      <c r="U16" s="171">
        <v>0</v>
      </c>
      <c r="V16" s="171">
        <v>0</v>
      </c>
      <c r="W16" s="171">
        <v>0</v>
      </c>
      <c r="X16" s="171">
        <v>0</v>
      </c>
      <c r="Y16" s="171">
        <v>0</v>
      </c>
      <c r="Z16" s="171">
        <v>0</v>
      </c>
      <c r="AA16" s="171">
        <v>0</v>
      </c>
      <c r="AB16" s="174" cm="1">
        <f t="array" ref="AB16">SUMPRODUCT(O16:AA16/SUM(O16:AA16),$O$4:$AA$4)</f>
        <v>0.79</v>
      </c>
      <c r="AD16" s="173"/>
      <c r="AE16" s="173"/>
    </row>
    <row r="17" spans="2:31" ht="15.6" customHeight="1" x14ac:dyDescent="0.3">
      <c r="B17" s="153">
        <v>12</v>
      </c>
      <c r="C17" s="165">
        <v>1</v>
      </c>
      <c r="D17" s="165">
        <v>1</v>
      </c>
      <c r="E17" s="165">
        <v>2</v>
      </c>
      <c r="F17" s="165">
        <v>1</v>
      </c>
      <c r="G17" s="165">
        <v>1</v>
      </c>
      <c r="I17" s="17" t="s">
        <v>165</v>
      </c>
      <c r="J17" s="17"/>
      <c r="K17" s="17"/>
      <c r="L17" s="152"/>
      <c r="N17" s="153" t="s">
        <v>156</v>
      </c>
      <c r="O17" s="169">
        <f t="shared" si="1"/>
        <v>0</v>
      </c>
      <c r="P17" s="155">
        <f>10000-SUM(Q17:AA17)</f>
        <v>3200</v>
      </c>
      <c r="Q17" s="155">
        <v>2600</v>
      </c>
      <c r="R17" s="155">
        <v>2100</v>
      </c>
      <c r="S17" s="155">
        <v>2100</v>
      </c>
      <c r="T17" s="155">
        <v>0</v>
      </c>
      <c r="U17" s="171">
        <v>0</v>
      </c>
      <c r="V17" s="171">
        <v>0</v>
      </c>
      <c r="W17" s="171">
        <v>0</v>
      </c>
      <c r="X17" s="171">
        <v>0</v>
      </c>
      <c r="Y17" s="171">
        <v>0</v>
      </c>
      <c r="Z17" s="171">
        <v>0</v>
      </c>
      <c r="AA17" s="171">
        <v>0</v>
      </c>
      <c r="AB17" s="174" cm="1">
        <f t="array" ref="AB17">SUMPRODUCT(O17:AA17/SUM(O17:AA17),$O$4:$AA$4)</f>
        <v>4.1499999999999995</v>
      </c>
      <c r="AD17" s="173"/>
      <c r="AE17" s="173"/>
    </row>
    <row r="18" spans="2:31" ht="15.6" customHeight="1" x14ac:dyDescent="0.3">
      <c r="B18" s="153">
        <v>13</v>
      </c>
      <c r="C18" s="165">
        <v>1</v>
      </c>
      <c r="D18" s="165">
        <v>0</v>
      </c>
      <c r="E18" s="165">
        <v>1</v>
      </c>
      <c r="F18" s="165">
        <v>0</v>
      </c>
      <c r="G18" s="165">
        <v>1</v>
      </c>
      <c r="I18" s="145" t="s">
        <v>154</v>
      </c>
      <c r="J18" s="146" t="s">
        <v>109</v>
      </c>
      <c r="K18" s="146" t="s">
        <v>169</v>
      </c>
      <c r="N18" s="153" t="s">
        <v>167</v>
      </c>
      <c r="O18" s="155">
        <f t="shared" si="1"/>
        <v>8100</v>
      </c>
      <c r="P18" s="171">
        <v>800</v>
      </c>
      <c r="Q18" s="171">
        <v>700</v>
      </c>
      <c r="R18" s="171">
        <v>400</v>
      </c>
      <c r="S18" s="172">
        <v>0</v>
      </c>
      <c r="T18" s="172">
        <v>0</v>
      </c>
      <c r="U18" s="172">
        <v>0</v>
      </c>
      <c r="V18" s="172">
        <v>0</v>
      </c>
      <c r="W18" s="172">
        <v>0</v>
      </c>
      <c r="X18" s="172">
        <v>0</v>
      </c>
      <c r="Y18" s="172">
        <v>0</v>
      </c>
      <c r="Z18" s="172">
        <v>0</v>
      </c>
      <c r="AA18" s="172">
        <v>0</v>
      </c>
      <c r="AB18" s="174" cm="1">
        <f t="array" ref="AB18">SUMPRODUCT(O18:AA18/SUM(O18:AA18),$O$4:$AA$4)</f>
        <v>0.57000000000000006</v>
      </c>
      <c r="AD18" s="173"/>
      <c r="AE18" s="173"/>
    </row>
    <row r="19" spans="2:31" ht="15.6" customHeight="1" x14ac:dyDescent="0.3">
      <c r="B19" s="153">
        <v>14</v>
      </c>
      <c r="C19" s="165">
        <v>1</v>
      </c>
      <c r="D19" s="165">
        <v>2</v>
      </c>
      <c r="E19" s="165">
        <v>1</v>
      </c>
      <c r="F19" s="165">
        <v>2</v>
      </c>
      <c r="G19" s="165">
        <v>1</v>
      </c>
      <c r="I19" s="133" t="s">
        <v>148</v>
      </c>
      <c r="J19" s="147">
        <f>10000-SUM(J20:J21)</f>
        <v>10000</v>
      </c>
      <c r="K19" s="161"/>
      <c r="L19" s="151" cm="1">
        <f t="array" ref="L19:L21">J19:J21/SUM(J22)</f>
        <v>1</v>
      </c>
      <c r="N19" s="153" t="s">
        <v>147</v>
      </c>
      <c r="O19" s="169">
        <f t="shared" si="1"/>
        <v>0</v>
      </c>
      <c r="P19" s="155">
        <f>10000-SUM(Q19:AA19)</f>
        <v>6440</v>
      </c>
      <c r="Q19" s="155">
        <v>2600</v>
      </c>
      <c r="R19" s="155">
        <v>660</v>
      </c>
      <c r="S19" s="155">
        <v>300</v>
      </c>
      <c r="T19" s="155">
        <v>0</v>
      </c>
      <c r="U19" s="155">
        <v>0</v>
      </c>
      <c r="V19" s="155">
        <v>0</v>
      </c>
      <c r="W19" s="155">
        <v>0</v>
      </c>
      <c r="X19" s="155">
        <v>0</v>
      </c>
      <c r="Y19" s="155">
        <v>0</v>
      </c>
      <c r="Z19" s="155">
        <v>0</v>
      </c>
      <c r="AA19" s="155">
        <v>0</v>
      </c>
      <c r="AB19" s="174" cm="1">
        <f t="array" ref="AB19">SUMPRODUCT(O19:AA19/SUM(O19:AA19),$O$4:$AA$4)</f>
        <v>2.6379999999999999</v>
      </c>
      <c r="AD19" s="173"/>
      <c r="AE19" s="173"/>
    </row>
    <row r="20" spans="2:31" ht="15.6" customHeight="1" x14ac:dyDescent="0.3">
      <c r="B20" s="153">
        <v>15</v>
      </c>
      <c r="C20" s="165">
        <v>0</v>
      </c>
      <c r="D20" s="165">
        <v>1</v>
      </c>
      <c r="E20" s="165">
        <v>0</v>
      </c>
      <c r="F20" s="165">
        <v>1</v>
      </c>
      <c r="G20" s="165">
        <v>0</v>
      </c>
      <c r="I20" s="133" t="s">
        <v>150</v>
      </c>
      <c r="J20" s="148">
        <v>0</v>
      </c>
      <c r="K20" s="162"/>
      <c r="L20" s="151">
        <v>0</v>
      </c>
      <c r="N20" s="153" t="s">
        <v>149</v>
      </c>
      <c r="O20" s="169">
        <f t="shared" si="1"/>
        <v>0</v>
      </c>
      <c r="P20" s="155">
        <f>10000-SUM(Q20:AA20)</f>
        <v>6440</v>
      </c>
      <c r="Q20" s="155">
        <v>2600</v>
      </c>
      <c r="R20" s="155">
        <v>660</v>
      </c>
      <c r="S20" s="155">
        <v>300</v>
      </c>
      <c r="T20" s="155">
        <v>0</v>
      </c>
      <c r="U20" s="155">
        <v>0</v>
      </c>
      <c r="V20" s="155">
        <v>0</v>
      </c>
      <c r="W20" s="155">
        <v>0</v>
      </c>
      <c r="X20" s="155">
        <v>0</v>
      </c>
      <c r="Y20" s="155">
        <v>0</v>
      </c>
      <c r="Z20" s="155">
        <v>0</v>
      </c>
      <c r="AA20" s="155">
        <v>0</v>
      </c>
      <c r="AB20" s="174" cm="1">
        <f t="array" ref="AB20">SUMPRODUCT(O20:AA20/SUM(O20:AA20),$O$4:$AA$4)</f>
        <v>2.6379999999999999</v>
      </c>
      <c r="AD20" s="173"/>
      <c r="AE20" s="173"/>
    </row>
    <row r="21" spans="2:31" ht="15.6" customHeight="1" x14ac:dyDescent="0.3">
      <c r="B21" s="153">
        <v>16</v>
      </c>
      <c r="C21" s="165">
        <v>2</v>
      </c>
      <c r="D21" s="165">
        <v>1</v>
      </c>
      <c r="E21" s="165">
        <v>2</v>
      </c>
      <c r="F21" s="165">
        <v>1</v>
      </c>
      <c r="G21" s="165">
        <v>2</v>
      </c>
      <c r="I21" s="133" t="s">
        <v>152</v>
      </c>
      <c r="J21" s="148">
        <v>0</v>
      </c>
      <c r="K21" s="162"/>
      <c r="L21" s="151">
        <v>0</v>
      </c>
      <c r="N21" s="153" t="s">
        <v>151</v>
      </c>
      <c r="O21" s="169">
        <f t="shared" si="1"/>
        <v>0</v>
      </c>
      <c r="P21" s="155">
        <f>10000-SUM(Q21:AA21)</f>
        <v>6440</v>
      </c>
      <c r="Q21" s="155">
        <v>2600</v>
      </c>
      <c r="R21" s="155">
        <v>660</v>
      </c>
      <c r="S21" s="155">
        <v>300</v>
      </c>
      <c r="T21" s="155">
        <v>0</v>
      </c>
      <c r="U21" s="155">
        <v>0</v>
      </c>
      <c r="V21" s="155">
        <v>0</v>
      </c>
      <c r="W21" s="155">
        <v>0</v>
      </c>
      <c r="X21" s="155">
        <v>0</v>
      </c>
      <c r="Y21" s="155">
        <v>0</v>
      </c>
      <c r="Z21" s="155">
        <v>0</v>
      </c>
      <c r="AA21" s="155">
        <v>0</v>
      </c>
      <c r="AB21" s="174" cm="1">
        <f t="array" ref="AB21">SUMPRODUCT(O21:AA21/SUM(O21:AA21),$O$4:$AA$4)</f>
        <v>2.6379999999999999</v>
      </c>
      <c r="AD21" s="173"/>
      <c r="AE21" s="173"/>
    </row>
    <row r="22" spans="2:31" ht="15.6" customHeight="1" x14ac:dyDescent="0.3">
      <c r="B22" s="153">
        <v>17</v>
      </c>
      <c r="C22" s="165">
        <v>0</v>
      </c>
      <c r="D22" s="165">
        <v>0</v>
      </c>
      <c r="E22" s="165">
        <v>1</v>
      </c>
      <c r="F22" s="165">
        <v>2</v>
      </c>
      <c r="G22" s="165">
        <v>2</v>
      </c>
      <c r="J22" s="51">
        <f>SUM(J19:J21)</f>
        <v>10000</v>
      </c>
      <c r="K22" s="51">
        <f>SUMPRODUCT(K19:K21,_xlfn.ANCHORARRAY(L19))</f>
        <v>0</v>
      </c>
      <c r="N22" s="153" t="s">
        <v>166</v>
      </c>
      <c r="O22" s="155">
        <f t="shared" si="1"/>
        <v>8100</v>
      </c>
      <c r="P22" s="171">
        <v>800</v>
      </c>
      <c r="Q22" s="171">
        <v>700</v>
      </c>
      <c r="R22" s="171">
        <v>400</v>
      </c>
      <c r="S22" s="172">
        <v>0</v>
      </c>
      <c r="T22" s="172">
        <v>0</v>
      </c>
      <c r="U22" s="172">
        <v>0</v>
      </c>
      <c r="V22" s="172">
        <v>0</v>
      </c>
      <c r="W22" s="172">
        <v>0</v>
      </c>
      <c r="X22" s="172">
        <v>0</v>
      </c>
      <c r="Y22" s="172">
        <v>0</v>
      </c>
      <c r="Z22" s="172">
        <v>0</v>
      </c>
      <c r="AA22" s="172">
        <v>0</v>
      </c>
      <c r="AB22" s="174" cm="1">
        <f t="array" ref="AB22">SUMPRODUCT(O22:AA22/SUM(O22:AA22),$O$4:$AA$4)</f>
        <v>0.57000000000000006</v>
      </c>
      <c r="AD22" s="173"/>
      <c r="AE22" s="173"/>
    </row>
    <row r="23" spans="2:31" ht="15.6" customHeight="1" x14ac:dyDescent="0.3">
      <c r="B23" s="153">
        <v>18</v>
      </c>
      <c r="C23" s="165">
        <v>2</v>
      </c>
      <c r="D23" s="165">
        <v>2</v>
      </c>
      <c r="E23" s="165">
        <v>1</v>
      </c>
      <c r="F23" s="165">
        <v>0</v>
      </c>
      <c r="G23" s="165">
        <v>0</v>
      </c>
    </row>
    <row r="24" spans="2:31" ht="15.6" customHeight="1" x14ac:dyDescent="0.3">
      <c r="B24" s="153">
        <v>19</v>
      </c>
      <c r="C24" s="165">
        <v>0</v>
      </c>
      <c r="D24" s="165">
        <v>2</v>
      </c>
      <c r="E24" s="165">
        <v>0</v>
      </c>
      <c r="F24" s="165">
        <v>2</v>
      </c>
      <c r="G24" s="165">
        <v>0</v>
      </c>
      <c r="I24" s="120" t="s">
        <v>171</v>
      </c>
    </row>
    <row r="25" spans="2:31" ht="15.6" customHeight="1" x14ac:dyDescent="0.3">
      <c r="I25" s="154" t="s">
        <v>170</v>
      </c>
      <c r="N25" s="120" t="s">
        <v>177</v>
      </c>
    </row>
    <row r="26" spans="2:31" ht="15.6" customHeight="1" x14ac:dyDescent="0.3">
      <c r="I26" s="163">
        <v>0</v>
      </c>
      <c r="N26" s="154" t="s">
        <v>157</v>
      </c>
      <c r="O26" s="154">
        <v>0</v>
      </c>
      <c r="P26" s="154">
        <v>2</v>
      </c>
      <c r="Q26" s="154">
        <v>3</v>
      </c>
      <c r="R26" s="154">
        <v>5</v>
      </c>
      <c r="S26" s="154">
        <v>8</v>
      </c>
      <c r="T26" s="154">
        <v>10</v>
      </c>
      <c r="U26" s="154">
        <v>15</v>
      </c>
      <c r="V26" s="154">
        <v>20</v>
      </c>
      <c r="W26" s="154">
        <v>25</v>
      </c>
      <c r="X26" s="154">
        <v>35</v>
      </c>
      <c r="Y26" s="154">
        <v>50</v>
      </c>
      <c r="Z26" s="154">
        <v>80</v>
      </c>
      <c r="AA26" s="154">
        <v>100</v>
      </c>
    </row>
    <row r="27" spans="2:31" ht="15.6" customHeight="1" x14ac:dyDescent="0.3">
      <c r="I27" s="164">
        <v>2</v>
      </c>
      <c r="N27" s="170" t="s">
        <v>155</v>
      </c>
      <c r="O27" s="171">
        <f t="shared" ref="O27:O33" si="2">10000-SUM(P27:AA27)</f>
        <v>8700</v>
      </c>
      <c r="P27" s="171">
        <v>500</v>
      </c>
      <c r="Q27" s="171">
        <v>400</v>
      </c>
      <c r="R27" s="171">
        <v>200</v>
      </c>
      <c r="S27" s="171">
        <v>200</v>
      </c>
      <c r="T27" s="171">
        <v>0</v>
      </c>
      <c r="U27" s="171">
        <v>0</v>
      </c>
      <c r="V27" s="171">
        <v>0</v>
      </c>
      <c r="W27" s="171">
        <v>0</v>
      </c>
      <c r="X27" s="171">
        <v>0</v>
      </c>
      <c r="Y27" s="171">
        <v>0</v>
      </c>
      <c r="Z27" s="171">
        <v>0</v>
      </c>
      <c r="AA27" s="171">
        <v>0</v>
      </c>
      <c r="AB27" s="174" cm="1">
        <f t="array" ref="AB27">SUMPRODUCT(O27:AA27/SUM(O27:AA27),$O$4:$AA$4)</f>
        <v>0.48</v>
      </c>
      <c r="AD27" s="173"/>
      <c r="AE27" s="173"/>
    </row>
    <row r="28" spans="2:31" x14ac:dyDescent="0.3">
      <c r="I28" s="164">
        <v>3</v>
      </c>
      <c r="N28" s="153" t="s">
        <v>156</v>
      </c>
      <c r="O28" s="169">
        <f t="shared" si="2"/>
        <v>0</v>
      </c>
      <c r="P28" s="155">
        <f>10000-SUM(Q28:AA28)</f>
        <v>4400</v>
      </c>
      <c r="Q28" s="155">
        <v>2600</v>
      </c>
      <c r="R28" s="155">
        <v>1500</v>
      </c>
      <c r="S28" s="155">
        <v>1500</v>
      </c>
      <c r="T28" s="155">
        <v>0</v>
      </c>
      <c r="U28" s="171">
        <v>0</v>
      </c>
      <c r="V28" s="171">
        <v>0</v>
      </c>
      <c r="W28" s="171">
        <v>0</v>
      </c>
      <c r="X28" s="171">
        <v>0</v>
      </c>
      <c r="Y28" s="171">
        <v>0</v>
      </c>
      <c r="Z28" s="171">
        <v>0</v>
      </c>
      <c r="AA28" s="171">
        <v>0</v>
      </c>
      <c r="AB28" s="174" cm="1">
        <f t="array" ref="AB28">SUMPRODUCT(O28:AA28/SUM(O28:AA28),$O$4:$AA$4)</f>
        <v>3.6100000000000003</v>
      </c>
      <c r="AD28" s="173"/>
      <c r="AE28" s="173"/>
    </row>
    <row r="29" spans="2:31" x14ac:dyDescent="0.3">
      <c r="I29" s="164">
        <v>5</v>
      </c>
      <c r="N29" s="153" t="s">
        <v>167</v>
      </c>
      <c r="O29" s="155">
        <f t="shared" si="2"/>
        <v>8100</v>
      </c>
      <c r="P29" s="171">
        <v>800</v>
      </c>
      <c r="Q29" s="171">
        <v>700</v>
      </c>
      <c r="R29" s="171">
        <v>400</v>
      </c>
      <c r="S29" s="172">
        <v>0</v>
      </c>
      <c r="T29" s="172">
        <v>0</v>
      </c>
      <c r="U29" s="172">
        <v>0</v>
      </c>
      <c r="V29" s="172">
        <v>0</v>
      </c>
      <c r="W29" s="172">
        <v>0</v>
      </c>
      <c r="X29" s="172">
        <v>0</v>
      </c>
      <c r="Y29" s="172">
        <v>0</v>
      </c>
      <c r="Z29" s="172">
        <v>0</v>
      </c>
      <c r="AA29" s="172">
        <v>0</v>
      </c>
      <c r="AB29" s="174" cm="1">
        <f t="array" ref="AB29">SUMPRODUCT(O29:AA29/SUM(O29:AA29),$O$4:$AA$4)</f>
        <v>0.57000000000000006</v>
      </c>
      <c r="AD29" s="173"/>
      <c r="AE29" s="173"/>
    </row>
    <row r="30" spans="2:31" x14ac:dyDescent="0.3">
      <c r="I30" s="164">
        <v>8</v>
      </c>
      <c r="N30" s="153" t="s">
        <v>147</v>
      </c>
      <c r="O30" s="169">
        <f t="shared" si="2"/>
        <v>0</v>
      </c>
      <c r="P30" s="155">
        <f>10000-SUM(Q30:AA30)</f>
        <v>7100</v>
      </c>
      <c r="Q30" s="155">
        <v>2500</v>
      </c>
      <c r="R30" s="155">
        <v>300</v>
      </c>
      <c r="S30" s="155">
        <v>100</v>
      </c>
      <c r="T30" s="155">
        <v>0</v>
      </c>
      <c r="U30" s="155">
        <v>0</v>
      </c>
      <c r="V30" s="155">
        <v>0</v>
      </c>
      <c r="W30" s="155">
        <v>0</v>
      </c>
      <c r="X30" s="155">
        <v>0</v>
      </c>
      <c r="Y30" s="155">
        <v>0</v>
      </c>
      <c r="Z30" s="155">
        <v>0</v>
      </c>
      <c r="AA30" s="155">
        <v>0</v>
      </c>
      <c r="AB30" s="174" cm="1">
        <f t="array" ref="AB30">SUMPRODUCT(O30:AA30/SUM(O30:AA30),$O$4:$AA$4)</f>
        <v>2.4</v>
      </c>
      <c r="AD30" s="173"/>
      <c r="AE30" s="173"/>
    </row>
    <row r="31" spans="2:31" x14ac:dyDescent="0.3">
      <c r="I31" s="164">
        <v>10</v>
      </c>
      <c r="N31" s="153" t="s">
        <v>149</v>
      </c>
      <c r="O31" s="169">
        <f t="shared" si="2"/>
        <v>0</v>
      </c>
      <c r="P31" s="155">
        <f>10000-SUM(Q31:AA31)</f>
        <v>7100</v>
      </c>
      <c r="Q31" s="155">
        <v>2500</v>
      </c>
      <c r="R31" s="155">
        <v>300</v>
      </c>
      <c r="S31" s="155">
        <v>100</v>
      </c>
      <c r="T31" s="155">
        <v>0</v>
      </c>
      <c r="U31" s="155">
        <v>0</v>
      </c>
      <c r="V31" s="155">
        <v>0</v>
      </c>
      <c r="W31" s="155">
        <v>0</v>
      </c>
      <c r="X31" s="155">
        <v>0</v>
      </c>
      <c r="Y31" s="155">
        <v>0</v>
      </c>
      <c r="Z31" s="155">
        <v>0</v>
      </c>
      <c r="AA31" s="155">
        <v>0</v>
      </c>
      <c r="AB31" s="174" cm="1">
        <f t="array" ref="AB31">SUMPRODUCT(O31:AA31/SUM(O31:AA31),$O$4:$AA$4)</f>
        <v>2.4</v>
      </c>
      <c r="AD31" s="173"/>
      <c r="AE31" s="173"/>
    </row>
    <row r="32" spans="2:31" x14ac:dyDescent="0.3">
      <c r="I32" s="164">
        <v>15</v>
      </c>
      <c r="N32" s="153" t="s">
        <v>151</v>
      </c>
      <c r="O32" s="169">
        <f t="shared" si="2"/>
        <v>0</v>
      </c>
      <c r="P32" s="155">
        <f>10000-SUM(Q32:AA32)</f>
        <v>7100</v>
      </c>
      <c r="Q32" s="155">
        <v>2500</v>
      </c>
      <c r="R32" s="155">
        <v>300</v>
      </c>
      <c r="S32" s="155">
        <v>100</v>
      </c>
      <c r="T32" s="155">
        <v>0</v>
      </c>
      <c r="U32" s="155">
        <v>0</v>
      </c>
      <c r="V32" s="155">
        <v>0</v>
      </c>
      <c r="W32" s="155">
        <v>0</v>
      </c>
      <c r="X32" s="155">
        <v>0</v>
      </c>
      <c r="Y32" s="155">
        <v>0</v>
      </c>
      <c r="Z32" s="155">
        <v>0</v>
      </c>
      <c r="AA32" s="155">
        <v>0</v>
      </c>
      <c r="AB32" s="174" cm="1">
        <f t="array" ref="AB32">SUMPRODUCT(O32:AA32/SUM(O32:AA32),$O$4:$AA$4)</f>
        <v>2.4</v>
      </c>
      <c r="AD32" s="173"/>
      <c r="AE32" s="173"/>
    </row>
    <row r="33" spans="9:31" x14ac:dyDescent="0.3">
      <c r="I33" s="164">
        <v>20</v>
      </c>
      <c r="N33" s="153" t="s">
        <v>166</v>
      </c>
      <c r="O33" s="155">
        <f t="shared" si="2"/>
        <v>8100</v>
      </c>
      <c r="P33" s="171">
        <v>800</v>
      </c>
      <c r="Q33" s="171">
        <v>700</v>
      </c>
      <c r="R33" s="171">
        <v>400</v>
      </c>
      <c r="S33" s="172">
        <v>0</v>
      </c>
      <c r="T33" s="172">
        <v>0</v>
      </c>
      <c r="U33" s="172">
        <v>0</v>
      </c>
      <c r="V33" s="172">
        <v>0</v>
      </c>
      <c r="W33" s="172">
        <v>0</v>
      </c>
      <c r="X33" s="172">
        <v>0</v>
      </c>
      <c r="Y33" s="172">
        <v>0</v>
      </c>
      <c r="Z33" s="172">
        <v>0</v>
      </c>
      <c r="AA33" s="172">
        <v>0</v>
      </c>
      <c r="AB33" s="174" cm="1">
        <f t="array" ref="AB33">SUMPRODUCT(O33:AA33/SUM(O33:AA33),$O$4:$AA$4)</f>
        <v>0.57000000000000006</v>
      </c>
      <c r="AD33" s="173"/>
      <c r="AE33" s="173"/>
    </row>
    <row r="34" spans="9:31" x14ac:dyDescent="0.3">
      <c r="I34" s="164">
        <v>25</v>
      </c>
    </row>
    <row r="35" spans="9:31" x14ac:dyDescent="0.3">
      <c r="I35" s="164">
        <v>35</v>
      </c>
      <c r="T35" s="120">
        <v>10</v>
      </c>
      <c r="U35" s="120">
        <v>60</v>
      </c>
      <c r="V35" s="120">
        <v>30</v>
      </c>
      <c r="W35" s="120">
        <v>20</v>
      </c>
      <c r="X35" s="120">
        <v>20</v>
      </c>
      <c r="Y35" s="120">
        <v>10</v>
      </c>
      <c r="Z35" s="120">
        <v>50</v>
      </c>
    </row>
    <row r="36" spans="9:31" x14ac:dyDescent="0.3">
      <c r="I36" s="164">
        <v>50</v>
      </c>
      <c r="N36" s="120" t="s">
        <v>162</v>
      </c>
    </row>
    <row r="37" spans="9:31" x14ac:dyDescent="0.3">
      <c r="I37" s="164">
        <v>80</v>
      </c>
      <c r="N37" s="154" t="s">
        <v>157</v>
      </c>
      <c r="O37" s="154">
        <v>0</v>
      </c>
      <c r="P37" s="154">
        <v>2</v>
      </c>
      <c r="Q37" s="154">
        <v>3</v>
      </c>
      <c r="R37" s="154">
        <v>5</v>
      </c>
      <c r="S37" s="154">
        <v>8</v>
      </c>
      <c r="T37" s="154">
        <v>10</v>
      </c>
      <c r="U37" s="154">
        <v>15</v>
      </c>
      <c r="V37" s="154">
        <v>20</v>
      </c>
      <c r="W37" s="154">
        <v>25</v>
      </c>
      <c r="X37" s="154">
        <v>35</v>
      </c>
      <c r="Y37" s="154">
        <v>50</v>
      </c>
      <c r="Z37" s="154">
        <v>80</v>
      </c>
      <c r="AA37" s="154">
        <v>100</v>
      </c>
    </row>
    <row r="38" spans="9:31" x14ac:dyDescent="0.3">
      <c r="I38" s="164">
        <v>100</v>
      </c>
      <c r="N38" s="153" t="s">
        <v>155</v>
      </c>
      <c r="O38" s="171">
        <f t="shared" ref="O38:O44" si="3">10000-SUM(P38:AA38)</f>
        <v>8100</v>
      </c>
      <c r="P38" s="171">
        <v>600</v>
      </c>
      <c r="Q38" s="171">
        <v>500</v>
      </c>
      <c r="R38" s="171">
        <v>400</v>
      </c>
      <c r="S38" s="171">
        <v>400</v>
      </c>
      <c r="T38" s="171">
        <v>0</v>
      </c>
      <c r="U38" s="171">
        <v>0</v>
      </c>
      <c r="V38" s="171">
        <v>0</v>
      </c>
      <c r="W38" s="171">
        <v>0</v>
      </c>
      <c r="X38" s="171">
        <v>0</v>
      </c>
      <c r="Y38" s="171">
        <v>0</v>
      </c>
      <c r="Z38" s="171">
        <v>0</v>
      </c>
      <c r="AA38" s="171">
        <v>0</v>
      </c>
      <c r="AB38" s="174" cm="1">
        <f t="array" ref="AB38">SUMPRODUCT(O38:AA38/SUM(O38:AA38),$O$4:$AA$4)</f>
        <v>0.79</v>
      </c>
      <c r="AC38" s="174"/>
      <c r="AD38" s="173"/>
      <c r="AE38" s="173"/>
    </row>
    <row r="39" spans="9:31" x14ac:dyDescent="0.3">
      <c r="N39" s="153" t="s">
        <v>156</v>
      </c>
      <c r="O39" s="171">
        <f t="shared" si="3"/>
        <v>8100</v>
      </c>
      <c r="P39" s="171">
        <v>600</v>
      </c>
      <c r="Q39" s="171">
        <v>500</v>
      </c>
      <c r="R39" s="171">
        <v>400</v>
      </c>
      <c r="S39" s="171">
        <v>400</v>
      </c>
      <c r="T39" s="171">
        <v>0</v>
      </c>
      <c r="U39" s="171">
        <v>0</v>
      </c>
      <c r="V39" s="171">
        <v>0</v>
      </c>
      <c r="W39" s="171">
        <v>0</v>
      </c>
      <c r="X39" s="171">
        <v>0</v>
      </c>
      <c r="Y39" s="171">
        <v>0</v>
      </c>
      <c r="Z39" s="171">
        <v>0</v>
      </c>
      <c r="AA39" s="171">
        <v>0</v>
      </c>
      <c r="AB39" s="174" cm="1">
        <f t="array" ref="AB39">SUMPRODUCT(O39:AA39/SUM(O39:AA39),$O$4:$AA$4)</f>
        <v>0.79</v>
      </c>
      <c r="AC39" s="174"/>
      <c r="AD39" s="173"/>
      <c r="AE39" s="173"/>
    </row>
    <row r="40" spans="9:31" x14ac:dyDescent="0.3">
      <c r="N40" s="153" t="s">
        <v>167</v>
      </c>
      <c r="O40" s="155">
        <f t="shared" si="3"/>
        <v>8100</v>
      </c>
      <c r="P40" s="171">
        <v>800</v>
      </c>
      <c r="Q40" s="171">
        <v>700</v>
      </c>
      <c r="R40" s="171">
        <v>400</v>
      </c>
      <c r="S40" s="171">
        <v>0</v>
      </c>
      <c r="T40" s="171">
        <v>0</v>
      </c>
      <c r="U40" s="171">
        <v>0</v>
      </c>
      <c r="V40" s="171">
        <v>0</v>
      </c>
      <c r="W40" s="171">
        <v>0</v>
      </c>
      <c r="X40" s="171">
        <v>0</v>
      </c>
      <c r="Y40" s="171">
        <v>0</v>
      </c>
      <c r="Z40" s="171">
        <v>0</v>
      </c>
      <c r="AA40" s="171">
        <v>0</v>
      </c>
      <c r="AB40" s="174" cm="1">
        <f t="array" ref="AB40">SUMPRODUCT(O40:AA40/SUM(O40:AA40),$O$4:$AA$4)</f>
        <v>0.57000000000000006</v>
      </c>
      <c r="AC40" s="174"/>
      <c r="AD40" s="173"/>
      <c r="AE40" s="173"/>
    </row>
    <row r="41" spans="9:31" x14ac:dyDescent="0.3">
      <c r="I41" s="17" t="s">
        <v>174</v>
      </c>
      <c r="J41" s="17"/>
      <c r="K41" s="17"/>
      <c r="N41" s="153" t="s">
        <v>147</v>
      </c>
      <c r="O41" s="155">
        <f t="shared" si="3"/>
        <v>6500</v>
      </c>
      <c r="P41" s="155">
        <v>2100</v>
      </c>
      <c r="Q41" s="155">
        <v>1000</v>
      </c>
      <c r="R41" s="155">
        <v>200</v>
      </c>
      <c r="S41" s="155">
        <v>200</v>
      </c>
      <c r="T41" s="155">
        <v>0</v>
      </c>
      <c r="U41" s="155">
        <v>0</v>
      </c>
      <c r="V41" s="155">
        <v>0</v>
      </c>
      <c r="W41" s="155">
        <v>0</v>
      </c>
      <c r="X41" s="155">
        <v>0</v>
      </c>
      <c r="Y41" s="155">
        <v>0</v>
      </c>
      <c r="Z41" s="155">
        <v>0</v>
      </c>
      <c r="AA41" s="155">
        <v>0</v>
      </c>
      <c r="AB41" s="174" cm="1">
        <f t="array" ref="AB41">SUMPRODUCT(O41:AA41/SUM(O41:AA41),$O$4:$AA$4)</f>
        <v>0.98</v>
      </c>
      <c r="AC41" s="174"/>
      <c r="AD41" s="173"/>
      <c r="AE41" s="173"/>
    </row>
    <row r="42" spans="9:31" x14ac:dyDescent="0.3">
      <c r="I42" s="145"/>
      <c r="J42" s="146" t="s">
        <v>175</v>
      </c>
      <c r="K42" s="146" t="s">
        <v>107</v>
      </c>
      <c r="N42" s="153" t="s">
        <v>149</v>
      </c>
      <c r="O42" s="155">
        <f t="shared" si="3"/>
        <v>6500</v>
      </c>
      <c r="P42" s="155">
        <v>2100</v>
      </c>
      <c r="Q42" s="155">
        <v>1000</v>
      </c>
      <c r="R42" s="155">
        <v>200</v>
      </c>
      <c r="S42" s="155">
        <v>200</v>
      </c>
      <c r="T42" s="155">
        <v>0</v>
      </c>
      <c r="U42" s="155">
        <v>0</v>
      </c>
      <c r="V42" s="155">
        <v>0</v>
      </c>
      <c r="W42" s="155">
        <v>0</v>
      </c>
      <c r="X42" s="155">
        <v>0</v>
      </c>
      <c r="Y42" s="155">
        <v>0</v>
      </c>
      <c r="Z42" s="155">
        <v>0</v>
      </c>
      <c r="AA42" s="155">
        <v>0</v>
      </c>
      <c r="AB42" s="174" cm="1">
        <f t="array" ref="AB42">SUMPRODUCT(O42:AA42/SUM(O42:AA42),$O$4:$AA$4)</f>
        <v>0.98</v>
      </c>
      <c r="AC42" s="174"/>
      <c r="AD42" s="173"/>
      <c r="AE42" s="173"/>
    </row>
    <row r="43" spans="9:31" x14ac:dyDescent="0.3">
      <c r="I43" s="133" t="s">
        <v>49</v>
      </c>
      <c r="J43" s="147">
        <v>10</v>
      </c>
      <c r="K43" s="147">
        <v>0</v>
      </c>
      <c r="N43" s="153" t="s">
        <v>151</v>
      </c>
      <c r="O43" s="155">
        <f t="shared" si="3"/>
        <v>6500</v>
      </c>
      <c r="P43" s="155">
        <v>2100</v>
      </c>
      <c r="Q43" s="155">
        <v>1000</v>
      </c>
      <c r="R43" s="155">
        <v>200</v>
      </c>
      <c r="S43" s="155">
        <v>200</v>
      </c>
      <c r="T43" s="155">
        <v>0</v>
      </c>
      <c r="U43" s="155">
        <v>0</v>
      </c>
      <c r="V43" s="155">
        <v>0</v>
      </c>
      <c r="W43" s="155">
        <v>0</v>
      </c>
      <c r="X43" s="155">
        <v>0</v>
      </c>
      <c r="Y43" s="155">
        <v>0</v>
      </c>
      <c r="Z43" s="155">
        <v>0</v>
      </c>
      <c r="AA43" s="155">
        <v>0</v>
      </c>
      <c r="AB43" s="174" cm="1">
        <f t="array" ref="AB43">SUMPRODUCT(O43:AA43/SUM(O43:AA43),$O$4:$AA$4)</f>
        <v>0.98</v>
      </c>
      <c r="AC43" s="174"/>
      <c r="AD43" s="173"/>
      <c r="AE43" s="173"/>
    </row>
    <row r="44" spans="9:31" x14ac:dyDescent="0.3">
      <c r="I44" s="133" t="s">
        <v>50</v>
      </c>
      <c r="J44" s="148">
        <v>10</v>
      </c>
      <c r="K44" s="148">
        <v>0</v>
      </c>
      <c r="N44" s="153" t="s">
        <v>166</v>
      </c>
      <c r="O44" s="155">
        <f t="shared" si="3"/>
        <v>8100</v>
      </c>
      <c r="P44" s="171">
        <v>800</v>
      </c>
      <c r="Q44" s="171">
        <v>700</v>
      </c>
      <c r="R44" s="171">
        <v>400</v>
      </c>
      <c r="S44" s="172">
        <v>0</v>
      </c>
      <c r="T44" s="172">
        <v>0</v>
      </c>
      <c r="U44" s="172">
        <v>0</v>
      </c>
      <c r="V44" s="172">
        <v>0</v>
      </c>
      <c r="W44" s="172">
        <v>0</v>
      </c>
      <c r="X44" s="172">
        <v>0</v>
      </c>
      <c r="Y44" s="172">
        <v>0</v>
      </c>
      <c r="Z44" s="172">
        <v>0</v>
      </c>
      <c r="AA44" s="172">
        <v>0</v>
      </c>
      <c r="AB44" s="174" cm="1">
        <f t="array" ref="AB44">SUMPRODUCT(O44:AA44/SUM(O44:AA44),$O$4:$AA$4)</f>
        <v>0.57000000000000006</v>
      </c>
      <c r="AC44" s="174"/>
      <c r="AD44" s="173"/>
      <c r="AE44" s="173"/>
    </row>
    <row r="47" spans="9:31" x14ac:dyDescent="0.3">
      <c r="N47" s="120" t="s">
        <v>161</v>
      </c>
    </row>
    <row r="48" spans="9:31" x14ac:dyDescent="0.3">
      <c r="N48" s="154" t="s">
        <v>157</v>
      </c>
      <c r="O48" s="154">
        <v>0</v>
      </c>
      <c r="P48" s="154">
        <v>2</v>
      </c>
      <c r="Q48" s="154">
        <v>3</v>
      </c>
      <c r="R48" s="154">
        <v>5</v>
      </c>
      <c r="S48" s="154">
        <v>8</v>
      </c>
      <c r="T48" s="154">
        <v>10</v>
      </c>
      <c r="U48" s="154">
        <v>15</v>
      </c>
      <c r="V48" s="154">
        <v>20</v>
      </c>
      <c r="W48" s="154">
        <v>25</v>
      </c>
      <c r="X48" s="154">
        <v>35</v>
      </c>
      <c r="Y48" s="154">
        <v>50</v>
      </c>
      <c r="Z48" s="154">
        <v>80</v>
      </c>
      <c r="AA48" s="154">
        <v>100</v>
      </c>
    </row>
    <row r="49" spans="14:31" x14ac:dyDescent="0.3">
      <c r="N49" s="153" t="s">
        <v>155</v>
      </c>
      <c r="O49" s="171">
        <f t="shared" ref="O49:O55" si="4">10000-SUM(P49:AA49)</f>
        <v>8700</v>
      </c>
      <c r="P49" s="171">
        <v>500</v>
      </c>
      <c r="Q49" s="171">
        <v>400</v>
      </c>
      <c r="R49" s="171">
        <v>200</v>
      </c>
      <c r="S49" s="171">
        <v>200</v>
      </c>
      <c r="T49" s="171">
        <v>0</v>
      </c>
      <c r="U49" s="171">
        <v>0</v>
      </c>
      <c r="V49" s="171">
        <v>0</v>
      </c>
      <c r="W49" s="171">
        <v>0</v>
      </c>
      <c r="X49" s="171">
        <v>0</v>
      </c>
      <c r="Y49" s="171">
        <v>0</v>
      </c>
      <c r="Z49" s="171">
        <v>0</v>
      </c>
      <c r="AA49" s="171">
        <v>0</v>
      </c>
      <c r="AB49" s="174" cm="1">
        <f t="array" ref="AB49">SUMPRODUCT(O49:AA49/SUM(O49:AA49),$O$4:$AA$4)</f>
        <v>0.48</v>
      </c>
      <c r="AC49" s="174"/>
      <c r="AD49" s="173"/>
      <c r="AE49" s="173"/>
    </row>
    <row r="50" spans="14:31" x14ac:dyDescent="0.3">
      <c r="N50" s="153" t="s">
        <v>156</v>
      </c>
      <c r="O50" s="171">
        <f t="shared" si="4"/>
        <v>8700</v>
      </c>
      <c r="P50" s="171">
        <v>500</v>
      </c>
      <c r="Q50" s="171">
        <v>400</v>
      </c>
      <c r="R50" s="171">
        <v>200</v>
      </c>
      <c r="S50" s="171">
        <v>200</v>
      </c>
      <c r="T50" s="171">
        <v>0</v>
      </c>
      <c r="U50" s="171">
        <v>0</v>
      </c>
      <c r="V50" s="171">
        <v>0</v>
      </c>
      <c r="W50" s="171">
        <v>0</v>
      </c>
      <c r="X50" s="171">
        <v>0</v>
      </c>
      <c r="Y50" s="171">
        <v>0</v>
      </c>
      <c r="Z50" s="171">
        <v>0</v>
      </c>
      <c r="AA50" s="171">
        <v>0</v>
      </c>
      <c r="AB50" s="174" cm="1">
        <f t="array" ref="AB50">SUMPRODUCT(O50:AA50/SUM(O50:AA50),$O$4:$AA$4)</f>
        <v>0.48</v>
      </c>
      <c r="AC50" s="174"/>
      <c r="AD50" s="173"/>
      <c r="AE50" s="173"/>
    </row>
    <row r="51" spans="14:31" x14ac:dyDescent="0.3">
      <c r="N51" s="153" t="s">
        <v>167</v>
      </c>
      <c r="O51" s="155">
        <f t="shared" si="4"/>
        <v>8100</v>
      </c>
      <c r="P51" s="171">
        <v>800</v>
      </c>
      <c r="Q51" s="171">
        <v>700</v>
      </c>
      <c r="R51" s="171">
        <v>400</v>
      </c>
      <c r="S51" s="172">
        <v>0</v>
      </c>
      <c r="T51" s="172">
        <v>0</v>
      </c>
      <c r="U51" s="172">
        <v>0</v>
      </c>
      <c r="V51" s="172">
        <v>0</v>
      </c>
      <c r="W51" s="172">
        <v>0</v>
      </c>
      <c r="X51" s="172">
        <v>0</v>
      </c>
      <c r="Y51" s="172">
        <v>0</v>
      </c>
      <c r="Z51" s="172">
        <v>0</v>
      </c>
      <c r="AA51" s="172">
        <v>0</v>
      </c>
      <c r="AB51" s="174" cm="1">
        <f t="array" ref="AB51">SUMPRODUCT(O51:AA51/SUM(O51:AA51),$O$4:$AA$4)</f>
        <v>0.57000000000000006</v>
      </c>
      <c r="AC51" s="174"/>
      <c r="AD51" s="173"/>
      <c r="AE51" s="173"/>
    </row>
    <row r="52" spans="14:31" x14ac:dyDescent="0.3">
      <c r="N52" s="153" t="s">
        <v>147</v>
      </c>
      <c r="O52" s="155">
        <f t="shared" si="4"/>
        <v>6700</v>
      </c>
      <c r="P52" s="155">
        <v>2300</v>
      </c>
      <c r="Q52" s="155">
        <v>800</v>
      </c>
      <c r="R52" s="155">
        <v>100</v>
      </c>
      <c r="S52" s="155">
        <v>100</v>
      </c>
      <c r="T52" s="155">
        <v>0</v>
      </c>
      <c r="U52" s="155">
        <v>0</v>
      </c>
      <c r="V52" s="155">
        <v>0</v>
      </c>
      <c r="W52" s="155">
        <v>0</v>
      </c>
      <c r="X52" s="155">
        <v>0</v>
      </c>
      <c r="Y52" s="155">
        <v>0</v>
      </c>
      <c r="Z52" s="155">
        <v>0</v>
      </c>
      <c r="AA52" s="155">
        <v>0</v>
      </c>
      <c r="AB52" s="174" cm="1">
        <f t="array" ref="AB52">SUMPRODUCT(O52:AA52/SUM(O52:AA52),$O$4:$AA$4)</f>
        <v>0.83</v>
      </c>
      <c r="AC52" s="174"/>
      <c r="AD52" s="173"/>
      <c r="AE52" s="173"/>
    </row>
    <row r="53" spans="14:31" x14ac:dyDescent="0.3">
      <c r="N53" s="153" t="s">
        <v>149</v>
      </c>
      <c r="O53" s="155">
        <f t="shared" si="4"/>
        <v>6700</v>
      </c>
      <c r="P53" s="155">
        <v>2300</v>
      </c>
      <c r="Q53" s="155">
        <v>800</v>
      </c>
      <c r="R53" s="155">
        <v>100</v>
      </c>
      <c r="S53" s="155">
        <v>100</v>
      </c>
      <c r="T53" s="155">
        <v>0</v>
      </c>
      <c r="U53" s="155">
        <v>0</v>
      </c>
      <c r="V53" s="155">
        <v>0</v>
      </c>
      <c r="W53" s="155">
        <v>0</v>
      </c>
      <c r="X53" s="155">
        <v>0</v>
      </c>
      <c r="Y53" s="155">
        <v>0</v>
      </c>
      <c r="Z53" s="155">
        <v>0</v>
      </c>
      <c r="AA53" s="155">
        <v>0</v>
      </c>
      <c r="AB53" s="174" cm="1">
        <f t="array" ref="AB53">SUMPRODUCT(O53:AA53/SUM(O53:AA53),$O$4:$AA$4)</f>
        <v>0.83</v>
      </c>
      <c r="AC53" s="174"/>
      <c r="AD53" s="173"/>
      <c r="AE53" s="173"/>
    </row>
    <row r="54" spans="14:31" x14ac:dyDescent="0.3">
      <c r="N54" s="153" t="s">
        <v>151</v>
      </c>
      <c r="O54" s="155">
        <f t="shared" si="4"/>
        <v>6700</v>
      </c>
      <c r="P54" s="155">
        <v>2300</v>
      </c>
      <c r="Q54" s="155">
        <v>800</v>
      </c>
      <c r="R54" s="155">
        <v>100</v>
      </c>
      <c r="S54" s="155">
        <v>100</v>
      </c>
      <c r="T54" s="155">
        <v>0</v>
      </c>
      <c r="U54" s="155">
        <v>0</v>
      </c>
      <c r="V54" s="155">
        <v>0</v>
      </c>
      <c r="W54" s="155">
        <v>0</v>
      </c>
      <c r="X54" s="155">
        <v>0</v>
      </c>
      <c r="Y54" s="155">
        <v>0</v>
      </c>
      <c r="Z54" s="155">
        <v>0</v>
      </c>
      <c r="AA54" s="155">
        <v>0</v>
      </c>
      <c r="AB54" s="174" cm="1">
        <f t="array" ref="AB54">SUMPRODUCT(O54:AA54/SUM(O54:AA54),$O$4:$AA$4)</f>
        <v>0.83</v>
      </c>
      <c r="AC54" s="174"/>
      <c r="AD54" s="173"/>
      <c r="AE54" s="173"/>
    </row>
    <row r="55" spans="14:31" x14ac:dyDescent="0.3">
      <c r="N55" s="153" t="s">
        <v>166</v>
      </c>
      <c r="O55" s="155">
        <f t="shared" si="4"/>
        <v>8100</v>
      </c>
      <c r="P55" s="171">
        <v>800</v>
      </c>
      <c r="Q55" s="171">
        <v>700</v>
      </c>
      <c r="R55" s="171">
        <v>400</v>
      </c>
      <c r="S55" s="172">
        <v>0</v>
      </c>
      <c r="T55" s="172">
        <v>0</v>
      </c>
      <c r="U55" s="172">
        <v>0</v>
      </c>
      <c r="V55" s="172">
        <v>0</v>
      </c>
      <c r="W55" s="172">
        <v>0</v>
      </c>
      <c r="X55" s="172">
        <v>0</v>
      </c>
      <c r="Y55" s="172">
        <v>0</v>
      </c>
      <c r="Z55" s="172">
        <v>0</v>
      </c>
      <c r="AA55" s="172">
        <v>0</v>
      </c>
      <c r="AB55" s="174" cm="1">
        <f t="array" ref="AB55">SUMPRODUCT(O55:AA55/SUM(O55:AA55),$O$4:$AA$4)</f>
        <v>0.57000000000000006</v>
      </c>
      <c r="AC55" s="174"/>
      <c r="AD55" s="173"/>
      <c r="AE55" s="173"/>
    </row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30" hidden="1" x14ac:dyDescent="0.3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S68"/>
  <sheetViews>
    <sheetView topLeftCell="B1" workbookViewId="0">
      <selection activeCell="R9" sqref="R9:S9"/>
    </sheetView>
  </sheetViews>
  <sheetFormatPr defaultRowHeight="16.2" x14ac:dyDescent="0.3"/>
  <cols>
    <col min="1" max="1" width="8.88671875" style="24"/>
    <col min="2" max="2" width="27.109375" style="120" bestFit="1" customWidth="1"/>
    <col min="3" max="5" width="16.33203125" style="120" bestFit="1" customWidth="1"/>
    <col min="7" max="9" width="10.109375" style="24" customWidth="1"/>
    <col min="10" max="11" width="8.88671875" style="24"/>
    <col min="12" max="13" width="10.109375" style="24" customWidth="1"/>
    <col min="14" max="16384" width="8.88671875" style="24"/>
  </cols>
  <sheetData>
    <row r="3" spans="2:13" x14ac:dyDescent="0.3">
      <c r="B3" s="20" t="str" cm="1">
        <f t="array" ref="B3:B68">Multiplier_Weight_Oldhand!H14:H79</f>
        <v>Range</v>
      </c>
      <c r="C3" s="20" t="s">
        <v>247</v>
      </c>
      <c r="D3" s="20" t="s">
        <v>248</v>
      </c>
      <c r="E3" s="20" t="s">
        <v>249</v>
      </c>
    </row>
    <row r="4" spans="2:13" x14ac:dyDescent="0.3">
      <c r="B4" s="61" t="str">
        <v>(-1, 0]</v>
      </c>
      <c r="C4" s="155" cm="1">
        <f t="array" ref="C4:C68">Multiplier_Weight_Oldhand!L15:L79</f>
        <v>740278469</v>
      </c>
      <c r="D4" s="155" cm="1">
        <f t="array" ref="D4:D67">Multiplier_Weight_Oldhand!L87:L150</f>
        <v>0</v>
      </c>
      <c r="E4" s="155">
        <v>0</v>
      </c>
      <c r="G4" s="24">
        <v>736822</v>
      </c>
      <c r="H4" s="110" cm="1">
        <f t="array" ref="H4:H68">_xlfn.ANCHORARRAY(C4)/SUM(_xlfn.ANCHORARRAY(C4))</f>
        <v>0.74027846900000005</v>
      </c>
      <c r="I4" s="110" cm="1">
        <f t="array" ref="I4:I67">G4:G67/SUM(G4:G67)</f>
        <v>0.73858278135074018</v>
      </c>
      <c r="K4" s="24">
        <v>0</v>
      </c>
      <c r="L4" s="110" cm="1">
        <f t="array" ref="L4:L67">_xlfn.ANCHORARRAY(D4)/SUM(_xlfn.ANCHORARRAY(D4))</f>
        <v>0</v>
      </c>
      <c r="M4" s="110" cm="1">
        <f t="array" ref="M4:M67">K4:K67/SUM(K4:K67)</f>
        <v>0</v>
      </c>
    </row>
    <row r="5" spans="2:13" x14ac:dyDescent="0.3">
      <c r="B5" s="61" t="str">
        <v>(0, 1]</v>
      </c>
      <c r="C5" s="155">
        <v>168065068</v>
      </c>
      <c r="D5" s="155">
        <v>0</v>
      </c>
      <c r="E5" s="155">
        <v>0</v>
      </c>
      <c r="G5" s="24">
        <v>163592</v>
      </c>
      <c r="H5" s="110">
        <v>0.16806506800000001</v>
      </c>
      <c r="I5" s="110">
        <v>0.16398293531779762</v>
      </c>
      <c r="K5" s="24">
        <v>0</v>
      </c>
      <c r="L5" s="110">
        <v>0</v>
      </c>
      <c r="M5" s="110">
        <v>0</v>
      </c>
    </row>
    <row r="6" spans="2:13" x14ac:dyDescent="0.3">
      <c r="B6" s="61" t="str">
        <v>(1, 2]</v>
      </c>
      <c r="C6" s="155">
        <v>36253475</v>
      </c>
      <c r="D6" s="155">
        <v>0</v>
      </c>
      <c r="E6" s="155">
        <v>0</v>
      </c>
      <c r="G6" s="24">
        <v>37791</v>
      </c>
      <c r="H6" s="110">
        <v>3.6253475E-2</v>
      </c>
      <c r="I6" s="110">
        <v>3.7881309040753153E-2</v>
      </c>
      <c r="K6" s="24">
        <v>0</v>
      </c>
      <c r="L6" s="110">
        <v>0</v>
      </c>
      <c r="M6" s="110">
        <v>0</v>
      </c>
    </row>
    <row r="7" spans="2:13" x14ac:dyDescent="0.3">
      <c r="B7" s="61" t="str">
        <v>(2, 3]</v>
      </c>
      <c r="C7" s="155">
        <v>16477087</v>
      </c>
      <c r="D7" s="155">
        <v>0</v>
      </c>
      <c r="E7" s="155">
        <v>0</v>
      </c>
      <c r="G7" s="24">
        <v>17885</v>
      </c>
      <c r="H7" s="110">
        <v>1.6477087000000001E-2</v>
      </c>
      <c r="I7" s="110">
        <v>1.7927739731519943E-2</v>
      </c>
      <c r="K7" s="24">
        <v>0</v>
      </c>
      <c r="L7" s="110">
        <v>0</v>
      </c>
      <c r="M7" s="110">
        <v>0</v>
      </c>
    </row>
    <row r="8" spans="2:13" x14ac:dyDescent="0.3">
      <c r="B8" s="61" t="str">
        <v>(3, 4]</v>
      </c>
      <c r="C8" s="155">
        <v>7840052</v>
      </c>
      <c r="D8" s="155">
        <v>0</v>
      </c>
      <c r="E8" s="155">
        <v>0</v>
      </c>
      <c r="G8" s="24">
        <v>9293</v>
      </c>
      <c r="H8" s="110">
        <v>7.8400520000000001E-3</v>
      </c>
      <c r="I8" s="110">
        <v>9.3152074545716987E-3</v>
      </c>
      <c r="K8" s="24">
        <v>0</v>
      </c>
      <c r="L8" s="110">
        <v>0</v>
      </c>
      <c r="M8" s="110">
        <v>0</v>
      </c>
    </row>
    <row r="9" spans="2:13" x14ac:dyDescent="0.3">
      <c r="B9" s="61" t="str">
        <v>(4, 5]</v>
      </c>
      <c r="C9" s="155">
        <v>5404149</v>
      </c>
      <c r="D9" s="155">
        <v>0</v>
      </c>
      <c r="E9" s="155">
        <v>0</v>
      </c>
      <c r="G9" s="24">
        <v>6499</v>
      </c>
      <c r="H9" s="110">
        <v>5.4041489999999996E-3</v>
      </c>
      <c r="I9" s="110">
        <v>6.5145306410482589E-3</v>
      </c>
      <c r="K9" s="24">
        <v>0</v>
      </c>
      <c r="L9" s="110">
        <v>0</v>
      </c>
      <c r="M9" s="110">
        <v>0</v>
      </c>
    </row>
    <row r="10" spans="2:13" x14ac:dyDescent="0.3">
      <c r="B10" s="61" t="str">
        <v>(5, 6]</v>
      </c>
      <c r="C10" s="155">
        <v>4037019</v>
      </c>
      <c r="D10" s="155">
        <v>0</v>
      </c>
      <c r="E10" s="155">
        <v>0</v>
      </c>
      <c r="G10" s="24">
        <v>4989</v>
      </c>
      <c r="H10" s="110">
        <v>4.0370190000000002E-3</v>
      </c>
      <c r="I10" s="110">
        <v>5.0009221985212746E-3</v>
      </c>
      <c r="K10" s="24">
        <v>0</v>
      </c>
      <c r="L10" s="110">
        <v>0</v>
      </c>
      <c r="M10" s="110">
        <v>0</v>
      </c>
    </row>
    <row r="11" spans="2:13" x14ac:dyDescent="0.3">
      <c r="B11" s="61" t="str">
        <v>(6, 7]</v>
      </c>
      <c r="C11" s="155">
        <v>2596321</v>
      </c>
      <c r="D11" s="155">
        <v>0</v>
      </c>
      <c r="E11" s="155">
        <v>0</v>
      </c>
      <c r="G11" s="24">
        <v>3257</v>
      </c>
      <c r="H11" s="110">
        <v>2.596321E-3</v>
      </c>
      <c r="I11" s="110">
        <v>3.2647832432519124E-3</v>
      </c>
      <c r="K11" s="24">
        <v>0</v>
      </c>
      <c r="L11" s="110">
        <v>0</v>
      </c>
      <c r="M11" s="110">
        <v>0</v>
      </c>
    </row>
    <row r="12" spans="2:13" x14ac:dyDescent="0.3">
      <c r="B12" s="61" t="str">
        <v>(7, 8]</v>
      </c>
      <c r="C12" s="155">
        <v>2902852</v>
      </c>
      <c r="D12" s="155">
        <v>0</v>
      </c>
      <c r="E12" s="155">
        <v>0</v>
      </c>
      <c r="G12" s="24">
        <v>3707</v>
      </c>
      <c r="H12" s="110">
        <v>2.902852E-3</v>
      </c>
      <c r="I12" s="110">
        <v>3.7158586069188947E-3</v>
      </c>
      <c r="K12" s="24">
        <v>0</v>
      </c>
      <c r="L12" s="110">
        <v>0</v>
      </c>
      <c r="M12" s="110">
        <v>0</v>
      </c>
    </row>
    <row r="13" spans="2:13" x14ac:dyDescent="0.3">
      <c r="B13" s="61" t="str">
        <v>(8, 9]</v>
      </c>
      <c r="C13" s="155">
        <v>1921952</v>
      </c>
      <c r="D13" s="155">
        <v>0</v>
      </c>
      <c r="E13" s="155">
        <v>0</v>
      </c>
      <c r="G13" s="24">
        <v>2522</v>
      </c>
      <c r="H13" s="110">
        <v>1.921952E-3</v>
      </c>
      <c r="I13" s="110">
        <v>2.528026815929175E-3</v>
      </c>
      <c r="K13" s="24">
        <v>0</v>
      </c>
      <c r="L13" s="110">
        <v>0</v>
      </c>
      <c r="M13" s="110">
        <v>0</v>
      </c>
    </row>
    <row r="14" spans="2:13" x14ac:dyDescent="0.3">
      <c r="B14" s="61" t="str">
        <v>(9, 10]</v>
      </c>
      <c r="C14" s="155">
        <v>1837145</v>
      </c>
      <c r="D14" s="155">
        <v>0</v>
      </c>
      <c r="E14" s="155">
        <v>0</v>
      </c>
      <c r="G14" s="24">
        <v>2673</v>
      </c>
      <c r="H14" s="110">
        <v>1.8371450000000001E-3</v>
      </c>
      <c r="I14" s="110">
        <v>2.6793876601818737E-3</v>
      </c>
      <c r="K14" s="24">
        <v>0</v>
      </c>
      <c r="L14" s="110">
        <v>0</v>
      </c>
      <c r="M14" s="110">
        <v>0</v>
      </c>
    </row>
    <row r="15" spans="2:13" x14ac:dyDescent="0.3">
      <c r="B15" s="61" t="str">
        <v>(10, 15]</v>
      </c>
      <c r="C15" s="155">
        <v>6120411</v>
      </c>
      <c r="D15" s="155">
        <v>0</v>
      </c>
      <c r="E15" s="155">
        <v>0</v>
      </c>
      <c r="G15" s="24">
        <v>8535</v>
      </c>
      <c r="H15" s="110">
        <v>6.1204110000000001E-3</v>
      </c>
      <c r="I15" s="110">
        <v>8.5553960642170933E-3</v>
      </c>
      <c r="K15" s="24">
        <v>0</v>
      </c>
      <c r="L15" s="110">
        <v>0</v>
      </c>
      <c r="M15" s="110">
        <v>0</v>
      </c>
    </row>
    <row r="16" spans="2:13" x14ac:dyDescent="0.3">
      <c r="B16" s="124" t="str">
        <v>(15, 20]</v>
      </c>
      <c r="C16" s="155">
        <v>0</v>
      </c>
      <c r="D16" s="155">
        <v>0</v>
      </c>
      <c r="E16" s="155">
        <v>0</v>
      </c>
      <c r="G16" s="24">
        <v>7</v>
      </c>
      <c r="H16" s="110">
        <v>0</v>
      </c>
      <c r="I16" s="110">
        <v>7.016727879264166E-6</v>
      </c>
      <c r="K16" s="24">
        <v>0</v>
      </c>
      <c r="L16" s="110">
        <v>0</v>
      </c>
      <c r="M16" s="110">
        <v>0</v>
      </c>
    </row>
    <row r="17" spans="2:19" x14ac:dyDescent="0.3">
      <c r="B17" s="61" t="str">
        <v>(20, 25]</v>
      </c>
      <c r="C17" s="155">
        <v>0</v>
      </c>
      <c r="D17" s="155">
        <v>0</v>
      </c>
      <c r="E17" s="155">
        <v>0</v>
      </c>
      <c r="G17" s="24">
        <v>4</v>
      </c>
      <c r="H17" s="110">
        <v>0</v>
      </c>
      <c r="I17" s="110">
        <v>4.009558788150952E-6</v>
      </c>
      <c r="K17" s="24">
        <v>0</v>
      </c>
      <c r="L17" s="110">
        <v>0</v>
      </c>
      <c r="M17" s="110">
        <v>0</v>
      </c>
    </row>
    <row r="18" spans="2:19" x14ac:dyDescent="0.3">
      <c r="B18" s="61" t="str">
        <v>(25, 30]</v>
      </c>
      <c r="C18" s="155">
        <v>0</v>
      </c>
      <c r="D18" s="155">
        <v>0</v>
      </c>
      <c r="E18" s="155">
        <v>0</v>
      </c>
      <c r="G18" s="24">
        <v>5</v>
      </c>
      <c r="H18" s="110">
        <v>0</v>
      </c>
      <c r="I18" s="110">
        <v>5.01194848518869E-6</v>
      </c>
      <c r="K18" s="24">
        <v>0</v>
      </c>
      <c r="L18" s="110">
        <v>0</v>
      </c>
      <c r="M18" s="110">
        <v>0</v>
      </c>
    </row>
    <row r="19" spans="2:19" x14ac:dyDescent="0.3">
      <c r="B19" s="61" t="str">
        <v>(30, 35]</v>
      </c>
      <c r="C19" s="155">
        <v>0</v>
      </c>
      <c r="D19" s="155">
        <v>0</v>
      </c>
      <c r="E19" s="155">
        <v>0</v>
      </c>
      <c r="G19" s="24">
        <v>6</v>
      </c>
      <c r="H19" s="110">
        <v>0</v>
      </c>
      <c r="I19" s="110">
        <v>6.014338182226428E-6</v>
      </c>
      <c r="K19" s="24">
        <v>0</v>
      </c>
      <c r="L19" s="110">
        <v>0</v>
      </c>
      <c r="M19" s="110">
        <v>0</v>
      </c>
    </row>
    <row r="20" spans="2:19" x14ac:dyDescent="0.3">
      <c r="B20" s="124" t="str">
        <v>(35, 40]</v>
      </c>
      <c r="C20" s="155">
        <v>0</v>
      </c>
      <c r="D20" s="155">
        <v>0</v>
      </c>
      <c r="E20" s="155">
        <v>0</v>
      </c>
      <c r="G20" s="24">
        <v>5</v>
      </c>
      <c r="H20" s="110">
        <v>0</v>
      </c>
      <c r="I20" s="110">
        <v>5.01194848518869E-6</v>
      </c>
      <c r="K20" s="24">
        <v>0</v>
      </c>
      <c r="L20" s="110">
        <v>0</v>
      </c>
      <c r="M20" s="110">
        <v>0</v>
      </c>
      <c r="R20" s="24">
        <f>1/0.00307</f>
        <v>325.73289902280135</v>
      </c>
    </row>
    <row r="21" spans="2:19" x14ac:dyDescent="0.3">
      <c r="B21" s="61" t="str">
        <v>(40, 45]</v>
      </c>
      <c r="C21" s="155">
        <v>0</v>
      </c>
      <c r="D21" s="155">
        <v>0</v>
      </c>
      <c r="E21" s="155">
        <v>0</v>
      </c>
      <c r="G21" s="24">
        <v>2</v>
      </c>
      <c r="H21" s="110">
        <v>0</v>
      </c>
      <c r="I21" s="110">
        <v>2.004779394075476E-6</v>
      </c>
      <c r="K21" s="24">
        <v>0</v>
      </c>
      <c r="L21" s="110">
        <v>0</v>
      </c>
      <c r="M21" s="110">
        <v>0</v>
      </c>
      <c r="R21" s="24">
        <f>1/0.002346</f>
        <v>426.25745950554136</v>
      </c>
      <c r="S21" s="120">
        <f>1000000000/C68</f>
        <v>159.59144589849984</v>
      </c>
    </row>
    <row r="22" spans="2:19" x14ac:dyDescent="0.3">
      <c r="B22" s="61" t="str">
        <v>(45, 50]</v>
      </c>
      <c r="C22" s="155">
        <v>0</v>
      </c>
      <c r="D22" s="155">
        <v>23684215</v>
      </c>
      <c r="E22" s="155">
        <v>0</v>
      </c>
      <c r="G22" s="24">
        <v>2</v>
      </c>
      <c r="H22" s="110">
        <v>0</v>
      </c>
      <c r="I22" s="110">
        <v>2.004779394075476E-6</v>
      </c>
      <c r="K22" s="24">
        <v>21</v>
      </c>
      <c r="L22" s="110">
        <v>2.3684215000000002E-2</v>
      </c>
      <c r="M22" s="110">
        <v>8.724553385957623E-3</v>
      </c>
    </row>
    <row r="23" spans="2:19" x14ac:dyDescent="0.3">
      <c r="B23" s="124" t="str">
        <v>(50, 60]</v>
      </c>
      <c r="C23" s="155">
        <v>0</v>
      </c>
      <c r="D23" s="155">
        <v>55263157</v>
      </c>
      <c r="E23" s="155">
        <v>0</v>
      </c>
      <c r="G23" s="24">
        <v>6</v>
      </c>
      <c r="H23" s="110">
        <v>0</v>
      </c>
      <c r="I23" s="110">
        <v>6.014338182226428E-6</v>
      </c>
      <c r="K23" s="24">
        <v>68</v>
      </c>
      <c r="L23" s="110">
        <v>5.5263157E-2</v>
      </c>
      <c r="M23" s="110">
        <v>2.8250934773577065E-2</v>
      </c>
    </row>
    <row r="24" spans="2:19" x14ac:dyDescent="0.3">
      <c r="B24" s="61" t="str">
        <v>(60, 70]</v>
      </c>
      <c r="C24" s="155">
        <v>0</v>
      </c>
      <c r="D24" s="155">
        <v>59210526</v>
      </c>
      <c r="E24" s="155">
        <v>0</v>
      </c>
      <c r="G24" s="24">
        <v>3</v>
      </c>
      <c r="H24" s="110">
        <v>0</v>
      </c>
      <c r="I24" s="110">
        <v>3.007169091113214E-6</v>
      </c>
      <c r="K24" s="24">
        <v>64</v>
      </c>
      <c r="L24" s="110">
        <v>5.9210525999999999E-2</v>
      </c>
      <c r="M24" s="110">
        <v>2.658911508101371E-2</v>
      </c>
    </row>
    <row r="25" spans="2:19" x14ac:dyDescent="0.3">
      <c r="B25" s="61" t="str">
        <v>(70, 80]</v>
      </c>
      <c r="C25" s="155">
        <v>0</v>
      </c>
      <c r="D25" s="155">
        <v>68421052</v>
      </c>
      <c r="E25" s="155">
        <v>0</v>
      </c>
      <c r="G25" s="24">
        <v>1</v>
      </c>
      <c r="H25" s="110">
        <v>0</v>
      </c>
      <c r="I25" s="110">
        <v>1.002389697037738E-6</v>
      </c>
      <c r="K25" s="24">
        <v>75</v>
      </c>
      <c r="L25" s="110">
        <v>6.8421051999999996E-2</v>
      </c>
      <c r="M25" s="110">
        <v>3.115911923556294E-2</v>
      </c>
    </row>
    <row r="26" spans="2:19" x14ac:dyDescent="0.3">
      <c r="B26" s="61" t="str">
        <v>(80, 90]</v>
      </c>
      <c r="C26" s="155">
        <v>0</v>
      </c>
      <c r="D26" s="155">
        <v>73684210</v>
      </c>
      <c r="E26" s="155">
        <v>0</v>
      </c>
      <c r="G26" s="24">
        <v>2</v>
      </c>
      <c r="H26" s="110">
        <v>0</v>
      </c>
      <c r="I26" s="110">
        <v>2.004779394075476E-6</v>
      </c>
      <c r="K26" s="24">
        <v>86</v>
      </c>
      <c r="L26" s="110">
        <v>7.368421E-2</v>
      </c>
      <c r="M26" s="110">
        <v>3.5729123390112173E-2</v>
      </c>
    </row>
    <row r="27" spans="2:19" x14ac:dyDescent="0.3">
      <c r="B27" s="61" t="str">
        <v>(90, 100]</v>
      </c>
      <c r="C27" s="155">
        <v>0</v>
      </c>
      <c r="D27" s="155">
        <v>61842105</v>
      </c>
      <c r="E27" s="155">
        <v>1000000000</v>
      </c>
      <c r="G27" s="24">
        <v>0</v>
      </c>
      <c r="H27" s="110">
        <v>0</v>
      </c>
      <c r="I27" s="110">
        <v>0</v>
      </c>
      <c r="K27" s="24">
        <v>85</v>
      </c>
      <c r="L27" s="110">
        <v>6.1842105000000001E-2</v>
      </c>
      <c r="M27" s="110">
        <v>3.5313668466971336E-2</v>
      </c>
    </row>
    <row r="28" spans="2:19" x14ac:dyDescent="0.3">
      <c r="B28" s="61" t="str">
        <v>(100, 120]</v>
      </c>
      <c r="C28" s="155">
        <v>0</v>
      </c>
      <c r="D28" s="155">
        <v>139473684</v>
      </c>
      <c r="E28" s="155">
        <v>0</v>
      </c>
      <c r="G28" s="24">
        <v>2</v>
      </c>
      <c r="H28" s="110">
        <v>0</v>
      </c>
      <c r="I28" s="110">
        <v>2.004779394075476E-6</v>
      </c>
      <c r="K28" s="24">
        <v>407</v>
      </c>
      <c r="L28" s="110">
        <v>0.13947368399999999</v>
      </c>
      <c r="M28" s="110">
        <v>0.16909015371832156</v>
      </c>
    </row>
    <row r="29" spans="2:19" x14ac:dyDescent="0.3">
      <c r="B29" s="61" t="str">
        <v>(120, 140]</v>
      </c>
      <c r="C29" s="155">
        <v>0</v>
      </c>
      <c r="D29" s="155">
        <v>136842105</v>
      </c>
      <c r="E29" s="155">
        <v>0</v>
      </c>
      <c r="G29" s="24">
        <v>2</v>
      </c>
      <c r="H29" s="110">
        <v>0</v>
      </c>
      <c r="I29" s="110">
        <v>2.004779394075476E-6</v>
      </c>
      <c r="K29" s="24">
        <v>396</v>
      </c>
      <c r="L29" s="110">
        <v>0.13684210499999999</v>
      </c>
      <c r="M29" s="110">
        <v>0.16452014956377234</v>
      </c>
    </row>
    <row r="30" spans="2:19" x14ac:dyDescent="0.3">
      <c r="B30" s="61" t="str">
        <v>(140, 160]</v>
      </c>
      <c r="C30" s="155">
        <v>0</v>
      </c>
      <c r="D30" s="155">
        <v>135526315</v>
      </c>
      <c r="E30" s="155">
        <v>0</v>
      </c>
      <c r="G30" s="24">
        <v>1</v>
      </c>
      <c r="H30" s="110">
        <v>0</v>
      </c>
      <c r="I30" s="110">
        <v>1.002389697037738E-6</v>
      </c>
      <c r="K30" s="24">
        <v>415</v>
      </c>
      <c r="L30" s="110">
        <v>0.13552631500000001</v>
      </c>
      <c r="M30" s="110">
        <v>0.17241379310344829</v>
      </c>
    </row>
    <row r="31" spans="2:19" x14ac:dyDescent="0.3">
      <c r="B31" s="61" t="str">
        <v>(160, 180]</v>
      </c>
      <c r="C31" s="155">
        <v>0</v>
      </c>
      <c r="D31" s="155">
        <v>136842105</v>
      </c>
      <c r="E31" s="155">
        <v>0</v>
      </c>
      <c r="G31" s="24">
        <v>0</v>
      </c>
      <c r="H31" s="110">
        <v>0</v>
      </c>
      <c r="I31" s="110">
        <v>0</v>
      </c>
      <c r="K31" s="24">
        <v>406</v>
      </c>
      <c r="L31" s="110">
        <v>0.13684210499999999</v>
      </c>
      <c r="M31" s="110">
        <v>0.16867469879518071</v>
      </c>
    </row>
    <row r="32" spans="2:19" x14ac:dyDescent="0.3">
      <c r="B32" s="61" t="str">
        <v>(180, 200]</v>
      </c>
      <c r="C32" s="155">
        <v>0</v>
      </c>
      <c r="D32" s="155">
        <v>109210526</v>
      </c>
      <c r="E32" s="155">
        <v>0</v>
      </c>
      <c r="G32" s="24">
        <v>1</v>
      </c>
      <c r="H32" s="110">
        <v>0</v>
      </c>
      <c r="I32" s="110">
        <v>1.002389697037738E-6</v>
      </c>
      <c r="K32" s="24">
        <v>384</v>
      </c>
      <c r="L32" s="110">
        <v>0.109210526</v>
      </c>
      <c r="M32" s="110">
        <v>0.15953469048608226</v>
      </c>
    </row>
    <row r="33" spans="2:13" x14ac:dyDescent="0.3">
      <c r="B33" s="61" t="str">
        <v>(200, 250]</v>
      </c>
      <c r="C33" s="155">
        <v>0</v>
      </c>
      <c r="D33" s="155">
        <v>0</v>
      </c>
      <c r="E33" s="155">
        <v>0</v>
      </c>
      <c r="G33" s="24">
        <v>1</v>
      </c>
      <c r="H33" s="110">
        <v>0</v>
      </c>
      <c r="I33" s="110">
        <v>1.002389697037738E-6</v>
      </c>
      <c r="K33" s="24">
        <v>0</v>
      </c>
      <c r="L33" s="110">
        <v>0</v>
      </c>
      <c r="M33" s="110">
        <v>0</v>
      </c>
    </row>
    <row r="34" spans="2:13" x14ac:dyDescent="0.3">
      <c r="B34" s="61" t="str">
        <v>(250, 300]</v>
      </c>
      <c r="C34" s="155">
        <v>0</v>
      </c>
      <c r="D34" s="155">
        <v>0</v>
      </c>
      <c r="E34" s="155">
        <v>0</v>
      </c>
      <c r="G34" s="24">
        <v>0</v>
      </c>
      <c r="H34" s="110">
        <v>0</v>
      </c>
      <c r="I34" s="110">
        <v>0</v>
      </c>
      <c r="K34" s="24">
        <v>0</v>
      </c>
      <c r="L34" s="110">
        <v>0</v>
      </c>
      <c r="M34" s="110">
        <v>0</v>
      </c>
    </row>
    <row r="35" spans="2:13" x14ac:dyDescent="0.3">
      <c r="B35" s="61" t="str">
        <v>(300, 350]</v>
      </c>
      <c r="C35" s="155">
        <v>0</v>
      </c>
      <c r="D35" s="155">
        <v>0</v>
      </c>
      <c r="E35" s="155">
        <v>0</v>
      </c>
      <c r="G35" s="24">
        <v>0</v>
      </c>
      <c r="H35" s="110">
        <v>0</v>
      </c>
      <c r="I35" s="110">
        <v>0</v>
      </c>
      <c r="K35" s="24">
        <v>0</v>
      </c>
      <c r="L35" s="110">
        <v>0</v>
      </c>
      <c r="M35" s="110">
        <v>0</v>
      </c>
    </row>
    <row r="36" spans="2:13" x14ac:dyDescent="0.3">
      <c r="B36" s="61" t="str">
        <v>(350, 400]</v>
      </c>
      <c r="C36" s="155">
        <v>0</v>
      </c>
      <c r="D36" s="155">
        <v>0</v>
      </c>
      <c r="E36" s="155">
        <v>0</v>
      </c>
      <c r="G36" s="24">
        <v>0</v>
      </c>
      <c r="H36" s="110">
        <v>0</v>
      </c>
      <c r="I36" s="110">
        <v>0</v>
      </c>
      <c r="K36" s="24">
        <v>0</v>
      </c>
      <c r="L36" s="110">
        <v>0</v>
      </c>
      <c r="M36" s="110">
        <v>0</v>
      </c>
    </row>
    <row r="37" spans="2:13" x14ac:dyDescent="0.3">
      <c r="B37" s="61" t="str">
        <v>(400, 450]</v>
      </c>
      <c r="C37" s="155">
        <v>0</v>
      </c>
      <c r="D37" s="155">
        <v>0</v>
      </c>
      <c r="E37" s="155">
        <v>0</v>
      </c>
      <c r="G37" s="24">
        <v>0</v>
      </c>
      <c r="H37" s="110">
        <v>0</v>
      </c>
      <c r="I37" s="110">
        <v>0</v>
      </c>
      <c r="K37" s="24">
        <v>0</v>
      </c>
      <c r="L37" s="110">
        <v>0</v>
      </c>
      <c r="M37" s="110">
        <v>0</v>
      </c>
    </row>
    <row r="38" spans="2:13" x14ac:dyDescent="0.3">
      <c r="B38" s="61" t="str">
        <v>(450, 500]</v>
      </c>
      <c r="C38" s="155">
        <v>0</v>
      </c>
      <c r="D38" s="155">
        <v>0</v>
      </c>
      <c r="E38" s="155">
        <v>0</v>
      </c>
      <c r="G38" s="24">
        <v>0</v>
      </c>
      <c r="H38" s="110">
        <v>0</v>
      </c>
      <c r="I38" s="110">
        <v>0</v>
      </c>
      <c r="K38" s="24">
        <v>0</v>
      </c>
      <c r="L38" s="110">
        <v>0</v>
      </c>
      <c r="M38" s="110">
        <v>0</v>
      </c>
    </row>
    <row r="39" spans="2:13" x14ac:dyDescent="0.3">
      <c r="B39" s="61" t="str">
        <v>(500, 550]</v>
      </c>
      <c r="C39" s="155">
        <v>0</v>
      </c>
      <c r="D39" s="155">
        <v>0</v>
      </c>
      <c r="E39" s="155">
        <v>0</v>
      </c>
      <c r="G39" s="24">
        <v>0</v>
      </c>
      <c r="H39" s="110">
        <v>0</v>
      </c>
      <c r="I39" s="110">
        <v>0</v>
      </c>
      <c r="K39" s="24">
        <v>0</v>
      </c>
      <c r="L39" s="110">
        <v>0</v>
      </c>
      <c r="M39" s="110">
        <v>0</v>
      </c>
    </row>
    <row r="40" spans="2:13" x14ac:dyDescent="0.3">
      <c r="B40" s="61" t="str">
        <v>(550, 600]</v>
      </c>
      <c r="C40" s="155">
        <v>0</v>
      </c>
      <c r="D40" s="155">
        <v>0</v>
      </c>
      <c r="E40" s="155">
        <v>0</v>
      </c>
      <c r="G40" s="24">
        <v>0</v>
      </c>
      <c r="H40" s="110">
        <v>0</v>
      </c>
      <c r="I40" s="110">
        <v>0</v>
      </c>
      <c r="K40" s="24">
        <v>0</v>
      </c>
      <c r="L40" s="110">
        <v>0</v>
      </c>
      <c r="M40" s="110">
        <v>0</v>
      </c>
    </row>
    <row r="41" spans="2:13" x14ac:dyDescent="0.3">
      <c r="B41" s="61" t="str">
        <v>(600, 650]</v>
      </c>
      <c r="C41" s="155">
        <v>0</v>
      </c>
      <c r="D41" s="155">
        <v>0</v>
      </c>
      <c r="E41" s="155">
        <v>0</v>
      </c>
      <c r="G41" s="24">
        <v>0</v>
      </c>
      <c r="H41" s="110">
        <v>0</v>
      </c>
      <c r="I41" s="110">
        <v>0</v>
      </c>
      <c r="K41" s="24">
        <v>0</v>
      </c>
      <c r="L41" s="110">
        <v>0</v>
      </c>
      <c r="M41" s="110">
        <v>0</v>
      </c>
    </row>
    <row r="42" spans="2:13" x14ac:dyDescent="0.3">
      <c r="B42" s="61" t="str">
        <v>(650, 700]</v>
      </c>
      <c r="C42" s="155">
        <v>0</v>
      </c>
      <c r="D42" s="155">
        <v>0</v>
      </c>
      <c r="E42" s="155">
        <v>0</v>
      </c>
      <c r="G42" s="24">
        <v>1</v>
      </c>
      <c r="H42" s="110">
        <v>0</v>
      </c>
      <c r="I42" s="110">
        <v>1.002389697037738E-6</v>
      </c>
      <c r="K42" s="24">
        <v>0</v>
      </c>
      <c r="L42" s="110">
        <v>0</v>
      </c>
      <c r="M42" s="110">
        <v>0</v>
      </c>
    </row>
    <row r="43" spans="2:13" x14ac:dyDescent="0.3">
      <c r="B43" s="61" t="str">
        <v>(700, 750]</v>
      </c>
      <c r="C43" s="155">
        <v>0</v>
      </c>
      <c r="D43" s="155">
        <v>0</v>
      </c>
      <c r="E43" s="155">
        <v>0</v>
      </c>
      <c r="G43" s="24">
        <v>0</v>
      </c>
      <c r="H43" s="110">
        <v>0</v>
      </c>
      <c r="I43" s="110">
        <v>0</v>
      </c>
      <c r="K43" s="24">
        <v>0</v>
      </c>
      <c r="L43" s="110">
        <v>0</v>
      </c>
      <c r="M43" s="110">
        <v>0</v>
      </c>
    </row>
    <row r="44" spans="2:13" x14ac:dyDescent="0.3">
      <c r="B44" s="61" t="str">
        <v>(750, 800]</v>
      </c>
      <c r="C44" s="155">
        <v>0</v>
      </c>
      <c r="D44" s="155">
        <v>0</v>
      </c>
      <c r="E44" s="155">
        <v>0</v>
      </c>
      <c r="G44" s="24">
        <v>0</v>
      </c>
      <c r="H44" s="110">
        <v>0</v>
      </c>
      <c r="I44" s="110">
        <v>0</v>
      </c>
      <c r="K44" s="24">
        <v>0</v>
      </c>
      <c r="L44" s="110">
        <v>0</v>
      </c>
      <c r="M44" s="110">
        <v>0</v>
      </c>
    </row>
    <row r="45" spans="2:13" x14ac:dyDescent="0.3">
      <c r="B45" s="61" t="str">
        <v>(800, 850]</v>
      </c>
      <c r="C45" s="155">
        <v>0</v>
      </c>
      <c r="D45" s="155">
        <v>0</v>
      </c>
      <c r="E45" s="155">
        <v>0</v>
      </c>
      <c r="G45" s="24">
        <v>0</v>
      </c>
      <c r="H45" s="110">
        <v>0</v>
      </c>
      <c r="I45" s="110">
        <v>0</v>
      </c>
      <c r="K45" s="24">
        <v>0</v>
      </c>
      <c r="L45" s="110">
        <v>0</v>
      </c>
      <c r="M45" s="110">
        <v>0</v>
      </c>
    </row>
    <row r="46" spans="2:13" x14ac:dyDescent="0.3">
      <c r="B46" s="61" t="str">
        <v>(850, 900]</v>
      </c>
      <c r="C46" s="155">
        <v>0</v>
      </c>
      <c r="D46" s="155">
        <v>0</v>
      </c>
      <c r="E46" s="155">
        <v>0</v>
      </c>
      <c r="G46" s="24">
        <v>0</v>
      </c>
      <c r="H46" s="110">
        <v>0</v>
      </c>
      <c r="I46" s="110">
        <v>0</v>
      </c>
      <c r="K46" s="24">
        <v>0</v>
      </c>
      <c r="L46" s="110">
        <v>0</v>
      </c>
      <c r="M46" s="110">
        <v>0</v>
      </c>
    </row>
    <row r="47" spans="2:13" x14ac:dyDescent="0.3">
      <c r="B47" s="61" t="str">
        <v>(900, 950]</v>
      </c>
      <c r="C47" s="155">
        <v>0</v>
      </c>
      <c r="D47" s="155">
        <v>0</v>
      </c>
      <c r="E47" s="155">
        <v>0</v>
      </c>
      <c r="G47" s="24">
        <v>0</v>
      </c>
      <c r="H47" s="110">
        <v>0</v>
      </c>
      <c r="I47" s="110">
        <v>0</v>
      </c>
      <c r="K47" s="24">
        <v>0</v>
      </c>
      <c r="L47" s="110">
        <v>0</v>
      </c>
      <c r="M47" s="110">
        <v>0</v>
      </c>
    </row>
    <row r="48" spans="2:13" x14ac:dyDescent="0.3">
      <c r="B48" s="61" t="str">
        <v>(950, 1000]</v>
      </c>
      <c r="C48" s="155">
        <v>0</v>
      </c>
      <c r="D48" s="155">
        <v>0</v>
      </c>
      <c r="E48" s="155">
        <v>0</v>
      </c>
      <c r="G48" s="24">
        <v>0</v>
      </c>
      <c r="H48" s="110">
        <v>0</v>
      </c>
      <c r="I48" s="110">
        <v>0</v>
      </c>
      <c r="K48" s="24">
        <v>0</v>
      </c>
      <c r="L48" s="110">
        <v>0</v>
      </c>
      <c r="M48" s="110">
        <v>0</v>
      </c>
    </row>
    <row r="49" spans="2:13" x14ac:dyDescent="0.3">
      <c r="B49" s="61" t="str">
        <v>(1000, 2000]</v>
      </c>
      <c r="C49" s="155">
        <v>0</v>
      </c>
      <c r="D49" s="155">
        <v>0</v>
      </c>
      <c r="E49" s="155">
        <v>0</v>
      </c>
      <c r="G49" s="24">
        <v>0</v>
      </c>
      <c r="H49" s="110">
        <v>0</v>
      </c>
      <c r="I49" s="110">
        <v>0</v>
      </c>
      <c r="K49" s="24">
        <v>0</v>
      </c>
      <c r="L49" s="110">
        <v>0</v>
      </c>
      <c r="M49" s="110">
        <v>0</v>
      </c>
    </row>
    <row r="50" spans="2:13" x14ac:dyDescent="0.3">
      <c r="B50" s="61" t="str">
        <v>(2000, 3000]</v>
      </c>
      <c r="C50" s="155">
        <v>0</v>
      </c>
      <c r="D50" s="155">
        <v>0</v>
      </c>
      <c r="E50" s="155">
        <v>0</v>
      </c>
      <c r="G50" s="24">
        <v>0</v>
      </c>
      <c r="H50" s="110">
        <v>0</v>
      </c>
      <c r="I50" s="110">
        <v>0</v>
      </c>
      <c r="K50" s="24">
        <v>0</v>
      </c>
      <c r="L50" s="110">
        <v>0</v>
      </c>
      <c r="M50" s="110">
        <v>0</v>
      </c>
    </row>
    <row r="51" spans="2:13" x14ac:dyDescent="0.3">
      <c r="B51" s="61" t="str">
        <v>(3000, 4000]</v>
      </c>
      <c r="C51" s="155">
        <v>0</v>
      </c>
      <c r="D51" s="155">
        <v>0</v>
      </c>
      <c r="E51" s="155">
        <v>0</v>
      </c>
      <c r="G51" s="24">
        <v>0</v>
      </c>
      <c r="H51" s="110">
        <v>0</v>
      </c>
      <c r="I51" s="110">
        <v>0</v>
      </c>
      <c r="K51" s="24">
        <v>0</v>
      </c>
      <c r="L51" s="110">
        <v>0</v>
      </c>
      <c r="M51" s="110">
        <v>0</v>
      </c>
    </row>
    <row r="52" spans="2:13" x14ac:dyDescent="0.3">
      <c r="B52" s="61" t="str">
        <v>(4000, 5000]</v>
      </c>
      <c r="C52" s="155">
        <v>0</v>
      </c>
      <c r="D52" s="155">
        <v>0</v>
      </c>
      <c r="E52" s="155">
        <v>0</v>
      </c>
      <c r="G52" s="24">
        <v>0</v>
      </c>
      <c r="H52" s="110">
        <v>0</v>
      </c>
      <c r="I52" s="110">
        <v>0</v>
      </c>
      <c r="K52" s="24">
        <v>0</v>
      </c>
      <c r="L52" s="110">
        <v>0</v>
      </c>
      <c r="M52" s="110">
        <v>0</v>
      </c>
    </row>
    <row r="53" spans="2:13" x14ac:dyDescent="0.3">
      <c r="B53" s="61" t="str">
        <v>(5000, 6000]</v>
      </c>
      <c r="C53" s="155">
        <v>0</v>
      </c>
      <c r="D53" s="155">
        <v>0</v>
      </c>
      <c r="E53" s="155">
        <v>0</v>
      </c>
      <c r="G53" s="24">
        <v>0</v>
      </c>
      <c r="H53" s="110">
        <v>0</v>
      </c>
      <c r="I53" s="110">
        <v>0</v>
      </c>
      <c r="K53" s="24">
        <v>0</v>
      </c>
      <c r="L53" s="110">
        <v>0</v>
      </c>
      <c r="M53" s="110">
        <v>0</v>
      </c>
    </row>
    <row r="54" spans="2:13" x14ac:dyDescent="0.3">
      <c r="B54" s="61" t="str">
        <v>(6000, 7000]</v>
      </c>
      <c r="C54" s="155">
        <v>0</v>
      </c>
      <c r="D54" s="155">
        <v>0</v>
      </c>
      <c r="E54" s="155">
        <v>0</v>
      </c>
      <c r="G54" s="24">
        <v>0</v>
      </c>
      <c r="H54" s="110">
        <v>0</v>
      </c>
      <c r="I54" s="110">
        <v>0</v>
      </c>
      <c r="K54" s="24">
        <v>0</v>
      </c>
      <c r="L54" s="110">
        <v>0</v>
      </c>
      <c r="M54" s="110">
        <v>0</v>
      </c>
    </row>
    <row r="55" spans="2:13" x14ac:dyDescent="0.3">
      <c r="B55" s="61" t="str">
        <v>(7000, 8000]</v>
      </c>
      <c r="C55" s="155">
        <v>0</v>
      </c>
      <c r="D55" s="155">
        <v>0</v>
      </c>
      <c r="E55" s="155">
        <v>0</v>
      </c>
      <c r="G55" s="24">
        <v>0</v>
      </c>
      <c r="H55" s="110">
        <v>0</v>
      </c>
      <c r="I55" s="110">
        <v>0</v>
      </c>
      <c r="K55" s="24">
        <v>0</v>
      </c>
      <c r="L55" s="110">
        <v>0</v>
      </c>
      <c r="M55" s="110">
        <v>0</v>
      </c>
    </row>
    <row r="56" spans="2:13" x14ac:dyDescent="0.3">
      <c r="B56" s="61" t="str">
        <v>(8000, 9000]</v>
      </c>
      <c r="C56" s="155">
        <v>0</v>
      </c>
      <c r="D56" s="155">
        <v>0</v>
      </c>
      <c r="E56" s="155">
        <v>0</v>
      </c>
      <c r="G56" s="24">
        <v>0</v>
      </c>
      <c r="H56" s="110">
        <v>0</v>
      </c>
      <c r="I56" s="110">
        <v>0</v>
      </c>
      <c r="K56" s="24">
        <v>0</v>
      </c>
      <c r="L56" s="110">
        <v>0</v>
      </c>
      <c r="M56" s="110">
        <v>0</v>
      </c>
    </row>
    <row r="57" spans="2:13" x14ac:dyDescent="0.3">
      <c r="B57" s="61" t="str">
        <v>(9000, 10000]</v>
      </c>
      <c r="C57" s="155">
        <v>0</v>
      </c>
      <c r="D57" s="155">
        <v>0</v>
      </c>
      <c r="E57" s="155">
        <v>0</v>
      </c>
      <c r="G57" s="24">
        <v>0</v>
      </c>
      <c r="H57" s="110">
        <v>0</v>
      </c>
      <c r="I57" s="110">
        <v>0</v>
      </c>
      <c r="K57" s="24">
        <v>0</v>
      </c>
      <c r="L57" s="110">
        <v>0</v>
      </c>
      <c r="M57" s="110">
        <v>0</v>
      </c>
    </row>
    <row r="58" spans="2:13" x14ac:dyDescent="0.3">
      <c r="B58" s="61" t="str">
        <v>(10000, 20000]</v>
      </c>
      <c r="C58" s="155">
        <v>0</v>
      </c>
      <c r="D58" s="155">
        <v>0</v>
      </c>
      <c r="E58" s="155">
        <v>0</v>
      </c>
      <c r="G58" s="24">
        <v>0</v>
      </c>
      <c r="H58" s="110">
        <v>0</v>
      </c>
      <c r="I58" s="110">
        <v>0</v>
      </c>
      <c r="K58" s="24">
        <v>0</v>
      </c>
      <c r="L58" s="110">
        <v>0</v>
      </c>
      <c r="M58" s="110">
        <v>0</v>
      </c>
    </row>
    <row r="59" spans="2:13" x14ac:dyDescent="0.3">
      <c r="B59" s="61" t="str">
        <v>(20000, 30000]</v>
      </c>
      <c r="C59" s="155">
        <v>0</v>
      </c>
      <c r="D59" s="155">
        <v>0</v>
      </c>
      <c r="E59" s="155">
        <v>0</v>
      </c>
      <c r="G59" s="24">
        <v>0</v>
      </c>
      <c r="H59" s="110">
        <v>0</v>
      </c>
      <c r="I59" s="110">
        <v>0</v>
      </c>
      <c r="K59" s="24">
        <v>0</v>
      </c>
      <c r="L59" s="110">
        <v>0</v>
      </c>
      <c r="M59" s="110">
        <v>0</v>
      </c>
    </row>
    <row r="60" spans="2:13" x14ac:dyDescent="0.3">
      <c r="B60" s="61" t="str">
        <v>(30000, 40000]</v>
      </c>
      <c r="C60" s="155">
        <v>0</v>
      </c>
      <c r="D60" s="155">
        <v>0</v>
      </c>
      <c r="E60" s="155">
        <v>0</v>
      </c>
      <c r="G60" s="24">
        <v>0</v>
      </c>
      <c r="H60" s="110">
        <v>0</v>
      </c>
      <c r="I60" s="110">
        <v>0</v>
      </c>
      <c r="K60" s="24">
        <v>0</v>
      </c>
      <c r="L60" s="110">
        <v>0</v>
      </c>
      <c r="M60" s="110">
        <v>0</v>
      </c>
    </row>
    <row r="61" spans="2:13" x14ac:dyDescent="0.3">
      <c r="B61" s="61" t="str">
        <v>(40000, 50000]</v>
      </c>
      <c r="C61" s="155">
        <v>0</v>
      </c>
      <c r="D61" s="155">
        <v>0</v>
      </c>
      <c r="E61" s="155">
        <v>0</v>
      </c>
      <c r="G61" s="24">
        <v>0</v>
      </c>
      <c r="H61" s="110">
        <v>0</v>
      </c>
      <c r="I61" s="110">
        <v>0</v>
      </c>
      <c r="K61" s="24">
        <v>0</v>
      </c>
      <c r="L61" s="110">
        <v>0</v>
      </c>
      <c r="M61" s="110">
        <v>0</v>
      </c>
    </row>
    <row r="62" spans="2:13" x14ac:dyDescent="0.3">
      <c r="B62" s="61" t="str">
        <v>(50000, 60000]</v>
      </c>
      <c r="C62" s="155">
        <v>0</v>
      </c>
      <c r="D62" s="155">
        <v>0</v>
      </c>
      <c r="E62" s="155">
        <v>0</v>
      </c>
      <c r="G62" s="24">
        <v>0</v>
      </c>
      <c r="H62" s="110">
        <v>0</v>
      </c>
      <c r="I62" s="110">
        <v>0</v>
      </c>
      <c r="K62" s="24">
        <v>0</v>
      </c>
      <c r="L62" s="110">
        <v>0</v>
      </c>
      <c r="M62" s="110">
        <v>0</v>
      </c>
    </row>
    <row r="63" spans="2:13" x14ac:dyDescent="0.3">
      <c r="B63" s="61" t="str">
        <v>(60000, 70000]</v>
      </c>
      <c r="C63" s="155">
        <v>0</v>
      </c>
      <c r="D63" s="155">
        <v>0</v>
      </c>
      <c r="E63" s="155">
        <v>0</v>
      </c>
      <c r="G63" s="24">
        <v>0</v>
      </c>
      <c r="H63" s="110">
        <v>0</v>
      </c>
      <c r="I63" s="110">
        <v>0</v>
      </c>
      <c r="K63" s="24">
        <v>0</v>
      </c>
      <c r="L63" s="110">
        <v>0</v>
      </c>
      <c r="M63" s="110">
        <v>0</v>
      </c>
    </row>
    <row r="64" spans="2:13" x14ac:dyDescent="0.3">
      <c r="B64" s="61" t="str">
        <v>(70000, 80000]</v>
      </c>
      <c r="C64" s="155">
        <v>0</v>
      </c>
      <c r="D64" s="155">
        <v>0</v>
      </c>
      <c r="E64" s="155">
        <v>0</v>
      </c>
      <c r="G64" s="24">
        <v>0</v>
      </c>
      <c r="H64" s="110">
        <v>0</v>
      </c>
      <c r="I64" s="110">
        <v>0</v>
      </c>
      <c r="K64" s="24">
        <v>0</v>
      </c>
      <c r="L64" s="110">
        <v>0</v>
      </c>
      <c r="M64" s="110">
        <v>0</v>
      </c>
    </row>
    <row r="65" spans="2:13" x14ac:dyDescent="0.3">
      <c r="B65" s="61" t="str">
        <v>(80000, 90000]</v>
      </c>
      <c r="C65" s="155">
        <v>0</v>
      </c>
      <c r="D65" s="155">
        <v>0</v>
      </c>
      <c r="E65" s="155">
        <v>0</v>
      </c>
      <c r="G65" s="24">
        <v>0</v>
      </c>
      <c r="H65" s="110">
        <v>0</v>
      </c>
      <c r="I65" s="110">
        <v>0</v>
      </c>
      <c r="K65" s="24">
        <v>0</v>
      </c>
      <c r="L65" s="110">
        <v>0</v>
      </c>
      <c r="M65" s="110">
        <v>0</v>
      </c>
    </row>
    <row r="66" spans="2:13" x14ac:dyDescent="0.3">
      <c r="B66" s="61" t="str">
        <v>(90000, 100000]</v>
      </c>
      <c r="C66" s="155">
        <v>0</v>
      </c>
      <c r="D66" s="155">
        <v>0</v>
      </c>
      <c r="E66" s="155">
        <v>0</v>
      </c>
      <c r="G66" s="24">
        <v>0</v>
      </c>
      <c r="H66" s="110">
        <v>0</v>
      </c>
      <c r="I66" s="110">
        <v>0</v>
      </c>
      <c r="K66" s="24">
        <v>0</v>
      </c>
      <c r="L66" s="110">
        <v>0</v>
      </c>
      <c r="M66" s="110">
        <v>0</v>
      </c>
    </row>
    <row r="67" spans="2:13" x14ac:dyDescent="0.3">
      <c r="B67" s="61" t="str">
        <v>(100000, 9999999]</v>
      </c>
      <c r="C67" s="155">
        <v>0</v>
      </c>
      <c r="D67" s="155">
        <v>0</v>
      </c>
      <c r="E67" s="155">
        <v>0</v>
      </c>
      <c r="G67" s="24">
        <v>0</v>
      </c>
      <c r="H67" s="110">
        <v>0</v>
      </c>
      <c r="I67" s="110">
        <v>0</v>
      </c>
      <c r="K67" s="24">
        <v>0</v>
      </c>
      <c r="L67" s="110">
        <v>0</v>
      </c>
      <c r="M67" s="110">
        <v>0</v>
      </c>
    </row>
    <row r="68" spans="2:13" x14ac:dyDescent="0.3">
      <c r="B68" s="61" t="str">
        <v>Free Game</v>
      </c>
      <c r="C68" s="155">
        <v>6266000</v>
      </c>
      <c r="D68" s="155"/>
      <c r="E68" s="155"/>
      <c r="H68" s="110">
        <v>6.2659999999999999E-3</v>
      </c>
      <c r="L68" s="110"/>
    </row>
  </sheetData>
  <phoneticPr fontId="20" type="noConversion"/>
  <conditionalFormatting sqref="H4:I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L68:M68 L4:L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M4:M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H4:I68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L68:M68 L4:L67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M4:M67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 x14ac:dyDescent="0.3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 x14ac:dyDescent="0.3">
      <c r="B2" s="175" t="s">
        <v>182</v>
      </c>
    </row>
    <row r="3" spans="2:9" x14ac:dyDescent="0.3">
      <c r="B3" s="146" t="s">
        <v>71</v>
      </c>
      <c r="C3" s="146" t="s">
        <v>180</v>
      </c>
      <c r="D3" s="146" t="s">
        <v>179</v>
      </c>
    </row>
    <row r="4" spans="2:9" x14ac:dyDescent="0.3">
      <c r="B4" s="133">
        <v>0</v>
      </c>
      <c r="C4" s="176">
        <v>0.12890728185260192</v>
      </c>
      <c r="D4" s="176">
        <v>0.17979999999999999</v>
      </c>
      <c r="G4" s="17">
        <v>0</v>
      </c>
      <c r="H4" s="177" cm="1">
        <f t="array" ref="H4:H13">G4:G13/10000</f>
        <v>0</v>
      </c>
    </row>
    <row r="5" spans="2:9" x14ac:dyDescent="0.3">
      <c r="B5" s="133">
        <v>1</v>
      </c>
      <c r="C5" s="176">
        <v>0.30351325173901561</v>
      </c>
      <c r="D5" s="176">
        <v>0.35339999999999999</v>
      </c>
      <c r="G5" s="17" cm="1">
        <f t="array" ref="G5:G13">TRANSPOSE(Parameter!AD5:AL5)</f>
        <v>500</v>
      </c>
      <c r="H5" s="177">
        <v>0.05</v>
      </c>
    </row>
    <row r="6" spans="2:9" x14ac:dyDescent="0.3">
      <c r="B6" s="133">
        <v>2</v>
      </c>
      <c r="C6" s="176">
        <v>0.30338117460596986</v>
      </c>
      <c r="D6" s="176">
        <v>0.29630000000000001</v>
      </c>
      <c r="G6" s="17">
        <v>1000</v>
      </c>
      <c r="H6" s="177">
        <v>0.1</v>
      </c>
    </row>
    <row r="7" spans="2:9" x14ac:dyDescent="0.3">
      <c r="B7" s="133">
        <v>3</v>
      </c>
      <c r="C7" s="176">
        <v>0.18173813507088141</v>
      </c>
      <c r="D7" s="176">
        <v>0.13270000000000001</v>
      </c>
      <c r="G7" s="17">
        <v>1500</v>
      </c>
      <c r="H7" s="177">
        <v>0.15</v>
      </c>
    </row>
    <row r="8" spans="2:9" x14ac:dyDescent="0.3">
      <c r="B8" s="133">
        <v>4</v>
      </c>
      <c r="C8" s="176">
        <v>6.3705203839042004E-2</v>
      </c>
      <c r="D8" s="176">
        <v>3.3300000000000003E-2</v>
      </c>
      <c r="G8" s="17">
        <v>3000</v>
      </c>
      <c r="H8" s="177">
        <v>0.3</v>
      </c>
    </row>
    <row r="9" spans="2:9" x14ac:dyDescent="0.3">
      <c r="B9" s="133">
        <v>5</v>
      </c>
      <c r="C9" s="176">
        <v>1.4748613190103021E-2</v>
      </c>
      <c r="D9" s="176">
        <v>4.4000000000000003E-3</v>
      </c>
      <c r="G9" s="17">
        <v>10000</v>
      </c>
      <c r="H9" s="177">
        <v>1</v>
      </c>
    </row>
    <row r="10" spans="2:9" x14ac:dyDescent="0.3">
      <c r="B10" s="133">
        <v>6</v>
      </c>
      <c r="C10" s="176">
        <v>3.6101083032490976E-3</v>
      </c>
      <c r="D10" s="176">
        <v>2.0000000000000001E-4</v>
      </c>
      <c r="G10" s="17">
        <v>10000</v>
      </c>
      <c r="H10" s="177">
        <v>1</v>
      </c>
    </row>
    <row r="11" spans="2:9" x14ac:dyDescent="0.3">
      <c r="B11" s="133">
        <v>7</v>
      </c>
      <c r="C11" s="176">
        <v>3.9623139913709608E-4</v>
      </c>
      <c r="D11" s="176">
        <v>0</v>
      </c>
      <c r="G11" s="17">
        <v>10000</v>
      </c>
      <c r="H11" s="177">
        <v>1</v>
      </c>
    </row>
    <row r="12" spans="2:9" x14ac:dyDescent="0.3">
      <c r="B12" s="133">
        <v>8</v>
      </c>
      <c r="C12" s="176">
        <v>0</v>
      </c>
      <c r="D12" s="176">
        <v>0</v>
      </c>
      <c r="G12" s="17">
        <v>10000</v>
      </c>
      <c r="H12" s="177">
        <v>1</v>
      </c>
    </row>
    <row r="13" spans="2:9" x14ac:dyDescent="0.3">
      <c r="B13" s="133">
        <v>9</v>
      </c>
      <c r="C13" s="176">
        <v>0</v>
      </c>
      <c r="D13" s="176">
        <v>0</v>
      </c>
      <c r="G13" s="17">
        <v>10000</v>
      </c>
      <c r="H13" s="177">
        <v>1</v>
      </c>
    </row>
    <row r="16" spans="2:9" x14ac:dyDescent="0.3">
      <c r="B16" s="178" t="s">
        <v>181</v>
      </c>
      <c r="I16" s="17">
        <f>1/I17</f>
        <v>12.2256861666361</v>
      </c>
    </row>
    <row r="17" spans="2:10" x14ac:dyDescent="0.3">
      <c r="B17" s="146"/>
      <c r="C17" s="146" t="s">
        <v>180</v>
      </c>
      <c r="D17" s="146" t="s">
        <v>179</v>
      </c>
      <c r="H17" s="177"/>
      <c r="I17" s="177">
        <f>SUMPRODUCT(H4:H13,D4:D13)</f>
        <v>8.179500000000002E-2</v>
      </c>
    </row>
    <row r="18" spans="2:10" x14ac:dyDescent="0.3">
      <c r="B18" s="179">
        <v>0</v>
      </c>
      <c r="C18" s="180">
        <v>0.86973562490871026</v>
      </c>
      <c r="D18" s="180" cm="1">
        <f t="array" ref="D18:D30">J18:J30</f>
        <v>0.74374605000000005</v>
      </c>
      <c r="F18" s="17" cm="1">
        <f t="array" ref="F18:F30">TRANSPOSE(Parameter!O16:AA16)</f>
        <v>8100</v>
      </c>
      <c r="G18" s="17" cm="1">
        <f t="array" ref="G18:G30">TRANSPOSE(Parameter!O5:AA5)</f>
        <v>0</v>
      </c>
      <c r="H18" s="177" cm="1">
        <f t="array" ref="H18:H30">_xlfn.ANCHORARRAY(F18)/SUM(_xlfn.ANCHORARRAY(F18))*(1-I17)</f>
        <v>0.74374605000000005</v>
      </c>
      <c r="I18" s="177" cm="1">
        <f t="array" ref="I18:I30">_xlfn.ANCHORARRAY(G18)/SUM(_xlfn.ANCHORARRAY(G18))*I17</f>
        <v>0</v>
      </c>
      <c r="J18" s="177" cm="1">
        <f t="array" ref="J18:J22">H18:H22</f>
        <v>0.74374605000000005</v>
      </c>
    </row>
    <row r="19" spans="2:10" x14ac:dyDescent="0.3">
      <c r="B19" s="181">
        <v>2</v>
      </c>
      <c r="C19" s="182">
        <v>3.4690101757631819E-2</v>
      </c>
      <c r="D19" s="182">
        <v>5.5092299999999997E-2</v>
      </c>
      <c r="F19" s="17">
        <v>600</v>
      </c>
      <c r="G19" s="17">
        <v>0</v>
      </c>
      <c r="H19" s="177">
        <v>5.5092299999999997E-2</v>
      </c>
      <c r="I19" s="177">
        <v>0</v>
      </c>
      <c r="J19" s="177">
        <v>5.5092299999999997E-2</v>
      </c>
    </row>
    <row r="20" spans="2:10" x14ac:dyDescent="0.3">
      <c r="B20" s="181">
        <v>3</v>
      </c>
      <c r="C20" s="182">
        <v>2.8506743268903064E-2</v>
      </c>
      <c r="D20" s="182">
        <v>4.591025E-2</v>
      </c>
      <c r="F20" s="17">
        <v>500</v>
      </c>
      <c r="G20" s="17">
        <v>0</v>
      </c>
      <c r="H20" s="177">
        <v>4.591025E-2</v>
      </c>
      <c r="I20" s="177">
        <v>0</v>
      </c>
      <c r="J20" s="177">
        <v>4.591025E-2</v>
      </c>
    </row>
    <row r="21" spans="2:10" x14ac:dyDescent="0.3">
      <c r="B21" s="181">
        <v>5</v>
      </c>
      <c r="C21" s="182">
        <v>1.9109985880519986E-2</v>
      </c>
      <c r="D21" s="182">
        <v>3.6728199999999996E-2</v>
      </c>
      <c r="F21" s="17">
        <v>400</v>
      </c>
      <c r="G21" s="17">
        <v>0</v>
      </c>
      <c r="H21" s="177">
        <v>3.6728199999999996E-2</v>
      </c>
      <c r="I21" s="177">
        <v>0</v>
      </c>
      <c r="J21" s="177">
        <v>3.6728199999999996E-2</v>
      </c>
    </row>
    <row r="22" spans="2:10" x14ac:dyDescent="0.3">
      <c r="B22" s="181">
        <v>8</v>
      </c>
      <c r="C22" s="182">
        <v>1.8111884707142509E-2</v>
      </c>
      <c r="D22" s="182">
        <v>3.6728199999999996E-2</v>
      </c>
      <c r="F22" s="17">
        <v>400</v>
      </c>
      <c r="G22" s="17">
        <v>0</v>
      </c>
      <c r="H22" s="177">
        <v>3.6728199999999996E-2</v>
      </c>
      <c r="I22" s="177">
        <v>0</v>
      </c>
      <c r="J22" s="177">
        <v>3.6728199999999996E-2</v>
      </c>
    </row>
    <row r="23" spans="2:10" x14ac:dyDescent="0.3">
      <c r="B23" s="181">
        <v>10</v>
      </c>
      <c r="C23" s="182">
        <v>1.4849797945372219E-2</v>
      </c>
      <c r="D23" s="182">
        <v>2.781030000000001E-2</v>
      </c>
      <c r="F23" s="17">
        <v>0</v>
      </c>
      <c r="G23" s="17">
        <v>3400</v>
      </c>
      <c r="H23" s="177">
        <v>0</v>
      </c>
      <c r="I23" s="177">
        <v>2.781030000000001E-2</v>
      </c>
      <c r="J23" s="177" cm="1">
        <f t="array" ref="J23:J30">I23:I30</f>
        <v>2.781030000000001E-2</v>
      </c>
    </row>
    <row r="24" spans="2:10" x14ac:dyDescent="0.3">
      <c r="B24" s="181">
        <v>15</v>
      </c>
      <c r="C24" s="182">
        <v>8.7881591119333951E-3</v>
      </c>
      <c r="D24" s="182">
        <v>9.8154000000000019E-3</v>
      </c>
      <c r="F24" s="17">
        <v>0</v>
      </c>
      <c r="G24" s="17">
        <v>1200</v>
      </c>
      <c r="H24" s="177">
        <v>0</v>
      </c>
      <c r="I24" s="177">
        <v>9.8154000000000019E-3</v>
      </c>
      <c r="J24" s="177">
        <v>9.8154000000000019E-3</v>
      </c>
    </row>
    <row r="25" spans="2:10" x14ac:dyDescent="0.3">
      <c r="B25" s="181">
        <v>20</v>
      </c>
      <c r="C25" s="182">
        <v>4.5523151078436146E-3</v>
      </c>
      <c r="D25" s="182">
        <v>1.9630800000000004E-2</v>
      </c>
      <c r="F25" s="17">
        <v>0</v>
      </c>
      <c r="G25" s="17">
        <v>2400</v>
      </c>
      <c r="H25" s="177">
        <v>0</v>
      </c>
      <c r="I25" s="177">
        <v>1.9630800000000004E-2</v>
      </c>
      <c r="J25" s="177">
        <v>1.9630800000000004E-2</v>
      </c>
    </row>
    <row r="26" spans="2:10" x14ac:dyDescent="0.3">
      <c r="B26" s="181">
        <v>25</v>
      </c>
      <c r="C26" s="182">
        <v>1.3876040703052729E-3</v>
      </c>
      <c r="D26" s="182">
        <v>4.0897500000000014E-3</v>
      </c>
      <c r="F26" s="17">
        <v>0</v>
      </c>
      <c r="G26" s="17">
        <v>500</v>
      </c>
      <c r="H26" s="177">
        <v>0</v>
      </c>
      <c r="I26" s="177">
        <v>4.0897500000000014E-3</v>
      </c>
      <c r="J26" s="177">
        <v>4.0897500000000014E-3</v>
      </c>
    </row>
    <row r="27" spans="2:10" x14ac:dyDescent="0.3">
      <c r="B27" s="181">
        <v>35</v>
      </c>
      <c r="C27" s="182">
        <v>1.9475144846389794E-4</v>
      </c>
      <c r="D27" s="182">
        <v>1.6359000000000005E-3</v>
      </c>
      <c r="F27" s="17">
        <v>0</v>
      </c>
      <c r="G27" s="17">
        <v>200</v>
      </c>
      <c r="H27" s="177">
        <v>0</v>
      </c>
      <c r="I27" s="177">
        <v>1.6359000000000005E-3</v>
      </c>
      <c r="J27" s="177">
        <v>1.6359000000000005E-3</v>
      </c>
    </row>
    <row r="28" spans="2:10" x14ac:dyDescent="0.3">
      <c r="B28" s="181">
        <v>50</v>
      </c>
      <c r="C28" s="182">
        <v>2.4343931057987243E-5</v>
      </c>
      <c r="D28" s="182">
        <v>1.6359000000000005E-3</v>
      </c>
      <c r="F28" s="17">
        <v>0</v>
      </c>
      <c r="G28" s="17">
        <v>200</v>
      </c>
      <c r="H28" s="177">
        <v>0</v>
      </c>
      <c r="I28" s="177">
        <v>1.6359000000000005E-3</v>
      </c>
      <c r="J28" s="177">
        <v>1.6359000000000005E-3</v>
      </c>
    </row>
    <row r="29" spans="2:10" x14ac:dyDescent="0.3">
      <c r="B29" s="181">
        <v>80</v>
      </c>
      <c r="C29" s="182">
        <v>4.8687862115974485E-5</v>
      </c>
      <c r="D29" s="182">
        <v>9.8154000000000019E-3</v>
      </c>
      <c r="F29" s="17">
        <v>0</v>
      </c>
      <c r="G29" s="17">
        <v>1200</v>
      </c>
      <c r="H29" s="177">
        <v>0</v>
      </c>
      <c r="I29" s="177">
        <v>9.8154000000000019E-3</v>
      </c>
      <c r="J29" s="177">
        <v>9.8154000000000019E-3</v>
      </c>
    </row>
    <row r="30" spans="2:10" x14ac:dyDescent="0.3">
      <c r="B30" s="181">
        <v>100</v>
      </c>
      <c r="C30" s="182">
        <v>0</v>
      </c>
      <c r="D30" s="182">
        <v>7.3615500000000014E-3</v>
      </c>
      <c r="F30" s="17">
        <v>0</v>
      </c>
      <c r="G30" s="17">
        <v>900</v>
      </c>
      <c r="H30" s="177">
        <v>0</v>
      </c>
      <c r="I30" s="177">
        <v>7.3615500000000014E-3</v>
      </c>
      <c r="J30" s="177">
        <v>7.3615500000000014E-3</v>
      </c>
    </row>
    <row r="31" spans="2:10" x14ac:dyDescent="0.3">
      <c r="C31" s="17">
        <f>SUMPRODUCT(C18:C30,B18:B30)</f>
        <v>0.81333073664735367</v>
      </c>
      <c r="D31" s="17">
        <f>SUMPRODUCT(D18:D30,B18:B30)</f>
        <v>3.3060142000000008</v>
      </c>
    </row>
    <row r="34" spans="2:9" x14ac:dyDescent="0.3">
      <c r="B34" s="175" t="s">
        <v>183</v>
      </c>
    </row>
    <row r="35" spans="2:9" x14ac:dyDescent="0.3">
      <c r="B35" s="146" t="s">
        <v>71</v>
      </c>
      <c r="C35" s="146" t="s">
        <v>180</v>
      </c>
      <c r="D35" s="146" t="s">
        <v>179</v>
      </c>
    </row>
    <row r="36" spans="2:9" x14ac:dyDescent="0.3">
      <c r="B36" s="133">
        <v>0</v>
      </c>
      <c r="C36" s="176">
        <v>0.12890728185260192</v>
      </c>
      <c r="D36" s="176">
        <v>0</v>
      </c>
      <c r="G36" s="17">
        <v>0</v>
      </c>
      <c r="H36" s="177" cm="1">
        <f t="array" ref="H36:H45">G36:G45/10000</f>
        <v>0</v>
      </c>
    </row>
    <row r="37" spans="2:9" x14ac:dyDescent="0.3">
      <c r="B37" s="133">
        <v>1</v>
      </c>
      <c r="C37" s="176">
        <v>0.30351325173901561</v>
      </c>
      <c r="D37" s="176">
        <v>0</v>
      </c>
      <c r="G37" s="17" cm="1">
        <f t="array" ref="G37:G45">TRANSPOSE(Parameter!AD6:AL6)</f>
        <v>0</v>
      </c>
      <c r="H37" s="177">
        <v>0</v>
      </c>
    </row>
    <row r="38" spans="2:9" x14ac:dyDescent="0.3">
      <c r="B38" s="133">
        <v>2</v>
      </c>
      <c r="C38" s="176">
        <v>0.30338117460596986</v>
      </c>
      <c r="D38" s="176">
        <v>0</v>
      </c>
      <c r="G38" s="17">
        <v>0</v>
      </c>
      <c r="H38" s="177">
        <v>0</v>
      </c>
    </row>
    <row r="39" spans="2:9" x14ac:dyDescent="0.3">
      <c r="B39" s="133">
        <v>3</v>
      </c>
      <c r="C39" s="176">
        <v>0.18173813507088141</v>
      </c>
      <c r="D39" s="176">
        <v>0.17960000000000001</v>
      </c>
      <c r="G39" s="17">
        <v>1000</v>
      </c>
      <c r="H39" s="177">
        <v>0.1</v>
      </c>
    </row>
    <row r="40" spans="2:9" x14ac:dyDescent="0.3">
      <c r="B40" s="133">
        <v>4</v>
      </c>
      <c r="C40" s="176">
        <v>6.3705203839042004E-2</v>
      </c>
      <c r="D40" s="176">
        <v>0.38219999999999998</v>
      </c>
      <c r="G40" s="17">
        <v>1500</v>
      </c>
      <c r="H40" s="177">
        <v>0.15</v>
      </c>
    </row>
    <row r="41" spans="2:9" x14ac:dyDescent="0.3">
      <c r="B41" s="133">
        <v>5</v>
      </c>
      <c r="C41" s="176">
        <v>1.4748613190103021E-2</v>
      </c>
      <c r="D41" s="176">
        <v>0.29920000000000002</v>
      </c>
      <c r="G41" s="17">
        <v>2500</v>
      </c>
      <c r="H41" s="177">
        <v>0.25</v>
      </c>
    </row>
    <row r="42" spans="2:9" x14ac:dyDescent="0.3">
      <c r="B42" s="133">
        <v>6</v>
      </c>
      <c r="C42" s="176">
        <v>3.6101083032490976E-3</v>
      </c>
      <c r="D42" s="176">
        <v>0.1134</v>
      </c>
      <c r="G42" s="17">
        <v>5000</v>
      </c>
      <c r="H42" s="177">
        <v>0.5</v>
      </c>
    </row>
    <row r="43" spans="2:9" x14ac:dyDescent="0.3">
      <c r="B43" s="133">
        <v>7</v>
      </c>
      <c r="C43" s="176">
        <v>3.9623139913709608E-4</v>
      </c>
      <c r="D43" s="176">
        <v>2.3E-2</v>
      </c>
      <c r="G43" s="17">
        <v>10000</v>
      </c>
      <c r="H43" s="177">
        <v>1</v>
      </c>
    </row>
    <row r="44" spans="2:9" x14ac:dyDescent="0.3">
      <c r="B44" s="133">
        <v>8</v>
      </c>
      <c r="C44" s="176">
        <v>0</v>
      </c>
      <c r="D44" s="176">
        <v>2.3999999999999998E-3</v>
      </c>
      <c r="G44" s="17">
        <v>10000</v>
      </c>
      <c r="H44" s="177">
        <v>1</v>
      </c>
    </row>
    <row r="45" spans="2:9" x14ac:dyDescent="0.3">
      <c r="B45" s="133">
        <v>9</v>
      </c>
      <c r="C45" s="176">
        <v>0</v>
      </c>
      <c r="D45" s="176">
        <v>1E-4</v>
      </c>
      <c r="G45" s="17">
        <v>10000</v>
      </c>
      <c r="H45" s="177">
        <v>1</v>
      </c>
    </row>
    <row r="48" spans="2:9" x14ac:dyDescent="0.3">
      <c r="B48" s="178" t="s">
        <v>181</v>
      </c>
      <c r="I48" s="17">
        <f>1/I49</f>
        <v>4.3049636230573851</v>
      </c>
    </row>
    <row r="49" spans="2:10" x14ac:dyDescent="0.3">
      <c r="B49" s="146"/>
      <c r="C49" s="146" t="s">
        <v>180</v>
      </c>
      <c r="D49" s="146" t="s">
        <v>179</v>
      </c>
      <c r="H49" s="177"/>
      <c r="I49" s="177">
        <f>SUMPRODUCT(H36:H45,D36:D45)</f>
        <v>0.23229</v>
      </c>
    </row>
    <row r="50" spans="2:10" x14ac:dyDescent="0.3">
      <c r="B50" s="179">
        <v>0</v>
      </c>
      <c r="C50" s="180">
        <v>0.86973562490871026</v>
      </c>
      <c r="D50" s="180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77" cm="1">
        <f t="array" ref="H50:H62">_xlfn.ANCHORARRAY(F50)/SUM(_xlfn.ANCHORARRAY(F50))*(1-I49)</f>
        <v>0</v>
      </c>
      <c r="I50" s="177" cm="1">
        <f t="array" ref="I50:I62">_xlfn.ANCHORARRAY(G50)/SUM(_xlfn.ANCHORARRAY(G50))*I49</f>
        <v>0</v>
      </c>
      <c r="J50" s="177" cm="1">
        <f t="array" ref="J50:J54">H50:H54</f>
        <v>0</v>
      </c>
    </row>
    <row r="51" spans="2:10" x14ac:dyDescent="0.3">
      <c r="B51" s="181">
        <v>2</v>
      </c>
      <c r="C51" s="182">
        <v>3.4690101757631819E-2</v>
      </c>
      <c r="D51" s="182">
        <v>0.2456672</v>
      </c>
      <c r="F51" s="17">
        <v>3200</v>
      </c>
      <c r="G51" s="17">
        <v>0</v>
      </c>
      <c r="H51" s="177">
        <v>0.2456672</v>
      </c>
      <c r="I51" s="177">
        <v>0</v>
      </c>
      <c r="J51" s="177">
        <v>0.2456672</v>
      </c>
    </row>
    <row r="52" spans="2:10" x14ac:dyDescent="0.3">
      <c r="B52" s="181">
        <v>3</v>
      </c>
      <c r="C52" s="182">
        <v>2.8506743268903064E-2</v>
      </c>
      <c r="D52" s="182">
        <v>0.19960460000000002</v>
      </c>
      <c r="F52" s="17">
        <v>2600</v>
      </c>
      <c r="G52" s="17">
        <v>0</v>
      </c>
      <c r="H52" s="177">
        <v>0.19960460000000002</v>
      </c>
      <c r="I52" s="177">
        <v>0</v>
      </c>
      <c r="J52" s="177">
        <v>0.19960460000000002</v>
      </c>
    </row>
    <row r="53" spans="2:10" x14ac:dyDescent="0.3">
      <c r="B53" s="181">
        <v>5</v>
      </c>
      <c r="C53" s="182">
        <v>1.9109985880519986E-2</v>
      </c>
      <c r="D53" s="182">
        <v>0.1612191</v>
      </c>
      <c r="F53" s="17">
        <v>2100</v>
      </c>
      <c r="G53" s="17">
        <v>0</v>
      </c>
      <c r="H53" s="177">
        <v>0.1612191</v>
      </c>
      <c r="I53" s="177">
        <v>0</v>
      </c>
      <c r="J53" s="177">
        <v>0.1612191</v>
      </c>
    </row>
    <row r="54" spans="2:10" x14ac:dyDescent="0.3">
      <c r="B54" s="181">
        <v>8</v>
      </c>
      <c r="C54" s="182">
        <v>1.8111884707142509E-2</v>
      </c>
      <c r="D54" s="182">
        <v>0.1612191</v>
      </c>
      <c r="F54" s="17">
        <v>2100</v>
      </c>
      <c r="G54" s="17">
        <v>0</v>
      </c>
      <c r="H54" s="177">
        <v>0.1612191</v>
      </c>
      <c r="I54" s="177">
        <v>0</v>
      </c>
      <c r="J54" s="177">
        <v>0.1612191</v>
      </c>
    </row>
    <row r="55" spans="2:10" x14ac:dyDescent="0.3">
      <c r="B55" s="181">
        <v>10</v>
      </c>
      <c r="C55" s="182">
        <v>1.4849797945372219E-2</v>
      </c>
      <c r="D55" s="182">
        <v>0.10336905</v>
      </c>
      <c r="F55" s="17">
        <v>0</v>
      </c>
      <c r="G55" s="17">
        <v>4450</v>
      </c>
      <c r="H55" s="177">
        <v>0</v>
      </c>
      <c r="I55" s="177">
        <v>0.10336905</v>
      </c>
      <c r="J55" s="177" cm="1">
        <f t="array" ref="J55:J62">I55:I62</f>
        <v>0.10336905</v>
      </c>
    </row>
    <row r="56" spans="2:10" x14ac:dyDescent="0.3">
      <c r="B56" s="181">
        <v>15</v>
      </c>
      <c r="C56" s="182">
        <v>8.7881591119333951E-3</v>
      </c>
      <c r="D56" s="182">
        <v>1.3937399999999999E-2</v>
      </c>
      <c r="F56" s="17">
        <v>0</v>
      </c>
      <c r="G56" s="17">
        <v>600</v>
      </c>
      <c r="H56" s="177">
        <v>0</v>
      </c>
      <c r="I56" s="177">
        <v>1.3937399999999999E-2</v>
      </c>
      <c r="J56" s="177">
        <v>1.3937399999999999E-2</v>
      </c>
    </row>
    <row r="57" spans="2:10" x14ac:dyDescent="0.3">
      <c r="B57" s="181">
        <v>20</v>
      </c>
      <c r="C57" s="182">
        <v>4.5523151078436146E-3</v>
      </c>
      <c r="D57" s="182">
        <v>5.5749599999999996E-2</v>
      </c>
      <c r="F57" s="17">
        <v>0</v>
      </c>
      <c r="G57" s="17">
        <v>2400</v>
      </c>
      <c r="H57" s="177">
        <v>0</v>
      </c>
      <c r="I57" s="177">
        <v>5.5749599999999996E-2</v>
      </c>
      <c r="J57" s="177">
        <v>5.5749599999999996E-2</v>
      </c>
    </row>
    <row r="58" spans="2:10" x14ac:dyDescent="0.3">
      <c r="B58" s="181">
        <v>25</v>
      </c>
      <c r="C58" s="182">
        <v>1.3876040703052729E-3</v>
      </c>
      <c r="D58" s="182">
        <v>5.8072499999999999E-3</v>
      </c>
      <c r="F58" s="17">
        <v>0</v>
      </c>
      <c r="G58" s="17">
        <v>250</v>
      </c>
      <c r="H58" s="177">
        <v>0</v>
      </c>
      <c r="I58" s="177">
        <v>5.8072499999999999E-3</v>
      </c>
      <c r="J58" s="177">
        <v>5.8072499999999999E-3</v>
      </c>
    </row>
    <row r="59" spans="2:10" x14ac:dyDescent="0.3">
      <c r="B59" s="181">
        <v>35</v>
      </c>
      <c r="C59" s="182">
        <v>1.9475144846389794E-4</v>
      </c>
      <c r="D59" s="182">
        <v>2.3229000000000001E-3</v>
      </c>
      <c r="F59" s="17">
        <v>0</v>
      </c>
      <c r="G59" s="17">
        <v>100</v>
      </c>
      <c r="H59" s="177">
        <v>0</v>
      </c>
      <c r="I59" s="177">
        <v>2.3229000000000001E-3</v>
      </c>
      <c r="J59" s="177">
        <v>2.3229000000000001E-3</v>
      </c>
    </row>
    <row r="60" spans="2:10" x14ac:dyDescent="0.3">
      <c r="B60" s="181">
        <v>50</v>
      </c>
      <c r="C60" s="182">
        <v>2.4343931057987243E-5</v>
      </c>
      <c r="D60" s="182">
        <v>2.3229000000000001E-3</v>
      </c>
      <c r="F60" s="17">
        <v>0</v>
      </c>
      <c r="G60" s="17">
        <v>100</v>
      </c>
      <c r="H60" s="177">
        <v>0</v>
      </c>
      <c r="I60" s="177">
        <v>2.3229000000000001E-3</v>
      </c>
      <c r="J60" s="177">
        <v>2.3229000000000001E-3</v>
      </c>
    </row>
    <row r="61" spans="2:10" x14ac:dyDescent="0.3">
      <c r="B61" s="181">
        <v>80</v>
      </c>
      <c r="C61" s="182">
        <v>4.8687862115974485E-5</v>
      </c>
      <c r="D61" s="182">
        <v>2.7874799999999998E-2</v>
      </c>
      <c r="F61" s="17">
        <v>0</v>
      </c>
      <c r="G61" s="17">
        <v>1200</v>
      </c>
      <c r="H61" s="177">
        <v>0</v>
      </c>
      <c r="I61" s="177">
        <v>2.7874799999999998E-2</v>
      </c>
      <c r="J61" s="177">
        <v>2.7874799999999998E-2</v>
      </c>
    </row>
    <row r="62" spans="2:10" x14ac:dyDescent="0.3">
      <c r="B62" s="181">
        <v>100</v>
      </c>
      <c r="C62" s="182">
        <v>0</v>
      </c>
      <c r="D62" s="182">
        <v>2.09061E-2</v>
      </c>
      <c r="F62" s="17">
        <v>0</v>
      </c>
      <c r="G62" s="17">
        <v>900</v>
      </c>
      <c r="H62" s="177">
        <v>0</v>
      </c>
      <c r="I62" s="177">
        <v>2.09061E-2</v>
      </c>
      <c r="J62" s="177">
        <v>2.09061E-2</v>
      </c>
    </row>
    <row r="63" spans="2:10" x14ac:dyDescent="0.3">
      <c r="C63" s="17">
        <f>SUMPRODUCT(C50:C62,B50:B62)</f>
        <v>0.81333073664735367</v>
      </c>
      <c r="D63" s="17">
        <f>SUMPRODUCT(D50:D62,B50:B62)</f>
        <v>10.206961750000001</v>
      </c>
    </row>
    <row r="66" spans="2:9" x14ac:dyDescent="0.3">
      <c r="B66" s="175" t="s">
        <v>184</v>
      </c>
    </row>
    <row r="67" spans="2:9" x14ac:dyDescent="0.3">
      <c r="B67" s="146" t="s">
        <v>71</v>
      </c>
      <c r="C67" s="146" t="s">
        <v>180</v>
      </c>
      <c r="D67" s="146" t="s">
        <v>179</v>
      </c>
    </row>
    <row r="68" spans="2:9" x14ac:dyDescent="0.3">
      <c r="B68" s="133">
        <v>0</v>
      </c>
      <c r="C68" s="176">
        <v>5.6827150749802685E-2</v>
      </c>
      <c r="D68" s="176">
        <v>0</v>
      </c>
      <c r="G68" s="17">
        <v>0</v>
      </c>
      <c r="H68" s="177" cm="1">
        <f t="array" ref="H68:H77">G68:G77/10000</f>
        <v>0</v>
      </c>
    </row>
    <row r="69" spans="2:9" x14ac:dyDescent="0.3">
      <c r="B69" s="133">
        <v>1</v>
      </c>
      <c r="C69" s="176">
        <v>0.14601420678768745</v>
      </c>
      <c r="D69" s="176">
        <v>0</v>
      </c>
      <c r="G69" s="17" cm="1">
        <f t="array" ref="G69:G77">TRANSPOSE(Parameter!AD8:AL8)</f>
        <v>0</v>
      </c>
      <c r="H69" s="177">
        <v>0</v>
      </c>
    </row>
    <row r="70" spans="2:9" x14ac:dyDescent="0.3">
      <c r="B70" s="133">
        <v>2</v>
      </c>
      <c r="C70" s="176">
        <v>0.23993685872138912</v>
      </c>
      <c r="D70" s="176">
        <v>1.18E-2</v>
      </c>
      <c r="G70" s="17">
        <v>0</v>
      </c>
      <c r="H70" s="177">
        <v>0</v>
      </c>
    </row>
    <row r="71" spans="2:9" x14ac:dyDescent="0.3">
      <c r="B71" s="133">
        <v>3</v>
      </c>
      <c r="C71" s="176">
        <v>0.24072612470402527</v>
      </c>
      <c r="D71" s="176">
        <v>0.23769999999999999</v>
      </c>
      <c r="G71" s="17">
        <v>1000</v>
      </c>
      <c r="H71" s="177">
        <v>0.1</v>
      </c>
    </row>
    <row r="72" spans="2:9" x14ac:dyDescent="0.3">
      <c r="B72" s="133">
        <v>4</v>
      </c>
      <c r="C72" s="176">
        <v>0.17363851617995266</v>
      </c>
      <c r="D72" s="176">
        <v>0.39269999999999999</v>
      </c>
      <c r="G72" s="17">
        <v>1500</v>
      </c>
      <c r="H72" s="177">
        <v>0.15</v>
      </c>
    </row>
    <row r="73" spans="2:9" x14ac:dyDescent="0.3">
      <c r="B73" s="133">
        <v>5</v>
      </c>
      <c r="C73" s="176">
        <v>0.10023677979479084</v>
      </c>
      <c r="D73" s="176">
        <v>0.25750000000000001</v>
      </c>
      <c r="G73" s="17">
        <v>2500</v>
      </c>
      <c r="H73" s="177">
        <v>0.25</v>
      </c>
    </row>
    <row r="74" spans="2:9" x14ac:dyDescent="0.3">
      <c r="B74" s="133">
        <v>6</v>
      </c>
      <c r="C74" s="176">
        <v>3.1570639305445937E-2</v>
      </c>
      <c r="D74" s="176">
        <v>8.2699999999999996E-2</v>
      </c>
      <c r="G74" s="17">
        <v>4000</v>
      </c>
      <c r="H74" s="177">
        <v>0.4</v>
      </c>
    </row>
    <row r="75" spans="2:9" x14ac:dyDescent="0.3">
      <c r="B75" s="133">
        <v>7</v>
      </c>
      <c r="C75" s="176">
        <v>1.0260457774269928E-2</v>
      </c>
      <c r="D75" s="176">
        <v>1.5800000000000002E-2</v>
      </c>
      <c r="G75" s="17">
        <v>10000</v>
      </c>
      <c r="H75" s="177">
        <v>1</v>
      </c>
    </row>
    <row r="76" spans="2:9" x14ac:dyDescent="0.3">
      <c r="B76" s="133">
        <v>8</v>
      </c>
      <c r="C76" s="176">
        <v>7.8926598263614838E-4</v>
      </c>
      <c r="D76" s="176">
        <v>1.6999999999999999E-3</v>
      </c>
      <c r="G76" s="17">
        <v>10000</v>
      </c>
      <c r="H76" s="177">
        <v>1</v>
      </c>
    </row>
    <row r="77" spans="2:9" x14ac:dyDescent="0.3">
      <c r="B77" s="133">
        <v>9</v>
      </c>
      <c r="C77" s="176">
        <v>0</v>
      </c>
      <c r="D77" s="176">
        <v>1E-4</v>
      </c>
      <c r="G77" s="17">
        <v>10000</v>
      </c>
      <c r="H77" s="177">
        <v>1</v>
      </c>
    </row>
    <row r="80" spans="2:9" x14ac:dyDescent="0.3">
      <c r="B80" s="178" t="s">
        <v>181</v>
      </c>
      <c r="I80" s="17">
        <f>1/I81</f>
        <v>5.0574015071056486</v>
      </c>
    </row>
    <row r="81" spans="2:11" x14ac:dyDescent="0.3">
      <c r="B81" s="146"/>
      <c r="C81" s="146" t="s">
        <v>180</v>
      </c>
      <c r="D81" s="146" t="s">
        <v>179</v>
      </c>
      <c r="H81" s="177"/>
      <c r="I81" s="177">
        <f>SUMPRODUCT(H68:H77,D68:D77)</f>
        <v>0.19773000000000002</v>
      </c>
    </row>
    <row r="82" spans="2:11" x14ac:dyDescent="0.3">
      <c r="B82" s="179">
        <v>0</v>
      </c>
      <c r="C82" s="180">
        <v>0.64345873104997198</v>
      </c>
      <c r="D82" s="180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77" cm="1">
        <f t="array" ref="H82:H94">_xlfn.ANCHORARRAY(F82)/SUM(_xlfn.ANCHORARRAY(F82))*(1-I81)</f>
        <v>0</v>
      </c>
      <c r="I82" s="177" cm="1">
        <f t="array" ref="I82:I94">_xlfn.ANCHORARRAY(G82)/SUM(_xlfn.ANCHORARRAY(G82))*I81</f>
        <v>0</v>
      </c>
      <c r="J82" s="177" cm="1">
        <f t="array" ref="J82:J86">H82:H86</f>
        <v>0</v>
      </c>
      <c r="K82" s="183"/>
    </row>
    <row r="83" spans="2:11" x14ac:dyDescent="0.3">
      <c r="B83" s="181">
        <v>2</v>
      </c>
      <c r="C83" s="182">
        <v>0.21617069062324537</v>
      </c>
      <c r="D83" s="182">
        <v>0.51666188000000002</v>
      </c>
      <c r="F83" s="17">
        <v>6440</v>
      </c>
      <c r="G83" s="17">
        <v>0</v>
      </c>
      <c r="H83" s="177">
        <v>0.51666188000000002</v>
      </c>
      <c r="I83" s="177">
        <v>0</v>
      </c>
      <c r="J83" s="177">
        <v>0.51666188000000002</v>
      </c>
      <c r="K83" s="177"/>
    </row>
    <row r="84" spans="2:11" x14ac:dyDescent="0.3">
      <c r="B84" s="181">
        <v>3</v>
      </c>
      <c r="C84" s="182">
        <v>8.5906793935991016E-2</v>
      </c>
      <c r="D84" s="182">
        <v>0.2085902</v>
      </c>
      <c r="F84" s="17">
        <v>2600</v>
      </c>
      <c r="G84" s="17">
        <v>0</v>
      </c>
      <c r="H84" s="177">
        <v>0.2085902</v>
      </c>
      <c r="I84" s="177">
        <v>0</v>
      </c>
      <c r="J84" s="177">
        <v>0.2085902</v>
      </c>
      <c r="K84" s="177"/>
    </row>
    <row r="85" spans="2:11" x14ac:dyDescent="0.3">
      <c r="B85" s="181">
        <v>5</v>
      </c>
      <c r="C85" s="182">
        <v>2.1897810218978103E-2</v>
      </c>
      <c r="D85" s="182">
        <v>5.2949820000000002E-2</v>
      </c>
      <c r="F85" s="17">
        <v>660</v>
      </c>
      <c r="G85" s="17">
        <v>0</v>
      </c>
      <c r="H85" s="177">
        <v>5.2949820000000002E-2</v>
      </c>
      <c r="I85" s="177">
        <v>0</v>
      </c>
      <c r="J85" s="177">
        <v>5.2949820000000002E-2</v>
      </c>
      <c r="K85" s="177"/>
    </row>
    <row r="86" spans="2:11" x14ac:dyDescent="0.3">
      <c r="B86" s="181">
        <v>8</v>
      </c>
      <c r="C86" s="182">
        <v>1.0668163952835485E-2</v>
      </c>
      <c r="D86" s="182">
        <v>2.4068100000000002E-2</v>
      </c>
      <c r="F86" s="17">
        <v>300</v>
      </c>
      <c r="G86" s="17">
        <v>0</v>
      </c>
      <c r="H86" s="177">
        <v>2.4068100000000002E-2</v>
      </c>
      <c r="I86" s="177">
        <v>0</v>
      </c>
      <c r="J86" s="177">
        <v>2.4068100000000002E-2</v>
      </c>
      <c r="K86" s="177"/>
    </row>
    <row r="87" spans="2:11" x14ac:dyDescent="0.3">
      <c r="B87" s="181">
        <v>10</v>
      </c>
      <c r="C87" s="182">
        <v>1.0106681639528355E-2</v>
      </c>
      <c r="D87" s="182">
        <v>7.7114700000000008E-2</v>
      </c>
      <c r="F87" s="17">
        <v>0</v>
      </c>
      <c r="G87" s="17">
        <v>3900</v>
      </c>
      <c r="H87" s="177">
        <v>0</v>
      </c>
      <c r="I87" s="177">
        <v>7.7114700000000008E-2</v>
      </c>
      <c r="J87" s="177" cm="1">
        <f t="array" ref="J87:J94">I87:I94</f>
        <v>7.7114700000000008E-2</v>
      </c>
      <c r="K87" s="177"/>
    </row>
    <row r="88" spans="2:11" x14ac:dyDescent="0.3">
      <c r="B88" s="181">
        <v>15</v>
      </c>
      <c r="C88" s="182">
        <v>5.8955642897248733E-3</v>
      </c>
      <c r="D88" s="182">
        <v>2.9659500000000002E-2</v>
      </c>
      <c r="F88" s="17">
        <v>0</v>
      </c>
      <c r="G88" s="17">
        <v>1500</v>
      </c>
      <c r="H88" s="177">
        <v>0</v>
      </c>
      <c r="I88" s="177">
        <v>2.9659500000000002E-2</v>
      </c>
      <c r="J88" s="177">
        <v>2.9659500000000002E-2</v>
      </c>
      <c r="K88" s="177"/>
    </row>
    <row r="89" spans="2:11" x14ac:dyDescent="0.3">
      <c r="B89" s="181">
        <v>20</v>
      </c>
      <c r="C89" s="182">
        <v>2.807411566535654E-3</v>
      </c>
      <c r="D89" s="182">
        <v>4.9432500000000004E-2</v>
      </c>
      <c r="F89" s="17">
        <v>0</v>
      </c>
      <c r="G89" s="17">
        <v>2500</v>
      </c>
      <c r="H89" s="177">
        <v>0</v>
      </c>
      <c r="I89" s="177">
        <v>4.9432500000000004E-2</v>
      </c>
      <c r="J89" s="177">
        <v>4.9432500000000004E-2</v>
      </c>
      <c r="K89" s="177"/>
    </row>
    <row r="90" spans="2:11" x14ac:dyDescent="0.3">
      <c r="B90" s="181">
        <v>25</v>
      </c>
      <c r="C90" s="182">
        <v>5.6148231330713087E-4</v>
      </c>
      <c r="D90" s="182">
        <v>1.9773000000000004E-3</v>
      </c>
      <c r="F90" s="17">
        <v>0</v>
      </c>
      <c r="G90" s="17">
        <v>100</v>
      </c>
      <c r="H90" s="177">
        <v>0</v>
      </c>
      <c r="I90" s="177">
        <v>1.9773000000000004E-3</v>
      </c>
      <c r="J90" s="177">
        <v>1.9773000000000004E-3</v>
      </c>
      <c r="K90" s="177"/>
    </row>
    <row r="91" spans="2:11" x14ac:dyDescent="0.3">
      <c r="B91" s="181">
        <v>35</v>
      </c>
      <c r="C91" s="182">
        <v>5.6148231330713087E-4</v>
      </c>
      <c r="D91" s="182">
        <v>1.9773000000000004E-3</v>
      </c>
      <c r="F91" s="17">
        <v>0</v>
      </c>
      <c r="G91" s="17">
        <v>100</v>
      </c>
      <c r="H91" s="177">
        <v>0</v>
      </c>
      <c r="I91" s="177">
        <v>1.9773000000000004E-3</v>
      </c>
      <c r="J91" s="177">
        <v>1.9773000000000004E-3</v>
      </c>
      <c r="K91" s="177"/>
    </row>
    <row r="92" spans="2:11" x14ac:dyDescent="0.3">
      <c r="B92" s="181">
        <v>50</v>
      </c>
      <c r="C92" s="182">
        <v>8.4222346996069624E-4</v>
      </c>
      <c r="D92" s="182">
        <v>1.9773000000000004E-3</v>
      </c>
      <c r="F92" s="17">
        <v>0</v>
      </c>
      <c r="G92" s="17">
        <v>100</v>
      </c>
      <c r="H92" s="177">
        <v>0</v>
      </c>
      <c r="I92" s="177">
        <v>1.9773000000000004E-3</v>
      </c>
      <c r="J92" s="177">
        <v>1.9773000000000004E-3</v>
      </c>
      <c r="K92" s="177"/>
    </row>
    <row r="93" spans="2:11" x14ac:dyDescent="0.3">
      <c r="B93" s="181">
        <v>80</v>
      </c>
      <c r="C93" s="182">
        <v>8.4222346996069624E-4</v>
      </c>
      <c r="D93" s="182">
        <v>1.9773000000000002E-2</v>
      </c>
      <c r="F93" s="17">
        <v>0</v>
      </c>
      <c r="G93" s="17">
        <v>1000</v>
      </c>
      <c r="H93" s="177">
        <v>0</v>
      </c>
      <c r="I93" s="177">
        <v>1.9773000000000002E-2</v>
      </c>
      <c r="J93" s="177">
        <v>1.9773000000000002E-2</v>
      </c>
      <c r="K93" s="177"/>
    </row>
    <row r="94" spans="2:11" x14ac:dyDescent="0.3">
      <c r="B94" s="181">
        <v>100</v>
      </c>
      <c r="C94" s="182">
        <v>2.8074115665356543E-4</v>
      </c>
      <c r="D94" s="182">
        <v>1.5818400000000003E-2</v>
      </c>
      <c r="F94" s="17">
        <v>0</v>
      </c>
      <c r="G94" s="17">
        <v>800</v>
      </c>
      <c r="H94" s="177">
        <v>0</v>
      </c>
      <c r="I94" s="177">
        <v>1.5818400000000003E-2</v>
      </c>
      <c r="J94" s="177">
        <v>1.5818400000000003E-2</v>
      </c>
      <c r="K94" s="177"/>
    </row>
    <row r="95" spans="2:11" x14ac:dyDescent="0.3">
      <c r="C95" s="17">
        <f>SUMPRODUCT(C82:C94,B82:B94)</f>
        <v>1.301796743402583</v>
      </c>
      <c r="D95" s="17">
        <f>SUMPRODUCT(D82:D94,B82:B94)</f>
        <v>7.7022607600000006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81" priority="32" operator="equal">
      <formula>0</formula>
    </cfRule>
  </conditionalFormatting>
  <conditionalFormatting sqref="C18:C30">
    <cfRule type="cellIs" dxfId="80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79" priority="29" operator="equal">
      <formula>0</formula>
    </cfRule>
  </conditionalFormatting>
  <conditionalFormatting sqref="D18:D30">
    <cfRule type="cellIs" dxfId="78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77" priority="26" operator="equal">
      <formula>0</formula>
    </cfRule>
  </conditionalFormatting>
  <conditionalFormatting sqref="C50:C62">
    <cfRule type="cellIs" dxfId="76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75" priority="23" operator="equal">
      <formula>0</formula>
    </cfRule>
  </conditionalFormatting>
  <conditionalFormatting sqref="D50:D62">
    <cfRule type="cellIs" dxfId="74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73" priority="20" operator="equal">
      <formula>0</formula>
    </cfRule>
  </conditionalFormatting>
  <conditionalFormatting sqref="C63:D63">
    <cfRule type="cellIs" dxfId="72" priority="17" operator="equal">
      <formula>0</formula>
    </cfRule>
  </conditionalFormatting>
  <conditionalFormatting sqref="H36:H45">
    <cfRule type="cellIs" dxfId="71" priority="18" operator="equal">
      <formula>0</formula>
    </cfRule>
  </conditionalFormatting>
  <conditionalFormatting sqref="E81:E94 B80:G80 B78:J79 B68:G77 I68:J77 B95 E95:J95">
    <cfRule type="cellIs" dxfId="70" priority="16" operator="equal">
      <formula>0</formula>
    </cfRule>
  </conditionalFormatting>
  <conditionalFormatting sqref="C82:C94">
    <cfRule type="cellIs" dxfId="69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68" priority="13" operator="equal">
      <formula>0</formula>
    </cfRule>
  </conditionalFormatting>
  <conditionalFormatting sqref="D82:D94">
    <cfRule type="cellIs" dxfId="67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66" priority="10" operator="equal">
      <formula>0</formula>
    </cfRule>
  </conditionalFormatting>
  <conditionalFormatting sqref="H68:H77">
    <cfRule type="cellIs" dxfId="65" priority="8" operator="equal">
      <formula>0</formula>
    </cfRule>
  </conditionalFormatting>
  <conditionalFormatting sqref="C95:D95">
    <cfRule type="cellIs" dxfId="64" priority="7" operator="equal">
      <formula>0</formula>
    </cfRule>
  </conditionalFormatting>
  <conditionalFormatting sqref="T83:W83">
    <cfRule type="cellIs" dxfId="63" priority="6" operator="equal">
      <formula>0</formula>
    </cfRule>
  </conditionalFormatting>
  <conditionalFormatting sqref="H80:J94">
    <cfRule type="cellIs" dxfId="62" priority="1" operator="equal">
      <formula>0</formula>
    </cfRule>
  </conditionalFormatting>
  <conditionalFormatting sqref="Y88">
    <cfRule type="cellIs" dxfId="61" priority="4" operator="equal">
      <formula>0</formula>
    </cfRule>
  </conditionalFormatting>
  <conditionalFormatting sqref="R88:X88">
    <cfRule type="cellIs" dxfId="60" priority="3" operator="equal">
      <formula>0</formula>
    </cfRule>
  </conditionalFormatting>
  <conditionalFormatting sqref="H48:J62">
    <cfRule type="cellIs" dxfId="59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 x14ac:dyDescent="0.3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 x14ac:dyDescent="0.3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 x14ac:dyDescent="0.3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 x14ac:dyDescent="0.3">
      <c r="D4" s="113"/>
      <c r="E4" s="113"/>
      <c r="F4" s="113"/>
      <c r="G4" s="113"/>
    </row>
    <row r="5" spans="1:15" x14ac:dyDescent="0.3">
      <c r="A5" s="52"/>
      <c r="B5" s="52"/>
      <c r="C5" s="1" t="s">
        <v>82</v>
      </c>
    </row>
    <row r="6" spans="1:15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 x14ac:dyDescent="0.3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 x14ac:dyDescent="0.3">
      <c r="A8" s="58"/>
      <c r="B8" s="58">
        <v>75</v>
      </c>
      <c r="C8" s="82"/>
      <c r="D8" s="82"/>
      <c r="E8" s="104"/>
      <c r="F8" s="65"/>
      <c r="G8" s="75"/>
      <c r="H8" s="95"/>
    </row>
    <row r="9" spans="1:15" x14ac:dyDescent="0.3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 x14ac:dyDescent="0.3">
      <c r="A11" s="191" t="s">
        <v>49</v>
      </c>
      <c r="B11" s="191"/>
      <c r="C11" s="191"/>
      <c r="D11" s="191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 x14ac:dyDescent="0.3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 x14ac:dyDescent="0.3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 x14ac:dyDescent="0.3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 x14ac:dyDescent="0.3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 x14ac:dyDescent="0.3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 x14ac:dyDescent="0.3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 x14ac:dyDescent="0.3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 x14ac:dyDescent="0.3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 x14ac:dyDescent="0.3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 x14ac:dyDescent="0.3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 x14ac:dyDescent="0.3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 x14ac:dyDescent="0.3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 x14ac:dyDescent="0.3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 x14ac:dyDescent="0.3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 x14ac:dyDescent="0.3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 x14ac:dyDescent="0.3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 x14ac:dyDescent="0.3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 x14ac:dyDescent="0.3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 x14ac:dyDescent="0.3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 x14ac:dyDescent="0.3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 x14ac:dyDescent="0.3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 x14ac:dyDescent="0.3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 x14ac:dyDescent="0.3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 x14ac:dyDescent="0.3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 x14ac:dyDescent="0.3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 x14ac:dyDescent="0.3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 x14ac:dyDescent="0.3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 x14ac:dyDescent="0.3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 x14ac:dyDescent="0.3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 x14ac:dyDescent="0.3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 x14ac:dyDescent="0.3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 x14ac:dyDescent="0.3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 x14ac:dyDescent="0.3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 x14ac:dyDescent="0.3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 x14ac:dyDescent="0.3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 x14ac:dyDescent="0.3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 x14ac:dyDescent="0.3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 x14ac:dyDescent="0.3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 x14ac:dyDescent="0.3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 x14ac:dyDescent="0.3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 x14ac:dyDescent="0.3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 x14ac:dyDescent="0.3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 x14ac:dyDescent="0.3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 x14ac:dyDescent="0.3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 x14ac:dyDescent="0.3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 x14ac:dyDescent="0.3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 x14ac:dyDescent="0.3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 x14ac:dyDescent="0.3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 x14ac:dyDescent="0.3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 x14ac:dyDescent="0.3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 x14ac:dyDescent="0.3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 x14ac:dyDescent="0.3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 x14ac:dyDescent="0.3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 x14ac:dyDescent="0.3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 x14ac:dyDescent="0.3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 x14ac:dyDescent="0.3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 x14ac:dyDescent="0.3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 x14ac:dyDescent="0.3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 x14ac:dyDescent="0.3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 x14ac:dyDescent="0.3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 x14ac:dyDescent="0.3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 x14ac:dyDescent="0.3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 x14ac:dyDescent="0.3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 x14ac:dyDescent="0.3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 x14ac:dyDescent="0.3">
      <c r="A79" s="192" t="s">
        <v>78</v>
      </c>
      <c r="B79" s="193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 x14ac:dyDescent="0.3">
      <c r="A80" s="192"/>
      <c r="B80" s="193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 x14ac:dyDescent="0.3">
      <c r="A83" s="191" t="s">
        <v>50</v>
      </c>
      <c r="B83" s="191"/>
      <c r="C83" s="191"/>
      <c r="D83" s="191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 x14ac:dyDescent="0.3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 x14ac:dyDescent="0.3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 x14ac:dyDescent="0.3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 x14ac:dyDescent="0.3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 x14ac:dyDescent="0.3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 x14ac:dyDescent="0.3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 x14ac:dyDescent="0.3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 x14ac:dyDescent="0.3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 x14ac:dyDescent="0.3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 x14ac:dyDescent="0.3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 x14ac:dyDescent="0.3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 x14ac:dyDescent="0.3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 x14ac:dyDescent="0.3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 x14ac:dyDescent="0.3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 x14ac:dyDescent="0.3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 x14ac:dyDescent="0.3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 x14ac:dyDescent="0.3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 x14ac:dyDescent="0.3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 x14ac:dyDescent="0.3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 x14ac:dyDescent="0.3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 x14ac:dyDescent="0.3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 x14ac:dyDescent="0.3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 x14ac:dyDescent="0.3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 x14ac:dyDescent="0.3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 x14ac:dyDescent="0.3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 x14ac:dyDescent="0.3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 x14ac:dyDescent="0.3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 x14ac:dyDescent="0.3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 x14ac:dyDescent="0.3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 x14ac:dyDescent="0.3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 x14ac:dyDescent="0.3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 x14ac:dyDescent="0.3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 x14ac:dyDescent="0.3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 x14ac:dyDescent="0.3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 x14ac:dyDescent="0.3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 x14ac:dyDescent="0.3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 x14ac:dyDescent="0.3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 x14ac:dyDescent="0.3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 x14ac:dyDescent="0.3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 x14ac:dyDescent="0.3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 x14ac:dyDescent="0.3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 x14ac:dyDescent="0.3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 x14ac:dyDescent="0.3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 x14ac:dyDescent="0.3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 x14ac:dyDescent="0.3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 x14ac:dyDescent="0.3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 x14ac:dyDescent="0.3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 x14ac:dyDescent="0.3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 x14ac:dyDescent="0.3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 x14ac:dyDescent="0.3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 x14ac:dyDescent="0.3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 x14ac:dyDescent="0.3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 x14ac:dyDescent="0.3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 x14ac:dyDescent="0.3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 x14ac:dyDescent="0.3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 x14ac:dyDescent="0.3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 x14ac:dyDescent="0.3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 x14ac:dyDescent="0.3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 x14ac:dyDescent="0.3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 x14ac:dyDescent="0.3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 x14ac:dyDescent="0.3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 x14ac:dyDescent="0.3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 x14ac:dyDescent="0.3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 x14ac:dyDescent="0.3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58" priority="20" operator="lessThan">
      <formula>0.001</formula>
    </cfRule>
  </conditionalFormatting>
  <conditionalFormatting sqref="E87:E150">
    <cfRule type="cellIs" dxfId="57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AA220"/>
  <sheetViews>
    <sheetView zoomScale="85" zoomScaleNormal="85" workbookViewId="0">
      <selection activeCell="Z66" sqref="Z66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 x14ac:dyDescent="0.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 x14ac:dyDescent="0.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 x14ac:dyDescent="0.3">
      <c r="A3" s="52" t="s">
        <v>74</v>
      </c>
      <c r="B3" s="68">
        <f>Overview!A7</f>
        <v>100</v>
      </c>
      <c r="C3" s="1"/>
      <c r="F3" s="113"/>
      <c r="G3" s="110"/>
    </row>
    <row r="4" spans="1:23" x14ac:dyDescent="0.3">
      <c r="F4" s="113"/>
      <c r="G4" s="113"/>
      <c r="I4" s="1"/>
      <c r="L4" s="138"/>
      <c r="M4" s="139"/>
      <c r="N4" s="136"/>
      <c r="O4" s="137"/>
    </row>
    <row r="5" spans="1:23" x14ac:dyDescent="0.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 x14ac:dyDescent="0.3">
      <c r="A7" s="58" t="s">
        <v>53</v>
      </c>
      <c r="B7" s="58" cm="1">
        <f t="array" ref="B7:B8">Overview!B11:B12</f>
        <v>1</v>
      </c>
      <c r="C7" s="82">
        <f>SUM(N15:N79)</f>
        <v>0.3905549937610126</v>
      </c>
      <c r="D7" s="82">
        <f>SUM(_xlfn.ANCHORARRAY(N87))*M79</f>
        <v>0.76715503536014173</v>
      </c>
      <c r="E7" s="104">
        <f>SUM(C7:D7)</f>
        <v>1.1577100291211544</v>
      </c>
      <c r="F7" s="74">
        <f>M79</f>
        <v>6.2659999999999999E-3</v>
      </c>
      <c r="G7" s="75">
        <f>1/F7</f>
        <v>159.59144589849984</v>
      </c>
      <c r="H7" s="95">
        <f>D7*G7</f>
        <v>122.43138132143979</v>
      </c>
      <c r="I7" s="195"/>
      <c r="L7" s="113"/>
      <c r="M7" s="110"/>
      <c r="N7" s="129"/>
    </row>
    <row r="8" spans="1:23" x14ac:dyDescent="0.3">
      <c r="A8" s="58" t="s">
        <v>55</v>
      </c>
      <c r="B8" s="58">
        <v>75</v>
      </c>
      <c r="C8" s="82">
        <f>N80</f>
        <v>0</v>
      </c>
      <c r="D8" s="82">
        <f>SUM(_xlfn.ANCHORARRAY(N157))/B8</f>
        <v>6.6445586168965685</v>
      </c>
      <c r="E8" s="104">
        <f>SUM(C8:D8)</f>
        <v>6.6445586168965685</v>
      </c>
      <c r="F8" s="65">
        <f>E80</f>
        <v>1</v>
      </c>
      <c r="G8" s="75">
        <f>1/F8</f>
        <v>1</v>
      </c>
      <c r="H8" s="95">
        <f>D8*G8*B8</f>
        <v>498.34189626724265</v>
      </c>
      <c r="I8" s="113"/>
      <c r="L8" s="117"/>
      <c r="M8" s="110"/>
      <c r="N8" s="129"/>
    </row>
    <row r="9" spans="1:23" x14ac:dyDescent="0.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 x14ac:dyDescent="0.3">
      <c r="A11" s="191" t="s">
        <v>49</v>
      </c>
      <c r="B11" s="191"/>
      <c r="C11" s="191"/>
      <c r="D11" s="191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120</v>
      </c>
      <c r="R14" s="86" t="s">
        <v>80</v>
      </c>
      <c r="T14" s="20" t="s">
        <v>61</v>
      </c>
      <c r="U14" s="86" t="s">
        <v>120</v>
      </c>
      <c r="V14" s="86" t="s">
        <v>121</v>
      </c>
      <c r="W14" s="86"/>
    </row>
    <row r="15" spans="1:23" x14ac:dyDescent="0.3">
      <c r="A15" s="64">
        <v>-1</v>
      </c>
      <c r="B15" s="64">
        <v>0</v>
      </c>
      <c r="C15" s="71">
        <v>724391</v>
      </c>
      <c r="D15" s="71">
        <v>0</v>
      </c>
      <c r="E15" s="69" cm="1">
        <f t="array" ref="E15:E78">_xlfn.LET(_xlpm.x, C15:C78, _xlpm.x/SUM(_xlpm.x))</f>
        <v>0.72666764974665632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0.72666764974665632</v>
      </c>
      <c r="K15" s="59" cm="1">
        <f t="array" ref="K15:K78">J15:J78/SUM(_xlfn.ANCHORARRAY(J15))</f>
        <v>0.74016210121260406</v>
      </c>
      <c r="L15" s="128">
        <f>INT($B$2-SUM(_xlfn.ANCHORARRAY(L16)))</f>
        <v>740278469</v>
      </c>
      <c r="M15" s="59" cm="1">
        <f t="array" ref="M15:M79">_xlfn.LET(_xlpm.x, L15:L79, _xlpm.x/SUM(_xlpm.x))</f>
        <v>0.74027846900000005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0.74027846900000005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0.97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 x14ac:dyDescent="0.3">
      <c r="A16" s="58">
        <v>0</v>
      </c>
      <c r="B16" s="58">
        <v>1</v>
      </c>
      <c r="C16" s="72">
        <v>164484</v>
      </c>
      <c r="D16" s="72">
        <v>6793075</v>
      </c>
      <c r="E16" s="59">
        <v>0.16500094796998999</v>
      </c>
      <c r="F16" s="93">
        <v>0.41299305707546025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0.16500094796998999</v>
      </c>
      <c r="K16" s="59">
        <v>0.16806506852770667</v>
      </c>
      <c r="L16" s="128" cm="1">
        <f t="array" ref="L16:L79">INT(K16:K79*$B$2)</f>
        <v>168065068</v>
      </c>
      <c r="M16" s="59">
        <v>0.16806506800000001</v>
      </c>
      <c r="N16" s="59">
        <v>6.9409706220915107E-2</v>
      </c>
      <c r="O16" s="130">
        <v>0.95</v>
      </c>
      <c r="P16" s="59">
        <v>0.16806506800000001</v>
      </c>
      <c r="Q16" s="59">
        <v>0.19096724911677648</v>
      </c>
      <c r="R16" s="83">
        <v>1.1399999999999999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 x14ac:dyDescent="0.3">
      <c r="A17" s="58">
        <v>1</v>
      </c>
      <c r="B17" s="58">
        <v>2</v>
      </c>
      <c r="C17" s="72">
        <v>35481</v>
      </c>
      <c r="D17" s="72">
        <v>5292945</v>
      </c>
      <c r="E17" s="59">
        <v>3.559251133802202E-2</v>
      </c>
      <c r="F17" s="93">
        <v>1.4917688340238435</v>
      </c>
      <c r="G17" s="90"/>
      <c r="H17" s="61" t="str">
        <f t="shared" si="0"/>
        <v>(1, 2]</v>
      </c>
      <c r="I17" s="62">
        <v>1</v>
      </c>
      <c r="J17" s="59">
        <v>3.559251133802202E-2</v>
      </c>
      <c r="K17" s="59">
        <v>3.6253475696308206E-2</v>
      </c>
      <c r="L17" s="128">
        <v>36253475</v>
      </c>
      <c r="M17" s="59">
        <v>3.6253475E-2</v>
      </c>
      <c r="N17" s="59">
        <v>5.4081804130062562E-2</v>
      </c>
      <c r="O17" s="130">
        <v>0.95</v>
      </c>
      <c r="P17" s="59">
        <v>3.6253475E-2</v>
      </c>
      <c r="Q17" s="59">
        <v>3.2464432349852003E-2</v>
      </c>
      <c r="R17" s="83">
        <v>0.9</v>
      </c>
      <c r="T17" s="61" t="str">
        <f t="shared" si="1"/>
        <v>(1, 2]</v>
      </c>
      <c r="U17" s="59">
        <v>3.2464432349852003E-2</v>
      </c>
      <c r="V17" s="59"/>
      <c r="W17" s="59"/>
    </row>
    <row r="18" spans="1:23" x14ac:dyDescent="0.3">
      <c r="A18" s="58">
        <v>2</v>
      </c>
      <c r="B18" s="58">
        <v>3</v>
      </c>
      <c r="C18" s="72">
        <v>16126</v>
      </c>
      <c r="D18" s="72">
        <v>4066310</v>
      </c>
      <c r="E18" s="59">
        <v>1.6176681543275079E-2</v>
      </c>
      <c r="F18" s="93">
        <v>2.5215862582165447</v>
      </c>
      <c r="G18" s="90"/>
      <c r="H18" s="61" t="str">
        <f t="shared" si="0"/>
        <v>(2, 3]</v>
      </c>
      <c r="I18" s="62">
        <v>1</v>
      </c>
      <c r="J18" s="59">
        <v>1.6176681543275079E-2</v>
      </c>
      <c r="K18" s="59">
        <v>1.6477087711131766E-2</v>
      </c>
      <c r="L18" s="128">
        <v>16477087</v>
      </c>
      <c r="M18" s="59">
        <v>1.6477087000000001E-2</v>
      </c>
      <c r="N18" s="59">
        <v>4.1548396154638477E-2</v>
      </c>
      <c r="O18" s="130">
        <v>0.95</v>
      </c>
      <c r="P18" s="59">
        <v>1.6477087000000001E-2</v>
      </c>
      <c r="Q18" s="59">
        <v>1.4990929055666954E-2</v>
      </c>
      <c r="R18" s="83">
        <v>0.91</v>
      </c>
      <c r="T18" s="61" t="str">
        <f t="shared" si="1"/>
        <v>(2, 3]</v>
      </c>
      <c r="U18" s="59">
        <v>1.4990929055666954E-2</v>
      </c>
      <c r="V18" s="59"/>
      <c r="W18" s="59"/>
    </row>
    <row r="19" spans="1:23" x14ac:dyDescent="0.3">
      <c r="A19" s="58">
        <v>3</v>
      </c>
      <c r="B19" s="58">
        <v>4</v>
      </c>
      <c r="C19" s="72">
        <v>7673</v>
      </c>
      <c r="D19" s="72">
        <v>2744615</v>
      </c>
      <c r="E19" s="59">
        <v>7.6971150614876405E-3</v>
      </c>
      <c r="F19" s="93">
        <v>3.5769777140622967</v>
      </c>
      <c r="G19" s="90"/>
      <c r="H19" s="61" t="str">
        <f t="shared" si="0"/>
        <v>(3, 4]</v>
      </c>
      <c r="I19" s="62">
        <v>1</v>
      </c>
      <c r="J19" s="59">
        <v>7.6971150614876405E-3</v>
      </c>
      <c r="K19" s="59">
        <v>7.8400529584220537E-3</v>
      </c>
      <c r="L19" s="128">
        <v>7840052</v>
      </c>
      <c r="M19" s="59">
        <v>7.8400520000000001E-3</v>
      </c>
      <c r="N19" s="59">
        <v>2.8043691281089536E-2</v>
      </c>
      <c r="O19" s="130">
        <v>0.95</v>
      </c>
      <c r="P19" s="59">
        <v>7.8400520000000001E-3</v>
      </c>
      <c r="Q19" s="59">
        <v>8.0206244629046127E-3</v>
      </c>
      <c r="R19" s="83">
        <v>1.02</v>
      </c>
      <c r="T19" s="61" t="str">
        <f t="shared" si="1"/>
        <v>(3, 4]</v>
      </c>
      <c r="U19" s="59">
        <v>8.0206244629046127E-3</v>
      </c>
      <c r="V19" s="59"/>
      <c r="W19" s="59"/>
    </row>
    <row r="20" spans="1:23" x14ac:dyDescent="0.3">
      <c r="A20" s="58">
        <v>4</v>
      </c>
      <c r="B20" s="58">
        <v>5</v>
      </c>
      <c r="C20" s="72">
        <v>5289</v>
      </c>
      <c r="D20" s="72">
        <v>2441570</v>
      </c>
      <c r="E20" s="59">
        <v>5.3056225153405622E-3</v>
      </c>
      <c r="F20" s="93">
        <v>4.6163168840990743</v>
      </c>
      <c r="G20" s="90"/>
      <c r="H20" s="61" t="str">
        <f t="shared" si="0"/>
        <v>(4, 5]</v>
      </c>
      <c r="I20" s="62">
        <v>1</v>
      </c>
      <c r="J20" s="59">
        <v>5.3056225153405622E-3</v>
      </c>
      <c r="K20" s="59">
        <v>5.4041496281890065E-3</v>
      </c>
      <c r="L20" s="128">
        <v>5404149</v>
      </c>
      <c r="M20" s="59">
        <v>5.4041489999999996E-3</v>
      </c>
      <c r="N20" s="59">
        <v>2.4947264272887126E-2</v>
      </c>
      <c r="O20" s="130">
        <v>0.95</v>
      </c>
      <c r="P20" s="59">
        <v>5.4041489999999996E-3</v>
      </c>
      <c r="Q20" s="59">
        <v>6.779337343645565E-3</v>
      </c>
      <c r="R20" s="83">
        <v>1.25</v>
      </c>
      <c r="T20" s="61" t="str">
        <f t="shared" si="1"/>
        <v>(4, 5]</v>
      </c>
      <c r="U20" s="59">
        <v>6.779337343645565E-3</v>
      </c>
      <c r="V20" s="59"/>
      <c r="W20" s="59"/>
    </row>
    <row r="21" spans="1:23" x14ac:dyDescent="0.3">
      <c r="A21" s="58">
        <v>5</v>
      </c>
      <c r="B21" s="58">
        <v>6</v>
      </c>
      <c r="C21" s="72">
        <v>3951</v>
      </c>
      <c r="D21" s="72">
        <v>2214305</v>
      </c>
      <c r="E21" s="59">
        <v>3.9634173866724444E-3</v>
      </c>
      <c r="F21" s="93">
        <v>5.6044166033915461</v>
      </c>
      <c r="G21" s="90"/>
      <c r="H21" s="61" t="str">
        <f t="shared" si="0"/>
        <v>(5, 6]</v>
      </c>
      <c r="I21" s="62">
        <v>1</v>
      </c>
      <c r="J21" s="59">
        <v>3.9634173866724444E-3</v>
      </c>
      <c r="K21" s="59">
        <v>4.0370193195263301E-3</v>
      </c>
      <c r="L21" s="128">
        <v>4037019</v>
      </c>
      <c r="M21" s="59">
        <v>4.0370190000000002E-3</v>
      </c>
      <c r="N21" s="59">
        <v>2.2625136311807136E-2</v>
      </c>
      <c r="O21" s="130">
        <v>0.95</v>
      </c>
      <c r="P21" s="59">
        <v>4.0370190000000002E-3</v>
      </c>
      <c r="Q21" s="59">
        <v>4.3922467296858593E-3</v>
      </c>
      <c r="R21" s="83">
        <v>1.0900000000000001</v>
      </c>
      <c r="T21" s="61" t="str">
        <f t="shared" si="1"/>
        <v>(5, 6]</v>
      </c>
      <c r="U21" s="59">
        <v>4.3922467296858593E-3</v>
      </c>
      <c r="V21" s="59"/>
      <c r="W21" s="59"/>
    </row>
    <row r="22" spans="1:23" x14ac:dyDescent="0.3">
      <c r="A22" s="58">
        <v>6</v>
      </c>
      <c r="B22" s="58">
        <v>7</v>
      </c>
      <c r="C22" s="72">
        <v>2541</v>
      </c>
      <c r="D22" s="72">
        <v>1670120</v>
      </c>
      <c r="E22" s="59">
        <v>2.5489859730535767E-3</v>
      </c>
      <c r="F22" s="93">
        <v>6.5726879181424636</v>
      </c>
      <c r="G22" s="90"/>
      <c r="H22" s="61" t="str">
        <f t="shared" si="0"/>
        <v>(6, 7]</v>
      </c>
      <c r="I22" s="62">
        <v>1</v>
      </c>
      <c r="J22" s="59">
        <v>2.5489859730535767E-3</v>
      </c>
      <c r="K22" s="59">
        <v>2.5963214606217174E-3</v>
      </c>
      <c r="L22" s="128">
        <v>2596321</v>
      </c>
      <c r="M22" s="59">
        <v>2.596321E-3</v>
      </c>
      <c r="N22" s="59">
        <v>1.7064807668319557E-2</v>
      </c>
      <c r="O22" s="130">
        <v>0.95</v>
      </c>
      <c r="P22" s="59">
        <v>2.596321E-3</v>
      </c>
      <c r="Q22" s="59">
        <v>4.6786976033610234E-3</v>
      </c>
      <c r="R22" s="83">
        <v>1.8</v>
      </c>
      <c r="T22" s="61" t="str">
        <f t="shared" si="1"/>
        <v>(6, 7]</v>
      </c>
      <c r="U22" s="59">
        <v>4.6786976033610234E-3</v>
      </c>
      <c r="V22" s="59"/>
      <c r="W22" s="59"/>
    </row>
    <row r="23" spans="1:23" x14ac:dyDescent="0.3">
      <c r="A23" s="58">
        <v>7</v>
      </c>
      <c r="B23" s="58">
        <v>8</v>
      </c>
      <c r="C23" s="72">
        <v>2841</v>
      </c>
      <c r="D23" s="72">
        <v>2175740</v>
      </c>
      <c r="E23" s="59">
        <v>2.8499288270150383E-3</v>
      </c>
      <c r="F23" s="93">
        <v>7.6583597324885604</v>
      </c>
      <c r="G23" s="90"/>
      <c r="H23" s="61" t="str">
        <f t="shared" si="0"/>
        <v>(7, 8]</v>
      </c>
      <c r="I23" s="62">
        <v>1</v>
      </c>
      <c r="J23" s="59">
        <v>2.8499288270150383E-3</v>
      </c>
      <c r="K23" s="59">
        <v>2.9028529199631248E-3</v>
      </c>
      <c r="L23" s="128">
        <v>2902852</v>
      </c>
      <c r="M23" s="59">
        <v>2.902852E-3</v>
      </c>
      <c r="N23" s="59">
        <v>2.2231084866173884E-2</v>
      </c>
      <c r="O23" s="130">
        <v>0.95</v>
      </c>
      <c r="P23" s="59">
        <v>2.902852E-3</v>
      </c>
      <c r="Q23" s="59">
        <v>4.0103122314523064E-3</v>
      </c>
      <c r="R23" s="83">
        <v>1.38</v>
      </c>
      <c r="T23" s="61" t="str">
        <f t="shared" si="1"/>
        <v>(7, 8]</v>
      </c>
      <c r="U23" s="59">
        <v>4.0103122314523064E-3</v>
      </c>
      <c r="V23" s="59"/>
      <c r="W23" s="59"/>
    </row>
    <row r="24" spans="1:23" x14ac:dyDescent="0.3">
      <c r="A24" s="58">
        <v>8</v>
      </c>
      <c r="B24" s="58">
        <v>9</v>
      </c>
      <c r="C24" s="72">
        <v>1881</v>
      </c>
      <c r="D24" s="72">
        <v>1620565</v>
      </c>
      <c r="E24" s="59">
        <v>1.886911694338362E-3</v>
      </c>
      <c r="F24" s="93">
        <v>8.6154439128123332</v>
      </c>
      <c r="G24" s="90"/>
      <c r="H24" s="61" t="str">
        <f t="shared" si="0"/>
        <v>(8, 9]</v>
      </c>
      <c r="I24" s="62">
        <v>1</v>
      </c>
      <c r="J24" s="59">
        <v>1.886911694338362E-3</v>
      </c>
      <c r="K24" s="59">
        <v>1.921952250070622E-3</v>
      </c>
      <c r="L24" s="128">
        <v>1921952</v>
      </c>
      <c r="M24" s="59">
        <v>1.921952E-3</v>
      </c>
      <c r="N24" s="59">
        <v>1.6558469659117489E-2</v>
      </c>
      <c r="O24" s="130">
        <v>0.95</v>
      </c>
      <c r="P24" s="59">
        <v>1.921952E-3</v>
      </c>
      <c r="Q24" s="59">
        <v>3.532894108660365E-3</v>
      </c>
      <c r="R24" s="83">
        <v>1.84</v>
      </c>
      <c r="T24" s="61" t="str">
        <f t="shared" si="1"/>
        <v>(8, 9]</v>
      </c>
      <c r="U24" s="59">
        <v>3.532894108660365E-3</v>
      </c>
      <c r="V24" s="59"/>
      <c r="W24" s="59"/>
    </row>
    <row r="25" spans="1:23" x14ac:dyDescent="0.3">
      <c r="A25" s="58">
        <v>9</v>
      </c>
      <c r="B25" s="58">
        <v>10</v>
      </c>
      <c r="C25" s="72">
        <v>1798</v>
      </c>
      <c r="D25" s="72">
        <v>1744480</v>
      </c>
      <c r="E25" s="59">
        <v>1.8036508380756911E-3</v>
      </c>
      <c r="F25" s="93">
        <v>9.7023359288097897</v>
      </c>
      <c r="G25" s="90"/>
      <c r="H25" s="61" t="str">
        <f t="shared" si="0"/>
        <v>(9, 10]</v>
      </c>
      <c r="I25" s="62">
        <v>1</v>
      </c>
      <c r="J25" s="59">
        <v>1.8036508380756911E-3</v>
      </c>
      <c r="K25" s="59">
        <v>1.8371452129861661E-3</v>
      </c>
      <c r="L25" s="128">
        <v>1837145</v>
      </c>
      <c r="M25" s="59">
        <v>1.8371450000000001E-3</v>
      </c>
      <c r="N25" s="59">
        <v>1.7824597939933261E-2</v>
      </c>
      <c r="O25" s="130">
        <v>0.95</v>
      </c>
      <c r="P25" s="59">
        <v>1.8371450000000001E-3</v>
      </c>
      <c r="Q25" s="59">
        <v>1.2412871192590471E-3</v>
      </c>
      <c r="R25" s="83">
        <v>0.68</v>
      </c>
      <c r="T25" s="61" t="str">
        <f t="shared" si="1"/>
        <v>(9, 10]</v>
      </c>
      <c r="U25" s="59">
        <v>1.2412871192590471E-3</v>
      </c>
      <c r="V25" s="59"/>
      <c r="W25" s="59"/>
    </row>
    <row r="26" spans="1:23" x14ac:dyDescent="0.3">
      <c r="A26" s="58">
        <v>10</v>
      </c>
      <c r="B26" s="58">
        <v>15</v>
      </c>
      <c r="C26" s="72">
        <v>5990</v>
      </c>
      <c r="D26" s="72">
        <v>7459035</v>
      </c>
      <c r="E26" s="59">
        <v>6.0088256507638427E-3</v>
      </c>
      <c r="F26" s="93">
        <v>12.452479131886477</v>
      </c>
      <c r="G26" s="107">
        <f>SUM($L$15:L25)-1000</f>
        <v>987612589</v>
      </c>
      <c r="H26" s="61" t="str">
        <f t="shared" si="0"/>
        <v>(10, 15]</v>
      </c>
      <c r="I26" s="62">
        <v>1</v>
      </c>
      <c r="J26" s="59">
        <v>6.0088256507638427E-3</v>
      </c>
      <c r="K26" s="59">
        <v>6.1204114715167606E-3</v>
      </c>
      <c r="L26" s="128">
        <v>6120411</v>
      </c>
      <c r="M26" s="59">
        <v>6.1204110000000001E-3</v>
      </c>
      <c r="N26" s="59">
        <v>7.6214290256068448E-2</v>
      </c>
      <c r="O26" s="130">
        <v>0.95</v>
      </c>
      <c r="P26" s="59">
        <v>6.1204110000000001E-3</v>
      </c>
      <c r="Q26" s="59">
        <v>4.6786976033610234E-3</v>
      </c>
      <c r="R26" s="83">
        <v>0.76</v>
      </c>
      <c r="T26" s="61" t="str">
        <f t="shared" si="1"/>
        <v>(10, 15]</v>
      </c>
      <c r="U26" s="59">
        <v>4.6786976033610234E-3</v>
      </c>
      <c r="V26" s="59"/>
      <c r="W26" s="59"/>
    </row>
    <row r="27" spans="1:23" x14ac:dyDescent="0.3">
      <c r="A27" s="58">
        <v>15</v>
      </c>
      <c r="B27" s="58">
        <v>20</v>
      </c>
      <c r="C27" s="72">
        <v>4007</v>
      </c>
      <c r="D27" s="72">
        <v>7050070</v>
      </c>
      <c r="E27" s="59">
        <v>4.0195933860785842E-3</v>
      </c>
      <c r="F27" s="93">
        <v>17.594384826553529</v>
      </c>
      <c r="G27" s="107">
        <f>SUM($L$15:L26)-1000</f>
        <v>993733000</v>
      </c>
      <c r="H27" s="124" t="str">
        <f t="shared" si="0"/>
        <v>(15, 20]</v>
      </c>
      <c r="I27" s="62">
        <v>0</v>
      </c>
      <c r="J27" s="59">
        <v>0</v>
      </c>
      <c r="K27" s="59">
        <v>0</v>
      </c>
      <c r="L27" s="128">
        <v>0</v>
      </c>
      <c r="M27" s="59">
        <v>0</v>
      </c>
      <c r="N27" s="59">
        <v>0</v>
      </c>
      <c r="O27" s="130">
        <v>0</v>
      </c>
      <c r="P27" s="59">
        <v>0</v>
      </c>
      <c r="Q27" s="59">
        <v>2.4825742385180941E-3</v>
      </c>
      <c r="R27" s="83">
        <v>0</v>
      </c>
      <c r="T27" s="61" t="str">
        <f t="shared" si="1"/>
        <v>(15, 20]</v>
      </c>
      <c r="U27" s="59">
        <v>2.4825742385180941E-3</v>
      </c>
      <c r="V27" s="59"/>
      <c r="W27" s="59"/>
    </row>
    <row r="28" spans="1:23" x14ac:dyDescent="0.3">
      <c r="A28" s="58">
        <v>20</v>
      </c>
      <c r="B28" s="58">
        <v>25</v>
      </c>
      <c r="C28" s="72">
        <v>2755</v>
      </c>
      <c r="D28" s="72">
        <v>6227820</v>
      </c>
      <c r="E28" s="59">
        <v>2.7636585422127526E-3</v>
      </c>
      <c r="F28" s="93">
        <v>22.60551724137931</v>
      </c>
      <c r="G28" s="107">
        <f>SUM($L$15:L27)-1000</f>
        <v>993733000</v>
      </c>
      <c r="H28" s="61" t="str">
        <f t="shared" si="0"/>
        <v>(20, 25]</v>
      </c>
      <c r="I28" s="62">
        <v>0</v>
      </c>
      <c r="J28" s="59">
        <v>0</v>
      </c>
      <c r="K28" s="59">
        <v>0</v>
      </c>
      <c r="L28" s="128">
        <v>0</v>
      </c>
      <c r="M28" s="59">
        <v>0</v>
      </c>
      <c r="N28" s="59">
        <v>0</v>
      </c>
      <c r="O28" s="130">
        <v>0</v>
      </c>
      <c r="P28" s="59">
        <v>0</v>
      </c>
      <c r="Q28" s="59">
        <v>9.5483624558388236E-4</v>
      </c>
      <c r="R28" s="83">
        <v>0</v>
      </c>
      <c r="T28" s="61" t="str">
        <f t="shared" si="1"/>
        <v>(20, 25]</v>
      </c>
      <c r="U28" s="59">
        <v>9.5483624558388236E-4</v>
      </c>
      <c r="V28" s="59"/>
      <c r="W28" s="59"/>
    </row>
    <row r="29" spans="1:23" x14ac:dyDescent="0.3">
      <c r="A29" s="58">
        <v>25</v>
      </c>
      <c r="B29" s="58">
        <v>30</v>
      </c>
      <c r="C29" s="72">
        <v>2166</v>
      </c>
      <c r="D29" s="72">
        <v>5974070</v>
      </c>
      <c r="E29" s="59">
        <v>2.1728074056017502E-3</v>
      </c>
      <c r="F29" s="93">
        <v>27.581117266851336</v>
      </c>
      <c r="G29" s="107">
        <f>SUM($L$15:L28)-1000</f>
        <v>993733000</v>
      </c>
      <c r="H29" s="61" t="str">
        <f t="shared" si="0"/>
        <v>(25, 30]</v>
      </c>
      <c r="I29" s="62">
        <v>0</v>
      </c>
      <c r="J29" s="59">
        <v>0</v>
      </c>
      <c r="K29" s="59">
        <v>0</v>
      </c>
      <c r="L29" s="128">
        <v>0</v>
      </c>
      <c r="M29" s="59">
        <v>0</v>
      </c>
      <c r="N29" s="59">
        <v>0</v>
      </c>
      <c r="O29" s="130">
        <v>0</v>
      </c>
      <c r="P29" s="59">
        <v>0</v>
      </c>
      <c r="Q29" s="59">
        <v>1.1458034947006588E-3</v>
      </c>
      <c r="R29" s="83">
        <v>0</v>
      </c>
      <c r="T29" s="61" t="str">
        <f t="shared" si="1"/>
        <v>(25, 30]</v>
      </c>
      <c r="U29" s="59">
        <v>1.1458034947006588E-3</v>
      </c>
      <c r="V29" s="59"/>
      <c r="W29" s="59"/>
    </row>
    <row r="30" spans="1:23" x14ac:dyDescent="0.3">
      <c r="A30" s="58">
        <v>30</v>
      </c>
      <c r="B30" s="58">
        <v>35</v>
      </c>
      <c r="C30" s="72">
        <v>1524</v>
      </c>
      <c r="D30" s="72">
        <v>4962115</v>
      </c>
      <c r="E30" s="59">
        <v>1.5287896981242232E-3</v>
      </c>
      <c r="F30" s="93">
        <v>32.559809711286086</v>
      </c>
      <c r="G30" s="107">
        <f>SUM($L$15:L29)-1000</f>
        <v>993733000</v>
      </c>
      <c r="H30" s="61" t="str">
        <f t="shared" si="0"/>
        <v>(30, 35]</v>
      </c>
      <c r="I30" s="62">
        <v>0</v>
      </c>
      <c r="J30" s="59">
        <v>0</v>
      </c>
      <c r="K30" s="59">
        <v>0</v>
      </c>
      <c r="L30" s="128">
        <v>0</v>
      </c>
      <c r="M30" s="59">
        <v>0</v>
      </c>
      <c r="N30" s="59">
        <v>0</v>
      </c>
      <c r="O30" s="130">
        <v>0</v>
      </c>
      <c r="P30" s="59">
        <v>0</v>
      </c>
      <c r="Q30" s="59">
        <v>1.3367707438174353E-3</v>
      </c>
      <c r="R30" s="83">
        <v>0</v>
      </c>
      <c r="T30" s="61" t="str">
        <f t="shared" si="1"/>
        <v>(30, 35]</v>
      </c>
      <c r="U30" s="59">
        <v>1.3367707438174353E-3</v>
      </c>
      <c r="V30" s="59"/>
      <c r="W30" s="59"/>
    </row>
    <row r="31" spans="1:23" x14ac:dyDescent="0.3">
      <c r="A31" s="58">
        <v>35</v>
      </c>
      <c r="B31" s="58">
        <v>40</v>
      </c>
      <c r="C31" s="72">
        <v>1404</v>
      </c>
      <c r="D31" s="72">
        <v>5290095</v>
      </c>
      <c r="E31" s="59">
        <v>1.4084125565396388E-3</v>
      </c>
      <c r="F31" s="93">
        <v>37.678739316239316</v>
      </c>
      <c r="G31" s="107">
        <f>SUM($L$15:L30)-1000</f>
        <v>993733000</v>
      </c>
      <c r="H31" s="124" t="str">
        <f t="shared" si="0"/>
        <v>(35, 40]</v>
      </c>
      <c r="I31" s="62">
        <v>0</v>
      </c>
      <c r="J31" s="59">
        <v>0</v>
      </c>
      <c r="K31" s="59">
        <v>0</v>
      </c>
      <c r="L31" s="128">
        <v>0</v>
      </c>
      <c r="M31" s="59">
        <v>0</v>
      </c>
      <c r="N31" s="59">
        <v>0</v>
      </c>
      <c r="O31" s="130">
        <v>0</v>
      </c>
      <c r="P31" s="59">
        <v>0</v>
      </c>
      <c r="Q31" s="59">
        <v>9.5483624558388236E-4</v>
      </c>
      <c r="R31" s="83">
        <v>0</v>
      </c>
      <c r="T31" s="61" t="str">
        <f t="shared" si="1"/>
        <v>(35, 40]</v>
      </c>
      <c r="U31" s="59">
        <v>9.5483624558388236E-4</v>
      </c>
      <c r="V31" s="59"/>
      <c r="W31" s="59"/>
    </row>
    <row r="32" spans="1:23" x14ac:dyDescent="0.3">
      <c r="A32" s="58">
        <v>40</v>
      </c>
      <c r="B32" s="58">
        <v>45</v>
      </c>
      <c r="C32" s="72">
        <v>1062</v>
      </c>
      <c r="D32" s="72">
        <v>4537870</v>
      </c>
      <c r="E32" s="59">
        <v>1.0653377030235729E-3</v>
      </c>
      <c r="F32" s="93">
        <v>42.729472693032015</v>
      </c>
      <c r="G32" s="107">
        <f>SUM($L$15:L31)-1000</f>
        <v>993733000</v>
      </c>
      <c r="H32" s="61" t="str">
        <f t="shared" si="0"/>
        <v>(40, 45]</v>
      </c>
      <c r="I32" s="62">
        <v>0</v>
      </c>
      <c r="J32" s="59">
        <v>0</v>
      </c>
      <c r="K32" s="59">
        <v>0</v>
      </c>
      <c r="L32" s="128">
        <v>0</v>
      </c>
      <c r="M32" s="59">
        <v>0</v>
      </c>
      <c r="N32" s="59">
        <v>0</v>
      </c>
      <c r="O32" s="130">
        <v>0</v>
      </c>
      <c r="P32" s="59">
        <v>0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 x14ac:dyDescent="0.3">
      <c r="A33" s="58">
        <v>45</v>
      </c>
      <c r="B33" s="58">
        <v>50</v>
      </c>
      <c r="C33" s="72">
        <v>898</v>
      </c>
      <c r="D33" s="72">
        <v>4301205</v>
      </c>
      <c r="E33" s="59">
        <v>9.0082227619130736E-4</v>
      </c>
      <c r="F33" s="93">
        <v>47.897605790645876</v>
      </c>
      <c r="G33" s="107">
        <f>SUM($L$15:L32)-1000</f>
        <v>993733000</v>
      </c>
      <c r="H33" s="61" t="str">
        <f t="shared" si="0"/>
        <v>(45, 50]</v>
      </c>
      <c r="I33" s="62">
        <v>0</v>
      </c>
      <c r="J33" s="59">
        <v>0</v>
      </c>
      <c r="K33" s="59">
        <v>0</v>
      </c>
      <c r="L33" s="128">
        <v>0</v>
      </c>
      <c r="M33" s="59">
        <v>0</v>
      </c>
      <c r="N33" s="59">
        <v>0</v>
      </c>
      <c r="O33" s="130">
        <v>0</v>
      </c>
      <c r="P33" s="59">
        <v>0</v>
      </c>
      <c r="Q33" s="59">
        <v>5.7290174735032942E-4</v>
      </c>
      <c r="R33" s="83">
        <v>0</v>
      </c>
      <c r="T33" s="61" t="str">
        <f t="shared" si="1"/>
        <v>(45, 50]</v>
      </c>
      <c r="U33" s="59">
        <v>5.7290174735032942E-4</v>
      </c>
      <c r="V33" s="59"/>
      <c r="W33" s="59"/>
    </row>
    <row r="34" spans="1:23" x14ac:dyDescent="0.3">
      <c r="A34" s="58">
        <v>50</v>
      </c>
      <c r="B34" s="58">
        <v>60</v>
      </c>
      <c r="C34" s="72">
        <v>1594</v>
      </c>
      <c r="D34" s="72">
        <v>8835000</v>
      </c>
      <c r="E34" s="59">
        <v>1.5990096973818974E-3</v>
      </c>
      <c r="F34" s="93">
        <v>55.426599749058965</v>
      </c>
      <c r="G34" s="107">
        <f>SUM($L$15:L33)-1000</f>
        <v>993733000</v>
      </c>
      <c r="H34" s="124" t="str">
        <f t="shared" si="0"/>
        <v>(50, 60]</v>
      </c>
      <c r="I34" s="62">
        <v>0</v>
      </c>
      <c r="J34" s="59">
        <v>0</v>
      </c>
      <c r="K34" s="59">
        <v>0</v>
      </c>
      <c r="L34" s="128">
        <v>0</v>
      </c>
      <c r="M34" s="59">
        <v>0</v>
      </c>
      <c r="N34" s="59">
        <v>0</v>
      </c>
      <c r="O34" s="130">
        <v>0</v>
      </c>
      <c r="P34" s="59">
        <v>0</v>
      </c>
      <c r="Q34" s="59">
        <v>9.5483624558388236E-5</v>
      </c>
      <c r="R34" s="83">
        <v>0</v>
      </c>
      <c r="T34" s="61" t="str">
        <f t="shared" si="1"/>
        <v>(50, 60]</v>
      </c>
      <c r="U34" s="59">
        <v>9.5483624558388236E-5</v>
      </c>
      <c r="V34" s="59"/>
      <c r="W34" s="59"/>
    </row>
    <row r="35" spans="1:23" x14ac:dyDescent="0.3">
      <c r="A35" s="58">
        <v>60</v>
      </c>
      <c r="B35" s="58">
        <v>70</v>
      </c>
      <c r="C35" s="72">
        <v>1145</v>
      </c>
      <c r="D35" s="72">
        <v>7455825</v>
      </c>
      <c r="E35" s="59">
        <v>1.1485985592862439E-3</v>
      </c>
      <c r="F35" s="93">
        <v>65.116375545851525</v>
      </c>
      <c r="G35" s="90"/>
      <c r="H35" s="61" t="str">
        <f t="shared" si="0"/>
        <v>(60, 70]</v>
      </c>
      <c r="I35" s="62">
        <v>0</v>
      </c>
      <c r="J35" s="59">
        <v>0</v>
      </c>
      <c r="K35" s="59">
        <v>0</v>
      </c>
      <c r="L35" s="128">
        <v>0</v>
      </c>
      <c r="M35" s="59">
        <v>0</v>
      </c>
      <c r="N35" s="59">
        <v>0</v>
      </c>
      <c r="O35" s="130">
        <v>0</v>
      </c>
      <c r="P35" s="59">
        <v>0</v>
      </c>
      <c r="Q35" s="59">
        <v>1.9096724911677647E-4</v>
      </c>
      <c r="R35" s="83">
        <v>0</v>
      </c>
      <c r="T35" s="61" t="str">
        <f t="shared" si="1"/>
        <v>(60, 70]</v>
      </c>
      <c r="U35" s="59">
        <v>1.9096724911677647E-4</v>
      </c>
      <c r="V35" s="59"/>
      <c r="W35" s="59"/>
    </row>
    <row r="36" spans="1:23" x14ac:dyDescent="0.3">
      <c r="A36" s="58">
        <v>70</v>
      </c>
      <c r="B36" s="58">
        <v>80</v>
      </c>
      <c r="C36" s="72">
        <v>990</v>
      </c>
      <c r="D36" s="72">
        <v>7468905</v>
      </c>
      <c r="E36" s="59">
        <v>9.931114180728221E-4</v>
      </c>
      <c r="F36" s="93">
        <v>75.443484848484843</v>
      </c>
      <c r="G36" s="90"/>
      <c r="H36" s="61" t="str">
        <f t="shared" si="0"/>
        <v>(70, 80]</v>
      </c>
      <c r="I36" s="62">
        <v>0</v>
      </c>
      <c r="J36" s="59">
        <v>0</v>
      </c>
      <c r="K36" s="59">
        <v>0</v>
      </c>
      <c r="L36" s="128">
        <v>0</v>
      </c>
      <c r="M36" s="59">
        <v>0</v>
      </c>
      <c r="N36" s="59">
        <v>0</v>
      </c>
      <c r="O36" s="130">
        <v>0</v>
      </c>
      <c r="P36" s="59">
        <v>0</v>
      </c>
      <c r="Q36" s="59">
        <v>1.9096724911677647E-4</v>
      </c>
      <c r="R36" s="83">
        <v>0</v>
      </c>
      <c r="T36" s="61" t="str">
        <f t="shared" si="1"/>
        <v>(70, 80]</v>
      </c>
      <c r="U36" s="59">
        <v>1.9096724911677647E-4</v>
      </c>
      <c r="V36" s="59"/>
      <c r="W36" s="59"/>
    </row>
    <row r="37" spans="1:23" x14ac:dyDescent="0.3">
      <c r="A37" s="58">
        <v>80</v>
      </c>
      <c r="B37" s="58">
        <v>90</v>
      </c>
      <c r="C37" s="72">
        <v>686</v>
      </c>
      <c r="D37" s="72">
        <v>5848215</v>
      </c>
      <c r="E37" s="59">
        <v>6.8815599272520811E-4</v>
      </c>
      <c r="F37" s="93">
        <v>85.250947521865896</v>
      </c>
      <c r="G37" s="90"/>
      <c r="H37" s="61" t="str">
        <f t="shared" si="0"/>
        <v>(80, 90]</v>
      </c>
      <c r="I37" s="62">
        <v>0</v>
      </c>
      <c r="J37" s="59">
        <v>0</v>
      </c>
      <c r="K37" s="59">
        <v>0</v>
      </c>
      <c r="L37" s="128">
        <v>0</v>
      </c>
      <c r="M37" s="59">
        <v>0</v>
      </c>
      <c r="N37" s="59">
        <v>0</v>
      </c>
      <c r="O37" s="130">
        <v>0</v>
      </c>
      <c r="P37" s="59">
        <v>0</v>
      </c>
      <c r="Q37" s="59">
        <v>1.9096724911677647E-4</v>
      </c>
      <c r="R37" s="83">
        <v>0</v>
      </c>
      <c r="T37" s="61" t="str">
        <f t="shared" si="1"/>
        <v>(80, 90]</v>
      </c>
      <c r="U37" s="59">
        <v>1.9096724911677647E-4</v>
      </c>
      <c r="V37" s="59"/>
      <c r="W37" s="59"/>
    </row>
    <row r="38" spans="1:23" x14ac:dyDescent="0.3">
      <c r="A38" s="58">
        <v>90</v>
      </c>
      <c r="B38" s="58">
        <v>100</v>
      </c>
      <c r="C38" s="72">
        <v>591</v>
      </c>
      <c r="D38" s="72">
        <v>5632880</v>
      </c>
      <c r="E38" s="59">
        <v>5.9285742230407866E-4</v>
      </c>
      <c r="F38" s="93">
        <v>95.310998307952616</v>
      </c>
      <c r="G38" s="90"/>
      <c r="H38" s="61" t="str">
        <f t="shared" si="0"/>
        <v>(90, 100]</v>
      </c>
      <c r="I38" s="62">
        <v>0</v>
      </c>
      <c r="J38" s="59">
        <v>0</v>
      </c>
      <c r="K38" s="59">
        <v>0</v>
      </c>
      <c r="L38" s="128">
        <v>0</v>
      </c>
      <c r="M38" s="59">
        <v>0</v>
      </c>
      <c r="N38" s="59">
        <v>0</v>
      </c>
      <c r="O38" s="130">
        <v>0</v>
      </c>
      <c r="P38" s="59">
        <v>0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 x14ac:dyDescent="0.3">
      <c r="A39" s="58">
        <v>100</v>
      </c>
      <c r="B39" s="58">
        <v>120</v>
      </c>
      <c r="C39" s="72">
        <v>965</v>
      </c>
      <c r="D39" s="72">
        <v>10627980</v>
      </c>
      <c r="E39" s="59">
        <v>9.6803284690936704E-4</v>
      </c>
      <c r="F39" s="93">
        <v>110.13450777202074</v>
      </c>
      <c r="G39" s="90">
        <f>SUM(M46:M69)</f>
        <v>0</v>
      </c>
      <c r="H39" s="61" t="str">
        <f t="shared" si="0"/>
        <v>(100, 120]</v>
      </c>
      <c r="I39" s="62">
        <v>0</v>
      </c>
      <c r="J39" s="59">
        <v>0</v>
      </c>
      <c r="K39" s="59">
        <v>0</v>
      </c>
      <c r="L39" s="128">
        <v>0</v>
      </c>
      <c r="M39" s="59">
        <v>0</v>
      </c>
      <c r="N39" s="59">
        <v>0</v>
      </c>
      <c r="O39" s="130">
        <v>0</v>
      </c>
      <c r="P39" s="59">
        <v>0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 x14ac:dyDescent="0.3">
      <c r="A40" s="58">
        <v>120</v>
      </c>
      <c r="B40" s="58">
        <v>140</v>
      </c>
      <c r="C40" s="72">
        <v>687</v>
      </c>
      <c r="D40" s="72">
        <v>8922710</v>
      </c>
      <c r="E40" s="59">
        <v>6.8915913557174627E-4</v>
      </c>
      <c r="F40" s="93">
        <v>129.87933042212518</v>
      </c>
      <c r="G40" s="90" t="e">
        <f>1/G39</f>
        <v>#DIV/0!</v>
      </c>
      <c r="H40" s="61" t="str">
        <f t="shared" si="0"/>
        <v>(120, 140]</v>
      </c>
      <c r="I40" s="62">
        <v>0</v>
      </c>
      <c r="J40" s="59">
        <v>0</v>
      </c>
      <c r="K40" s="59">
        <v>0</v>
      </c>
      <c r="L40" s="128">
        <v>0</v>
      </c>
      <c r="M40" s="59">
        <v>0</v>
      </c>
      <c r="N40" s="59">
        <v>0</v>
      </c>
      <c r="O40" s="130">
        <v>0</v>
      </c>
      <c r="P40" s="59">
        <v>0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 x14ac:dyDescent="0.3">
      <c r="A41" s="58">
        <v>140</v>
      </c>
      <c r="B41" s="58">
        <v>160</v>
      </c>
      <c r="C41" s="72">
        <v>579</v>
      </c>
      <c r="D41" s="72">
        <v>8719640</v>
      </c>
      <c r="E41" s="59">
        <v>5.8081970814562026E-4</v>
      </c>
      <c r="F41" s="93">
        <v>150.59827288428326</v>
      </c>
      <c r="G41" s="90"/>
      <c r="H41" s="61" t="str">
        <f t="shared" si="0"/>
        <v>(140, 160]</v>
      </c>
      <c r="I41" s="62">
        <v>0</v>
      </c>
      <c r="J41" s="59">
        <v>0</v>
      </c>
      <c r="K41" s="59">
        <v>0</v>
      </c>
      <c r="L41" s="128">
        <v>0</v>
      </c>
      <c r="M41" s="59">
        <v>0</v>
      </c>
      <c r="N41" s="59">
        <v>0</v>
      </c>
      <c r="O41" s="130">
        <v>0</v>
      </c>
      <c r="P41" s="59">
        <v>0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 x14ac:dyDescent="0.3">
      <c r="A42" s="58">
        <v>160</v>
      </c>
      <c r="B42" s="58">
        <v>180</v>
      </c>
      <c r="C42" s="72">
        <v>434</v>
      </c>
      <c r="D42" s="72">
        <v>7409365</v>
      </c>
      <c r="E42" s="59">
        <v>4.3536399539758063E-4</v>
      </c>
      <c r="F42" s="93">
        <v>170.72269585253457</v>
      </c>
      <c r="G42" s="90"/>
      <c r="H42" s="61" t="str">
        <f t="shared" si="0"/>
        <v>(160, 180]</v>
      </c>
      <c r="I42" s="62">
        <v>0</v>
      </c>
      <c r="J42" s="59">
        <v>0</v>
      </c>
      <c r="K42" s="59">
        <v>0</v>
      </c>
      <c r="L42" s="128">
        <v>0</v>
      </c>
      <c r="M42" s="59">
        <v>0</v>
      </c>
      <c r="N42" s="59">
        <v>0</v>
      </c>
      <c r="O42" s="130">
        <v>0</v>
      </c>
      <c r="P42" s="59">
        <v>0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 x14ac:dyDescent="0.3">
      <c r="A43" s="58">
        <v>180</v>
      </c>
      <c r="B43" s="58">
        <v>200</v>
      </c>
      <c r="C43" s="72">
        <v>384</v>
      </c>
      <c r="D43" s="72">
        <v>7315430</v>
      </c>
      <c r="E43" s="59">
        <v>3.8520685307067039E-4</v>
      </c>
      <c r="F43" s="93">
        <v>190.50598958333333</v>
      </c>
      <c r="G43" s="90"/>
      <c r="H43" s="61" t="str">
        <f t="shared" si="0"/>
        <v>(180, 200]</v>
      </c>
      <c r="I43" s="62">
        <v>0</v>
      </c>
      <c r="J43" s="59">
        <v>0</v>
      </c>
      <c r="K43" s="59">
        <v>0</v>
      </c>
      <c r="L43" s="128">
        <v>0</v>
      </c>
      <c r="M43" s="59">
        <v>0</v>
      </c>
      <c r="N43" s="59">
        <v>0</v>
      </c>
      <c r="O43" s="130">
        <v>0</v>
      </c>
      <c r="P43" s="59">
        <v>0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 x14ac:dyDescent="0.3">
      <c r="A44" s="58">
        <v>200</v>
      </c>
      <c r="B44" s="58">
        <v>250</v>
      </c>
      <c r="C44" s="72">
        <v>689</v>
      </c>
      <c r="D44" s="72">
        <v>15443900</v>
      </c>
      <c r="E44" s="59">
        <v>6.9116542126482271E-4</v>
      </c>
      <c r="F44" s="93">
        <v>224.14949201741655</v>
      </c>
      <c r="G44" s="90"/>
      <c r="H44" s="61" t="str">
        <f t="shared" si="0"/>
        <v>(200, 250]</v>
      </c>
      <c r="I44" s="62">
        <v>0</v>
      </c>
      <c r="J44" s="59">
        <v>0</v>
      </c>
      <c r="K44" s="59">
        <v>0</v>
      </c>
      <c r="L44" s="128">
        <v>0</v>
      </c>
      <c r="M44" s="59">
        <v>0</v>
      </c>
      <c r="N44" s="59">
        <v>0</v>
      </c>
      <c r="O44" s="130">
        <v>0</v>
      </c>
      <c r="P44" s="59">
        <v>0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 x14ac:dyDescent="0.3">
      <c r="A45" s="58">
        <v>250</v>
      </c>
      <c r="B45" s="58">
        <v>300</v>
      </c>
      <c r="C45" s="72">
        <v>438</v>
      </c>
      <c r="D45" s="72">
        <v>12037700</v>
      </c>
      <c r="E45" s="59">
        <v>4.3937656678373345E-4</v>
      </c>
      <c r="F45" s="93">
        <v>274.83333333333331</v>
      </c>
      <c r="G45" s="90"/>
      <c r="H45" s="61" t="str">
        <f t="shared" si="0"/>
        <v>(250, 300]</v>
      </c>
      <c r="I45" s="62">
        <v>0</v>
      </c>
      <c r="J45" s="59">
        <v>0</v>
      </c>
      <c r="K45" s="59">
        <v>0</v>
      </c>
      <c r="L45" s="128">
        <v>0</v>
      </c>
      <c r="M45" s="59">
        <v>0</v>
      </c>
      <c r="N45" s="59">
        <v>0</v>
      </c>
      <c r="O45" s="130">
        <v>0</v>
      </c>
      <c r="P45" s="59">
        <v>0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 x14ac:dyDescent="0.3">
      <c r="A46" s="58">
        <v>300</v>
      </c>
      <c r="B46" s="58">
        <v>350</v>
      </c>
      <c r="C46" s="72">
        <v>319</v>
      </c>
      <c r="D46" s="72">
        <v>10328085</v>
      </c>
      <c r="E46" s="59">
        <v>3.2000256804568715E-4</v>
      </c>
      <c r="F46" s="93">
        <v>323.76442006269593</v>
      </c>
      <c r="G46" s="90"/>
      <c r="H46" s="61" t="str">
        <f t="shared" si="0"/>
        <v>(300, 350]</v>
      </c>
      <c r="I46" s="62">
        <v>0</v>
      </c>
      <c r="J46" s="59">
        <v>0</v>
      </c>
      <c r="K46" s="59">
        <v>0</v>
      </c>
      <c r="L46" s="128">
        <v>0</v>
      </c>
      <c r="M46" s="59">
        <v>0</v>
      </c>
      <c r="N46" s="59">
        <v>0</v>
      </c>
      <c r="O46" s="130">
        <v>0</v>
      </c>
      <c r="P46" s="59">
        <v>0</v>
      </c>
      <c r="Q46" s="59">
        <v>1.9096724911677647E-4</v>
      </c>
      <c r="R46" s="83">
        <v>0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 x14ac:dyDescent="0.3">
      <c r="A47" s="58">
        <v>350</v>
      </c>
      <c r="B47" s="58">
        <v>400</v>
      </c>
      <c r="C47" s="72">
        <v>224</v>
      </c>
      <c r="D47" s="72">
        <v>8402535</v>
      </c>
      <c r="E47" s="59">
        <v>2.2470399762455773E-4</v>
      </c>
      <c r="F47" s="93">
        <v>375.1131696428572</v>
      </c>
      <c r="G47" s="90"/>
      <c r="H47" s="61" t="str">
        <f t="shared" si="0"/>
        <v>(350, 400]</v>
      </c>
      <c r="I47" s="62">
        <v>0</v>
      </c>
      <c r="J47" s="59">
        <v>0</v>
      </c>
      <c r="K47" s="59">
        <v>0</v>
      </c>
      <c r="L47" s="128">
        <v>0</v>
      </c>
      <c r="M47" s="59">
        <v>0</v>
      </c>
      <c r="N47" s="59">
        <v>0</v>
      </c>
      <c r="O47" s="130">
        <v>0</v>
      </c>
      <c r="P47" s="59">
        <v>0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 x14ac:dyDescent="0.3">
      <c r="A48" s="58">
        <v>400</v>
      </c>
      <c r="B48" s="58">
        <v>450</v>
      </c>
      <c r="C48" s="72">
        <v>148</v>
      </c>
      <c r="D48" s="72">
        <v>6276820</v>
      </c>
      <c r="E48" s="59">
        <v>1.4846514128765423E-4</v>
      </c>
      <c r="F48" s="93">
        <v>424.10945945945946</v>
      </c>
      <c r="G48" s="90"/>
      <c r="H48" s="61" t="str">
        <f t="shared" si="0"/>
        <v>(400, 450]</v>
      </c>
      <c r="I48" s="62">
        <v>0</v>
      </c>
      <c r="J48" s="59">
        <v>0</v>
      </c>
      <c r="K48" s="59">
        <v>0</v>
      </c>
      <c r="L48" s="128">
        <v>0</v>
      </c>
      <c r="M48" s="59">
        <v>0</v>
      </c>
      <c r="N48" s="59">
        <v>0</v>
      </c>
      <c r="O48" s="130">
        <v>0</v>
      </c>
      <c r="P48" s="59">
        <v>0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7" x14ac:dyDescent="0.3">
      <c r="A49" s="58">
        <v>450</v>
      </c>
      <c r="B49" s="58">
        <v>500</v>
      </c>
      <c r="C49" s="72">
        <v>114</v>
      </c>
      <c r="D49" s="72">
        <v>5428680</v>
      </c>
      <c r="E49" s="59">
        <v>1.1435828450535527E-4</v>
      </c>
      <c r="F49" s="93">
        <v>476.2</v>
      </c>
      <c r="G49" s="90"/>
      <c r="H49" s="61" t="str">
        <f t="shared" si="0"/>
        <v>(450, 500]</v>
      </c>
      <c r="I49" s="62">
        <v>0</v>
      </c>
      <c r="J49" s="59">
        <v>0</v>
      </c>
      <c r="K49" s="59">
        <v>0</v>
      </c>
      <c r="L49" s="128">
        <v>0</v>
      </c>
      <c r="M49" s="59">
        <v>0</v>
      </c>
      <c r="N49" s="59">
        <v>0</v>
      </c>
      <c r="O49" s="130">
        <v>0</v>
      </c>
      <c r="P49" s="59">
        <v>0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7" x14ac:dyDescent="0.3">
      <c r="A50" s="58">
        <v>500</v>
      </c>
      <c r="B50" s="58">
        <v>550</v>
      </c>
      <c r="C50" s="72">
        <v>102</v>
      </c>
      <c r="D50" s="72">
        <v>5337415</v>
      </c>
      <c r="E50" s="59">
        <v>1.0232057034689682E-4</v>
      </c>
      <c r="F50" s="93">
        <v>523.27598039215684</v>
      </c>
      <c r="G50" s="90"/>
      <c r="H50" s="61" t="str">
        <f t="shared" si="0"/>
        <v>(500, 550]</v>
      </c>
      <c r="I50" s="62">
        <v>0</v>
      </c>
      <c r="J50" s="59">
        <v>0</v>
      </c>
      <c r="K50" s="59">
        <v>0</v>
      </c>
      <c r="L50" s="128">
        <v>0</v>
      </c>
      <c r="M50" s="59">
        <v>0</v>
      </c>
      <c r="N50" s="59">
        <v>0</v>
      </c>
      <c r="O50" s="130">
        <v>0</v>
      </c>
      <c r="P50" s="59">
        <v>0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7" x14ac:dyDescent="0.3">
      <c r="A51" s="58">
        <v>550</v>
      </c>
      <c r="B51" s="58">
        <v>600</v>
      </c>
      <c r="C51" s="72">
        <v>83</v>
      </c>
      <c r="D51" s="72">
        <v>4773965</v>
      </c>
      <c r="E51" s="59">
        <v>8.3260856262670942E-5</v>
      </c>
      <c r="F51" s="93">
        <v>575.1765060240964</v>
      </c>
      <c r="G51" s="90"/>
      <c r="H51" s="61" t="str">
        <f t="shared" si="0"/>
        <v>(550, 600]</v>
      </c>
      <c r="I51" s="62">
        <v>0</v>
      </c>
      <c r="J51" s="59">
        <v>0</v>
      </c>
      <c r="K51" s="59">
        <v>0</v>
      </c>
      <c r="L51" s="128">
        <v>0</v>
      </c>
      <c r="M51" s="59">
        <v>0</v>
      </c>
      <c r="N51" s="59">
        <v>0</v>
      </c>
      <c r="O51" s="130">
        <v>0</v>
      </c>
      <c r="P51" s="59">
        <v>0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7" x14ac:dyDescent="0.3">
      <c r="A52" s="58">
        <v>600</v>
      </c>
      <c r="B52" s="58">
        <v>650</v>
      </c>
      <c r="C52" s="72">
        <v>49</v>
      </c>
      <c r="D52" s="72">
        <v>3051935</v>
      </c>
      <c r="E52" s="59">
        <v>4.9153999480372003E-5</v>
      </c>
      <c r="F52" s="93">
        <v>622.84387755102046</v>
      </c>
      <c r="G52" s="90"/>
      <c r="H52" s="61" t="str">
        <f t="shared" si="0"/>
        <v>(600, 650]</v>
      </c>
      <c r="I52" s="62">
        <v>0</v>
      </c>
      <c r="J52" s="59">
        <v>0</v>
      </c>
      <c r="K52" s="59">
        <v>0</v>
      </c>
      <c r="L52" s="128">
        <v>0</v>
      </c>
      <c r="M52" s="59">
        <v>0</v>
      </c>
      <c r="N52" s="59">
        <v>0</v>
      </c>
      <c r="O52" s="130">
        <v>0</v>
      </c>
      <c r="P52" s="59">
        <v>0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7" x14ac:dyDescent="0.3">
      <c r="A53" s="58">
        <v>650</v>
      </c>
      <c r="B53" s="58">
        <v>700</v>
      </c>
      <c r="C53" s="72">
        <v>55</v>
      </c>
      <c r="D53" s="72">
        <v>3711725</v>
      </c>
      <c r="E53" s="59">
        <v>5.5172856559601229E-5</v>
      </c>
      <c r="F53" s="93">
        <v>674.85909090909092</v>
      </c>
      <c r="G53" s="90"/>
      <c r="H53" s="61" t="str">
        <f t="shared" si="0"/>
        <v>(650, 700]</v>
      </c>
      <c r="I53" s="62">
        <v>0</v>
      </c>
      <c r="J53" s="59">
        <v>0</v>
      </c>
      <c r="K53" s="59">
        <v>0</v>
      </c>
      <c r="L53" s="128">
        <v>0</v>
      </c>
      <c r="M53" s="59">
        <v>0</v>
      </c>
      <c r="N53" s="59">
        <v>0</v>
      </c>
      <c r="O53" s="130">
        <v>0</v>
      </c>
      <c r="P53" s="59">
        <v>0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7" x14ac:dyDescent="0.3">
      <c r="A54" s="58">
        <v>700</v>
      </c>
      <c r="B54" s="58">
        <v>750</v>
      </c>
      <c r="C54" s="72">
        <v>43</v>
      </c>
      <c r="D54" s="72">
        <v>3121340</v>
      </c>
      <c r="E54" s="59">
        <v>4.3135142401142777E-5</v>
      </c>
      <c r="F54" s="93">
        <v>725.89302325581389</v>
      </c>
      <c r="G54" s="90"/>
      <c r="H54" s="61" t="str">
        <f t="shared" si="0"/>
        <v>(700, 750]</v>
      </c>
      <c r="I54" s="62">
        <v>0</v>
      </c>
      <c r="J54" s="59">
        <v>0</v>
      </c>
      <c r="K54" s="59">
        <v>0</v>
      </c>
      <c r="L54" s="128">
        <v>0</v>
      </c>
      <c r="M54" s="59">
        <v>0</v>
      </c>
      <c r="N54" s="59">
        <v>0</v>
      </c>
      <c r="O54" s="130">
        <v>0</v>
      </c>
      <c r="P54" s="59">
        <v>0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7" x14ac:dyDescent="0.3">
      <c r="A55" s="58">
        <v>750</v>
      </c>
      <c r="B55" s="58">
        <v>800</v>
      </c>
      <c r="C55" s="72">
        <v>27</v>
      </c>
      <c r="D55" s="72">
        <v>2090300</v>
      </c>
      <c r="E55" s="59">
        <v>2.7084856856531512E-5</v>
      </c>
      <c r="F55" s="93">
        <v>774.18518518518522</v>
      </c>
      <c r="G55" s="90"/>
      <c r="H55" s="61" t="str">
        <f t="shared" si="0"/>
        <v>(750, 800]</v>
      </c>
      <c r="I55" s="62">
        <v>0</v>
      </c>
      <c r="J55" s="59">
        <v>0</v>
      </c>
      <c r="K55" s="59">
        <v>0</v>
      </c>
      <c r="L55" s="128">
        <v>0</v>
      </c>
      <c r="M55" s="59">
        <v>0</v>
      </c>
      <c r="N55" s="59">
        <v>0</v>
      </c>
      <c r="O55" s="130">
        <v>0</v>
      </c>
      <c r="P55" s="59">
        <v>0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7" x14ac:dyDescent="0.3">
      <c r="A56" s="58">
        <v>800</v>
      </c>
      <c r="B56" s="58">
        <v>850</v>
      </c>
      <c r="C56" s="72">
        <v>21</v>
      </c>
      <c r="D56" s="72">
        <v>1740425</v>
      </c>
      <c r="E56" s="59">
        <v>2.1065999777302286E-5</v>
      </c>
      <c r="F56" s="93">
        <v>828.77380952380952</v>
      </c>
      <c r="G56" s="90"/>
      <c r="H56" s="61" t="str">
        <f t="shared" si="0"/>
        <v>(800, 850]</v>
      </c>
      <c r="I56" s="62">
        <v>0</v>
      </c>
      <c r="J56" s="59">
        <v>0</v>
      </c>
      <c r="K56" s="59">
        <v>0</v>
      </c>
      <c r="L56" s="128">
        <v>0</v>
      </c>
      <c r="M56" s="59">
        <v>0</v>
      </c>
      <c r="N56" s="59">
        <v>0</v>
      </c>
      <c r="O56" s="130">
        <v>0</v>
      </c>
      <c r="P56" s="59">
        <v>0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7" x14ac:dyDescent="0.3">
      <c r="A57" s="58">
        <v>850</v>
      </c>
      <c r="B57" s="58">
        <v>900</v>
      </c>
      <c r="C57" s="72">
        <v>34</v>
      </c>
      <c r="D57" s="72">
        <v>2971170</v>
      </c>
      <c r="E57" s="59">
        <v>3.4106856782298946E-5</v>
      </c>
      <c r="F57" s="93">
        <v>873.87352941176471</v>
      </c>
      <c r="G57" s="90"/>
      <c r="H57" s="61" t="str">
        <f t="shared" si="0"/>
        <v>(850, 900]</v>
      </c>
      <c r="I57" s="62">
        <v>0</v>
      </c>
      <c r="J57" s="59">
        <v>0</v>
      </c>
      <c r="K57" s="59">
        <v>0</v>
      </c>
      <c r="L57" s="84">
        <v>0</v>
      </c>
      <c r="M57" s="59">
        <v>0</v>
      </c>
      <c r="N57" s="59">
        <v>0</v>
      </c>
      <c r="O57" s="130">
        <v>0</v>
      </c>
      <c r="P57" s="59">
        <v>0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7" x14ac:dyDescent="0.3">
      <c r="A58" s="58">
        <v>900</v>
      </c>
      <c r="B58" s="58">
        <v>950</v>
      </c>
      <c r="C58" s="72">
        <v>18</v>
      </c>
      <c r="D58" s="72">
        <v>1666180</v>
      </c>
      <c r="E58" s="59">
        <v>1.8056571237687677E-5</v>
      </c>
      <c r="F58" s="93">
        <v>925.65555555555557</v>
      </c>
      <c r="G58" s="90"/>
      <c r="H58" s="61" t="str">
        <f t="shared" si="0"/>
        <v>(900, 950]</v>
      </c>
      <c r="I58" s="62">
        <v>0</v>
      </c>
      <c r="J58" s="59">
        <v>0</v>
      </c>
      <c r="K58" s="59">
        <v>0</v>
      </c>
      <c r="L58" s="84">
        <v>0</v>
      </c>
      <c r="M58" s="59">
        <v>0</v>
      </c>
      <c r="N58" s="59">
        <v>0</v>
      </c>
      <c r="O58" s="130">
        <v>0</v>
      </c>
      <c r="P58" s="59">
        <v>0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7" x14ac:dyDescent="0.3">
      <c r="A59" s="58">
        <v>950</v>
      </c>
      <c r="B59" s="58">
        <v>1000</v>
      </c>
      <c r="C59" s="72">
        <v>14</v>
      </c>
      <c r="D59" s="72">
        <v>1368265</v>
      </c>
      <c r="E59" s="59">
        <v>1.4043999851534858E-5</v>
      </c>
      <c r="F59" s="93">
        <v>977.33214285714291</v>
      </c>
      <c r="G59" s="90"/>
      <c r="H59" s="61" t="str">
        <f t="shared" si="0"/>
        <v>(950, 1000]</v>
      </c>
      <c r="I59" s="62">
        <v>0</v>
      </c>
      <c r="J59" s="59">
        <v>0</v>
      </c>
      <c r="K59" s="59">
        <v>0</v>
      </c>
      <c r="L59" s="84">
        <v>0</v>
      </c>
      <c r="M59" s="59">
        <v>0</v>
      </c>
      <c r="N59" s="59">
        <v>0</v>
      </c>
      <c r="O59" s="130">
        <v>0</v>
      </c>
      <c r="P59" s="59">
        <v>0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7" x14ac:dyDescent="0.3">
      <c r="A60" s="58">
        <v>1000</v>
      </c>
      <c r="B60" s="58">
        <v>2000</v>
      </c>
      <c r="C60" s="72">
        <v>139</v>
      </c>
      <c r="D60" s="72">
        <v>18093515</v>
      </c>
      <c r="E60" s="59">
        <v>1.3943685566881038E-4</v>
      </c>
      <c r="F60" s="93">
        <v>1301.6917266187049</v>
      </c>
      <c r="G60" s="90"/>
      <c r="H60" s="61" t="str">
        <f t="shared" si="0"/>
        <v>(1000, 2000]</v>
      </c>
      <c r="I60" s="62">
        <v>0</v>
      </c>
      <c r="J60" s="59">
        <v>0</v>
      </c>
      <c r="K60" s="59">
        <v>0</v>
      </c>
      <c r="L60" s="84">
        <v>0</v>
      </c>
      <c r="M60" s="59">
        <v>0</v>
      </c>
      <c r="N60" s="59">
        <v>0</v>
      </c>
      <c r="O60" s="130">
        <v>0</v>
      </c>
      <c r="P60" s="59">
        <v>0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7" x14ac:dyDescent="0.3">
      <c r="A61" s="58">
        <v>2000</v>
      </c>
      <c r="B61" s="58">
        <v>3000</v>
      </c>
      <c r="C61" s="72">
        <v>17</v>
      </c>
      <c r="D61" s="72">
        <v>4006620</v>
      </c>
      <c r="E61" s="59">
        <v>1.7053428391149473E-5</v>
      </c>
      <c r="F61" s="93">
        <v>2356.8352941176472</v>
      </c>
      <c r="G61" s="90"/>
      <c r="H61" s="61" t="str">
        <f t="shared" si="0"/>
        <v>(2000, 3000]</v>
      </c>
      <c r="I61" s="62">
        <v>0</v>
      </c>
      <c r="J61" s="59">
        <v>0</v>
      </c>
      <c r="K61" s="59">
        <v>0</v>
      </c>
      <c r="L61" s="84">
        <v>0</v>
      </c>
      <c r="M61" s="59">
        <v>0</v>
      </c>
      <c r="N61" s="59">
        <v>0</v>
      </c>
      <c r="O61" s="130">
        <v>0</v>
      </c>
      <c r="P61" s="59">
        <v>0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7" x14ac:dyDescent="0.3">
      <c r="A62" s="58">
        <v>3000</v>
      </c>
      <c r="B62" s="58">
        <v>4000</v>
      </c>
      <c r="C62" s="72">
        <v>8</v>
      </c>
      <c r="D62" s="72">
        <v>2621960</v>
      </c>
      <c r="E62" s="59">
        <v>8.0251427723056342E-6</v>
      </c>
      <c r="F62" s="93">
        <v>3277.45</v>
      </c>
      <c r="G62" s="90"/>
      <c r="H62" s="61" t="str">
        <f t="shared" si="0"/>
        <v>(3000, 4000]</v>
      </c>
      <c r="I62" s="62">
        <v>0</v>
      </c>
      <c r="J62" s="59">
        <v>0</v>
      </c>
      <c r="K62" s="59">
        <v>0</v>
      </c>
      <c r="L62" s="84">
        <v>0</v>
      </c>
      <c r="M62" s="59">
        <v>0</v>
      </c>
      <c r="N62" s="59">
        <v>0</v>
      </c>
      <c r="O62" s="130">
        <v>0</v>
      </c>
      <c r="P62" s="59">
        <v>0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7" x14ac:dyDescent="0.3">
      <c r="A63" s="58">
        <v>4000</v>
      </c>
      <c r="B63" s="58">
        <v>5000</v>
      </c>
      <c r="C63" s="72">
        <v>4</v>
      </c>
      <c r="D63" s="72">
        <v>1834000</v>
      </c>
      <c r="E63" s="59">
        <v>4.0125713861528171E-6</v>
      </c>
      <c r="F63" s="93">
        <v>4585</v>
      </c>
      <c r="G63" s="90" t="e">
        <f>1/M63</f>
        <v>#DIV/0!</v>
      </c>
      <c r="H63" s="61" t="str">
        <f t="shared" si="0"/>
        <v>(4000, 5000]</v>
      </c>
      <c r="I63" s="62">
        <v>0</v>
      </c>
      <c r="J63" s="59">
        <v>0</v>
      </c>
      <c r="K63" s="59">
        <v>0</v>
      </c>
      <c r="L63" s="84">
        <v>0</v>
      </c>
      <c r="M63" s="59">
        <v>0</v>
      </c>
      <c r="N63" s="59">
        <v>0</v>
      </c>
      <c r="O63" s="130">
        <v>0</v>
      </c>
      <c r="P63" s="59">
        <v>0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7" x14ac:dyDescent="0.3">
      <c r="A64" s="58">
        <v>5000</v>
      </c>
      <c r="B64" s="58">
        <v>6000</v>
      </c>
      <c r="C64" s="72">
        <v>1</v>
      </c>
      <c r="D64" s="72">
        <v>517235</v>
      </c>
      <c r="E64" s="59">
        <v>1.0031428465382043E-6</v>
      </c>
      <c r="F64" s="93">
        <v>5172.3500000000004</v>
      </c>
      <c r="G64" s="90"/>
      <c r="H64" s="61" t="str">
        <f t="shared" si="0"/>
        <v>(5000, 6000]</v>
      </c>
      <c r="I64" s="62">
        <v>0</v>
      </c>
      <c r="J64" s="59">
        <v>0</v>
      </c>
      <c r="K64" s="59">
        <v>0</v>
      </c>
      <c r="L64" s="84">
        <v>0</v>
      </c>
      <c r="M64" s="59">
        <v>0</v>
      </c>
      <c r="N64" s="59">
        <v>0</v>
      </c>
      <c r="O64" s="130">
        <v>0</v>
      </c>
      <c r="P64" s="59">
        <v>0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  <c r="Z64" s="24" t="s">
        <v>251</v>
      </c>
      <c r="AA64" s="24">
        <v>3.1210000000000001E-3</v>
      </c>
    </row>
    <row r="65" spans="1:27" x14ac:dyDescent="0.3">
      <c r="A65" s="58">
        <v>6000</v>
      </c>
      <c r="B65" s="58">
        <v>7000</v>
      </c>
      <c r="C65" s="72">
        <v>2</v>
      </c>
      <c r="D65" s="72">
        <v>1268580</v>
      </c>
      <c r="E65" s="59">
        <v>2.0062856930764086E-6</v>
      </c>
      <c r="F65" s="93">
        <v>6342.9</v>
      </c>
      <c r="G65" s="90"/>
      <c r="H65" s="61" t="str">
        <f t="shared" si="0"/>
        <v>(6000, 7000]</v>
      </c>
      <c r="I65" s="62">
        <v>0</v>
      </c>
      <c r="J65" s="59">
        <v>0</v>
      </c>
      <c r="K65" s="59">
        <v>0</v>
      </c>
      <c r="L65" s="84">
        <v>0</v>
      </c>
      <c r="M65" s="59">
        <v>0</v>
      </c>
      <c r="N65" s="59">
        <v>0</v>
      </c>
      <c r="O65" s="130">
        <v>0</v>
      </c>
      <c r="P65" s="59">
        <v>0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  <c r="Z65" s="24" t="s">
        <v>252</v>
      </c>
      <c r="AA65" s="24">
        <v>6.2659999999999999E-3</v>
      </c>
    </row>
    <row r="66" spans="1:27" x14ac:dyDescent="0.3">
      <c r="A66" s="58">
        <v>7000</v>
      </c>
      <c r="B66" s="58">
        <v>8000</v>
      </c>
      <c r="C66" s="72">
        <v>0</v>
      </c>
      <c r="D66" s="72">
        <v>0</v>
      </c>
      <c r="E66" s="59">
        <v>0</v>
      </c>
      <c r="F66" s="93">
        <v>0</v>
      </c>
      <c r="G66" s="130"/>
      <c r="H66" s="61" t="str">
        <f t="shared" si="0"/>
        <v>(7000, 8000]</v>
      </c>
      <c r="I66" s="62">
        <v>0</v>
      </c>
      <c r="J66" s="59">
        <v>0</v>
      </c>
      <c r="K66" s="59">
        <v>0</v>
      </c>
      <c r="L66" s="84">
        <v>0</v>
      </c>
      <c r="M66" s="59">
        <v>0</v>
      </c>
      <c r="N66" s="59">
        <v>0</v>
      </c>
      <c r="O66" s="130">
        <v>0</v>
      </c>
      <c r="P66" s="59">
        <v>0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7" x14ac:dyDescent="0.3">
      <c r="A67" s="58">
        <v>8000</v>
      </c>
      <c r="B67" s="58">
        <v>9000</v>
      </c>
      <c r="C67" s="72">
        <v>0</v>
      </c>
      <c r="D67" s="72">
        <v>0</v>
      </c>
      <c r="E67" s="59">
        <v>0</v>
      </c>
      <c r="F67" s="93">
        <v>0</v>
      </c>
      <c r="G67" s="90"/>
      <c r="H67" s="61" t="str">
        <f t="shared" si="0"/>
        <v>(8000, 9000]</v>
      </c>
      <c r="I67" s="62">
        <v>0</v>
      </c>
      <c r="J67" s="59">
        <v>0</v>
      </c>
      <c r="K67" s="59">
        <v>0</v>
      </c>
      <c r="L67" s="84">
        <v>0</v>
      </c>
      <c r="M67" s="59">
        <v>0</v>
      </c>
      <c r="N67" s="59">
        <v>0</v>
      </c>
      <c r="O67" s="130">
        <v>0</v>
      </c>
      <c r="P67" s="59">
        <v>0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7" x14ac:dyDescent="0.3">
      <c r="A68" s="58">
        <v>9000</v>
      </c>
      <c r="B68" s="58">
        <v>10000</v>
      </c>
      <c r="C68" s="72">
        <v>0</v>
      </c>
      <c r="D68" s="72">
        <v>0</v>
      </c>
      <c r="E68" s="59">
        <v>0</v>
      </c>
      <c r="F68" s="93">
        <v>0</v>
      </c>
      <c r="G68" s="90"/>
      <c r="H68" s="61" t="str">
        <f t="shared" si="0"/>
        <v>(9000, 10000]</v>
      </c>
      <c r="I68" s="62">
        <v>0</v>
      </c>
      <c r="J68" s="59">
        <v>0</v>
      </c>
      <c r="K68" s="59">
        <v>0</v>
      </c>
      <c r="L68" s="84">
        <v>0</v>
      </c>
      <c r="M68" s="59">
        <v>0</v>
      </c>
      <c r="N68" s="59">
        <v>0</v>
      </c>
      <c r="O68" s="130">
        <v>0</v>
      </c>
      <c r="P68" s="59">
        <v>0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7" x14ac:dyDescent="0.3">
      <c r="A69" s="58">
        <v>10000</v>
      </c>
      <c r="B69" s="58">
        <v>20000</v>
      </c>
      <c r="C69" s="72">
        <v>0</v>
      </c>
      <c r="D69" s="72">
        <v>0</v>
      </c>
      <c r="E69" s="59">
        <v>0</v>
      </c>
      <c r="F69" s="93">
        <v>0</v>
      </c>
      <c r="G69" s="90"/>
      <c r="H69" s="61" t="str">
        <f t="shared" si="0"/>
        <v>(10000, 20000]</v>
      </c>
      <c r="I69" s="62">
        <v>0</v>
      </c>
      <c r="J69" s="59">
        <v>0</v>
      </c>
      <c r="K69" s="59">
        <v>0</v>
      </c>
      <c r="L69" s="84">
        <v>0</v>
      </c>
      <c r="M69" s="59">
        <v>0</v>
      </c>
      <c r="N69" s="59">
        <v>0</v>
      </c>
      <c r="O69" s="130">
        <v>0</v>
      </c>
      <c r="P69" s="59">
        <v>0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7" x14ac:dyDescent="0.3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0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7" x14ac:dyDescent="0.3">
      <c r="A71" s="58">
        <v>30000</v>
      </c>
      <c r="B71" s="58">
        <v>40000</v>
      </c>
      <c r="C71" s="72">
        <v>1</v>
      </c>
      <c r="D71" s="72">
        <v>3258185</v>
      </c>
      <c r="E71" s="59">
        <v>1.0031428465382043E-6</v>
      </c>
      <c r="F71" s="93">
        <v>32581.85</v>
      </c>
      <c r="G71" s="90"/>
      <c r="H71" s="61" t="str">
        <f t="shared" si="0"/>
        <v>(30000, 40000]</v>
      </c>
      <c r="I71" s="62">
        <v>0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7" x14ac:dyDescent="0.3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0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7" x14ac:dyDescent="0.3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0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7" x14ac:dyDescent="0.3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0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7" x14ac:dyDescent="0.3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0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7" x14ac:dyDescent="0.3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0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7" x14ac:dyDescent="0.3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0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7" x14ac:dyDescent="0.3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0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7" x14ac:dyDescent="0.3">
      <c r="A79" s="192" t="s">
        <v>78</v>
      </c>
      <c r="B79" s="193"/>
      <c r="C79" s="73">
        <f>E79*B13</f>
        <v>313300</v>
      </c>
      <c r="D79" s="72">
        <v>28725</v>
      </c>
      <c r="E79" s="67">
        <v>3.1329999999999999E-3</v>
      </c>
      <c r="F79" s="93">
        <v>9.1685285668688149E-4</v>
      </c>
      <c r="G79" s="107">
        <f>SUM($L$15:L79)-1000</f>
        <v>999999000</v>
      </c>
      <c r="H79" s="61" t="s">
        <v>78</v>
      </c>
      <c r="I79" s="62">
        <v>2</v>
      </c>
      <c r="J79" s="59">
        <v>6.2659999999999999E-3</v>
      </c>
      <c r="K79" s="59">
        <f>J79</f>
        <v>6.2659999999999999E-3</v>
      </c>
      <c r="L79" s="84">
        <v>6266000</v>
      </c>
      <c r="M79" s="63">
        <v>6.2659999999999999E-3</v>
      </c>
      <c r="N79" s="59">
        <v>5.7449999999999992E-6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7" x14ac:dyDescent="0.3">
      <c r="A80" s="192" t="s">
        <v>79</v>
      </c>
      <c r="B80" s="193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 x14ac:dyDescent="0.3">
      <c r="A83" s="191" t="s">
        <v>50</v>
      </c>
      <c r="B83" s="191"/>
      <c r="C83" s="191"/>
      <c r="D83" s="191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122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 x14ac:dyDescent="0.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0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>
        <v>0</v>
      </c>
      <c r="M87" s="59" cm="1">
        <f t="array" ref="M87:M150">_xlfn.LET(_xlpm.x, L87:L150, _xlpm.x/SUM(_xlpm.x))</f>
        <v>0</v>
      </c>
      <c r="N87" s="60" cm="1">
        <f t="array" ref="N87:N150">M87:M150*_xlfn.ANCHORARRAY(F87)</f>
        <v>0</v>
      </c>
      <c r="O87" s="130" cm="1">
        <f t="array" ref="O87:O150">I87:I150*O86</f>
        <v>0</v>
      </c>
      <c r="P87" s="59" cm="1">
        <f t="array" ref="P87:P150">_xlfn.ANCHORARRAY(M87)</f>
        <v>0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 x14ac:dyDescent="0.3">
      <c r="A88" s="58">
        <v>0</v>
      </c>
      <c r="B88" s="58">
        <v>1</v>
      </c>
      <c r="C88" s="72">
        <v>2</v>
      </c>
      <c r="D88" s="72">
        <v>150</v>
      </c>
      <c r="E88" s="59">
        <v>6.3856960408684551E-4</v>
      </c>
      <c r="F88" s="93">
        <v>0.75</v>
      </c>
      <c r="G88" s="107"/>
      <c r="H88" s="61" t="str">
        <f t="shared" ref="H88:H150" si="2">"("&amp;$A88&amp;", "&amp;$B88&amp;"]"</f>
        <v>(0, 1]</v>
      </c>
      <c r="I88" s="62">
        <v>0</v>
      </c>
      <c r="J88" s="59">
        <v>0</v>
      </c>
      <c r="K88" s="59">
        <v>0</v>
      </c>
      <c r="L88" s="128">
        <v>0</v>
      </c>
      <c r="M88" s="59">
        <v>0</v>
      </c>
      <c r="N88" s="59">
        <v>0</v>
      </c>
      <c r="O88" s="130">
        <v>0</v>
      </c>
      <c r="P88" s="59">
        <v>0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 x14ac:dyDescent="0.3">
      <c r="A89" s="58">
        <v>1</v>
      </c>
      <c r="B89" s="58">
        <v>2</v>
      </c>
      <c r="C89" s="72">
        <v>1</v>
      </c>
      <c r="D89" s="72">
        <v>120</v>
      </c>
      <c r="E89" s="59">
        <v>3.1928480204342275E-4</v>
      </c>
      <c r="F89" s="93">
        <v>1.2</v>
      </c>
      <c r="G89" s="107"/>
      <c r="H89" s="61" t="str">
        <f t="shared" si="2"/>
        <v>(1, 2]</v>
      </c>
      <c r="I89" s="62">
        <v>0</v>
      </c>
      <c r="J89" s="59">
        <v>0</v>
      </c>
      <c r="K89" s="59">
        <v>0</v>
      </c>
      <c r="L89" s="128">
        <v>0</v>
      </c>
      <c r="M89" s="59">
        <v>0</v>
      </c>
      <c r="N89" s="59">
        <v>0</v>
      </c>
      <c r="O89" s="130">
        <v>0</v>
      </c>
      <c r="P89" s="59">
        <v>0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 x14ac:dyDescent="0.3">
      <c r="A90" s="58">
        <v>2</v>
      </c>
      <c r="B90" s="58">
        <v>3</v>
      </c>
      <c r="C90" s="72">
        <v>4</v>
      </c>
      <c r="D90" s="72">
        <v>1065</v>
      </c>
      <c r="E90" s="59">
        <v>1.277139208173691E-3</v>
      </c>
      <c r="F90" s="93">
        <v>2.6625000000000001</v>
      </c>
      <c r="G90" s="107"/>
      <c r="H90" s="61" t="str">
        <f t="shared" si="2"/>
        <v>(2, 3]</v>
      </c>
      <c r="I90" s="62">
        <v>0</v>
      </c>
      <c r="J90" s="59">
        <v>0</v>
      </c>
      <c r="K90" s="59">
        <v>0</v>
      </c>
      <c r="L90" s="128">
        <v>0</v>
      </c>
      <c r="M90" s="59">
        <v>0</v>
      </c>
      <c r="N90" s="59">
        <v>0</v>
      </c>
      <c r="O90" s="130">
        <v>0</v>
      </c>
      <c r="P90" s="59">
        <v>0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 x14ac:dyDescent="0.3">
      <c r="A91" s="58">
        <v>3</v>
      </c>
      <c r="B91" s="58">
        <v>4</v>
      </c>
      <c r="C91" s="72">
        <v>3</v>
      </c>
      <c r="D91" s="72">
        <v>1090</v>
      </c>
      <c r="E91" s="59">
        <v>9.5785440613026815E-4</v>
      </c>
      <c r="F91" s="93">
        <v>3.6333333333333333</v>
      </c>
      <c r="G91" s="107"/>
      <c r="H91" s="61" t="str">
        <f t="shared" si="2"/>
        <v>(3, 4]</v>
      </c>
      <c r="I91" s="62">
        <v>0</v>
      </c>
      <c r="J91" s="59">
        <v>0</v>
      </c>
      <c r="K91" s="59">
        <v>0</v>
      </c>
      <c r="L91" s="128">
        <v>0</v>
      </c>
      <c r="M91" s="59">
        <v>0</v>
      </c>
      <c r="N91" s="59">
        <v>0</v>
      </c>
      <c r="O91" s="130">
        <v>0</v>
      </c>
      <c r="P91" s="59">
        <v>0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 x14ac:dyDescent="0.3">
      <c r="A92" s="58">
        <v>4</v>
      </c>
      <c r="B92" s="58">
        <v>5</v>
      </c>
      <c r="C92" s="72">
        <v>1</v>
      </c>
      <c r="D92" s="72">
        <v>420</v>
      </c>
      <c r="E92" s="59">
        <v>3.1928480204342275E-4</v>
      </c>
      <c r="F92" s="93">
        <v>4.2</v>
      </c>
      <c r="G92" s="107"/>
      <c r="H92" s="61" t="str">
        <f t="shared" si="2"/>
        <v>(4, 5]</v>
      </c>
      <c r="I92" s="62">
        <v>0</v>
      </c>
      <c r="J92" s="59">
        <v>0</v>
      </c>
      <c r="K92" s="59">
        <v>0</v>
      </c>
      <c r="L92" s="128">
        <v>0</v>
      </c>
      <c r="M92" s="59">
        <v>0</v>
      </c>
      <c r="N92" s="59">
        <v>0</v>
      </c>
      <c r="O92" s="130">
        <v>0</v>
      </c>
      <c r="P92" s="59">
        <v>0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 x14ac:dyDescent="0.3">
      <c r="A93" s="58">
        <v>5</v>
      </c>
      <c r="B93" s="58">
        <v>6</v>
      </c>
      <c r="C93" s="72">
        <v>2</v>
      </c>
      <c r="D93" s="72">
        <v>1155</v>
      </c>
      <c r="E93" s="59">
        <v>6.3856960408684551E-4</v>
      </c>
      <c r="F93" s="93">
        <v>5.7750000000000004</v>
      </c>
      <c r="G93" s="107"/>
      <c r="H93" s="61" t="str">
        <f t="shared" si="2"/>
        <v>(5, 6]</v>
      </c>
      <c r="I93" s="62">
        <v>0</v>
      </c>
      <c r="J93" s="59">
        <v>0</v>
      </c>
      <c r="K93" s="59">
        <v>0</v>
      </c>
      <c r="L93" s="128">
        <v>0</v>
      </c>
      <c r="M93" s="59">
        <v>0</v>
      </c>
      <c r="N93" s="59">
        <v>0</v>
      </c>
      <c r="O93" s="130">
        <v>0</v>
      </c>
      <c r="P93" s="59">
        <v>0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 x14ac:dyDescent="0.3">
      <c r="A94" s="58">
        <v>6</v>
      </c>
      <c r="B94" s="58">
        <v>7</v>
      </c>
      <c r="C94" s="72">
        <v>2</v>
      </c>
      <c r="D94" s="72">
        <v>1355</v>
      </c>
      <c r="E94" s="59">
        <v>6.3856960408684551E-4</v>
      </c>
      <c r="F94" s="93">
        <v>6.7750000000000004</v>
      </c>
      <c r="G94" s="107"/>
      <c r="H94" s="61" t="str">
        <f t="shared" si="2"/>
        <v>(6, 7]</v>
      </c>
      <c r="I94" s="62">
        <v>0</v>
      </c>
      <c r="J94" s="59">
        <v>0</v>
      </c>
      <c r="K94" s="59">
        <v>0</v>
      </c>
      <c r="L94" s="128">
        <v>0</v>
      </c>
      <c r="M94" s="59">
        <v>0</v>
      </c>
      <c r="N94" s="59">
        <v>0</v>
      </c>
      <c r="O94" s="130">
        <v>0</v>
      </c>
      <c r="P94" s="59">
        <v>0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 x14ac:dyDescent="0.3">
      <c r="A95" s="58">
        <v>7</v>
      </c>
      <c r="B95" s="58">
        <v>8</v>
      </c>
      <c r="C95" s="72">
        <v>1</v>
      </c>
      <c r="D95" s="72">
        <v>725</v>
      </c>
      <c r="E95" s="59">
        <v>3.1928480204342275E-4</v>
      </c>
      <c r="F95" s="93">
        <v>7.25</v>
      </c>
      <c r="G95" s="107"/>
      <c r="H95" s="61" t="str">
        <f t="shared" si="2"/>
        <v>(7, 8]</v>
      </c>
      <c r="I95" s="62">
        <v>0</v>
      </c>
      <c r="J95" s="59">
        <v>0</v>
      </c>
      <c r="K95" s="59">
        <v>0</v>
      </c>
      <c r="L95" s="128">
        <v>0</v>
      </c>
      <c r="M95" s="59">
        <v>0</v>
      </c>
      <c r="N95" s="59">
        <v>0</v>
      </c>
      <c r="O95" s="130">
        <v>0</v>
      </c>
      <c r="P95" s="59">
        <v>0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 x14ac:dyDescent="0.3">
      <c r="A96" s="58">
        <v>8</v>
      </c>
      <c r="B96" s="58">
        <v>9</v>
      </c>
      <c r="C96" s="72">
        <v>2</v>
      </c>
      <c r="D96" s="72">
        <v>1710</v>
      </c>
      <c r="E96" s="59">
        <v>6.3856960408684551E-4</v>
      </c>
      <c r="F96" s="93">
        <v>8.5500000000000007</v>
      </c>
      <c r="G96" s="107"/>
      <c r="H96" s="61" t="str">
        <f t="shared" si="2"/>
        <v>(8, 9]</v>
      </c>
      <c r="I96" s="62">
        <v>0</v>
      </c>
      <c r="J96" s="59">
        <v>0</v>
      </c>
      <c r="K96" s="59">
        <v>0</v>
      </c>
      <c r="L96" s="128">
        <v>0</v>
      </c>
      <c r="M96" s="59">
        <v>0</v>
      </c>
      <c r="N96" s="59">
        <v>0</v>
      </c>
      <c r="O96" s="130">
        <v>0</v>
      </c>
      <c r="P96" s="59">
        <v>0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 x14ac:dyDescent="0.3">
      <c r="A97" s="58">
        <v>9</v>
      </c>
      <c r="B97" s="58">
        <v>10</v>
      </c>
      <c r="C97" s="72">
        <v>4</v>
      </c>
      <c r="D97" s="72">
        <v>3825</v>
      </c>
      <c r="E97" s="59">
        <v>1.277139208173691E-3</v>
      </c>
      <c r="F97" s="93">
        <v>9.5625</v>
      </c>
      <c r="G97" s="107"/>
      <c r="H97" s="61" t="str">
        <f t="shared" si="2"/>
        <v>(9, 10]</v>
      </c>
      <c r="I97" s="62">
        <v>0</v>
      </c>
      <c r="J97" s="59">
        <v>0</v>
      </c>
      <c r="K97" s="59">
        <v>0</v>
      </c>
      <c r="L97" s="128">
        <v>0</v>
      </c>
      <c r="M97" s="59">
        <v>0</v>
      </c>
      <c r="N97" s="59">
        <v>0</v>
      </c>
      <c r="O97" s="130">
        <v>0</v>
      </c>
      <c r="P97" s="59">
        <v>0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 x14ac:dyDescent="0.3">
      <c r="A98" s="58">
        <v>10</v>
      </c>
      <c r="B98" s="58">
        <v>15</v>
      </c>
      <c r="C98" s="72">
        <v>10</v>
      </c>
      <c r="D98" s="72">
        <v>12065</v>
      </c>
      <c r="E98" s="59">
        <v>3.1928480204342275E-3</v>
      </c>
      <c r="F98" s="93">
        <v>12.065</v>
      </c>
      <c r="G98" s="108"/>
      <c r="H98" s="61" t="str">
        <f t="shared" si="2"/>
        <v>(10, 15]</v>
      </c>
      <c r="I98" s="62">
        <v>0</v>
      </c>
      <c r="J98" s="59">
        <v>0</v>
      </c>
      <c r="K98" s="59">
        <v>0</v>
      </c>
      <c r="L98" s="128">
        <v>0</v>
      </c>
      <c r="M98" s="59">
        <v>0</v>
      </c>
      <c r="N98" s="59">
        <v>0</v>
      </c>
      <c r="O98" s="130">
        <v>0</v>
      </c>
      <c r="P98" s="59">
        <v>0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 x14ac:dyDescent="0.3">
      <c r="A99" s="58">
        <v>15</v>
      </c>
      <c r="B99" s="58">
        <v>20</v>
      </c>
      <c r="C99" s="72">
        <v>18</v>
      </c>
      <c r="D99" s="72">
        <v>32170</v>
      </c>
      <c r="E99" s="59">
        <v>5.7471264367816091E-3</v>
      </c>
      <c r="F99" s="93">
        <v>17.87222222222222</v>
      </c>
      <c r="G99" s="108"/>
      <c r="H99" s="124" t="str">
        <f t="shared" si="2"/>
        <v>(15, 20]</v>
      </c>
      <c r="I99" s="62">
        <v>0</v>
      </c>
      <c r="J99" s="59">
        <v>0</v>
      </c>
      <c r="K99" s="59">
        <v>0</v>
      </c>
      <c r="L99" s="128">
        <v>0</v>
      </c>
      <c r="M99" s="59">
        <v>0</v>
      </c>
      <c r="N99" s="59">
        <v>0</v>
      </c>
      <c r="O99" s="130">
        <v>0</v>
      </c>
      <c r="P99" s="59">
        <v>0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 x14ac:dyDescent="0.3">
      <c r="A100" s="58">
        <v>20</v>
      </c>
      <c r="B100" s="58">
        <v>25</v>
      </c>
      <c r="C100" s="72">
        <v>16</v>
      </c>
      <c r="D100" s="72">
        <v>36110</v>
      </c>
      <c r="E100" s="59">
        <v>5.108556832694764E-3</v>
      </c>
      <c r="F100" s="93">
        <v>22.568750000000001</v>
      </c>
      <c r="G100" s="108"/>
      <c r="H100" s="61" t="str">
        <f t="shared" si="2"/>
        <v>(20, 25]</v>
      </c>
      <c r="I100" s="62">
        <v>0</v>
      </c>
      <c r="J100" s="59">
        <v>0</v>
      </c>
      <c r="K100" s="59">
        <v>0</v>
      </c>
      <c r="L100" s="128">
        <v>0</v>
      </c>
      <c r="M100" s="59">
        <v>0</v>
      </c>
      <c r="N100" s="59">
        <v>0</v>
      </c>
      <c r="O100" s="130">
        <v>0</v>
      </c>
      <c r="P100" s="59">
        <v>0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 x14ac:dyDescent="0.3">
      <c r="A101" s="58">
        <v>25</v>
      </c>
      <c r="B101" s="58">
        <v>30</v>
      </c>
      <c r="C101" s="72">
        <v>30</v>
      </c>
      <c r="D101" s="72">
        <v>82580</v>
      </c>
      <c r="E101" s="59">
        <v>9.5785440613026813E-3</v>
      </c>
      <c r="F101" s="93">
        <v>27.526666666666664</v>
      </c>
      <c r="G101" s="108"/>
      <c r="H101" s="61" t="str">
        <f t="shared" si="2"/>
        <v>(25, 30]</v>
      </c>
      <c r="I101" s="62">
        <v>0</v>
      </c>
      <c r="J101" s="59">
        <v>0</v>
      </c>
      <c r="K101" s="59">
        <v>0</v>
      </c>
      <c r="L101" s="128">
        <v>0</v>
      </c>
      <c r="M101" s="59">
        <v>0</v>
      </c>
      <c r="N101" s="59">
        <v>0</v>
      </c>
      <c r="O101" s="130">
        <v>0</v>
      </c>
      <c r="P101" s="59">
        <v>0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 x14ac:dyDescent="0.3">
      <c r="A102" s="58">
        <v>30</v>
      </c>
      <c r="B102" s="58">
        <v>35</v>
      </c>
      <c r="C102" s="72">
        <v>15</v>
      </c>
      <c r="D102" s="72">
        <v>49635</v>
      </c>
      <c r="E102" s="59">
        <v>4.7892720306513406E-3</v>
      </c>
      <c r="F102" s="93">
        <v>33.090000000000003</v>
      </c>
      <c r="G102" s="108"/>
      <c r="H102" s="61" t="str">
        <f t="shared" si="2"/>
        <v>(30, 35]</v>
      </c>
      <c r="I102" s="62">
        <v>0</v>
      </c>
      <c r="J102" s="59">
        <v>0</v>
      </c>
      <c r="K102" s="59">
        <v>0</v>
      </c>
      <c r="L102" s="128">
        <v>0</v>
      </c>
      <c r="M102" s="59">
        <v>0</v>
      </c>
      <c r="N102" s="59">
        <v>0</v>
      </c>
      <c r="O102" s="130">
        <v>0</v>
      </c>
      <c r="P102" s="59">
        <v>0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 x14ac:dyDescent="0.3">
      <c r="A103" s="58">
        <v>35</v>
      </c>
      <c r="B103" s="58">
        <v>40</v>
      </c>
      <c r="C103" s="72">
        <v>18</v>
      </c>
      <c r="D103" s="72">
        <v>67930</v>
      </c>
      <c r="E103" s="59">
        <v>5.7471264367816091E-3</v>
      </c>
      <c r="F103" s="93">
        <v>37.738888888888887</v>
      </c>
      <c r="G103" s="108"/>
      <c r="H103" s="124" t="str">
        <f t="shared" si="2"/>
        <v>(35, 40]</v>
      </c>
      <c r="I103" s="62">
        <v>0</v>
      </c>
      <c r="J103" s="59">
        <v>0</v>
      </c>
      <c r="K103" s="59">
        <v>0</v>
      </c>
      <c r="L103" s="128">
        <v>0</v>
      </c>
      <c r="M103" s="59">
        <v>0</v>
      </c>
      <c r="N103" s="59">
        <v>0</v>
      </c>
      <c r="O103" s="130">
        <v>0</v>
      </c>
      <c r="P103" s="59">
        <v>0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 x14ac:dyDescent="0.3">
      <c r="A104" s="58">
        <v>40</v>
      </c>
      <c r="B104" s="58">
        <v>45</v>
      </c>
      <c r="C104" s="72">
        <v>13</v>
      </c>
      <c r="D104" s="72">
        <v>54945</v>
      </c>
      <c r="E104" s="59">
        <v>4.1507024265644956E-3</v>
      </c>
      <c r="F104" s="93">
        <v>42.265384615384619</v>
      </c>
      <c r="G104" s="108"/>
      <c r="H104" s="61" t="str">
        <f t="shared" si="2"/>
        <v>(40, 45]</v>
      </c>
      <c r="I104" s="62">
        <v>0</v>
      </c>
      <c r="J104" s="59">
        <v>0</v>
      </c>
      <c r="K104" s="59">
        <v>0</v>
      </c>
      <c r="L104" s="128">
        <v>0</v>
      </c>
      <c r="M104" s="59">
        <v>0</v>
      </c>
      <c r="N104" s="59">
        <v>0</v>
      </c>
      <c r="O104" s="130">
        <v>0</v>
      </c>
      <c r="P104" s="59">
        <v>0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 x14ac:dyDescent="0.3">
      <c r="A105" s="58">
        <v>45</v>
      </c>
      <c r="B105" s="58">
        <v>50</v>
      </c>
      <c r="C105" s="72">
        <v>18</v>
      </c>
      <c r="D105" s="72">
        <v>83990</v>
      </c>
      <c r="E105" s="59">
        <v>5.7471264367816091E-3</v>
      </c>
      <c r="F105" s="93">
        <v>46.661111111111111</v>
      </c>
      <c r="G105" s="108"/>
      <c r="H105" s="61" t="str">
        <f t="shared" si="2"/>
        <v>(45, 50]</v>
      </c>
      <c r="I105" s="62">
        <v>1</v>
      </c>
      <c r="J105" s="59">
        <v>5.7471264367816091E-3</v>
      </c>
      <c r="K105" s="59">
        <v>2.368421052631579E-2</v>
      </c>
      <c r="L105" s="128">
        <f>1000000000-SUM(_xlfn.ANCHORARRAY(L106))</f>
        <v>23684215</v>
      </c>
      <c r="M105" s="59">
        <v>2.3684215000000002E-2</v>
      </c>
      <c r="N105" s="59">
        <v>1.1051317876944444</v>
      </c>
      <c r="O105" s="130">
        <v>1.1000000000000001</v>
      </c>
      <c r="P105" s="59">
        <v>2.3684215000000002E-2</v>
      </c>
      <c r="Q105" s="59">
        <v>3.9474207394742077E-2</v>
      </c>
      <c r="R105" s="83">
        <v>1.67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 x14ac:dyDescent="0.3">
      <c r="A106" s="58">
        <v>50</v>
      </c>
      <c r="B106" s="58">
        <v>60</v>
      </c>
      <c r="C106" s="72">
        <v>42</v>
      </c>
      <c r="D106" s="72">
        <v>230855</v>
      </c>
      <c r="E106" s="59">
        <v>1.3409961685823755E-2</v>
      </c>
      <c r="F106" s="93">
        <v>54.965476190476195</v>
      </c>
      <c r="G106" s="108"/>
      <c r="H106" s="124" t="str">
        <f t="shared" si="2"/>
        <v>(50, 60]</v>
      </c>
      <c r="I106" s="62">
        <v>1</v>
      </c>
      <c r="J106" s="59">
        <v>1.3409961685823755E-2</v>
      </c>
      <c r="K106" s="59">
        <v>5.526315789473684E-2</v>
      </c>
      <c r="L106" s="128" cm="1">
        <f t="array" ref="L106:L150">INT(K106:K150*$B$2)</f>
        <v>55263157</v>
      </c>
      <c r="M106" s="59">
        <v>5.5263157E-2</v>
      </c>
      <c r="N106" s="59">
        <v>3.0375657402940477</v>
      </c>
      <c r="O106" s="130">
        <v>1.1000000000000001</v>
      </c>
      <c r="P106" s="59">
        <v>5.5263157E-2</v>
      </c>
      <c r="Q106" s="59">
        <v>6.6493725664937262E-2</v>
      </c>
      <c r="R106" s="83">
        <v>1.2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 x14ac:dyDescent="0.3">
      <c r="A107" s="58">
        <v>60</v>
      </c>
      <c r="B107" s="58">
        <v>70</v>
      </c>
      <c r="C107" s="72">
        <v>45</v>
      </c>
      <c r="D107" s="72">
        <v>294970</v>
      </c>
      <c r="E107" s="59">
        <v>1.4367816091954023E-2</v>
      </c>
      <c r="F107" s="93">
        <v>65.548888888888882</v>
      </c>
      <c r="G107" s="108"/>
      <c r="H107" s="61" t="str">
        <f t="shared" si="2"/>
        <v>(60, 70]</v>
      </c>
      <c r="I107" s="62">
        <v>1</v>
      </c>
      <c r="J107" s="59">
        <v>1.4367816091954023E-2</v>
      </c>
      <c r="K107" s="59">
        <v>5.921052631578947E-2</v>
      </c>
      <c r="L107" s="128">
        <v>59210526</v>
      </c>
      <c r="M107" s="59">
        <v>5.9210525999999999E-2</v>
      </c>
      <c r="N107" s="59">
        <v>3.8811841898266661</v>
      </c>
      <c r="O107" s="130">
        <v>1.1000000000000001</v>
      </c>
      <c r="P107" s="59">
        <v>5.9210525999999999E-2</v>
      </c>
      <c r="Q107" s="59">
        <v>5.5811324558113246E-2</v>
      </c>
      <c r="R107" s="83">
        <v>0.94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 x14ac:dyDescent="0.3">
      <c r="A108" s="58">
        <v>70</v>
      </c>
      <c r="B108" s="58">
        <v>80</v>
      </c>
      <c r="C108" s="72">
        <v>52</v>
      </c>
      <c r="D108" s="72">
        <v>386290</v>
      </c>
      <c r="E108" s="59">
        <v>1.6602809706257982E-2</v>
      </c>
      <c r="F108" s="93">
        <v>74.286538461538456</v>
      </c>
      <c r="G108" s="108"/>
      <c r="H108" s="61" t="str">
        <f t="shared" si="2"/>
        <v>(70, 80]</v>
      </c>
      <c r="I108" s="62">
        <v>1</v>
      </c>
      <c r="J108" s="59">
        <v>1.6602809706257982E-2</v>
      </c>
      <c r="K108" s="59">
        <v>6.8421052631578952E-2</v>
      </c>
      <c r="L108" s="128">
        <v>68421052</v>
      </c>
      <c r="M108" s="59">
        <v>6.8421051999999996E-2</v>
      </c>
      <c r="N108" s="59">
        <v>5.0827631109769227</v>
      </c>
      <c r="O108" s="130">
        <v>1.1000000000000001</v>
      </c>
      <c r="P108" s="59">
        <v>6.8421051999999996E-2</v>
      </c>
      <c r="Q108" s="59">
        <v>4.7531103475311032E-2</v>
      </c>
      <c r="R108" s="83">
        <v>0.69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 x14ac:dyDescent="0.3">
      <c r="A109" s="58">
        <v>80</v>
      </c>
      <c r="B109" s="58">
        <v>90</v>
      </c>
      <c r="C109" s="72">
        <v>56</v>
      </c>
      <c r="D109" s="72">
        <v>477100</v>
      </c>
      <c r="E109" s="59">
        <v>1.7879948914431672E-2</v>
      </c>
      <c r="F109" s="93">
        <v>85.196428571428569</v>
      </c>
      <c r="H109" s="61" t="str">
        <f t="shared" si="2"/>
        <v>(80, 90]</v>
      </c>
      <c r="I109" s="62">
        <v>1</v>
      </c>
      <c r="J109" s="59">
        <v>1.7879948914431672E-2</v>
      </c>
      <c r="K109" s="59">
        <v>7.3684210526315783E-2</v>
      </c>
      <c r="L109" s="128">
        <v>73684210</v>
      </c>
      <c r="M109" s="59">
        <v>7.368421E-2</v>
      </c>
      <c r="N109" s="59">
        <v>6.2776315341071429</v>
      </c>
      <c r="O109" s="130">
        <v>1.1000000000000001</v>
      </c>
      <c r="P109" s="59">
        <v>7.368421E-2</v>
      </c>
      <c r="Q109" s="59">
        <v>3.9823511398235117E-2</v>
      </c>
      <c r="R109" s="83">
        <v>0.54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 x14ac:dyDescent="0.3">
      <c r="A110" s="58">
        <v>90</v>
      </c>
      <c r="B110" s="58">
        <v>100</v>
      </c>
      <c r="C110" s="72">
        <v>47</v>
      </c>
      <c r="D110" s="72">
        <v>443795</v>
      </c>
      <c r="E110" s="59">
        <v>1.5006385696040868E-2</v>
      </c>
      <c r="F110" s="93">
        <v>94.424468085106383</v>
      </c>
      <c r="G110" s="108"/>
      <c r="H110" s="61" t="str">
        <f t="shared" si="2"/>
        <v>(90, 100]</v>
      </c>
      <c r="I110" s="126">
        <v>1</v>
      </c>
      <c r="J110" s="127">
        <v>1.5006385696040868E-2</v>
      </c>
      <c r="K110" s="127">
        <v>6.1842105263157893E-2</v>
      </c>
      <c r="L110" s="128">
        <v>61842105</v>
      </c>
      <c r="M110" s="127">
        <v>6.1842105000000001E-2</v>
      </c>
      <c r="N110" s="127">
        <v>5.8394078698882979</v>
      </c>
      <c r="O110" s="130">
        <v>1.1000000000000001</v>
      </c>
      <c r="P110" s="59">
        <v>6.1842105000000001E-2</v>
      </c>
      <c r="Q110" s="59">
        <v>3.3762229337622296E-2</v>
      </c>
      <c r="R110" s="83">
        <v>0.55000000000000004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 x14ac:dyDescent="0.3">
      <c r="A111" s="58">
        <v>100</v>
      </c>
      <c r="B111" s="58">
        <v>120</v>
      </c>
      <c r="C111" s="72">
        <v>106</v>
      </c>
      <c r="D111" s="72">
        <v>1163150</v>
      </c>
      <c r="E111" s="59">
        <v>3.3844189016602813E-2</v>
      </c>
      <c r="F111" s="93">
        <v>109.73113207547171</v>
      </c>
      <c r="G111" s="108"/>
      <c r="H111" s="61" t="str">
        <f t="shared" si="2"/>
        <v>(100, 120]</v>
      </c>
      <c r="I111" s="126">
        <v>1</v>
      </c>
      <c r="J111" s="127">
        <v>3.3844189016602813E-2</v>
      </c>
      <c r="K111" s="127">
        <v>0.13947368421052633</v>
      </c>
      <c r="L111" s="128">
        <v>139473684</v>
      </c>
      <c r="M111" s="127">
        <v>0.13947368399999999</v>
      </c>
      <c r="N111" s="127">
        <v>15.304605240056603</v>
      </c>
      <c r="O111" s="130">
        <v>1.1000000000000001</v>
      </c>
      <c r="P111" s="59">
        <v>0.13947368399999999</v>
      </c>
      <c r="Q111" s="59">
        <v>5.2066327520663272E-2</v>
      </c>
      <c r="R111" s="83">
        <v>0.37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 x14ac:dyDescent="0.3">
      <c r="A112" s="58">
        <v>120</v>
      </c>
      <c r="B112" s="58">
        <v>140</v>
      </c>
      <c r="C112" s="72">
        <v>104</v>
      </c>
      <c r="D112" s="72">
        <v>1344540</v>
      </c>
      <c r="E112" s="59">
        <v>3.3205619412515965E-2</v>
      </c>
      <c r="F112" s="93">
        <v>129.28269230769232</v>
      </c>
      <c r="G112" s="108"/>
      <c r="H112" s="61" t="str">
        <f t="shared" si="2"/>
        <v>(120, 140]</v>
      </c>
      <c r="I112" s="126">
        <v>1</v>
      </c>
      <c r="J112" s="127">
        <v>3.3205619412515965E-2</v>
      </c>
      <c r="K112" s="127">
        <v>0.1368421052631579</v>
      </c>
      <c r="L112" s="128">
        <v>136842105</v>
      </c>
      <c r="M112" s="127">
        <v>0.13684210499999999</v>
      </c>
      <c r="N112" s="127">
        <v>17.691315755451924</v>
      </c>
      <c r="O112" s="130">
        <v>1.1000000000000001</v>
      </c>
      <c r="P112" s="59">
        <v>0.13684210499999999</v>
      </c>
      <c r="Q112" s="59">
        <v>3.8549410385494101E-2</v>
      </c>
      <c r="R112" s="83">
        <v>0.28000000000000003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 x14ac:dyDescent="0.3">
      <c r="A113" s="58">
        <v>140</v>
      </c>
      <c r="B113" s="58">
        <v>160</v>
      </c>
      <c r="C113" s="72">
        <v>103</v>
      </c>
      <c r="D113" s="72">
        <v>1540590</v>
      </c>
      <c r="E113" s="59">
        <v>3.2886334610472544E-2</v>
      </c>
      <c r="F113" s="93">
        <v>149.57184466019419</v>
      </c>
      <c r="G113" s="108"/>
      <c r="H113" s="61" t="str">
        <f t="shared" si="2"/>
        <v>(140, 160]</v>
      </c>
      <c r="I113" s="126">
        <v>1</v>
      </c>
      <c r="J113" s="127">
        <v>3.2886334610472544E-2</v>
      </c>
      <c r="K113" s="127">
        <v>0.13552631578947369</v>
      </c>
      <c r="L113" s="128">
        <v>135526315</v>
      </c>
      <c r="M113" s="127">
        <v>0.13552631500000001</v>
      </c>
      <c r="N113" s="127">
        <v>20.270920934548545</v>
      </c>
      <c r="O113" s="130">
        <v>1.1000000000000001</v>
      </c>
      <c r="P113" s="59">
        <v>0.13552631500000001</v>
      </c>
      <c r="Q113" s="59">
        <v>2.8302207283022074E-2</v>
      </c>
      <c r="R113" s="83">
        <v>0.21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 x14ac:dyDescent="0.3">
      <c r="A114" s="58">
        <v>160</v>
      </c>
      <c r="B114" s="58">
        <v>180</v>
      </c>
      <c r="C114" s="72">
        <v>104</v>
      </c>
      <c r="D114" s="72">
        <v>1765260</v>
      </c>
      <c r="E114" s="59">
        <v>3.3205619412515965E-2</v>
      </c>
      <c r="F114" s="93">
        <v>169.73653846153849</v>
      </c>
      <c r="G114" s="108"/>
      <c r="H114" s="61" t="str">
        <f t="shared" si="2"/>
        <v>(160, 180]</v>
      </c>
      <c r="I114" s="126">
        <v>1</v>
      </c>
      <c r="J114" s="127">
        <v>3.3205619412515965E-2</v>
      </c>
      <c r="K114" s="127">
        <v>0.1368421052631579</v>
      </c>
      <c r="L114" s="128">
        <v>136842105</v>
      </c>
      <c r="M114" s="127">
        <v>0.13684210499999999</v>
      </c>
      <c r="N114" s="127">
        <v>23.227105218490387</v>
      </c>
      <c r="O114" s="130">
        <v>1.1000000000000001</v>
      </c>
      <c r="P114" s="59">
        <v>0.13684210499999999</v>
      </c>
      <c r="Q114" s="59">
        <v>2.0817941208179411E-2</v>
      </c>
      <c r="R114" s="83">
        <v>0.15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 x14ac:dyDescent="0.3">
      <c r="A115" s="58">
        <v>180</v>
      </c>
      <c r="B115" s="58">
        <v>200</v>
      </c>
      <c r="C115" s="72">
        <v>83</v>
      </c>
      <c r="D115" s="72">
        <v>1574245</v>
      </c>
      <c r="E115" s="59">
        <v>2.6500638569604086E-2</v>
      </c>
      <c r="F115" s="93">
        <v>189.66807228915661</v>
      </c>
      <c r="G115" s="108"/>
      <c r="H115" s="61" t="str">
        <f t="shared" si="2"/>
        <v>(180, 200]</v>
      </c>
      <c r="I115" s="126">
        <v>1</v>
      </c>
      <c r="J115" s="127">
        <v>2.6500638569604086E-2</v>
      </c>
      <c r="K115" s="127">
        <v>0.10921052631578947</v>
      </c>
      <c r="L115" s="128">
        <v>109210526</v>
      </c>
      <c r="M115" s="127">
        <v>0.109210526</v>
      </c>
      <c r="N115" s="127">
        <v>20.713749940104819</v>
      </c>
      <c r="O115" s="130">
        <v>1.1000000000000001</v>
      </c>
      <c r="P115" s="59">
        <v>0.109210526</v>
      </c>
      <c r="Q115" s="59">
        <v>2.4458433244584334E-2</v>
      </c>
      <c r="R115" s="83">
        <v>0.22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 x14ac:dyDescent="0.3">
      <c r="A116" s="58">
        <v>200</v>
      </c>
      <c r="B116" s="58">
        <v>250</v>
      </c>
      <c r="C116" s="72">
        <v>231</v>
      </c>
      <c r="D116" s="72">
        <v>5199690</v>
      </c>
      <c r="E116" s="59">
        <v>7.3754789272030649E-2</v>
      </c>
      <c r="F116" s="93">
        <v>225.09480519480519</v>
      </c>
      <c r="G116" s="108"/>
      <c r="H116" s="61" t="str">
        <f t="shared" si="2"/>
        <v>(200, 250]</v>
      </c>
      <c r="I116" s="126">
        <v>0</v>
      </c>
      <c r="J116" s="127">
        <v>0</v>
      </c>
      <c r="K116" s="127">
        <v>0</v>
      </c>
      <c r="L116" s="128">
        <v>0</v>
      </c>
      <c r="M116" s="127">
        <v>0</v>
      </c>
      <c r="N116" s="127">
        <v>0</v>
      </c>
      <c r="O116" s="130">
        <v>0</v>
      </c>
      <c r="P116" s="59">
        <v>0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 x14ac:dyDescent="0.3">
      <c r="A117" s="58">
        <v>250</v>
      </c>
      <c r="B117" s="58">
        <v>300</v>
      </c>
      <c r="C117" s="72">
        <v>219</v>
      </c>
      <c r="D117" s="72">
        <v>6001540</v>
      </c>
      <c r="E117" s="59">
        <v>6.9923371647509572E-2</v>
      </c>
      <c r="F117" s="93">
        <v>274.04292237442922</v>
      </c>
      <c r="G117" s="108"/>
      <c r="H117" s="61" t="str">
        <f t="shared" si="2"/>
        <v>(250, 300]</v>
      </c>
      <c r="I117" s="126">
        <v>0</v>
      </c>
      <c r="J117" s="127">
        <v>0</v>
      </c>
      <c r="K117" s="127">
        <v>0</v>
      </c>
      <c r="L117" s="128">
        <v>0</v>
      </c>
      <c r="M117" s="127">
        <v>0</v>
      </c>
      <c r="N117" s="127">
        <v>0</v>
      </c>
      <c r="O117" s="130">
        <v>0</v>
      </c>
      <c r="P117" s="59">
        <v>0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 x14ac:dyDescent="0.3">
      <c r="A118" s="58">
        <v>300</v>
      </c>
      <c r="B118" s="58">
        <v>350</v>
      </c>
      <c r="C118" s="72">
        <v>210</v>
      </c>
      <c r="D118" s="72">
        <v>6772635</v>
      </c>
      <c r="E118" s="59">
        <v>6.7049808429118771E-2</v>
      </c>
      <c r="F118" s="93">
        <v>322.50642857142861</v>
      </c>
      <c r="G118" s="108"/>
      <c r="H118" s="61" t="str">
        <f t="shared" si="2"/>
        <v>(300, 350]</v>
      </c>
      <c r="I118" s="126">
        <v>0</v>
      </c>
      <c r="J118" s="127">
        <v>0</v>
      </c>
      <c r="K118" s="127">
        <v>0</v>
      </c>
      <c r="L118" s="128">
        <v>0</v>
      </c>
      <c r="M118" s="127">
        <v>0</v>
      </c>
      <c r="N118" s="127">
        <v>0</v>
      </c>
      <c r="O118" s="130">
        <v>0</v>
      </c>
      <c r="P118" s="59">
        <v>0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 x14ac:dyDescent="0.3">
      <c r="A119" s="58">
        <v>350</v>
      </c>
      <c r="B119" s="58">
        <v>400</v>
      </c>
      <c r="C119" s="72">
        <v>173</v>
      </c>
      <c r="D119" s="72">
        <v>6486070</v>
      </c>
      <c r="E119" s="59">
        <v>5.5236270753512132E-2</v>
      </c>
      <c r="F119" s="93">
        <v>374.91734104046242</v>
      </c>
      <c r="G119" s="108"/>
      <c r="H119" s="61" t="str">
        <f t="shared" si="2"/>
        <v>(350, 400]</v>
      </c>
      <c r="I119" s="126">
        <v>0</v>
      </c>
      <c r="J119" s="127">
        <v>0</v>
      </c>
      <c r="K119" s="127">
        <v>0</v>
      </c>
      <c r="L119" s="128">
        <v>0</v>
      </c>
      <c r="M119" s="127">
        <v>0</v>
      </c>
      <c r="N119" s="127">
        <v>0</v>
      </c>
      <c r="O119" s="130">
        <v>0</v>
      </c>
      <c r="P119" s="59">
        <v>0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 x14ac:dyDescent="0.3">
      <c r="A120" s="58">
        <v>400</v>
      </c>
      <c r="B120" s="58">
        <v>450</v>
      </c>
      <c r="C120" s="72">
        <v>177</v>
      </c>
      <c r="D120" s="72">
        <v>7505655</v>
      </c>
      <c r="E120" s="59">
        <v>5.6513409961685822E-2</v>
      </c>
      <c r="F120" s="93">
        <v>424.04830508474572</v>
      </c>
      <c r="G120" s="108"/>
      <c r="H120" s="61" t="str">
        <f t="shared" si="2"/>
        <v>(400, 450]</v>
      </c>
      <c r="I120" s="126">
        <v>0</v>
      </c>
      <c r="J120" s="127">
        <v>0</v>
      </c>
      <c r="K120" s="127">
        <v>0</v>
      </c>
      <c r="L120" s="128">
        <v>0</v>
      </c>
      <c r="M120" s="127">
        <v>0</v>
      </c>
      <c r="N120" s="127">
        <v>0</v>
      </c>
      <c r="O120" s="130">
        <v>0</v>
      </c>
      <c r="P120" s="59">
        <v>0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 x14ac:dyDescent="0.3">
      <c r="A121" s="58">
        <v>450</v>
      </c>
      <c r="B121" s="58">
        <v>500</v>
      </c>
      <c r="C121" s="72">
        <v>152</v>
      </c>
      <c r="D121" s="72">
        <v>7215225</v>
      </c>
      <c r="E121" s="59">
        <v>4.8531289910600253E-2</v>
      </c>
      <c r="F121" s="93">
        <v>474.68585526315786</v>
      </c>
      <c r="G121" s="108"/>
      <c r="H121" s="61" t="str">
        <f t="shared" si="2"/>
        <v>(450, 500]</v>
      </c>
      <c r="I121" s="126">
        <v>0</v>
      </c>
      <c r="J121" s="127">
        <v>0</v>
      </c>
      <c r="K121" s="127">
        <v>0</v>
      </c>
      <c r="L121" s="128">
        <v>0</v>
      </c>
      <c r="M121" s="127">
        <v>0</v>
      </c>
      <c r="N121" s="127">
        <v>0</v>
      </c>
      <c r="O121" s="130">
        <v>0</v>
      </c>
      <c r="P121" s="59">
        <v>0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 x14ac:dyDescent="0.3">
      <c r="A122" s="58">
        <v>500</v>
      </c>
      <c r="B122" s="58">
        <v>550</v>
      </c>
      <c r="C122" s="72">
        <v>101</v>
      </c>
      <c r="D122" s="72">
        <v>5282130</v>
      </c>
      <c r="E122" s="59">
        <v>3.2247765006385695E-2</v>
      </c>
      <c r="F122" s="93">
        <v>522.98316831683167</v>
      </c>
      <c r="G122" s="108"/>
      <c r="H122" s="61" t="str">
        <f t="shared" si="2"/>
        <v>(500, 550]</v>
      </c>
      <c r="I122" s="126">
        <v>0</v>
      </c>
      <c r="J122" s="127">
        <v>0</v>
      </c>
      <c r="K122" s="127">
        <v>0</v>
      </c>
      <c r="L122" s="128">
        <v>0</v>
      </c>
      <c r="M122" s="127">
        <v>0</v>
      </c>
      <c r="N122" s="127">
        <v>0</v>
      </c>
      <c r="O122" s="130">
        <v>0</v>
      </c>
      <c r="P122" s="59">
        <v>0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 x14ac:dyDescent="0.3">
      <c r="A123" s="58">
        <v>550</v>
      </c>
      <c r="B123" s="58">
        <v>600</v>
      </c>
      <c r="C123" s="72">
        <v>105</v>
      </c>
      <c r="D123" s="72">
        <v>6017150</v>
      </c>
      <c r="E123" s="59">
        <v>3.3524904214559385E-2</v>
      </c>
      <c r="F123" s="93">
        <v>573.06190476190477</v>
      </c>
      <c r="G123" s="108"/>
      <c r="H123" s="61" t="str">
        <f t="shared" si="2"/>
        <v>(550, 600]</v>
      </c>
      <c r="I123" s="62">
        <v>0</v>
      </c>
      <c r="J123" s="59">
        <v>0</v>
      </c>
      <c r="K123" s="59">
        <v>0</v>
      </c>
      <c r="L123" s="128">
        <v>0</v>
      </c>
      <c r="M123" s="59">
        <v>0</v>
      </c>
      <c r="N123" s="59">
        <v>0</v>
      </c>
      <c r="O123" s="130">
        <v>0</v>
      </c>
      <c r="P123" s="59">
        <v>0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 x14ac:dyDescent="0.3">
      <c r="A124" s="58">
        <v>600</v>
      </c>
      <c r="B124" s="58">
        <v>650</v>
      </c>
      <c r="C124" s="72">
        <v>94</v>
      </c>
      <c r="D124" s="72">
        <v>5863630</v>
      </c>
      <c r="E124" s="59">
        <v>3.0012771392081736E-2</v>
      </c>
      <c r="F124" s="93">
        <v>623.79042553191493</v>
      </c>
      <c r="G124" s="108"/>
      <c r="H124" s="61" t="str">
        <f t="shared" si="2"/>
        <v>(600, 650]</v>
      </c>
      <c r="I124" s="62">
        <v>0</v>
      </c>
      <c r="J124" s="59">
        <v>0</v>
      </c>
      <c r="K124" s="59">
        <v>0</v>
      </c>
      <c r="L124" s="128">
        <v>0</v>
      </c>
      <c r="M124" s="59">
        <v>0</v>
      </c>
      <c r="N124" s="59">
        <v>0</v>
      </c>
      <c r="O124" s="130">
        <v>0</v>
      </c>
      <c r="P124" s="59">
        <v>0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 x14ac:dyDescent="0.3">
      <c r="A125" s="58">
        <v>650</v>
      </c>
      <c r="B125" s="58">
        <v>700</v>
      </c>
      <c r="C125" s="72">
        <v>95</v>
      </c>
      <c r="D125" s="72">
        <v>6409735</v>
      </c>
      <c r="E125" s="59">
        <v>3.033205619412516E-2</v>
      </c>
      <c r="F125" s="93">
        <v>674.70894736842104</v>
      </c>
      <c r="G125" s="108"/>
      <c r="H125" s="61" t="str">
        <f t="shared" si="2"/>
        <v>(650, 700]</v>
      </c>
      <c r="I125" s="62">
        <v>0</v>
      </c>
      <c r="J125" s="59">
        <v>0</v>
      </c>
      <c r="K125" s="59">
        <v>0</v>
      </c>
      <c r="L125" s="128">
        <v>0</v>
      </c>
      <c r="M125" s="59">
        <v>0</v>
      </c>
      <c r="N125" s="59">
        <v>0</v>
      </c>
      <c r="O125" s="130">
        <v>0</v>
      </c>
      <c r="P125" s="59">
        <v>0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 x14ac:dyDescent="0.3">
      <c r="A126" s="58">
        <v>700</v>
      </c>
      <c r="B126" s="58">
        <v>750</v>
      </c>
      <c r="C126" s="72">
        <v>66</v>
      </c>
      <c r="D126" s="72">
        <v>4795575</v>
      </c>
      <c r="E126" s="59">
        <v>2.1072796934865901E-2</v>
      </c>
      <c r="F126" s="93">
        <v>726.60227272727275</v>
      </c>
      <c r="G126" s="107"/>
      <c r="H126" s="61" t="str">
        <f t="shared" si="2"/>
        <v>(700, 750]</v>
      </c>
      <c r="I126" s="62">
        <v>0</v>
      </c>
      <c r="J126" s="59">
        <v>0</v>
      </c>
      <c r="K126" s="59">
        <v>0</v>
      </c>
      <c r="L126" s="128">
        <v>0</v>
      </c>
      <c r="M126" s="59">
        <v>0</v>
      </c>
      <c r="N126" s="59">
        <v>0</v>
      </c>
      <c r="O126" s="130">
        <v>0</v>
      </c>
      <c r="P126" s="59">
        <v>0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 x14ac:dyDescent="0.3">
      <c r="A127" s="58">
        <v>750</v>
      </c>
      <c r="B127" s="58">
        <v>800</v>
      </c>
      <c r="C127" s="72">
        <v>69</v>
      </c>
      <c r="D127" s="72">
        <v>5339105</v>
      </c>
      <c r="E127" s="59">
        <v>2.2030651340996167E-2</v>
      </c>
      <c r="F127" s="93">
        <v>773.7833333333333</v>
      </c>
      <c r="G127" s="107"/>
      <c r="H127" s="61" t="str">
        <f t="shared" si="2"/>
        <v>(750, 800]</v>
      </c>
      <c r="I127" s="62">
        <v>0</v>
      </c>
      <c r="J127" s="59">
        <v>0</v>
      </c>
      <c r="K127" s="59">
        <v>0</v>
      </c>
      <c r="L127" s="128">
        <v>0</v>
      </c>
      <c r="M127" s="59">
        <v>0</v>
      </c>
      <c r="N127" s="59">
        <v>0</v>
      </c>
      <c r="O127" s="130">
        <v>0</v>
      </c>
      <c r="P127" s="59">
        <v>0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 x14ac:dyDescent="0.3">
      <c r="A128" s="58">
        <v>800</v>
      </c>
      <c r="B128" s="58">
        <v>850</v>
      </c>
      <c r="C128" s="72">
        <v>47</v>
      </c>
      <c r="D128" s="72">
        <v>3894050</v>
      </c>
      <c r="E128" s="59">
        <v>1.5006385696040868E-2</v>
      </c>
      <c r="F128" s="93">
        <v>828.52127659574467</v>
      </c>
      <c r="G128" s="107"/>
      <c r="H128" s="61" t="str">
        <f t="shared" si="2"/>
        <v>(800, 850]</v>
      </c>
      <c r="I128" s="62">
        <v>0</v>
      </c>
      <c r="J128" s="59">
        <v>0</v>
      </c>
      <c r="K128" s="59">
        <v>0</v>
      </c>
      <c r="L128" s="128">
        <v>0</v>
      </c>
      <c r="M128" s="59">
        <v>0</v>
      </c>
      <c r="N128" s="59">
        <v>0</v>
      </c>
      <c r="O128" s="130">
        <v>0</v>
      </c>
      <c r="P128" s="59">
        <v>0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 x14ac:dyDescent="0.3">
      <c r="A129" s="58">
        <v>850</v>
      </c>
      <c r="B129" s="58">
        <v>900</v>
      </c>
      <c r="C129" s="72">
        <v>56</v>
      </c>
      <c r="D129" s="72">
        <v>4891760</v>
      </c>
      <c r="E129" s="59">
        <v>1.7879948914431672E-2</v>
      </c>
      <c r="F129" s="93">
        <v>873.52857142857147</v>
      </c>
      <c r="G129" s="107"/>
      <c r="H129" s="61" t="str">
        <f t="shared" si="2"/>
        <v>(850, 900]</v>
      </c>
      <c r="I129" s="62">
        <v>0</v>
      </c>
      <c r="J129" s="59">
        <v>0</v>
      </c>
      <c r="K129" s="59">
        <v>0</v>
      </c>
      <c r="L129" s="84">
        <v>0</v>
      </c>
      <c r="M129" s="59">
        <v>0</v>
      </c>
      <c r="N129" s="59">
        <v>0</v>
      </c>
      <c r="O129" s="130">
        <v>0</v>
      </c>
      <c r="P129" s="59">
        <v>0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 x14ac:dyDescent="0.3">
      <c r="A130" s="58">
        <v>900</v>
      </c>
      <c r="B130" s="58">
        <v>950</v>
      </c>
      <c r="C130" s="72">
        <v>42</v>
      </c>
      <c r="D130" s="72">
        <v>3883580</v>
      </c>
      <c r="E130" s="59">
        <v>1.3409961685823755E-2</v>
      </c>
      <c r="F130" s="93">
        <v>924.66190476190468</v>
      </c>
      <c r="G130" s="107"/>
      <c r="H130" s="61" t="str">
        <f t="shared" si="2"/>
        <v>(900, 950]</v>
      </c>
      <c r="I130" s="62">
        <v>0</v>
      </c>
      <c r="J130" s="59">
        <v>0</v>
      </c>
      <c r="K130" s="59">
        <v>0</v>
      </c>
      <c r="L130" s="84">
        <v>0</v>
      </c>
      <c r="M130" s="59">
        <v>0</v>
      </c>
      <c r="N130" s="59">
        <v>0</v>
      </c>
      <c r="O130" s="130">
        <v>0</v>
      </c>
      <c r="P130" s="59">
        <v>0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 x14ac:dyDescent="0.3">
      <c r="A131" s="58">
        <v>950</v>
      </c>
      <c r="B131" s="58">
        <v>1000</v>
      </c>
      <c r="C131" s="72">
        <v>31</v>
      </c>
      <c r="D131" s="72">
        <v>3019765</v>
      </c>
      <c r="E131" s="59">
        <v>9.8978288633461056E-3</v>
      </c>
      <c r="F131" s="93">
        <v>974.11774193548399</v>
      </c>
      <c r="G131" s="107"/>
      <c r="H131" s="61" t="str">
        <f t="shared" si="2"/>
        <v>(950, 1000]</v>
      </c>
      <c r="I131" s="62">
        <v>0</v>
      </c>
      <c r="J131" s="59">
        <v>0</v>
      </c>
      <c r="K131" s="59">
        <v>0</v>
      </c>
      <c r="L131" s="84">
        <v>0</v>
      </c>
      <c r="M131" s="59">
        <v>0</v>
      </c>
      <c r="N131" s="59">
        <v>0</v>
      </c>
      <c r="O131" s="130">
        <v>0</v>
      </c>
      <c r="P131" s="59">
        <v>0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 x14ac:dyDescent="0.3">
      <c r="A132" s="58">
        <v>1000</v>
      </c>
      <c r="B132" s="58">
        <v>2000</v>
      </c>
      <c r="C132" s="72">
        <v>298</v>
      </c>
      <c r="D132" s="72">
        <v>39841460</v>
      </c>
      <c r="E132" s="59">
        <v>9.5146871008939968E-2</v>
      </c>
      <c r="F132" s="93">
        <v>1336.9617449664429</v>
      </c>
      <c r="G132" s="107"/>
      <c r="H132" s="61" t="str">
        <f t="shared" si="2"/>
        <v>(1000, 2000]</v>
      </c>
      <c r="I132" s="62">
        <v>0</v>
      </c>
      <c r="J132" s="59">
        <v>0</v>
      </c>
      <c r="K132" s="59">
        <v>0</v>
      </c>
      <c r="L132" s="84">
        <v>0</v>
      </c>
      <c r="M132" s="59">
        <v>0</v>
      </c>
      <c r="N132" s="59">
        <v>0</v>
      </c>
      <c r="O132" s="130">
        <v>0</v>
      </c>
      <c r="P132" s="59">
        <v>0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 x14ac:dyDescent="0.3">
      <c r="A133" s="58">
        <v>2000</v>
      </c>
      <c r="B133" s="58">
        <v>3000</v>
      </c>
      <c r="C133" s="72">
        <v>49</v>
      </c>
      <c r="D133" s="72">
        <v>11665770</v>
      </c>
      <c r="E133" s="59">
        <v>1.5644955300127713E-2</v>
      </c>
      <c r="F133" s="93">
        <v>2380.7693877551019</v>
      </c>
      <c r="G133" s="107"/>
      <c r="H133" s="61" t="str">
        <f t="shared" si="2"/>
        <v>(2000, 3000]</v>
      </c>
      <c r="I133" s="62">
        <v>0</v>
      </c>
      <c r="J133" s="59">
        <v>0</v>
      </c>
      <c r="K133" s="59">
        <v>0</v>
      </c>
      <c r="L133" s="84">
        <v>0</v>
      </c>
      <c r="M133" s="59">
        <v>0</v>
      </c>
      <c r="N133" s="59">
        <v>0</v>
      </c>
      <c r="O133" s="130">
        <v>0</v>
      </c>
      <c r="P133" s="59">
        <v>0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 x14ac:dyDescent="0.3">
      <c r="A134" s="58">
        <v>3000</v>
      </c>
      <c r="B134" s="58">
        <v>4000</v>
      </c>
      <c r="C134" s="72">
        <v>10</v>
      </c>
      <c r="D134" s="72">
        <v>3387590</v>
      </c>
      <c r="E134" s="59">
        <v>3.1928480204342275E-3</v>
      </c>
      <c r="F134" s="93">
        <v>3387.59</v>
      </c>
      <c r="G134" s="107"/>
      <c r="H134" s="61" t="str">
        <f t="shared" si="2"/>
        <v>(3000, 4000]</v>
      </c>
      <c r="I134" s="62">
        <v>0</v>
      </c>
      <c r="J134" s="59">
        <v>0</v>
      </c>
      <c r="K134" s="59">
        <v>0</v>
      </c>
      <c r="L134" s="84">
        <v>0</v>
      </c>
      <c r="M134" s="59">
        <v>0</v>
      </c>
      <c r="N134" s="59">
        <v>0</v>
      </c>
      <c r="O134" s="130">
        <v>0</v>
      </c>
      <c r="P134" s="59">
        <v>0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 x14ac:dyDescent="0.3">
      <c r="A135" s="58">
        <v>4000</v>
      </c>
      <c r="B135" s="58">
        <v>5000</v>
      </c>
      <c r="C135" s="72">
        <v>2</v>
      </c>
      <c r="D135" s="72">
        <v>923840</v>
      </c>
      <c r="E135" s="59">
        <v>6.3856960408684551E-4</v>
      </c>
      <c r="F135" s="93">
        <v>4619.2</v>
      </c>
      <c r="G135" s="107" t="e">
        <f>1/SUM(M135:M141)</f>
        <v>#DIV/0!</v>
      </c>
      <c r="H135" s="61" t="str">
        <f t="shared" si="2"/>
        <v>(4000, 5000]</v>
      </c>
      <c r="I135" s="62">
        <v>0</v>
      </c>
      <c r="J135" s="59">
        <v>0</v>
      </c>
      <c r="K135" s="59">
        <v>0</v>
      </c>
      <c r="L135" s="84">
        <v>0</v>
      </c>
      <c r="M135" s="59">
        <v>0</v>
      </c>
      <c r="N135" s="59">
        <v>0</v>
      </c>
      <c r="O135" s="130">
        <v>0</v>
      </c>
      <c r="P135" s="59">
        <v>0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 x14ac:dyDescent="0.3">
      <c r="A136" s="58">
        <v>5000</v>
      </c>
      <c r="B136" s="58">
        <v>6000</v>
      </c>
      <c r="C136" s="72">
        <v>0</v>
      </c>
      <c r="D136" s="72">
        <v>0</v>
      </c>
      <c r="E136" s="59">
        <v>0</v>
      </c>
      <c r="F136" s="93">
        <v>0</v>
      </c>
      <c r="G136" s="107" t="e">
        <f>G135/E79</f>
        <v>#DIV/0!</v>
      </c>
      <c r="H136" s="61" t="str">
        <f t="shared" si="2"/>
        <v>(5000, 6000]</v>
      </c>
      <c r="I136" s="62">
        <v>0</v>
      </c>
      <c r="J136" s="59">
        <v>0</v>
      </c>
      <c r="K136" s="59">
        <v>0</v>
      </c>
      <c r="L136" s="84">
        <v>0</v>
      </c>
      <c r="M136" s="59">
        <v>0</v>
      </c>
      <c r="N136" s="59">
        <v>0</v>
      </c>
      <c r="O136" s="130">
        <v>0</v>
      </c>
      <c r="P136" s="59">
        <v>0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 x14ac:dyDescent="0.3">
      <c r="A137" s="58">
        <v>6000</v>
      </c>
      <c r="B137" s="58">
        <v>7000</v>
      </c>
      <c r="C137" s="72">
        <v>2</v>
      </c>
      <c r="D137" s="72">
        <v>1308005</v>
      </c>
      <c r="E137" s="59">
        <v>6.3856960408684551E-4</v>
      </c>
      <c r="F137" s="93">
        <v>6540.0249999999996</v>
      </c>
      <c r="G137" s="107"/>
      <c r="H137" s="61" t="str">
        <f t="shared" si="2"/>
        <v>(6000, 7000]</v>
      </c>
      <c r="I137" s="62">
        <v>0</v>
      </c>
      <c r="J137" s="59">
        <v>0</v>
      </c>
      <c r="K137" s="59">
        <v>0</v>
      </c>
      <c r="L137" s="84">
        <v>0</v>
      </c>
      <c r="M137" s="59">
        <v>0</v>
      </c>
      <c r="N137" s="59">
        <v>0</v>
      </c>
      <c r="O137" s="130">
        <v>0</v>
      </c>
      <c r="P137" s="59">
        <v>0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 x14ac:dyDescent="0.3">
      <c r="A138" s="58">
        <v>7000</v>
      </c>
      <c r="B138" s="58">
        <v>8000</v>
      </c>
      <c r="C138" s="72">
        <v>1</v>
      </c>
      <c r="D138" s="72">
        <v>709965</v>
      </c>
      <c r="E138" s="59">
        <v>3.1928480204342275E-4</v>
      </c>
      <c r="F138" s="93">
        <v>7099.65</v>
      </c>
      <c r="G138" s="107"/>
      <c r="H138" s="61" t="str">
        <f t="shared" si="2"/>
        <v>(7000, 8000]</v>
      </c>
      <c r="I138" s="62">
        <v>0</v>
      </c>
      <c r="J138" s="59">
        <v>0</v>
      </c>
      <c r="K138" s="59">
        <v>0</v>
      </c>
      <c r="L138" s="84">
        <v>0</v>
      </c>
      <c r="M138" s="59">
        <v>0</v>
      </c>
      <c r="N138" s="59">
        <v>0</v>
      </c>
      <c r="O138" s="130">
        <v>0</v>
      </c>
      <c r="P138" s="59">
        <v>0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 x14ac:dyDescent="0.3">
      <c r="A139" s="58">
        <v>8000</v>
      </c>
      <c r="B139" s="58">
        <v>9000</v>
      </c>
      <c r="C139" s="72">
        <v>0</v>
      </c>
      <c r="D139" s="72">
        <v>0</v>
      </c>
      <c r="E139" s="59">
        <v>0</v>
      </c>
      <c r="F139" s="93">
        <v>0</v>
      </c>
      <c r="G139" s="107">
        <f>SUM(M134:M148)</f>
        <v>0</v>
      </c>
      <c r="H139" s="61" t="str">
        <f t="shared" si="2"/>
        <v>(8000, 9000]</v>
      </c>
      <c r="I139" s="62">
        <v>0</v>
      </c>
      <c r="J139" s="59">
        <v>0</v>
      </c>
      <c r="K139" s="59">
        <v>0</v>
      </c>
      <c r="L139" s="84">
        <v>0</v>
      </c>
      <c r="M139" s="59">
        <v>0</v>
      </c>
      <c r="N139" s="59">
        <v>0</v>
      </c>
      <c r="O139" s="130">
        <v>0</v>
      </c>
      <c r="P139" s="59">
        <v>0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 x14ac:dyDescent="0.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0</v>
      </c>
      <c r="J140" s="59">
        <v>0</v>
      </c>
      <c r="K140" s="59">
        <v>0</v>
      </c>
      <c r="L140" s="84">
        <v>0</v>
      </c>
      <c r="M140" s="59">
        <v>0</v>
      </c>
      <c r="N140" s="59">
        <v>0</v>
      </c>
      <c r="O140" s="130">
        <v>0</v>
      </c>
      <c r="P140" s="59">
        <v>0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 x14ac:dyDescent="0.3">
      <c r="A141" s="58">
        <v>10000</v>
      </c>
      <c r="B141" s="58">
        <v>20000</v>
      </c>
      <c r="C141" s="72">
        <v>0</v>
      </c>
      <c r="D141" s="72">
        <v>0</v>
      </c>
      <c r="E141" s="59">
        <v>0</v>
      </c>
      <c r="F141" s="93">
        <v>0</v>
      </c>
      <c r="G141" s="107"/>
      <c r="H141" s="61" t="str">
        <f t="shared" si="2"/>
        <v>(10000, 20000]</v>
      </c>
      <c r="I141" s="62">
        <v>0</v>
      </c>
      <c r="J141" s="59">
        <v>0</v>
      </c>
      <c r="K141" s="59">
        <v>0</v>
      </c>
      <c r="L141" s="84">
        <v>0</v>
      </c>
      <c r="M141" s="59">
        <v>0</v>
      </c>
      <c r="N141" s="59">
        <v>0</v>
      </c>
      <c r="O141" s="130">
        <v>0</v>
      </c>
      <c r="P141" s="59">
        <v>0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 x14ac:dyDescent="0.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0</v>
      </c>
      <c r="J142" s="59">
        <v>0</v>
      </c>
      <c r="K142" s="59">
        <v>0</v>
      </c>
      <c r="L142" s="84">
        <v>0</v>
      </c>
      <c r="M142" s="59">
        <v>0</v>
      </c>
      <c r="N142" s="59">
        <v>0</v>
      </c>
      <c r="O142" s="130">
        <v>0</v>
      </c>
      <c r="P142" s="59">
        <v>0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 x14ac:dyDescent="0.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0</v>
      </c>
      <c r="J143" s="59">
        <v>0</v>
      </c>
      <c r="K143" s="59">
        <v>0</v>
      </c>
      <c r="L143" s="84">
        <v>0</v>
      </c>
      <c r="M143" s="59">
        <v>0</v>
      </c>
      <c r="N143" s="59">
        <v>0</v>
      </c>
      <c r="O143" s="130">
        <v>0</v>
      </c>
      <c r="P143" s="59">
        <v>0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 x14ac:dyDescent="0.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0</v>
      </c>
      <c r="J144" s="59">
        <v>0</v>
      </c>
      <c r="K144" s="59">
        <v>0</v>
      </c>
      <c r="L144" s="84">
        <v>0</v>
      </c>
      <c r="M144" s="59">
        <v>0</v>
      </c>
      <c r="N144" s="59">
        <v>0</v>
      </c>
      <c r="O144" s="130">
        <v>0</v>
      </c>
      <c r="P144" s="59">
        <v>0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 x14ac:dyDescent="0.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0</v>
      </c>
      <c r="J145" s="59">
        <v>0</v>
      </c>
      <c r="K145" s="59">
        <v>0</v>
      </c>
      <c r="L145" s="84">
        <v>0</v>
      </c>
      <c r="M145" s="59">
        <v>0</v>
      </c>
      <c r="N145" s="59">
        <v>0</v>
      </c>
      <c r="O145" s="130">
        <v>0</v>
      </c>
      <c r="P145" s="59">
        <v>0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 x14ac:dyDescent="0.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0</v>
      </c>
      <c r="J146" s="59">
        <v>0</v>
      </c>
      <c r="K146" s="59">
        <v>0</v>
      </c>
      <c r="L146" s="84">
        <v>0</v>
      </c>
      <c r="M146" s="59">
        <v>0</v>
      </c>
      <c r="N146" s="59">
        <v>0</v>
      </c>
      <c r="O146" s="130">
        <v>0</v>
      </c>
      <c r="P146" s="59">
        <v>0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 x14ac:dyDescent="0.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0</v>
      </c>
      <c r="J147" s="59">
        <v>0</v>
      </c>
      <c r="K147" s="59">
        <v>0</v>
      </c>
      <c r="L147" s="84">
        <v>0</v>
      </c>
      <c r="M147" s="59">
        <v>0</v>
      </c>
      <c r="N147" s="59">
        <v>0</v>
      </c>
      <c r="O147" s="130">
        <v>0</v>
      </c>
      <c r="P147" s="59">
        <v>0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 x14ac:dyDescent="0.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0</v>
      </c>
      <c r="J148" s="59">
        <v>0</v>
      </c>
      <c r="K148" s="59">
        <v>0</v>
      </c>
      <c r="L148" s="84">
        <v>0</v>
      </c>
      <c r="M148" s="59">
        <v>0</v>
      </c>
      <c r="N148" s="59">
        <v>0</v>
      </c>
      <c r="O148" s="130">
        <v>0</v>
      </c>
      <c r="P148" s="59">
        <v>0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 x14ac:dyDescent="0.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0</v>
      </c>
      <c r="J149" s="59">
        <v>0</v>
      </c>
      <c r="K149" s="59">
        <v>0</v>
      </c>
      <c r="L149" s="84">
        <v>0</v>
      </c>
      <c r="M149" s="59">
        <v>0</v>
      </c>
      <c r="N149" s="59">
        <v>0</v>
      </c>
      <c r="O149" s="130">
        <v>0</v>
      </c>
      <c r="P149" s="59">
        <v>0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 x14ac:dyDescent="0.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0</v>
      </c>
      <c r="J150" s="59">
        <v>0</v>
      </c>
      <c r="K150" s="59">
        <v>0</v>
      </c>
      <c r="L150" s="84">
        <v>0</v>
      </c>
      <c r="M150" s="59">
        <v>0</v>
      </c>
      <c r="N150" s="59">
        <v>0</v>
      </c>
      <c r="O150" s="130">
        <v>0</v>
      </c>
      <c r="P150" s="59">
        <v>0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 x14ac:dyDescent="0.3">
      <c r="A153" s="194" t="s">
        <v>55</v>
      </c>
      <c r="B153" s="194"/>
      <c r="C153" s="194"/>
      <c r="D153" s="194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 x14ac:dyDescent="0.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 x14ac:dyDescent="0.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 x14ac:dyDescent="0.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120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 x14ac:dyDescent="0.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 x14ac:dyDescent="0.3">
      <c r="A158" s="58">
        <v>0</v>
      </c>
      <c r="B158" s="58">
        <v>1</v>
      </c>
      <c r="C158" s="94">
        <v>2</v>
      </c>
      <c r="D158" s="94">
        <v>150</v>
      </c>
      <c r="E158" s="59">
        <v>6.3856960408684551E-4</v>
      </c>
      <c r="F158" s="93">
        <v>0.75</v>
      </c>
      <c r="H158" s="61" t="str">
        <f t="shared" ref="H158:H220" si="4">"("&amp;$A158&amp;", "&amp;$B158&amp;"]"</f>
        <v>(0, 1]</v>
      </c>
      <c r="I158" s="62">
        <v>1</v>
      </c>
      <c r="J158" s="59">
        <v>6.3856960408684551E-4</v>
      </c>
      <c r="K158" s="59">
        <v>6.3856960408684561E-4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 x14ac:dyDescent="0.3">
      <c r="A159" s="58">
        <v>1</v>
      </c>
      <c r="B159" s="58">
        <v>2</v>
      </c>
      <c r="C159" s="94">
        <v>1</v>
      </c>
      <c r="D159" s="94">
        <v>120</v>
      </c>
      <c r="E159" s="59">
        <v>3.1928480204342275E-4</v>
      </c>
      <c r="F159" s="93">
        <v>1.2</v>
      </c>
      <c r="H159" s="61" t="str">
        <f t="shared" si="4"/>
        <v>(1, 2]</v>
      </c>
      <c r="I159" s="62">
        <v>1</v>
      </c>
      <c r="J159" s="59">
        <v>3.1928480204342275E-4</v>
      </c>
      <c r="K159" s="59">
        <v>3.1928480204342281E-4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 x14ac:dyDescent="0.3">
      <c r="A160" s="58">
        <v>2</v>
      </c>
      <c r="B160" s="58">
        <v>3</v>
      </c>
      <c r="C160" s="94">
        <v>4</v>
      </c>
      <c r="D160" s="94">
        <v>1065</v>
      </c>
      <c r="E160" s="59">
        <v>1.277139208173691E-3</v>
      </c>
      <c r="F160" s="93">
        <v>2.6625000000000001</v>
      </c>
      <c r="H160" s="61" t="str">
        <f t="shared" si="4"/>
        <v>(2, 3]</v>
      </c>
      <c r="I160" s="62">
        <v>1</v>
      </c>
      <c r="J160" s="59">
        <v>1.277139208173691E-3</v>
      </c>
      <c r="K160" s="59">
        <v>1.2771392081736912E-3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 x14ac:dyDescent="0.3">
      <c r="A161" s="58">
        <v>3</v>
      </c>
      <c r="B161" s="58">
        <v>4</v>
      </c>
      <c r="C161" s="94">
        <v>3</v>
      </c>
      <c r="D161" s="94">
        <v>1090</v>
      </c>
      <c r="E161" s="59">
        <v>9.5785440613026815E-4</v>
      </c>
      <c r="F161" s="93">
        <v>3.6333333333333333</v>
      </c>
      <c r="H161" s="61" t="str">
        <f t="shared" si="4"/>
        <v>(3, 4]</v>
      </c>
      <c r="I161" s="62">
        <v>1</v>
      </c>
      <c r="J161" s="59">
        <v>9.5785440613026815E-4</v>
      </c>
      <c r="K161" s="59">
        <v>9.5785440613026837E-4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 x14ac:dyDescent="0.3">
      <c r="A162" s="58">
        <v>4</v>
      </c>
      <c r="B162" s="58">
        <v>5</v>
      </c>
      <c r="C162" s="94">
        <v>1</v>
      </c>
      <c r="D162" s="94">
        <v>420</v>
      </c>
      <c r="E162" s="59">
        <v>3.1928480204342275E-4</v>
      </c>
      <c r="F162" s="93">
        <v>4.2</v>
      </c>
      <c r="H162" s="61" t="str">
        <f t="shared" si="4"/>
        <v>(4, 5]</v>
      </c>
      <c r="I162" s="62">
        <v>1</v>
      </c>
      <c r="J162" s="59">
        <v>3.1928480204342275E-4</v>
      </c>
      <c r="K162" s="59">
        <v>3.1928480204342281E-4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 x14ac:dyDescent="0.3">
      <c r="A163" s="58">
        <v>5</v>
      </c>
      <c r="B163" s="58">
        <v>6</v>
      </c>
      <c r="C163" s="94">
        <v>2</v>
      </c>
      <c r="D163" s="94">
        <v>1155</v>
      </c>
      <c r="E163" s="59">
        <v>6.3856960408684551E-4</v>
      </c>
      <c r="F163" s="93">
        <v>5.7750000000000004</v>
      </c>
      <c r="H163" s="61" t="str">
        <f t="shared" si="4"/>
        <v>(5, 6]</v>
      </c>
      <c r="I163" s="62">
        <v>1</v>
      </c>
      <c r="J163" s="59">
        <v>6.3856960408684551E-4</v>
      </c>
      <c r="K163" s="59">
        <v>6.3856960408684561E-4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 x14ac:dyDescent="0.3">
      <c r="A164" s="58">
        <v>6</v>
      </c>
      <c r="B164" s="58">
        <v>7</v>
      </c>
      <c r="C164" s="94">
        <v>2</v>
      </c>
      <c r="D164" s="94">
        <v>1355</v>
      </c>
      <c r="E164" s="59">
        <v>6.3856960408684551E-4</v>
      </c>
      <c r="F164" s="93">
        <v>6.7750000000000004</v>
      </c>
      <c r="H164" s="61" t="str">
        <f t="shared" si="4"/>
        <v>(6, 7]</v>
      </c>
      <c r="I164" s="62">
        <v>1</v>
      </c>
      <c r="J164" s="59">
        <v>6.3856960408684551E-4</v>
      </c>
      <c r="K164" s="59">
        <v>6.3856960408684561E-4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 x14ac:dyDescent="0.3">
      <c r="A165" s="58">
        <v>7</v>
      </c>
      <c r="B165" s="58">
        <v>8</v>
      </c>
      <c r="C165" s="94">
        <v>1</v>
      </c>
      <c r="D165" s="94">
        <v>725</v>
      </c>
      <c r="E165" s="59">
        <v>3.1928480204342275E-4</v>
      </c>
      <c r="F165" s="93">
        <v>7.25</v>
      </c>
      <c r="H165" s="61" t="str">
        <f t="shared" si="4"/>
        <v>(7, 8]</v>
      </c>
      <c r="I165" s="62">
        <v>1</v>
      </c>
      <c r="J165" s="59">
        <v>3.1928480204342275E-4</v>
      </c>
      <c r="K165" s="59">
        <v>3.1928480204342281E-4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 x14ac:dyDescent="0.3">
      <c r="A166" s="58">
        <v>8</v>
      </c>
      <c r="B166" s="58">
        <v>9</v>
      </c>
      <c r="C166" s="94">
        <v>2</v>
      </c>
      <c r="D166" s="94">
        <v>1710</v>
      </c>
      <c r="E166" s="59">
        <v>6.3856960408684551E-4</v>
      </c>
      <c r="F166" s="93">
        <v>8.5500000000000007</v>
      </c>
      <c r="H166" s="61" t="str">
        <f t="shared" si="4"/>
        <v>(8, 9]</v>
      </c>
      <c r="I166" s="62">
        <v>1</v>
      </c>
      <c r="J166" s="59">
        <v>6.3856960408684551E-4</v>
      </c>
      <c r="K166" s="59">
        <v>6.3856960408684561E-4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 x14ac:dyDescent="0.3">
      <c r="A167" s="58">
        <v>9</v>
      </c>
      <c r="B167" s="58">
        <v>10</v>
      </c>
      <c r="C167" s="94">
        <v>4</v>
      </c>
      <c r="D167" s="94">
        <v>3825</v>
      </c>
      <c r="E167" s="59">
        <v>1.277139208173691E-3</v>
      </c>
      <c r="F167" s="93">
        <v>9.5625</v>
      </c>
      <c r="H167" s="61" t="str">
        <f t="shared" si="4"/>
        <v>(9, 10]</v>
      </c>
      <c r="I167" s="62">
        <v>1</v>
      </c>
      <c r="J167" s="59">
        <v>1.277139208173691E-3</v>
      </c>
      <c r="K167" s="59">
        <v>1.2771392081736912E-3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 x14ac:dyDescent="0.3">
      <c r="A168" s="58">
        <v>10</v>
      </c>
      <c r="B168" s="58">
        <v>15</v>
      </c>
      <c r="C168" s="94">
        <v>10</v>
      </c>
      <c r="D168" s="94">
        <v>12065</v>
      </c>
      <c r="E168" s="59">
        <v>3.1928480204342275E-3</v>
      </c>
      <c r="F168" s="93">
        <v>12.065</v>
      </c>
      <c r="H168" s="61" t="str">
        <f t="shared" si="4"/>
        <v>(10, 15]</v>
      </c>
      <c r="I168" s="62">
        <v>1</v>
      </c>
      <c r="J168" s="59">
        <v>3.1928480204342275E-3</v>
      </c>
      <c r="K168" s="59">
        <v>3.1928480204342284E-3</v>
      </c>
      <c r="L168" s="128">
        <f>$B$2-SUM(_xlfn.ANCHORARRAY(L169))</f>
        <v>10217133</v>
      </c>
      <c r="M168" s="59">
        <v>1.0217133E-2</v>
      </c>
      <c r="N168" s="59">
        <v>0.12326970964499999</v>
      </c>
      <c r="O168" s="130">
        <v>1.05</v>
      </c>
      <c r="P168" s="59">
        <v>1.0217133E-2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 x14ac:dyDescent="0.3">
      <c r="A169" s="58">
        <v>15</v>
      </c>
      <c r="B169" s="58">
        <v>20</v>
      </c>
      <c r="C169" s="94">
        <v>18</v>
      </c>
      <c r="D169" s="94">
        <v>32170</v>
      </c>
      <c r="E169" s="59">
        <v>5.7471264367816091E-3</v>
      </c>
      <c r="F169" s="93">
        <v>17.87222222222222</v>
      </c>
      <c r="H169" s="124" t="str">
        <f t="shared" si="4"/>
        <v>(15, 20]</v>
      </c>
      <c r="I169" s="62">
        <v>1</v>
      </c>
      <c r="J169" s="59">
        <v>5.7471264367816091E-3</v>
      </c>
      <c r="K169" s="59">
        <v>5.74712643678161E-3</v>
      </c>
      <c r="L169" s="128" cm="1">
        <f t="array" ref="L169:L220">INT(K169:K220*$B$2)</f>
        <v>5747126</v>
      </c>
      <c r="M169" s="59">
        <v>5.747126E-3</v>
      </c>
      <c r="N169" s="59">
        <v>0.1027139130111111</v>
      </c>
      <c r="O169" s="130">
        <v>1.05</v>
      </c>
      <c r="P169" s="59">
        <v>5.747126E-3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 x14ac:dyDescent="0.3">
      <c r="A170" s="58">
        <v>20</v>
      </c>
      <c r="B170" s="58">
        <v>25</v>
      </c>
      <c r="C170" s="94">
        <v>16</v>
      </c>
      <c r="D170" s="94">
        <v>36110</v>
      </c>
      <c r="E170" s="59">
        <v>5.108556832694764E-3</v>
      </c>
      <c r="F170" s="93">
        <v>22.568750000000001</v>
      </c>
      <c r="H170" s="61" t="str">
        <f t="shared" si="4"/>
        <v>(20, 25]</v>
      </c>
      <c r="I170" s="62">
        <v>1</v>
      </c>
      <c r="J170" s="59">
        <v>5.108556832694764E-3</v>
      </c>
      <c r="K170" s="59">
        <v>5.1085568326947649E-3</v>
      </c>
      <c r="L170" s="128">
        <v>5108556</v>
      </c>
      <c r="M170" s="59">
        <v>5.1085560000000002E-3</v>
      </c>
      <c r="N170" s="59">
        <v>0.11529372322500001</v>
      </c>
      <c r="O170" s="130">
        <v>1.05</v>
      </c>
      <c r="P170" s="59">
        <v>5.1085560000000002E-3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 x14ac:dyDescent="0.3">
      <c r="A171" s="58">
        <v>25</v>
      </c>
      <c r="B171" s="58">
        <v>30</v>
      </c>
      <c r="C171" s="94">
        <v>30</v>
      </c>
      <c r="D171" s="94">
        <v>82580</v>
      </c>
      <c r="E171" s="59">
        <v>9.5785440613026813E-3</v>
      </c>
      <c r="F171" s="93">
        <v>27.526666666666664</v>
      </c>
      <c r="H171" s="61" t="str">
        <f t="shared" si="4"/>
        <v>(25, 30]</v>
      </c>
      <c r="I171" s="62">
        <v>1</v>
      </c>
      <c r="J171" s="59">
        <v>9.5785440613026813E-3</v>
      </c>
      <c r="K171" s="59">
        <v>9.578544061302683E-3</v>
      </c>
      <c r="L171" s="128">
        <v>9578544</v>
      </c>
      <c r="M171" s="59">
        <v>9.5785439999999996E-3</v>
      </c>
      <c r="N171" s="59">
        <v>0.26366538783999999</v>
      </c>
      <c r="O171" s="130">
        <v>1.05</v>
      </c>
      <c r="P171" s="59">
        <v>9.5785439999999996E-3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 x14ac:dyDescent="0.3">
      <c r="A172" s="58">
        <v>30</v>
      </c>
      <c r="B172" s="58">
        <v>35</v>
      </c>
      <c r="C172" s="94">
        <v>15</v>
      </c>
      <c r="D172" s="94">
        <v>49635</v>
      </c>
      <c r="E172" s="59">
        <v>4.7892720306513406E-3</v>
      </c>
      <c r="F172" s="93">
        <v>33.090000000000003</v>
      </c>
      <c r="H172" s="61" t="str">
        <f t="shared" si="4"/>
        <v>(30, 35]</v>
      </c>
      <c r="I172" s="62">
        <v>1</v>
      </c>
      <c r="J172" s="59">
        <v>4.7892720306513406E-3</v>
      </c>
      <c r="K172" s="59">
        <v>4.7892720306513415E-3</v>
      </c>
      <c r="L172" s="128">
        <v>4789272</v>
      </c>
      <c r="M172" s="59">
        <v>4.7892719999999998E-3</v>
      </c>
      <c r="N172" s="59">
        <v>0.15847701048000001</v>
      </c>
      <c r="O172" s="130">
        <v>1.05</v>
      </c>
      <c r="P172" s="59">
        <v>4.7892719999999998E-3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 x14ac:dyDescent="0.3">
      <c r="A173" s="58">
        <v>35</v>
      </c>
      <c r="B173" s="58">
        <v>40</v>
      </c>
      <c r="C173" s="94">
        <v>18</v>
      </c>
      <c r="D173" s="94">
        <v>67930</v>
      </c>
      <c r="E173" s="59">
        <v>5.7471264367816091E-3</v>
      </c>
      <c r="F173" s="93">
        <v>37.738888888888887</v>
      </c>
      <c r="H173" s="124" t="str">
        <f t="shared" si="4"/>
        <v>(35, 40]</v>
      </c>
      <c r="I173" s="62">
        <v>1</v>
      </c>
      <c r="J173" s="59">
        <v>5.7471264367816091E-3</v>
      </c>
      <c r="K173" s="59">
        <v>5.74712643678161E-3</v>
      </c>
      <c r="L173" s="128">
        <v>5747126</v>
      </c>
      <c r="M173" s="59">
        <v>5.747126E-3</v>
      </c>
      <c r="N173" s="59">
        <v>0.21689014954444444</v>
      </c>
      <c r="O173" s="130">
        <v>1.05</v>
      </c>
      <c r="P173" s="59">
        <v>5.747126E-3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 x14ac:dyDescent="0.3">
      <c r="A174" s="58">
        <v>40</v>
      </c>
      <c r="B174" s="58">
        <v>45</v>
      </c>
      <c r="C174" s="94">
        <v>13</v>
      </c>
      <c r="D174" s="94">
        <v>54945</v>
      </c>
      <c r="E174" s="59">
        <v>4.1507024265644956E-3</v>
      </c>
      <c r="F174" s="93">
        <v>42.265384615384619</v>
      </c>
      <c r="H174" s="61" t="str">
        <f t="shared" si="4"/>
        <v>(40, 45]</v>
      </c>
      <c r="I174" s="62">
        <v>1</v>
      </c>
      <c r="J174" s="59">
        <v>4.1507024265644956E-3</v>
      </c>
      <c r="K174" s="59">
        <v>4.1507024265644964E-3</v>
      </c>
      <c r="L174" s="128">
        <v>4150702</v>
      </c>
      <c r="M174" s="59">
        <v>4.150702E-3</v>
      </c>
      <c r="N174" s="59">
        <v>0.17543101645384618</v>
      </c>
      <c r="O174" s="130">
        <v>1.05</v>
      </c>
      <c r="P174" s="59">
        <v>4.150702E-3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 x14ac:dyDescent="0.3">
      <c r="A175" s="58">
        <v>45</v>
      </c>
      <c r="B175" s="58">
        <v>50</v>
      </c>
      <c r="C175" s="94">
        <v>18</v>
      </c>
      <c r="D175" s="94">
        <v>83990</v>
      </c>
      <c r="E175" s="59">
        <v>5.7471264367816091E-3</v>
      </c>
      <c r="F175" s="93">
        <v>46.661111111111111</v>
      </c>
      <c r="H175" s="61" t="str">
        <f t="shared" si="4"/>
        <v>(45, 50]</v>
      </c>
      <c r="I175" s="62">
        <v>1</v>
      </c>
      <c r="J175" s="59">
        <v>5.7471264367816091E-3</v>
      </c>
      <c r="K175" s="59">
        <v>5.74712643678161E-3</v>
      </c>
      <c r="L175" s="128">
        <v>5747126</v>
      </c>
      <c r="M175" s="59">
        <v>5.747126E-3</v>
      </c>
      <c r="N175" s="59">
        <v>0.26816728485555558</v>
      </c>
      <c r="O175" s="130">
        <v>1.05</v>
      </c>
      <c r="P175" s="59">
        <v>5.747126E-3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 x14ac:dyDescent="0.3">
      <c r="A176" s="58">
        <v>50</v>
      </c>
      <c r="B176" s="58">
        <v>60</v>
      </c>
      <c r="C176" s="94">
        <v>42</v>
      </c>
      <c r="D176" s="94">
        <v>230855</v>
      </c>
      <c r="E176" s="59">
        <v>1.3409961685823755E-2</v>
      </c>
      <c r="F176" s="93">
        <v>54.965476190476195</v>
      </c>
      <c r="H176" s="124" t="str">
        <f t="shared" si="4"/>
        <v>(50, 60]</v>
      </c>
      <c r="I176" s="62">
        <v>1</v>
      </c>
      <c r="J176" s="59">
        <v>1.3409961685823755E-2</v>
      </c>
      <c r="K176" s="59">
        <v>1.3409961685823759E-2</v>
      </c>
      <c r="L176" s="128">
        <v>13409961</v>
      </c>
      <c r="M176" s="59">
        <v>1.3409961E-2</v>
      </c>
      <c r="N176" s="59">
        <v>0.73708489206071437</v>
      </c>
      <c r="O176" s="130">
        <v>1.05</v>
      </c>
      <c r="P176" s="59">
        <v>1.3409961E-2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 x14ac:dyDescent="0.3">
      <c r="A177" s="58">
        <v>60</v>
      </c>
      <c r="B177" s="58">
        <v>70</v>
      </c>
      <c r="C177" s="94">
        <v>45</v>
      </c>
      <c r="D177" s="94">
        <v>294970</v>
      </c>
      <c r="E177" s="59">
        <v>1.4367816091954023E-2</v>
      </c>
      <c r="F177" s="93">
        <v>65.548888888888882</v>
      </c>
      <c r="H177" s="61" t="str">
        <f t="shared" si="4"/>
        <v>(60, 70]</v>
      </c>
      <c r="I177" s="62">
        <v>1</v>
      </c>
      <c r="J177" s="59">
        <v>1.4367816091954023E-2</v>
      </c>
      <c r="K177" s="59">
        <v>1.4367816091954026E-2</v>
      </c>
      <c r="L177" s="128">
        <v>14367816</v>
      </c>
      <c r="M177" s="59">
        <v>1.4367816E-2</v>
      </c>
      <c r="N177" s="59">
        <v>0.94179437455999993</v>
      </c>
      <c r="O177" s="130">
        <v>1.05</v>
      </c>
      <c r="P177" s="59">
        <v>1.4367816E-2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 x14ac:dyDescent="0.3">
      <c r="A178" s="58">
        <v>70</v>
      </c>
      <c r="B178" s="58">
        <v>80</v>
      </c>
      <c r="C178" s="94">
        <v>52</v>
      </c>
      <c r="D178" s="94">
        <v>386290</v>
      </c>
      <c r="E178" s="59">
        <v>1.6602809706257982E-2</v>
      </c>
      <c r="F178" s="93">
        <v>74.286538461538456</v>
      </c>
      <c r="H178" s="61" t="str">
        <f t="shared" si="4"/>
        <v>(70, 80]</v>
      </c>
      <c r="I178" s="62">
        <v>1</v>
      </c>
      <c r="J178" s="59">
        <v>1.6602809706257982E-2</v>
      </c>
      <c r="K178" s="59">
        <v>1.6602809706257986E-2</v>
      </c>
      <c r="L178" s="128">
        <v>16602809</v>
      </c>
      <c r="M178" s="59">
        <v>1.6602809E-2</v>
      </c>
      <c r="N178" s="59">
        <v>1.2333652093480767</v>
      </c>
      <c r="O178" s="130">
        <v>1.05</v>
      </c>
      <c r="P178" s="59">
        <v>1.6602809E-2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 x14ac:dyDescent="0.3">
      <c r="A179" s="58">
        <v>80</v>
      </c>
      <c r="B179" s="58">
        <v>90</v>
      </c>
      <c r="C179" s="94">
        <v>56</v>
      </c>
      <c r="D179" s="94">
        <v>477100</v>
      </c>
      <c r="E179" s="59">
        <v>1.7879948914431672E-2</v>
      </c>
      <c r="F179" s="93">
        <v>85.196428571428569</v>
      </c>
      <c r="H179" s="61" t="str">
        <f t="shared" si="4"/>
        <v>(80, 90]</v>
      </c>
      <c r="I179" s="62">
        <v>1</v>
      </c>
      <c r="J179" s="59">
        <v>1.7879948914431672E-2</v>
      </c>
      <c r="K179" s="59">
        <v>1.7879948914431676E-2</v>
      </c>
      <c r="L179" s="128">
        <v>17879948</v>
      </c>
      <c r="M179" s="59">
        <v>1.7879948E-2</v>
      </c>
      <c r="N179" s="59">
        <v>1.5233077126428571</v>
      </c>
      <c r="O179" s="130">
        <v>1.05</v>
      </c>
      <c r="P179" s="59">
        <v>1.7879948E-2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 x14ac:dyDescent="0.3">
      <c r="A180" s="58">
        <v>90</v>
      </c>
      <c r="B180" s="58">
        <v>100</v>
      </c>
      <c r="C180" s="94">
        <v>47</v>
      </c>
      <c r="D180" s="94">
        <v>443795</v>
      </c>
      <c r="E180" s="59">
        <v>1.5006385696040868E-2</v>
      </c>
      <c r="F180" s="93">
        <v>94.424468085106383</v>
      </c>
      <c r="H180" s="61" t="str">
        <f t="shared" si="4"/>
        <v>(90, 100]</v>
      </c>
      <c r="I180" s="126">
        <v>1</v>
      </c>
      <c r="J180" s="59">
        <v>1.5006385696040868E-2</v>
      </c>
      <c r="K180" s="59">
        <v>1.5006385696040871E-2</v>
      </c>
      <c r="L180" s="128">
        <v>15006385</v>
      </c>
      <c r="M180" s="59">
        <v>1.5006385000000001E-2</v>
      </c>
      <c r="N180" s="59">
        <v>1.4169699215053193</v>
      </c>
      <c r="O180" s="130">
        <v>1.05</v>
      </c>
      <c r="P180" s="59">
        <v>1.5006385000000001E-2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 x14ac:dyDescent="0.3">
      <c r="A181" s="58">
        <v>100</v>
      </c>
      <c r="B181" s="58">
        <v>120</v>
      </c>
      <c r="C181" s="94">
        <v>106</v>
      </c>
      <c r="D181" s="94">
        <v>1163150</v>
      </c>
      <c r="E181" s="59">
        <v>3.3844189016602813E-2</v>
      </c>
      <c r="F181" s="93">
        <v>109.73113207547171</v>
      </c>
      <c r="H181" s="61" t="str">
        <f t="shared" si="4"/>
        <v>(100, 120]</v>
      </c>
      <c r="I181" s="126">
        <v>1</v>
      </c>
      <c r="J181" s="59">
        <v>3.3844189016602813E-2</v>
      </c>
      <c r="K181" s="59">
        <v>3.384418901660282E-2</v>
      </c>
      <c r="L181" s="128">
        <v>33844189</v>
      </c>
      <c r="M181" s="59">
        <v>3.3844188999999997E-2</v>
      </c>
      <c r="N181" s="59">
        <v>3.7137611731462261</v>
      </c>
      <c r="O181" s="130">
        <v>1.05</v>
      </c>
      <c r="P181" s="59">
        <v>3.3844188999999997E-2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 x14ac:dyDescent="0.3">
      <c r="A182" s="58">
        <v>120</v>
      </c>
      <c r="B182" s="58">
        <v>140</v>
      </c>
      <c r="C182" s="94">
        <v>104</v>
      </c>
      <c r="D182" s="94">
        <v>1344540</v>
      </c>
      <c r="E182" s="59">
        <v>3.3205619412515965E-2</v>
      </c>
      <c r="F182" s="93">
        <v>129.28269230769232</v>
      </c>
      <c r="G182" s="90"/>
      <c r="H182" s="61" t="str">
        <f t="shared" si="4"/>
        <v>(120, 140]</v>
      </c>
      <c r="I182" s="126">
        <v>1</v>
      </c>
      <c r="J182" s="59">
        <v>3.3205619412515965E-2</v>
      </c>
      <c r="K182" s="59">
        <v>3.3205619412515971E-2</v>
      </c>
      <c r="L182" s="128">
        <v>33205619</v>
      </c>
      <c r="M182" s="59">
        <v>3.3205618999999999E-2</v>
      </c>
      <c r="N182" s="59">
        <v>4.2929118240634621</v>
      </c>
      <c r="O182" s="130">
        <v>1.05</v>
      </c>
      <c r="P182" s="59">
        <v>3.3205618999999999E-2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 x14ac:dyDescent="0.3">
      <c r="A183" s="58">
        <v>140</v>
      </c>
      <c r="B183" s="58">
        <v>160</v>
      </c>
      <c r="C183" s="94">
        <v>103</v>
      </c>
      <c r="D183" s="94">
        <v>1540590</v>
      </c>
      <c r="E183" s="59">
        <v>3.2886334610472544E-2</v>
      </c>
      <c r="F183" s="93">
        <v>149.57184466019419</v>
      </c>
      <c r="G183" s="90"/>
      <c r="H183" s="61" t="str">
        <f t="shared" si="4"/>
        <v>(140, 160]</v>
      </c>
      <c r="I183" s="126">
        <v>1</v>
      </c>
      <c r="J183" s="59">
        <v>3.2886334610472544E-2</v>
      </c>
      <c r="K183" s="59">
        <v>3.2886334610472551E-2</v>
      </c>
      <c r="L183" s="128">
        <v>32886334</v>
      </c>
      <c r="M183" s="59">
        <v>3.2886334000000003E-2</v>
      </c>
      <c r="N183" s="59">
        <v>4.9188696404912626</v>
      </c>
      <c r="O183" s="130">
        <v>1.05</v>
      </c>
      <c r="P183" s="59">
        <v>3.2886334000000003E-2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 x14ac:dyDescent="0.3">
      <c r="A184" s="58">
        <v>160</v>
      </c>
      <c r="B184" s="58">
        <v>180</v>
      </c>
      <c r="C184" s="94">
        <v>104</v>
      </c>
      <c r="D184" s="94">
        <v>1765260</v>
      </c>
      <c r="E184" s="59">
        <v>3.3205619412515965E-2</v>
      </c>
      <c r="F184" s="93">
        <v>169.73653846153849</v>
      </c>
      <c r="G184" s="90"/>
      <c r="H184" s="61" t="str">
        <f t="shared" si="4"/>
        <v>(160, 180]</v>
      </c>
      <c r="I184" s="126">
        <v>1</v>
      </c>
      <c r="J184" s="59">
        <v>3.3205619412515965E-2</v>
      </c>
      <c r="K184" s="59">
        <v>3.3205619412515971E-2</v>
      </c>
      <c r="L184" s="128">
        <v>33205619</v>
      </c>
      <c r="M184" s="59">
        <v>3.3205618999999999E-2</v>
      </c>
      <c r="N184" s="59">
        <v>5.6362068265326926</v>
      </c>
      <c r="O184" s="130">
        <v>1.05</v>
      </c>
      <c r="P184" s="59">
        <v>3.3205618999999999E-2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 x14ac:dyDescent="0.3">
      <c r="A185" s="58">
        <v>180</v>
      </c>
      <c r="B185" s="58">
        <v>200</v>
      </c>
      <c r="C185" s="94">
        <v>83</v>
      </c>
      <c r="D185" s="94">
        <v>1574245</v>
      </c>
      <c r="E185" s="59">
        <v>2.6500638569604086E-2</v>
      </c>
      <c r="F185" s="93">
        <v>189.66807228915661</v>
      </c>
      <c r="G185" s="106"/>
      <c r="H185" s="61" t="str">
        <f t="shared" si="4"/>
        <v>(180, 200]</v>
      </c>
      <c r="I185" s="126">
        <v>1</v>
      </c>
      <c r="J185" s="59">
        <v>2.6500638569604086E-2</v>
      </c>
      <c r="K185" s="59">
        <v>2.6500638569604093E-2</v>
      </c>
      <c r="L185" s="128">
        <v>26500638</v>
      </c>
      <c r="M185" s="59">
        <v>2.6500638E-2</v>
      </c>
      <c r="N185" s="59">
        <v>5.026324923892771</v>
      </c>
      <c r="O185" s="130">
        <v>1.05</v>
      </c>
      <c r="P185" s="59">
        <v>2.6500638E-2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 x14ac:dyDescent="0.3">
      <c r="A186" s="58">
        <v>200</v>
      </c>
      <c r="B186" s="58">
        <v>250</v>
      </c>
      <c r="C186" s="94">
        <v>231</v>
      </c>
      <c r="D186" s="94">
        <v>5199690</v>
      </c>
      <c r="E186" s="59">
        <v>7.3754789272030649E-2</v>
      </c>
      <c r="F186" s="93">
        <v>225.09480519480519</v>
      </c>
      <c r="G186" s="106"/>
      <c r="H186" s="61" t="str">
        <f t="shared" si="4"/>
        <v>(200, 250]</v>
      </c>
      <c r="I186" s="126">
        <v>1</v>
      </c>
      <c r="J186" s="59">
        <v>7.3754789272030649E-2</v>
      </c>
      <c r="K186" s="59">
        <v>7.3754789272030663E-2</v>
      </c>
      <c r="L186" s="128">
        <v>73754789</v>
      </c>
      <c r="M186" s="59">
        <v>7.3754789000000001E-2</v>
      </c>
      <c r="N186" s="59">
        <v>16.60181986213896</v>
      </c>
      <c r="O186" s="130">
        <v>1.05</v>
      </c>
      <c r="P186" s="59">
        <v>7.3754789000000001E-2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 x14ac:dyDescent="0.3">
      <c r="A187" s="58">
        <v>250</v>
      </c>
      <c r="B187" s="58">
        <v>300</v>
      </c>
      <c r="C187" s="94">
        <v>219</v>
      </c>
      <c r="D187" s="94">
        <v>6001540</v>
      </c>
      <c r="E187" s="59">
        <v>6.9923371647509572E-2</v>
      </c>
      <c r="F187" s="93">
        <v>274.04292237442922</v>
      </c>
      <c r="G187" s="106"/>
      <c r="H187" s="61" t="str">
        <f t="shared" si="4"/>
        <v>(250, 300]</v>
      </c>
      <c r="I187" s="126">
        <v>1</v>
      </c>
      <c r="J187" s="59">
        <v>6.9923371647509572E-2</v>
      </c>
      <c r="K187" s="59">
        <v>6.9923371647509586E-2</v>
      </c>
      <c r="L187" s="128">
        <v>69923371</v>
      </c>
      <c r="M187" s="59">
        <v>6.9923370999999998E-2</v>
      </c>
      <c r="N187" s="59">
        <v>19.162004931111415</v>
      </c>
      <c r="O187" s="130">
        <v>1.05</v>
      </c>
      <c r="P187" s="59">
        <v>6.9923370999999998E-2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 x14ac:dyDescent="0.3">
      <c r="A188" s="58">
        <v>300</v>
      </c>
      <c r="B188" s="58">
        <v>350</v>
      </c>
      <c r="C188" s="94">
        <v>210</v>
      </c>
      <c r="D188" s="94">
        <v>6772635</v>
      </c>
      <c r="E188" s="59">
        <v>6.7049808429118771E-2</v>
      </c>
      <c r="F188" s="93">
        <v>322.50642857142861</v>
      </c>
      <c r="G188" s="106"/>
      <c r="H188" s="61" t="str">
        <f t="shared" si="4"/>
        <v>(300, 350]</v>
      </c>
      <c r="I188" s="126">
        <v>1</v>
      </c>
      <c r="J188" s="59">
        <v>6.7049808429118771E-2</v>
      </c>
      <c r="K188" s="59">
        <v>6.7049808429118785E-2</v>
      </c>
      <c r="L188" s="128">
        <v>67049808</v>
      </c>
      <c r="M188" s="59">
        <v>6.7049808000000002E-2</v>
      </c>
      <c r="N188" s="59">
        <v>21.623994114480002</v>
      </c>
      <c r="O188" s="130">
        <v>1.05</v>
      </c>
      <c r="P188" s="59">
        <v>6.7049808000000002E-2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 x14ac:dyDescent="0.3">
      <c r="A189" s="58">
        <v>350</v>
      </c>
      <c r="B189" s="58">
        <v>400</v>
      </c>
      <c r="C189" s="94">
        <v>173</v>
      </c>
      <c r="D189" s="94">
        <v>6486070</v>
      </c>
      <c r="E189" s="59">
        <v>5.5236270753512132E-2</v>
      </c>
      <c r="F189" s="93">
        <v>374.91734104046242</v>
      </c>
      <c r="G189" s="106"/>
      <c r="H189" s="61" t="str">
        <f t="shared" si="4"/>
        <v>(350, 400]</v>
      </c>
      <c r="I189" s="126">
        <v>1</v>
      </c>
      <c r="J189" s="59">
        <v>5.5236270753512132E-2</v>
      </c>
      <c r="K189" s="59">
        <v>5.5236270753512146E-2</v>
      </c>
      <c r="L189" s="128">
        <v>55236270</v>
      </c>
      <c r="M189" s="59">
        <v>5.5236269999999997E-2</v>
      </c>
      <c r="N189" s="59">
        <v>20.709035477393062</v>
      </c>
      <c r="O189" s="130">
        <v>1.05</v>
      </c>
      <c r="P189" s="59">
        <v>5.5236269999999997E-2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 x14ac:dyDescent="0.3">
      <c r="A190" s="58">
        <v>400</v>
      </c>
      <c r="B190" s="58">
        <v>450</v>
      </c>
      <c r="C190" s="94">
        <v>177</v>
      </c>
      <c r="D190" s="94">
        <v>7505655</v>
      </c>
      <c r="E190" s="59">
        <v>5.6513409961685822E-2</v>
      </c>
      <c r="F190" s="93">
        <v>424.04830508474572</v>
      </c>
      <c r="G190" s="106"/>
      <c r="H190" s="61" t="str">
        <f t="shared" si="4"/>
        <v>(400, 450]</v>
      </c>
      <c r="I190" s="126">
        <v>1</v>
      </c>
      <c r="J190" s="59">
        <v>5.6513409961685822E-2</v>
      </c>
      <c r="K190" s="59">
        <v>5.6513409961685836E-2</v>
      </c>
      <c r="L190" s="128">
        <v>56513409</v>
      </c>
      <c r="M190" s="59">
        <v>5.6513409000000001E-2</v>
      </c>
      <c r="N190" s="59">
        <v>23.964415301011016</v>
      </c>
      <c r="O190" s="130">
        <v>1.05</v>
      </c>
      <c r="P190" s="59">
        <v>5.6513409000000001E-2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 x14ac:dyDescent="0.3">
      <c r="A191" s="58">
        <v>450</v>
      </c>
      <c r="B191" s="58">
        <v>500</v>
      </c>
      <c r="C191" s="94">
        <v>152</v>
      </c>
      <c r="D191" s="94">
        <v>7215225</v>
      </c>
      <c r="E191" s="59">
        <v>4.8531289910600253E-2</v>
      </c>
      <c r="F191" s="93">
        <v>474.68585526315786</v>
      </c>
      <c r="G191" s="106"/>
      <c r="H191" s="61" t="str">
        <f t="shared" si="4"/>
        <v>(450, 500]</v>
      </c>
      <c r="I191" s="126">
        <v>1</v>
      </c>
      <c r="J191" s="59">
        <v>4.8531289910600253E-2</v>
      </c>
      <c r="K191" s="59">
        <v>4.8531289910600267E-2</v>
      </c>
      <c r="L191" s="128">
        <v>48531289</v>
      </c>
      <c r="M191" s="59">
        <v>4.8531288999999998E-2</v>
      </c>
      <c r="N191" s="59">
        <v>23.037116425988483</v>
      </c>
      <c r="O191" s="130">
        <v>1.05</v>
      </c>
      <c r="P191" s="59">
        <v>4.8531288999999998E-2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 x14ac:dyDescent="0.3">
      <c r="A192" s="58">
        <v>500</v>
      </c>
      <c r="B192" s="58">
        <v>550</v>
      </c>
      <c r="C192" s="94">
        <v>101</v>
      </c>
      <c r="D192" s="94">
        <v>5282130</v>
      </c>
      <c r="E192" s="59">
        <v>3.2247765006385695E-2</v>
      </c>
      <c r="F192" s="93">
        <v>522.98316831683167</v>
      </c>
      <c r="G192" s="106"/>
      <c r="H192" s="61" t="str">
        <f t="shared" si="4"/>
        <v>(500, 550]</v>
      </c>
      <c r="I192" s="126">
        <v>1</v>
      </c>
      <c r="J192" s="59">
        <v>3.2247765006385695E-2</v>
      </c>
      <c r="K192" s="59">
        <v>3.2247765006385702E-2</v>
      </c>
      <c r="L192" s="128">
        <v>32247765</v>
      </c>
      <c r="M192" s="59">
        <v>3.2247764999999998E-2</v>
      </c>
      <c r="N192" s="59">
        <v>16.865038310836631</v>
      </c>
      <c r="O192" s="130">
        <v>1.05</v>
      </c>
      <c r="P192" s="59">
        <v>3.2247764999999998E-2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 x14ac:dyDescent="0.3">
      <c r="A193" s="58">
        <v>550</v>
      </c>
      <c r="B193" s="58">
        <v>600</v>
      </c>
      <c r="C193" s="94">
        <v>105</v>
      </c>
      <c r="D193" s="94">
        <v>6017150</v>
      </c>
      <c r="E193" s="59">
        <v>3.3524904214559385E-2</v>
      </c>
      <c r="F193" s="93">
        <v>573.06190476190477</v>
      </c>
      <c r="G193" s="106"/>
      <c r="H193" s="61" t="str">
        <f t="shared" si="4"/>
        <v>(550, 600]</v>
      </c>
      <c r="I193" s="62">
        <v>1</v>
      </c>
      <c r="J193" s="59">
        <v>3.3524904214559385E-2</v>
      </c>
      <c r="K193" s="59">
        <v>3.3524904214559392E-2</v>
      </c>
      <c r="L193" s="128">
        <v>33524904</v>
      </c>
      <c r="M193" s="59">
        <v>3.3524904000000001E-2</v>
      </c>
      <c r="N193" s="59">
        <v>19.2118453432</v>
      </c>
      <c r="O193" s="130">
        <v>1.05</v>
      </c>
      <c r="P193" s="59">
        <v>3.3524904000000001E-2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 x14ac:dyDescent="0.3">
      <c r="A194" s="58">
        <v>600</v>
      </c>
      <c r="B194" s="58">
        <v>650</v>
      </c>
      <c r="C194" s="94">
        <v>94</v>
      </c>
      <c r="D194" s="94">
        <v>5863630</v>
      </c>
      <c r="E194" s="59">
        <v>3.0012771392081736E-2</v>
      </c>
      <c r="F194" s="93">
        <v>623.79042553191493</v>
      </c>
      <c r="G194" s="106"/>
      <c r="H194" s="61" t="str">
        <f t="shared" si="4"/>
        <v>(600, 650]</v>
      </c>
      <c r="I194" s="62">
        <v>1</v>
      </c>
      <c r="J194" s="59">
        <v>3.0012771392081736E-2</v>
      </c>
      <c r="K194" s="59">
        <v>3.0012771392081743E-2</v>
      </c>
      <c r="L194" s="128">
        <v>30012771</v>
      </c>
      <c r="M194" s="59">
        <v>3.0012771000000001E-2</v>
      </c>
      <c r="N194" s="59">
        <v>18.721679193481915</v>
      </c>
      <c r="O194" s="130">
        <v>1.05</v>
      </c>
      <c r="P194" s="59">
        <v>3.0012771000000001E-2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 x14ac:dyDescent="0.3">
      <c r="A195" s="58">
        <v>650</v>
      </c>
      <c r="B195" s="58">
        <v>700</v>
      </c>
      <c r="C195" s="94">
        <v>95</v>
      </c>
      <c r="D195" s="94">
        <v>6409735</v>
      </c>
      <c r="E195" s="59">
        <v>3.033205619412516E-2</v>
      </c>
      <c r="F195" s="93">
        <v>674.70894736842104</v>
      </c>
      <c r="G195" s="106"/>
      <c r="H195" s="61" t="str">
        <f t="shared" si="4"/>
        <v>(650, 700]</v>
      </c>
      <c r="I195" s="62">
        <v>1</v>
      </c>
      <c r="J195" s="59">
        <v>3.033205619412516E-2</v>
      </c>
      <c r="K195" s="59">
        <v>3.0332056194125167E-2</v>
      </c>
      <c r="L195" s="128">
        <v>30332056</v>
      </c>
      <c r="M195" s="59">
        <v>3.0332056E-2</v>
      </c>
      <c r="N195" s="59">
        <v>20.465309575279999</v>
      </c>
      <c r="O195" s="130">
        <v>1.05</v>
      </c>
      <c r="P195" s="59">
        <v>3.0332056E-2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 x14ac:dyDescent="0.3">
      <c r="A196" s="58">
        <v>700</v>
      </c>
      <c r="B196" s="58">
        <v>750</v>
      </c>
      <c r="C196" s="94">
        <v>66</v>
      </c>
      <c r="D196" s="94">
        <v>4795575</v>
      </c>
      <c r="E196" s="59">
        <v>2.1072796934865901E-2</v>
      </c>
      <c r="F196" s="93">
        <v>726.60227272727275</v>
      </c>
      <c r="G196" s="106"/>
      <c r="H196" s="61" t="str">
        <f t="shared" si="4"/>
        <v>(700, 750]</v>
      </c>
      <c r="I196" s="62">
        <v>1</v>
      </c>
      <c r="J196" s="59">
        <v>2.1072796934865901E-2</v>
      </c>
      <c r="K196" s="59">
        <v>2.1072796934865905E-2</v>
      </c>
      <c r="L196" s="128">
        <v>21072796</v>
      </c>
      <c r="M196" s="59">
        <v>2.1072796000000001E-2</v>
      </c>
      <c r="N196" s="59">
        <v>15.311541466318182</v>
      </c>
      <c r="O196" s="130">
        <v>1.05</v>
      </c>
      <c r="P196" s="59">
        <v>2.1072796000000001E-2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 x14ac:dyDescent="0.3">
      <c r="A197" s="58">
        <v>750</v>
      </c>
      <c r="B197" s="58">
        <v>800</v>
      </c>
      <c r="C197" s="94">
        <v>69</v>
      </c>
      <c r="D197" s="94">
        <v>5339105</v>
      </c>
      <c r="E197" s="59">
        <v>2.2030651340996167E-2</v>
      </c>
      <c r="F197" s="93">
        <v>773.7833333333333</v>
      </c>
      <c r="G197" s="106"/>
      <c r="H197" s="61" t="str">
        <f t="shared" si="4"/>
        <v>(750, 800]</v>
      </c>
      <c r="I197" s="62">
        <v>1</v>
      </c>
      <c r="J197" s="59">
        <v>2.2030651340996167E-2</v>
      </c>
      <c r="K197" s="59">
        <v>2.2030651340996171E-2</v>
      </c>
      <c r="L197" s="128">
        <v>22030651</v>
      </c>
      <c r="M197" s="59">
        <v>2.2030650999999998E-2</v>
      </c>
      <c r="N197" s="59">
        <v>17.046950566283332</v>
      </c>
      <c r="O197" s="130">
        <v>1.05</v>
      </c>
      <c r="P197" s="59">
        <v>2.2030650999999998E-2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 x14ac:dyDescent="0.3">
      <c r="A198" s="58">
        <v>800</v>
      </c>
      <c r="B198" s="58">
        <v>850</v>
      </c>
      <c r="C198" s="94">
        <v>47</v>
      </c>
      <c r="D198" s="94">
        <v>3894050</v>
      </c>
      <c r="E198" s="59">
        <v>1.5006385696040868E-2</v>
      </c>
      <c r="F198" s="93">
        <v>828.52127659574467</v>
      </c>
      <c r="G198" s="106"/>
      <c r="H198" s="61" t="str">
        <f t="shared" si="4"/>
        <v>(800, 850]</v>
      </c>
      <c r="I198" s="62">
        <v>1</v>
      </c>
      <c r="J198" s="59">
        <v>1.5006385696040868E-2</v>
      </c>
      <c r="K198" s="59">
        <v>1.5006385696040871E-2</v>
      </c>
      <c r="L198" s="128">
        <v>15006385</v>
      </c>
      <c r="M198" s="59">
        <v>1.5006385000000001E-2</v>
      </c>
      <c r="N198" s="59">
        <v>12.433109257287235</v>
      </c>
      <c r="O198" s="130">
        <v>1.05</v>
      </c>
      <c r="P198" s="59">
        <v>1.5006385000000001E-2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 x14ac:dyDescent="0.3">
      <c r="A199" s="58">
        <v>850</v>
      </c>
      <c r="B199" s="58">
        <v>900</v>
      </c>
      <c r="C199" s="94">
        <v>56</v>
      </c>
      <c r="D199" s="94">
        <v>4891760</v>
      </c>
      <c r="E199" s="59">
        <v>1.7879948914431672E-2</v>
      </c>
      <c r="F199" s="93">
        <v>873.52857142857147</v>
      </c>
      <c r="G199" s="106"/>
      <c r="H199" s="61" t="str">
        <f t="shared" si="4"/>
        <v>(850, 900]</v>
      </c>
      <c r="I199" s="62">
        <v>1</v>
      </c>
      <c r="J199" s="59">
        <v>1.7879948914431672E-2</v>
      </c>
      <c r="K199" s="59">
        <v>1.7879948914431676E-2</v>
      </c>
      <c r="L199" s="84">
        <v>17879948</v>
      </c>
      <c r="M199" s="59">
        <v>1.7879948E-2</v>
      </c>
      <c r="N199" s="59">
        <v>15.618645433657143</v>
      </c>
      <c r="O199" s="130">
        <v>1.05</v>
      </c>
      <c r="P199" s="59">
        <v>1.7879948E-2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 x14ac:dyDescent="0.3">
      <c r="A200" s="58">
        <v>900</v>
      </c>
      <c r="B200" s="58">
        <v>950</v>
      </c>
      <c r="C200" s="94">
        <v>42</v>
      </c>
      <c r="D200" s="94">
        <v>3883580</v>
      </c>
      <c r="E200" s="59">
        <v>1.3409961685823755E-2</v>
      </c>
      <c r="F200" s="93">
        <v>924.66190476190468</v>
      </c>
      <c r="G200" s="106"/>
      <c r="H200" s="61" t="str">
        <f t="shared" si="4"/>
        <v>(900, 950]</v>
      </c>
      <c r="I200" s="62">
        <v>1</v>
      </c>
      <c r="J200" s="59">
        <v>1.3409961685823755E-2</v>
      </c>
      <c r="K200" s="59">
        <v>1.3409961685823759E-2</v>
      </c>
      <c r="L200" s="84">
        <v>13409961</v>
      </c>
      <c r="M200" s="59">
        <v>1.3409961E-2</v>
      </c>
      <c r="N200" s="59">
        <v>12.399680081042856</v>
      </c>
      <c r="O200" s="130">
        <v>1.05</v>
      </c>
      <c r="P200" s="59">
        <v>1.3409961E-2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 x14ac:dyDescent="0.3">
      <c r="A201" s="58">
        <v>950</v>
      </c>
      <c r="B201" s="58">
        <v>1000</v>
      </c>
      <c r="C201" s="94">
        <v>31</v>
      </c>
      <c r="D201" s="94">
        <v>3019765</v>
      </c>
      <c r="E201" s="59">
        <v>9.8978288633461056E-3</v>
      </c>
      <c r="F201" s="93">
        <v>974.11774193548399</v>
      </c>
      <c r="G201" s="106"/>
      <c r="H201" s="61" t="str">
        <f t="shared" si="4"/>
        <v>(950, 1000]</v>
      </c>
      <c r="I201" s="62">
        <v>1</v>
      </c>
      <c r="J201" s="59">
        <v>9.8978288633461056E-3</v>
      </c>
      <c r="K201" s="59">
        <v>9.8978288633461073E-3</v>
      </c>
      <c r="L201" s="84">
        <v>9897828</v>
      </c>
      <c r="M201" s="59">
        <v>9.8978279999999991E-3</v>
      </c>
      <c r="N201" s="59">
        <v>9.6416498614258064</v>
      </c>
      <c r="O201" s="130">
        <v>1.05</v>
      </c>
      <c r="P201" s="59">
        <v>9.8978279999999991E-3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 x14ac:dyDescent="0.3">
      <c r="A202" s="58">
        <v>1000</v>
      </c>
      <c r="B202" s="58">
        <v>2000</v>
      </c>
      <c r="C202" s="94">
        <v>298</v>
      </c>
      <c r="D202" s="94">
        <v>39841460</v>
      </c>
      <c r="E202" s="59">
        <v>9.5146871008939968E-2</v>
      </c>
      <c r="F202" s="93">
        <v>1336.9617449664429</v>
      </c>
      <c r="G202" s="106"/>
      <c r="H202" s="61" t="str">
        <f t="shared" si="4"/>
        <v>(1000, 2000]</v>
      </c>
      <c r="I202" s="62">
        <v>1</v>
      </c>
      <c r="J202" s="59">
        <v>9.5146871008939968E-2</v>
      </c>
      <c r="K202" s="59">
        <v>9.5146871008939995E-2</v>
      </c>
      <c r="L202" s="84">
        <v>95146871</v>
      </c>
      <c r="M202" s="59">
        <v>9.5146870999999994E-2</v>
      </c>
      <c r="N202" s="59">
        <v>127.20772668025704</v>
      </c>
      <c r="O202" s="130">
        <v>1.05</v>
      </c>
      <c r="P202" s="59">
        <v>9.5146870999999994E-2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 x14ac:dyDescent="0.3">
      <c r="A203" s="58">
        <v>2000</v>
      </c>
      <c r="B203" s="58">
        <v>3000</v>
      </c>
      <c r="C203" s="94">
        <v>49</v>
      </c>
      <c r="D203" s="94">
        <v>11665770</v>
      </c>
      <c r="E203" s="59">
        <v>1.5644955300127713E-2</v>
      </c>
      <c r="F203" s="93">
        <v>2380.7693877551019</v>
      </c>
      <c r="H203" s="61" t="str">
        <f t="shared" si="4"/>
        <v>(2000, 3000]</v>
      </c>
      <c r="I203" s="62">
        <v>1</v>
      </c>
      <c r="J203" s="59">
        <v>1.5644955300127713E-2</v>
      </c>
      <c r="K203" s="59">
        <v>1.5644955300127716E-2</v>
      </c>
      <c r="L203" s="84">
        <v>15644955</v>
      </c>
      <c r="M203" s="59">
        <v>1.5644954999999999E-2</v>
      </c>
      <c r="N203" s="59">
        <v>37.247029936806115</v>
      </c>
      <c r="O203" s="130">
        <v>1.05</v>
      </c>
      <c r="P203" s="59">
        <v>1.5644954999999999E-2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 x14ac:dyDescent="0.3">
      <c r="A204" s="58">
        <v>3000</v>
      </c>
      <c r="B204" s="58">
        <v>4000</v>
      </c>
      <c r="C204" s="94">
        <v>10</v>
      </c>
      <c r="D204" s="94">
        <v>3387590</v>
      </c>
      <c r="E204" s="59">
        <v>3.1928480204342275E-3</v>
      </c>
      <c r="F204" s="93">
        <v>3387.59</v>
      </c>
      <c r="H204" s="61" t="str">
        <f t="shared" si="4"/>
        <v>(3000, 4000]</v>
      </c>
      <c r="I204" s="62">
        <v>1</v>
      </c>
      <c r="J204" s="59">
        <v>3.1928480204342275E-3</v>
      </c>
      <c r="K204" s="59">
        <v>3.1928480204342284E-3</v>
      </c>
      <c r="L204" s="84">
        <v>3192848</v>
      </c>
      <c r="M204" s="59">
        <v>3.1928479999999999E-3</v>
      </c>
      <c r="N204" s="59">
        <v>10.81605995632</v>
      </c>
      <c r="O204" s="130">
        <v>1.05</v>
      </c>
      <c r="P204" s="59">
        <v>3.1928479999999999E-3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 x14ac:dyDescent="0.3">
      <c r="A205" s="58">
        <v>4000</v>
      </c>
      <c r="B205" s="58">
        <v>5000</v>
      </c>
      <c r="C205" s="94">
        <v>2</v>
      </c>
      <c r="D205" s="94">
        <v>923840</v>
      </c>
      <c r="E205" s="59">
        <v>6.3856960408684551E-4</v>
      </c>
      <c r="F205" s="93">
        <v>4619.2</v>
      </c>
      <c r="H205" s="61" t="str">
        <f t="shared" si="4"/>
        <v>(4000, 5000]</v>
      </c>
      <c r="I205" s="62">
        <v>1</v>
      </c>
      <c r="J205" s="59">
        <v>6.3856960408684551E-4</v>
      </c>
      <c r="K205" s="59">
        <v>6.3856960408684561E-4</v>
      </c>
      <c r="L205" s="84">
        <v>638569</v>
      </c>
      <c r="M205" s="59">
        <v>6.3856899999999996E-4</v>
      </c>
      <c r="N205" s="59">
        <v>2.9496779247999996</v>
      </c>
      <c r="O205" s="130">
        <v>1.05</v>
      </c>
      <c r="P205" s="59">
        <v>6.3856899999999996E-4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 x14ac:dyDescent="0.3">
      <c r="A206" s="58">
        <v>5000</v>
      </c>
      <c r="B206" s="58">
        <v>6000</v>
      </c>
      <c r="C206" s="94">
        <v>0</v>
      </c>
      <c r="D206" s="94">
        <v>0</v>
      </c>
      <c r="E206" s="59">
        <v>0</v>
      </c>
      <c r="F206" s="93">
        <v>0</v>
      </c>
      <c r="H206" s="61" t="str">
        <f t="shared" si="4"/>
        <v>(5000, 6000]</v>
      </c>
      <c r="I206" s="62">
        <v>1</v>
      </c>
      <c r="J206" s="59">
        <v>0</v>
      </c>
      <c r="K206" s="59">
        <v>0</v>
      </c>
      <c r="L206" s="84">
        <v>0</v>
      </c>
      <c r="M206" s="59">
        <v>0</v>
      </c>
      <c r="N206" s="59">
        <v>0</v>
      </c>
      <c r="O206" s="130">
        <v>1.05</v>
      </c>
      <c r="P206" s="59">
        <v>0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 x14ac:dyDescent="0.3">
      <c r="A207" s="58">
        <v>6000</v>
      </c>
      <c r="B207" s="58">
        <v>7000</v>
      </c>
      <c r="C207" s="94">
        <v>2</v>
      </c>
      <c r="D207" s="94">
        <v>1308005</v>
      </c>
      <c r="E207" s="59">
        <v>6.3856960408684551E-4</v>
      </c>
      <c r="F207" s="93">
        <v>6540.0249999999996</v>
      </c>
      <c r="H207" s="61" t="str">
        <f t="shared" si="4"/>
        <v>(6000, 7000]</v>
      </c>
      <c r="I207" s="62">
        <v>1</v>
      </c>
      <c r="J207" s="59">
        <v>6.3856960408684551E-4</v>
      </c>
      <c r="K207" s="59">
        <v>6.3856960408684561E-4</v>
      </c>
      <c r="L207" s="84">
        <v>638569</v>
      </c>
      <c r="M207" s="59">
        <v>6.3856899999999996E-4</v>
      </c>
      <c r="N207" s="59">
        <v>4.1762572242249991</v>
      </c>
      <c r="O207" s="130">
        <v>1.05</v>
      </c>
      <c r="P207" s="59">
        <v>6.3856899999999996E-4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 x14ac:dyDescent="0.3">
      <c r="A208" s="58">
        <v>7000</v>
      </c>
      <c r="B208" s="58">
        <v>8000</v>
      </c>
      <c r="C208" s="94">
        <v>1</v>
      </c>
      <c r="D208" s="94">
        <v>709965</v>
      </c>
      <c r="E208" s="59">
        <v>3.1928480204342275E-4</v>
      </c>
      <c r="F208" s="93">
        <v>7099.65</v>
      </c>
      <c r="H208" s="61" t="str">
        <f t="shared" si="4"/>
        <v>(7000, 8000]</v>
      </c>
      <c r="I208" s="62">
        <v>1</v>
      </c>
      <c r="J208" s="59">
        <v>3.1928480204342275E-4</v>
      </c>
      <c r="K208" s="59">
        <v>3.1928480204342281E-4</v>
      </c>
      <c r="L208" s="84">
        <v>319284</v>
      </c>
      <c r="M208" s="59">
        <v>3.1928399999999997E-4</v>
      </c>
      <c r="N208" s="59">
        <v>2.2668046505999997</v>
      </c>
      <c r="O208" s="130">
        <v>1.05</v>
      </c>
      <c r="P208" s="59">
        <v>3.1928399999999997E-4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 x14ac:dyDescent="0.3">
      <c r="A209" s="58">
        <v>8000</v>
      </c>
      <c r="B209" s="58">
        <v>9000</v>
      </c>
      <c r="C209" s="94">
        <v>0</v>
      </c>
      <c r="D209" s="94">
        <v>0</v>
      </c>
      <c r="E209" s="59">
        <v>0</v>
      </c>
      <c r="F209" s="93">
        <v>0</v>
      </c>
      <c r="H209" s="61" t="str">
        <f t="shared" si="4"/>
        <v>(8000, 9000]</v>
      </c>
      <c r="I209" s="62">
        <v>1</v>
      </c>
      <c r="J209" s="59">
        <v>0</v>
      </c>
      <c r="K209" s="59">
        <v>0</v>
      </c>
      <c r="L209" s="84">
        <v>0</v>
      </c>
      <c r="M209" s="59">
        <v>0</v>
      </c>
      <c r="N209" s="59">
        <v>0</v>
      </c>
      <c r="O209" s="130">
        <v>1.05</v>
      </c>
      <c r="P209" s="59">
        <v>0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 x14ac:dyDescent="0.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 x14ac:dyDescent="0.3">
      <c r="A211" s="58">
        <v>10000</v>
      </c>
      <c r="B211" s="58">
        <v>20000</v>
      </c>
      <c r="C211" s="94">
        <v>0</v>
      </c>
      <c r="D211" s="94">
        <v>0</v>
      </c>
      <c r="E211" s="59">
        <v>0</v>
      </c>
      <c r="F211" s="93">
        <v>0</v>
      </c>
      <c r="G211" s="51">
        <f>1/SUM(M205:M211)</f>
        <v>626.40078876387327</v>
      </c>
      <c r="H211" s="61" t="str">
        <f t="shared" si="4"/>
        <v>(10000, 20000]</v>
      </c>
      <c r="I211" s="62">
        <v>1</v>
      </c>
      <c r="J211" s="59">
        <v>0</v>
      </c>
      <c r="K211" s="59">
        <v>0</v>
      </c>
      <c r="L211" s="84">
        <v>0</v>
      </c>
      <c r="M211" s="59">
        <v>0</v>
      </c>
      <c r="N211" s="59">
        <v>0</v>
      </c>
      <c r="O211" s="130">
        <v>1.05</v>
      </c>
      <c r="P211" s="59">
        <v>0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 x14ac:dyDescent="0.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 x14ac:dyDescent="0.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 x14ac:dyDescent="0.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 x14ac:dyDescent="0.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 x14ac:dyDescent="0.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 x14ac:dyDescent="0.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 x14ac:dyDescent="0.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 x14ac:dyDescent="0.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 x14ac:dyDescent="0.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56" priority="84" operator="lessThan">
      <formula>0.001</formula>
    </cfRule>
  </conditionalFormatting>
  <conditionalFormatting sqref="E87:E150">
    <cfRule type="cellIs" dxfId="55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54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 x14ac:dyDescent="0.3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 x14ac:dyDescent="0.3">
      <c r="B2" s="121" t="s">
        <v>111</v>
      </c>
      <c r="AQ2" s="121" t="s">
        <v>117</v>
      </c>
    </row>
    <row r="3" spans="1:60" x14ac:dyDescent="0.3">
      <c r="I3" s="24" t="s">
        <v>112</v>
      </c>
    </row>
    <row r="4" spans="1:60" x14ac:dyDescent="0.3">
      <c r="I4" s="24" t="s">
        <v>113</v>
      </c>
      <c r="AR4" s="24" t="s">
        <v>118</v>
      </c>
      <c r="AS4" s="24">
        <v>0.3</v>
      </c>
    </row>
    <row r="5" spans="1:60" x14ac:dyDescent="0.3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 x14ac:dyDescent="0.3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108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108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108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108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108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108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108</v>
      </c>
    </row>
    <row r="7" spans="1:60" x14ac:dyDescent="0.3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 x14ac:dyDescent="0.3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 x14ac:dyDescent="0.3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 x14ac:dyDescent="0.3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 x14ac:dyDescent="0.3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 x14ac:dyDescent="0.3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 x14ac:dyDescent="0.3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 x14ac:dyDescent="0.3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 x14ac:dyDescent="0.3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 x14ac:dyDescent="0.3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 x14ac:dyDescent="0.3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108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 x14ac:dyDescent="0.3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 x14ac:dyDescent="0.3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 x14ac:dyDescent="0.3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 x14ac:dyDescent="0.3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 x14ac:dyDescent="0.3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 x14ac:dyDescent="0.3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 x14ac:dyDescent="0.3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 x14ac:dyDescent="0.3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 x14ac:dyDescent="0.3">
      <c r="B29" s="121" t="s">
        <v>114</v>
      </c>
    </row>
    <row r="30" spans="2:60" x14ac:dyDescent="0.3">
      <c r="P30" s="24" t="s">
        <v>115</v>
      </c>
      <c r="Q30" s="24">
        <v>50</v>
      </c>
    </row>
    <row r="31" spans="2:60" x14ac:dyDescent="0.3">
      <c r="P31" s="24" t="s">
        <v>116</v>
      </c>
      <c r="Q31" s="24">
        <v>1.2</v>
      </c>
      <c r="AR31" s="24" t="s">
        <v>118</v>
      </c>
      <c r="AS31" s="24">
        <v>0.3</v>
      </c>
    </row>
    <row r="32" spans="2:60" x14ac:dyDescent="0.3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 x14ac:dyDescent="0.3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108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108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108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108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108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108</v>
      </c>
    </row>
    <row r="34" spans="1:56" x14ac:dyDescent="0.3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 x14ac:dyDescent="0.3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 x14ac:dyDescent="0.3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 x14ac:dyDescent="0.3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 x14ac:dyDescent="0.3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 x14ac:dyDescent="0.3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 x14ac:dyDescent="0.3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 x14ac:dyDescent="0.3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 x14ac:dyDescent="0.3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 x14ac:dyDescent="0.3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 x14ac:dyDescent="0.3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 x14ac:dyDescent="0.3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 x14ac:dyDescent="0.3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 x14ac:dyDescent="0.3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 x14ac:dyDescent="0.3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 x14ac:dyDescent="0.3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 x14ac:dyDescent="0.3">
      <c r="B50" s="123" t="s">
        <v>19</v>
      </c>
      <c r="E50" s="24">
        <v>15</v>
      </c>
      <c r="F50" s="24">
        <v>11</v>
      </c>
    </row>
    <row r="51" spans="2:49" x14ac:dyDescent="0.3">
      <c r="B51" s="123" t="s">
        <v>37</v>
      </c>
      <c r="E51" s="24">
        <v>21</v>
      </c>
      <c r="F51" s="24">
        <v>16</v>
      </c>
    </row>
    <row r="52" spans="2:49" x14ac:dyDescent="0.3">
      <c r="B52" s="123" t="s">
        <v>35</v>
      </c>
      <c r="E52" s="24">
        <v>17</v>
      </c>
      <c r="F52" s="24">
        <v>13</v>
      </c>
    </row>
    <row r="53" spans="2:49" x14ac:dyDescent="0.3">
      <c r="B53" s="123" t="s">
        <v>34</v>
      </c>
      <c r="E53" s="24">
        <v>15</v>
      </c>
      <c r="F53" s="24">
        <v>11</v>
      </c>
    </row>
    <row r="54" spans="2:49" x14ac:dyDescent="0.3">
      <c r="B54" s="123" t="s">
        <v>36</v>
      </c>
      <c r="E54" s="24">
        <v>15</v>
      </c>
      <c r="F54" s="24">
        <v>11</v>
      </c>
    </row>
    <row r="55" spans="2:49" x14ac:dyDescent="0.3">
      <c r="F55" s="24" cm="1">
        <f t="array" ref="F55:F62">INT(E47:E54*0.27)</f>
        <v>2</v>
      </c>
    </row>
    <row r="56" spans="2:49" x14ac:dyDescent="0.3">
      <c r="F56" s="24">
        <v>2</v>
      </c>
    </row>
    <row r="57" spans="2:49" x14ac:dyDescent="0.3">
      <c r="F57" s="24">
        <v>3</v>
      </c>
    </row>
    <row r="58" spans="2:49" x14ac:dyDescent="0.3">
      <c r="F58" s="24">
        <v>4</v>
      </c>
    </row>
    <row r="59" spans="2:49" x14ac:dyDescent="0.3">
      <c r="F59" s="24">
        <v>5</v>
      </c>
    </row>
    <row r="60" spans="2:49" x14ac:dyDescent="0.3">
      <c r="F60" s="24">
        <v>4</v>
      </c>
    </row>
    <row r="61" spans="2:49" x14ac:dyDescent="0.3">
      <c r="F61" s="24">
        <v>4</v>
      </c>
    </row>
    <row r="62" spans="2:49" x14ac:dyDescent="0.3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 x14ac:dyDescent="0.3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 x14ac:dyDescent="0.3">
      <c r="B3" s="17" t="s">
        <v>124</v>
      </c>
    </row>
    <row r="4" spans="2:5" x14ac:dyDescent="0.3">
      <c r="B4" s="97" t="s">
        <v>87</v>
      </c>
      <c r="C4" s="115"/>
      <c r="D4" s="115"/>
      <c r="E4" s="24" t="e">
        <f>SUM(D4:D5)/C4</f>
        <v>#DIV/0!</v>
      </c>
    </row>
    <row r="5" spans="2:5" x14ac:dyDescent="0.3">
      <c r="B5" s="97" t="s">
        <v>86</v>
      </c>
      <c r="C5" s="49"/>
      <c r="D5" s="115"/>
    </row>
    <row r="7" spans="2:5" x14ac:dyDescent="0.3">
      <c r="B7" s="17" t="s">
        <v>126</v>
      </c>
    </row>
    <row r="8" spans="2:5" x14ac:dyDescent="0.3">
      <c r="B8" s="97" t="s">
        <v>87</v>
      </c>
      <c r="C8" s="134"/>
      <c r="D8" s="134"/>
      <c r="E8" s="24" t="e">
        <f>SUM(D8:D9)/C8</f>
        <v>#DIV/0!</v>
      </c>
    </row>
    <row r="9" spans="2:5" x14ac:dyDescent="0.3">
      <c r="B9" s="97" t="s">
        <v>86</v>
      </c>
      <c r="C9" s="135"/>
      <c r="D9" s="134"/>
    </row>
    <row r="11" spans="2:5" x14ac:dyDescent="0.3">
      <c r="B11" s="17" t="s">
        <v>130</v>
      </c>
    </row>
    <row r="12" spans="2:5" x14ac:dyDescent="0.3">
      <c r="B12" s="97" t="s">
        <v>87</v>
      </c>
      <c r="C12" s="115"/>
      <c r="D12" s="115"/>
      <c r="E12" s="24" t="e">
        <f>SUM(D12:D13)/C12</f>
        <v>#DIV/0!</v>
      </c>
    </row>
    <row r="13" spans="2:5" x14ac:dyDescent="0.3">
      <c r="B13" s="97" t="s">
        <v>86</v>
      </c>
      <c r="C13" s="49"/>
      <c r="D13" s="115"/>
    </row>
    <row r="15" spans="2:5" x14ac:dyDescent="0.3">
      <c r="B15" s="17" t="s">
        <v>128</v>
      </c>
    </row>
    <row r="16" spans="2:5" x14ac:dyDescent="0.3">
      <c r="B16" s="97" t="s">
        <v>87</v>
      </c>
      <c r="C16" s="115"/>
      <c r="D16" s="115"/>
      <c r="E16" s="24" t="e">
        <f>SUM(D16:D17)/C16</f>
        <v>#DIV/0!</v>
      </c>
    </row>
    <row r="17" spans="2:5" x14ac:dyDescent="0.3">
      <c r="B17" s="97" t="s">
        <v>86</v>
      </c>
      <c r="C17" s="49"/>
      <c r="D17" s="115"/>
    </row>
    <row r="19" spans="2:5" x14ac:dyDescent="0.3">
      <c r="B19" s="17" t="s">
        <v>132</v>
      </c>
    </row>
    <row r="20" spans="2:5" x14ac:dyDescent="0.3">
      <c r="B20" s="97" t="s">
        <v>87</v>
      </c>
      <c r="C20" s="115"/>
      <c r="D20" s="115"/>
      <c r="E20" s="24" t="e">
        <f>SUM(D20:D21)/C20</f>
        <v>#DIV/0!</v>
      </c>
    </row>
    <row r="21" spans="2:5" x14ac:dyDescent="0.3">
      <c r="B21" s="97" t="s">
        <v>86</v>
      </c>
      <c r="C21" s="49"/>
      <c r="D21" s="115"/>
    </row>
    <row r="23" spans="2:5" x14ac:dyDescent="0.3">
      <c r="B23" s="17" t="s">
        <v>134</v>
      </c>
    </row>
    <row r="24" spans="2:5" x14ac:dyDescent="0.3">
      <c r="B24" s="97" t="s">
        <v>87</v>
      </c>
      <c r="C24" s="115"/>
      <c r="D24" s="115"/>
      <c r="E24" s="24" t="e">
        <f>SUM(D24:D25)/C24</f>
        <v>#DIV/0!</v>
      </c>
    </row>
    <row r="25" spans="2:5" x14ac:dyDescent="0.3">
      <c r="B25" s="97" t="s">
        <v>86</v>
      </c>
      <c r="C25" s="49"/>
      <c r="D25" s="115"/>
    </row>
    <row r="28" spans="2:5" x14ac:dyDescent="0.3">
      <c r="B28" s="97" t="s">
        <v>62</v>
      </c>
      <c r="C28" s="132">
        <v>10000000000</v>
      </c>
    </row>
    <row r="30" spans="2:5" x14ac:dyDescent="0.3">
      <c r="B30" s="133" t="s">
        <v>123</v>
      </c>
      <c r="C30" s="116" t="e">
        <f>ROUND(E4*$C$28, 0)</f>
        <v>#DIV/0!</v>
      </c>
    </row>
    <row r="31" spans="2:5" x14ac:dyDescent="0.3">
      <c r="B31" s="133" t="s">
        <v>125</v>
      </c>
      <c r="C31" s="116" t="e">
        <f>ROUND(E8*$C$28, 0)</f>
        <v>#DIV/0!</v>
      </c>
    </row>
    <row r="32" spans="2:5" x14ac:dyDescent="0.3">
      <c r="B32" s="133" t="s">
        <v>129</v>
      </c>
      <c r="C32" s="116" t="e">
        <f>ROUND(E12*$C$28, 0)</f>
        <v>#DIV/0!</v>
      </c>
    </row>
    <row r="33" spans="2:3" x14ac:dyDescent="0.3">
      <c r="B33" s="133" t="s">
        <v>127</v>
      </c>
      <c r="C33" s="116" t="e">
        <f>ROUND(E16*$C$28, 0)</f>
        <v>#DIV/0!</v>
      </c>
    </row>
    <row r="34" spans="2:3" x14ac:dyDescent="0.3">
      <c r="B34" s="133" t="s">
        <v>131</v>
      </c>
      <c r="C34" s="116" t="e">
        <f>ROUND(E20*$C$28, 0)</f>
        <v>#DIV/0!</v>
      </c>
    </row>
    <row r="35" spans="2:3" x14ac:dyDescent="0.3">
      <c r="B35" s="133" t="s">
        <v>133</v>
      </c>
      <c r="C35" s="116" t="e">
        <f>ROUND(E24*$C$28, 0)</f>
        <v>#DIV/0!</v>
      </c>
    </row>
    <row r="38" spans="2:3" x14ac:dyDescent="0.3">
      <c r="B38" s="24"/>
    </row>
    <row r="39" spans="2:3" x14ac:dyDescent="0.3">
      <c r="B39" s="24"/>
    </row>
    <row r="40" spans="2:3" x14ac:dyDescent="0.3">
      <c r="B40" s="24"/>
    </row>
    <row r="41" spans="2:3" x14ac:dyDescent="0.3">
      <c r="B41" s="24"/>
    </row>
    <row r="42" spans="2:3" x14ac:dyDescent="0.3">
      <c r="B42" s="24"/>
    </row>
    <row r="43" spans="2:3" x14ac:dyDescent="0.3">
      <c r="B43" s="24"/>
    </row>
    <row r="44" spans="2:3" x14ac:dyDescent="0.3">
      <c r="B44" s="24"/>
    </row>
    <row r="45" spans="2:3" x14ac:dyDescent="0.3">
      <c r="B45" s="24"/>
    </row>
    <row r="46" spans="2:3" x14ac:dyDescent="0.3">
      <c r="B46" s="24"/>
    </row>
    <row r="47" spans="2:3" x14ac:dyDescent="0.3">
      <c r="B47" s="24"/>
    </row>
    <row r="48" spans="2:3" x14ac:dyDescent="0.3">
      <c r="B48" s="24"/>
    </row>
    <row r="49" spans="2:2" x14ac:dyDescent="0.3">
      <c r="B49" s="24"/>
    </row>
    <row r="50" spans="2:2" x14ac:dyDescent="0.3">
      <c r="B50" s="24"/>
    </row>
    <row r="51" spans="2:2" x14ac:dyDescent="0.3">
      <c r="B51" s="24"/>
    </row>
    <row r="52" spans="2:2" x14ac:dyDescent="0.3">
      <c r="B52" s="24"/>
    </row>
    <row r="53" spans="2:2" x14ac:dyDescent="0.3">
      <c r="B53" s="24"/>
    </row>
    <row r="54" spans="2:2" x14ac:dyDescent="0.3">
      <c r="B54" s="24"/>
    </row>
    <row r="55" spans="2:2" x14ac:dyDescent="0.3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>
      <selection activeCell="I24" sqref="I24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144</v>
      </c>
      <c r="Q2" s="27" t="s">
        <v>145</v>
      </c>
      <c r="W2" s="27" t="s">
        <v>146</v>
      </c>
      <c r="AC2" s="27" t="s">
        <v>158</v>
      </c>
      <c r="AH2" s="5"/>
      <c r="AI2" s="5"/>
      <c r="AJ2" s="27" t="s">
        <v>110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136</v>
      </c>
      <c r="L4" s="26" t="s">
        <v>136</v>
      </c>
      <c r="M4" s="26" t="s">
        <v>136</v>
      </c>
      <c r="N4" s="26" t="s">
        <v>119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142</v>
      </c>
      <c r="AH4" s="5"/>
      <c r="AI4" s="5"/>
      <c r="AJ4" s="27" t="s">
        <v>142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1"/>
        <v>11</v>
      </c>
      <c r="E6" s="144">
        <f t="shared" si="2"/>
        <v>5</v>
      </c>
      <c r="F6" s="144">
        <f t="shared" si="3"/>
        <v>21</v>
      </c>
      <c r="G6" s="144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119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1"/>
        <v>11</v>
      </c>
      <c r="E7" s="144">
        <f t="shared" si="2"/>
        <v>5</v>
      </c>
      <c r="F7" s="144">
        <f t="shared" si="3"/>
        <v>21</v>
      </c>
      <c r="G7" s="144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0</v>
      </c>
      <c r="AE7" s="149">
        <v>6</v>
      </c>
      <c r="AF7" s="149">
        <v>0</v>
      </c>
      <c r="AG7" s="149">
        <v>9</v>
      </c>
      <c r="AH7" s="149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1"/>
        <v>11</v>
      </c>
      <c r="E8" s="144">
        <f t="shared" si="2"/>
        <v>5</v>
      </c>
      <c r="F8" s="144">
        <f t="shared" si="3"/>
        <v>21</v>
      </c>
      <c r="G8" s="144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136</v>
      </c>
      <c r="M8" s="16" t="s">
        <v>22</v>
      </c>
      <c r="N8" s="16" t="s">
        <v>119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6" t="str">
        <v>M1</v>
      </c>
      <c r="AD8" s="144">
        <v>4</v>
      </c>
      <c r="AE8" s="144">
        <v>11</v>
      </c>
      <c r="AF8" s="144">
        <v>5</v>
      </c>
      <c r="AG8" s="144">
        <v>21</v>
      </c>
      <c r="AH8" s="144">
        <v>23</v>
      </c>
      <c r="AI8" s="5"/>
      <c r="AJ8" s="166" t="str">
        <v>M1</v>
      </c>
      <c r="AK8" s="144">
        <v>4</v>
      </c>
      <c r="AL8" s="144">
        <v>11</v>
      </c>
      <c r="AM8" s="144">
        <v>5</v>
      </c>
      <c r="AN8" s="144">
        <v>21</v>
      </c>
      <c r="AO8" s="144">
        <v>23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1"/>
        <v>20</v>
      </c>
      <c r="E9" s="144">
        <f t="shared" si="2"/>
        <v>41</v>
      </c>
      <c r="F9" s="144">
        <f t="shared" si="3"/>
        <v>14</v>
      </c>
      <c r="G9" s="144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6" t="str">
        <v>M2</v>
      </c>
      <c r="AD9" s="144">
        <v>4</v>
      </c>
      <c r="AE9" s="144">
        <v>11</v>
      </c>
      <c r="AF9" s="144">
        <v>5</v>
      </c>
      <c r="AG9" s="144">
        <v>21</v>
      </c>
      <c r="AH9" s="144">
        <v>23</v>
      </c>
      <c r="AI9" s="5"/>
      <c r="AJ9" s="166" t="str">
        <v>M2</v>
      </c>
      <c r="AK9" s="144">
        <v>4</v>
      </c>
      <c r="AL9" s="144">
        <v>11</v>
      </c>
      <c r="AM9" s="144">
        <v>5</v>
      </c>
      <c r="AN9" s="144">
        <v>21</v>
      </c>
      <c r="AO9" s="144">
        <v>23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1"/>
        <v>21</v>
      </c>
      <c r="E10" s="144">
        <f t="shared" si="2"/>
        <v>41</v>
      </c>
      <c r="F10" s="144">
        <f t="shared" si="3"/>
        <v>14</v>
      </c>
      <c r="G10" s="144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137</v>
      </c>
      <c r="N10" s="16" t="s">
        <v>136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6" t="str">
        <v>M3</v>
      </c>
      <c r="AD10" s="144">
        <v>4</v>
      </c>
      <c r="AE10" s="144">
        <v>11</v>
      </c>
      <c r="AF10" s="144">
        <v>5</v>
      </c>
      <c r="AG10" s="144">
        <v>21</v>
      </c>
      <c r="AH10" s="144">
        <v>22</v>
      </c>
      <c r="AI10" s="5"/>
      <c r="AJ10" s="166" t="str">
        <v>M3</v>
      </c>
      <c r="AK10" s="144">
        <v>4</v>
      </c>
      <c r="AL10" s="144">
        <v>11</v>
      </c>
      <c r="AM10" s="144">
        <v>5</v>
      </c>
      <c r="AN10" s="144">
        <v>21</v>
      </c>
      <c r="AO10" s="144">
        <v>22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1"/>
        <v>21</v>
      </c>
      <c r="E11" s="144">
        <f t="shared" si="2"/>
        <v>41</v>
      </c>
      <c r="F11" s="144">
        <f t="shared" si="3"/>
        <v>14</v>
      </c>
      <c r="G11" s="144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6" t="str">
        <v>M4</v>
      </c>
      <c r="AD11" s="144">
        <v>43</v>
      </c>
      <c r="AE11" s="144">
        <v>20</v>
      </c>
      <c r="AF11" s="144">
        <v>41</v>
      </c>
      <c r="AG11" s="144">
        <v>14</v>
      </c>
      <c r="AH11" s="144">
        <v>22</v>
      </c>
      <c r="AI11" s="5"/>
      <c r="AJ11" s="166" t="str">
        <v>M4</v>
      </c>
      <c r="AK11" s="144">
        <v>43</v>
      </c>
      <c r="AL11" s="144">
        <v>20</v>
      </c>
      <c r="AM11" s="144">
        <v>41</v>
      </c>
      <c r="AN11" s="144">
        <v>14</v>
      </c>
      <c r="AO11" s="144">
        <v>22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1"/>
        <v>21</v>
      </c>
      <c r="E12" s="144">
        <f t="shared" si="2"/>
        <v>41</v>
      </c>
      <c r="F12" s="144">
        <f t="shared" si="3"/>
        <v>14</v>
      </c>
      <c r="G12" s="144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6" t="str">
        <v>M5</v>
      </c>
      <c r="AD12" s="144">
        <v>43</v>
      </c>
      <c r="AE12" s="144">
        <v>21</v>
      </c>
      <c r="AF12" s="144">
        <v>41</v>
      </c>
      <c r="AG12" s="144">
        <v>14</v>
      </c>
      <c r="AH12" s="144">
        <v>22</v>
      </c>
      <c r="AI12" s="5"/>
      <c r="AJ12" s="166" t="str">
        <v>M5</v>
      </c>
      <c r="AK12" s="144">
        <v>43</v>
      </c>
      <c r="AL12" s="144">
        <v>21</v>
      </c>
      <c r="AM12" s="144">
        <v>41</v>
      </c>
      <c r="AN12" s="144">
        <v>14</v>
      </c>
      <c r="AO12" s="144">
        <v>22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1"/>
        <v>11</v>
      </c>
      <c r="E13" s="144">
        <f t="shared" si="2"/>
        <v>5</v>
      </c>
      <c r="F13" s="144">
        <f t="shared" si="3"/>
        <v>20</v>
      </c>
      <c r="G13" s="144">
        <f t="shared" si="4"/>
        <v>22</v>
      </c>
      <c r="H13" s="118">
        <v>9</v>
      </c>
      <c r="I13" s="87"/>
      <c r="J13" s="9">
        <v>9</v>
      </c>
      <c r="K13" s="16" t="s">
        <v>136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6" t="str">
        <v>A</v>
      </c>
      <c r="AD13" s="144">
        <v>47</v>
      </c>
      <c r="AE13" s="144">
        <v>21</v>
      </c>
      <c r="AF13" s="144">
        <v>41</v>
      </c>
      <c r="AG13" s="144">
        <v>14</v>
      </c>
      <c r="AH13" s="144">
        <v>22</v>
      </c>
      <c r="AI13" s="5"/>
      <c r="AJ13" s="166" t="str">
        <v>A</v>
      </c>
      <c r="AK13" s="144">
        <v>47</v>
      </c>
      <c r="AL13" s="144">
        <v>21</v>
      </c>
      <c r="AM13" s="144">
        <v>41</v>
      </c>
      <c r="AN13" s="144">
        <v>14</v>
      </c>
      <c r="AO13" s="144">
        <v>22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1"/>
        <v>11</v>
      </c>
      <c r="E14" s="144">
        <f t="shared" si="2"/>
        <v>4</v>
      </c>
      <c r="F14" s="144">
        <f t="shared" si="3"/>
        <v>20</v>
      </c>
      <c r="G14" s="144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136</v>
      </c>
      <c r="N14" s="16" t="s">
        <v>137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6" t="str">
        <v>K</v>
      </c>
      <c r="AD14" s="144">
        <v>47</v>
      </c>
      <c r="AE14" s="144">
        <v>21</v>
      </c>
      <c r="AF14" s="144">
        <v>41</v>
      </c>
      <c r="AG14" s="144">
        <v>14</v>
      </c>
      <c r="AH14" s="144">
        <v>22</v>
      </c>
      <c r="AI14" s="5"/>
      <c r="AJ14" s="166" t="str">
        <v>K</v>
      </c>
      <c r="AK14" s="144">
        <v>47</v>
      </c>
      <c r="AL14" s="144">
        <v>21</v>
      </c>
      <c r="AM14" s="144">
        <v>41</v>
      </c>
      <c r="AN14" s="144">
        <v>14</v>
      </c>
      <c r="AO14" s="144">
        <v>22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136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6" t="str">
        <v>Q</v>
      </c>
      <c r="AD15" s="144">
        <v>4</v>
      </c>
      <c r="AE15" s="144">
        <v>11</v>
      </c>
      <c r="AF15" s="144">
        <v>5</v>
      </c>
      <c r="AG15" s="144">
        <v>20</v>
      </c>
      <c r="AH15" s="144">
        <v>22</v>
      </c>
      <c r="AI15" s="5"/>
      <c r="AJ15" s="166" t="str">
        <v>Q</v>
      </c>
      <c r="AK15" s="144">
        <v>4</v>
      </c>
      <c r="AL15" s="144">
        <v>11</v>
      </c>
      <c r="AM15" s="144">
        <v>5</v>
      </c>
      <c r="AN15" s="144">
        <v>20</v>
      </c>
      <c r="AO15" s="144">
        <v>22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6" t="str">
        <v>J</v>
      </c>
      <c r="AD16" s="144">
        <v>4</v>
      </c>
      <c r="AE16" s="144">
        <v>11</v>
      </c>
      <c r="AF16" s="144">
        <v>4</v>
      </c>
      <c r="AG16" s="144">
        <v>20</v>
      </c>
      <c r="AH16" s="144">
        <v>22</v>
      </c>
      <c r="AI16" s="5"/>
      <c r="AJ16" s="166" t="str">
        <v>J</v>
      </c>
      <c r="AK16" s="144">
        <v>4</v>
      </c>
      <c r="AL16" s="144">
        <v>11</v>
      </c>
      <c r="AM16" s="144">
        <v>4</v>
      </c>
      <c r="AN16" s="144">
        <v>20</v>
      </c>
      <c r="AO16" s="144">
        <v>22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136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136</v>
      </c>
      <c r="N20" s="16" t="s">
        <v>21</v>
      </c>
      <c r="O20" s="16" t="s">
        <v>136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119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136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1" cm="1">
        <f t="array" ref="C27:G46">C4:G23/C24:G24</f>
        <v>0</v>
      </c>
      <c r="D27" s="141">
        <v>0</v>
      </c>
      <c r="E27" s="141">
        <v>0</v>
      </c>
      <c r="F27" s="141">
        <v>0</v>
      </c>
      <c r="G27" s="141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136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1">
        <v>0</v>
      </c>
      <c r="D28" s="141">
        <v>0.03</v>
      </c>
      <c r="E28" s="141">
        <v>0</v>
      </c>
      <c r="F28" s="141">
        <v>4.4999999999999998E-2</v>
      </c>
      <c r="G28" s="141">
        <v>0</v>
      </c>
      <c r="H28" s="8">
        <v>1</v>
      </c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143</v>
      </c>
      <c r="AH28" s="5"/>
      <c r="AI28" s="5"/>
      <c r="AJ28" s="27" t="s">
        <v>143</v>
      </c>
      <c r="AO28" s="5"/>
    </row>
    <row r="29" spans="1:41" ht="16.5" customHeight="1" x14ac:dyDescent="0.3">
      <c r="A29" s="29" t="str">
        <v>M1</v>
      </c>
      <c r="B29" s="8" t="str">
        <v>M1</v>
      </c>
      <c r="C29" s="141">
        <v>0.02</v>
      </c>
      <c r="D29" s="141">
        <v>5.5E-2</v>
      </c>
      <c r="E29" s="141">
        <v>2.5000000000000001E-2</v>
      </c>
      <c r="F29" s="141">
        <v>0.105</v>
      </c>
      <c r="G29" s="141">
        <v>0.115</v>
      </c>
      <c r="H29" s="8">
        <v>2</v>
      </c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1">
        <v>0.02</v>
      </c>
      <c r="D30" s="141">
        <v>5.5E-2</v>
      </c>
      <c r="E30" s="141">
        <v>2.5000000000000001E-2</v>
      </c>
      <c r="F30" s="141">
        <v>0.105</v>
      </c>
      <c r="G30" s="141">
        <v>0.115</v>
      </c>
      <c r="H30" s="8">
        <v>3</v>
      </c>
      <c r="I30" s="87"/>
      <c r="J30" s="25">
        <v>26</v>
      </c>
      <c r="K30" s="16" t="s">
        <v>22</v>
      </c>
      <c r="L30" s="16" t="s">
        <v>137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1">
        <v>0.02</v>
      </c>
      <c r="D31" s="141">
        <v>5.5E-2</v>
      </c>
      <c r="E31" s="141">
        <v>2.5000000000000001E-2</v>
      </c>
      <c r="F31" s="141">
        <v>0.105</v>
      </c>
      <c r="G31" s="141">
        <v>0.11</v>
      </c>
      <c r="H31" s="8">
        <v>4</v>
      </c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1">
        <v>0.215</v>
      </c>
      <c r="D32" s="141">
        <v>0.1</v>
      </c>
      <c r="E32" s="141">
        <v>0.20499999999999999</v>
      </c>
      <c r="F32" s="141">
        <v>7.0000000000000007E-2</v>
      </c>
      <c r="G32" s="141">
        <v>0.11</v>
      </c>
      <c r="H32" s="8">
        <v>5</v>
      </c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136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6" t="str">
        <v>M1</v>
      </c>
      <c r="AD32" s="144">
        <v>4</v>
      </c>
      <c r="AE32" s="144">
        <v>11</v>
      </c>
      <c r="AF32" s="144">
        <v>5</v>
      </c>
      <c r="AG32" s="144">
        <v>21</v>
      </c>
      <c r="AH32" s="144">
        <v>23</v>
      </c>
      <c r="AI32" s="5"/>
      <c r="AJ32" s="166" t="str">
        <v>M1</v>
      </c>
      <c r="AK32" s="144">
        <v>4</v>
      </c>
      <c r="AL32" s="144">
        <v>11</v>
      </c>
      <c r="AM32" s="144">
        <v>5</v>
      </c>
      <c r="AN32" s="144">
        <v>21</v>
      </c>
      <c r="AO32" s="144">
        <v>23</v>
      </c>
    </row>
    <row r="33" spans="1:41" ht="16.5" customHeight="1" x14ac:dyDescent="0.3">
      <c r="A33" s="29" t="str">
        <v>M5</v>
      </c>
      <c r="B33" s="8" t="str">
        <v>M5</v>
      </c>
      <c r="C33" s="141">
        <v>0.215</v>
      </c>
      <c r="D33" s="141">
        <v>0.105</v>
      </c>
      <c r="E33" s="141">
        <v>0.20499999999999999</v>
      </c>
      <c r="F33" s="141">
        <v>7.0000000000000007E-2</v>
      </c>
      <c r="G33" s="141">
        <v>0.11</v>
      </c>
      <c r="H33" s="8">
        <v>6</v>
      </c>
      <c r="J33" s="9">
        <v>29</v>
      </c>
      <c r="K33" s="16" t="s">
        <v>19</v>
      </c>
      <c r="L33" s="16" t="s">
        <v>136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6" t="str">
        <v>M2</v>
      </c>
      <c r="AD33" s="144">
        <v>4</v>
      </c>
      <c r="AE33" s="144">
        <v>11</v>
      </c>
      <c r="AF33" s="144">
        <v>5</v>
      </c>
      <c r="AG33" s="144">
        <v>21</v>
      </c>
      <c r="AH33" s="144">
        <v>23</v>
      </c>
      <c r="AI33" s="5"/>
      <c r="AJ33" s="166" t="str">
        <v>M2</v>
      </c>
      <c r="AK33" s="144">
        <v>4</v>
      </c>
      <c r="AL33" s="144">
        <v>11</v>
      </c>
      <c r="AM33" s="144">
        <v>5</v>
      </c>
      <c r="AN33" s="144">
        <v>21</v>
      </c>
      <c r="AO33" s="144">
        <v>23</v>
      </c>
    </row>
    <row r="34" spans="1:41" ht="16.5" customHeight="1" x14ac:dyDescent="0.3">
      <c r="A34" s="29" t="str">
        <v>A</v>
      </c>
      <c r="B34" s="8" t="str">
        <v>A</v>
      </c>
      <c r="C34" s="141">
        <v>0.23499999999999999</v>
      </c>
      <c r="D34" s="141">
        <v>0.105</v>
      </c>
      <c r="E34" s="141">
        <v>0.20499999999999999</v>
      </c>
      <c r="F34" s="141">
        <v>7.0000000000000007E-2</v>
      </c>
      <c r="G34" s="141">
        <v>0.11</v>
      </c>
      <c r="H34" s="8">
        <v>7</v>
      </c>
      <c r="J34" s="25">
        <v>30</v>
      </c>
      <c r="K34" s="16" t="s">
        <v>136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6" t="str">
        <v>M3</v>
      </c>
      <c r="AD34" s="144">
        <v>4</v>
      </c>
      <c r="AE34" s="144">
        <v>11</v>
      </c>
      <c r="AF34" s="144">
        <v>5</v>
      </c>
      <c r="AG34" s="144">
        <v>21</v>
      </c>
      <c r="AH34" s="144">
        <v>22</v>
      </c>
      <c r="AI34" s="5"/>
      <c r="AJ34" s="166" t="str">
        <v>M3</v>
      </c>
      <c r="AK34" s="144">
        <v>4</v>
      </c>
      <c r="AL34" s="144">
        <v>11</v>
      </c>
      <c r="AM34" s="144">
        <v>5</v>
      </c>
      <c r="AN34" s="144">
        <v>21</v>
      </c>
      <c r="AO34" s="144">
        <v>22</v>
      </c>
    </row>
    <row r="35" spans="1:41" ht="16.5" customHeight="1" x14ac:dyDescent="0.3">
      <c r="A35" s="29" t="str">
        <v>K</v>
      </c>
      <c r="B35" s="8" t="str">
        <v>K</v>
      </c>
      <c r="C35" s="141">
        <v>0.23499999999999999</v>
      </c>
      <c r="D35" s="141">
        <v>0.105</v>
      </c>
      <c r="E35" s="141">
        <v>0.20499999999999999</v>
      </c>
      <c r="F35" s="141">
        <v>7.0000000000000007E-2</v>
      </c>
      <c r="G35" s="141">
        <v>0.11</v>
      </c>
      <c r="H35" s="8">
        <v>8</v>
      </c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6" t="str">
        <v>M4</v>
      </c>
      <c r="AD35" s="144">
        <v>43</v>
      </c>
      <c r="AE35" s="144">
        <v>20</v>
      </c>
      <c r="AF35" s="144">
        <v>41</v>
      </c>
      <c r="AG35" s="144">
        <v>14</v>
      </c>
      <c r="AH35" s="144">
        <v>22</v>
      </c>
      <c r="AI35" s="5"/>
      <c r="AJ35" s="166" t="str">
        <v>M4</v>
      </c>
      <c r="AK35" s="144">
        <v>43</v>
      </c>
      <c r="AL35" s="144">
        <v>20</v>
      </c>
      <c r="AM35" s="144">
        <v>41</v>
      </c>
      <c r="AN35" s="144">
        <v>14</v>
      </c>
      <c r="AO35" s="144">
        <v>22</v>
      </c>
    </row>
    <row r="36" spans="1:41" ht="16.5" customHeight="1" x14ac:dyDescent="0.3">
      <c r="A36" s="29" t="str">
        <v>Q</v>
      </c>
      <c r="B36" s="8" t="str">
        <v>Q</v>
      </c>
      <c r="C36" s="141">
        <v>0.02</v>
      </c>
      <c r="D36" s="141">
        <v>5.5E-2</v>
      </c>
      <c r="E36" s="141">
        <v>2.5000000000000001E-2</v>
      </c>
      <c r="F36" s="141">
        <v>0.1</v>
      </c>
      <c r="G36" s="141">
        <v>0.11</v>
      </c>
      <c r="H36" s="8">
        <v>9</v>
      </c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6" t="str">
        <v>M5</v>
      </c>
      <c r="AD36" s="144">
        <v>43</v>
      </c>
      <c r="AE36" s="144">
        <v>21</v>
      </c>
      <c r="AF36" s="144">
        <v>41</v>
      </c>
      <c r="AG36" s="144">
        <v>14</v>
      </c>
      <c r="AH36" s="144">
        <v>22</v>
      </c>
      <c r="AI36" s="5"/>
      <c r="AJ36" s="166" t="str">
        <v>M5</v>
      </c>
      <c r="AK36" s="144">
        <v>43</v>
      </c>
      <c r="AL36" s="144">
        <v>21</v>
      </c>
      <c r="AM36" s="144">
        <v>41</v>
      </c>
      <c r="AN36" s="144">
        <v>14</v>
      </c>
      <c r="AO36" s="144">
        <v>22</v>
      </c>
    </row>
    <row r="37" spans="1:41" ht="16.5" customHeight="1" x14ac:dyDescent="0.3">
      <c r="A37" s="29" t="str">
        <v>J</v>
      </c>
      <c r="B37" s="8" t="str">
        <v>J</v>
      </c>
      <c r="C37" s="141">
        <v>0.02</v>
      </c>
      <c r="D37" s="141">
        <v>5.5E-2</v>
      </c>
      <c r="E37" s="141">
        <v>0.02</v>
      </c>
      <c r="F37" s="141">
        <v>0.1</v>
      </c>
      <c r="G37" s="141">
        <v>0.11</v>
      </c>
      <c r="H37" s="8">
        <v>10</v>
      </c>
      <c r="J37" s="9">
        <v>33</v>
      </c>
      <c r="K37" s="16" t="s">
        <v>136</v>
      </c>
      <c r="L37" s="16" t="s">
        <v>37</v>
      </c>
      <c r="M37" s="16" t="s">
        <v>35</v>
      </c>
      <c r="N37" s="16" t="s">
        <v>22</v>
      </c>
      <c r="O37" s="16" t="s">
        <v>136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6" t="str">
        <v>A</v>
      </c>
      <c r="AD37" s="144">
        <v>47</v>
      </c>
      <c r="AE37" s="144">
        <v>21</v>
      </c>
      <c r="AF37" s="144">
        <v>41</v>
      </c>
      <c r="AG37" s="144">
        <v>14</v>
      </c>
      <c r="AH37" s="144">
        <v>22</v>
      </c>
      <c r="AI37" s="5"/>
      <c r="AJ37" s="166" t="str">
        <v>A</v>
      </c>
      <c r="AK37" s="144">
        <v>47</v>
      </c>
      <c r="AL37" s="144">
        <v>21</v>
      </c>
      <c r="AM37" s="144">
        <v>41</v>
      </c>
      <c r="AN37" s="144">
        <v>14</v>
      </c>
      <c r="AO37" s="144">
        <v>22</v>
      </c>
    </row>
    <row r="38" spans="1:41" ht="16.5" customHeight="1" x14ac:dyDescent="0.3">
      <c r="A38" s="29" t="str">
        <v>G1</v>
      </c>
      <c r="B38" s="8" t="str">
        <v>Gold M1</v>
      </c>
      <c r="C38" s="141">
        <v>0</v>
      </c>
      <c r="D38" s="141">
        <v>0.02</v>
      </c>
      <c r="E38" s="141">
        <v>0</v>
      </c>
      <c r="F38" s="141">
        <v>0.02</v>
      </c>
      <c r="G38" s="141">
        <v>0</v>
      </c>
      <c r="H38" s="8">
        <v>11</v>
      </c>
      <c r="J38" s="25">
        <v>34</v>
      </c>
      <c r="K38" s="16" t="s">
        <v>35</v>
      </c>
      <c r="L38" s="16" t="s">
        <v>136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6" t="str">
        <v>K</v>
      </c>
      <c r="AD38" s="144">
        <v>47</v>
      </c>
      <c r="AE38" s="144">
        <v>21</v>
      </c>
      <c r="AF38" s="144">
        <v>41</v>
      </c>
      <c r="AG38" s="144">
        <v>14</v>
      </c>
      <c r="AH38" s="144">
        <v>22</v>
      </c>
      <c r="AI38" s="5"/>
      <c r="AJ38" s="166" t="str">
        <v>K</v>
      </c>
      <c r="AK38" s="144">
        <v>47</v>
      </c>
      <c r="AL38" s="144">
        <v>21</v>
      </c>
      <c r="AM38" s="144">
        <v>41</v>
      </c>
      <c r="AN38" s="144">
        <v>14</v>
      </c>
      <c r="AO38" s="144">
        <v>22</v>
      </c>
    </row>
    <row r="39" spans="1:41" ht="16.5" customHeight="1" x14ac:dyDescent="0.3">
      <c r="A39" s="29" t="str">
        <v>G2</v>
      </c>
      <c r="B39" s="8" t="str">
        <v>Gold M2</v>
      </c>
      <c r="C39" s="141">
        <v>0</v>
      </c>
      <c r="D39" s="141">
        <v>2.5000000000000001E-2</v>
      </c>
      <c r="E39" s="141">
        <v>0</v>
      </c>
      <c r="F39" s="141">
        <v>0.02</v>
      </c>
      <c r="G39" s="141">
        <v>0</v>
      </c>
      <c r="H39" s="8">
        <v>12</v>
      </c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6" t="str">
        <v>Q</v>
      </c>
      <c r="AD39" s="144">
        <v>4</v>
      </c>
      <c r="AE39" s="144">
        <v>11</v>
      </c>
      <c r="AF39" s="144">
        <v>5</v>
      </c>
      <c r="AG39" s="144">
        <v>20</v>
      </c>
      <c r="AH39" s="144">
        <v>22</v>
      </c>
      <c r="AI39" s="5"/>
      <c r="AJ39" s="166" t="str">
        <v>Q</v>
      </c>
      <c r="AK39" s="144">
        <v>4</v>
      </c>
      <c r="AL39" s="144">
        <v>11</v>
      </c>
      <c r="AM39" s="144">
        <v>5</v>
      </c>
      <c r="AN39" s="144">
        <v>20</v>
      </c>
      <c r="AO39" s="144">
        <v>22</v>
      </c>
    </row>
    <row r="40" spans="1:41" ht="16.5" customHeight="1" x14ac:dyDescent="0.3">
      <c r="A40" s="29" t="str">
        <v>G3</v>
      </c>
      <c r="B40" s="8" t="str">
        <v>Gold M3</v>
      </c>
      <c r="C40" s="141">
        <v>0</v>
      </c>
      <c r="D40" s="141">
        <v>2.5000000000000001E-2</v>
      </c>
      <c r="E40" s="141">
        <v>0</v>
      </c>
      <c r="F40" s="141">
        <v>0.02</v>
      </c>
      <c r="G40" s="141">
        <v>0</v>
      </c>
      <c r="H40" s="8">
        <v>13</v>
      </c>
      <c r="J40" s="25">
        <v>36</v>
      </c>
      <c r="K40" s="16" t="s">
        <v>136</v>
      </c>
      <c r="L40" s="16" t="s">
        <v>36</v>
      </c>
      <c r="M40" s="16" t="s">
        <v>136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6" t="str">
        <v>J</v>
      </c>
      <c r="AD40" s="144">
        <v>4</v>
      </c>
      <c r="AE40" s="144">
        <v>11</v>
      </c>
      <c r="AF40" s="144">
        <v>4</v>
      </c>
      <c r="AG40" s="144">
        <v>20</v>
      </c>
      <c r="AH40" s="144">
        <v>22</v>
      </c>
      <c r="AI40" s="5"/>
      <c r="AJ40" s="166" t="str">
        <v>J</v>
      </c>
      <c r="AK40" s="144">
        <v>4</v>
      </c>
      <c r="AL40" s="144">
        <v>11</v>
      </c>
      <c r="AM40" s="144">
        <v>4</v>
      </c>
      <c r="AN40" s="144">
        <v>20</v>
      </c>
      <c r="AO40" s="144">
        <v>22</v>
      </c>
    </row>
    <row r="41" spans="1:41" ht="16.5" customHeight="1" x14ac:dyDescent="0.3">
      <c r="A41" s="29" t="str">
        <v>G4</v>
      </c>
      <c r="B41" s="8" t="str">
        <v>Gold M4</v>
      </c>
      <c r="C41" s="141">
        <v>0</v>
      </c>
      <c r="D41" s="141">
        <v>0.04</v>
      </c>
      <c r="E41" s="141">
        <v>1.4999999999999999E-2</v>
      </c>
      <c r="F41" s="141">
        <v>1.4999999999999999E-2</v>
      </c>
      <c r="G41" s="141">
        <v>0</v>
      </c>
      <c r="H41" s="8">
        <v>14</v>
      </c>
      <c r="J41" s="9">
        <v>37</v>
      </c>
      <c r="K41" s="16" t="s">
        <v>136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1">
        <v>0</v>
      </c>
      <c r="D42" s="141">
        <v>0.04</v>
      </c>
      <c r="E42" s="141">
        <v>1.4999999999999999E-2</v>
      </c>
      <c r="F42" s="141">
        <v>1.4999999999999999E-2</v>
      </c>
      <c r="G42" s="141">
        <v>0</v>
      </c>
      <c r="H42" s="8">
        <v>15</v>
      </c>
      <c r="J42" s="25">
        <v>38</v>
      </c>
      <c r="K42" s="16" t="s">
        <v>136</v>
      </c>
      <c r="L42" s="16" t="s">
        <v>136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1">
        <v>0</v>
      </c>
      <c r="D43" s="141">
        <v>0.04</v>
      </c>
      <c r="E43" s="141">
        <v>1.4999999999999999E-2</v>
      </c>
      <c r="F43" s="141">
        <v>1.4999999999999999E-2</v>
      </c>
      <c r="G43" s="141">
        <v>0</v>
      </c>
      <c r="H43" s="8">
        <v>16</v>
      </c>
      <c r="J43" s="9">
        <v>39</v>
      </c>
      <c r="K43" s="16" t="s">
        <v>36</v>
      </c>
      <c r="L43" s="16" t="s">
        <v>136</v>
      </c>
      <c r="M43" s="16" t="s">
        <v>37</v>
      </c>
      <c r="N43" s="16" t="s">
        <v>36</v>
      </c>
      <c r="O43" s="16" t="s">
        <v>136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1">
        <v>0</v>
      </c>
      <c r="D44" s="141">
        <v>0.04</v>
      </c>
      <c r="E44" s="141">
        <v>1.4999999999999999E-2</v>
      </c>
      <c r="F44" s="141">
        <v>1.4999999999999999E-2</v>
      </c>
      <c r="G44" s="141">
        <v>0</v>
      </c>
      <c r="H44" s="8">
        <v>17</v>
      </c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1">
        <v>0</v>
      </c>
      <c r="D45" s="141">
        <v>2.5000000000000001E-2</v>
      </c>
      <c r="E45" s="141">
        <v>0</v>
      </c>
      <c r="F45" s="141">
        <v>0.02</v>
      </c>
      <c r="G45" s="141">
        <v>0</v>
      </c>
      <c r="H45" s="8">
        <v>18</v>
      </c>
      <c r="J45" s="9">
        <v>41</v>
      </c>
      <c r="K45" s="16" t="s">
        <v>18</v>
      </c>
      <c r="L45" s="16" t="s">
        <v>19</v>
      </c>
      <c r="M45" s="16" t="s">
        <v>34</v>
      </c>
      <c r="N45" s="16" t="s">
        <v>136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1">
        <v>0</v>
      </c>
      <c r="D46" s="141">
        <v>2.5000000000000001E-2</v>
      </c>
      <c r="E46" s="141">
        <v>0</v>
      </c>
      <c r="F46" s="141">
        <v>0.02</v>
      </c>
      <c r="G46" s="141">
        <v>0</v>
      </c>
      <c r="H46" s="8">
        <v>19</v>
      </c>
      <c r="J46" s="25">
        <v>42</v>
      </c>
      <c r="K46" s="16" t="s">
        <v>136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3:41" ht="16.5" customHeight="1" x14ac:dyDescent="0.3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3:41" ht="16.5" customHeight="1" x14ac:dyDescent="0.3">
      <c r="J50" s="25">
        <v>46</v>
      </c>
      <c r="K50" s="16" t="s">
        <v>35</v>
      </c>
      <c r="L50" s="16" t="s">
        <v>22</v>
      </c>
      <c r="M50" s="16" t="s">
        <v>136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3:41" ht="16.5" customHeight="1" x14ac:dyDescent="0.3">
      <c r="J51" s="9">
        <v>47</v>
      </c>
      <c r="K51" s="16" t="s">
        <v>35</v>
      </c>
      <c r="L51" s="16" t="s">
        <v>37</v>
      </c>
      <c r="M51" s="16" t="s">
        <v>136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3:41" ht="16.5" customHeight="1" x14ac:dyDescent="0.3">
      <c r="C52" s="5" t="s">
        <v>19</v>
      </c>
      <c r="D52" s="16" t="s">
        <v>35</v>
      </c>
      <c r="E52" s="16" t="s">
        <v>22</v>
      </c>
      <c r="F52" s="16" t="s">
        <v>18</v>
      </c>
      <c r="J52" s="25">
        <v>48</v>
      </c>
      <c r="K52" s="16" t="s">
        <v>136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141</v>
      </c>
      <c r="AH52" s="5"/>
      <c r="AI52" s="5"/>
      <c r="AJ52" s="27" t="s">
        <v>141</v>
      </c>
      <c r="AO52" s="5"/>
    </row>
    <row r="53" spans="3:41" ht="16.5" customHeight="1" x14ac:dyDescent="0.3">
      <c r="C53" s="5" t="s">
        <v>18</v>
      </c>
      <c r="D53" s="16" t="s">
        <v>19</v>
      </c>
      <c r="E53" s="16" t="s">
        <v>34</v>
      </c>
      <c r="F53" s="16" t="s">
        <v>34</v>
      </c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3:41" ht="16.5" customHeight="1" x14ac:dyDescent="0.3">
      <c r="C54" s="5" t="s">
        <v>22</v>
      </c>
      <c r="D54" s="16" t="s">
        <v>21</v>
      </c>
      <c r="E54" s="16" t="s">
        <v>19</v>
      </c>
      <c r="F54" s="16" t="s">
        <v>119</v>
      </c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3:41" ht="16.5" customHeight="1" x14ac:dyDescent="0.3">
      <c r="J55" s="9">
        <v>51</v>
      </c>
      <c r="K55" s="16" t="s">
        <v>136</v>
      </c>
      <c r="L55" s="16" t="s">
        <v>119</v>
      </c>
      <c r="M55" s="16" t="s">
        <v>37</v>
      </c>
      <c r="N55" s="16" t="s">
        <v>90</v>
      </c>
      <c r="O55" s="16" t="s">
        <v>136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3:41" ht="16.5" customHeight="1" x14ac:dyDescent="0.3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6" t="str">
        <v>M1</v>
      </c>
      <c r="AD56" s="144">
        <v>4</v>
      </c>
      <c r="AE56" s="144">
        <v>11</v>
      </c>
      <c r="AF56" s="144">
        <v>5</v>
      </c>
      <c r="AG56" s="144">
        <v>21</v>
      </c>
      <c r="AH56" s="144">
        <v>23</v>
      </c>
      <c r="AI56" s="5"/>
      <c r="AJ56" s="166" t="str">
        <v>M1</v>
      </c>
      <c r="AK56" s="144">
        <v>4</v>
      </c>
      <c r="AL56" s="144">
        <v>11</v>
      </c>
      <c r="AM56" s="144">
        <v>5</v>
      </c>
      <c r="AN56" s="144">
        <v>21</v>
      </c>
      <c r="AO56" s="144">
        <v>23</v>
      </c>
    </row>
    <row r="57" spans="3:41" ht="16.5" customHeight="1" x14ac:dyDescent="0.3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6" t="str">
        <v>M2</v>
      </c>
      <c r="AD57" s="144">
        <v>4</v>
      </c>
      <c r="AE57" s="144">
        <v>11</v>
      </c>
      <c r="AF57" s="144">
        <v>5</v>
      </c>
      <c r="AG57" s="144">
        <v>21</v>
      </c>
      <c r="AH57" s="144">
        <v>23</v>
      </c>
      <c r="AI57" s="5"/>
      <c r="AJ57" s="166" t="str">
        <v>M2</v>
      </c>
      <c r="AK57" s="144">
        <v>4</v>
      </c>
      <c r="AL57" s="144">
        <v>11</v>
      </c>
      <c r="AM57" s="144">
        <v>5</v>
      </c>
      <c r="AN57" s="144">
        <v>21</v>
      </c>
      <c r="AO57" s="144">
        <v>23</v>
      </c>
    </row>
    <row r="58" spans="3:41" ht="16.5" customHeight="1" x14ac:dyDescent="0.3">
      <c r="J58" s="25">
        <v>54</v>
      </c>
      <c r="K58" s="16" t="s">
        <v>19</v>
      </c>
      <c r="L58" s="16" t="s">
        <v>97</v>
      </c>
      <c r="M58" s="16" t="s">
        <v>136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6" t="str">
        <v>M3</v>
      </c>
      <c r="AD58" s="144">
        <v>4</v>
      </c>
      <c r="AE58" s="144">
        <v>11</v>
      </c>
      <c r="AF58" s="144">
        <v>5</v>
      </c>
      <c r="AG58" s="144">
        <v>21</v>
      </c>
      <c r="AH58" s="144">
        <v>22</v>
      </c>
      <c r="AI58" s="5"/>
      <c r="AJ58" s="166" t="str">
        <v>M3</v>
      </c>
      <c r="AK58" s="144">
        <v>4</v>
      </c>
      <c r="AL58" s="144">
        <v>11</v>
      </c>
      <c r="AM58" s="144">
        <v>5</v>
      </c>
      <c r="AN58" s="144">
        <v>21</v>
      </c>
      <c r="AO58" s="144">
        <v>22</v>
      </c>
    </row>
    <row r="59" spans="3:41" ht="16.5" customHeight="1" x14ac:dyDescent="0.3">
      <c r="J59" s="9">
        <v>55</v>
      </c>
      <c r="K59" s="16" t="s">
        <v>19</v>
      </c>
      <c r="L59" s="16" t="s">
        <v>136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6" t="str">
        <v>M4</v>
      </c>
      <c r="AD59" s="144">
        <v>43</v>
      </c>
      <c r="AE59" s="144">
        <v>20</v>
      </c>
      <c r="AF59" s="144">
        <v>41</v>
      </c>
      <c r="AG59" s="144">
        <v>14</v>
      </c>
      <c r="AH59" s="144">
        <v>22</v>
      </c>
      <c r="AI59" s="5"/>
      <c r="AJ59" s="166" t="str">
        <v>M4</v>
      </c>
      <c r="AK59" s="144">
        <v>43</v>
      </c>
      <c r="AL59" s="144">
        <v>20</v>
      </c>
      <c r="AM59" s="144">
        <v>41</v>
      </c>
      <c r="AN59" s="144">
        <v>14</v>
      </c>
      <c r="AO59" s="144">
        <v>22</v>
      </c>
    </row>
    <row r="60" spans="3:41" ht="16.5" customHeight="1" x14ac:dyDescent="0.3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6" t="str">
        <v>M5</v>
      </c>
      <c r="AD60" s="144">
        <v>43</v>
      </c>
      <c r="AE60" s="144">
        <v>21</v>
      </c>
      <c r="AF60" s="144">
        <v>41</v>
      </c>
      <c r="AG60" s="144">
        <v>14</v>
      </c>
      <c r="AH60" s="144">
        <v>22</v>
      </c>
      <c r="AI60" s="5"/>
      <c r="AJ60" s="166" t="str">
        <v>M5</v>
      </c>
      <c r="AK60" s="144">
        <v>43</v>
      </c>
      <c r="AL60" s="144">
        <v>21</v>
      </c>
      <c r="AM60" s="144">
        <v>41</v>
      </c>
      <c r="AN60" s="144">
        <v>14</v>
      </c>
      <c r="AO60" s="144">
        <v>22</v>
      </c>
    </row>
    <row r="61" spans="3:41" x14ac:dyDescent="0.3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6" t="str">
        <v>A</v>
      </c>
      <c r="AD61" s="144">
        <v>47</v>
      </c>
      <c r="AE61" s="144">
        <v>21</v>
      </c>
      <c r="AF61" s="144">
        <v>41</v>
      </c>
      <c r="AG61" s="144">
        <v>14</v>
      </c>
      <c r="AH61" s="144">
        <v>22</v>
      </c>
      <c r="AI61" s="5"/>
      <c r="AJ61" s="166" t="str">
        <v>A</v>
      </c>
      <c r="AK61" s="144">
        <v>47</v>
      </c>
      <c r="AL61" s="144">
        <v>21</v>
      </c>
      <c r="AM61" s="144">
        <v>41</v>
      </c>
      <c r="AN61" s="144">
        <v>14</v>
      </c>
      <c r="AO61" s="144">
        <v>22</v>
      </c>
    </row>
    <row r="62" spans="3:41" x14ac:dyDescent="0.3">
      <c r="J62" s="25">
        <v>58</v>
      </c>
      <c r="K62" s="16" t="s">
        <v>136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6" t="str">
        <v>K</v>
      </c>
      <c r="AD62" s="144">
        <v>47</v>
      </c>
      <c r="AE62" s="144">
        <v>21</v>
      </c>
      <c r="AF62" s="144">
        <v>41</v>
      </c>
      <c r="AG62" s="144">
        <v>14</v>
      </c>
      <c r="AH62" s="144">
        <v>22</v>
      </c>
      <c r="AI62" s="5"/>
      <c r="AJ62" s="166" t="str">
        <v>K</v>
      </c>
      <c r="AK62" s="144">
        <v>47</v>
      </c>
      <c r="AL62" s="144">
        <v>21</v>
      </c>
      <c r="AM62" s="144">
        <v>41</v>
      </c>
      <c r="AN62" s="144">
        <v>14</v>
      </c>
      <c r="AO62" s="144">
        <v>22</v>
      </c>
    </row>
    <row r="63" spans="3:41" ht="16.5" customHeight="1" x14ac:dyDescent="0.3">
      <c r="J63" s="9">
        <v>59</v>
      </c>
      <c r="K63" s="16" t="s">
        <v>35</v>
      </c>
      <c r="L63" s="16" t="s">
        <v>137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6" t="str">
        <v>Q</v>
      </c>
      <c r="AD63" s="144">
        <v>4</v>
      </c>
      <c r="AE63" s="144">
        <v>11</v>
      </c>
      <c r="AF63" s="144">
        <v>5</v>
      </c>
      <c r="AG63" s="144">
        <v>20</v>
      </c>
      <c r="AH63" s="144">
        <v>22</v>
      </c>
      <c r="AI63" s="5"/>
      <c r="AJ63" s="166" t="str">
        <v>Q</v>
      </c>
      <c r="AK63" s="144">
        <v>4</v>
      </c>
      <c r="AL63" s="144">
        <v>11</v>
      </c>
      <c r="AM63" s="144">
        <v>5</v>
      </c>
      <c r="AN63" s="144">
        <v>20</v>
      </c>
      <c r="AO63" s="144">
        <v>22</v>
      </c>
    </row>
    <row r="64" spans="3:41" ht="16.5" customHeight="1" x14ac:dyDescent="0.3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6" t="str">
        <v>J</v>
      </c>
      <c r="AD64" s="144">
        <v>4</v>
      </c>
      <c r="AE64" s="144">
        <v>11</v>
      </c>
      <c r="AF64" s="144">
        <v>4</v>
      </c>
      <c r="AG64" s="144">
        <v>20</v>
      </c>
      <c r="AH64" s="144">
        <v>22</v>
      </c>
      <c r="AI64" s="5"/>
      <c r="AJ64" s="166" t="str">
        <v>J</v>
      </c>
      <c r="AK64" s="144">
        <v>4</v>
      </c>
      <c r="AL64" s="144">
        <v>11</v>
      </c>
      <c r="AM64" s="144">
        <v>4</v>
      </c>
      <c r="AN64" s="144">
        <v>20</v>
      </c>
      <c r="AO64" s="144">
        <v>22</v>
      </c>
    </row>
    <row r="65" spans="10:41" ht="16.5" customHeight="1" x14ac:dyDescent="0.3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136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136</v>
      </c>
      <c r="L67" s="16" t="s">
        <v>92</v>
      </c>
      <c r="M67" s="16" t="s">
        <v>136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37</v>
      </c>
      <c r="L69" s="16" t="s">
        <v>136</v>
      </c>
      <c r="M69" s="16" t="s">
        <v>136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136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137</v>
      </c>
      <c r="M71" s="16" t="s">
        <v>136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136</v>
      </c>
      <c r="L72" s="16" t="s">
        <v>119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136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136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136</v>
      </c>
      <c r="L79" s="16" t="s">
        <v>36</v>
      </c>
      <c r="M79" s="16" t="s">
        <v>136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136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136</v>
      </c>
      <c r="L81" s="16" t="s">
        <v>37</v>
      </c>
      <c r="M81" s="16" t="s">
        <v>136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136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136</v>
      </c>
      <c r="L83" s="16" t="s">
        <v>19</v>
      </c>
      <c r="M83" s="16" t="s">
        <v>136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21</v>
      </c>
      <c r="L86" s="16" t="s">
        <v>136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18</v>
      </c>
      <c r="L87" s="16" t="s">
        <v>136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136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119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37</v>
      </c>
      <c r="L94" s="16" t="s">
        <v>136</v>
      </c>
      <c r="M94" s="16" t="s">
        <v>136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22</v>
      </c>
      <c r="M99" s="16" t="s">
        <v>136</v>
      </c>
      <c r="N99" s="16" t="s">
        <v>22</v>
      </c>
      <c r="O99" s="16" t="s">
        <v>136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136</v>
      </c>
      <c r="M100" s="16" t="s">
        <v>119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137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136</v>
      </c>
      <c r="L104" s="16" t="s">
        <v>19</v>
      </c>
      <c r="M104" s="16" t="s">
        <v>137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137</v>
      </c>
      <c r="M106" s="16" t="s">
        <v>19</v>
      </c>
      <c r="N106" s="16" t="s">
        <v>136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136</v>
      </c>
      <c r="L107" s="16" t="s">
        <v>136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19</v>
      </c>
      <c r="M108" s="16" t="s">
        <v>136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136</v>
      </c>
      <c r="L109" s="16" t="s">
        <v>18</v>
      </c>
      <c r="M109" s="16" t="s">
        <v>18</v>
      </c>
      <c r="N109" s="16" t="s">
        <v>136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90</v>
      </c>
      <c r="M110" s="16" t="s">
        <v>136</v>
      </c>
      <c r="N110" s="16" t="s">
        <v>136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136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136</v>
      </c>
      <c r="L112" s="16" t="s">
        <v>37</v>
      </c>
      <c r="M112" s="16" t="s">
        <v>35</v>
      </c>
      <c r="N112" s="16" t="s">
        <v>18</v>
      </c>
      <c r="O112" s="16" t="s">
        <v>136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136</v>
      </c>
      <c r="L113" s="16" t="s">
        <v>136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22</v>
      </c>
      <c r="M114" s="16" t="s">
        <v>136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19</v>
      </c>
      <c r="L116" s="16" t="s">
        <v>119</v>
      </c>
      <c r="M116" s="16" t="s">
        <v>136</v>
      </c>
      <c r="N116" s="16" t="s">
        <v>18</v>
      </c>
      <c r="O116" s="16" t="s">
        <v>136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18</v>
      </c>
      <c r="L117" s="16" t="s">
        <v>119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136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136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92</v>
      </c>
      <c r="M121" s="16" t="s">
        <v>136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136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136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136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136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136</v>
      </c>
      <c r="M132" s="16" t="s">
        <v>19</v>
      </c>
      <c r="N132" s="16" t="s">
        <v>22</v>
      </c>
      <c r="O132" s="16" t="s">
        <v>136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136</v>
      </c>
      <c r="L134" s="16" t="s">
        <v>137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19</v>
      </c>
      <c r="L135" s="16" t="s">
        <v>89</v>
      </c>
      <c r="M135" s="16" t="s">
        <v>119</v>
      </c>
      <c r="N135" s="16" t="s">
        <v>21</v>
      </c>
      <c r="O135" s="16" t="s">
        <v>136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20</v>
      </c>
      <c r="M136" s="16" t="s">
        <v>136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35</v>
      </c>
      <c r="L137" s="16" t="s">
        <v>136</v>
      </c>
      <c r="M137" s="16" t="s">
        <v>19</v>
      </c>
      <c r="N137" s="16" t="s">
        <v>37</v>
      </c>
      <c r="O137" s="16" t="s">
        <v>136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19</v>
      </c>
      <c r="L138" s="16" t="s">
        <v>136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36</v>
      </c>
      <c r="L139" s="16" t="s">
        <v>88</v>
      </c>
      <c r="M139" s="16" t="s">
        <v>136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18</v>
      </c>
      <c r="M140" s="16" t="s">
        <v>136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136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18</v>
      </c>
      <c r="L142" s="16" t="s">
        <v>35</v>
      </c>
      <c r="M142" s="16" t="s">
        <v>136</v>
      </c>
      <c r="N142" s="16" t="s">
        <v>136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136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35</v>
      </c>
      <c r="L145" s="16" t="s">
        <v>21</v>
      </c>
      <c r="M145" s="16" t="s">
        <v>136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136</v>
      </c>
      <c r="L146" s="16" t="s">
        <v>21</v>
      </c>
      <c r="M146" s="16" t="s">
        <v>136</v>
      </c>
      <c r="N146" s="16" t="s">
        <v>136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34</v>
      </c>
      <c r="M147" s="16" t="s">
        <v>137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136</v>
      </c>
      <c r="L149" s="16" t="s">
        <v>21</v>
      </c>
      <c r="M149" s="16" t="s">
        <v>136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119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35</v>
      </c>
      <c r="L153" s="16" t="s">
        <v>137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137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136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136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136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136</v>
      </c>
      <c r="L159" s="16" t="s">
        <v>91</v>
      </c>
      <c r="M159" s="16" t="s">
        <v>136</v>
      </c>
      <c r="N159" s="16" t="s">
        <v>136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136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136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136</v>
      </c>
      <c r="L164" s="16" t="s">
        <v>95</v>
      </c>
      <c r="M164" s="16" t="s">
        <v>37</v>
      </c>
      <c r="N164" s="16" t="s">
        <v>18</v>
      </c>
      <c r="O164" s="16" t="s">
        <v>136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36</v>
      </c>
      <c r="M165" s="16" t="s">
        <v>136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136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20</v>
      </c>
      <c r="M170" s="16" t="s">
        <v>136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19</v>
      </c>
      <c r="M171" s="16" t="s">
        <v>136</v>
      </c>
      <c r="N171" s="16" t="s">
        <v>136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136</v>
      </c>
      <c r="L172" s="16" t="s">
        <v>19</v>
      </c>
      <c r="M172" s="16" t="s">
        <v>136</v>
      </c>
      <c r="N172" s="16" t="s">
        <v>90</v>
      </c>
      <c r="O172" s="16" t="s">
        <v>136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136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19</v>
      </c>
      <c r="L175" s="16" t="s">
        <v>119</v>
      </c>
      <c r="M175" s="16" t="s">
        <v>136</v>
      </c>
      <c r="N175" s="16" t="s">
        <v>136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136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137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19</v>
      </c>
      <c r="M180" s="16" t="s">
        <v>136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136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35</v>
      </c>
      <c r="L186" s="16" t="s">
        <v>95</v>
      </c>
      <c r="M186" s="16" t="s">
        <v>136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136</v>
      </c>
      <c r="L189" s="16" t="s">
        <v>35</v>
      </c>
      <c r="M189" s="16" t="s">
        <v>136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136</v>
      </c>
      <c r="L190" s="16" t="s">
        <v>20</v>
      </c>
      <c r="M190" s="16" t="s">
        <v>136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137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119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136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37</v>
      </c>
      <c r="L197" s="16" t="s">
        <v>35</v>
      </c>
      <c r="M197" s="16" t="s">
        <v>136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136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22</v>
      </c>
      <c r="M201" s="16" t="s">
        <v>136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97</v>
      </c>
      <c r="M202" s="16" t="s">
        <v>136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20</v>
      </c>
      <c r="M203" s="16" t="s">
        <v>136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K1:O1048576">
    <cfRule type="cellIs" dxfId="53" priority="14" operator="equal">
      <formula>"C1"</formula>
    </cfRule>
    <cfRule type="cellIs" dxfId="52" priority="15" operator="between">
      <formula>"G1"</formula>
      <formula>"G5"</formula>
    </cfRule>
    <cfRule type="cellIs" dxfId="51" priority="17" operator="between">
      <formula>"M1"</formula>
      <formula>"M5"</formula>
    </cfRule>
  </conditionalFormatting>
  <conditionalFormatting sqref="W5:AA304 X4:AA4">
    <cfRule type="expression" dxfId="50" priority="18">
      <formula>_xlfn.LET(_xlpm.x, W4, AND(NOT(_xlfn.ISFORMULA(_xlpm.x)), _xlpm.x&lt;&gt;""))</formula>
    </cfRule>
  </conditionalFormatting>
  <conditionalFormatting sqref="W4:AA203">
    <cfRule type="expression" dxfId="49" priority="13">
      <formula>_xlfn.LET(_xlpm.x, W4, AND(NOT(_xlfn.ISFORMULA(_xlpm.x)), _xlpm.x&lt;&gt;""))</formula>
    </cfRule>
  </conditionalFormatting>
  <conditionalFormatting sqref="C27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E52:E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F52:F54">
    <cfRule type="cellIs" dxfId="40" priority="1" operator="equal">
      <formula>"C1"</formula>
    </cfRule>
    <cfRule type="cellIs" dxfId="39" priority="2" operator="between">
      <formula>"G1"</formula>
      <formula>"G4"</formula>
    </cfRule>
    <cfRule type="cellIs" dxfId="38" priority="3" operator="between">
      <formula>"GA"</formula>
      <formula>"GQ"</formula>
    </cfRule>
    <cfRule type="cellIs" dxfId="37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144</v>
      </c>
      <c r="Q2" s="27" t="s">
        <v>145</v>
      </c>
      <c r="W2" s="27" t="s">
        <v>146</v>
      </c>
      <c r="AC2" s="27" t="s">
        <v>158</v>
      </c>
      <c r="AH2" s="5"/>
      <c r="AI2" s="5"/>
      <c r="AJ2" s="27" t="s">
        <v>110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142</v>
      </c>
      <c r="AH4" s="5"/>
      <c r="AI4" s="5"/>
      <c r="AJ4" s="27" t="s">
        <v>142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11</v>
      </c>
      <c r="E6" s="144">
        <f t="shared" si="0"/>
        <v>0</v>
      </c>
      <c r="F6" s="144">
        <f t="shared" si="0"/>
        <v>22</v>
      </c>
      <c r="G6" s="144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11</v>
      </c>
      <c r="E7" s="144">
        <f t="shared" si="0"/>
        <v>0</v>
      </c>
      <c r="F7" s="144">
        <f t="shared" si="0"/>
        <v>22</v>
      </c>
      <c r="G7" s="144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137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11</v>
      </c>
      <c r="E8" s="144">
        <f t="shared" si="0"/>
        <v>0</v>
      </c>
      <c r="F8" s="144">
        <f t="shared" si="0"/>
        <v>22</v>
      </c>
      <c r="G8" s="144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6" t="str">
        <v>M1</v>
      </c>
      <c r="AD8" s="144">
        <v>4</v>
      </c>
      <c r="AE8" s="144">
        <v>11</v>
      </c>
      <c r="AF8" s="144">
        <v>0</v>
      </c>
      <c r="AG8" s="144">
        <v>22</v>
      </c>
      <c r="AH8" s="144">
        <v>28</v>
      </c>
      <c r="AI8" s="5"/>
      <c r="AJ8" s="166" t="str">
        <v>M1</v>
      </c>
      <c r="AK8" s="144">
        <v>4</v>
      </c>
      <c r="AL8" s="144">
        <v>11</v>
      </c>
      <c r="AM8" s="144">
        <v>0</v>
      </c>
      <c r="AN8" s="144">
        <v>22</v>
      </c>
      <c r="AO8" s="144">
        <v>28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19</v>
      </c>
      <c r="E9" s="144">
        <f t="shared" si="0"/>
        <v>0</v>
      </c>
      <c r="F9" s="144">
        <f t="shared" si="0"/>
        <v>12</v>
      </c>
      <c r="G9" s="144">
        <f t="shared" si="0"/>
        <v>16</v>
      </c>
      <c r="H9" s="118">
        <v>5</v>
      </c>
      <c r="I9" s="87"/>
      <c r="J9" s="9">
        <v>5</v>
      </c>
      <c r="K9" s="16" t="s">
        <v>136</v>
      </c>
      <c r="L9" s="16" t="s">
        <v>18</v>
      </c>
      <c r="M9" s="16" t="s">
        <v>119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6" t="str">
        <v>M2</v>
      </c>
      <c r="AD9" s="144">
        <v>4</v>
      </c>
      <c r="AE9" s="144">
        <v>11</v>
      </c>
      <c r="AF9" s="144">
        <v>0</v>
      </c>
      <c r="AG9" s="144">
        <v>22</v>
      </c>
      <c r="AH9" s="144">
        <v>27</v>
      </c>
      <c r="AI9" s="5"/>
      <c r="AJ9" s="166" t="str">
        <v>M2</v>
      </c>
      <c r="AK9" s="144">
        <v>4</v>
      </c>
      <c r="AL9" s="144">
        <v>11</v>
      </c>
      <c r="AM9" s="144">
        <v>0</v>
      </c>
      <c r="AN9" s="144">
        <v>22</v>
      </c>
      <c r="AO9" s="144">
        <v>27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0"/>
        <v>20</v>
      </c>
      <c r="E10" s="144">
        <f t="shared" si="0"/>
        <v>0</v>
      </c>
      <c r="F10" s="144">
        <f t="shared" si="0"/>
        <v>12</v>
      </c>
      <c r="G10" s="144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6" t="str">
        <v>M3</v>
      </c>
      <c r="AD10" s="144">
        <v>4</v>
      </c>
      <c r="AE10" s="144">
        <v>11</v>
      </c>
      <c r="AF10" s="144">
        <v>0</v>
      </c>
      <c r="AG10" s="144">
        <v>22</v>
      </c>
      <c r="AH10" s="144">
        <v>27</v>
      </c>
      <c r="AI10" s="5"/>
      <c r="AJ10" s="166" t="str">
        <v>M3</v>
      </c>
      <c r="AK10" s="144">
        <v>4</v>
      </c>
      <c r="AL10" s="144">
        <v>11</v>
      </c>
      <c r="AM10" s="144">
        <v>0</v>
      </c>
      <c r="AN10" s="144">
        <v>22</v>
      </c>
      <c r="AO10" s="144">
        <v>27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20</v>
      </c>
      <c r="E11" s="144">
        <f t="shared" si="0"/>
        <v>0</v>
      </c>
      <c r="F11" s="144">
        <f t="shared" si="0"/>
        <v>12</v>
      </c>
      <c r="G11" s="144">
        <f t="shared" si="0"/>
        <v>16</v>
      </c>
      <c r="H11" s="118">
        <v>7</v>
      </c>
      <c r="I11" s="87"/>
      <c r="J11" s="9">
        <v>7</v>
      </c>
      <c r="K11" s="16" t="s">
        <v>136</v>
      </c>
      <c r="L11" s="16" t="s">
        <v>90</v>
      </c>
      <c r="M11" s="16" t="s">
        <v>137</v>
      </c>
      <c r="N11" s="16" t="s">
        <v>36</v>
      </c>
      <c r="O11" s="16" t="s">
        <v>136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6" t="str">
        <v>M4</v>
      </c>
      <c r="AD11" s="144">
        <v>43</v>
      </c>
      <c r="AE11" s="144">
        <v>19</v>
      </c>
      <c r="AF11" s="144">
        <v>0</v>
      </c>
      <c r="AG11" s="144">
        <v>12</v>
      </c>
      <c r="AH11" s="144">
        <v>16</v>
      </c>
      <c r="AI11" s="5"/>
      <c r="AJ11" s="166" t="str">
        <v>M4</v>
      </c>
      <c r="AK11" s="144">
        <v>43</v>
      </c>
      <c r="AL11" s="144">
        <v>19</v>
      </c>
      <c r="AM11" s="144">
        <v>0</v>
      </c>
      <c r="AN11" s="144">
        <v>12</v>
      </c>
      <c r="AO11" s="144">
        <v>16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20</v>
      </c>
      <c r="E12" s="144">
        <f t="shared" si="0"/>
        <v>0</v>
      </c>
      <c r="F12" s="144">
        <f t="shared" si="0"/>
        <v>12</v>
      </c>
      <c r="G12" s="144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119</v>
      </c>
      <c r="N12" s="16" t="s">
        <v>136</v>
      </c>
      <c r="O12" s="16" t="s">
        <v>136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6" t="str">
        <v>M5</v>
      </c>
      <c r="AD12" s="144">
        <v>43</v>
      </c>
      <c r="AE12" s="144">
        <v>20</v>
      </c>
      <c r="AF12" s="144">
        <v>0</v>
      </c>
      <c r="AG12" s="144">
        <v>12</v>
      </c>
      <c r="AH12" s="144">
        <v>16</v>
      </c>
      <c r="AI12" s="5"/>
      <c r="AJ12" s="166" t="str">
        <v>M5</v>
      </c>
      <c r="AK12" s="144">
        <v>43</v>
      </c>
      <c r="AL12" s="144">
        <v>20</v>
      </c>
      <c r="AM12" s="144">
        <v>0</v>
      </c>
      <c r="AN12" s="144">
        <v>12</v>
      </c>
      <c r="AO12" s="144">
        <v>16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11</v>
      </c>
      <c r="E13" s="144">
        <f t="shared" si="0"/>
        <v>0</v>
      </c>
      <c r="F13" s="144">
        <f t="shared" si="0"/>
        <v>21</v>
      </c>
      <c r="G13" s="144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137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6" t="str">
        <v>A</v>
      </c>
      <c r="AD13" s="144">
        <v>47</v>
      </c>
      <c r="AE13" s="144">
        <v>20</v>
      </c>
      <c r="AF13" s="144">
        <v>0</v>
      </c>
      <c r="AG13" s="144">
        <v>12</v>
      </c>
      <c r="AH13" s="144">
        <v>16</v>
      </c>
      <c r="AI13" s="5"/>
      <c r="AJ13" s="166" t="str">
        <v>A</v>
      </c>
      <c r="AK13" s="144">
        <v>47</v>
      </c>
      <c r="AL13" s="144">
        <v>20</v>
      </c>
      <c r="AM13" s="144">
        <v>0</v>
      </c>
      <c r="AN13" s="144">
        <v>12</v>
      </c>
      <c r="AO13" s="144">
        <v>16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11</v>
      </c>
      <c r="E14" s="144">
        <f t="shared" si="0"/>
        <v>0</v>
      </c>
      <c r="F14" s="144">
        <f t="shared" si="0"/>
        <v>21</v>
      </c>
      <c r="G14" s="144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6" t="str">
        <v>K</v>
      </c>
      <c r="AD14" s="144">
        <v>47</v>
      </c>
      <c r="AE14" s="144">
        <v>20</v>
      </c>
      <c r="AF14" s="144">
        <v>0</v>
      </c>
      <c r="AG14" s="144">
        <v>12</v>
      </c>
      <c r="AH14" s="144">
        <v>16</v>
      </c>
      <c r="AI14" s="5"/>
      <c r="AJ14" s="166" t="str">
        <v>K</v>
      </c>
      <c r="AK14" s="144">
        <v>47</v>
      </c>
      <c r="AL14" s="144">
        <v>20</v>
      </c>
      <c r="AM14" s="144">
        <v>0</v>
      </c>
      <c r="AN14" s="144">
        <v>12</v>
      </c>
      <c r="AO14" s="144">
        <v>16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137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6" t="str">
        <v>Q</v>
      </c>
      <c r="AD15" s="144">
        <v>4</v>
      </c>
      <c r="AE15" s="144">
        <v>11</v>
      </c>
      <c r="AF15" s="144">
        <v>0</v>
      </c>
      <c r="AG15" s="144">
        <v>21</v>
      </c>
      <c r="AH15" s="144">
        <v>27</v>
      </c>
      <c r="AI15" s="5"/>
      <c r="AJ15" s="166" t="str">
        <v>Q</v>
      </c>
      <c r="AK15" s="144">
        <v>4</v>
      </c>
      <c r="AL15" s="144">
        <v>11</v>
      </c>
      <c r="AM15" s="144">
        <v>0</v>
      </c>
      <c r="AN15" s="144">
        <v>21</v>
      </c>
      <c r="AO15" s="144">
        <v>27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119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6" t="str">
        <v>J</v>
      </c>
      <c r="AD16" s="144">
        <v>4</v>
      </c>
      <c r="AE16" s="144">
        <v>11</v>
      </c>
      <c r="AF16" s="144">
        <v>0</v>
      </c>
      <c r="AG16" s="144">
        <v>21</v>
      </c>
      <c r="AH16" s="144">
        <v>27</v>
      </c>
      <c r="AI16" s="5"/>
      <c r="AJ16" s="166" t="str">
        <v>J</v>
      </c>
      <c r="AK16" s="144">
        <v>4</v>
      </c>
      <c r="AL16" s="144">
        <v>11</v>
      </c>
      <c r="AM16" s="144">
        <v>0</v>
      </c>
      <c r="AN16" s="144">
        <v>21</v>
      </c>
      <c r="AO16" s="144">
        <v>27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137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136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137</v>
      </c>
      <c r="M21" s="16" t="s">
        <v>92</v>
      </c>
      <c r="N21" s="16" t="s">
        <v>119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136</v>
      </c>
      <c r="L22" s="16" t="s">
        <v>136</v>
      </c>
      <c r="M22" s="16" t="s">
        <v>137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119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136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18</v>
      </c>
      <c r="L25" s="16" t="s">
        <v>119</v>
      </c>
      <c r="M25" s="16" t="s">
        <v>119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137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</v>
      </c>
      <c r="D28" s="143">
        <v>0.03</v>
      </c>
      <c r="E28" s="143">
        <v>0</v>
      </c>
      <c r="F28" s="143">
        <v>4.4999999999999998E-2</v>
      </c>
      <c r="G28" s="143">
        <v>0</v>
      </c>
      <c r="H28" s="8">
        <v>1</v>
      </c>
      <c r="I28" s="87"/>
      <c r="J28" s="25">
        <v>24</v>
      </c>
      <c r="K28" s="16" t="s">
        <v>136</v>
      </c>
      <c r="L28" s="16" t="s">
        <v>137</v>
      </c>
      <c r="M28" s="16" t="s">
        <v>137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143</v>
      </c>
      <c r="AH28" s="5"/>
      <c r="AI28" s="5"/>
      <c r="AJ28" s="27" t="s">
        <v>143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0.02</v>
      </c>
      <c r="D29" s="143">
        <v>5.5E-2</v>
      </c>
      <c r="E29" s="143">
        <v>0</v>
      </c>
      <c r="F29" s="143">
        <v>0.11</v>
      </c>
      <c r="G29" s="143">
        <v>0.14000000000000001</v>
      </c>
      <c r="H29" s="8">
        <v>2</v>
      </c>
      <c r="I29" s="87"/>
      <c r="J29" s="9">
        <v>25</v>
      </c>
      <c r="K29" s="16" t="s">
        <v>36</v>
      </c>
      <c r="L29" s="16" t="s">
        <v>22</v>
      </c>
      <c r="M29" s="16" t="s">
        <v>119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0.02</v>
      </c>
      <c r="D30" s="143">
        <v>5.5E-2</v>
      </c>
      <c r="E30" s="143">
        <v>0</v>
      </c>
      <c r="F30" s="143">
        <v>0.11</v>
      </c>
      <c r="G30" s="143">
        <v>0.13500000000000001</v>
      </c>
      <c r="H30" s="8">
        <v>3</v>
      </c>
      <c r="I30" s="87"/>
      <c r="J30" s="25">
        <v>26</v>
      </c>
      <c r="K30" s="16" t="s">
        <v>136</v>
      </c>
      <c r="L30" s="16" t="s">
        <v>35</v>
      </c>
      <c r="M30" s="16" t="s">
        <v>91</v>
      </c>
      <c r="N30" s="16" t="s">
        <v>136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0.02</v>
      </c>
      <c r="D31" s="143">
        <v>5.5E-2</v>
      </c>
      <c r="E31" s="143">
        <v>0</v>
      </c>
      <c r="F31" s="143">
        <v>0.11</v>
      </c>
      <c r="G31" s="143">
        <v>0.13500000000000001</v>
      </c>
      <c r="H31" s="8">
        <v>4</v>
      </c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9.5000000000000001E-2</v>
      </c>
      <c r="E32" s="143">
        <v>0</v>
      </c>
      <c r="F32" s="143">
        <v>0.06</v>
      </c>
      <c r="G32" s="143">
        <v>0.08</v>
      </c>
      <c r="H32" s="8">
        <v>5</v>
      </c>
      <c r="J32" s="25">
        <v>28</v>
      </c>
      <c r="K32" s="16" t="s">
        <v>136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6" t="str">
        <v>M1</v>
      </c>
      <c r="AD32" s="144">
        <v>4</v>
      </c>
      <c r="AE32" s="144">
        <v>11</v>
      </c>
      <c r="AF32" s="144">
        <v>0</v>
      </c>
      <c r="AG32" s="144">
        <v>22</v>
      </c>
      <c r="AH32" s="144">
        <v>28</v>
      </c>
      <c r="AI32" s="5"/>
      <c r="AJ32" s="166" t="str">
        <v>M1</v>
      </c>
      <c r="AK32" s="144">
        <v>4</v>
      </c>
      <c r="AL32" s="144">
        <v>11</v>
      </c>
      <c r="AM32" s="144">
        <v>0</v>
      </c>
      <c r="AN32" s="144">
        <v>22</v>
      </c>
      <c r="AO32" s="144">
        <v>28</v>
      </c>
    </row>
    <row r="33" spans="1:41" ht="16.5" customHeight="1" x14ac:dyDescent="0.3">
      <c r="A33" s="29" t="str">
        <v>M5</v>
      </c>
      <c r="B33" s="8" t="str">
        <v>M5</v>
      </c>
      <c r="C33" s="143">
        <v>0.215</v>
      </c>
      <c r="D33" s="143">
        <v>0.1</v>
      </c>
      <c r="E33" s="143">
        <v>0</v>
      </c>
      <c r="F33" s="143">
        <v>0.06</v>
      </c>
      <c r="G33" s="143">
        <v>0.08</v>
      </c>
      <c r="H33" s="8">
        <v>6</v>
      </c>
      <c r="J33" s="9">
        <v>29</v>
      </c>
      <c r="K33" s="16" t="s">
        <v>136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6" t="str">
        <v>M2</v>
      </c>
      <c r="AD33" s="144">
        <v>4</v>
      </c>
      <c r="AE33" s="144">
        <v>11</v>
      </c>
      <c r="AF33" s="144">
        <v>0</v>
      </c>
      <c r="AG33" s="144">
        <v>22</v>
      </c>
      <c r="AH33" s="144">
        <v>27</v>
      </c>
      <c r="AI33" s="5"/>
      <c r="AJ33" s="166" t="str">
        <v>M2</v>
      </c>
      <c r="AK33" s="144">
        <v>4</v>
      </c>
      <c r="AL33" s="144">
        <v>11</v>
      </c>
      <c r="AM33" s="144">
        <v>0</v>
      </c>
      <c r="AN33" s="144">
        <v>22</v>
      </c>
      <c r="AO33" s="144">
        <v>27</v>
      </c>
    </row>
    <row r="34" spans="1:41" ht="16.5" customHeight="1" x14ac:dyDescent="0.3">
      <c r="A34" s="29" t="str">
        <v>A</v>
      </c>
      <c r="B34" s="8" t="str">
        <v>A</v>
      </c>
      <c r="C34" s="143">
        <v>0.23499999999999999</v>
      </c>
      <c r="D34" s="143">
        <v>0.1</v>
      </c>
      <c r="E34" s="143">
        <v>0</v>
      </c>
      <c r="F34" s="143">
        <v>0.06</v>
      </c>
      <c r="G34" s="143">
        <v>0.08</v>
      </c>
      <c r="H34" s="8">
        <v>7</v>
      </c>
      <c r="J34" s="25">
        <v>30</v>
      </c>
      <c r="K34" s="16" t="s">
        <v>136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6" t="str">
        <v>M3</v>
      </c>
      <c r="AD34" s="144">
        <v>4</v>
      </c>
      <c r="AE34" s="144">
        <v>11</v>
      </c>
      <c r="AF34" s="144">
        <v>0</v>
      </c>
      <c r="AG34" s="144">
        <v>22</v>
      </c>
      <c r="AH34" s="144">
        <v>27</v>
      </c>
      <c r="AI34" s="5"/>
      <c r="AJ34" s="166" t="str">
        <v>M3</v>
      </c>
      <c r="AK34" s="144">
        <v>4</v>
      </c>
      <c r="AL34" s="144">
        <v>11</v>
      </c>
      <c r="AM34" s="144">
        <v>0</v>
      </c>
      <c r="AN34" s="144">
        <v>22</v>
      </c>
      <c r="AO34" s="144">
        <v>27</v>
      </c>
    </row>
    <row r="35" spans="1:41" ht="16.5" customHeight="1" x14ac:dyDescent="0.3">
      <c r="A35" s="29" t="str">
        <v>K</v>
      </c>
      <c r="B35" s="8" t="str">
        <v>K</v>
      </c>
      <c r="C35" s="143">
        <v>0.23499999999999999</v>
      </c>
      <c r="D35" s="143">
        <v>0.1</v>
      </c>
      <c r="E35" s="143">
        <v>0</v>
      </c>
      <c r="F35" s="143">
        <v>0.06</v>
      </c>
      <c r="G35" s="143">
        <v>0.08</v>
      </c>
      <c r="H35" s="8">
        <v>8</v>
      </c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6" t="str">
        <v>M4</v>
      </c>
      <c r="AD35" s="144">
        <v>43</v>
      </c>
      <c r="AE35" s="144">
        <v>19</v>
      </c>
      <c r="AF35" s="144">
        <v>0</v>
      </c>
      <c r="AG35" s="144">
        <v>12</v>
      </c>
      <c r="AH35" s="144">
        <v>16</v>
      </c>
      <c r="AI35" s="5"/>
      <c r="AJ35" s="166" t="str">
        <v>M4</v>
      </c>
      <c r="AK35" s="144">
        <v>43</v>
      </c>
      <c r="AL35" s="144">
        <v>19</v>
      </c>
      <c r="AM35" s="144">
        <v>0</v>
      </c>
      <c r="AN35" s="144">
        <v>12</v>
      </c>
      <c r="AO35" s="144">
        <v>16</v>
      </c>
    </row>
    <row r="36" spans="1:41" ht="16.5" customHeight="1" x14ac:dyDescent="0.3">
      <c r="A36" s="29" t="str">
        <v>Q</v>
      </c>
      <c r="B36" s="8" t="str">
        <v>Q</v>
      </c>
      <c r="C36" s="143">
        <v>0.02</v>
      </c>
      <c r="D36" s="143">
        <v>5.5E-2</v>
      </c>
      <c r="E36" s="143">
        <v>0</v>
      </c>
      <c r="F36" s="143">
        <v>0.105</v>
      </c>
      <c r="G36" s="143">
        <v>0.13500000000000001</v>
      </c>
      <c r="H36" s="8">
        <v>9</v>
      </c>
      <c r="J36" s="25">
        <v>32</v>
      </c>
      <c r="K36" s="16" t="s">
        <v>37</v>
      </c>
      <c r="L36" s="16" t="s">
        <v>97</v>
      </c>
      <c r="M36" s="16" t="s">
        <v>137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6" t="str">
        <v>M5</v>
      </c>
      <c r="AD36" s="144">
        <v>43</v>
      </c>
      <c r="AE36" s="144">
        <v>20</v>
      </c>
      <c r="AF36" s="144">
        <v>0</v>
      </c>
      <c r="AG36" s="144">
        <v>12</v>
      </c>
      <c r="AH36" s="144">
        <v>16</v>
      </c>
      <c r="AI36" s="5"/>
      <c r="AJ36" s="166" t="str">
        <v>M5</v>
      </c>
      <c r="AK36" s="144">
        <v>43</v>
      </c>
      <c r="AL36" s="144">
        <v>20</v>
      </c>
      <c r="AM36" s="144">
        <v>0</v>
      </c>
      <c r="AN36" s="144">
        <v>12</v>
      </c>
      <c r="AO36" s="144">
        <v>16</v>
      </c>
    </row>
    <row r="37" spans="1:41" ht="16.5" customHeight="1" x14ac:dyDescent="0.3">
      <c r="A37" s="29" t="str">
        <v>J</v>
      </c>
      <c r="B37" s="8" t="str">
        <v>J</v>
      </c>
      <c r="C37" s="143">
        <v>0.02</v>
      </c>
      <c r="D37" s="143">
        <v>5.5E-2</v>
      </c>
      <c r="E37" s="143">
        <v>0</v>
      </c>
      <c r="F37" s="143">
        <v>0.105</v>
      </c>
      <c r="G37" s="143">
        <v>0.13500000000000001</v>
      </c>
      <c r="H37" s="8">
        <v>10</v>
      </c>
      <c r="J37" s="9">
        <v>33</v>
      </c>
      <c r="K37" s="16" t="s">
        <v>136</v>
      </c>
      <c r="L37" s="16" t="s">
        <v>35</v>
      </c>
      <c r="M37" s="16" t="s">
        <v>119</v>
      </c>
      <c r="N37" s="16" t="s">
        <v>119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6" t="str">
        <v>A</v>
      </c>
      <c r="AD37" s="144">
        <v>47</v>
      </c>
      <c r="AE37" s="144">
        <v>20</v>
      </c>
      <c r="AF37" s="144">
        <v>0</v>
      </c>
      <c r="AG37" s="144">
        <v>12</v>
      </c>
      <c r="AH37" s="144">
        <v>16</v>
      </c>
      <c r="AI37" s="5"/>
      <c r="AJ37" s="166" t="str">
        <v>A</v>
      </c>
      <c r="AK37" s="144">
        <v>47</v>
      </c>
      <c r="AL37" s="144">
        <v>20</v>
      </c>
      <c r="AM37" s="144">
        <v>0</v>
      </c>
      <c r="AN37" s="144">
        <v>12</v>
      </c>
      <c r="AO37" s="144">
        <v>16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0.02</v>
      </c>
      <c r="E38" s="143">
        <v>2.5000000000000001E-2</v>
      </c>
      <c r="F38" s="143">
        <v>2.5000000000000001E-2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6" t="str">
        <v>K</v>
      </c>
      <c r="AD38" s="144">
        <v>47</v>
      </c>
      <c r="AE38" s="144">
        <v>20</v>
      </c>
      <c r="AF38" s="144">
        <v>0</v>
      </c>
      <c r="AG38" s="144">
        <v>12</v>
      </c>
      <c r="AH38" s="144">
        <v>16</v>
      </c>
      <c r="AI38" s="5"/>
      <c r="AJ38" s="166" t="str">
        <v>K</v>
      </c>
      <c r="AK38" s="144">
        <v>47</v>
      </c>
      <c r="AL38" s="144">
        <v>20</v>
      </c>
      <c r="AM38" s="144">
        <v>0</v>
      </c>
      <c r="AN38" s="144">
        <v>12</v>
      </c>
      <c r="AO38" s="144">
        <v>16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2.5000000000000001E-2</v>
      </c>
      <c r="E39" s="143">
        <v>2.5000000000000001E-2</v>
      </c>
      <c r="F39" s="143">
        <v>2.5000000000000001E-2</v>
      </c>
      <c r="G39" s="143">
        <v>0</v>
      </c>
      <c r="H39" s="8">
        <v>12</v>
      </c>
      <c r="J39" s="9">
        <v>35</v>
      </c>
      <c r="K39" s="16" t="s">
        <v>35</v>
      </c>
      <c r="L39" s="16" t="s">
        <v>18</v>
      </c>
      <c r="M39" s="16" t="s">
        <v>137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6" t="str">
        <v>Q</v>
      </c>
      <c r="AD39" s="144">
        <v>4</v>
      </c>
      <c r="AE39" s="144">
        <v>11</v>
      </c>
      <c r="AF39" s="144">
        <v>0</v>
      </c>
      <c r="AG39" s="144">
        <v>21</v>
      </c>
      <c r="AH39" s="144">
        <v>27</v>
      </c>
      <c r="AI39" s="5"/>
      <c r="AJ39" s="166" t="str">
        <v>Q</v>
      </c>
      <c r="AK39" s="144">
        <v>4</v>
      </c>
      <c r="AL39" s="144">
        <v>11</v>
      </c>
      <c r="AM39" s="144">
        <v>0</v>
      </c>
      <c r="AN39" s="144">
        <v>21</v>
      </c>
      <c r="AO39" s="144">
        <v>27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2.5000000000000001E-2</v>
      </c>
      <c r="E40" s="143">
        <v>2.5000000000000001E-2</v>
      </c>
      <c r="F40" s="143">
        <v>2.5000000000000001E-2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6" t="str">
        <v>J</v>
      </c>
      <c r="AD40" s="144">
        <v>4</v>
      </c>
      <c r="AE40" s="144">
        <v>11</v>
      </c>
      <c r="AF40" s="144">
        <v>0</v>
      </c>
      <c r="AG40" s="144">
        <v>21</v>
      </c>
      <c r="AH40" s="144">
        <v>27</v>
      </c>
      <c r="AI40" s="5"/>
      <c r="AJ40" s="166" t="str">
        <v>J</v>
      </c>
      <c r="AK40" s="144">
        <v>4</v>
      </c>
      <c r="AL40" s="144">
        <v>11</v>
      </c>
      <c r="AM40" s="144">
        <v>0</v>
      </c>
      <c r="AN40" s="144">
        <v>21</v>
      </c>
      <c r="AO40" s="144">
        <v>27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4.4999999999999998E-2</v>
      </c>
      <c r="E41" s="143">
        <v>0.22</v>
      </c>
      <c r="F41" s="143">
        <v>1.4999999999999999E-2</v>
      </c>
      <c r="G41" s="143">
        <v>0</v>
      </c>
      <c r="H41" s="8">
        <v>14</v>
      </c>
      <c r="J41" s="9">
        <v>37</v>
      </c>
      <c r="K41" s="16" t="s">
        <v>136</v>
      </c>
      <c r="L41" s="16" t="s">
        <v>137</v>
      </c>
      <c r="M41" s="16" t="s">
        <v>119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4.4999999999999998E-2</v>
      </c>
      <c r="E42" s="143">
        <v>0.22</v>
      </c>
      <c r="F42" s="143">
        <v>1.4999999999999999E-2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4.4999999999999998E-2</v>
      </c>
      <c r="E43" s="143">
        <v>0.22</v>
      </c>
      <c r="F43" s="143">
        <v>1.4999999999999999E-2</v>
      </c>
      <c r="G43" s="143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1.4999999999999999E-2</v>
      </c>
      <c r="G44" s="143">
        <v>0</v>
      </c>
      <c r="H44" s="8">
        <v>17</v>
      </c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2.5000000000000001E-2</v>
      </c>
      <c r="E45" s="143">
        <v>2.5000000000000001E-2</v>
      </c>
      <c r="F45" s="143">
        <v>0.02</v>
      </c>
      <c r="G45" s="143">
        <v>0</v>
      </c>
      <c r="H45" s="8">
        <v>18</v>
      </c>
      <c r="J45" s="9">
        <v>41</v>
      </c>
      <c r="K45" s="16" t="s">
        <v>136</v>
      </c>
      <c r="L45" s="16" t="s">
        <v>18</v>
      </c>
      <c r="M45" s="16" t="s">
        <v>119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2.5000000000000001E-2</v>
      </c>
      <c r="E46" s="143">
        <v>0.02</v>
      </c>
      <c r="F46" s="143">
        <v>0.02</v>
      </c>
      <c r="G46" s="143">
        <v>0</v>
      </c>
      <c r="H46" s="8">
        <v>19</v>
      </c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19</v>
      </c>
      <c r="L47" s="16" t="s">
        <v>119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136</v>
      </c>
      <c r="L48" s="16" t="s">
        <v>20</v>
      </c>
      <c r="M48" s="16" t="s">
        <v>137</v>
      </c>
      <c r="N48" s="16" t="s">
        <v>136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19</v>
      </c>
      <c r="L49" s="16" t="s">
        <v>137</v>
      </c>
      <c r="M49" s="16" t="s">
        <v>119</v>
      </c>
      <c r="N49" s="16" t="s">
        <v>136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18</v>
      </c>
      <c r="L50" s="16" t="s">
        <v>136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 x14ac:dyDescent="0.3">
      <c r="J51" s="9">
        <v>47</v>
      </c>
      <c r="K51" s="16" t="s">
        <v>19</v>
      </c>
      <c r="L51" s="16" t="s">
        <v>91</v>
      </c>
      <c r="M51" s="16" t="s">
        <v>119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136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141</v>
      </c>
      <c r="AH52" s="5"/>
      <c r="AI52" s="5"/>
      <c r="AJ52" s="27" t="s">
        <v>141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95</v>
      </c>
      <c r="M53" s="16" t="s">
        <v>137</v>
      </c>
      <c r="N53" s="16" t="s">
        <v>136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136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37</v>
      </c>
      <c r="M55" s="16" t="s">
        <v>137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10:41" ht="16.5" customHeight="1" x14ac:dyDescent="0.3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6" t="str">
        <v>M1</v>
      </c>
      <c r="AD56" s="144">
        <v>4</v>
      </c>
      <c r="AE56" s="144">
        <v>11</v>
      </c>
      <c r="AF56" s="144">
        <v>0</v>
      </c>
      <c r="AG56" s="144">
        <v>22</v>
      </c>
      <c r="AH56" s="144">
        <v>28</v>
      </c>
      <c r="AI56" s="5"/>
      <c r="AJ56" s="166" t="str">
        <v>M1</v>
      </c>
      <c r="AK56" s="144">
        <v>4</v>
      </c>
      <c r="AL56" s="144">
        <v>11</v>
      </c>
      <c r="AM56" s="144">
        <v>0</v>
      </c>
      <c r="AN56" s="144">
        <v>22</v>
      </c>
      <c r="AO56" s="144">
        <v>28</v>
      </c>
    </row>
    <row r="57" spans="10:41" ht="16.5" customHeight="1" x14ac:dyDescent="0.3">
      <c r="J57" s="9">
        <v>53</v>
      </c>
      <c r="K57" s="16" t="s">
        <v>19</v>
      </c>
      <c r="L57" s="16" t="s">
        <v>37</v>
      </c>
      <c r="M57" s="16" t="s">
        <v>137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6" t="str">
        <v>M2</v>
      </c>
      <c r="AD57" s="144">
        <v>4</v>
      </c>
      <c r="AE57" s="144">
        <v>11</v>
      </c>
      <c r="AF57" s="144">
        <v>0</v>
      </c>
      <c r="AG57" s="144">
        <v>22</v>
      </c>
      <c r="AH57" s="144">
        <v>27</v>
      </c>
      <c r="AI57" s="5"/>
      <c r="AJ57" s="166" t="str">
        <v>M2</v>
      </c>
      <c r="AK57" s="144">
        <v>4</v>
      </c>
      <c r="AL57" s="144">
        <v>11</v>
      </c>
      <c r="AM57" s="144">
        <v>0</v>
      </c>
      <c r="AN57" s="144">
        <v>22</v>
      </c>
      <c r="AO57" s="144">
        <v>27</v>
      </c>
    </row>
    <row r="58" spans="10:41" ht="16.5" customHeight="1" x14ac:dyDescent="0.3">
      <c r="J58" s="25">
        <v>54</v>
      </c>
      <c r="K58" s="16" t="s">
        <v>35</v>
      </c>
      <c r="L58" s="16" t="s">
        <v>137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6" t="str">
        <v>M3</v>
      </c>
      <c r="AD58" s="144">
        <v>4</v>
      </c>
      <c r="AE58" s="144">
        <v>11</v>
      </c>
      <c r="AF58" s="144">
        <v>0</v>
      </c>
      <c r="AG58" s="144">
        <v>22</v>
      </c>
      <c r="AH58" s="144">
        <v>27</v>
      </c>
      <c r="AI58" s="5"/>
      <c r="AJ58" s="166" t="str">
        <v>M3</v>
      </c>
      <c r="AK58" s="144">
        <v>4</v>
      </c>
      <c r="AL58" s="144">
        <v>11</v>
      </c>
      <c r="AM58" s="144">
        <v>0</v>
      </c>
      <c r="AN58" s="144">
        <v>22</v>
      </c>
      <c r="AO58" s="144">
        <v>27</v>
      </c>
    </row>
    <row r="59" spans="10:41" ht="16.5" customHeight="1" x14ac:dyDescent="0.3">
      <c r="J59" s="9">
        <v>55</v>
      </c>
      <c r="K59" s="16" t="s">
        <v>37</v>
      </c>
      <c r="L59" s="16" t="s">
        <v>35</v>
      </c>
      <c r="M59" s="16" t="s">
        <v>137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6" t="str">
        <v>M4</v>
      </c>
      <c r="AD59" s="144">
        <v>43</v>
      </c>
      <c r="AE59" s="144">
        <v>19</v>
      </c>
      <c r="AF59" s="144">
        <v>0</v>
      </c>
      <c r="AG59" s="144">
        <v>12</v>
      </c>
      <c r="AH59" s="144">
        <v>16</v>
      </c>
      <c r="AI59" s="5"/>
      <c r="AJ59" s="166" t="str">
        <v>M4</v>
      </c>
      <c r="AK59" s="144">
        <v>43</v>
      </c>
      <c r="AL59" s="144">
        <v>19</v>
      </c>
      <c r="AM59" s="144">
        <v>0</v>
      </c>
      <c r="AN59" s="144">
        <v>12</v>
      </c>
      <c r="AO59" s="144">
        <v>16</v>
      </c>
    </row>
    <row r="60" spans="10:41" ht="16.5" customHeight="1" x14ac:dyDescent="0.3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136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6" t="str">
        <v>M5</v>
      </c>
      <c r="AD60" s="144">
        <v>43</v>
      </c>
      <c r="AE60" s="144">
        <v>20</v>
      </c>
      <c r="AF60" s="144">
        <v>0</v>
      </c>
      <c r="AG60" s="144">
        <v>12</v>
      </c>
      <c r="AH60" s="144">
        <v>16</v>
      </c>
      <c r="AI60" s="5"/>
      <c r="AJ60" s="166" t="str">
        <v>M5</v>
      </c>
      <c r="AK60" s="144">
        <v>43</v>
      </c>
      <c r="AL60" s="144">
        <v>20</v>
      </c>
      <c r="AM60" s="144">
        <v>0</v>
      </c>
      <c r="AN60" s="144">
        <v>12</v>
      </c>
      <c r="AO60" s="144">
        <v>16</v>
      </c>
    </row>
    <row r="61" spans="10:41" x14ac:dyDescent="0.3">
      <c r="J61" s="9">
        <v>57</v>
      </c>
      <c r="K61" s="16" t="s">
        <v>19</v>
      </c>
      <c r="L61" s="16" t="s">
        <v>21</v>
      </c>
      <c r="M61" s="16" t="s">
        <v>119</v>
      </c>
      <c r="N61" s="16" t="s">
        <v>22</v>
      </c>
      <c r="O61" s="16" t="s">
        <v>136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6" t="str">
        <v>A</v>
      </c>
      <c r="AD61" s="144">
        <v>47</v>
      </c>
      <c r="AE61" s="144">
        <v>20</v>
      </c>
      <c r="AF61" s="144">
        <v>0</v>
      </c>
      <c r="AG61" s="144">
        <v>12</v>
      </c>
      <c r="AH61" s="144">
        <v>16</v>
      </c>
      <c r="AI61" s="5"/>
      <c r="AJ61" s="166" t="str">
        <v>A</v>
      </c>
      <c r="AK61" s="144">
        <v>47</v>
      </c>
      <c r="AL61" s="144">
        <v>20</v>
      </c>
      <c r="AM61" s="144">
        <v>0</v>
      </c>
      <c r="AN61" s="144">
        <v>12</v>
      </c>
      <c r="AO61" s="144">
        <v>16</v>
      </c>
    </row>
    <row r="62" spans="10:41" x14ac:dyDescent="0.3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6" t="str">
        <v>K</v>
      </c>
      <c r="AD62" s="144">
        <v>47</v>
      </c>
      <c r="AE62" s="144">
        <v>20</v>
      </c>
      <c r="AF62" s="144">
        <v>0</v>
      </c>
      <c r="AG62" s="144">
        <v>12</v>
      </c>
      <c r="AH62" s="144">
        <v>16</v>
      </c>
      <c r="AI62" s="5"/>
      <c r="AJ62" s="166" t="str">
        <v>K</v>
      </c>
      <c r="AK62" s="144">
        <v>47</v>
      </c>
      <c r="AL62" s="144">
        <v>20</v>
      </c>
      <c r="AM62" s="144">
        <v>0</v>
      </c>
      <c r="AN62" s="144">
        <v>12</v>
      </c>
      <c r="AO62" s="144">
        <v>16</v>
      </c>
    </row>
    <row r="63" spans="10:41" ht="16.5" customHeight="1" x14ac:dyDescent="0.3">
      <c r="J63" s="9">
        <v>59</v>
      </c>
      <c r="K63" s="16" t="s">
        <v>37</v>
      </c>
      <c r="L63" s="16" t="s">
        <v>136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6" t="str">
        <v>Q</v>
      </c>
      <c r="AD63" s="144">
        <v>4</v>
      </c>
      <c r="AE63" s="144">
        <v>11</v>
      </c>
      <c r="AF63" s="144">
        <v>0</v>
      </c>
      <c r="AG63" s="144">
        <v>21</v>
      </c>
      <c r="AH63" s="144">
        <v>27</v>
      </c>
      <c r="AI63" s="5"/>
      <c r="AJ63" s="166" t="str">
        <v>Q</v>
      </c>
      <c r="AK63" s="144">
        <v>4</v>
      </c>
      <c r="AL63" s="144">
        <v>11</v>
      </c>
      <c r="AM63" s="144">
        <v>0</v>
      </c>
      <c r="AN63" s="144">
        <v>21</v>
      </c>
      <c r="AO63" s="144">
        <v>27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6" t="str">
        <v>J</v>
      </c>
      <c r="AD64" s="144">
        <v>4</v>
      </c>
      <c r="AE64" s="144">
        <v>11</v>
      </c>
      <c r="AF64" s="144">
        <v>0</v>
      </c>
      <c r="AG64" s="144">
        <v>21</v>
      </c>
      <c r="AH64" s="144">
        <v>27</v>
      </c>
      <c r="AI64" s="5"/>
      <c r="AJ64" s="166" t="str">
        <v>J</v>
      </c>
      <c r="AK64" s="144">
        <v>4</v>
      </c>
      <c r="AL64" s="144">
        <v>11</v>
      </c>
      <c r="AM64" s="144">
        <v>0</v>
      </c>
      <c r="AN64" s="144">
        <v>21</v>
      </c>
      <c r="AO64" s="144">
        <v>27</v>
      </c>
    </row>
    <row r="65" spans="10:41" ht="16.5" customHeight="1" x14ac:dyDescent="0.3">
      <c r="J65" s="9">
        <v>61</v>
      </c>
      <c r="K65" s="16" t="s">
        <v>37</v>
      </c>
      <c r="L65" s="16" t="s">
        <v>37</v>
      </c>
      <c r="M65" s="16" t="s">
        <v>119</v>
      </c>
      <c r="N65" s="16" t="s">
        <v>136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137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 x14ac:dyDescent="0.3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119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136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35</v>
      </c>
      <c r="L77" s="16" t="s">
        <v>18</v>
      </c>
      <c r="M77" s="16" t="s">
        <v>119</v>
      </c>
      <c r="N77" s="16" t="s">
        <v>21</v>
      </c>
      <c r="O77" s="16" t="s">
        <v>136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136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136</v>
      </c>
      <c r="L79" s="16" t="s">
        <v>19</v>
      </c>
      <c r="M79" s="16" t="s">
        <v>137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22</v>
      </c>
      <c r="M82" s="16" t="s">
        <v>119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136</v>
      </c>
      <c r="M84" s="16" t="s">
        <v>137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136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136</v>
      </c>
      <c r="L86" s="16" t="s">
        <v>137</v>
      </c>
      <c r="M86" s="16" t="s">
        <v>95</v>
      </c>
      <c r="N86" s="16" t="s">
        <v>21</v>
      </c>
      <c r="O86" s="16" t="s">
        <v>136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136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37</v>
      </c>
      <c r="L88" s="16" t="s">
        <v>19</v>
      </c>
      <c r="M88" s="16" t="s">
        <v>119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19</v>
      </c>
      <c r="M89" s="16" t="s">
        <v>137</v>
      </c>
      <c r="N89" s="16" t="s">
        <v>22</v>
      </c>
      <c r="O89" s="16" t="s">
        <v>136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37</v>
      </c>
      <c r="L92" s="16" t="s">
        <v>136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136</v>
      </c>
      <c r="M93" s="16" t="s">
        <v>119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35</v>
      </c>
      <c r="M95" s="16" t="s">
        <v>119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37</v>
      </c>
      <c r="M98" s="16" t="s">
        <v>137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35</v>
      </c>
      <c r="M99" s="16" t="s">
        <v>119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136</v>
      </c>
      <c r="L100" s="16" t="s">
        <v>34</v>
      </c>
      <c r="M100" s="16" t="s">
        <v>137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21</v>
      </c>
      <c r="M102" s="16" t="s">
        <v>119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136</v>
      </c>
      <c r="M105" s="16" t="s">
        <v>119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136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34</v>
      </c>
      <c r="M107" s="16" t="s">
        <v>137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35</v>
      </c>
      <c r="L109" s="16" t="s">
        <v>22</v>
      </c>
      <c r="M109" s="16" t="s">
        <v>137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19</v>
      </c>
      <c r="M111" s="16" t="s">
        <v>137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136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91</v>
      </c>
      <c r="M113" s="16" t="s">
        <v>137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21</v>
      </c>
      <c r="L114" s="16" t="s">
        <v>37</v>
      </c>
      <c r="M114" s="16" t="s">
        <v>119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136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136</v>
      </c>
      <c r="L116" s="16" t="s">
        <v>91</v>
      </c>
      <c r="M116" s="16" t="s">
        <v>119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19</v>
      </c>
      <c r="M117" s="16" t="s">
        <v>137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136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136</v>
      </c>
      <c r="M119" s="16" t="s">
        <v>119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136</v>
      </c>
      <c r="M120" s="16" t="s">
        <v>92</v>
      </c>
      <c r="N120" s="16" t="s">
        <v>136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19</v>
      </c>
      <c r="L121" s="16" t="s">
        <v>92</v>
      </c>
      <c r="M121" s="16" t="s">
        <v>137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34</v>
      </c>
      <c r="M123" s="16" t="s">
        <v>137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136</v>
      </c>
      <c r="L125" s="16" t="s">
        <v>20</v>
      </c>
      <c r="M125" s="16" t="s">
        <v>119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136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136</v>
      </c>
      <c r="L128" s="16" t="s">
        <v>137</v>
      </c>
      <c r="M128" s="16" t="s">
        <v>137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136</v>
      </c>
      <c r="L130" s="16" t="s">
        <v>34</v>
      </c>
      <c r="M130" s="16" t="s">
        <v>119</v>
      </c>
      <c r="N130" s="16" t="s">
        <v>136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35</v>
      </c>
      <c r="L131" s="16" t="s">
        <v>119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136</v>
      </c>
      <c r="L132" s="16" t="s">
        <v>20</v>
      </c>
      <c r="M132" s="16" t="s">
        <v>137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35</v>
      </c>
      <c r="L133" s="16" t="s">
        <v>91</v>
      </c>
      <c r="M133" s="16" t="s">
        <v>119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136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136</v>
      </c>
      <c r="M135" s="16" t="s">
        <v>119</v>
      </c>
      <c r="N135" s="16" t="s">
        <v>136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136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22</v>
      </c>
      <c r="L138" s="16" t="s">
        <v>35</v>
      </c>
      <c r="M138" s="16" t="s">
        <v>137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136</v>
      </c>
      <c r="L140" s="16" t="s">
        <v>97</v>
      </c>
      <c r="M140" s="16" t="s">
        <v>97</v>
      </c>
      <c r="N140" s="16" t="s">
        <v>37</v>
      </c>
      <c r="O140" s="16" t="s">
        <v>136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35</v>
      </c>
      <c r="M142" s="16" t="s">
        <v>137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37</v>
      </c>
      <c r="L144" s="16" t="s">
        <v>119</v>
      </c>
      <c r="M144" s="16" t="s">
        <v>119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37</v>
      </c>
      <c r="L146" s="16" t="s">
        <v>92</v>
      </c>
      <c r="M146" s="16" t="s">
        <v>137</v>
      </c>
      <c r="N146" s="16" t="s">
        <v>36</v>
      </c>
      <c r="O146" s="16" t="s">
        <v>136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19</v>
      </c>
      <c r="L148" s="16" t="s">
        <v>22</v>
      </c>
      <c r="M148" s="16" t="s">
        <v>137</v>
      </c>
      <c r="N148" s="16" t="s">
        <v>137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119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136</v>
      </c>
      <c r="L150" s="16" t="s">
        <v>37</v>
      </c>
      <c r="M150" s="16" t="s">
        <v>137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136</v>
      </c>
      <c r="L153" s="16" t="s">
        <v>136</v>
      </c>
      <c r="M153" s="16" t="s">
        <v>137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97</v>
      </c>
      <c r="M154" s="16" t="s">
        <v>119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35</v>
      </c>
      <c r="M155" s="16" t="s">
        <v>137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21</v>
      </c>
      <c r="M156" s="16" t="s">
        <v>119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136</v>
      </c>
      <c r="L157" s="16" t="s">
        <v>37</v>
      </c>
      <c r="M157" s="16" t="s">
        <v>137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136</v>
      </c>
      <c r="M158" s="16" t="s">
        <v>92</v>
      </c>
      <c r="N158" s="16" t="s">
        <v>19</v>
      </c>
      <c r="O158" s="16" t="s">
        <v>136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95</v>
      </c>
      <c r="M159" s="16" t="s">
        <v>119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119</v>
      </c>
      <c r="M160" s="16" t="s">
        <v>92</v>
      </c>
      <c r="N160" s="16" t="s">
        <v>34</v>
      </c>
      <c r="O160" s="16" t="s">
        <v>136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119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136</v>
      </c>
      <c r="L163" s="16" t="s">
        <v>37</v>
      </c>
      <c r="M163" s="16" t="s">
        <v>119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37</v>
      </c>
      <c r="M165" s="16" t="s">
        <v>119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119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136</v>
      </c>
      <c r="L170" s="16" t="s">
        <v>18</v>
      </c>
      <c r="M170" s="16" t="s">
        <v>91</v>
      </c>
      <c r="N170" s="16" t="s">
        <v>92</v>
      </c>
      <c r="O170" s="16" t="s">
        <v>136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136</v>
      </c>
      <c r="L172" s="16" t="s">
        <v>119</v>
      </c>
      <c r="M172" s="16" t="s">
        <v>119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136</v>
      </c>
      <c r="L173" s="16" t="s">
        <v>136</v>
      </c>
      <c r="M173" s="16" t="s">
        <v>137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90</v>
      </c>
      <c r="M174" s="16" t="s">
        <v>119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119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35</v>
      </c>
      <c r="L176" s="16" t="s">
        <v>136</v>
      </c>
      <c r="M176" s="16" t="s">
        <v>119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137</v>
      </c>
      <c r="N177" s="16" t="s">
        <v>22</v>
      </c>
      <c r="O177" s="16" t="s">
        <v>136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136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136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136</v>
      </c>
      <c r="L180" s="16" t="s">
        <v>35</v>
      </c>
      <c r="M180" s="16" t="s">
        <v>119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136</v>
      </c>
      <c r="L183" s="16" t="s">
        <v>19</v>
      </c>
      <c r="M183" s="16" t="s">
        <v>137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35</v>
      </c>
      <c r="M184" s="16" t="s">
        <v>119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136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136</v>
      </c>
      <c r="L187" s="16" t="s">
        <v>21</v>
      </c>
      <c r="M187" s="16" t="s">
        <v>137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136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136</v>
      </c>
      <c r="M189" s="16" t="s">
        <v>137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136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37</v>
      </c>
      <c r="M191" s="16" t="s">
        <v>119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119</v>
      </c>
      <c r="M193" s="16" t="s">
        <v>137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119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136</v>
      </c>
      <c r="L196" s="16" t="s">
        <v>89</v>
      </c>
      <c r="M196" s="16" t="s">
        <v>119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136</v>
      </c>
      <c r="M198" s="16" t="s">
        <v>137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18</v>
      </c>
      <c r="M200" s="16" t="s">
        <v>137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19</v>
      </c>
      <c r="L202" s="16" t="s">
        <v>91</v>
      </c>
      <c r="M202" s="16" t="s">
        <v>137</v>
      </c>
      <c r="N202" s="16" t="s">
        <v>137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136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35" priority="18">
      <formula>_xlfn.LET(_xlpm.x, W4, AND(NOT(_xlfn.ISFORMULA(_xlpm.x)), _xlpm.x&lt;&gt;""))</formula>
    </cfRule>
  </conditionalFormatting>
  <conditionalFormatting sqref="W4:AA203">
    <cfRule type="expression" dxfId="34" priority="13">
      <formula>_xlfn.LET(_xlpm.x, W4, AND(NOT(_xlfn.ISFORMULA(_xlpm.x)), _xlpm.x&lt;&gt;""))</formula>
    </cfRule>
  </conditionalFormatting>
  <conditionalFormatting sqref="C27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{7BB3A213-29E9-4688-9CE5-1E887CDBF0CE}</x14:id>
        </ext>
      </extLst>
    </cfRule>
  </conditionalFormatting>
  <conditionalFormatting sqref="K1:O1048576">
    <cfRule type="cellIs" dxfId="33" priority="1" operator="equal">
      <formula>"C1"</formula>
    </cfRule>
    <cfRule type="cellIs" dxfId="32" priority="2" operator="between">
      <formula>"G1"</formula>
      <formula>"G5"</formula>
    </cfRule>
    <cfRule type="cellIs" dxfId="31" priority="3" operator="between">
      <formula>"GA"</formula>
      <formula>"GJ"</formula>
    </cfRule>
    <cfRule type="cellIs" dxfId="3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B3A213-29E9-4688-9CE5-1E887CDBF0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144</v>
      </c>
      <c r="Q2" s="27" t="s">
        <v>145</v>
      </c>
      <c r="W2" s="27" t="s">
        <v>146</v>
      </c>
      <c r="AC2" s="27" t="s">
        <v>158</v>
      </c>
      <c r="AH2" s="5"/>
      <c r="AI2" s="5"/>
      <c r="AJ2" s="27" t="s">
        <v>110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136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142</v>
      </c>
      <c r="AH4" s="5"/>
      <c r="AI4" s="5"/>
      <c r="AJ4" s="27" t="s">
        <v>142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17</v>
      </c>
      <c r="E6" s="144">
        <f t="shared" si="0"/>
        <v>4</v>
      </c>
      <c r="F6" s="144">
        <f t="shared" si="0"/>
        <v>21</v>
      </c>
      <c r="G6" s="144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18</v>
      </c>
      <c r="E7" s="144">
        <f t="shared" si="0"/>
        <v>4</v>
      </c>
      <c r="F7" s="144">
        <f t="shared" si="0"/>
        <v>20</v>
      </c>
      <c r="G7" s="144">
        <f t="shared" si="0"/>
        <v>22</v>
      </c>
      <c r="H7" s="118">
        <v>3</v>
      </c>
      <c r="I7" s="87"/>
      <c r="J7" s="9">
        <v>3</v>
      </c>
      <c r="K7" s="16" t="s">
        <v>136</v>
      </c>
      <c r="L7" s="26" t="s">
        <v>137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6</v>
      </c>
      <c r="AE7" s="149">
        <v>6</v>
      </c>
      <c r="AF7" s="149">
        <v>6</v>
      </c>
      <c r="AG7" s="149">
        <v>9</v>
      </c>
      <c r="AH7" s="149">
        <v>9</v>
      </c>
      <c r="AI7" s="5"/>
      <c r="AJ7" s="149" t="str">
        <v>C1</v>
      </c>
      <c r="AK7" s="149">
        <v>6</v>
      </c>
      <c r="AL7" s="149">
        <v>6</v>
      </c>
      <c r="AM7" s="149">
        <v>6</v>
      </c>
      <c r="AN7" s="149">
        <v>9</v>
      </c>
      <c r="AO7" s="149">
        <v>9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18</v>
      </c>
      <c r="E8" s="144">
        <f t="shared" si="0"/>
        <v>4</v>
      </c>
      <c r="F8" s="144">
        <f t="shared" si="0"/>
        <v>20</v>
      </c>
      <c r="G8" s="144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137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6" t="str">
        <v>M1</v>
      </c>
      <c r="AD8" s="144">
        <v>4</v>
      </c>
      <c r="AE8" s="144">
        <v>17</v>
      </c>
      <c r="AF8" s="144">
        <v>4</v>
      </c>
      <c r="AG8" s="144">
        <v>21</v>
      </c>
      <c r="AH8" s="144">
        <v>22</v>
      </c>
      <c r="AI8" s="5"/>
      <c r="AJ8" s="166" t="str">
        <v>M1</v>
      </c>
      <c r="AK8" s="144">
        <v>4</v>
      </c>
      <c r="AL8" s="144">
        <v>17</v>
      </c>
      <c r="AM8" s="144">
        <v>4</v>
      </c>
      <c r="AN8" s="144">
        <v>21</v>
      </c>
      <c r="AO8" s="144">
        <v>22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40</v>
      </c>
      <c r="D9" s="144">
        <f t="shared" si="0"/>
        <v>14</v>
      </c>
      <c r="E9" s="144">
        <f t="shared" si="0"/>
        <v>41</v>
      </c>
      <c r="F9" s="144">
        <f t="shared" si="0"/>
        <v>14</v>
      </c>
      <c r="G9" s="144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119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6" t="str">
        <v>M2</v>
      </c>
      <c r="AD9" s="144">
        <v>4</v>
      </c>
      <c r="AE9" s="144">
        <v>18</v>
      </c>
      <c r="AF9" s="144">
        <v>4</v>
      </c>
      <c r="AG9" s="144">
        <v>20</v>
      </c>
      <c r="AH9" s="144">
        <v>22</v>
      </c>
      <c r="AI9" s="5"/>
      <c r="AJ9" s="166" t="str">
        <v>M2</v>
      </c>
      <c r="AK9" s="144">
        <v>4</v>
      </c>
      <c r="AL9" s="144">
        <v>18</v>
      </c>
      <c r="AM9" s="144">
        <v>4</v>
      </c>
      <c r="AN9" s="144">
        <v>20</v>
      </c>
      <c r="AO9" s="144">
        <v>22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40</v>
      </c>
      <c r="D10" s="144">
        <f t="shared" si="0"/>
        <v>14</v>
      </c>
      <c r="E10" s="144">
        <f t="shared" si="0"/>
        <v>41</v>
      </c>
      <c r="F10" s="144">
        <f t="shared" si="0"/>
        <v>14</v>
      </c>
      <c r="G10" s="144">
        <f t="shared" si="0"/>
        <v>21</v>
      </c>
      <c r="H10" s="118">
        <v>6</v>
      </c>
      <c r="I10" s="87"/>
      <c r="J10" s="25">
        <v>6</v>
      </c>
      <c r="K10" s="16" t="s">
        <v>136</v>
      </c>
      <c r="L10" s="16" t="s">
        <v>136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6" t="str">
        <v>M3</v>
      </c>
      <c r="AD10" s="144">
        <v>4</v>
      </c>
      <c r="AE10" s="144">
        <v>18</v>
      </c>
      <c r="AF10" s="144">
        <v>4</v>
      </c>
      <c r="AG10" s="144">
        <v>20</v>
      </c>
      <c r="AH10" s="144">
        <v>21</v>
      </c>
      <c r="AI10" s="5"/>
      <c r="AJ10" s="166" t="str">
        <v>M3</v>
      </c>
      <c r="AK10" s="144">
        <v>4</v>
      </c>
      <c r="AL10" s="144">
        <v>18</v>
      </c>
      <c r="AM10" s="144">
        <v>4</v>
      </c>
      <c r="AN10" s="144">
        <v>20</v>
      </c>
      <c r="AO10" s="144">
        <v>21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13</v>
      </c>
      <c r="E11" s="144">
        <f t="shared" si="0"/>
        <v>41</v>
      </c>
      <c r="F11" s="144">
        <f t="shared" si="0"/>
        <v>14</v>
      </c>
      <c r="G11" s="144">
        <f t="shared" si="0"/>
        <v>21</v>
      </c>
      <c r="H11" s="118">
        <v>7</v>
      </c>
      <c r="I11" s="87"/>
      <c r="J11" s="9">
        <v>7</v>
      </c>
      <c r="K11" s="16" t="s">
        <v>136</v>
      </c>
      <c r="L11" s="16" t="s">
        <v>136</v>
      </c>
      <c r="M11" s="16" t="s">
        <v>37</v>
      </c>
      <c r="N11" s="16" t="s">
        <v>37</v>
      </c>
      <c r="O11" s="16" t="s">
        <v>136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6" t="str">
        <v>M4</v>
      </c>
      <c r="AD11" s="144">
        <v>40</v>
      </c>
      <c r="AE11" s="144">
        <v>14</v>
      </c>
      <c r="AF11" s="144">
        <v>41</v>
      </c>
      <c r="AG11" s="144">
        <v>14</v>
      </c>
      <c r="AH11" s="144">
        <v>21</v>
      </c>
      <c r="AI11" s="5"/>
      <c r="AJ11" s="166" t="str">
        <v>M4</v>
      </c>
      <c r="AK11" s="144">
        <v>40</v>
      </c>
      <c r="AL11" s="144">
        <v>14</v>
      </c>
      <c r="AM11" s="144">
        <v>41</v>
      </c>
      <c r="AN11" s="144">
        <v>14</v>
      </c>
      <c r="AO11" s="144">
        <v>21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13</v>
      </c>
      <c r="E12" s="144">
        <f t="shared" si="0"/>
        <v>41</v>
      </c>
      <c r="F12" s="144">
        <f t="shared" si="0"/>
        <v>14</v>
      </c>
      <c r="G12" s="144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137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6" t="str">
        <v>M5</v>
      </c>
      <c r="AD12" s="144">
        <v>40</v>
      </c>
      <c r="AE12" s="144">
        <v>14</v>
      </c>
      <c r="AF12" s="144">
        <v>41</v>
      </c>
      <c r="AG12" s="144">
        <v>14</v>
      </c>
      <c r="AH12" s="144">
        <v>21</v>
      </c>
      <c r="AI12" s="5"/>
      <c r="AJ12" s="166" t="str">
        <v>M5</v>
      </c>
      <c r="AK12" s="144">
        <v>40</v>
      </c>
      <c r="AL12" s="144">
        <v>14</v>
      </c>
      <c r="AM12" s="144">
        <v>41</v>
      </c>
      <c r="AN12" s="144">
        <v>14</v>
      </c>
      <c r="AO12" s="144">
        <v>21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17</v>
      </c>
      <c r="E13" s="144">
        <f t="shared" si="0"/>
        <v>3</v>
      </c>
      <c r="F13" s="144">
        <f t="shared" si="0"/>
        <v>21</v>
      </c>
      <c r="G13" s="144">
        <f t="shared" si="0"/>
        <v>21</v>
      </c>
      <c r="H13" s="118">
        <v>9</v>
      </c>
      <c r="I13" s="87"/>
      <c r="J13" s="9">
        <v>9</v>
      </c>
      <c r="K13" s="16" t="s">
        <v>136</v>
      </c>
      <c r="L13" s="16" t="s">
        <v>20</v>
      </c>
      <c r="M13" s="16" t="s">
        <v>37</v>
      </c>
      <c r="N13" s="16" t="s">
        <v>136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6" t="str">
        <v>A</v>
      </c>
      <c r="AD13" s="144">
        <v>47</v>
      </c>
      <c r="AE13" s="144">
        <v>13</v>
      </c>
      <c r="AF13" s="144">
        <v>41</v>
      </c>
      <c r="AG13" s="144">
        <v>14</v>
      </c>
      <c r="AH13" s="144">
        <v>21</v>
      </c>
      <c r="AI13" s="5"/>
      <c r="AJ13" s="166" t="str">
        <v>A</v>
      </c>
      <c r="AK13" s="144">
        <v>47</v>
      </c>
      <c r="AL13" s="144">
        <v>13</v>
      </c>
      <c r="AM13" s="144">
        <v>41</v>
      </c>
      <c r="AN13" s="144">
        <v>14</v>
      </c>
      <c r="AO13" s="144">
        <v>21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17</v>
      </c>
      <c r="E14" s="144">
        <f t="shared" si="0"/>
        <v>3</v>
      </c>
      <c r="F14" s="144">
        <f t="shared" si="0"/>
        <v>21</v>
      </c>
      <c r="G14" s="144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6" t="str">
        <v>K</v>
      </c>
      <c r="AD14" s="144">
        <v>47</v>
      </c>
      <c r="AE14" s="144">
        <v>13</v>
      </c>
      <c r="AF14" s="144">
        <v>41</v>
      </c>
      <c r="AG14" s="144">
        <v>14</v>
      </c>
      <c r="AH14" s="144">
        <v>21</v>
      </c>
      <c r="AI14" s="5"/>
      <c r="AJ14" s="166" t="str">
        <v>K</v>
      </c>
      <c r="AK14" s="144">
        <v>47</v>
      </c>
      <c r="AL14" s="144">
        <v>13</v>
      </c>
      <c r="AM14" s="144">
        <v>41</v>
      </c>
      <c r="AN14" s="144">
        <v>14</v>
      </c>
      <c r="AO14" s="144">
        <v>21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136</v>
      </c>
      <c r="L15" s="16" t="s">
        <v>97</v>
      </c>
      <c r="M15" s="16" t="s">
        <v>136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6" t="str">
        <v>Q</v>
      </c>
      <c r="AD15" s="144">
        <v>4</v>
      </c>
      <c r="AE15" s="144">
        <v>17</v>
      </c>
      <c r="AF15" s="144">
        <v>3</v>
      </c>
      <c r="AG15" s="144">
        <v>21</v>
      </c>
      <c r="AH15" s="144">
        <v>21</v>
      </c>
      <c r="AI15" s="5"/>
      <c r="AJ15" s="166" t="str">
        <v>Q</v>
      </c>
      <c r="AK15" s="144">
        <v>4</v>
      </c>
      <c r="AL15" s="144">
        <v>17</v>
      </c>
      <c r="AM15" s="144">
        <v>3</v>
      </c>
      <c r="AN15" s="144">
        <v>21</v>
      </c>
      <c r="AO15" s="144">
        <v>21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136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6" t="str">
        <v>J</v>
      </c>
      <c r="AD16" s="144">
        <v>4</v>
      </c>
      <c r="AE16" s="144">
        <v>17</v>
      </c>
      <c r="AF16" s="144">
        <v>3</v>
      </c>
      <c r="AG16" s="144">
        <v>21</v>
      </c>
      <c r="AH16" s="144">
        <v>21</v>
      </c>
      <c r="AI16" s="5"/>
      <c r="AJ16" s="166" t="str">
        <v>J</v>
      </c>
      <c r="AK16" s="144">
        <v>4</v>
      </c>
      <c r="AL16" s="144">
        <v>17</v>
      </c>
      <c r="AM16" s="144">
        <v>3</v>
      </c>
      <c r="AN16" s="144">
        <v>21</v>
      </c>
      <c r="AO16" s="144">
        <v>21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136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136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136</v>
      </c>
      <c r="M21" s="16" t="s">
        <v>36</v>
      </c>
      <c r="N21" s="16" t="s">
        <v>34</v>
      </c>
      <c r="O21" s="16" t="s">
        <v>136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136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136</v>
      </c>
      <c r="L23" s="16" t="s">
        <v>19</v>
      </c>
      <c r="M23" s="16" t="s">
        <v>136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119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119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60" cm="1">
        <f t="array" ref="C27:G46">C4:G23/C24:G24</f>
        <v>0</v>
      </c>
      <c r="D27" s="160">
        <v>0</v>
      </c>
      <c r="E27" s="160">
        <v>0</v>
      </c>
      <c r="F27" s="160">
        <v>0</v>
      </c>
      <c r="G27" s="160">
        <v>0</v>
      </c>
      <c r="H27" s="8" cm="1">
        <f t="array" ref="H27:H46">_xlfn.ANCHORARRAY(H4)</f>
        <v>0</v>
      </c>
      <c r="I27" s="87"/>
      <c r="J27" s="9">
        <v>23</v>
      </c>
      <c r="K27" s="16" t="s">
        <v>35</v>
      </c>
      <c r="L27" s="16" t="s">
        <v>18</v>
      </c>
      <c r="M27" s="16" t="s">
        <v>136</v>
      </c>
      <c r="N27" s="16" t="s">
        <v>20</v>
      </c>
      <c r="O27" s="16" t="s">
        <v>136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60">
        <v>0.03</v>
      </c>
      <c r="D28" s="160">
        <v>0.03</v>
      </c>
      <c r="E28" s="160">
        <v>0.03</v>
      </c>
      <c r="F28" s="160">
        <v>4.4999999999999998E-2</v>
      </c>
      <c r="G28" s="160">
        <v>4.4999999999999998E-2</v>
      </c>
      <c r="H28" s="8">
        <v>1</v>
      </c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143</v>
      </c>
      <c r="AH28" s="5"/>
      <c r="AI28" s="5"/>
      <c r="AJ28" s="27" t="s">
        <v>143</v>
      </c>
      <c r="AO28" s="5"/>
    </row>
    <row r="29" spans="1:41" ht="16.5" customHeight="1" x14ac:dyDescent="0.3">
      <c r="A29" s="29" t="str">
        <v>M1</v>
      </c>
      <c r="B29" s="8" t="str">
        <v>M1</v>
      </c>
      <c r="C29" s="160">
        <v>0.02</v>
      </c>
      <c r="D29" s="160">
        <v>8.5000000000000006E-2</v>
      </c>
      <c r="E29" s="160">
        <v>0.02</v>
      </c>
      <c r="F29" s="160">
        <v>0.105</v>
      </c>
      <c r="G29" s="160">
        <v>0.11</v>
      </c>
      <c r="H29" s="8">
        <v>2</v>
      </c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60">
        <v>0.02</v>
      </c>
      <c r="D30" s="160">
        <v>0.09</v>
      </c>
      <c r="E30" s="160">
        <v>0.02</v>
      </c>
      <c r="F30" s="160">
        <v>0.1</v>
      </c>
      <c r="G30" s="160">
        <v>0.11</v>
      </c>
      <c r="H30" s="8">
        <v>3</v>
      </c>
      <c r="I30" s="87"/>
      <c r="J30" s="25">
        <v>26</v>
      </c>
      <c r="K30" s="16" t="s">
        <v>37</v>
      </c>
      <c r="L30" s="16" t="s">
        <v>35</v>
      </c>
      <c r="M30" s="16" t="s">
        <v>136</v>
      </c>
      <c r="N30" s="16" t="s">
        <v>36</v>
      </c>
      <c r="O30" s="16" t="s">
        <v>136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60">
        <v>0.02</v>
      </c>
      <c r="D31" s="160">
        <v>0.09</v>
      </c>
      <c r="E31" s="160">
        <v>0.02</v>
      </c>
      <c r="F31" s="160">
        <v>0.1</v>
      </c>
      <c r="G31" s="160">
        <v>0.105</v>
      </c>
      <c r="H31" s="8">
        <v>4</v>
      </c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3</v>
      </c>
      <c r="AE31" s="149">
        <v>3</v>
      </c>
      <c r="AF31" s="149">
        <v>3</v>
      </c>
      <c r="AG31" s="149">
        <v>6</v>
      </c>
      <c r="AH31" s="149">
        <v>6</v>
      </c>
      <c r="AI31" s="5"/>
      <c r="AJ31" s="149" t="str">
        <v>C1</v>
      </c>
      <c r="AK31" s="149">
        <v>3</v>
      </c>
      <c r="AL31" s="149">
        <v>3</v>
      </c>
      <c r="AM31" s="149">
        <v>3</v>
      </c>
      <c r="AN31" s="149">
        <v>6</v>
      </c>
      <c r="AO31" s="149">
        <v>6</v>
      </c>
    </row>
    <row r="32" spans="1:41" ht="16.5" customHeight="1" x14ac:dyDescent="0.3">
      <c r="A32" s="29" t="str">
        <v>M4</v>
      </c>
      <c r="B32" s="8" t="str">
        <v>M4</v>
      </c>
      <c r="C32" s="160">
        <v>0.2</v>
      </c>
      <c r="D32" s="160">
        <v>7.0000000000000007E-2</v>
      </c>
      <c r="E32" s="160">
        <v>0.20499999999999999</v>
      </c>
      <c r="F32" s="160">
        <v>7.0000000000000007E-2</v>
      </c>
      <c r="G32" s="160">
        <v>0.105</v>
      </c>
      <c r="H32" s="8">
        <v>5</v>
      </c>
      <c r="J32" s="25">
        <v>28</v>
      </c>
      <c r="K32" s="16" t="s">
        <v>35</v>
      </c>
      <c r="L32" s="16" t="s">
        <v>91</v>
      </c>
      <c r="M32" s="16" t="s">
        <v>136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6" t="str">
        <v>M1</v>
      </c>
      <c r="AD32" s="144">
        <v>4</v>
      </c>
      <c r="AE32" s="144">
        <v>17</v>
      </c>
      <c r="AF32" s="144">
        <v>4</v>
      </c>
      <c r="AG32" s="144">
        <v>21</v>
      </c>
      <c r="AH32" s="144">
        <v>22</v>
      </c>
      <c r="AI32" s="5"/>
      <c r="AJ32" s="166" t="str">
        <v>M1</v>
      </c>
      <c r="AK32" s="144">
        <v>4</v>
      </c>
      <c r="AL32" s="144">
        <v>17</v>
      </c>
      <c r="AM32" s="144">
        <v>4</v>
      </c>
      <c r="AN32" s="144">
        <v>21</v>
      </c>
      <c r="AO32" s="144">
        <v>22</v>
      </c>
    </row>
    <row r="33" spans="1:41" ht="16.5" customHeight="1" x14ac:dyDescent="0.3">
      <c r="A33" s="29" t="str">
        <v>M5</v>
      </c>
      <c r="B33" s="8" t="str">
        <v>M5</v>
      </c>
      <c r="C33" s="160">
        <v>0.2</v>
      </c>
      <c r="D33" s="160">
        <v>7.0000000000000007E-2</v>
      </c>
      <c r="E33" s="160">
        <v>0.20499999999999999</v>
      </c>
      <c r="F33" s="160">
        <v>7.0000000000000007E-2</v>
      </c>
      <c r="G33" s="160">
        <v>0.105</v>
      </c>
      <c r="H33" s="8">
        <v>6</v>
      </c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6" t="str">
        <v>M2</v>
      </c>
      <c r="AD33" s="144">
        <v>4</v>
      </c>
      <c r="AE33" s="144">
        <v>18</v>
      </c>
      <c r="AF33" s="144">
        <v>4</v>
      </c>
      <c r="AG33" s="144">
        <v>20</v>
      </c>
      <c r="AH33" s="144">
        <v>22</v>
      </c>
      <c r="AI33" s="5"/>
      <c r="AJ33" s="166" t="str">
        <v>M2</v>
      </c>
      <c r="AK33" s="144">
        <v>4</v>
      </c>
      <c r="AL33" s="144">
        <v>18</v>
      </c>
      <c r="AM33" s="144">
        <v>4</v>
      </c>
      <c r="AN33" s="144">
        <v>20</v>
      </c>
      <c r="AO33" s="144">
        <v>22</v>
      </c>
    </row>
    <row r="34" spans="1:41" ht="16.5" customHeight="1" x14ac:dyDescent="0.3">
      <c r="A34" s="29" t="str">
        <v>A</v>
      </c>
      <c r="B34" s="8" t="str">
        <v>A</v>
      </c>
      <c r="C34" s="160">
        <v>0.23499999999999999</v>
      </c>
      <c r="D34" s="160">
        <v>6.5000000000000002E-2</v>
      </c>
      <c r="E34" s="160">
        <v>0.20499999999999999</v>
      </c>
      <c r="F34" s="160">
        <v>7.0000000000000007E-2</v>
      </c>
      <c r="G34" s="160">
        <v>0.105</v>
      </c>
      <c r="H34" s="8">
        <v>7</v>
      </c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6" t="str">
        <v>M3</v>
      </c>
      <c r="AD34" s="144">
        <v>4</v>
      </c>
      <c r="AE34" s="144">
        <v>18</v>
      </c>
      <c r="AF34" s="144">
        <v>4</v>
      </c>
      <c r="AG34" s="144">
        <v>20</v>
      </c>
      <c r="AH34" s="144">
        <v>21</v>
      </c>
      <c r="AI34" s="5"/>
      <c r="AJ34" s="166" t="str">
        <v>M3</v>
      </c>
      <c r="AK34" s="144">
        <v>4</v>
      </c>
      <c r="AL34" s="144">
        <v>18</v>
      </c>
      <c r="AM34" s="144">
        <v>4</v>
      </c>
      <c r="AN34" s="144">
        <v>20</v>
      </c>
      <c r="AO34" s="144">
        <v>21</v>
      </c>
    </row>
    <row r="35" spans="1:41" ht="16.5" customHeight="1" x14ac:dyDescent="0.3">
      <c r="A35" s="29" t="str">
        <v>K</v>
      </c>
      <c r="B35" s="8" t="str">
        <v>K</v>
      </c>
      <c r="C35" s="160">
        <v>0.23499999999999999</v>
      </c>
      <c r="D35" s="160">
        <v>6.5000000000000002E-2</v>
      </c>
      <c r="E35" s="160">
        <v>0.20499999999999999</v>
      </c>
      <c r="F35" s="160">
        <v>7.0000000000000007E-2</v>
      </c>
      <c r="G35" s="160">
        <v>0.105</v>
      </c>
      <c r="H35" s="8">
        <v>8</v>
      </c>
      <c r="J35" s="9">
        <v>31</v>
      </c>
      <c r="K35" s="16" t="s">
        <v>19</v>
      </c>
      <c r="L35" s="16" t="s">
        <v>36</v>
      </c>
      <c r="M35" s="16" t="s">
        <v>37</v>
      </c>
      <c r="N35" s="16" t="s">
        <v>136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6" t="str">
        <v>M4</v>
      </c>
      <c r="AD35" s="144">
        <v>40</v>
      </c>
      <c r="AE35" s="144">
        <v>14</v>
      </c>
      <c r="AF35" s="144">
        <v>41</v>
      </c>
      <c r="AG35" s="144">
        <v>14</v>
      </c>
      <c r="AH35" s="144">
        <v>21</v>
      </c>
      <c r="AI35" s="5"/>
      <c r="AJ35" s="166" t="str">
        <v>M4</v>
      </c>
      <c r="AK35" s="144">
        <v>40</v>
      </c>
      <c r="AL35" s="144">
        <v>14</v>
      </c>
      <c r="AM35" s="144">
        <v>41</v>
      </c>
      <c r="AN35" s="144">
        <v>14</v>
      </c>
      <c r="AO35" s="144">
        <v>21</v>
      </c>
    </row>
    <row r="36" spans="1:41" ht="16.5" customHeight="1" x14ac:dyDescent="0.3">
      <c r="A36" s="29" t="str">
        <v>Q</v>
      </c>
      <c r="B36" s="8" t="str">
        <v>Q</v>
      </c>
      <c r="C36" s="160">
        <v>0.02</v>
      </c>
      <c r="D36" s="160">
        <v>8.5000000000000006E-2</v>
      </c>
      <c r="E36" s="160">
        <v>1.4999999999999999E-2</v>
      </c>
      <c r="F36" s="160">
        <v>0.105</v>
      </c>
      <c r="G36" s="160">
        <v>0.105</v>
      </c>
      <c r="H36" s="8">
        <v>9</v>
      </c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136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6" t="str">
        <v>M5</v>
      </c>
      <c r="AD36" s="144">
        <v>40</v>
      </c>
      <c r="AE36" s="144">
        <v>14</v>
      </c>
      <c r="AF36" s="144">
        <v>41</v>
      </c>
      <c r="AG36" s="144">
        <v>14</v>
      </c>
      <c r="AH36" s="144">
        <v>21</v>
      </c>
      <c r="AI36" s="5"/>
      <c r="AJ36" s="166" t="str">
        <v>M5</v>
      </c>
      <c r="AK36" s="144">
        <v>40</v>
      </c>
      <c r="AL36" s="144">
        <v>14</v>
      </c>
      <c r="AM36" s="144">
        <v>41</v>
      </c>
      <c r="AN36" s="144">
        <v>14</v>
      </c>
      <c r="AO36" s="144">
        <v>21</v>
      </c>
    </row>
    <row r="37" spans="1:41" ht="16.5" customHeight="1" x14ac:dyDescent="0.3">
      <c r="A37" s="29" t="str">
        <v>J</v>
      </c>
      <c r="B37" s="8" t="str">
        <v>J</v>
      </c>
      <c r="C37" s="160">
        <v>0.02</v>
      </c>
      <c r="D37" s="160">
        <v>8.5000000000000006E-2</v>
      </c>
      <c r="E37" s="160">
        <v>1.4999999999999999E-2</v>
      </c>
      <c r="F37" s="160">
        <v>0.105</v>
      </c>
      <c r="G37" s="160">
        <v>0.105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6" t="str">
        <v>A</v>
      </c>
      <c r="AD37" s="144">
        <v>47</v>
      </c>
      <c r="AE37" s="144">
        <v>13</v>
      </c>
      <c r="AF37" s="144">
        <v>41</v>
      </c>
      <c r="AG37" s="144">
        <v>14</v>
      </c>
      <c r="AH37" s="144">
        <v>21</v>
      </c>
      <c r="AI37" s="5"/>
      <c r="AJ37" s="166" t="str">
        <v>A</v>
      </c>
      <c r="AK37" s="144">
        <v>47</v>
      </c>
      <c r="AL37" s="144">
        <v>13</v>
      </c>
      <c r="AM37" s="144">
        <v>41</v>
      </c>
      <c r="AN37" s="144">
        <v>14</v>
      </c>
      <c r="AO37" s="144">
        <v>21</v>
      </c>
    </row>
    <row r="38" spans="1:41" ht="16.5" customHeight="1" x14ac:dyDescent="0.3">
      <c r="A38" s="29" t="str">
        <v>G1</v>
      </c>
      <c r="B38" s="8" t="str">
        <v>Gold M1</v>
      </c>
      <c r="C38" s="160">
        <v>0</v>
      </c>
      <c r="D38" s="160">
        <v>3.5000000000000003E-2</v>
      </c>
      <c r="E38" s="160">
        <v>0</v>
      </c>
      <c r="F38" s="160">
        <v>0.02</v>
      </c>
      <c r="G38" s="160">
        <v>0</v>
      </c>
      <c r="H38" s="8">
        <v>11</v>
      </c>
      <c r="J38" s="25">
        <v>34</v>
      </c>
      <c r="K38" s="16" t="s">
        <v>136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6" t="str">
        <v>K</v>
      </c>
      <c r="AD38" s="144">
        <v>47</v>
      </c>
      <c r="AE38" s="144">
        <v>13</v>
      </c>
      <c r="AF38" s="144">
        <v>41</v>
      </c>
      <c r="AG38" s="144">
        <v>14</v>
      </c>
      <c r="AH38" s="144">
        <v>21</v>
      </c>
      <c r="AI38" s="5"/>
      <c r="AJ38" s="166" t="str">
        <v>K</v>
      </c>
      <c r="AK38" s="144">
        <v>47</v>
      </c>
      <c r="AL38" s="144">
        <v>13</v>
      </c>
      <c r="AM38" s="144">
        <v>41</v>
      </c>
      <c r="AN38" s="144">
        <v>14</v>
      </c>
      <c r="AO38" s="144">
        <v>21</v>
      </c>
    </row>
    <row r="39" spans="1:41" ht="16.5" customHeight="1" x14ac:dyDescent="0.3">
      <c r="A39" s="29" t="str">
        <v>G2</v>
      </c>
      <c r="B39" s="8" t="str">
        <v>Gold M2</v>
      </c>
      <c r="C39" s="160">
        <v>0</v>
      </c>
      <c r="D39" s="160">
        <v>3.5000000000000003E-2</v>
      </c>
      <c r="E39" s="160">
        <v>0</v>
      </c>
      <c r="F39" s="160">
        <v>0.02</v>
      </c>
      <c r="G39" s="160">
        <v>0</v>
      </c>
      <c r="H39" s="8">
        <v>12</v>
      </c>
      <c r="J39" s="9">
        <v>35</v>
      </c>
      <c r="K39" s="16" t="s">
        <v>136</v>
      </c>
      <c r="L39" s="16" t="s">
        <v>37</v>
      </c>
      <c r="M39" s="16" t="s">
        <v>136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6" t="str">
        <v>Q</v>
      </c>
      <c r="AD39" s="144">
        <v>4</v>
      </c>
      <c r="AE39" s="144">
        <v>17</v>
      </c>
      <c r="AF39" s="144">
        <v>3</v>
      </c>
      <c r="AG39" s="144">
        <v>21</v>
      </c>
      <c r="AH39" s="144">
        <v>21</v>
      </c>
      <c r="AI39" s="5"/>
      <c r="AJ39" s="166" t="str">
        <v>Q</v>
      </c>
      <c r="AK39" s="144">
        <v>4</v>
      </c>
      <c r="AL39" s="144">
        <v>17</v>
      </c>
      <c r="AM39" s="144">
        <v>3</v>
      </c>
      <c r="AN39" s="144">
        <v>21</v>
      </c>
      <c r="AO39" s="144">
        <v>21</v>
      </c>
    </row>
    <row r="40" spans="1:41" ht="16.5" customHeight="1" x14ac:dyDescent="0.3">
      <c r="A40" s="29" t="str">
        <v>G3</v>
      </c>
      <c r="B40" s="8" t="str">
        <v>Gold M3</v>
      </c>
      <c r="C40" s="160">
        <v>0</v>
      </c>
      <c r="D40" s="160">
        <v>3.5000000000000003E-2</v>
      </c>
      <c r="E40" s="160">
        <v>0</v>
      </c>
      <c r="F40" s="160">
        <v>0.02</v>
      </c>
      <c r="G40" s="160">
        <v>0</v>
      </c>
      <c r="H40" s="8">
        <v>13</v>
      </c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6" t="str">
        <v>J</v>
      </c>
      <c r="AD40" s="144">
        <v>4</v>
      </c>
      <c r="AE40" s="144">
        <v>17</v>
      </c>
      <c r="AF40" s="144">
        <v>3</v>
      </c>
      <c r="AG40" s="144">
        <v>21</v>
      </c>
      <c r="AH40" s="144">
        <v>21</v>
      </c>
      <c r="AI40" s="5"/>
      <c r="AJ40" s="166" t="str">
        <v>J</v>
      </c>
      <c r="AK40" s="144">
        <v>4</v>
      </c>
      <c r="AL40" s="144">
        <v>17</v>
      </c>
      <c r="AM40" s="144">
        <v>3</v>
      </c>
      <c r="AN40" s="144">
        <v>21</v>
      </c>
      <c r="AO40" s="144">
        <v>21</v>
      </c>
    </row>
    <row r="41" spans="1:41" ht="16.5" customHeight="1" x14ac:dyDescent="0.3">
      <c r="A41" s="29" t="str">
        <v>G4</v>
      </c>
      <c r="B41" s="8" t="str">
        <v>Gold M4</v>
      </c>
      <c r="C41" s="160">
        <v>0</v>
      </c>
      <c r="D41" s="160">
        <v>0.02</v>
      </c>
      <c r="E41" s="160">
        <v>1.4999999999999999E-2</v>
      </c>
      <c r="F41" s="160">
        <v>1.4999999999999999E-2</v>
      </c>
      <c r="G41" s="160">
        <v>0</v>
      </c>
      <c r="H41" s="8">
        <v>14</v>
      </c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60">
        <v>0</v>
      </c>
      <c r="D42" s="160">
        <v>0.02</v>
      </c>
      <c r="E42" s="160">
        <v>1.4999999999999999E-2</v>
      </c>
      <c r="F42" s="160">
        <v>1.4999999999999999E-2</v>
      </c>
      <c r="G42" s="160">
        <v>0</v>
      </c>
      <c r="H42" s="8">
        <v>15</v>
      </c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136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60">
        <v>0</v>
      </c>
      <c r="D43" s="160">
        <v>0.02</v>
      </c>
      <c r="E43" s="160">
        <v>1.4999999999999999E-2</v>
      </c>
      <c r="F43" s="160">
        <v>1.4999999999999999E-2</v>
      </c>
      <c r="G43" s="160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37</v>
      </c>
      <c r="N43" s="16" t="s">
        <v>136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60">
        <v>0</v>
      </c>
      <c r="D44" s="160">
        <v>0.02</v>
      </c>
      <c r="E44" s="160">
        <v>1.4999999999999999E-2</v>
      </c>
      <c r="F44" s="160">
        <v>1.4999999999999999E-2</v>
      </c>
      <c r="G44" s="160">
        <v>0</v>
      </c>
      <c r="H44" s="8">
        <v>17</v>
      </c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119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60">
        <v>0</v>
      </c>
      <c r="D45" s="160">
        <v>0.04</v>
      </c>
      <c r="E45" s="160">
        <v>0</v>
      </c>
      <c r="F45" s="160">
        <v>0.02</v>
      </c>
      <c r="G45" s="160">
        <v>0</v>
      </c>
      <c r="H45" s="8">
        <v>18</v>
      </c>
      <c r="J45" s="9">
        <v>41</v>
      </c>
      <c r="K45" s="16" t="s">
        <v>136</v>
      </c>
      <c r="L45" s="16" t="s">
        <v>36</v>
      </c>
      <c r="M45" s="16" t="s">
        <v>136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60">
        <v>0</v>
      </c>
      <c r="D46" s="160">
        <v>0.04</v>
      </c>
      <c r="E46" s="160">
        <v>0</v>
      </c>
      <c r="F46" s="160">
        <v>0.02</v>
      </c>
      <c r="G46" s="160">
        <v>0</v>
      </c>
      <c r="H46" s="8">
        <v>19</v>
      </c>
      <c r="J46" s="25">
        <v>42</v>
      </c>
      <c r="K46" s="16" t="s">
        <v>136</v>
      </c>
      <c r="L46" s="16" t="s">
        <v>136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136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136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141</v>
      </c>
      <c r="AH52" s="5"/>
      <c r="AI52" s="5"/>
      <c r="AJ52" s="27" t="s">
        <v>141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136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3</v>
      </c>
      <c r="AH55" s="149">
        <v>3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3</v>
      </c>
      <c r="AO55" s="149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6" t="str">
        <v>M1</v>
      </c>
      <c r="AD56" s="144">
        <v>4</v>
      </c>
      <c r="AE56" s="144">
        <v>17</v>
      </c>
      <c r="AF56" s="144">
        <v>4</v>
      </c>
      <c r="AG56" s="144">
        <v>21</v>
      </c>
      <c r="AH56" s="144">
        <v>22</v>
      </c>
      <c r="AI56" s="5"/>
      <c r="AJ56" s="166" t="str">
        <v>M1</v>
      </c>
      <c r="AK56" s="144">
        <v>4</v>
      </c>
      <c r="AL56" s="144">
        <v>17</v>
      </c>
      <c r="AM56" s="144">
        <v>4</v>
      </c>
      <c r="AN56" s="144">
        <v>21</v>
      </c>
      <c r="AO56" s="144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136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6" t="str">
        <v>M2</v>
      </c>
      <c r="AD57" s="144">
        <v>4</v>
      </c>
      <c r="AE57" s="144">
        <v>18</v>
      </c>
      <c r="AF57" s="144">
        <v>4</v>
      </c>
      <c r="AG57" s="144">
        <v>20</v>
      </c>
      <c r="AH57" s="144">
        <v>22</v>
      </c>
      <c r="AI57" s="5"/>
      <c r="AJ57" s="166" t="str">
        <v>M2</v>
      </c>
      <c r="AK57" s="144">
        <v>4</v>
      </c>
      <c r="AL57" s="144">
        <v>18</v>
      </c>
      <c r="AM57" s="144">
        <v>4</v>
      </c>
      <c r="AN57" s="144">
        <v>20</v>
      </c>
      <c r="AO57" s="144">
        <v>22</v>
      </c>
    </row>
    <row r="58" spans="10:41" ht="16.5" customHeight="1" x14ac:dyDescent="0.3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6" t="str">
        <v>M3</v>
      </c>
      <c r="AD58" s="144">
        <v>4</v>
      </c>
      <c r="AE58" s="144">
        <v>18</v>
      </c>
      <c r="AF58" s="144">
        <v>4</v>
      </c>
      <c r="AG58" s="144">
        <v>20</v>
      </c>
      <c r="AH58" s="144">
        <v>21</v>
      </c>
      <c r="AI58" s="5"/>
      <c r="AJ58" s="166" t="str">
        <v>M3</v>
      </c>
      <c r="AK58" s="144">
        <v>4</v>
      </c>
      <c r="AL58" s="144">
        <v>18</v>
      </c>
      <c r="AM58" s="144">
        <v>4</v>
      </c>
      <c r="AN58" s="144">
        <v>20</v>
      </c>
      <c r="AO58" s="144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6" t="str">
        <v>M4</v>
      </c>
      <c r="AD59" s="144">
        <v>40</v>
      </c>
      <c r="AE59" s="144">
        <v>14</v>
      </c>
      <c r="AF59" s="144">
        <v>41</v>
      </c>
      <c r="AG59" s="144">
        <v>14</v>
      </c>
      <c r="AH59" s="144">
        <v>21</v>
      </c>
      <c r="AI59" s="5"/>
      <c r="AJ59" s="166" t="str">
        <v>M4</v>
      </c>
      <c r="AK59" s="144">
        <v>40</v>
      </c>
      <c r="AL59" s="144">
        <v>14</v>
      </c>
      <c r="AM59" s="144">
        <v>41</v>
      </c>
      <c r="AN59" s="144">
        <v>14</v>
      </c>
      <c r="AO59" s="144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6" t="str">
        <v>M5</v>
      </c>
      <c r="AD60" s="144">
        <v>40</v>
      </c>
      <c r="AE60" s="144">
        <v>14</v>
      </c>
      <c r="AF60" s="144">
        <v>41</v>
      </c>
      <c r="AG60" s="144">
        <v>14</v>
      </c>
      <c r="AH60" s="144">
        <v>21</v>
      </c>
      <c r="AI60" s="5"/>
      <c r="AJ60" s="166" t="str">
        <v>M5</v>
      </c>
      <c r="AK60" s="144">
        <v>40</v>
      </c>
      <c r="AL60" s="144">
        <v>14</v>
      </c>
      <c r="AM60" s="144">
        <v>41</v>
      </c>
      <c r="AN60" s="144">
        <v>14</v>
      </c>
      <c r="AO60" s="144">
        <v>21</v>
      </c>
    </row>
    <row r="61" spans="10:41" x14ac:dyDescent="0.3">
      <c r="J61" s="9">
        <v>57</v>
      </c>
      <c r="K61" s="16" t="s">
        <v>136</v>
      </c>
      <c r="L61" s="16" t="s">
        <v>91</v>
      </c>
      <c r="M61" s="16" t="s">
        <v>136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6" t="str">
        <v>A</v>
      </c>
      <c r="AD61" s="144">
        <v>47</v>
      </c>
      <c r="AE61" s="144">
        <v>13</v>
      </c>
      <c r="AF61" s="144">
        <v>41</v>
      </c>
      <c r="AG61" s="144">
        <v>14</v>
      </c>
      <c r="AH61" s="144">
        <v>21</v>
      </c>
      <c r="AI61" s="5"/>
      <c r="AJ61" s="166" t="str">
        <v>A</v>
      </c>
      <c r="AK61" s="144">
        <v>47</v>
      </c>
      <c r="AL61" s="144">
        <v>13</v>
      </c>
      <c r="AM61" s="144">
        <v>41</v>
      </c>
      <c r="AN61" s="144">
        <v>14</v>
      </c>
      <c r="AO61" s="144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136</v>
      </c>
      <c r="N62" s="16" t="s">
        <v>119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6" t="str">
        <v>K</v>
      </c>
      <c r="AD62" s="144">
        <v>47</v>
      </c>
      <c r="AE62" s="144">
        <v>13</v>
      </c>
      <c r="AF62" s="144">
        <v>41</v>
      </c>
      <c r="AG62" s="144">
        <v>14</v>
      </c>
      <c r="AH62" s="144">
        <v>21</v>
      </c>
      <c r="AI62" s="5"/>
      <c r="AJ62" s="166" t="str">
        <v>K</v>
      </c>
      <c r="AK62" s="144">
        <v>47</v>
      </c>
      <c r="AL62" s="144">
        <v>13</v>
      </c>
      <c r="AM62" s="144">
        <v>41</v>
      </c>
      <c r="AN62" s="144">
        <v>14</v>
      </c>
      <c r="AO62" s="144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6" t="str">
        <v>Q</v>
      </c>
      <c r="AD63" s="144">
        <v>4</v>
      </c>
      <c r="AE63" s="144">
        <v>17</v>
      </c>
      <c r="AF63" s="144">
        <v>3</v>
      </c>
      <c r="AG63" s="144">
        <v>21</v>
      </c>
      <c r="AH63" s="144">
        <v>21</v>
      </c>
      <c r="AI63" s="5"/>
      <c r="AJ63" s="166" t="str">
        <v>Q</v>
      </c>
      <c r="AK63" s="144">
        <v>4</v>
      </c>
      <c r="AL63" s="144">
        <v>17</v>
      </c>
      <c r="AM63" s="144">
        <v>3</v>
      </c>
      <c r="AN63" s="144">
        <v>21</v>
      </c>
      <c r="AO63" s="144">
        <v>21</v>
      </c>
    </row>
    <row r="64" spans="10:41" ht="16.5" customHeight="1" x14ac:dyDescent="0.3">
      <c r="J64" s="25">
        <v>60</v>
      </c>
      <c r="K64" s="16" t="s">
        <v>136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6" t="str">
        <v>J</v>
      </c>
      <c r="AD64" s="144">
        <v>4</v>
      </c>
      <c r="AE64" s="144">
        <v>17</v>
      </c>
      <c r="AF64" s="144">
        <v>3</v>
      </c>
      <c r="AG64" s="144">
        <v>21</v>
      </c>
      <c r="AH64" s="144">
        <v>21</v>
      </c>
      <c r="AI64" s="5"/>
      <c r="AJ64" s="166" t="str">
        <v>J</v>
      </c>
      <c r="AK64" s="144">
        <v>4</v>
      </c>
      <c r="AL64" s="144">
        <v>17</v>
      </c>
      <c r="AM64" s="144">
        <v>3</v>
      </c>
      <c r="AN64" s="144">
        <v>21</v>
      </c>
      <c r="AO64" s="144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136</v>
      </c>
      <c r="N67" s="16" t="s">
        <v>137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136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136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35</v>
      </c>
      <c r="M70" s="16" t="s">
        <v>137</v>
      </c>
      <c r="N70" s="16" t="s">
        <v>36</v>
      </c>
      <c r="O70" s="16" t="s">
        <v>136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136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136</v>
      </c>
      <c r="L72" s="16" t="s">
        <v>20</v>
      </c>
      <c r="M72" s="16" t="s">
        <v>35</v>
      </c>
      <c r="N72" s="16" t="s">
        <v>36</v>
      </c>
      <c r="O72" s="16" t="s">
        <v>136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97</v>
      </c>
      <c r="M73" s="16" t="s">
        <v>136</v>
      </c>
      <c r="N73" s="16" t="s">
        <v>136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136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136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136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136</v>
      </c>
      <c r="L83" s="16" t="s">
        <v>36</v>
      </c>
      <c r="M83" s="16" t="s">
        <v>136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119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136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136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136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136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136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119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136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21</v>
      </c>
      <c r="L103" s="16" t="s">
        <v>137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136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136</v>
      </c>
      <c r="M106" s="16" t="s">
        <v>136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136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136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137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136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136</v>
      </c>
      <c r="L114" s="16" t="s">
        <v>119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136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136</v>
      </c>
      <c r="L117" s="16" t="s">
        <v>34</v>
      </c>
      <c r="M117" s="16" t="s">
        <v>119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136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136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136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136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136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136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136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136</v>
      </c>
      <c r="L132" s="16" t="s">
        <v>97</v>
      </c>
      <c r="M132" s="16" t="s">
        <v>37</v>
      </c>
      <c r="N132" s="16" t="s">
        <v>136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136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136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37</v>
      </c>
      <c r="M141" s="16" t="s">
        <v>136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119</v>
      </c>
      <c r="N142" s="16" t="s">
        <v>136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136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136</v>
      </c>
      <c r="L146" s="16" t="s">
        <v>136</v>
      </c>
      <c r="M146" s="16" t="s">
        <v>19</v>
      </c>
      <c r="N146" s="16" t="s">
        <v>19</v>
      </c>
      <c r="O146" s="16" t="s">
        <v>136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136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136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136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136</v>
      </c>
      <c r="L151" s="16" t="s">
        <v>97</v>
      </c>
      <c r="M151" s="16" t="s">
        <v>136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136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136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136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136</v>
      </c>
      <c r="L157" s="16" t="s">
        <v>21</v>
      </c>
      <c r="M157" s="16" t="s">
        <v>19</v>
      </c>
      <c r="N157" s="16" t="s">
        <v>92</v>
      </c>
      <c r="O157" s="16" t="s">
        <v>136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136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136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34</v>
      </c>
      <c r="L162" s="16" t="s">
        <v>36</v>
      </c>
      <c r="M162" s="16" t="s">
        <v>136</v>
      </c>
      <c r="N162" s="16" t="s">
        <v>34</v>
      </c>
      <c r="O162" s="16" t="s">
        <v>136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18</v>
      </c>
      <c r="M163" s="16" t="s">
        <v>136</v>
      </c>
      <c r="N163" s="16" t="s">
        <v>34</v>
      </c>
      <c r="O163" s="16" t="s">
        <v>136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136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136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136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136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22</v>
      </c>
      <c r="M172" s="16" t="s">
        <v>136</v>
      </c>
      <c r="N172" s="16" t="s">
        <v>136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136</v>
      </c>
      <c r="L174" s="16" t="s">
        <v>37</v>
      </c>
      <c r="M174" s="16" t="s">
        <v>20</v>
      </c>
      <c r="N174" s="16" t="s">
        <v>136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136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136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136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136</v>
      </c>
      <c r="N183" s="16" t="s">
        <v>35</v>
      </c>
      <c r="O183" s="16" t="s">
        <v>136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137</v>
      </c>
      <c r="M184" s="16" t="s">
        <v>136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136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137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136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136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18</v>
      </c>
      <c r="M194" s="16" t="s">
        <v>136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136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136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136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136</v>
      </c>
      <c r="N201" s="16" t="s">
        <v>34</v>
      </c>
      <c r="O201" s="16" t="s">
        <v>136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136</v>
      </c>
      <c r="L202" s="16" t="s">
        <v>19</v>
      </c>
      <c r="M202" s="16" t="s">
        <v>35</v>
      </c>
      <c r="N202" s="16" t="s">
        <v>137</v>
      </c>
      <c r="O202" s="16" t="s">
        <v>136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9" priority="14">
      <formula>_xlfn.LET(_xlpm.x, W4, AND(NOT(_xlfn.ISFORMULA(_xlpm.x)), _xlpm.x&lt;&gt;""))</formula>
    </cfRule>
  </conditionalFormatting>
  <conditionalFormatting sqref="W4:AA203">
    <cfRule type="expression" dxfId="28" priority="9">
      <formula>_xlfn.LET(_xlpm.x, W4, AND(NOT(_xlfn.ISFORMULA(_xlpm.x)), _xlpm.x&lt;&gt;""))</formula>
    </cfRule>
  </conditionalFormatting>
  <conditionalFormatting sqref="C27:G46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{52DE76E7-AD0C-48F3-86B5-EBD9CCB16979}</x14:id>
        </ext>
      </extLst>
    </cfRule>
  </conditionalFormatting>
  <conditionalFormatting sqref="K1:O1048576">
    <cfRule type="cellIs" dxfId="27" priority="1" operator="equal">
      <formula>"C1"</formula>
    </cfRule>
    <cfRule type="cellIs" dxfId="26" priority="2" operator="between">
      <formula>"G1"</formula>
      <formula>"G5"</formula>
    </cfRule>
    <cfRule type="cellIs" dxfId="25" priority="3" operator="between">
      <formula>"GA"</formula>
      <formula>"GJ"</formula>
    </cfRule>
    <cfRule type="cellIs" dxfId="2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DE76E7-AD0C-48F3-86B5-EBD9CCB169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144</v>
      </c>
      <c r="Q2" s="27" t="s">
        <v>145</v>
      </c>
      <c r="W2" s="27" t="s">
        <v>146</v>
      </c>
      <c r="AC2" s="27" t="s">
        <v>158</v>
      </c>
      <c r="AH2" s="5"/>
      <c r="AI2" s="5"/>
      <c r="AJ2" s="27" t="s">
        <v>110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136</v>
      </c>
      <c r="M4" s="26" t="s">
        <v>91</v>
      </c>
      <c r="N4" s="26" t="s">
        <v>119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142</v>
      </c>
      <c r="AH4" s="5"/>
      <c r="AI4" s="5"/>
      <c r="AJ4" s="27" t="s">
        <v>142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2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137</v>
      </c>
      <c r="M5" s="16" t="s">
        <v>137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136</v>
      </c>
      <c r="L6" s="16" t="s">
        <v>19</v>
      </c>
      <c r="M6" s="16" t="s">
        <v>119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136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6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6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22</v>
      </c>
      <c r="E9" s="144">
        <f t="shared" si="0"/>
        <v>0</v>
      </c>
      <c r="F9" s="144">
        <f t="shared" si="0"/>
        <v>31</v>
      </c>
      <c r="G9" s="144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119</v>
      </c>
      <c r="N9" s="16" t="s">
        <v>35</v>
      </c>
      <c r="O9" s="16" t="s">
        <v>136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6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6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22</v>
      </c>
      <c r="E10" s="144">
        <f t="shared" si="0"/>
        <v>0</v>
      </c>
      <c r="F10" s="144">
        <f t="shared" si="0"/>
        <v>27</v>
      </c>
      <c r="G10" s="144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6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6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31</v>
      </c>
      <c r="G11" s="144">
        <f t="shared" si="0"/>
        <v>35</v>
      </c>
      <c r="H11" s="118">
        <v>7</v>
      </c>
      <c r="I11" s="87"/>
      <c r="J11" s="9">
        <v>7</v>
      </c>
      <c r="K11" s="16" t="s">
        <v>136</v>
      </c>
      <c r="L11" s="16" t="s">
        <v>95</v>
      </c>
      <c r="M11" s="16" t="s">
        <v>119</v>
      </c>
      <c r="N11" s="16" t="s">
        <v>119</v>
      </c>
      <c r="O11" s="16" t="s">
        <v>136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6" t="str">
        <v>M4</v>
      </c>
      <c r="AD11" s="144">
        <v>43</v>
      </c>
      <c r="AE11" s="144">
        <v>22</v>
      </c>
      <c r="AF11" s="144">
        <v>0</v>
      </c>
      <c r="AG11" s="144">
        <v>31</v>
      </c>
      <c r="AH11" s="144">
        <v>36</v>
      </c>
      <c r="AI11" s="5"/>
      <c r="AJ11" s="166" t="str">
        <v>M4</v>
      </c>
      <c r="AK11" s="144">
        <v>43</v>
      </c>
      <c r="AL11" s="144">
        <v>22</v>
      </c>
      <c r="AM11" s="144">
        <v>0</v>
      </c>
      <c r="AN11" s="144">
        <v>31</v>
      </c>
      <c r="AO11" s="144">
        <v>36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24</v>
      </c>
      <c r="E12" s="144">
        <f t="shared" si="0"/>
        <v>0</v>
      </c>
      <c r="F12" s="144">
        <f t="shared" si="0"/>
        <v>32</v>
      </c>
      <c r="G12" s="144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6" t="str">
        <v>M5</v>
      </c>
      <c r="AD12" s="144">
        <v>42</v>
      </c>
      <c r="AE12" s="144">
        <v>22</v>
      </c>
      <c r="AF12" s="144">
        <v>0</v>
      </c>
      <c r="AG12" s="144">
        <v>27</v>
      </c>
      <c r="AH12" s="144">
        <v>34</v>
      </c>
      <c r="AI12" s="5"/>
      <c r="AJ12" s="166" t="str">
        <v>M5</v>
      </c>
      <c r="AK12" s="144">
        <v>42</v>
      </c>
      <c r="AL12" s="144">
        <v>22</v>
      </c>
      <c r="AM12" s="144">
        <v>0</v>
      </c>
      <c r="AN12" s="144">
        <v>27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137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6" t="str">
        <v>A</v>
      </c>
      <c r="AD13" s="144">
        <v>43</v>
      </c>
      <c r="AE13" s="144">
        <v>27</v>
      </c>
      <c r="AF13" s="144">
        <v>0</v>
      </c>
      <c r="AG13" s="144">
        <v>31</v>
      </c>
      <c r="AH13" s="144">
        <v>35</v>
      </c>
      <c r="AI13" s="5"/>
      <c r="AJ13" s="166" t="str">
        <v>A</v>
      </c>
      <c r="AK13" s="144">
        <v>43</v>
      </c>
      <c r="AL13" s="144">
        <v>27</v>
      </c>
      <c r="AM13" s="144">
        <v>0</v>
      </c>
      <c r="AN13" s="144">
        <v>31</v>
      </c>
      <c r="AO13" s="144">
        <v>35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7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6" t="str">
        <v>K</v>
      </c>
      <c r="AD14" s="144">
        <v>43</v>
      </c>
      <c r="AE14" s="144">
        <v>24</v>
      </c>
      <c r="AF14" s="144">
        <v>0</v>
      </c>
      <c r="AG14" s="144">
        <v>32</v>
      </c>
      <c r="AH14" s="144">
        <v>34</v>
      </c>
      <c r="AI14" s="5"/>
      <c r="AJ14" s="166" t="str">
        <v>K</v>
      </c>
      <c r="AK14" s="144">
        <v>43</v>
      </c>
      <c r="AL14" s="144">
        <v>24</v>
      </c>
      <c r="AM14" s="144">
        <v>0</v>
      </c>
      <c r="AN14" s="144">
        <v>32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136</v>
      </c>
      <c r="L15" s="16" t="s">
        <v>119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6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6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136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6" t="str">
        <v>J</v>
      </c>
      <c r="AD16" s="144">
        <v>7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6" t="str">
        <v>J</v>
      </c>
      <c r="AK16" s="144">
        <v>7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136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136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136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136</v>
      </c>
      <c r="M21" s="16" t="s">
        <v>92</v>
      </c>
      <c r="N21" s="16" t="s">
        <v>137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119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136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37</v>
      </c>
      <c r="M25" s="16" t="s">
        <v>119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136</v>
      </c>
      <c r="L26" s="16" t="s">
        <v>136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199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199</v>
      </c>
      <c r="AN26" s="119">
        <f>SUM(AN6:AN25)</f>
        <v>198</v>
      </c>
      <c r="AO26" s="119">
        <f>SUM(AO6:AO25)</f>
        <v>198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37</v>
      </c>
      <c r="L27" s="16" t="s">
        <v>34</v>
      </c>
      <c r="M27" s="16" t="s">
        <v>119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0.01</v>
      </c>
      <c r="D28" s="143">
        <v>0.01</v>
      </c>
      <c r="E28" s="143">
        <v>0.01</v>
      </c>
      <c r="F28" s="143">
        <v>1.4999999999999999E-2</v>
      </c>
      <c r="G28" s="143">
        <v>1.4999999999999999E-2</v>
      </c>
      <c r="H28" s="8">
        <v>1</v>
      </c>
      <c r="I28" s="87"/>
      <c r="J28" s="25">
        <v>24</v>
      </c>
      <c r="K28" s="16" t="s">
        <v>136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143</v>
      </c>
      <c r="AH28" s="5"/>
      <c r="AI28" s="5"/>
      <c r="AJ28" s="27" t="s">
        <v>143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136</v>
      </c>
      <c r="L31" s="16" t="s">
        <v>22</v>
      </c>
      <c r="M31" s="16" t="s">
        <v>119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</v>
      </c>
      <c r="E32" s="143">
        <v>0</v>
      </c>
      <c r="F32" s="143">
        <v>0.155</v>
      </c>
      <c r="G32" s="143">
        <v>0.18</v>
      </c>
      <c r="H32" s="8">
        <v>5</v>
      </c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136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6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6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</v>
      </c>
      <c r="E33" s="143">
        <v>0</v>
      </c>
      <c r="F33" s="143">
        <v>0.13500000000000001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35</v>
      </c>
      <c r="M33" s="16" t="s">
        <v>119</v>
      </c>
      <c r="N33" s="16" t="s">
        <v>137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6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6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0.155</v>
      </c>
      <c r="G34" s="143">
        <v>0.17499999999999999</v>
      </c>
      <c r="H34" s="8">
        <v>7</v>
      </c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6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6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</v>
      </c>
      <c r="E35" s="143">
        <v>0</v>
      </c>
      <c r="F35" s="143">
        <v>0.16</v>
      </c>
      <c r="G35" s="143">
        <v>0.17</v>
      </c>
      <c r="H35" s="8">
        <v>8</v>
      </c>
      <c r="J35" s="9">
        <v>31</v>
      </c>
      <c r="K35" s="16" t="s">
        <v>19</v>
      </c>
      <c r="L35" s="16" t="s">
        <v>136</v>
      </c>
      <c r="M35" s="16" t="s">
        <v>119</v>
      </c>
      <c r="N35" s="16" t="s">
        <v>136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6" t="str">
        <v>M4</v>
      </c>
      <c r="AD35" s="144">
        <v>43</v>
      </c>
      <c r="AE35" s="144">
        <v>22</v>
      </c>
      <c r="AF35" s="144">
        <v>0</v>
      </c>
      <c r="AG35" s="144">
        <v>31</v>
      </c>
      <c r="AH35" s="144">
        <v>36</v>
      </c>
      <c r="AI35" s="5"/>
      <c r="AJ35" s="166" t="str">
        <v>M4</v>
      </c>
      <c r="AK35" s="144">
        <v>43</v>
      </c>
      <c r="AL35" s="144">
        <v>22</v>
      </c>
      <c r="AM35" s="144">
        <v>0</v>
      </c>
      <c r="AN35" s="144">
        <v>31</v>
      </c>
      <c r="AO35" s="144">
        <v>36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136</v>
      </c>
      <c r="L36" s="16" t="s">
        <v>18</v>
      </c>
      <c r="M36" s="16" t="s">
        <v>90</v>
      </c>
      <c r="N36" s="16" t="s">
        <v>137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6" t="str">
        <v>M5</v>
      </c>
      <c r="AD36" s="144">
        <v>42</v>
      </c>
      <c r="AE36" s="144">
        <v>22</v>
      </c>
      <c r="AF36" s="144">
        <v>0</v>
      </c>
      <c r="AG36" s="144">
        <v>27</v>
      </c>
      <c r="AH36" s="144">
        <v>34</v>
      </c>
      <c r="AI36" s="5"/>
      <c r="AJ36" s="166" t="str">
        <v>M5</v>
      </c>
      <c r="AK36" s="144">
        <v>42</v>
      </c>
      <c r="AL36" s="144">
        <v>22</v>
      </c>
      <c r="AM36" s="144">
        <v>0</v>
      </c>
      <c r="AN36" s="144">
        <v>27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3.5000000000000003E-2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6" t="str">
        <v>A</v>
      </c>
      <c r="AD37" s="144">
        <v>43</v>
      </c>
      <c r="AE37" s="144">
        <v>27</v>
      </c>
      <c r="AF37" s="144">
        <v>0</v>
      </c>
      <c r="AG37" s="144">
        <v>31</v>
      </c>
      <c r="AH37" s="144">
        <v>35</v>
      </c>
      <c r="AI37" s="5"/>
      <c r="AJ37" s="166" t="str">
        <v>A</v>
      </c>
      <c r="AK37" s="144">
        <v>43</v>
      </c>
      <c r="AL37" s="144">
        <v>27</v>
      </c>
      <c r="AM37" s="144">
        <v>0</v>
      </c>
      <c r="AN37" s="144">
        <v>31</v>
      </c>
      <c r="AO37" s="144">
        <v>35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119</v>
      </c>
      <c r="O38" s="16" t="s">
        <v>136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6" t="str">
        <v>K</v>
      </c>
      <c r="AD38" s="144">
        <v>43</v>
      </c>
      <c r="AE38" s="144">
        <v>24</v>
      </c>
      <c r="AF38" s="144">
        <v>0</v>
      </c>
      <c r="AG38" s="144">
        <v>32</v>
      </c>
      <c r="AH38" s="144">
        <v>34</v>
      </c>
      <c r="AI38" s="5"/>
      <c r="AJ38" s="166" t="str">
        <v>K</v>
      </c>
      <c r="AK38" s="144">
        <v>43</v>
      </c>
      <c r="AL38" s="144">
        <v>24</v>
      </c>
      <c r="AM38" s="144">
        <v>0</v>
      </c>
      <c r="AN38" s="144">
        <v>32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136</v>
      </c>
      <c r="L39" s="16" t="s">
        <v>18</v>
      </c>
      <c r="M39" s="16" t="s">
        <v>137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6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6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6" t="str">
        <v>J</v>
      </c>
      <c r="AD40" s="144">
        <v>7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6" t="str">
        <v>J</v>
      </c>
      <c r="AK40" s="144">
        <v>7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0.04</v>
      </c>
      <c r="E41" s="143">
        <v>0.215</v>
      </c>
      <c r="F41" s="143">
        <v>5.5E-2</v>
      </c>
      <c r="G41" s="143">
        <v>0</v>
      </c>
      <c r="H41" s="8">
        <v>14</v>
      </c>
      <c r="J41" s="9">
        <v>37</v>
      </c>
      <c r="K41" s="16" t="s">
        <v>136</v>
      </c>
      <c r="L41" s="16" t="s">
        <v>136</v>
      </c>
      <c r="M41" s="16" t="s">
        <v>97</v>
      </c>
      <c r="N41" s="16" t="s">
        <v>88</v>
      </c>
      <c r="O41" s="16" t="s">
        <v>136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0.04</v>
      </c>
      <c r="E42" s="143">
        <v>0.21</v>
      </c>
      <c r="F42" s="143">
        <v>0.06</v>
      </c>
      <c r="G42" s="143">
        <v>0</v>
      </c>
      <c r="H42" s="8">
        <v>15</v>
      </c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0.05</v>
      </c>
      <c r="G43" s="143">
        <v>0</v>
      </c>
      <c r="H43" s="8">
        <v>16</v>
      </c>
      <c r="J43" s="9">
        <v>39</v>
      </c>
      <c r="K43" s="16" t="s">
        <v>37</v>
      </c>
      <c r="L43" s="16" t="s">
        <v>136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0.05</v>
      </c>
      <c r="G44" s="143">
        <v>0</v>
      </c>
      <c r="H44" s="8">
        <v>17</v>
      </c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136</v>
      </c>
      <c r="M45" s="16" t="s">
        <v>137</v>
      </c>
      <c r="N45" s="16" t="s">
        <v>136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:41" ht="16.5" customHeight="1" x14ac:dyDescent="0.3">
      <c r="J47" s="9">
        <v>43</v>
      </c>
      <c r="K47" s="16" t="s">
        <v>136</v>
      </c>
      <c r="L47" s="16" t="s">
        <v>18</v>
      </c>
      <c r="M47" s="16" t="s">
        <v>137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:41" ht="16.5" customHeight="1" x14ac:dyDescent="0.3">
      <c r="J48" s="25">
        <v>44</v>
      </c>
      <c r="K48" s="16" t="s">
        <v>22</v>
      </c>
      <c r="L48" s="16" t="s">
        <v>37</v>
      </c>
      <c r="M48" s="16" t="s">
        <v>119</v>
      </c>
      <c r="N48" s="16" t="s">
        <v>37</v>
      </c>
      <c r="O48" s="16" t="s">
        <v>136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37</v>
      </c>
      <c r="L49" s="16" t="s">
        <v>136</v>
      </c>
      <c r="M49" s="16" t="s">
        <v>92</v>
      </c>
      <c r="N49" s="16" t="s">
        <v>137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136</v>
      </c>
      <c r="L50" s="16" t="s">
        <v>137</v>
      </c>
      <c r="M50" s="16" t="s">
        <v>137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 x14ac:dyDescent="0.3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19</v>
      </c>
      <c r="L52" s="16" t="s">
        <v>136</v>
      </c>
      <c r="M52" s="16" t="s">
        <v>119</v>
      </c>
      <c r="N52" s="16" t="s">
        <v>119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141</v>
      </c>
      <c r="AH52" s="5"/>
      <c r="AI52" s="5"/>
      <c r="AJ52" s="27" t="s">
        <v>141</v>
      </c>
      <c r="AO52" s="5"/>
    </row>
    <row r="53" spans="10:41" ht="16.5" customHeight="1" x14ac:dyDescent="0.3">
      <c r="J53" s="9">
        <v>49</v>
      </c>
      <c r="K53" s="16" t="s">
        <v>136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119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136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6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6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37</v>
      </c>
      <c r="L57" s="16" t="s">
        <v>91</v>
      </c>
      <c r="M57" s="16" t="s">
        <v>20</v>
      </c>
      <c r="N57" s="16" t="s">
        <v>18</v>
      </c>
      <c r="O57" s="16" t="s">
        <v>19</v>
      </c>
      <c r="Q57" s="9">
        <v>7</v>
      </c>
      <c r="R57" s="9">
        <v>14</v>
      </c>
      <c r="S57" s="9">
        <v>1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6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6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19</v>
      </c>
      <c r="L58" s="16" t="s">
        <v>34</v>
      </c>
      <c r="M58" s="16" t="s">
        <v>119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6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6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6" t="str">
        <v>M4</v>
      </c>
      <c r="AD59" s="144">
        <v>43</v>
      </c>
      <c r="AE59" s="144">
        <v>22</v>
      </c>
      <c r="AF59" s="144">
        <v>0</v>
      </c>
      <c r="AG59" s="144">
        <v>31</v>
      </c>
      <c r="AH59" s="144">
        <v>36</v>
      </c>
      <c r="AI59" s="5"/>
      <c r="AJ59" s="166" t="str">
        <v>M4</v>
      </c>
      <c r="AK59" s="144">
        <v>43</v>
      </c>
      <c r="AL59" s="144">
        <v>22</v>
      </c>
      <c r="AM59" s="144">
        <v>0</v>
      </c>
      <c r="AN59" s="144">
        <v>31</v>
      </c>
      <c r="AO59" s="144">
        <v>36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136</v>
      </c>
      <c r="O60" s="16" t="s">
        <v>136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6" t="str">
        <v>M5</v>
      </c>
      <c r="AD60" s="144">
        <v>42</v>
      </c>
      <c r="AE60" s="144">
        <v>22</v>
      </c>
      <c r="AF60" s="144">
        <v>0</v>
      </c>
      <c r="AG60" s="144">
        <v>27</v>
      </c>
      <c r="AH60" s="144">
        <v>34</v>
      </c>
      <c r="AI60" s="5"/>
      <c r="AJ60" s="166" t="str">
        <v>M5</v>
      </c>
      <c r="AK60" s="144">
        <v>42</v>
      </c>
      <c r="AL60" s="144">
        <v>22</v>
      </c>
      <c r="AM60" s="144">
        <v>0</v>
      </c>
      <c r="AN60" s="144">
        <v>27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6" t="str">
        <v>A</v>
      </c>
      <c r="AD61" s="144">
        <v>43</v>
      </c>
      <c r="AE61" s="144">
        <v>27</v>
      </c>
      <c r="AF61" s="144">
        <v>0</v>
      </c>
      <c r="AG61" s="144">
        <v>31</v>
      </c>
      <c r="AH61" s="144">
        <v>35</v>
      </c>
      <c r="AI61" s="5"/>
      <c r="AJ61" s="166" t="str">
        <v>A</v>
      </c>
      <c r="AK61" s="144">
        <v>43</v>
      </c>
      <c r="AL61" s="144">
        <v>27</v>
      </c>
      <c r="AM61" s="144">
        <v>0</v>
      </c>
      <c r="AN61" s="144">
        <v>31</v>
      </c>
      <c r="AO61" s="144">
        <v>35</v>
      </c>
    </row>
    <row r="62" spans="10:41" x14ac:dyDescent="0.3">
      <c r="J62" s="25">
        <v>58</v>
      </c>
      <c r="K62" s="16" t="s">
        <v>136</v>
      </c>
      <c r="L62" s="16" t="s">
        <v>20</v>
      </c>
      <c r="M62" s="16" t="s">
        <v>137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6" t="str">
        <v>K</v>
      </c>
      <c r="AD62" s="144">
        <v>43</v>
      </c>
      <c r="AE62" s="144">
        <v>24</v>
      </c>
      <c r="AF62" s="144">
        <v>0</v>
      </c>
      <c r="AG62" s="144">
        <v>32</v>
      </c>
      <c r="AH62" s="144">
        <v>34</v>
      </c>
      <c r="AI62" s="5"/>
      <c r="AJ62" s="166" t="str">
        <v>K</v>
      </c>
      <c r="AK62" s="144">
        <v>43</v>
      </c>
      <c r="AL62" s="144">
        <v>24</v>
      </c>
      <c r="AM62" s="144">
        <v>0</v>
      </c>
      <c r="AN62" s="144">
        <v>32</v>
      </c>
      <c r="AO62" s="144">
        <v>34</v>
      </c>
    </row>
    <row r="63" spans="10:41" ht="16.5" customHeight="1" x14ac:dyDescent="0.3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6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6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36</v>
      </c>
      <c r="M64" s="16" t="s">
        <v>119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6" t="str">
        <v>J</v>
      </c>
      <c r="AD64" s="144">
        <v>7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6" t="str">
        <v>J</v>
      </c>
      <c r="AK64" s="144">
        <v>7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136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136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19</v>
      </c>
      <c r="M67" s="16" t="s">
        <v>119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35</v>
      </c>
      <c r="L68" s="16" t="s">
        <v>37</v>
      </c>
      <c r="M68" s="16" t="s">
        <v>20</v>
      </c>
      <c r="N68" s="16" t="s">
        <v>21</v>
      </c>
      <c r="O68" s="16" t="s">
        <v>18</v>
      </c>
      <c r="Q68" s="9">
        <v>8</v>
      </c>
      <c r="R68" s="9">
        <v>7</v>
      </c>
      <c r="S68" s="9">
        <v>1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 x14ac:dyDescent="0.3">
      <c r="J69" s="9">
        <v>65</v>
      </c>
      <c r="K69" s="16" t="s">
        <v>136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137</v>
      </c>
      <c r="N70" s="16" t="s">
        <v>136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136</v>
      </c>
      <c r="L73" s="16" t="s">
        <v>34</v>
      </c>
      <c r="M73" s="16" t="s">
        <v>119</v>
      </c>
      <c r="N73" s="16" t="s">
        <v>36</v>
      </c>
      <c r="O73" s="16" t="s">
        <v>136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19</v>
      </c>
      <c r="M74" s="16" t="s">
        <v>137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 x14ac:dyDescent="0.3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136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37</v>
      </c>
      <c r="L76" s="16" t="s">
        <v>37</v>
      </c>
      <c r="M76" s="16" t="s">
        <v>137</v>
      </c>
      <c r="N76" s="16" t="s">
        <v>35</v>
      </c>
      <c r="O76" s="16" t="s">
        <v>136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136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19</v>
      </c>
      <c r="M78" s="16" t="s">
        <v>137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136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19</v>
      </c>
      <c r="L83" s="16" t="s">
        <v>136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97</v>
      </c>
      <c r="M84" s="16" t="s">
        <v>137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36</v>
      </c>
      <c r="L85" s="16" t="s">
        <v>91</v>
      </c>
      <c r="M85" s="16" t="s">
        <v>119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136</v>
      </c>
      <c r="O87" s="16" t="s">
        <v>136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37</v>
      </c>
      <c r="M88" s="16" t="s">
        <v>137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35</v>
      </c>
      <c r="M89" s="16" t="s">
        <v>119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34</v>
      </c>
      <c r="M90" s="16" t="s">
        <v>137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136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119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36</v>
      </c>
      <c r="L93" s="16" t="s">
        <v>136</v>
      </c>
      <c r="M93" s="16" t="s">
        <v>91</v>
      </c>
      <c r="N93" s="16" t="s">
        <v>136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89</v>
      </c>
      <c r="M94" s="16" t="s">
        <v>119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136</v>
      </c>
      <c r="L95" s="16" t="s">
        <v>119</v>
      </c>
      <c r="M95" s="16" t="s">
        <v>88</v>
      </c>
      <c r="N95" s="16" t="s">
        <v>137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136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119</v>
      </c>
      <c r="M97" s="16" t="s">
        <v>137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136</v>
      </c>
      <c r="L99" s="16" t="s">
        <v>19</v>
      </c>
      <c r="M99" s="16" t="s">
        <v>137</v>
      </c>
      <c r="N99" s="16" t="s">
        <v>137</v>
      </c>
      <c r="O99" s="16" t="s">
        <v>136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119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37</v>
      </c>
      <c r="L101" s="16" t="s">
        <v>119</v>
      </c>
      <c r="M101" s="16" t="s">
        <v>91</v>
      </c>
      <c r="N101" s="16" t="s">
        <v>119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35</v>
      </c>
      <c r="M104" s="16" t="s">
        <v>119</v>
      </c>
      <c r="N104" s="16" t="s">
        <v>92</v>
      </c>
      <c r="O104" s="16" t="s">
        <v>136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136</v>
      </c>
      <c r="L105" s="16" t="s">
        <v>20</v>
      </c>
      <c r="M105" s="16" t="s">
        <v>91</v>
      </c>
      <c r="N105" s="16" t="s">
        <v>137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19</v>
      </c>
      <c r="L106" s="16" t="s">
        <v>37</v>
      </c>
      <c r="M106" s="16" t="s">
        <v>137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119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136</v>
      </c>
      <c r="L108" s="16" t="s">
        <v>37</v>
      </c>
      <c r="M108" s="16" t="s">
        <v>137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37</v>
      </c>
      <c r="M111" s="16" t="s">
        <v>119</v>
      </c>
      <c r="N111" s="16" t="s">
        <v>137</v>
      </c>
      <c r="O111" s="16" t="s">
        <v>136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34</v>
      </c>
      <c r="L113" s="16" t="s">
        <v>35</v>
      </c>
      <c r="M113" s="16" t="s">
        <v>137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119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19</v>
      </c>
      <c r="L117" s="16" t="s">
        <v>91</v>
      </c>
      <c r="M117" s="16" t="s">
        <v>119</v>
      </c>
      <c r="N117" s="16" t="s">
        <v>136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137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18</v>
      </c>
      <c r="M120" s="16" t="s">
        <v>137</v>
      </c>
      <c r="N120" s="16" t="s">
        <v>35</v>
      </c>
      <c r="O120" s="16" t="s">
        <v>136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35</v>
      </c>
      <c r="L121" s="16" t="s">
        <v>136</v>
      </c>
      <c r="M121" s="16" t="s">
        <v>119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136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37</v>
      </c>
      <c r="L123" s="16" t="s">
        <v>88</v>
      </c>
      <c r="M123" s="16" t="s">
        <v>119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19</v>
      </c>
      <c r="M124" s="16" t="s">
        <v>137</v>
      </c>
      <c r="N124" s="16" t="s">
        <v>92</v>
      </c>
      <c r="O124" s="16" t="s">
        <v>136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136</v>
      </c>
      <c r="M125" s="16" t="s">
        <v>89</v>
      </c>
      <c r="N125" s="16" t="s">
        <v>136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37</v>
      </c>
      <c r="M126" s="16" t="s">
        <v>137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136</v>
      </c>
      <c r="L127" s="16" t="s">
        <v>90</v>
      </c>
      <c r="M127" s="16" t="s">
        <v>92</v>
      </c>
      <c r="N127" s="16" t="s">
        <v>136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18</v>
      </c>
      <c r="L128" s="16" t="s">
        <v>35</v>
      </c>
      <c r="M128" s="16" t="s">
        <v>137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136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137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136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136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35</v>
      </c>
      <c r="M133" s="16" t="s">
        <v>119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136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136</v>
      </c>
      <c r="L136" s="16" t="s">
        <v>137</v>
      </c>
      <c r="M136" s="16" t="s">
        <v>137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136</v>
      </c>
      <c r="M138" s="16" t="s">
        <v>119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136</v>
      </c>
      <c r="L139" s="16" t="s">
        <v>88</v>
      </c>
      <c r="M139" s="16" t="s">
        <v>92</v>
      </c>
      <c r="N139" s="16" t="s">
        <v>136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136</v>
      </c>
      <c r="L141" s="16" t="s">
        <v>19</v>
      </c>
      <c r="M141" s="16" t="s">
        <v>137</v>
      </c>
      <c r="N141" s="16" t="s">
        <v>119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35</v>
      </c>
      <c r="L142" s="16" t="s">
        <v>21</v>
      </c>
      <c r="M142" s="16" t="s">
        <v>119</v>
      </c>
      <c r="N142" s="16" t="s">
        <v>37</v>
      </c>
      <c r="O142" s="16" t="s">
        <v>136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37</v>
      </c>
      <c r="M143" s="16" t="s">
        <v>137</v>
      </c>
      <c r="N143" s="16" t="s">
        <v>136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136</v>
      </c>
      <c r="L144" s="16" t="s">
        <v>35</v>
      </c>
      <c r="M144" s="16" t="s">
        <v>95</v>
      </c>
      <c r="N144" s="16" t="s">
        <v>137</v>
      </c>
      <c r="O144" s="16" t="s">
        <v>136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19</v>
      </c>
      <c r="M145" s="16" t="s">
        <v>119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136</v>
      </c>
      <c r="L146" s="16" t="s">
        <v>97</v>
      </c>
      <c r="M146" s="16" t="s">
        <v>91</v>
      </c>
      <c r="N146" s="16" t="s">
        <v>34</v>
      </c>
      <c r="O146" s="16" t="s">
        <v>136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136</v>
      </c>
      <c r="M147" s="16" t="s">
        <v>137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136</v>
      </c>
      <c r="L148" s="16" t="s">
        <v>22</v>
      </c>
      <c r="M148" s="16" t="s">
        <v>92</v>
      </c>
      <c r="N148" s="16" t="s">
        <v>19</v>
      </c>
      <c r="O148" s="16" t="s">
        <v>136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119</v>
      </c>
      <c r="M149" s="16" t="s">
        <v>119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136</v>
      </c>
      <c r="L150" s="16" t="s">
        <v>35</v>
      </c>
      <c r="M150" s="16" t="s">
        <v>91</v>
      </c>
      <c r="N150" s="16" t="s">
        <v>136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136</v>
      </c>
      <c r="M151" s="16" t="s">
        <v>137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119</v>
      </c>
      <c r="M152" s="16" t="s">
        <v>90</v>
      </c>
      <c r="N152" s="16" t="s">
        <v>19</v>
      </c>
      <c r="O152" s="16" t="s">
        <v>136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136</v>
      </c>
      <c r="L153" s="16" t="s">
        <v>18</v>
      </c>
      <c r="M153" s="16" t="s">
        <v>91</v>
      </c>
      <c r="N153" s="16" t="s">
        <v>136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36</v>
      </c>
      <c r="M154" s="16" t="s">
        <v>137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21</v>
      </c>
      <c r="L155" s="16" t="s">
        <v>136</v>
      </c>
      <c r="M155" s="16" t="s">
        <v>119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137</v>
      </c>
      <c r="N157" s="16" t="s">
        <v>136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36</v>
      </c>
      <c r="M158" s="16" t="s">
        <v>119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19</v>
      </c>
      <c r="L159" s="16" t="s">
        <v>136</v>
      </c>
      <c r="M159" s="16" t="s">
        <v>90</v>
      </c>
      <c r="N159" s="16" t="s">
        <v>119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35</v>
      </c>
      <c r="M160" s="16" t="s">
        <v>137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119</v>
      </c>
      <c r="N161" s="16" t="s">
        <v>89</v>
      </c>
      <c r="O161" s="16" t="s">
        <v>136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18</v>
      </c>
      <c r="M162" s="16" t="s">
        <v>137</v>
      </c>
      <c r="N162" s="16" t="s">
        <v>137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34</v>
      </c>
      <c r="L164" s="16" t="s">
        <v>37</v>
      </c>
      <c r="M164" s="16" t="s">
        <v>119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35</v>
      </c>
      <c r="M165" s="16" t="s">
        <v>137</v>
      </c>
      <c r="N165" s="16" t="s">
        <v>137</v>
      </c>
      <c r="O165" s="16" t="s">
        <v>136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34</v>
      </c>
      <c r="L166" s="16" t="s">
        <v>90</v>
      </c>
      <c r="M166" s="16" t="s">
        <v>119</v>
      </c>
      <c r="N166" s="16" t="s">
        <v>136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136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137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22</v>
      </c>
      <c r="M169" s="16" t="s">
        <v>119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34</v>
      </c>
      <c r="L170" s="16" t="s">
        <v>136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136</v>
      </c>
      <c r="L171" s="16" t="s">
        <v>92</v>
      </c>
      <c r="M171" s="16" t="s">
        <v>137</v>
      </c>
      <c r="N171" s="16" t="s">
        <v>119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34</v>
      </c>
      <c r="M172" s="16" t="s">
        <v>119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37</v>
      </c>
      <c r="L174" s="16" t="s">
        <v>137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19</v>
      </c>
      <c r="L177" s="16" t="s">
        <v>92</v>
      </c>
      <c r="M177" s="16" t="s">
        <v>119</v>
      </c>
      <c r="N177" s="16" t="s">
        <v>35</v>
      </c>
      <c r="O177" s="16" t="s">
        <v>136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35</v>
      </c>
      <c r="L178" s="16" t="s">
        <v>137</v>
      </c>
      <c r="M178" s="16" t="s">
        <v>137</v>
      </c>
      <c r="N178" s="16" t="s">
        <v>119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136</v>
      </c>
      <c r="L180" s="16" t="s">
        <v>34</v>
      </c>
      <c r="M180" s="16" t="s">
        <v>137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136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119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136</v>
      </c>
      <c r="L183" s="16" t="s">
        <v>136</v>
      </c>
      <c r="M183" s="16" t="s">
        <v>91</v>
      </c>
      <c r="N183" s="16" t="s">
        <v>136</v>
      </c>
      <c r="O183" s="16" t="s">
        <v>136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91</v>
      </c>
      <c r="M185" s="16" t="s">
        <v>137</v>
      </c>
      <c r="N185" s="16" t="s">
        <v>137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136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91</v>
      </c>
      <c r="M188" s="16" t="s">
        <v>137</v>
      </c>
      <c r="N188" s="16" t="s">
        <v>136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18</v>
      </c>
      <c r="L189" s="16" t="s">
        <v>92</v>
      </c>
      <c r="M189" s="16" t="s">
        <v>119</v>
      </c>
      <c r="N189" s="16" t="s">
        <v>19</v>
      </c>
      <c r="O189" s="16" t="s">
        <v>136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137</v>
      </c>
      <c r="M190" s="16" t="s">
        <v>137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136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18</v>
      </c>
      <c r="M192" s="16" t="s">
        <v>119</v>
      </c>
      <c r="N192" s="16" t="s">
        <v>136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136</v>
      </c>
      <c r="L193" s="16" t="s">
        <v>35</v>
      </c>
      <c r="M193" s="16" t="s">
        <v>92</v>
      </c>
      <c r="N193" s="16" t="s">
        <v>18</v>
      </c>
      <c r="O193" s="16" t="s">
        <v>136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92</v>
      </c>
      <c r="M194" s="16" t="s">
        <v>137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136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119</v>
      </c>
      <c r="M196" s="16" t="s">
        <v>119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136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35</v>
      </c>
      <c r="L198" s="16" t="s">
        <v>36</v>
      </c>
      <c r="M198" s="16" t="s">
        <v>119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136</v>
      </c>
      <c r="L199" s="16" t="s">
        <v>92</v>
      </c>
      <c r="M199" s="16" t="s">
        <v>90</v>
      </c>
      <c r="N199" s="16" t="s">
        <v>136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34</v>
      </c>
      <c r="M200" s="16" t="s">
        <v>119</v>
      </c>
      <c r="N200" s="16" t="s">
        <v>36</v>
      </c>
      <c r="O200" s="16" t="s">
        <v>136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18</v>
      </c>
      <c r="M202" s="16" t="s">
        <v>137</v>
      </c>
      <c r="N202" s="16" t="s">
        <v>91</v>
      </c>
      <c r="O202" s="16" t="s">
        <v>136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3" priority="10">
      <formula>_xlfn.LET(_xlpm.x, W4, AND(NOT(_xlfn.ISFORMULA(_xlpm.x)), _xlpm.x&lt;&gt;""))</formula>
    </cfRule>
  </conditionalFormatting>
  <conditionalFormatting sqref="W4:AA203">
    <cfRule type="expression" dxfId="22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{5116E591-5DA0-44A2-8509-A991BF227031}</x14:id>
        </ext>
      </extLst>
    </cfRule>
  </conditionalFormatting>
  <conditionalFormatting sqref="K1:O1048576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16E591-5DA0-44A2-8509-A991BF227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144</v>
      </c>
      <c r="Q2" s="27" t="s">
        <v>145</v>
      </c>
      <c r="W2" s="27" t="s">
        <v>146</v>
      </c>
      <c r="AC2" s="27" t="s">
        <v>158</v>
      </c>
      <c r="AH2" s="5"/>
      <c r="AI2" s="5"/>
      <c r="AJ2" s="27" t="s">
        <v>110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136</v>
      </c>
      <c r="M4" s="26" t="s">
        <v>91</v>
      </c>
      <c r="N4" s="26" t="s">
        <v>136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142</v>
      </c>
      <c r="AH4" s="5"/>
      <c r="AI4" s="5"/>
      <c r="AJ4" s="27" t="s">
        <v>142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3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136</v>
      </c>
      <c r="L5" s="16" t="s">
        <v>97</v>
      </c>
      <c r="M5" s="16" t="s">
        <v>119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136</v>
      </c>
      <c r="M7" s="16" t="s">
        <v>137</v>
      </c>
      <c r="N7" s="16" t="s">
        <v>37</v>
      </c>
      <c r="O7" s="16" t="s">
        <v>136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136</v>
      </c>
      <c r="L8" s="16" t="s">
        <v>137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6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6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23</v>
      </c>
      <c r="E9" s="144">
        <f t="shared" si="0"/>
        <v>0</v>
      </c>
      <c r="F9" s="144">
        <f t="shared" si="0"/>
        <v>33</v>
      </c>
      <c r="G9" s="144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137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6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6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23</v>
      </c>
      <c r="E10" s="144">
        <f t="shared" si="0"/>
        <v>0</v>
      </c>
      <c r="F10" s="144">
        <f t="shared" si="0"/>
        <v>33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137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6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6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33</v>
      </c>
      <c r="G11" s="144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119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6" t="str">
        <v>M4</v>
      </c>
      <c r="AD11" s="144">
        <v>43</v>
      </c>
      <c r="AE11" s="144">
        <v>23</v>
      </c>
      <c r="AF11" s="144">
        <v>0</v>
      </c>
      <c r="AG11" s="144">
        <v>33</v>
      </c>
      <c r="AH11" s="144">
        <v>35</v>
      </c>
      <c r="AI11" s="5"/>
      <c r="AJ11" s="166" t="str">
        <v>M4</v>
      </c>
      <c r="AK11" s="144">
        <v>43</v>
      </c>
      <c r="AL11" s="144">
        <v>23</v>
      </c>
      <c r="AM11" s="144">
        <v>0</v>
      </c>
      <c r="AN11" s="144">
        <v>33</v>
      </c>
      <c r="AO11" s="144">
        <v>35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25</v>
      </c>
      <c r="E12" s="144">
        <f t="shared" si="0"/>
        <v>0</v>
      </c>
      <c r="F12" s="144">
        <f t="shared" si="0"/>
        <v>34</v>
      </c>
      <c r="G12" s="144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137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6" t="str">
        <v>M5</v>
      </c>
      <c r="AD12" s="144">
        <v>42</v>
      </c>
      <c r="AE12" s="144">
        <v>23</v>
      </c>
      <c r="AF12" s="144">
        <v>0</v>
      </c>
      <c r="AG12" s="144">
        <v>33</v>
      </c>
      <c r="AH12" s="144">
        <v>34</v>
      </c>
      <c r="AI12" s="5"/>
      <c r="AJ12" s="166" t="str">
        <v>M5</v>
      </c>
      <c r="AK12" s="144">
        <v>42</v>
      </c>
      <c r="AL12" s="144">
        <v>23</v>
      </c>
      <c r="AM12" s="144">
        <v>0</v>
      </c>
      <c r="AN12" s="144">
        <v>33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137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6" t="str">
        <v>A</v>
      </c>
      <c r="AD13" s="144">
        <v>43</v>
      </c>
      <c r="AE13" s="144">
        <v>27</v>
      </c>
      <c r="AF13" s="144">
        <v>0</v>
      </c>
      <c r="AG13" s="144">
        <v>33</v>
      </c>
      <c r="AH13" s="144">
        <v>34</v>
      </c>
      <c r="AI13" s="5"/>
      <c r="AJ13" s="166" t="str">
        <v>A</v>
      </c>
      <c r="AK13" s="144">
        <v>43</v>
      </c>
      <c r="AL13" s="144">
        <v>27</v>
      </c>
      <c r="AM13" s="144">
        <v>0</v>
      </c>
      <c r="AN13" s="144">
        <v>33</v>
      </c>
      <c r="AO13" s="144">
        <v>34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136</v>
      </c>
      <c r="M14" s="16" t="s">
        <v>92</v>
      </c>
      <c r="N14" s="16" t="s">
        <v>137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6" t="str">
        <v>K</v>
      </c>
      <c r="AD14" s="144">
        <v>43</v>
      </c>
      <c r="AE14" s="144">
        <v>25</v>
      </c>
      <c r="AF14" s="144">
        <v>0</v>
      </c>
      <c r="AG14" s="144">
        <v>34</v>
      </c>
      <c r="AH14" s="144">
        <v>34</v>
      </c>
      <c r="AI14" s="5"/>
      <c r="AJ14" s="166" t="str">
        <v>K</v>
      </c>
      <c r="AK14" s="144">
        <v>43</v>
      </c>
      <c r="AL14" s="144">
        <v>25</v>
      </c>
      <c r="AM14" s="144">
        <v>0</v>
      </c>
      <c r="AN14" s="144">
        <v>34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6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6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119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6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6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136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136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136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136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9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9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136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136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137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136</v>
      </c>
      <c r="L25" s="16" t="s">
        <v>89</v>
      </c>
      <c r="M25" s="16" t="s">
        <v>92</v>
      </c>
      <c r="N25" s="16" t="s">
        <v>136</v>
      </c>
      <c r="O25" s="16" t="s">
        <v>136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136</v>
      </c>
      <c r="L27" s="16" t="s">
        <v>136</v>
      </c>
      <c r="M27" s="16" t="s">
        <v>137</v>
      </c>
      <c r="N27" s="16" t="s">
        <v>119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1.4999999999999999E-2</v>
      </c>
      <c r="D28" s="143">
        <v>1.4999999999999999E-2</v>
      </c>
      <c r="E28" s="143">
        <v>1.4999999999999999E-2</v>
      </c>
      <c r="F28" s="143">
        <v>2.5000000000000001E-2</v>
      </c>
      <c r="G28" s="143">
        <v>2.5000000000000001E-2</v>
      </c>
      <c r="H28" s="8">
        <v>1</v>
      </c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143</v>
      </c>
      <c r="AH28" s="5"/>
      <c r="AI28" s="5"/>
      <c r="AJ28" s="27" t="s">
        <v>143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35</v>
      </c>
      <c r="L29" s="16" t="s">
        <v>136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35</v>
      </c>
      <c r="M30" s="16" t="s">
        <v>137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136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0.115</v>
      </c>
      <c r="E32" s="143">
        <v>0</v>
      </c>
      <c r="F32" s="143">
        <v>0.16500000000000001</v>
      </c>
      <c r="G32" s="143">
        <v>0.17499999999999999</v>
      </c>
      <c r="H32" s="8">
        <v>5</v>
      </c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136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6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6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0.115</v>
      </c>
      <c r="E33" s="143">
        <v>0</v>
      </c>
      <c r="F33" s="143">
        <v>0.16500000000000001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6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6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0.16500000000000001</v>
      </c>
      <c r="G34" s="143">
        <v>0.17</v>
      </c>
      <c r="H34" s="8">
        <v>7</v>
      </c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136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6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6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0.125</v>
      </c>
      <c r="E35" s="143">
        <v>0</v>
      </c>
      <c r="F35" s="143">
        <v>0.17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119</v>
      </c>
      <c r="M35" s="16" t="s">
        <v>137</v>
      </c>
      <c r="N35" s="16" t="s">
        <v>137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6" t="str">
        <v>M4</v>
      </c>
      <c r="AD35" s="144">
        <v>43</v>
      </c>
      <c r="AE35" s="144">
        <v>23</v>
      </c>
      <c r="AF35" s="144">
        <v>0</v>
      </c>
      <c r="AG35" s="144">
        <v>33</v>
      </c>
      <c r="AH35" s="144">
        <v>35</v>
      </c>
      <c r="AI35" s="5"/>
      <c r="AJ35" s="166" t="str">
        <v>M4</v>
      </c>
      <c r="AK35" s="144">
        <v>43</v>
      </c>
      <c r="AL35" s="144">
        <v>23</v>
      </c>
      <c r="AM35" s="144">
        <v>0</v>
      </c>
      <c r="AN35" s="144">
        <v>33</v>
      </c>
      <c r="AO35" s="144">
        <v>35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37</v>
      </c>
      <c r="L36" s="16" t="s">
        <v>37</v>
      </c>
      <c r="M36" s="16" t="s">
        <v>119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6" t="str">
        <v>M5</v>
      </c>
      <c r="AD36" s="144">
        <v>42</v>
      </c>
      <c r="AE36" s="144">
        <v>23</v>
      </c>
      <c r="AF36" s="144">
        <v>0</v>
      </c>
      <c r="AG36" s="144">
        <v>33</v>
      </c>
      <c r="AH36" s="144">
        <v>34</v>
      </c>
      <c r="AI36" s="5"/>
      <c r="AJ36" s="166" t="str">
        <v>M5</v>
      </c>
      <c r="AK36" s="144">
        <v>42</v>
      </c>
      <c r="AL36" s="144">
        <v>23</v>
      </c>
      <c r="AM36" s="144">
        <v>0</v>
      </c>
      <c r="AN36" s="144">
        <v>33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136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6" t="str">
        <v>A</v>
      </c>
      <c r="AD37" s="144">
        <v>43</v>
      </c>
      <c r="AE37" s="144">
        <v>27</v>
      </c>
      <c r="AF37" s="144">
        <v>0</v>
      </c>
      <c r="AG37" s="144">
        <v>33</v>
      </c>
      <c r="AH37" s="144">
        <v>34</v>
      </c>
      <c r="AI37" s="5"/>
      <c r="AJ37" s="166" t="str">
        <v>A</v>
      </c>
      <c r="AK37" s="144">
        <v>43</v>
      </c>
      <c r="AL37" s="144">
        <v>27</v>
      </c>
      <c r="AM37" s="144">
        <v>0</v>
      </c>
      <c r="AN37" s="144">
        <v>33</v>
      </c>
      <c r="AO37" s="144">
        <v>34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18</v>
      </c>
      <c r="M38" s="16" t="s">
        <v>137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6" t="str">
        <v>K</v>
      </c>
      <c r="AD38" s="144">
        <v>43</v>
      </c>
      <c r="AE38" s="144">
        <v>25</v>
      </c>
      <c r="AF38" s="144">
        <v>0</v>
      </c>
      <c r="AG38" s="144">
        <v>34</v>
      </c>
      <c r="AH38" s="144">
        <v>34</v>
      </c>
      <c r="AI38" s="5"/>
      <c r="AJ38" s="166" t="str">
        <v>K</v>
      </c>
      <c r="AK38" s="144">
        <v>43</v>
      </c>
      <c r="AL38" s="144">
        <v>25</v>
      </c>
      <c r="AM38" s="144">
        <v>0</v>
      </c>
      <c r="AN38" s="144">
        <v>34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22</v>
      </c>
      <c r="M39" s="16" t="s">
        <v>92</v>
      </c>
      <c r="N39" s="16" t="s">
        <v>119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6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6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136</v>
      </c>
      <c r="L40" s="16" t="s">
        <v>20</v>
      </c>
      <c r="M40" s="16" t="s">
        <v>119</v>
      </c>
      <c r="N40" s="16" t="s">
        <v>36</v>
      </c>
      <c r="O40" s="16" t="s">
        <v>136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6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6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3.5000000000000003E-2</v>
      </c>
      <c r="E41" s="143">
        <v>0.215</v>
      </c>
      <c r="F41" s="143">
        <v>0.04</v>
      </c>
      <c r="G41" s="143">
        <v>0</v>
      </c>
      <c r="H41" s="8">
        <v>14</v>
      </c>
      <c r="J41" s="9">
        <v>37</v>
      </c>
      <c r="K41" s="16" t="s">
        <v>35</v>
      </c>
      <c r="L41" s="16" t="s">
        <v>137</v>
      </c>
      <c r="M41" s="16" t="s">
        <v>137</v>
      </c>
      <c r="N41" s="16" t="s">
        <v>136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3.5000000000000003E-2</v>
      </c>
      <c r="E42" s="143">
        <v>0.21</v>
      </c>
      <c r="F42" s="143">
        <v>4.4999999999999998E-2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136</v>
      </c>
      <c r="M43" s="16" t="s">
        <v>88</v>
      </c>
      <c r="N43" s="16" t="s">
        <v>136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3.5000000000000003E-2</v>
      </c>
      <c r="E44" s="143">
        <v>0.215</v>
      </c>
      <c r="F44" s="143">
        <v>0.03</v>
      </c>
      <c r="G44" s="143">
        <v>0</v>
      </c>
      <c r="H44" s="8">
        <v>17</v>
      </c>
      <c r="J44" s="25">
        <v>40</v>
      </c>
      <c r="K44" s="16" t="s">
        <v>136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9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9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37</v>
      </c>
      <c r="M46" s="16" t="s">
        <v>119</v>
      </c>
      <c r="N46" s="16" t="s">
        <v>136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136</v>
      </c>
      <c r="M48" s="16" t="s">
        <v>137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136</v>
      </c>
      <c r="L49" s="16" t="s">
        <v>19</v>
      </c>
      <c r="M49" s="16" t="s">
        <v>91</v>
      </c>
      <c r="N49" s="16" t="s">
        <v>136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 x14ac:dyDescent="0.3">
      <c r="J51" s="9">
        <v>47</v>
      </c>
      <c r="K51" s="16" t="s">
        <v>19</v>
      </c>
      <c r="L51" s="16" t="s">
        <v>136</v>
      </c>
      <c r="M51" s="16" t="s">
        <v>92</v>
      </c>
      <c r="N51" s="16" t="s">
        <v>35</v>
      </c>
      <c r="O51" s="16" t="s">
        <v>136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22</v>
      </c>
      <c r="M52" s="16" t="s">
        <v>119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141</v>
      </c>
      <c r="AH52" s="5"/>
      <c r="AI52" s="5"/>
      <c r="AJ52" s="27" t="s">
        <v>141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37</v>
      </c>
      <c r="M53" s="16" t="s">
        <v>137</v>
      </c>
      <c r="N53" s="16" t="s">
        <v>137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34</v>
      </c>
      <c r="L54" s="16" t="s">
        <v>137</v>
      </c>
      <c r="M54" s="16" t="s">
        <v>90</v>
      </c>
      <c r="N54" s="16" t="s">
        <v>119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136</v>
      </c>
      <c r="O55" s="16" t="s">
        <v>136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6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6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21</v>
      </c>
      <c r="L57" s="16" t="s">
        <v>88</v>
      </c>
      <c r="M57" s="16" t="s">
        <v>119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6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6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119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6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6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136</v>
      </c>
      <c r="L59" s="16" t="s">
        <v>92</v>
      </c>
      <c r="M59" s="16" t="s">
        <v>137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6" t="str">
        <v>M4</v>
      </c>
      <c r="AD59" s="144">
        <v>43</v>
      </c>
      <c r="AE59" s="144">
        <v>23</v>
      </c>
      <c r="AF59" s="144">
        <v>0</v>
      </c>
      <c r="AG59" s="144">
        <v>33</v>
      </c>
      <c r="AH59" s="144">
        <v>35</v>
      </c>
      <c r="AI59" s="5"/>
      <c r="AJ59" s="166" t="str">
        <v>M4</v>
      </c>
      <c r="AK59" s="144">
        <v>43</v>
      </c>
      <c r="AL59" s="144">
        <v>23</v>
      </c>
      <c r="AM59" s="144">
        <v>0</v>
      </c>
      <c r="AN59" s="144">
        <v>33</v>
      </c>
      <c r="AO59" s="144">
        <v>35</v>
      </c>
    </row>
    <row r="60" spans="10:41" ht="16.5" customHeight="1" x14ac:dyDescent="0.3">
      <c r="J60" s="25">
        <v>56</v>
      </c>
      <c r="K60" s="16" t="s">
        <v>18</v>
      </c>
      <c r="L60" s="16" t="s">
        <v>19</v>
      </c>
      <c r="M60" s="16" t="s">
        <v>119</v>
      </c>
      <c r="N60" s="16" t="s">
        <v>136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6" t="str">
        <v>M5</v>
      </c>
      <c r="AD60" s="144">
        <v>42</v>
      </c>
      <c r="AE60" s="144">
        <v>23</v>
      </c>
      <c r="AF60" s="144">
        <v>0</v>
      </c>
      <c r="AG60" s="144">
        <v>33</v>
      </c>
      <c r="AH60" s="144">
        <v>34</v>
      </c>
      <c r="AI60" s="5"/>
      <c r="AJ60" s="166" t="str">
        <v>M5</v>
      </c>
      <c r="AK60" s="144">
        <v>42</v>
      </c>
      <c r="AL60" s="144">
        <v>23</v>
      </c>
      <c r="AM60" s="144">
        <v>0</v>
      </c>
      <c r="AN60" s="144">
        <v>33</v>
      </c>
      <c r="AO60" s="144">
        <v>34</v>
      </c>
    </row>
    <row r="61" spans="10:41" x14ac:dyDescent="0.3">
      <c r="J61" s="9">
        <v>57</v>
      </c>
      <c r="K61" s="16" t="s">
        <v>35</v>
      </c>
      <c r="L61" s="16" t="s">
        <v>136</v>
      </c>
      <c r="M61" s="16" t="s">
        <v>137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6" t="str">
        <v>A</v>
      </c>
      <c r="AD61" s="144">
        <v>43</v>
      </c>
      <c r="AE61" s="144">
        <v>27</v>
      </c>
      <c r="AF61" s="144">
        <v>0</v>
      </c>
      <c r="AG61" s="144">
        <v>33</v>
      </c>
      <c r="AH61" s="144">
        <v>34</v>
      </c>
      <c r="AI61" s="5"/>
      <c r="AJ61" s="166" t="str">
        <v>A</v>
      </c>
      <c r="AK61" s="144">
        <v>43</v>
      </c>
      <c r="AL61" s="144">
        <v>27</v>
      </c>
      <c r="AM61" s="144">
        <v>0</v>
      </c>
      <c r="AN61" s="144">
        <v>33</v>
      </c>
      <c r="AO61" s="144">
        <v>34</v>
      </c>
    </row>
    <row r="62" spans="10:41" x14ac:dyDescent="0.3">
      <c r="J62" s="25">
        <v>58</v>
      </c>
      <c r="K62" s="16" t="s">
        <v>136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6" t="str">
        <v>K</v>
      </c>
      <c r="AD62" s="144">
        <v>43</v>
      </c>
      <c r="AE62" s="144">
        <v>25</v>
      </c>
      <c r="AF62" s="144">
        <v>0</v>
      </c>
      <c r="AG62" s="144">
        <v>34</v>
      </c>
      <c r="AH62" s="144">
        <v>34</v>
      </c>
      <c r="AI62" s="5"/>
      <c r="AJ62" s="166" t="str">
        <v>K</v>
      </c>
      <c r="AK62" s="144">
        <v>43</v>
      </c>
      <c r="AL62" s="144">
        <v>25</v>
      </c>
      <c r="AM62" s="144">
        <v>0</v>
      </c>
      <c r="AN62" s="144">
        <v>34</v>
      </c>
      <c r="AO62" s="144">
        <v>34</v>
      </c>
    </row>
    <row r="63" spans="10:41" ht="16.5" customHeight="1" x14ac:dyDescent="0.3">
      <c r="J63" s="9">
        <v>59</v>
      </c>
      <c r="K63" s="16" t="s">
        <v>35</v>
      </c>
      <c r="L63" s="16" t="s">
        <v>21</v>
      </c>
      <c r="M63" s="16" t="s">
        <v>137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6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6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119</v>
      </c>
      <c r="N64" s="16" t="s">
        <v>136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6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6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136</v>
      </c>
      <c r="L65" s="16" t="s">
        <v>136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37</v>
      </c>
      <c r="L66" s="16" t="s">
        <v>95</v>
      </c>
      <c r="M66" s="16" t="s">
        <v>119</v>
      </c>
      <c r="N66" s="16" t="s">
        <v>136</v>
      </c>
      <c r="O66" s="16" t="s">
        <v>136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9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 x14ac:dyDescent="0.3">
      <c r="J69" s="9">
        <v>65</v>
      </c>
      <c r="K69" s="16" t="s">
        <v>35</v>
      </c>
      <c r="L69" s="16" t="s">
        <v>18</v>
      </c>
      <c r="M69" s="16" t="s">
        <v>137</v>
      </c>
      <c r="N69" s="16" t="s">
        <v>136</v>
      </c>
      <c r="O69" s="16" t="s">
        <v>136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9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119</v>
      </c>
      <c r="M70" s="16" t="s">
        <v>119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136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19</v>
      </c>
      <c r="L72" s="16" t="s">
        <v>34</v>
      </c>
      <c r="M72" s="16" t="s">
        <v>119</v>
      </c>
      <c r="N72" s="16" t="s">
        <v>136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35</v>
      </c>
      <c r="L73" s="16" t="s">
        <v>19</v>
      </c>
      <c r="M73" s="16" t="s">
        <v>137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136</v>
      </c>
      <c r="M74" s="16" t="s">
        <v>119</v>
      </c>
      <c r="N74" s="16" t="s">
        <v>136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 x14ac:dyDescent="0.3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21</v>
      </c>
      <c r="L76" s="16" t="s">
        <v>119</v>
      </c>
      <c r="M76" s="16" t="s">
        <v>119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136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136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136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136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136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136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34</v>
      </c>
      <c r="M84" s="16" t="s">
        <v>119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136</v>
      </c>
      <c r="M85" s="16" t="s">
        <v>137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136</v>
      </c>
      <c r="L87" s="16" t="s">
        <v>137</v>
      </c>
      <c r="M87" s="16" t="s">
        <v>137</v>
      </c>
      <c r="N87" s="16" t="s">
        <v>137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37</v>
      </c>
      <c r="M88" s="16" t="s">
        <v>119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19</v>
      </c>
      <c r="L90" s="16" t="s">
        <v>35</v>
      </c>
      <c r="M90" s="16" t="s">
        <v>137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136</v>
      </c>
      <c r="L91" s="16" t="s">
        <v>136</v>
      </c>
      <c r="M91" s="16" t="s">
        <v>91</v>
      </c>
      <c r="N91" s="16" t="s">
        <v>136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136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136</v>
      </c>
      <c r="L94" s="16" t="s">
        <v>35</v>
      </c>
      <c r="M94" s="16" t="s">
        <v>119</v>
      </c>
      <c r="N94" s="16" t="s">
        <v>136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136</v>
      </c>
      <c r="L96" s="16" t="s">
        <v>136</v>
      </c>
      <c r="M96" s="16" t="s">
        <v>119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37</v>
      </c>
      <c r="L99" s="16" t="s">
        <v>21</v>
      </c>
      <c r="M99" s="16" t="s">
        <v>119</v>
      </c>
      <c r="N99" s="16" t="s">
        <v>91</v>
      </c>
      <c r="O99" s="16" t="s">
        <v>136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36</v>
      </c>
      <c r="M100" s="16" t="s">
        <v>137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136</v>
      </c>
      <c r="L101" s="16" t="s">
        <v>34</v>
      </c>
      <c r="M101" s="16" t="s">
        <v>119</v>
      </c>
      <c r="N101" s="16" t="s">
        <v>37</v>
      </c>
      <c r="O101" s="16" t="s">
        <v>136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37</v>
      </c>
      <c r="M102" s="16" t="s">
        <v>137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90</v>
      </c>
      <c r="M103" s="16" t="s">
        <v>119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136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36</v>
      </c>
      <c r="L105" s="16" t="s">
        <v>36</v>
      </c>
      <c r="M105" s="16" t="s">
        <v>137</v>
      </c>
      <c r="N105" s="16" t="s">
        <v>136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136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19</v>
      </c>
      <c r="L107" s="16" t="s">
        <v>92</v>
      </c>
      <c r="M107" s="16" t="s">
        <v>119</v>
      </c>
      <c r="N107" s="16" t="s">
        <v>137</v>
      </c>
      <c r="O107" s="16" t="s">
        <v>136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37</v>
      </c>
      <c r="M108" s="16" t="s">
        <v>137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92</v>
      </c>
      <c r="M109" s="16" t="s">
        <v>119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88</v>
      </c>
      <c r="M112" s="16" t="s">
        <v>137</v>
      </c>
      <c r="N112" s="16" t="s">
        <v>136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136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136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20</v>
      </c>
      <c r="L115" s="16" t="s">
        <v>18</v>
      </c>
      <c r="M115" s="16" t="s">
        <v>137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136</v>
      </c>
      <c r="L116" s="16" t="s">
        <v>92</v>
      </c>
      <c r="M116" s="16" t="s">
        <v>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136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136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36</v>
      </c>
      <c r="L120" s="16" t="s">
        <v>92</v>
      </c>
      <c r="M120" s="16" t="s">
        <v>137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136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34</v>
      </c>
      <c r="L122" s="16" t="s">
        <v>137</v>
      </c>
      <c r="M122" s="16" t="s">
        <v>119</v>
      </c>
      <c r="N122" s="16" t="s">
        <v>136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136</v>
      </c>
      <c r="L123" s="16" t="s">
        <v>136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136</v>
      </c>
      <c r="L126" s="16" t="s">
        <v>35</v>
      </c>
      <c r="M126" s="16" t="s">
        <v>119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136</v>
      </c>
      <c r="L128" s="16" t="s">
        <v>92</v>
      </c>
      <c r="M128" s="16" t="s">
        <v>137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136</v>
      </c>
      <c r="L131" s="16" t="s">
        <v>35</v>
      </c>
      <c r="M131" s="16" t="s">
        <v>91</v>
      </c>
      <c r="N131" s="16" t="s">
        <v>136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18</v>
      </c>
      <c r="L132" s="16" t="s">
        <v>136</v>
      </c>
      <c r="M132" s="16" t="s">
        <v>137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136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119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36</v>
      </c>
      <c r="M137" s="16" t="s">
        <v>137</v>
      </c>
      <c r="N137" s="16" t="s">
        <v>136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34</v>
      </c>
      <c r="M139" s="16" t="s">
        <v>137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136</v>
      </c>
      <c r="L140" s="16" t="s">
        <v>22</v>
      </c>
      <c r="M140" s="16" t="s">
        <v>119</v>
      </c>
      <c r="N140" s="16" t="s">
        <v>137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119</v>
      </c>
      <c r="M142" s="16" t="s">
        <v>119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136</v>
      </c>
      <c r="L144" s="16" t="s">
        <v>34</v>
      </c>
      <c r="M144" s="16" t="s">
        <v>137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19</v>
      </c>
      <c r="M147" s="16" t="s">
        <v>137</v>
      </c>
      <c r="N147" s="16" t="s">
        <v>137</v>
      </c>
      <c r="O147" s="16" t="s">
        <v>136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136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21</v>
      </c>
      <c r="M149" s="16" t="s">
        <v>119</v>
      </c>
      <c r="N149" s="16" t="s">
        <v>90</v>
      </c>
      <c r="O149" s="16" t="s">
        <v>136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136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136</v>
      </c>
      <c r="L151" s="16" t="s">
        <v>21</v>
      </c>
      <c r="M151" s="16" t="s">
        <v>119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37</v>
      </c>
      <c r="M152" s="16" t="s">
        <v>137</v>
      </c>
      <c r="N152" s="16" t="s">
        <v>136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136</v>
      </c>
      <c r="L153" s="16" t="s">
        <v>35</v>
      </c>
      <c r="M153" s="16" t="s">
        <v>91</v>
      </c>
      <c r="N153" s="16" t="s">
        <v>37</v>
      </c>
      <c r="O153" s="16" t="s">
        <v>136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136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35</v>
      </c>
      <c r="L157" s="16" t="s">
        <v>89</v>
      </c>
      <c r="M157" s="16" t="s">
        <v>119</v>
      </c>
      <c r="N157" s="16" t="s">
        <v>119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136</v>
      </c>
      <c r="M159" s="16" t="s">
        <v>119</v>
      </c>
      <c r="N159" s="16" t="s">
        <v>136</v>
      </c>
      <c r="O159" s="16" t="s">
        <v>136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19</v>
      </c>
      <c r="M160" s="16" t="s">
        <v>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136</v>
      </c>
      <c r="L162" s="16" t="s">
        <v>137</v>
      </c>
      <c r="M162" s="16" t="s">
        <v>137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19</v>
      </c>
      <c r="M163" s="16" t="s">
        <v>119</v>
      </c>
      <c r="N163" s="16" t="s">
        <v>37</v>
      </c>
      <c r="O163" s="16" t="s">
        <v>136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136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137</v>
      </c>
      <c r="M166" s="16" t="s">
        <v>119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136</v>
      </c>
      <c r="L168" s="16" t="s">
        <v>35</v>
      </c>
      <c r="M168" s="16" t="s">
        <v>91</v>
      </c>
      <c r="N168" s="16" t="s">
        <v>91</v>
      </c>
      <c r="O168" s="16" t="s">
        <v>136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18</v>
      </c>
      <c r="L170" s="16" t="s">
        <v>18</v>
      </c>
      <c r="M170" s="16" t="s">
        <v>137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37</v>
      </c>
      <c r="M171" s="16" t="s">
        <v>119</v>
      </c>
      <c r="N171" s="16" t="s">
        <v>35</v>
      </c>
      <c r="O171" s="16" t="s">
        <v>136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19</v>
      </c>
      <c r="M172" s="16" t="s">
        <v>20</v>
      </c>
      <c r="N172" s="16" t="s">
        <v>136</v>
      </c>
      <c r="O172" s="16" t="s">
        <v>35</v>
      </c>
      <c r="Q172" s="9">
        <v>8</v>
      </c>
      <c r="R172" s="9">
        <v>5</v>
      </c>
      <c r="S172" s="9">
        <v>1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36</v>
      </c>
      <c r="L173" s="16" t="s">
        <v>37</v>
      </c>
      <c r="M173" s="16" t="s">
        <v>119</v>
      </c>
      <c r="N173" s="16" t="s">
        <v>35</v>
      </c>
      <c r="O173" s="16" t="s">
        <v>136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136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34</v>
      </c>
      <c r="M175" s="16" t="s">
        <v>137</v>
      </c>
      <c r="N175" s="16" t="s">
        <v>19</v>
      </c>
      <c r="O175" s="16" t="s">
        <v>136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136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119</v>
      </c>
      <c r="N177" s="16" t="s">
        <v>35</v>
      </c>
      <c r="O177" s="16" t="s">
        <v>136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136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35</v>
      </c>
      <c r="M179" s="16" t="s">
        <v>119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35</v>
      </c>
      <c r="L181" s="16" t="s">
        <v>19</v>
      </c>
      <c r="M181" s="16" t="s">
        <v>137</v>
      </c>
      <c r="N181" s="16" t="s">
        <v>119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119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136</v>
      </c>
      <c r="M183" s="16" t="s">
        <v>137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119</v>
      </c>
      <c r="N184" s="16" t="s">
        <v>136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21</v>
      </c>
      <c r="L186" s="16" t="s">
        <v>21</v>
      </c>
      <c r="M186" s="16" t="s">
        <v>119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136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35</v>
      </c>
      <c r="L188" s="16" t="s">
        <v>136</v>
      </c>
      <c r="M188" s="16" t="s">
        <v>137</v>
      </c>
      <c r="N188" s="16" t="s">
        <v>136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136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119</v>
      </c>
      <c r="M190" s="16" t="s">
        <v>119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136</v>
      </c>
      <c r="L192" s="16" t="s">
        <v>35</v>
      </c>
      <c r="M192" s="16" t="s">
        <v>137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92</v>
      </c>
      <c r="M193" s="16" t="s">
        <v>119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136</v>
      </c>
      <c r="L194" s="16" t="s">
        <v>37</v>
      </c>
      <c r="M194" s="16" t="s">
        <v>92</v>
      </c>
      <c r="N194" s="16" t="s">
        <v>20</v>
      </c>
      <c r="O194" s="16" t="s">
        <v>136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37</v>
      </c>
      <c r="L196" s="16" t="s">
        <v>34</v>
      </c>
      <c r="M196" s="16" t="s">
        <v>137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136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136</v>
      </c>
      <c r="L200" s="16" t="s">
        <v>22</v>
      </c>
      <c r="M200" s="16" t="s">
        <v>137</v>
      </c>
      <c r="N200" s="16" t="s">
        <v>92</v>
      </c>
      <c r="O200" s="16" t="s">
        <v>136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136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18</v>
      </c>
      <c r="L203" s="16" t="s">
        <v>35</v>
      </c>
      <c r="M203" s="16" t="s">
        <v>119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" priority="10">
      <formula>_xlfn.LET(_xlpm.x, W4, AND(NOT(_xlfn.ISFORMULA(_xlpm.x)), _xlpm.x&lt;&gt;""))</formula>
    </cfRule>
  </conditionalFormatting>
  <conditionalFormatting sqref="W4:AA203">
    <cfRule type="expression" dxfId="16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{600BE669-CA3E-4DE5-9CFA-BE56CF569108}</x14:id>
        </ext>
      </extLst>
    </cfRule>
  </conditionalFormatting>
  <conditionalFormatting sqref="K1:O1048576">
    <cfRule type="cellIs" dxfId="15" priority="1" operator="equal">
      <formula>"C1"</formula>
    </cfRule>
    <cfRule type="cellIs" dxfId="14" priority="2" operator="between">
      <formula>"G1"</formula>
      <formula>"G5"</formula>
    </cfRule>
    <cfRule type="cellIs" dxfId="13" priority="3" operator="between">
      <formula>"GA"</formula>
      <formula>"GJ"</formula>
    </cfRule>
    <cfRule type="cellIs" dxfId="1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0BE669-CA3E-4DE5-9CFA-BE56CF569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144</v>
      </c>
      <c r="Q2" s="27" t="s">
        <v>145</v>
      </c>
      <c r="W2" s="27" t="s">
        <v>146</v>
      </c>
      <c r="AC2" s="27" t="s">
        <v>158</v>
      </c>
      <c r="AH2" s="5"/>
      <c r="AI2" s="5"/>
      <c r="AJ2" s="27" t="s">
        <v>110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136</v>
      </c>
      <c r="M4" s="26" t="s">
        <v>137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142</v>
      </c>
      <c r="AH4" s="5"/>
      <c r="AI4" s="5"/>
      <c r="AJ4" s="27" t="s">
        <v>142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5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136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136</v>
      </c>
      <c r="M6" s="16" t="s">
        <v>137</v>
      </c>
      <c r="N6" s="16" t="s">
        <v>35</v>
      </c>
      <c r="O6" s="16" t="s">
        <v>136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13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14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136</v>
      </c>
      <c r="L8" s="16" t="s">
        <v>37</v>
      </c>
      <c r="M8" s="16" t="s">
        <v>119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6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6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42</v>
      </c>
      <c r="D9" s="144">
        <f t="shared" si="0"/>
        <v>25</v>
      </c>
      <c r="E9" s="144">
        <f t="shared" si="0"/>
        <v>0</v>
      </c>
      <c r="F9" s="144">
        <f t="shared" si="0"/>
        <v>33</v>
      </c>
      <c r="G9" s="144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20</v>
      </c>
      <c r="N9" s="16" t="s">
        <v>137</v>
      </c>
      <c r="O9" s="16" t="s">
        <v>18</v>
      </c>
      <c r="Q9" s="9">
        <v>5</v>
      </c>
      <c r="R9" s="9">
        <v>9</v>
      </c>
      <c r="S9" s="9">
        <v>1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6" t="str">
        <v>M2</v>
      </c>
      <c r="AD9" s="144">
        <v>3</v>
      </c>
      <c r="AE9" s="144">
        <v>13</v>
      </c>
      <c r="AF9" s="144">
        <v>0</v>
      </c>
      <c r="AG9" s="144">
        <v>3</v>
      </c>
      <c r="AH9" s="144">
        <v>8</v>
      </c>
      <c r="AI9" s="5"/>
      <c r="AJ9" s="166" t="str">
        <v>M2</v>
      </c>
      <c r="AK9" s="144">
        <v>3</v>
      </c>
      <c r="AL9" s="144">
        <v>13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25</v>
      </c>
      <c r="E10" s="144">
        <f t="shared" si="0"/>
        <v>0</v>
      </c>
      <c r="F10" s="144">
        <f t="shared" si="0"/>
        <v>34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119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6" t="str">
        <v>M3</v>
      </c>
      <c r="AD10" s="144">
        <v>7</v>
      </c>
      <c r="AE10" s="144">
        <v>14</v>
      </c>
      <c r="AF10" s="144">
        <v>0</v>
      </c>
      <c r="AG10" s="144">
        <v>7</v>
      </c>
      <c r="AH10" s="144">
        <v>14</v>
      </c>
      <c r="AI10" s="5"/>
      <c r="AJ10" s="166" t="str">
        <v>M3</v>
      </c>
      <c r="AK10" s="144">
        <v>7</v>
      </c>
      <c r="AL10" s="144">
        <v>14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42</v>
      </c>
      <c r="D11" s="144">
        <f t="shared" si="0"/>
        <v>29</v>
      </c>
      <c r="E11" s="144">
        <f t="shared" si="0"/>
        <v>0</v>
      </c>
      <c r="F11" s="144">
        <f t="shared" si="0"/>
        <v>33</v>
      </c>
      <c r="G11" s="144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137</v>
      </c>
      <c r="N11" s="16" t="s">
        <v>136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6" t="str">
        <v>M4</v>
      </c>
      <c r="AD11" s="144">
        <v>42</v>
      </c>
      <c r="AE11" s="144">
        <v>25</v>
      </c>
      <c r="AF11" s="144">
        <v>0</v>
      </c>
      <c r="AG11" s="144">
        <v>33</v>
      </c>
      <c r="AH11" s="144">
        <v>34</v>
      </c>
      <c r="AI11" s="5"/>
      <c r="AJ11" s="166" t="str">
        <v>M4</v>
      </c>
      <c r="AK11" s="144">
        <v>42</v>
      </c>
      <c r="AL11" s="144">
        <v>25</v>
      </c>
      <c r="AM11" s="144">
        <v>0</v>
      </c>
      <c r="AN11" s="144">
        <v>33</v>
      </c>
      <c r="AO11" s="144">
        <v>34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26</v>
      </c>
      <c r="E12" s="144">
        <f t="shared" si="0"/>
        <v>0</v>
      </c>
      <c r="F12" s="144">
        <f t="shared" si="0"/>
        <v>34</v>
      </c>
      <c r="G12" s="144">
        <f t="shared" si="0"/>
        <v>33</v>
      </c>
      <c r="H12" s="118">
        <v>8</v>
      </c>
      <c r="I12" s="87"/>
      <c r="J12" s="25">
        <v>8</v>
      </c>
      <c r="K12" s="16" t="s">
        <v>136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6" t="str">
        <v>M5</v>
      </c>
      <c r="AD12" s="144">
        <v>42</v>
      </c>
      <c r="AE12" s="144">
        <v>25</v>
      </c>
      <c r="AF12" s="144">
        <v>0</v>
      </c>
      <c r="AG12" s="144">
        <v>34</v>
      </c>
      <c r="AH12" s="144">
        <v>34</v>
      </c>
      <c r="AI12" s="5"/>
      <c r="AJ12" s="166" t="str">
        <v>M5</v>
      </c>
      <c r="AK12" s="144">
        <v>42</v>
      </c>
      <c r="AL12" s="144">
        <v>25</v>
      </c>
      <c r="AM12" s="144">
        <v>0</v>
      </c>
      <c r="AN12" s="144">
        <v>34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13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136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6" t="str">
        <v>A</v>
      </c>
      <c r="AD13" s="144">
        <v>42</v>
      </c>
      <c r="AE13" s="144">
        <v>29</v>
      </c>
      <c r="AF13" s="144">
        <v>0</v>
      </c>
      <c r="AG13" s="144">
        <v>33</v>
      </c>
      <c r="AH13" s="144">
        <v>33</v>
      </c>
      <c r="AI13" s="5"/>
      <c r="AJ13" s="166" t="str">
        <v>A</v>
      </c>
      <c r="AK13" s="144">
        <v>42</v>
      </c>
      <c r="AL13" s="144">
        <v>29</v>
      </c>
      <c r="AM13" s="144">
        <v>0</v>
      </c>
      <c r="AN13" s="144">
        <v>33</v>
      </c>
      <c r="AO13" s="144">
        <v>33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119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6" t="str">
        <v>K</v>
      </c>
      <c r="AD14" s="144">
        <v>43</v>
      </c>
      <c r="AE14" s="144">
        <v>26</v>
      </c>
      <c r="AF14" s="144">
        <v>0</v>
      </c>
      <c r="AG14" s="144">
        <v>34</v>
      </c>
      <c r="AH14" s="144">
        <v>33</v>
      </c>
      <c r="AI14" s="5"/>
      <c r="AJ14" s="166" t="str">
        <v>K</v>
      </c>
      <c r="AK14" s="144">
        <v>43</v>
      </c>
      <c r="AL14" s="144">
        <v>26</v>
      </c>
      <c r="AM14" s="144">
        <v>0</v>
      </c>
      <c r="AN14" s="144">
        <v>34</v>
      </c>
      <c r="AO14" s="144">
        <v>33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136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6" t="str">
        <v>Q</v>
      </c>
      <c r="AD15" s="144">
        <v>7</v>
      </c>
      <c r="AE15" s="144">
        <v>13</v>
      </c>
      <c r="AF15" s="144">
        <v>0</v>
      </c>
      <c r="AG15" s="144">
        <v>6</v>
      </c>
      <c r="AH15" s="144">
        <v>13</v>
      </c>
      <c r="AI15" s="5"/>
      <c r="AJ15" s="166" t="str">
        <v>Q</v>
      </c>
      <c r="AK15" s="144">
        <v>7</v>
      </c>
      <c r="AL15" s="144">
        <v>13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136</v>
      </c>
      <c r="M16" s="16" t="s">
        <v>119</v>
      </c>
      <c r="N16" s="16" t="s">
        <v>137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6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6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137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137</v>
      </c>
      <c r="O18" s="16" t="s">
        <v>136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119</v>
      </c>
      <c r="M19" s="16" t="s">
        <v>119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136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9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119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9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136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136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21</v>
      </c>
      <c r="M25" s="16" t="s">
        <v>137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136</v>
      </c>
      <c r="L26" s="16" t="s">
        <v>36</v>
      </c>
      <c r="M26" s="16" t="s">
        <v>88</v>
      </c>
      <c r="N26" s="16" t="s">
        <v>136</v>
      </c>
      <c r="O26" s="16" t="s">
        <v>136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19</v>
      </c>
      <c r="M27" s="16" t="s">
        <v>137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2.5000000000000001E-2</v>
      </c>
      <c r="D28" s="143">
        <v>2.5000000000000001E-2</v>
      </c>
      <c r="E28" s="143">
        <v>2.5000000000000001E-2</v>
      </c>
      <c r="F28" s="143">
        <v>0.04</v>
      </c>
      <c r="G28" s="143">
        <v>0.04</v>
      </c>
      <c r="H28" s="8">
        <v>1</v>
      </c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143</v>
      </c>
      <c r="AH28" s="5"/>
      <c r="AI28" s="5"/>
      <c r="AJ28" s="27" t="s">
        <v>143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37</v>
      </c>
      <c r="L29" s="16" t="s">
        <v>35</v>
      </c>
      <c r="M29" s="16" t="s">
        <v>137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6.5000000000000002E-2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136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7.0000000000000007E-2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</v>
      </c>
      <c r="D32" s="143">
        <v>0.125</v>
      </c>
      <c r="E32" s="143">
        <v>0</v>
      </c>
      <c r="F32" s="143">
        <v>0.16500000000000001</v>
      </c>
      <c r="G32" s="143">
        <v>0.17</v>
      </c>
      <c r="H32" s="8">
        <v>5</v>
      </c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136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6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6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0.125</v>
      </c>
      <c r="E33" s="143">
        <v>0</v>
      </c>
      <c r="F33" s="143">
        <v>0.17</v>
      </c>
      <c r="G33" s="143">
        <v>0.17</v>
      </c>
      <c r="H33" s="8">
        <v>6</v>
      </c>
      <c r="J33" s="9">
        <v>29</v>
      </c>
      <c r="K33" s="16" t="s">
        <v>136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6" t="str">
        <v>M2</v>
      </c>
      <c r="AD33" s="144">
        <v>3</v>
      </c>
      <c r="AE33" s="144">
        <v>13</v>
      </c>
      <c r="AF33" s="144">
        <v>0</v>
      </c>
      <c r="AG33" s="144">
        <v>3</v>
      </c>
      <c r="AH33" s="144">
        <v>8</v>
      </c>
      <c r="AI33" s="5"/>
      <c r="AJ33" s="166" t="str">
        <v>M2</v>
      </c>
      <c r="AK33" s="144">
        <v>3</v>
      </c>
      <c r="AL33" s="144">
        <v>13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</v>
      </c>
      <c r="D34" s="143">
        <v>0.14499999999999999</v>
      </c>
      <c r="E34" s="143">
        <v>0</v>
      </c>
      <c r="F34" s="143">
        <v>0.16500000000000001</v>
      </c>
      <c r="G34" s="143">
        <v>0.16500000000000001</v>
      </c>
      <c r="H34" s="8">
        <v>7</v>
      </c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6" t="str">
        <v>M3</v>
      </c>
      <c r="AD34" s="144">
        <v>7</v>
      </c>
      <c r="AE34" s="144">
        <v>14</v>
      </c>
      <c r="AF34" s="144">
        <v>0</v>
      </c>
      <c r="AG34" s="144">
        <v>7</v>
      </c>
      <c r="AH34" s="144">
        <v>14</v>
      </c>
      <c r="AI34" s="5"/>
      <c r="AJ34" s="166" t="str">
        <v>M3</v>
      </c>
      <c r="AK34" s="144">
        <v>7</v>
      </c>
      <c r="AL34" s="144">
        <v>14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0.13</v>
      </c>
      <c r="E35" s="143">
        <v>0</v>
      </c>
      <c r="F35" s="143">
        <v>0.17</v>
      </c>
      <c r="G35" s="143">
        <v>0.16500000000000001</v>
      </c>
      <c r="H35" s="8">
        <v>8</v>
      </c>
      <c r="J35" s="9">
        <v>31</v>
      </c>
      <c r="K35" s="16" t="s">
        <v>136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6" t="str">
        <v>M4</v>
      </c>
      <c r="AD35" s="144">
        <v>42</v>
      </c>
      <c r="AE35" s="144">
        <v>25</v>
      </c>
      <c r="AF35" s="144">
        <v>0</v>
      </c>
      <c r="AG35" s="144">
        <v>33</v>
      </c>
      <c r="AH35" s="144">
        <v>34</v>
      </c>
      <c r="AI35" s="5"/>
      <c r="AJ35" s="166" t="str">
        <v>M4</v>
      </c>
      <c r="AK35" s="144">
        <v>42</v>
      </c>
      <c r="AL35" s="144">
        <v>25</v>
      </c>
      <c r="AM35" s="144">
        <v>0</v>
      </c>
      <c r="AN35" s="144">
        <v>33</v>
      </c>
      <c r="AO35" s="144">
        <v>34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6.5000000000000002E-2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136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6" t="str">
        <v>M5</v>
      </c>
      <c r="AD36" s="144">
        <v>42</v>
      </c>
      <c r="AE36" s="144">
        <v>25</v>
      </c>
      <c r="AF36" s="144">
        <v>0</v>
      </c>
      <c r="AG36" s="144">
        <v>34</v>
      </c>
      <c r="AH36" s="144">
        <v>34</v>
      </c>
      <c r="AI36" s="5"/>
      <c r="AJ36" s="166" t="str">
        <v>M5</v>
      </c>
      <c r="AK36" s="144">
        <v>42</v>
      </c>
      <c r="AL36" s="144">
        <v>25</v>
      </c>
      <c r="AM36" s="144">
        <v>0</v>
      </c>
      <c r="AN36" s="144">
        <v>34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35</v>
      </c>
      <c r="M37" s="16" t="s">
        <v>119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6" t="str">
        <v>A</v>
      </c>
      <c r="AD37" s="144">
        <v>42</v>
      </c>
      <c r="AE37" s="144">
        <v>29</v>
      </c>
      <c r="AF37" s="144">
        <v>0</v>
      </c>
      <c r="AG37" s="144">
        <v>33</v>
      </c>
      <c r="AH37" s="144">
        <v>33</v>
      </c>
      <c r="AI37" s="5"/>
      <c r="AJ37" s="166" t="str">
        <v>A</v>
      </c>
      <c r="AK37" s="144">
        <v>42</v>
      </c>
      <c r="AL37" s="144">
        <v>29</v>
      </c>
      <c r="AM37" s="144">
        <v>0</v>
      </c>
      <c r="AN37" s="144">
        <v>33</v>
      </c>
      <c r="AO37" s="144">
        <v>33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6" t="str">
        <v>K</v>
      </c>
      <c r="AD38" s="144">
        <v>43</v>
      </c>
      <c r="AE38" s="144">
        <v>26</v>
      </c>
      <c r="AF38" s="144">
        <v>0</v>
      </c>
      <c r="AG38" s="144">
        <v>34</v>
      </c>
      <c r="AH38" s="144">
        <v>33</v>
      </c>
      <c r="AI38" s="5"/>
      <c r="AJ38" s="166" t="str">
        <v>K</v>
      </c>
      <c r="AK38" s="144">
        <v>43</v>
      </c>
      <c r="AL38" s="144">
        <v>26</v>
      </c>
      <c r="AM38" s="144">
        <v>0</v>
      </c>
      <c r="AN38" s="144">
        <v>34</v>
      </c>
      <c r="AO38" s="144">
        <v>33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0.01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6" t="str">
        <v>Q</v>
      </c>
      <c r="AD39" s="144">
        <v>7</v>
      </c>
      <c r="AE39" s="144">
        <v>13</v>
      </c>
      <c r="AF39" s="144">
        <v>0</v>
      </c>
      <c r="AG39" s="144">
        <v>6</v>
      </c>
      <c r="AH39" s="144">
        <v>13</v>
      </c>
      <c r="AI39" s="5"/>
      <c r="AJ39" s="166" t="str">
        <v>Q</v>
      </c>
      <c r="AK39" s="144">
        <v>7</v>
      </c>
      <c r="AL39" s="144">
        <v>13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0.01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37</v>
      </c>
      <c r="L40" s="16" t="s">
        <v>35</v>
      </c>
      <c r="M40" s="16" t="s">
        <v>20</v>
      </c>
      <c r="N40" s="16" t="s">
        <v>136</v>
      </c>
      <c r="O40" s="16" t="s">
        <v>35</v>
      </c>
      <c r="Q40" s="9">
        <v>7</v>
      </c>
      <c r="R40" s="9">
        <v>8</v>
      </c>
      <c r="S40" s="9">
        <v>1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6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6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2.5000000000000001E-2</v>
      </c>
      <c r="E41" s="143">
        <v>0.21</v>
      </c>
      <c r="F41" s="143">
        <v>3.5000000000000003E-2</v>
      </c>
      <c r="G41" s="143">
        <v>0</v>
      </c>
      <c r="H41" s="8">
        <v>14</v>
      </c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2.5000000000000001E-2</v>
      </c>
      <c r="E42" s="143">
        <v>0.21</v>
      </c>
      <c r="F42" s="143">
        <v>0.03</v>
      </c>
      <c r="G42" s="143">
        <v>0</v>
      </c>
      <c r="H42" s="8">
        <v>15</v>
      </c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3.5000000000000003E-2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2.5000000000000001E-2</v>
      </c>
      <c r="E44" s="143">
        <v>0.21</v>
      </c>
      <c r="F44" s="143">
        <v>0.03</v>
      </c>
      <c r="G44" s="143">
        <v>0</v>
      </c>
      <c r="H44" s="8">
        <v>17</v>
      </c>
      <c r="J44" s="25">
        <v>40</v>
      </c>
      <c r="K44" s="16" t="s">
        <v>19</v>
      </c>
      <c r="L44" s="16" t="s">
        <v>19</v>
      </c>
      <c r="M44" s="16" t="s">
        <v>119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9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0.01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9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136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18</v>
      </c>
      <c r="L47" s="16" t="s">
        <v>35</v>
      </c>
      <c r="M47" s="16" t="s">
        <v>119</v>
      </c>
      <c r="N47" s="16" t="s">
        <v>37</v>
      </c>
      <c r="O47" s="16" t="s">
        <v>136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136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136</v>
      </c>
      <c r="L49" s="16" t="s">
        <v>91</v>
      </c>
      <c r="M49" s="16" t="s">
        <v>119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 x14ac:dyDescent="0.3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136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34</v>
      </c>
      <c r="L52" s="16" t="s">
        <v>35</v>
      </c>
      <c r="M52" s="16" t="s">
        <v>119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141</v>
      </c>
      <c r="AH52" s="5"/>
      <c r="AI52" s="5"/>
      <c r="AJ52" s="27" t="s">
        <v>141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89</v>
      </c>
      <c r="M53" s="16" t="s">
        <v>137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136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136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136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6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6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136</v>
      </c>
      <c r="O57" s="16" t="s">
        <v>136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6" t="str">
        <v>M2</v>
      </c>
      <c r="AD57" s="144">
        <v>3</v>
      </c>
      <c r="AE57" s="144">
        <v>13</v>
      </c>
      <c r="AF57" s="144">
        <v>0</v>
      </c>
      <c r="AG57" s="144">
        <v>3</v>
      </c>
      <c r="AH57" s="144">
        <v>8</v>
      </c>
      <c r="AI57" s="5"/>
      <c r="AJ57" s="166" t="str">
        <v>M2</v>
      </c>
      <c r="AK57" s="144">
        <v>3</v>
      </c>
      <c r="AL57" s="144">
        <v>13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136</v>
      </c>
      <c r="L58" s="16" t="s">
        <v>36</v>
      </c>
      <c r="M58" s="16" t="s">
        <v>137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6" t="str">
        <v>M3</v>
      </c>
      <c r="AD58" s="144">
        <v>7</v>
      </c>
      <c r="AE58" s="144">
        <v>14</v>
      </c>
      <c r="AF58" s="144">
        <v>0</v>
      </c>
      <c r="AG58" s="144">
        <v>7</v>
      </c>
      <c r="AH58" s="144">
        <v>14</v>
      </c>
      <c r="AI58" s="5"/>
      <c r="AJ58" s="166" t="str">
        <v>M3</v>
      </c>
      <c r="AK58" s="144">
        <v>7</v>
      </c>
      <c r="AL58" s="144">
        <v>14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6" t="str">
        <v>M4</v>
      </c>
      <c r="AD59" s="144">
        <v>42</v>
      </c>
      <c r="AE59" s="144">
        <v>25</v>
      </c>
      <c r="AF59" s="144">
        <v>0</v>
      </c>
      <c r="AG59" s="144">
        <v>33</v>
      </c>
      <c r="AH59" s="144">
        <v>34</v>
      </c>
      <c r="AI59" s="5"/>
      <c r="AJ59" s="166" t="str">
        <v>M4</v>
      </c>
      <c r="AK59" s="144">
        <v>42</v>
      </c>
      <c r="AL59" s="144">
        <v>25</v>
      </c>
      <c r="AM59" s="144">
        <v>0</v>
      </c>
      <c r="AN59" s="144">
        <v>33</v>
      </c>
      <c r="AO59" s="144">
        <v>34</v>
      </c>
    </row>
    <row r="60" spans="10:41" ht="16.5" customHeight="1" x14ac:dyDescent="0.3">
      <c r="J60" s="25">
        <v>56</v>
      </c>
      <c r="K60" s="16" t="s">
        <v>136</v>
      </c>
      <c r="L60" s="16" t="s">
        <v>137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6" t="str">
        <v>M5</v>
      </c>
      <c r="AD60" s="144">
        <v>42</v>
      </c>
      <c r="AE60" s="144">
        <v>25</v>
      </c>
      <c r="AF60" s="144">
        <v>0</v>
      </c>
      <c r="AG60" s="144">
        <v>34</v>
      </c>
      <c r="AH60" s="144">
        <v>34</v>
      </c>
      <c r="AI60" s="5"/>
      <c r="AJ60" s="166" t="str">
        <v>M5</v>
      </c>
      <c r="AK60" s="144">
        <v>42</v>
      </c>
      <c r="AL60" s="144">
        <v>25</v>
      </c>
      <c r="AM60" s="144">
        <v>0</v>
      </c>
      <c r="AN60" s="144">
        <v>34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19</v>
      </c>
      <c r="M61" s="16" t="s">
        <v>137</v>
      </c>
      <c r="N61" s="16" t="s">
        <v>136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6" t="str">
        <v>A</v>
      </c>
      <c r="AD61" s="144">
        <v>42</v>
      </c>
      <c r="AE61" s="144">
        <v>29</v>
      </c>
      <c r="AF61" s="144">
        <v>0</v>
      </c>
      <c r="AG61" s="144">
        <v>33</v>
      </c>
      <c r="AH61" s="144">
        <v>33</v>
      </c>
      <c r="AI61" s="5"/>
      <c r="AJ61" s="166" t="str">
        <v>A</v>
      </c>
      <c r="AK61" s="144">
        <v>42</v>
      </c>
      <c r="AL61" s="144">
        <v>29</v>
      </c>
      <c r="AM61" s="144">
        <v>0</v>
      </c>
      <c r="AN61" s="144">
        <v>33</v>
      </c>
      <c r="AO61" s="144">
        <v>33</v>
      </c>
    </row>
    <row r="62" spans="10:41" x14ac:dyDescent="0.3">
      <c r="J62" s="25">
        <v>58</v>
      </c>
      <c r="K62" s="16" t="s">
        <v>136</v>
      </c>
      <c r="L62" s="16" t="s">
        <v>35</v>
      </c>
      <c r="M62" s="16" t="s">
        <v>119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6" t="str">
        <v>K</v>
      </c>
      <c r="AD62" s="144">
        <v>43</v>
      </c>
      <c r="AE62" s="144">
        <v>26</v>
      </c>
      <c r="AF62" s="144">
        <v>0</v>
      </c>
      <c r="AG62" s="144">
        <v>34</v>
      </c>
      <c r="AH62" s="144">
        <v>33</v>
      </c>
      <c r="AI62" s="5"/>
      <c r="AJ62" s="166" t="str">
        <v>K</v>
      </c>
      <c r="AK62" s="144">
        <v>43</v>
      </c>
      <c r="AL62" s="144">
        <v>26</v>
      </c>
      <c r="AM62" s="144">
        <v>0</v>
      </c>
      <c r="AN62" s="144">
        <v>34</v>
      </c>
      <c r="AO62" s="144">
        <v>33</v>
      </c>
    </row>
    <row r="63" spans="10:41" ht="16.5" customHeight="1" x14ac:dyDescent="0.3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6" t="str">
        <v>Q</v>
      </c>
      <c r="AD63" s="144">
        <v>7</v>
      </c>
      <c r="AE63" s="144">
        <v>13</v>
      </c>
      <c r="AF63" s="144">
        <v>0</v>
      </c>
      <c r="AG63" s="144">
        <v>6</v>
      </c>
      <c r="AH63" s="144">
        <v>13</v>
      </c>
      <c r="AI63" s="5"/>
      <c r="AJ63" s="166" t="str">
        <v>Q</v>
      </c>
      <c r="AK63" s="144">
        <v>7</v>
      </c>
      <c r="AL63" s="144">
        <v>13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35</v>
      </c>
      <c r="M64" s="16" t="s">
        <v>137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6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6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19</v>
      </c>
      <c r="M66" s="16" t="s">
        <v>137</v>
      </c>
      <c r="N66" s="16" t="s">
        <v>37</v>
      </c>
      <c r="O66" s="16" t="s">
        <v>136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18</v>
      </c>
      <c r="L68" s="16" t="s">
        <v>34</v>
      </c>
      <c r="M68" s="16" t="s">
        <v>137</v>
      </c>
      <c r="N68" s="16" t="s">
        <v>37</v>
      </c>
      <c r="O68" s="16" t="s">
        <v>136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9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 x14ac:dyDescent="0.3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9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 x14ac:dyDescent="0.3">
      <c r="J70" s="25">
        <v>66</v>
      </c>
      <c r="K70" s="16" t="s">
        <v>136</v>
      </c>
      <c r="L70" s="16" t="s">
        <v>21</v>
      </c>
      <c r="M70" s="16" t="s">
        <v>119</v>
      </c>
      <c r="N70" s="16" t="s">
        <v>91</v>
      </c>
      <c r="O70" s="16" t="s">
        <v>136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35</v>
      </c>
      <c r="M72" s="16" t="s">
        <v>137</v>
      </c>
      <c r="N72" s="16" t="s">
        <v>136</v>
      </c>
      <c r="O72" s="16" t="s">
        <v>136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19</v>
      </c>
      <c r="L73" s="16" t="s">
        <v>137</v>
      </c>
      <c r="M73" s="16" t="s">
        <v>119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136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 x14ac:dyDescent="0.3">
      <c r="J75" s="9">
        <v>71</v>
      </c>
      <c r="K75" s="16" t="s">
        <v>35</v>
      </c>
      <c r="L75" s="16" t="s">
        <v>37</v>
      </c>
      <c r="M75" s="16" t="s">
        <v>119</v>
      </c>
      <c r="N75" s="16" t="s">
        <v>136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136</v>
      </c>
      <c r="L76" s="16" t="s">
        <v>136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37</v>
      </c>
      <c r="L77" s="16" t="s">
        <v>22</v>
      </c>
      <c r="M77" s="16" t="s">
        <v>137</v>
      </c>
      <c r="N77" s="16" t="s">
        <v>136</v>
      </c>
      <c r="O77" s="16" t="s">
        <v>136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19</v>
      </c>
      <c r="L79" s="16" t="s">
        <v>19</v>
      </c>
      <c r="M79" s="16" t="s">
        <v>137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136</v>
      </c>
      <c r="L81" s="16" t="s">
        <v>136</v>
      </c>
      <c r="M81" s="16" t="s">
        <v>137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136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136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136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136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36</v>
      </c>
      <c r="L87" s="16" t="s">
        <v>91</v>
      </c>
      <c r="M87" s="16" t="s">
        <v>137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136</v>
      </c>
      <c r="L88" s="16" t="s">
        <v>36</v>
      </c>
      <c r="M88" s="16" t="s">
        <v>119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136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136</v>
      </c>
      <c r="L90" s="16" t="s">
        <v>21</v>
      </c>
      <c r="M90" s="16" t="s">
        <v>137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36</v>
      </c>
      <c r="L91" s="16" t="s">
        <v>90</v>
      </c>
      <c r="M91" s="16" t="s">
        <v>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136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34</v>
      </c>
      <c r="M93" s="16" t="s">
        <v>137</v>
      </c>
      <c r="N93" s="16" t="s">
        <v>119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19</v>
      </c>
      <c r="L94" s="16" t="s">
        <v>136</v>
      </c>
      <c r="M94" s="16" t="s">
        <v>119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136</v>
      </c>
      <c r="L97" s="16" t="s">
        <v>36</v>
      </c>
      <c r="M97" s="16" t="s">
        <v>137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136</v>
      </c>
      <c r="M98" s="16" t="s">
        <v>119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136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20</v>
      </c>
      <c r="L100" s="16" t="s">
        <v>35</v>
      </c>
      <c r="M100" s="16" t="s">
        <v>119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136</v>
      </c>
      <c r="L101" s="16" t="s">
        <v>136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136</v>
      </c>
      <c r="M103" s="16" t="s">
        <v>20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35</v>
      </c>
      <c r="L104" s="16" t="s">
        <v>119</v>
      </c>
      <c r="M104" s="16" t="s">
        <v>92</v>
      </c>
      <c r="N104" s="16" t="s">
        <v>137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136</v>
      </c>
      <c r="L105" s="16" t="s">
        <v>20</v>
      </c>
      <c r="M105" s="16" t="s">
        <v>119</v>
      </c>
      <c r="N105" s="16" t="s">
        <v>19</v>
      </c>
      <c r="O105" s="16" t="s">
        <v>136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35</v>
      </c>
      <c r="M106" s="16" t="s">
        <v>137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119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34</v>
      </c>
      <c r="L108" s="16" t="s">
        <v>136</v>
      </c>
      <c r="M108" s="16" t="s">
        <v>92</v>
      </c>
      <c r="N108" s="16" t="s">
        <v>37</v>
      </c>
      <c r="O108" s="16" t="s">
        <v>136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136</v>
      </c>
      <c r="L110" s="16" t="s">
        <v>137</v>
      </c>
      <c r="M110" s="16" t="s">
        <v>119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136</v>
      </c>
      <c r="L112" s="16" t="s">
        <v>119</v>
      </c>
      <c r="M112" s="16" t="s">
        <v>119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137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119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136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34</v>
      </c>
      <c r="L116" s="16" t="s">
        <v>136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22</v>
      </c>
      <c r="M117" s="16" t="s">
        <v>119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136</v>
      </c>
      <c r="M118" s="16" t="s">
        <v>91</v>
      </c>
      <c r="N118" s="16" t="s">
        <v>37</v>
      </c>
      <c r="O118" s="16" t="s">
        <v>136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137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37</v>
      </c>
      <c r="M120" s="16" t="s">
        <v>119</v>
      </c>
      <c r="N120" s="16" t="s">
        <v>136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136</v>
      </c>
      <c r="L121" s="16" t="s">
        <v>136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37</v>
      </c>
      <c r="M123" s="16" t="s">
        <v>137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136</v>
      </c>
      <c r="L125" s="16" t="s">
        <v>36</v>
      </c>
      <c r="M125" s="16" t="s">
        <v>137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137</v>
      </c>
      <c r="O126" s="16" t="s">
        <v>136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136</v>
      </c>
      <c r="M127" s="16" t="s">
        <v>137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136</v>
      </c>
      <c r="L128" s="16" t="s">
        <v>37</v>
      </c>
      <c r="M128" s="16" t="s">
        <v>119</v>
      </c>
      <c r="N128" s="16" t="s">
        <v>119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119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136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35</v>
      </c>
      <c r="M132" s="16" t="s">
        <v>119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136</v>
      </c>
      <c r="L133" s="16" t="s">
        <v>136</v>
      </c>
      <c r="M133" s="16" t="s">
        <v>137</v>
      </c>
      <c r="N133" s="16" t="s">
        <v>119</v>
      </c>
      <c r="O133" s="16" t="s">
        <v>136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34</v>
      </c>
      <c r="M135" s="16" t="s">
        <v>119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136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37</v>
      </c>
      <c r="M137" s="16" t="s">
        <v>119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136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19</v>
      </c>
      <c r="M140" s="16" t="s">
        <v>20</v>
      </c>
      <c r="N140" s="16" t="s">
        <v>136</v>
      </c>
      <c r="O140" s="16" t="s">
        <v>37</v>
      </c>
      <c r="Q140" s="9">
        <v>5</v>
      </c>
      <c r="R140" s="9">
        <v>5</v>
      </c>
      <c r="S140" s="9">
        <v>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37</v>
      </c>
      <c r="L141" s="16" t="s">
        <v>37</v>
      </c>
      <c r="M141" s="16" t="s">
        <v>137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18</v>
      </c>
      <c r="M144" s="16" t="s">
        <v>137</v>
      </c>
      <c r="N144" s="16" t="s">
        <v>136</v>
      </c>
      <c r="O144" s="16" t="s">
        <v>136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136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20</v>
      </c>
      <c r="L146" s="16" t="s">
        <v>91</v>
      </c>
      <c r="M146" s="16" t="s">
        <v>119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136</v>
      </c>
      <c r="O147" s="16" t="s">
        <v>136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21</v>
      </c>
      <c r="L148" s="16" t="s">
        <v>18</v>
      </c>
      <c r="M148" s="16" t="s">
        <v>119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136</v>
      </c>
      <c r="L150" s="16" t="s">
        <v>19</v>
      </c>
      <c r="M150" s="16" t="s">
        <v>91</v>
      </c>
      <c r="N150" s="16" t="s">
        <v>136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136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19</v>
      </c>
      <c r="L153" s="16" t="s">
        <v>34</v>
      </c>
      <c r="M153" s="16" t="s">
        <v>137</v>
      </c>
      <c r="N153" s="16" t="s">
        <v>136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119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136</v>
      </c>
      <c r="M156" s="16" t="s">
        <v>137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37</v>
      </c>
      <c r="L159" s="16" t="s">
        <v>136</v>
      </c>
      <c r="M159" s="16" t="s">
        <v>91</v>
      </c>
      <c r="N159" s="16" t="s">
        <v>136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18</v>
      </c>
      <c r="L160" s="16" t="s">
        <v>35</v>
      </c>
      <c r="M160" s="16" t="s">
        <v>137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18</v>
      </c>
      <c r="M161" s="16" t="s">
        <v>119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35</v>
      </c>
      <c r="M162" s="16" t="s">
        <v>137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136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37</v>
      </c>
      <c r="L164" s="16" t="s">
        <v>88</v>
      </c>
      <c r="M164" s="16" t="s">
        <v>137</v>
      </c>
      <c r="N164" s="16" t="s">
        <v>92</v>
      </c>
      <c r="O164" s="16" t="s">
        <v>136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119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136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136</v>
      </c>
      <c r="L167" s="16" t="s">
        <v>21</v>
      </c>
      <c r="M167" s="16" t="s">
        <v>137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35</v>
      </c>
      <c r="M169" s="16" t="s">
        <v>119</v>
      </c>
      <c r="N169" s="16" t="s">
        <v>19</v>
      </c>
      <c r="O169" s="16" t="s">
        <v>136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136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136</v>
      </c>
      <c r="L173" s="16" t="s">
        <v>18</v>
      </c>
      <c r="M173" s="16" t="s">
        <v>137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19</v>
      </c>
      <c r="M174" s="16" t="s">
        <v>119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136</v>
      </c>
      <c r="L176" s="16" t="s">
        <v>92</v>
      </c>
      <c r="M176" s="16" t="s">
        <v>92</v>
      </c>
      <c r="N176" s="16" t="s">
        <v>136</v>
      </c>
      <c r="O176" s="16" t="s">
        <v>136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34</v>
      </c>
      <c r="L177" s="16" t="s">
        <v>37</v>
      </c>
      <c r="M177" s="16" t="s">
        <v>137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119</v>
      </c>
      <c r="N178" s="16" t="s">
        <v>136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18</v>
      </c>
      <c r="L180" s="16" t="s">
        <v>37</v>
      </c>
      <c r="M180" s="16" t="s">
        <v>137</v>
      </c>
      <c r="N180" s="16" t="s">
        <v>37</v>
      </c>
      <c r="O180" s="16" t="s">
        <v>136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136</v>
      </c>
      <c r="L181" s="16" t="s">
        <v>136</v>
      </c>
      <c r="M181" s="16" t="s">
        <v>119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19</v>
      </c>
      <c r="M182" s="16" t="s">
        <v>137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37</v>
      </c>
      <c r="M183" s="16" t="s">
        <v>119</v>
      </c>
      <c r="N183" s="16" t="s">
        <v>37</v>
      </c>
      <c r="O183" s="16" t="s">
        <v>136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136</v>
      </c>
      <c r="L184" s="16" t="s">
        <v>136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37</v>
      </c>
      <c r="M185" s="16" t="s">
        <v>137</v>
      </c>
      <c r="N185" s="16" t="s">
        <v>119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136</v>
      </c>
      <c r="L186" s="16" t="s">
        <v>34</v>
      </c>
      <c r="M186" s="16" t="s">
        <v>91</v>
      </c>
      <c r="N186" s="16" t="s">
        <v>35</v>
      </c>
      <c r="O186" s="16" t="s">
        <v>136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137</v>
      </c>
      <c r="M187" s="16" t="s">
        <v>119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136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19</v>
      </c>
      <c r="M189" s="16" t="s">
        <v>119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18</v>
      </c>
      <c r="L190" s="16" t="s">
        <v>137</v>
      </c>
      <c r="M190" s="16" t="s">
        <v>137</v>
      </c>
      <c r="N190" s="16" t="s">
        <v>136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136</v>
      </c>
      <c r="M191" s="16" t="s">
        <v>91</v>
      </c>
      <c r="N191" s="16" t="s">
        <v>37</v>
      </c>
      <c r="O191" s="16" t="s">
        <v>136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136</v>
      </c>
      <c r="L193" s="16" t="s">
        <v>35</v>
      </c>
      <c r="M193" s="16" t="s">
        <v>91</v>
      </c>
      <c r="N193" s="16" t="s">
        <v>19</v>
      </c>
      <c r="O193" s="16" t="s">
        <v>136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136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136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35</v>
      </c>
      <c r="M197" s="16" t="s">
        <v>119</v>
      </c>
      <c r="N197" s="16" t="s">
        <v>136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136</v>
      </c>
      <c r="L198" s="16" t="s">
        <v>34</v>
      </c>
      <c r="M198" s="16" t="s">
        <v>92</v>
      </c>
      <c r="N198" s="16" t="s">
        <v>35</v>
      </c>
      <c r="O198" s="16" t="s">
        <v>136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119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136</v>
      </c>
      <c r="M200" s="16" t="s">
        <v>97</v>
      </c>
      <c r="N200" s="16" t="s">
        <v>136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136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34</v>
      </c>
      <c r="M202" s="16" t="s">
        <v>119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37</v>
      </c>
      <c r="M203" s="16" t="s">
        <v>137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" priority="10">
      <formula>_xlfn.LET(_xlpm.x, W4, AND(NOT(_xlfn.ISFORMULA(_xlpm.x)), _xlpm.x&lt;&gt;""))</formula>
    </cfRule>
  </conditionalFormatting>
  <conditionalFormatting sqref="W4:AA203">
    <cfRule type="expression" dxfId="10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{4AB0403D-96C4-4ADC-8CB7-C6DD471DA45E}</x14:id>
        </ext>
      </extLst>
    </cfRule>
  </conditionalFormatting>
  <conditionalFormatting sqref="K1:O1048576">
    <cfRule type="cellIs" dxfId="9" priority="1" operator="equal">
      <formula>"C1"</formula>
    </cfRule>
    <cfRule type="cellIs" dxfId="8" priority="2" operator="between">
      <formula>"G1"</formula>
      <formula>"G5"</formula>
    </cfRule>
    <cfRule type="cellIs" dxfId="7" priority="3" operator="between">
      <formula>"GA"</formula>
      <formula>"GJ"</formula>
    </cfRule>
    <cfRule type="cellIs" dxfId="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B0403D-96C4-4ADC-8CB7-C6DD471DA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144</v>
      </c>
      <c r="Q2" s="27" t="s">
        <v>145</v>
      </c>
      <c r="W2" s="27" t="s">
        <v>146</v>
      </c>
      <c r="AC2" s="27" t="s">
        <v>158</v>
      </c>
      <c r="AH2" s="5"/>
      <c r="AI2" s="5"/>
      <c r="AJ2" s="27" t="s">
        <v>110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142</v>
      </c>
      <c r="AH4" s="5"/>
      <c r="AI4" s="5"/>
      <c r="AJ4" s="27" t="s">
        <v>142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16</v>
      </c>
      <c r="D6" s="144">
        <f t="shared" si="0"/>
        <v>8</v>
      </c>
      <c r="E6" s="144">
        <f t="shared" si="0"/>
        <v>9</v>
      </c>
      <c r="F6" s="144">
        <f t="shared" si="0"/>
        <v>3</v>
      </c>
      <c r="G6" s="144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16</v>
      </c>
      <c r="D7" s="144">
        <f t="shared" si="0"/>
        <v>10</v>
      </c>
      <c r="E7" s="144">
        <f t="shared" si="0"/>
        <v>11</v>
      </c>
      <c r="F7" s="144">
        <f t="shared" si="0"/>
        <v>5</v>
      </c>
      <c r="G7" s="144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8</v>
      </c>
      <c r="D8" s="144">
        <f t="shared" si="0"/>
        <v>10</v>
      </c>
      <c r="E8" s="144">
        <f t="shared" si="0"/>
        <v>8</v>
      </c>
      <c r="F8" s="144">
        <f t="shared" si="0"/>
        <v>11</v>
      </c>
      <c r="G8" s="144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6" t="str">
        <v>M1</v>
      </c>
      <c r="AD8" s="167">
        <v>0</v>
      </c>
      <c r="AE8" s="167">
        <v>0</v>
      </c>
      <c r="AF8" s="167">
        <v>0</v>
      </c>
      <c r="AG8" s="167">
        <v>0</v>
      </c>
      <c r="AH8" s="167">
        <v>0</v>
      </c>
      <c r="AI8" s="5"/>
      <c r="AJ8" s="166" t="str">
        <v>M1</v>
      </c>
      <c r="AK8" s="167">
        <v>0</v>
      </c>
      <c r="AL8" s="167">
        <v>0</v>
      </c>
      <c r="AM8" s="167">
        <v>0</v>
      </c>
      <c r="AN8" s="167">
        <v>0</v>
      </c>
      <c r="AO8" s="167">
        <v>0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12</v>
      </c>
      <c r="D9" s="144">
        <f t="shared" si="0"/>
        <v>13</v>
      </c>
      <c r="E9" s="144">
        <f t="shared" si="0"/>
        <v>9</v>
      </c>
      <c r="F9" s="144">
        <f t="shared" si="0"/>
        <v>8</v>
      </c>
      <c r="G9" s="144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6" t="str">
        <v>M2</v>
      </c>
      <c r="AD9" s="166">
        <v>15</v>
      </c>
      <c r="AE9" s="166">
        <v>53</v>
      </c>
      <c r="AF9" s="166">
        <v>5</v>
      </c>
      <c r="AG9" s="166">
        <v>48</v>
      </c>
      <c r="AH9" s="166">
        <v>58</v>
      </c>
      <c r="AI9" s="5"/>
      <c r="AJ9" s="166" t="str">
        <v>M2</v>
      </c>
      <c r="AK9" s="166">
        <v>15</v>
      </c>
      <c r="AL9" s="166">
        <v>53</v>
      </c>
      <c r="AM9" s="166">
        <v>5</v>
      </c>
      <c r="AN9" s="166">
        <v>48</v>
      </c>
      <c r="AO9" s="166">
        <v>58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0</v>
      </c>
      <c r="D10" s="144">
        <f t="shared" si="0"/>
        <v>0</v>
      </c>
      <c r="E10" s="144">
        <f t="shared" si="0"/>
        <v>0</v>
      </c>
      <c r="F10" s="144">
        <f t="shared" si="0"/>
        <v>0</v>
      </c>
      <c r="G10" s="144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6" t="str">
        <v>M3</v>
      </c>
      <c r="AD10" s="166">
        <v>3</v>
      </c>
      <c r="AE10" s="166">
        <v>38</v>
      </c>
      <c r="AF10" s="166">
        <v>20</v>
      </c>
      <c r="AG10" s="166">
        <v>40</v>
      </c>
      <c r="AH10" s="166">
        <v>48</v>
      </c>
      <c r="AI10" s="5"/>
      <c r="AJ10" s="166" t="str">
        <v>M3</v>
      </c>
      <c r="AK10" s="166">
        <v>3</v>
      </c>
      <c r="AL10" s="166">
        <v>38</v>
      </c>
      <c r="AM10" s="166">
        <v>20</v>
      </c>
      <c r="AN10" s="166">
        <v>40</v>
      </c>
      <c r="AO10" s="166">
        <v>48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12</v>
      </c>
      <c r="D11" s="144">
        <f t="shared" si="0"/>
        <v>11</v>
      </c>
      <c r="E11" s="144">
        <f t="shared" si="0"/>
        <v>8</v>
      </c>
      <c r="F11" s="144">
        <f t="shared" si="0"/>
        <v>11</v>
      </c>
      <c r="G11" s="144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6" t="str">
        <v>M4</v>
      </c>
      <c r="AD11" s="166">
        <v>38</v>
      </c>
      <c r="AE11" s="166">
        <v>27</v>
      </c>
      <c r="AF11" s="166">
        <v>33</v>
      </c>
      <c r="AG11" s="166">
        <v>20</v>
      </c>
      <c r="AH11" s="166">
        <v>24</v>
      </c>
      <c r="AI11" s="5"/>
      <c r="AJ11" s="166" t="str">
        <v>M4</v>
      </c>
      <c r="AK11" s="166">
        <v>38</v>
      </c>
      <c r="AL11" s="166">
        <v>27</v>
      </c>
      <c r="AM11" s="166">
        <v>33</v>
      </c>
      <c r="AN11" s="166">
        <v>20</v>
      </c>
      <c r="AO11" s="166">
        <v>24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12</v>
      </c>
      <c r="D12" s="144">
        <f t="shared" si="0"/>
        <v>15</v>
      </c>
      <c r="E12" s="144">
        <f t="shared" si="0"/>
        <v>10</v>
      </c>
      <c r="F12" s="144">
        <f t="shared" si="0"/>
        <v>12</v>
      </c>
      <c r="G12" s="144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6" t="str">
        <v>M5</v>
      </c>
      <c r="AD12" s="166">
        <v>11</v>
      </c>
      <c r="AE12" s="166">
        <v>27</v>
      </c>
      <c r="AF12" s="166">
        <v>5</v>
      </c>
      <c r="AG12" s="166">
        <v>28</v>
      </c>
      <c r="AH12" s="166">
        <v>30</v>
      </c>
      <c r="AI12" s="5"/>
      <c r="AJ12" s="166" t="str">
        <v>M5</v>
      </c>
      <c r="AK12" s="166">
        <v>11</v>
      </c>
      <c r="AL12" s="166">
        <v>27</v>
      </c>
      <c r="AM12" s="166">
        <v>5</v>
      </c>
      <c r="AN12" s="166">
        <v>28</v>
      </c>
      <c r="AO12" s="166">
        <v>30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12</v>
      </c>
      <c r="D13" s="144">
        <f t="shared" si="0"/>
        <v>14</v>
      </c>
      <c r="E13" s="144">
        <f t="shared" si="0"/>
        <v>11</v>
      </c>
      <c r="F13" s="144">
        <f t="shared" si="0"/>
        <v>9</v>
      </c>
      <c r="G13" s="144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6" t="str">
        <v>A</v>
      </c>
      <c r="AD13" s="166">
        <v>33</v>
      </c>
      <c r="AE13" s="166">
        <v>14</v>
      </c>
      <c r="AF13" s="166">
        <v>35</v>
      </c>
      <c r="AG13" s="166">
        <v>8</v>
      </c>
      <c r="AH13" s="166">
        <v>10</v>
      </c>
      <c r="AI13" s="5"/>
      <c r="AJ13" s="166" t="str">
        <v>A</v>
      </c>
      <c r="AK13" s="166">
        <v>33</v>
      </c>
      <c r="AL13" s="166">
        <v>14</v>
      </c>
      <c r="AM13" s="166">
        <v>35</v>
      </c>
      <c r="AN13" s="166">
        <v>8</v>
      </c>
      <c r="AO13" s="166">
        <v>10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9</v>
      </c>
      <c r="D14" s="144">
        <f t="shared" si="0"/>
        <v>17</v>
      </c>
      <c r="E14" s="144">
        <f t="shared" si="0"/>
        <v>7</v>
      </c>
      <c r="F14" s="144">
        <f t="shared" si="0"/>
        <v>12</v>
      </c>
      <c r="G14" s="144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6" t="str">
        <v>K</v>
      </c>
      <c r="AD14" s="166">
        <v>40</v>
      </c>
      <c r="AE14" s="166">
        <v>3</v>
      </c>
      <c r="AF14" s="166">
        <v>23</v>
      </c>
      <c r="AG14" s="166">
        <v>1</v>
      </c>
      <c r="AH14" s="166">
        <v>1</v>
      </c>
      <c r="AI14" s="5"/>
      <c r="AJ14" s="166" t="str">
        <v>K</v>
      </c>
      <c r="AK14" s="166">
        <v>40</v>
      </c>
      <c r="AL14" s="166">
        <v>3</v>
      </c>
      <c r="AM14" s="166">
        <v>23</v>
      </c>
      <c r="AN14" s="166">
        <v>1</v>
      </c>
      <c r="AO14" s="166">
        <v>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6" t="str">
        <v>Q</v>
      </c>
      <c r="AD15" s="166">
        <v>11</v>
      </c>
      <c r="AE15" s="166">
        <v>33</v>
      </c>
      <c r="AF15" s="166">
        <v>8</v>
      </c>
      <c r="AG15" s="166">
        <v>20</v>
      </c>
      <c r="AH15" s="166">
        <v>28</v>
      </c>
      <c r="AI15" s="5"/>
      <c r="AJ15" s="166" t="str">
        <v>Q</v>
      </c>
      <c r="AK15" s="166">
        <v>11</v>
      </c>
      <c r="AL15" s="166">
        <v>33</v>
      </c>
      <c r="AM15" s="166">
        <v>8</v>
      </c>
      <c r="AN15" s="166">
        <v>20</v>
      </c>
      <c r="AO15" s="166">
        <v>28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6" t="str">
        <v>J</v>
      </c>
      <c r="AD16" s="166">
        <v>44</v>
      </c>
      <c r="AE16" s="166">
        <v>1</v>
      </c>
      <c r="AF16" s="166">
        <v>39</v>
      </c>
      <c r="AG16" s="166">
        <v>5</v>
      </c>
      <c r="AH16" s="166">
        <v>1</v>
      </c>
      <c r="AI16" s="5"/>
      <c r="AJ16" s="166" t="str">
        <v>J</v>
      </c>
      <c r="AK16" s="166">
        <v>44</v>
      </c>
      <c r="AL16" s="166">
        <v>1</v>
      </c>
      <c r="AM16" s="166">
        <v>39</v>
      </c>
      <c r="AN16" s="166">
        <v>5</v>
      </c>
      <c r="AO16" s="166">
        <v>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50">
        <v>0</v>
      </c>
      <c r="AE17" s="150">
        <v>0</v>
      </c>
      <c r="AF17" s="149">
        <v>1</v>
      </c>
      <c r="AG17" s="149">
        <v>8</v>
      </c>
      <c r="AH17" s="150">
        <v>0</v>
      </c>
      <c r="AI17" s="5"/>
      <c r="AJ17" s="149" t="str">
        <v>G1</v>
      </c>
      <c r="AK17" s="150">
        <v>0</v>
      </c>
      <c r="AL17" s="150">
        <v>0</v>
      </c>
      <c r="AM17" s="149">
        <v>1</v>
      </c>
      <c r="AN17" s="149">
        <v>8</v>
      </c>
      <c r="AO17" s="150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50">
        <v>0</v>
      </c>
      <c r="AE18" s="150">
        <v>0</v>
      </c>
      <c r="AF18" s="149">
        <v>3</v>
      </c>
      <c r="AG18" s="149">
        <v>7</v>
      </c>
      <c r="AH18" s="150">
        <v>0</v>
      </c>
      <c r="AI18" s="5"/>
      <c r="AJ18" s="149" t="str">
        <v>G2</v>
      </c>
      <c r="AK18" s="150">
        <v>0</v>
      </c>
      <c r="AL18" s="150">
        <v>0</v>
      </c>
      <c r="AM18" s="149">
        <v>3</v>
      </c>
      <c r="AN18" s="149">
        <v>7</v>
      </c>
      <c r="AO18" s="150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50">
        <v>0</v>
      </c>
      <c r="AE19" s="150">
        <v>0</v>
      </c>
      <c r="AF19" s="149">
        <v>6</v>
      </c>
      <c r="AG19" s="149">
        <v>3</v>
      </c>
      <c r="AH19" s="150">
        <v>0</v>
      </c>
      <c r="AI19" s="5"/>
      <c r="AJ19" s="149" t="str">
        <v>G3</v>
      </c>
      <c r="AK19" s="150">
        <v>0</v>
      </c>
      <c r="AL19" s="150">
        <v>0</v>
      </c>
      <c r="AM19" s="149">
        <v>6</v>
      </c>
      <c r="AN19" s="149">
        <v>3</v>
      </c>
      <c r="AO19" s="150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50">
        <v>0</v>
      </c>
      <c r="AE20" s="150">
        <v>0</v>
      </c>
      <c r="AF20" s="149">
        <v>1</v>
      </c>
      <c r="AG20" s="149">
        <v>5</v>
      </c>
      <c r="AH20" s="150">
        <v>0</v>
      </c>
      <c r="AI20" s="5"/>
      <c r="AJ20" s="149" t="str">
        <v>G4</v>
      </c>
      <c r="AK20" s="150">
        <v>0</v>
      </c>
      <c r="AL20" s="150">
        <v>0</v>
      </c>
      <c r="AM20" s="149">
        <v>1</v>
      </c>
      <c r="AN20" s="149">
        <v>5</v>
      </c>
      <c r="AO20" s="150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50">
        <v>0</v>
      </c>
      <c r="AE21" s="150">
        <v>0</v>
      </c>
      <c r="AF21" s="149">
        <v>6</v>
      </c>
      <c r="AG21" s="149">
        <v>1</v>
      </c>
      <c r="AH21" s="150">
        <v>0</v>
      </c>
      <c r="AI21" s="5"/>
      <c r="AJ21" s="149" t="str">
        <v>G5</v>
      </c>
      <c r="AK21" s="150">
        <v>0</v>
      </c>
      <c r="AL21" s="150">
        <v>0</v>
      </c>
      <c r="AM21" s="149">
        <v>6</v>
      </c>
      <c r="AN21" s="149">
        <v>1</v>
      </c>
      <c r="AO21" s="150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50">
        <v>0</v>
      </c>
      <c r="AE22" s="150">
        <v>0</v>
      </c>
      <c r="AF22" s="149">
        <v>4</v>
      </c>
      <c r="AG22" s="149">
        <v>1</v>
      </c>
      <c r="AH22" s="150">
        <v>0</v>
      </c>
      <c r="AI22" s="5"/>
      <c r="AJ22" s="149" t="str">
        <v>GA</v>
      </c>
      <c r="AK22" s="150">
        <v>0</v>
      </c>
      <c r="AL22" s="150">
        <v>0</v>
      </c>
      <c r="AM22" s="149">
        <v>4</v>
      </c>
      <c r="AN22" s="149">
        <v>1</v>
      </c>
      <c r="AO22" s="150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50">
        <v>0</v>
      </c>
      <c r="AE23" s="150">
        <v>0</v>
      </c>
      <c r="AF23" s="149">
        <v>1</v>
      </c>
      <c r="AG23" s="149">
        <v>3</v>
      </c>
      <c r="AH23" s="150">
        <v>0</v>
      </c>
      <c r="AI23" s="5"/>
      <c r="AJ23" s="149" t="str">
        <v>GK</v>
      </c>
      <c r="AK23" s="150">
        <v>0</v>
      </c>
      <c r="AL23" s="150">
        <v>0</v>
      </c>
      <c r="AM23" s="149">
        <v>1</v>
      </c>
      <c r="AN23" s="149">
        <v>3</v>
      </c>
      <c r="AO23" s="150">
        <v>0</v>
      </c>
    </row>
    <row r="24" spans="1:41" ht="15.9" customHeight="1" x14ac:dyDescent="0.3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50">
        <v>0</v>
      </c>
      <c r="AE24" s="150">
        <v>0</v>
      </c>
      <c r="AF24" s="149">
        <v>1</v>
      </c>
      <c r="AG24" s="149">
        <v>1</v>
      </c>
      <c r="AH24" s="150">
        <v>0</v>
      </c>
      <c r="AI24" s="5"/>
      <c r="AJ24" s="149" t="str">
        <v>GQ</v>
      </c>
      <c r="AK24" s="150">
        <v>0</v>
      </c>
      <c r="AL24" s="150">
        <v>0</v>
      </c>
      <c r="AM24" s="149">
        <v>1</v>
      </c>
      <c r="AN24" s="149">
        <v>1</v>
      </c>
      <c r="AO24" s="150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50">
        <v>0</v>
      </c>
      <c r="AE25" s="150">
        <v>0</v>
      </c>
      <c r="AF25" s="149">
        <v>6</v>
      </c>
      <c r="AG25" s="149">
        <v>1</v>
      </c>
      <c r="AH25" s="150">
        <v>0</v>
      </c>
      <c r="AI25" s="5"/>
      <c r="AJ25" s="149" t="str">
        <v>GJ</v>
      </c>
      <c r="AK25" s="150">
        <v>0</v>
      </c>
      <c r="AL25" s="150">
        <v>0</v>
      </c>
      <c r="AM25" s="149">
        <v>6</v>
      </c>
      <c r="AN25" s="149">
        <v>1</v>
      </c>
      <c r="AO25" s="150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0.03</v>
      </c>
      <c r="D28" s="143">
        <v>0.02</v>
      </c>
      <c r="E28" s="143">
        <v>0.02</v>
      </c>
      <c r="F28" s="143">
        <v>0.01</v>
      </c>
      <c r="G28" s="143">
        <v>0.01</v>
      </c>
      <c r="H28" s="8">
        <v>1</v>
      </c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143</v>
      </c>
      <c r="AH28" s="5"/>
      <c r="AI28" s="5"/>
      <c r="AJ28" s="27" t="s">
        <v>143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0.16</v>
      </c>
      <c r="D29" s="143">
        <v>0.08</v>
      </c>
      <c r="E29" s="143">
        <v>0.09</v>
      </c>
      <c r="F29" s="143">
        <v>0.03</v>
      </c>
      <c r="G29" s="143">
        <v>0.06</v>
      </c>
      <c r="H29" s="8">
        <v>2</v>
      </c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0.16</v>
      </c>
      <c r="D30" s="143">
        <v>0.1</v>
      </c>
      <c r="E30" s="143">
        <v>0.11</v>
      </c>
      <c r="F30" s="143">
        <v>0.05</v>
      </c>
      <c r="G30" s="143">
        <v>0.11</v>
      </c>
      <c r="H30" s="8">
        <v>3</v>
      </c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0.08</v>
      </c>
      <c r="D31" s="143">
        <v>0.1</v>
      </c>
      <c r="E31" s="143">
        <v>0.08</v>
      </c>
      <c r="F31" s="143">
        <v>0.11</v>
      </c>
      <c r="G31" s="143">
        <v>0.12</v>
      </c>
      <c r="H31" s="8">
        <v>4</v>
      </c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0.12</v>
      </c>
      <c r="D32" s="143">
        <v>0.13</v>
      </c>
      <c r="E32" s="143">
        <v>0.09</v>
      </c>
      <c r="F32" s="143">
        <v>0.08</v>
      </c>
      <c r="G32" s="143">
        <v>0.08</v>
      </c>
      <c r="H32" s="8">
        <v>5</v>
      </c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6" t="str">
        <v>M1</v>
      </c>
      <c r="AD32" s="167">
        <v>0</v>
      </c>
      <c r="AE32" s="167">
        <v>0</v>
      </c>
      <c r="AF32" s="167">
        <v>0</v>
      </c>
      <c r="AG32" s="167">
        <v>0</v>
      </c>
      <c r="AH32" s="167">
        <v>0</v>
      </c>
      <c r="AI32" s="5"/>
      <c r="AJ32" s="166" t="str">
        <v>M1</v>
      </c>
      <c r="AK32" s="167">
        <v>0</v>
      </c>
      <c r="AL32" s="167">
        <v>0</v>
      </c>
      <c r="AM32" s="167">
        <v>0</v>
      </c>
      <c r="AN32" s="167">
        <v>0</v>
      </c>
      <c r="AO32" s="167">
        <v>0</v>
      </c>
    </row>
    <row r="33" spans="1:41" ht="16.5" customHeight="1" x14ac:dyDescent="0.3">
      <c r="A33" s="29" t="str">
        <v>M5</v>
      </c>
      <c r="B33" s="8" t="str">
        <v>M5</v>
      </c>
      <c r="C33" s="143">
        <v>0</v>
      </c>
      <c r="D33" s="143">
        <v>0</v>
      </c>
      <c r="E33" s="143">
        <v>0</v>
      </c>
      <c r="F33" s="143">
        <v>0</v>
      </c>
      <c r="G33" s="143">
        <v>0</v>
      </c>
      <c r="H33" s="8">
        <v>6</v>
      </c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6" t="str">
        <v>M2</v>
      </c>
      <c r="AD33" s="166">
        <v>15</v>
      </c>
      <c r="AE33" s="166">
        <v>53</v>
      </c>
      <c r="AF33" s="166">
        <v>5</v>
      </c>
      <c r="AG33" s="166">
        <v>48</v>
      </c>
      <c r="AH33" s="166">
        <v>58</v>
      </c>
      <c r="AI33" s="5"/>
      <c r="AJ33" s="166" t="str">
        <v>M2</v>
      </c>
      <c r="AK33" s="166">
        <v>15</v>
      </c>
      <c r="AL33" s="166">
        <v>53</v>
      </c>
      <c r="AM33" s="166">
        <v>5</v>
      </c>
      <c r="AN33" s="166">
        <v>48</v>
      </c>
      <c r="AO33" s="166">
        <v>58</v>
      </c>
    </row>
    <row r="34" spans="1:41" ht="16.5" customHeight="1" x14ac:dyDescent="0.3">
      <c r="A34" s="29" t="str">
        <v>A</v>
      </c>
      <c r="B34" s="8" t="str">
        <v>A</v>
      </c>
      <c r="C34" s="143">
        <v>0.12</v>
      </c>
      <c r="D34" s="143">
        <v>0.11</v>
      </c>
      <c r="E34" s="143">
        <v>0.08</v>
      </c>
      <c r="F34" s="143">
        <v>0.11</v>
      </c>
      <c r="G34" s="143">
        <v>0.18</v>
      </c>
      <c r="H34" s="8">
        <v>7</v>
      </c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6" t="str">
        <v>M3</v>
      </c>
      <c r="AD34" s="166">
        <v>3</v>
      </c>
      <c r="AE34" s="166">
        <v>38</v>
      </c>
      <c r="AF34" s="166">
        <v>20</v>
      </c>
      <c r="AG34" s="166">
        <v>40</v>
      </c>
      <c r="AH34" s="166">
        <v>48</v>
      </c>
      <c r="AI34" s="5"/>
      <c r="AJ34" s="166" t="str">
        <v>M3</v>
      </c>
      <c r="AK34" s="166">
        <v>3</v>
      </c>
      <c r="AL34" s="166">
        <v>38</v>
      </c>
      <c r="AM34" s="166">
        <v>20</v>
      </c>
      <c r="AN34" s="166">
        <v>40</v>
      </c>
      <c r="AO34" s="166">
        <v>48</v>
      </c>
    </row>
    <row r="35" spans="1:41" ht="16.5" customHeight="1" x14ac:dyDescent="0.3">
      <c r="A35" s="29" t="str">
        <v>K</v>
      </c>
      <c r="B35" s="8" t="str">
        <v>K</v>
      </c>
      <c r="C35" s="143">
        <v>0.12</v>
      </c>
      <c r="D35" s="143">
        <v>0.15</v>
      </c>
      <c r="E35" s="143">
        <v>0.1</v>
      </c>
      <c r="F35" s="143">
        <v>0.12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6" t="str">
        <v>M4</v>
      </c>
      <c r="AD35" s="166">
        <v>38</v>
      </c>
      <c r="AE35" s="166">
        <v>27</v>
      </c>
      <c r="AF35" s="166">
        <v>33</v>
      </c>
      <c r="AG35" s="166">
        <v>20</v>
      </c>
      <c r="AH35" s="166">
        <v>24</v>
      </c>
      <c r="AI35" s="5"/>
      <c r="AJ35" s="166" t="str">
        <v>M4</v>
      </c>
      <c r="AK35" s="166">
        <v>38</v>
      </c>
      <c r="AL35" s="166">
        <v>27</v>
      </c>
      <c r="AM35" s="166">
        <v>33</v>
      </c>
      <c r="AN35" s="166">
        <v>20</v>
      </c>
      <c r="AO35" s="166">
        <v>24</v>
      </c>
    </row>
    <row r="36" spans="1:41" ht="16.5" customHeight="1" x14ac:dyDescent="0.3">
      <c r="A36" s="29" t="str">
        <v>Q</v>
      </c>
      <c r="B36" s="8" t="str">
        <v>Q</v>
      </c>
      <c r="C36" s="143">
        <v>0.12</v>
      </c>
      <c r="D36" s="143">
        <v>0.14000000000000001</v>
      </c>
      <c r="E36" s="143">
        <v>0.11</v>
      </c>
      <c r="F36" s="143">
        <v>0.09</v>
      </c>
      <c r="G36" s="143">
        <v>0.13</v>
      </c>
      <c r="H36" s="8">
        <v>9</v>
      </c>
      <c r="J36" s="25">
        <v>32</v>
      </c>
      <c r="K36" s="16" t="s">
        <v>22</v>
      </c>
      <c r="L36" s="16" t="s">
        <v>19</v>
      </c>
      <c r="M36" s="16" t="s">
        <v>119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6" t="str">
        <v>M5</v>
      </c>
      <c r="AD36" s="166">
        <v>11</v>
      </c>
      <c r="AE36" s="166">
        <v>27</v>
      </c>
      <c r="AF36" s="166">
        <v>5</v>
      </c>
      <c r="AG36" s="166">
        <v>28</v>
      </c>
      <c r="AH36" s="166">
        <v>30</v>
      </c>
      <c r="AI36" s="5"/>
      <c r="AJ36" s="166" t="str">
        <v>M5</v>
      </c>
      <c r="AK36" s="166">
        <v>11</v>
      </c>
      <c r="AL36" s="166">
        <v>27</v>
      </c>
      <c r="AM36" s="166">
        <v>5</v>
      </c>
      <c r="AN36" s="166">
        <v>28</v>
      </c>
      <c r="AO36" s="166">
        <v>30</v>
      </c>
    </row>
    <row r="37" spans="1:41" ht="16.5" customHeight="1" x14ac:dyDescent="0.3">
      <c r="A37" s="29" t="str">
        <v>J</v>
      </c>
      <c r="B37" s="8" t="str">
        <v>J</v>
      </c>
      <c r="C37" s="143">
        <v>0.09</v>
      </c>
      <c r="D37" s="143">
        <v>0.17</v>
      </c>
      <c r="E37" s="143">
        <v>7.0000000000000007E-2</v>
      </c>
      <c r="F37" s="143">
        <v>0.12</v>
      </c>
      <c r="G37" s="143">
        <v>0.14000000000000001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6" t="str">
        <v>A</v>
      </c>
      <c r="AD37" s="166">
        <v>33</v>
      </c>
      <c r="AE37" s="166">
        <v>14</v>
      </c>
      <c r="AF37" s="166">
        <v>35</v>
      </c>
      <c r="AG37" s="166">
        <v>8</v>
      </c>
      <c r="AH37" s="166">
        <v>10</v>
      </c>
      <c r="AI37" s="5"/>
      <c r="AJ37" s="166" t="str">
        <v>A</v>
      </c>
      <c r="AK37" s="166">
        <v>33</v>
      </c>
      <c r="AL37" s="166">
        <v>14</v>
      </c>
      <c r="AM37" s="166">
        <v>35</v>
      </c>
      <c r="AN37" s="166">
        <v>8</v>
      </c>
      <c r="AO37" s="166">
        <v>10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</v>
      </c>
      <c r="E38" s="143">
        <v>7.0000000000000007E-2</v>
      </c>
      <c r="F38" s="143">
        <v>0.02</v>
      </c>
      <c r="G38" s="143">
        <v>0</v>
      </c>
      <c r="H38" s="8">
        <v>11</v>
      </c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6" t="str">
        <v>K</v>
      </c>
      <c r="AD38" s="166">
        <v>40</v>
      </c>
      <c r="AE38" s="166">
        <v>3</v>
      </c>
      <c r="AF38" s="166">
        <v>23</v>
      </c>
      <c r="AG38" s="166">
        <v>1</v>
      </c>
      <c r="AH38" s="166">
        <v>1</v>
      </c>
      <c r="AI38" s="5"/>
      <c r="AJ38" s="166" t="str">
        <v>K</v>
      </c>
      <c r="AK38" s="166">
        <v>40</v>
      </c>
      <c r="AL38" s="166">
        <v>3</v>
      </c>
      <c r="AM38" s="166">
        <v>23</v>
      </c>
      <c r="AN38" s="166">
        <v>1</v>
      </c>
      <c r="AO38" s="166">
        <v>1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</v>
      </c>
      <c r="E39" s="143">
        <v>0.02</v>
      </c>
      <c r="F39" s="143">
        <v>0.01</v>
      </c>
      <c r="G39" s="143">
        <v>0</v>
      </c>
      <c r="H39" s="8">
        <v>12</v>
      </c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6" t="str">
        <v>Q</v>
      </c>
      <c r="AD39" s="166">
        <v>11</v>
      </c>
      <c r="AE39" s="166">
        <v>33</v>
      </c>
      <c r="AF39" s="166">
        <v>8</v>
      </c>
      <c r="AG39" s="166">
        <v>20</v>
      </c>
      <c r="AH39" s="166">
        <v>28</v>
      </c>
      <c r="AI39" s="5"/>
      <c r="AJ39" s="166" t="str">
        <v>Q</v>
      </c>
      <c r="AK39" s="166">
        <v>11</v>
      </c>
      <c r="AL39" s="166">
        <v>33</v>
      </c>
      <c r="AM39" s="166">
        <v>8</v>
      </c>
      <c r="AN39" s="166">
        <v>20</v>
      </c>
      <c r="AO39" s="166">
        <v>28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</v>
      </c>
      <c r="E40" s="143">
        <v>0.02</v>
      </c>
      <c r="F40" s="143">
        <v>0.04</v>
      </c>
      <c r="G40" s="143">
        <v>0</v>
      </c>
      <c r="H40" s="8">
        <v>13</v>
      </c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119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6" t="str">
        <v>J</v>
      </c>
      <c r="AD40" s="166">
        <v>44</v>
      </c>
      <c r="AE40" s="166">
        <v>1</v>
      </c>
      <c r="AF40" s="166">
        <v>39</v>
      </c>
      <c r="AG40" s="166">
        <v>5</v>
      </c>
      <c r="AH40" s="166">
        <v>1</v>
      </c>
      <c r="AI40" s="5"/>
      <c r="AJ40" s="166" t="str">
        <v>J</v>
      </c>
      <c r="AK40" s="166">
        <v>44</v>
      </c>
      <c r="AL40" s="166">
        <v>1</v>
      </c>
      <c r="AM40" s="166">
        <v>39</v>
      </c>
      <c r="AN40" s="166">
        <v>5</v>
      </c>
      <c r="AO40" s="166">
        <v>1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</v>
      </c>
      <c r="E41" s="143">
        <v>0.02</v>
      </c>
      <c r="F41" s="143">
        <v>0.03</v>
      </c>
      <c r="G41" s="143">
        <v>0</v>
      </c>
      <c r="H41" s="8">
        <v>14</v>
      </c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50">
        <v>0</v>
      </c>
      <c r="AE41" s="150">
        <v>0</v>
      </c>
      <c r="AF41" s="149">
        <v>1</v>
      </c>
      <c r="AG41" s="149">
        <v>8</v>
      </c>
      <c r="AH41" s="150">
        <v>0</v>
      </c>
      <c r="AI41" s="5"/>
      <c r="AJ41" s="149" t="str">
        <v>G1</v>
      </c>
      <c r="AK41" s="150">
        <v>0</v>
      </c>
      <c r="AL41" s="150">
        <v>0</v>
      </c>
      <c r="AM41" s="149">
        <v>1</v>
      </c>
      <c r="AN41" s="149">
        <v>8</v>
      </c>
      <c r="AO41" s="150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</v>
      </c>
      <c r="E42" s="143">
        <v>0</v>
      </c>
      <c r="F42" s="143">
        <v>0</v>
      </c>
      <c r="G42" s="143">
        <v>0</v>
      </c>
      <c r="H42" s="8">
        <v>15</v>
      </c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50">
        <v>0</v>
      </c>
      <c r="AE42" s="150">
        <v>0</v>
      </c>
      <c r="AF42" s="149">
        <v>3</v>
      </c>
      <c r="AG42" s="149">
        <v>7</v>
      </c>
      <c r="AH42" s="150">
        <v>0</v>
      </c>
      <c r="AI42" s="5"/>
      <c r="AJ42" s="149" t="str">
        <v>G2</v>
      </c>
      <c r="AK42" s="150">
        <v>0</v>
      </c>
      <c r="AL42" s="150">
        <v>0</v>
      </c>
      <c r="AM42" s="149">
        <v>3</v>
      </c>
      <c r="AN42" s="149">
        <v>7</v>
      </c>
      <c r="AO42" s="150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</v>
      </c>
      <c r="E43" s="143">
        <v>0.04</v>
      </c>
      <c r="F43" s="143">
        <v>0.02</v>
      </c>
      <c r="G43" s="143">
        <v>0</v>
      </c>
      <c r="H43" s="8">
        <v>16</v>
      </c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50">
        <v>0</v>
      </c>
      <c r="AE43" s="150">
        <v>0</v>
      </c>
      <c r="AF43" s="149">
        <v>6</v>
      </c>
      <c r="AG43" s="149">
        <v>3</v>
      </c>
      <c r="AH43" s="150">
        <v>0</v>
      </c>
      <c r="AI43" s="5"/>
      <c r="AJ43" s="149" t="str">
        <v>G3</v>
      </c>
      <c r="AK43" s="150">
        <v>0</v>
      </c>
      <c r="AL43" s="150">
        <v>0</v>
      </c>
      <c r="AM43" s="149">
        <v>6</v>
      </c>
      <c r="AN43" s="149">
        <v>3</v>
      </c>
      <c r="AO43" s="150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0</v>
      </c>
      <c r="E44" s="143">
        <v>0.04</v>
      </c>
      <c r="F44" s="143">
        <v>0.03</v>
      </c>
      <c r="G44" s="143">
        <v>0</v>
      </c>
      <c r="H44" s="8">
        <v>17</v>
      </c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50">
        <v>0</v>
      </c>
      <c r="AE44" s="150">
        <v>0</v>
      </c>
      <c r="AF44" s="149">
        <v>1</v>
      </c>
      <c r="AG44" s="149">
        <v>5</v>
      </c>
      <c r="AH44" s="150">
        <v>0</v>
      </c>
      <c r="AI44" s="5"/>
      <c r="AJ44" s="149" t="str">
        <v>G4</v>
      </c>
      <c r="AK44" s="150">
        <v>0</v>
      </c>
      <c r="AL44" s="150">
        <v>0</v>
      </c>
      <c r="AM44" s="149">
        <v>1</v>
      </c>
      <c r="AN44" s="149">
        <v>5</v>
      </c>
      <c r="AO44" s="150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</v>
      </c>
      <c r="E45" s="143">
        <v>0.03</v>
      </c>
      <c r="F45" s="143">
        <v>0.06</v>
      </c>
      <c r="G45" s="143">
        <v>0</v>
      </c>
      <c r="H45" s="8">
        <v>18</v>
      </c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50">
        <v>0</v>
      </c>
      <c r="AE45" s="150">
        <v>0</v>
      </c>
      <c r="AF45" s="149">
        <v>6</v>
      </c>
      <c r="AG45" s="149">
        <v>1</v>
      </c>
      <c r="AH45" s="150">
        <v>0</v>
      </c>
      <c r="AI45" s="5"/>
      <c r="AJ45" s="149" t="str">
        <v>G5</v>
      </c>
      <c r="AK45" s="150">
        <v>0</v>
      </c>
      <c r="AL45" s="150">
        <v>0</v>
      </c>
      <c r="AM45" s="149">
        <v>6</v>
      </c>
      <c r="AN45" s="149">
        <v>1</v>
      </c>
      <c r="AO45" s="150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</v>
      </c>
      <c r="E46" s="143">
        <v>0.01</v>
      </c>
      <c r="F46" s="143">
        <v>7.0000000000000007E-2</v>
      </c>
      <c r="G46" s="143">
        <v>0</v>
      </c>
      <c r="H46" s="8">
        <v>19</v>
      </c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50">
        <v>0</v>
      </c>
      <c r="AE46" s="150">
        <v>0</v>
      </c>
      <c r="AF46" s="149">
        <v>4</v>
      </c>
      <c r="AG46" s="149">
        <v>1</v>
      </c>
      <c r="AH46" s="150">
        <v>0</v>
      </c>
      <c r="AI46" s="5"/>
      <c r="AJ46" s="149" t="str">
        <v>GA</v>
      </c>
      <c r="AK46" s="150">
        <v>0</v>
      </c>
      <c r="AL46" s="150">
        <v>0</v>
      </c>
      <c r="AM46" s="149">
        <v>4</v>
      </c>
      <c r="AN46" s="149">
        <v>1</v>
      </c>
      <c r="AO46" s="150">
        <v>0</v>
      </c>
    </row>
    <row r="47" spans="1:41" ht="16.5" customHeight="1" x14ac:dyDescent="0.3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50">
        <v>0</v>
      </c>
      <c r="AE47" s="150">
        <v>0</v>
      </c>
      <c r="AF47" s="149">
        <v>1</v>
      </c>
      <c r="AG47" s="149">
        <v>3</v>
      </c>
      <c r="AH47" s="150">
        <v>0</v>
      </c>
      <c r="AI47" s="5"/>
      <c r="AJ47" s="149" t="str">
        <v>GK</v>
      </c>
      <c r="AK47" s="150">
        <v>0</v>
      </c>
      <c r="AL47" s="150">
        <v>0</v>
      </c>
      <c r="AM47" s="149">
        <v>1</v>
      </c>
      <c r="AN47" s="149">
        <v>3</v>
      </c>
      <c r="AO47" s="150">
        <v>0</v>
      </c>
    </row>
    <row r="48" spans="1:41" ht="16.5" customHeight="1" x14ac:dyDescent="0.3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50">
        <v>0</v>
      </c>
      <c r="AE48" s="150">
        <v>0</v>
      </c>
      <c r="AF48" s="149">
        <v>1</v>
      </c>
      <c r="AG48" s="149">
        <v>3</v>
      </c>
      <c r="AH48" s="150">
        <v>0</v>
      </c>
      <c r="AI48" s="5"/>
      <c r="AJ48" s="149" t="str">
        <v>GQ</v>
      </c>
      <c r="AK48" s="150">
        <v>0</v>
      </c>
      <c r="AL48" s="150">
        <v>0</v>
      </c>
      <c r="AM48" s="149">
        <v>1</v>
      </c>
      <c r="AN48" s="149">
        <v>3</v>
      </c>
      <c r="AO48" s="150">
        <v>0</v>
      </c>
    </row>
    <row r="49" spans="10:41" ht="16.5" customHeight="1" x14ac:dyDescent="0.3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50">
        <v>0</v>
      </c>
      <c r="AE49" s="150">
        <v>0</v>
      </c>
      <c r="AF49" s="149">
        <v>6</v>
      </c>
      <c r="AG49" s="149">
        <v>1</v>
      </c>
      <c r="AH49" s="150">
        <v>0</v>
      </c>
      <c r="AI49" s="5"/>
      <c r="AJ49" s="149" t="str">
        <v>GJ</v>
      </c>
      <c r="AK49" s="150">
        <v>0</v>
      </c>
      <c r="AL49" s="150">
        <v>0</v>
      </c>
      <c r="AM49" s="149">
        <v>6</v>
      </c>
      <c r="AN49" s="149">
        <v>1</v>
      </c>
      <c r="AO49" s="150">
        <v>0</v>
      </c>
    </row>
    <row r="50" spans="10:41" ht="16.5" customHeight="1" x14ac:dyDescent="0.3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 x14ac:dyDescent="0.3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141</v>
      </c>
      <c r="AH52" s="5"/>
      <c r="AI52" s="5"/>
      <c r="AJ52" s="27" t="s">
        <v>141</v>
      </c>
      <c r="AO52" s="5"/>
    </row>
    <row r="53" spans="10:41" ht="16.5" customHeight="1" x14ac:dyDescent="0.3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6" t="str">
        <v>M1</v>
      </c>
      <c r="AD56" s="167">
        <v>0</v>
      </c>
      <c r="AE56" s="167">
        <v>0</v>
      </c>
      <c r="AF56" s="167">
        <v>0</v>
      </c>
      <c r="AG56" s="167">
        <v>0</v>
      </c>
      <c r="AH56" s="167">
        <v>0</v>
      </c>
      <c r="AI56" s="5"/>
      <c r="AJ56" s="166" t="str">
        <v>M1</v>
      </c>
      <c r="AK56" s="167">
        <v>0</v>
      </c>
      <c r="AL56" s="167">
        <v>0</v>
      </c>
      <c r="AM56" s="167">
        <v>0</v>
      </c>
      <c r="AN56" s="167">
        <v>0</v>
      </c>
      <c r="AO56" s="167">
        <v>0</v>
      </c>
    </row>
    <row r="57" spans="10:41" ht="16.5" customHeight="1" x14ac:dyDescent="0.3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6" t="str">
        <v>M2</v>
      </c>
      <c r="AD57" s="166">
        <v>15</v>
      </c>
      <c r="AE57" s="166">
        <v>53</v>
      </c>
      <c r="AF57" s="166">
        <v>5</v>
      </c>
      <c r="AG57" s="166">
        <v>48</v>
      </c>
      <c r="AH57" s="166">
        <v>58</v>
      </c>
      <c r="AI57" s="5"/>
      <c r="AJ57" s="166" t="str">
        <v>M2</v>
      </c>
      <c r="AK57" s="166">
        <v>15</v>
      </c>
      <c r="AL57" s="166">
        <v>53</v>
      </c>
      <c r="AM57" s="166">
        <v>5</v>
      </c>
      <c r="AN57" s="166">
        <v>48</v>
      </c>
      <c r="AO57" s="166">
        <v>58</v>
      </c>
    </row>
    <row r="58" spans="10:41" ht="16.5" customHeight="1" x14ac:dyDescent="0.3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6" t="str">
        <v>M3</v>
      </c>
      <c r="AD58" s="166">
        <v>3</v>
      </c>
      <c r="AE58" s="166">
        <v>38</v>
      </c>
      <c r="AF58" s="166">
        <v>20</v>
      </c>
      <c r="AG58" s="166">
        <v>40</v>
      </c>
      <c r="AH58" s="166">
        <v>48</v>
      </c>
      <c r="AI58" s="5"/>
      <c r="AJ58" s="166" t="str">
        <v>M3</v>
      </c>
      <c r="AK58" s="166">
        <v>3</v>
      </c>
      <c r="AL58" s="166">
        <v>38</v>
      </c>
      <c r="AM58" s="166">
        <v>20</v>
      </c>
      <c r="AN58" s="166">
        <v>40</v>
      </c>
      <c r="AO58" s="166">
        <v>48</v>
      </c>
    </row>
    <row r="59" spans="10:41" ht="16.5" customHeight="1" x14ac:dyDescent="0.3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6" t="str">
        <v>M4</v>
      </c>
      <c r="AD59" s="166">
        <v>38</v>
      </c>
      <c r="AE59" s="166">
        <v>27</v>
      </c>
      <c r="AF59" s="166">
        <v>33</v>
      </c>
      <c r="AG59" s="166">
        <v>20</v>
      </c>
      <c r="AH59" s="166">
        <v>24</v>
      </c>
      <c r="AI59" s="5"/>
      <c r="AJ59" s="166" t="str">
        <v>M4</v>
      </c>
      <c r="AK59" s="166">
        <v>38</v>
      </c>
      <c r="AL59" s="166">
        <v>27</v>
      </c>
      <c r="AM59" s="166">
        <v>33</v>
      </c>
      <c r="AN59" s="166">
        <v>20</v>
      </c>
      <c r="AO59" s="166">
        <v>24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119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6" t="str">
        <v>M5</v>
      </c>
      <c r="AD60" s="166">
        <v>11</v>
      </c>
      <c r="AE60" s="166">
        <v>27</v>
      </c>
      <c r="AF60" s="166">
        <v>5</v>
      </c>
      <c r="AG60" s="166">
        <v>28</v>
      </c>
      <c r="AH60" s="166">
        <v>30</v>
      </c>
      <c r="AI60" s="5"/>
      <c r="AJ60" s="166" t="str">
        <v>M5</v>
      </c>
      <c r="AK60" s="166">
        <v>11</v>
      </c>
      <c r="AL60" s="166">
        <v>27</v>
      </c>
      <c r="AM60" s="166">
        <v>5</v>
      </c>
      <c r="AN60" s="166">
        <v>28</v>
      </c>
      <c r="AO60" s="166">
        <v>30</v>
      </c>
    </row>
    <row r="61" spans="10:41" x14ac:dyDescent="0.3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6" t="str">
        <v>A</v>
      </c>
      <c r="AD61" s="166">
        <v>33</v>
      </c>
      <c r="AE61" s="166">
        <v>14</v>
      </c>
      <c r="AF61" s="166">
        <v>35</v>
      </c>
      <c r="AG61" s="166">
        <v>8</v>
      </c>
      <c r="AH61" s="166">
        <v>10</v>
      </c>
      <c r="AI61" s="5"/>
      <c r="AJ61" s="166" t="str">
        <v>A</v>
      </c>
      <c r="AK61" s="166">
        <v>33</v>
      </c>
      <c r="AL61" s="166">
        <v>14</v>
      </c>
      <c r="AM61" s="166">
        <v>35</v>
      </c>
      <c r="AN61" s="166">
        <v>8</v>
      </c>
      <c r="AO61" s="166">
        <v>10</v>
      </c>
    </row>
    <row r="62" spans="10:41" x14ac:dyDescent="0.3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6" t="str">
        <v>K</v>
      </c>
      <c r="AD62" s="166">
        <v>40</v>
      </c>
      <c r="AE62" s="166">
        <v>3</v>
      </c>
      <c r="AF62" s="166">
        <v>23</v>
      </c>
      <c r="AG62" s="166">
        <v>1</v>
      </c>
      <c r="AH62" s="166">
        <v>1</v>
      </c>
      <c r="AI62" s="5"/>
      <c r="AJ62" s="166" t="str">
        <v>K</v>
      </c>
      <c r="AK62" s="166">
        <v>40</v>
      </c>
      <c r="AL62" s="166">
        <v>3</v>
      </c>
      <c r="AM62" s="166">
        <v>23</v>
      </c>
      <c r="AN62" s="166">
        <v>1</v>
      </c>
      <c r="AO62" s="166">
        <v>1</v>
      </c>
    </row>
    <row r="63" spans="10:41" ht="16.5" customHeight="1" x14ac:dyDescent="0.3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6" t="str">
        <v>Q</v>
      </c>
      <c r="AD63" s="166">
        <v>11</v>
      </c>
      <c r="AE63" s="166">
        <v>33</v>
      </c>
      <c r="AF63" s="166">
        <v>8</v>
      </c>
      <c r="AG63" s="166">
        <v>20</v>
      </c>
      <c r="AH63" s="166">
        <v>28</v>
      </c>
      <c r="AI63" s="5"/>
      <c r="AJ63" s="166" t="str">
        <v>Q</v>
      </c>
      <c r="AK63" s="166">
        <v>11</v>
      </c>
      <c r="AL63" s="166">
        <v>33</v>
      </c>
      <c r="AM63" s="166">
        <v>8</v>
      </c>
      <c r="AN63" s="166">
        <v>20</v>
      </c>
      <c r="AO63" s="166">
        <v>28</v>
      </c>
    </row>
    <row r="64" spans="10:41" ht="16.5" customHeight="1" x14ac:dyDescent="0.3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6" t="str">
        <v>J</v>
      </c>
      <c r="AD64" s="166">
        <v>44</v>
      </c>
      <c r="AE64" s="166">
        <v>1</v>
      </c>
      <c r="AF64" s="166">
        <v>39</v>
      </c>
      <c r="AG64" s="166">
        <v>5</v>
      </c>
      <c r="AH64" s="166">
        <v>1</v>
      </c>
      <c r="AI64" s="5"/>
      <c r="AJ64" s="166" t="str">
        <v>J</v>
      </c>
      <c r="AK64" s="166">
        <v>44</v>
      </c>
      <c r="AL64" s="166">
        <v>1</v>
      </c>
      <c r="AM64" s="166">
        <v>39</v>
      </c>
      <c r="AN64" s="166">
        <v>5</v>
      </c>
      <c r="AO64" s="166">
        <v>1</v>
      </c>
    </row>
    <row r="65" spans="10:41" ht="16.5" customHeight="1" x14ac:dyDescent="0.3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119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50">
        <v>0</v>
      </c>
      <c r="AE65" s="150">
        <v>0</v>
      </c>
      <c r="AF65" s="149">
        <v>1</v>
      </c>
      <c r="AG65" s="149">
        <v>8</v>
      </c>
      <c r="AH65" s="150">
        <v>0</v>
      </c>
      <c r="AI65" s="5"/>
      <c r="AJ65" s="149" t="str">
        <v>G1</v>
      </c>
      <c r="AK65" s="150">
        <v>0</v>
      </c>
      <c r="AL65" s="150">
        <v>0</v>
      </c>
      <c r="AM65" s="149">
        <v>1</v>
      </c>
      <c r="AN65" s="149">
        <v>8</v>
      </c>
      <c r="AO65" s="150">
        <v>0</v>
      </c>
    </row>
    <row r="66" spans="10:41" ht="16.5" customHeight="1" x14ac:dyDescent="0.3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50">
        <v>0</v>
      </c>
      <c r="AE66" s="150">
        <v>0</v>
      </c>
      <c r="AF66" s="149">
        <v>3</v>
      </c>
      <c r="AG66" s="149">
        <v>7</v>
      </c>
      <c r="AH66" s="150">
        <v>0</v>
      </c>
      <c r="AI66" s="5"/>
      <c r="AJ66" s="149" t="str">
        <v>G2</v>
      </c>
      <c r="AK66" s="150">
        <v>0</v>
      </c>
      <c r="AL66" s="150">
        <v>0</v>
      </c>
      <c r="AM66" s="149">
        <v>3</v>
      </c>
      <c r="AN66" s="149">
        <v>7</v>
      </c>
      <c r="AO66" s="150">
        <v>0</v>
      </c>
    </row>
    <row r="67" spans="10:41" ht="16.5" customHeight="1" x14ac:dyDescent="0.3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50">
        <v>0</v>
      </c>
      <c r="AE67" s="150">
        <v>0</v>
      </c>
      <c r="AF67" s="149">
        <v>6</v>
      </c>
      <c r="AG67" s="149">
        <v>3</v>
      </c>
      <c r="AH67" s="150">
        <v>0</v>
      </c>
      <c r="AI67" s="5"/>
      <c r="AJ67" s="149" t="str">
        <v>G3</v>
      </c>
      <c r="AK67" s="150">
        <v>0</v>
      </c>
      <c r="AL67" s="150">
        <v>0</v>
      </c>
      <c r="AM67" s="149">
        <v>6</v>
      </c>
      <c r="AN67" s="149">
        <v>3</v>
      </c>
      <c r="AO67" s="150">
        <v>0</v>
      </c>
    </row>
    <row r="68" spans="10:41" ht="16.5" customHeight="1" x14ac:dyDescent="0.3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50">
        <v>0</v>
      </c>
      <c r="AE68" s="150">
        <v>0</v>
      </c>
      <c r="AF68" s="149">
        <v>1</v>
      </c>
      <c r="AG68" s="149">
        <v>5</v>
      </c>
      <c r="AH68" s="150">
        <v>0</v>
      </c>
      <c r="AI68" s="5"/>
      <c r="AJ68" s="149" t="str">
        <v>G4</v>
      </c>
      <c r="AK68" s="150">
        <v>0</v>
      </c>
      <c r="AL68" s="150">
        <v>0</v>
      </c>
      <c r="AM68" s="149">
        <v>1</v>
      </c>
      <c r="AN68" s="149">
        <v>5</v>
      </c>
      <c r="AO68" s="150">
        <v>0</v>
      </c>
    </row>
    <row r="69" spans="10:41" ht="16.5" customHeight="1" x14ac:dyDescent="0.3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50">
        <v>0</v>
      </c>
      <c r="AE69" s="150">
        <v>0</v>
      </c>
      <c r="AF69" s="149">
        <v>6</v>
      </c>
      <c r="AG69" s="149">
        <v>1</v>
      </c>
      <c r="AH69" s="150">
        <v>0</v>
      </c>
      <c r="AI69" s="5"/>
      <c r="AJ69" s="149" t="str">
        <v>G5</v>
      </c>
      <c r="AK69" s="150">
        <v>0</v>
      </c>
      <c r="AL69" s="150">
        <v>0</v>
      </c>
      <c r="AM69" s="149">
        <v>6</v>
      </c>
      <c r="AN69" s="149">
        <v>1</v>
      </c>
      <c r="AO69" s="150">
        <v>0</v>
      </c>
    </row>
    <row r="70" spans="10:41" ht="16.5" customHeight="1" x14ac:dyDescent="0.3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50">
        <v>0</v>
      </c>
      <c r="AE70" s="150">
        <v>0</v>
      </c>
      <c r="AF70" s="149">
        <v>4</v>
      </c>
      <c r="AG70" s="149">
        <v>1</v>
      </c>
      <c r="AH70" s="150">
        <v>0</v>
      </c>
      <c r="AI70" s="5"/>
      <c r="AJ70" s="149" t="str">
        <v>GA</v>
      </c>
      <c r="AK70" s="150">
        <v>0</v>
      </c>
      <c r="AL70" s="150">
        <v>0</v>
      </c>
      <c r="AM70" s="149">
        <v>4</v>
      </c>
      <c r="AN70" s="149">
        <v>1</v>
      </c>
      <c r="AO70" s="150">
        <v>0</v>
      </c>
    </row>
    <row r="71" spans="10:41" ht="16.5" customHeight="1" x14ac:dyDescent="0.3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50">
        <v>0</v>
      </c>
      <c r="AE71" s="150">
        <v>0</v>
      </c>
      <c r="AF71" s="149">
        <v>1</v>
      </c>
      <c r="AG71" s="149">
        <v>3</v>
      </c>
      <c r="AH71" s="150">
        <v>0</v>
      </c>
      <c r="AI71" s="5"/>
      <c r="AJ71" s="149" t="str">
        <v>GK</v>
      </c>
      <c r="AK71" s="150">
        <v>0</v>
      </c>
      <c r="AL71" s="150">
        <v>0</v>
      </c>
      <c r="AM71" s="149">
        <v>1</v>
      </c>
      <c r="AN71" s="149">
        <v>3</v>
      </c>
      <c r="AO71" s="150">
        <v>0</v>
      </c>
    </row>
    <row r="72" spans="10:41" ht="16.5" customHeight="1" x14ac:dyDescent="0.3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50">
        <v>0</v>
      </c>
      <c r="AE72" s="150">
        <v>0</v>
      </c>
      <c r="AF72" s="149">
        <v>1</v>
      </c>
      <c r="AG72" s="149">
        <v>3</v>
      </c>
      <c r="AH72" s="150">
        <v>0</v>
      </c>
      <c r="AI72" s="5"/>
      <c r="AJ72" s="149" t="str">
        <v>GQ</v>
      </c>
      <c r="AK72" s="150">
        <v>0</v>
      </c>
      <c r="AL72" s="150">
        <v>0</v>
      </c>
      <c r="AM72" s="149">
        <v>1</v>
      </c>
      <c r="AN72" s="149">
        <v>3</v>
      </c>
      <c r="AO72" s="150">
        <v>0</v>
      </c>
    </row>
    <row r="73" spans="10:41" ht="16.5" customHeight="1" x14ac:dyDescent="0.3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50">
        <v>0</v>
      </c>
      <c r="AE73" s="150">
        <v>0</v>
      </c>
      <c r="AF73" s="149">
        <v>6</v>
      </c>
      <c r="AG73" s="149">
        <v>1</v>
      </c>
      <c r="AH73" s="150">
        <v>0</v>
      </c>
      <c r="AI73" s="5"/>
      <c r="AJ73" s="149" t="str">
        <v>GJ</v>
      </c>
      <c r="AK73" s="150">
        <v>0</v>
      </c>
      <c r="AL73" s="150">
        <v>0</v>
      </c>
      <c r="AM73" s="149">
        <v>6</v>
      </c>
      <c r="AN73" s="149">
        <v>1</v>
      </c>
      <c r="AO73" s="150">
        <v>0</v>
      </c>
    </row>
    <row r="74" spans="10:41" ht="16.5" customHeight="1" x14ac:dyDescent="0.3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 x14ac:dyDescent="0.3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22</v>
      </c>
      <c r="L84" s="16" t="s">
        <v>22</v>
      </c>
      <c r="M84" s="16" t="s">
        <v>119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119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34</v>
      </c>
      <c r="L97" s="16" t="s">
        <v>37</v>
      </c>
      <c r="M97" s="16" t="s">
        <v>119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 x14ac:dyDescent="0.3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 x14ac:dyDescent="0.3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 x14ac:dyDescent="0.3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 x14ac:dyDescent="0.3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 x14ac:dyDescent="0.3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 x14ac:dyDescent="0.3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 x14ac:dyDescent="0.3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 x14ac:dyDescent="0.3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 x14ac:dyDescent="0.3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 x14ac:dyDescent="0.3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 x14ac:dyDescent="0.3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 x14ac:dyDescent="0.3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 x14ac:dyDescent="0.3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 x14ac:dyDescent="0.3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 x14ac:dyDescent="0.3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 x14ac:dyDescent="0.3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 x14ac:dyDescent="0.3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 x14ac:dyDescent="0.3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 x14ac:dyDescent="0.3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 x14ac:dyDescent="0.3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 x14ac:dyDescent="0.3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 x14ac:dyDescent="0.3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 x14ac:dyDescent="0.3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 x14ac:dyDescent="0.3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 x14ac:dyDescent="0.3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 x14ac:dyDescent="0.3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 x14ac:dyDescent="0.3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 x14ac:dyDescent="0.3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 x14ac:dyDescent="0.3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 x14ac:dyDescent="0.3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 x14ac:dyDescent="0.3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 x14ac:dyDescent="0.3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 x14ac:dyDescent="0.3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 x14ac:dyDescent="0.3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 x14ac:dyDescent="0.3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 x14ac:dyDescent="0.3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 x14ac:dyDescent="0.3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 x14ac:dyDescent="0.3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 x14ac:dyDescent="0.3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 x14ac:dyDescent="0.3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 x14ac:dyDescent="0.3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 x14ac:dyDescent="0.3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 x14ac:dyDescent="0.3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 x14ac:dyDescent="0.3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 x14ac:dyDescent="0.3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 x14ac:dyDescent="0.3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 x14ac:dyDescent="0.3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 x14ac:dyDescent="0.3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 x14ac:dyDescent="0.3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 x14ac:dyDescent="0.3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 x14ac:dyDescent="0.3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 x14ac:dyDescent="0.3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 x14ac:dyDescent="0.3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 x14ac:dyDescent="0.3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 x14ac:dyDescent="0.3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 x14ac:dyDescent="0.3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 x14ac:dyDescent="0.3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 x14ac:dyDescent="0.3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 x14ac:dyDescent="0.3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 x14ac:dyDescent="0.3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 x14ac:dyDescent="0.3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 x14ac:dyDescent="0.3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 x14ac:dyDescent="0.3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 x14ac:dyDescent="0.3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 x14ac:dyDescent="0.3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 x14ac:dyDescent="0.3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 x14ac:dyDescent="0.3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 x14ac:dyDescent="0.3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 x14ac:dyDescent="0.3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 x14ac:dyDescent="0.3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 x14ac:dyDescent="0.3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 x14ac:dyDescent="0.3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 x14ac:dyDescent="0.3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 x14ac:dyDescent="0.3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 x14ac:dyDescent="0.3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 x14ac:dyDescent="0.3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 x14ac:dyDescent="0.3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 x14ac:dyDescent="0.3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 x14ac:dyDescent="0.3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 x14ac:dyDescent="0.3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 x14ac:dyDescent="0.3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 x14ac:dyDescent="0.3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 x14ac:dyDescent="0.3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 x14ac:dyDescent="0.3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 x14ac:dyDescent="0.3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 x14ac:dyDescent="0.3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 x14ac:dyDescent="0.3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 x14ac:dyDescent="0.3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 x14ac:dyDescent="0.3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 x14ac:dyDescent="0.3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 x14ac:dyDescent="0.3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 x14ac:dyDescent="0.3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 x14ac:dyDescent="0.3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 x14ac:dyDescent="0.3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 x14ac:dyDescent="0.3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 x14ac:dyDescent="0.3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 x14ac:dyDescent="0.3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 x14ac:dyDescent="0.3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 x14ac:dyDescent="0.3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5" priority="10">
      <formula>_xlfn.LET(_xlpm.x, W4, AND(NOT(_xlfn.ISFORMULA(_xlpm.x)), _xlpm.x&lt;&gt;""))</formula>
    </cfRule>
  </conditionalFormatting>
  <conditionalFormatting sqref="W4:AA203">
    <cfRule type="expression" dxfId="4" priority="5">
      <formula>_xlfn.LET(_xlpm.x, W4, AND(NOT(_xlfn.ISFORMULA(_xlpm.x)), _xlpm.x&lt;&gt;""))</formula>
    </cfRule>
  </conditionalFormatting>
  <conditionalFormatting sqref="C27:G4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{815CACEB-81C1-4D3C-8A22-5A7A842D468F}</x14:id>
        </ext>
      </extLst>
    </cfRule>
  </conditionalFormatting>
  <conditionalFormatting sqref="K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3" operator="between">
      <formula>"GA"</formula>
      <formula>"GJ"</formula>
    </cfRule>
    <cfRule type="cellIs" dxfId="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5CACEB-81C1-4D3C-8A22-5A7A842D4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2026-05-13T09:46:57Z</dcterms:modified>
</cp:coreProperties>
</file>