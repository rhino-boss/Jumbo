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B0E0FAED-7C9D-4A50-9BE2-4A2DB49B6C6D}" xr6:coauthVersionLast="47" xr6:coauthVersionMax="47" xr10:uidLastSave="{00000000-0000-0000-0000-000000000000}"/>
  <bookViews>
    <workbookView xWindow="-28920" yWindow="60" windowWidth="29040" windowHeight="15720" tabRatio="856" activeTab="2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<sst xmlns="http://schemas.openxmlformats.org/spreadsheetml/2006/main" count="7489" uniqueCount="218">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</sst>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0.0.1.2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K5"/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K6"/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K7"/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8100</v>
          </cell>
          <cell r="P16">
            <v>600</v>
          </cell>
          <cell r="Q16">
            <v>500</v>
          </cell>
          <cell r="R16">
            <v>400</v>
          </cell>
          <cell r="S16">
            <v>400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0.79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8700</v>
          </cell>
          <cell r="P27">
            <v>500</v>
          </cell>
          <cell r="Q27">
            <v>400</v>
          </cell>
          <cell r="R27">
            <v>200</v>
          </cell>
          <cell r="S27">
            <v>200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0.48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600</v>
          </cell>
          <cell r="Q38">
            <v>500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0.79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  <cell r="AC39"/>
          <cell r="AD39"/>
          <cell r="AE39"/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  <cell r="AC40"/>
          <cell r="AD40"/>
          <cell r="AE40"/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8700</v>
          </cell>
          <cell r="P49">
            <v>500</v>
          </cell>
          <cell r="Q49">
            <v>400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0.48</v>
          </cell>
          <cell r="AC49"/>
          <cell r="AD49"/>
          <cell r="AE49"/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  <cell r="AC50"/>
          <cell r="AD50"/>
          <cell r="AE50"/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  <cell r="AC51"/>
          <cell r="AD51"/>
          <cell r="AE51"/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  <cell r="AC52"/>
          <cell r="AD52"/>
          <cell r="AE52"/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  <cell r="AC53"/>
          <cell r="AD53"/>
          <cell r="AE53"/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  <cell r="AC54"/>
          <cell r="AD54"/>
          <cell r="AE54"/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opLeftCell="A31" workbookViewId="0">
      <selection activeCell="H41" sqref="H41:I5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133</v>
      </c>
      <c r="C2" s="5"/>
    </row>
    <row r="3" spans="1:9">
      <c r="A3" s="18" t="s">
        <v>40</v>
      </c>
      <c r="B3" s="38" t="str">
        <f>[1]Overview!$B$3</f>
        <v>0.0.1.2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>
      <c r="A13" s="23"/>
      <c r="B13" s="23"/>
      <c r="C13" s="24"/>
      <c r="D13" s="2"/>
      <c r="F13" s="3"/>
    </row>
    <row r="14" spans="1:9">
      <c r="A14" s="10"/>
      <c r="B14" s="10"/>
      <c r="C14" s="24"/>
      <c r="D14" s="24"/>
      <c r="F14" s="4"/>
    </row>
    <row r="15" spans="1:9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>
      <c r="A19" s="45"/>
      <c r="B19" s="46"/>
      <c r="C19" s="47"/>
      <c r="D19" s="44"/>
      <c r="E19" s="7"/>
      <c r="F19" s="114"/>
      <c r="G19" s="7"/>
      <c r="H19" s="7"/>
      <c r="I19" s="12"/>
    </row>
    <row r="20" spans="1:9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>
      <c r="A23" s="45"/>
      <c r="B23" s="46"/>
      <c r="C23" s="47"/>
      <c r="D23" s="44"/>
      <c r="E23" s="7"/>
      <c r="F23" s="7"/>
      <c r="G23" s="7"/>
      <c r="H23" s="7"/>
      <c r="I23" s="12"/>
    </row>
    <row r="24" spans="1:9">
      <c r="A24" s="45"/>
      <c r="B24" s="46"/>
      <c r="C24" s="47"/>
      <c r="D24" s="44"/>
      <c r="E24" s="7"/>
      <c r="F24" s="7"/>
      <c r="G24" s="7"/>
      <c r="H24" s="7"/>
      <c r="I24" s="12"/>
    </row>
    <row r="25" spans="1:9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>
      <c r="A27" s="31"/>
      <c r="B27" s="31"/>
      <c r="C27" s="31"/>
      <c r="D27" s="31"/>
      <c r="E27" s="31"/>
      <c r="F27" s="31"/>
      <c r="G27" s="31"/>
    </row>
    <row r="28" spans="1:9">
      <c r="A28" s="31"/>
      <c r="B28" s="31"/>
      <c r="C28" s="31"/>
      <c r="D28" s="31"/>
      <c r="E28" s="31"/>
      <c r="F28" s="31"/>
      <c r="G28" s="31"/>
    </row>
    <row r="29" spans="1:9">
      <c r="A29" s="1" t="s">
        <v>47</v>
      </c>
    </row>
    <row r="30" spans="1:9">
      <c r="A30" s="20" t="s">
        <v>41</v>
      </c>
      <c r="B30" s="20" t="s">
        <v>49</v>
      </c>
      <c r="C30" s="20" t="s">
        <v>50</v>
      </c>
    </row>
    <row r="31" spans="1:9">
      <c r="A31" s="22">
        <v>3</v>
      </c>
      <c r="B31" s="39">
        <v>15</v>
      </c>
      <c r="C31" s="39">
        <v>15</v>
      </c>
    </row>
    <row r="32" spans="1:9">
      <c r="A32" s="22">
        <v>4</v>
      </c>
      <c r="B32" s="39">
        <v>17</v>
      </c>
      <c r="C32" s="39">
        <v>17</v>
      </c>
    </row>
    <row r="33" spans="1:6">
      <c r="A33" s="8">
        <v>5</v>
      </c>
      <c r="B33" s="40">
        <v>19</v>
      </c>
      <c r="C33" s="40">
        <v>19</v>
      </c>
    </row>
    <row r="34" spans="1:6">
      <c r="A34" s="162" t="s">
        <v>144</v>
      </c>
      <c r="B34" s="32"/>
    </row>
    <row r="36" spans="1:6">
      <c r="A36" s="1" t="s">
        <v>46</v>
      </c>
      <c r="B36" s="1" t="str">
        <f>"All wins show for "&amp;A7&amp;" credit bet."</f>
        <v>All wins show for 100 credit bet.</v>
      </c>
    </row>
    <row r="37" spans="1:6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>
      <c r="A58" s="24"/>
      <c r="B58" s="24"/>
      <c r="C58" s="24"/>
      <c r="D58" s="24"/>
      <c r="E58" s="24"/>
      <c r="F58" s="24"/>
      <c r="G58" s="24"/>
      <c r="H58" s="24"/>
      <c r="I58" s="24"/>
    </row>
    <row r="59" spans="1:9">
      <c r="A59" s="24"/>
      <c r="B59" s="24"/>
      <c r="C59" s="24"/>
      <c r="D59" s="24"/>
      <c r="E59" s="24"/>
      <c r="F59" s="24"/>
      <c r="G59" s="24"/>
      <c r="H59" s="24"/>
      <c r="I59" s="24"/>
    </row>
    <row r="60" spans="1:9">
      <c r="A60" s="24"/>
      <c r="B60" s="24"/>
      <c r="C60" s="24"/>
      <c r="D60" s="24"/>
      <c r="E60" s="24"/>
      <c r="F60" s="24"/>
      <c r="G60" s="24"/>
      <c r="H60" s="24"/>
      <c r="I60" s="24"/>
    </row>
    <row r="61" spans="1:9">
      <c r="A61" s="24"/>
      <c r="B61" s="24"/>
      <c r="C61" s="24"/>
      <c r="D61" s="24"/>
      <c r="E61" s="24"/>
      <c r="F61" s="24"/>
      <c r="G61" s="24"/>
      <c r="H61" s="24"/>
      <c r="I61" s="24"/>
    </row>
    <row r="62" spans="1:9">
      <c r="A62" s="24"/>
      <c r="B62" s="24"/>
      <c r="C62" s="24"/>
      <c r="D62" s="24"/>
      <c r="E62" s="24"/>
      <c r="F62" s="24"/>
      <c r="G62" s="24"/>
      <c r="H62" s="24"/>
      <c r="I62" s="24"/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B80" s="6"/>
      <c r="C80" s="6"/>
      <c r="D80" s="6"/>
    </row>
    <row r="82" spans="6:9">
      <c r="F82" s="24"/>
      <c r="G82" s="24"/>
      <c r="H82" s="24"/>
      <c r="I82" s="24"/>
    </row>
    <row r="87" spans="6:9">
      <c r="F87" s="24"/>
      <c r="G87" s="24"/>
      <c r="H87" s="24"/>
      <c r="I87" s="24"/>
    </row>
    <row r="92" spans="6:9">
      <c r="F92" s="24"/>
      <c r="G92" s="24"/>
    </row>
    <row r="97" spans="6:7">
      <c r="F97" s="24"/>
      <c r="G97" s="24"/>
    </row>
    <row r="102" spans="6:7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/>
  <cols>
    <col min="1" max="16384" width="8.88671875" style="24"/>
  </cols>
  <sheetData>
    <row r="3" spans="2:2">
      <c r="B3" s="24" t="s">
        <v>152</v>
      </c>
    </row>
    <row r="5" spans="2:2">
      <c r="B5" s="24" t="s">
        <v>153</v>
      </c>
    </row>
    <row r="7" spans="2:2">
      <c r="B7" s="24" t="s">
        <v>154</v>
      </c>
    </row>
    <row r="8" spans="2:2">
      <c r="B8" s="24" t="s">
        <v>155</v>
      </c>
    </row>
    <row r="9" spans="2:2">
      <c r="B9" s="24" t="s">
        <v>156</v>
      </c>
    </row>
    <row r="10" spans="2:2">
      <c r="B10" s="24" t="s">
        <v>157</v>
      </c>
    </row>
    <row r="11" spans="2:2">
      <c r="B11" s="24" t="s">
        <v>158</v>
      </c>
    </row>
    <row r="12" spans="2:2">
      <c r="B12" s="24" t="s">
        <v>159</v>
      </c>
    </row>
    <row r="13" spans="2:2">
      <c r="B13" s="24" t="s">
        <v>160</v>
      </c>
    </row>
    <row r="14" spans="2:2">
      <c r="B14" s="24" t="s">
        <v>161</v>
      </c>
    </row>
    <row r="15" spans="2:2">
      <c r="B15" s="24" t="s">
        <v>162</v>
      </c>
    </row>
    <row r="16" spans="2:2">
      <c r="B16" s="24" t="s">
        <v>163</v>
      </c>
    </row>
    <row r="18" spans="2:2">
      <c r="B18" s="24" t="s">
        <v>164</v>
      </c>
    </row>
    <row r="19" spans="2:2">
      <c r="B19" s="24" t="s">
        <v>151</v>
      </c>
    </row>
    <row r="20" spans="2:2">
      <c r="B20" s="24" t="s">
        <v>165</v>
      </c>
    </row>
    <row r="21" spans="2:2">
      <c r="B21" s="24" t="s">
        <v>166</v>
      </c>
    </row>
    <row r="22" spans="2:2">
      <c r="B22" s="24" t="s">
        <v>167</v>
      </c>
    </row>
    <row r="23" spans="2:2">
      <c r="B23" s="24" t="s">
        <v>168</v>
      </c>
    </row>
    <row r="24" spans="2:2">
      <c r="B24" s="24" t="s">
        <v>169</v>
      </c>
    </row>
    <row r="25" spans="2:2">
      <c r="B25" s="24" t="s">
        <v>170</v>
      </c>
    </row>
    <row r="26" spans="2:2">
      <c r="B26" s="24" t="s">
        <v>171</v>
      </c>
    </row>
    <row r="28" spans="2:2">
      <c r="B28" s="24" t="s">
        <v>172</v>
      </c>
    </row>
    <row r="30" spans="2:2">
      <c r="B30" s="24" t="s">
        <v>173</v>
      </c>
    </row>
    <row r="31" spans="2:2">
      <c r="B31" s="24" t="s">
        <v>174</v>
      </c>
    </row>
    <row r="33" spans="2:2">
      <c r="B33" s="24" t="s">
        <v>175</v>
      </c>
    </row>
    <row r="35" spans="2:2">
      <c r="B35" s="24" t="s">
        <v>176</v>
      </c>
    </row>
    <row r="37" spans="2:2">
      <c r="B37" s="24" t="s">
        <v>177</v>
      </c>
    </row>
    <row r="38" spans="2:2">
      <c r="B38" s="24" t="s">
        <v>178</v>
      </c>
    </row>
    <row r="39" spans="2:2">
      <c r="B39" s="24" t="s">
        <v>179</v>
      </c>
    </row>
    <row r="40" spans="2:2">
      <c r="B40" s="24" t="s">
        <v>180</v>
      </c>
    </row>
    <row r="42" spans="2:2">
      <c r="B42" s="24" t="s">
        <v>181</v>
      </c>
    </row>
    <row r="43" spans="2:2">
      <c r="B43" s="24" t="s">
        <v>151</v>
      </c>
    </row>
    <row r="44" spans="2:2">
      <c r="B44" s="24" t="s">
        <v>182</v>
      </c>
    </row>
    <row r="46" spans="2:2">
      <c r="B46" s="24" t="s">
        <v>183</v>
      </c>
    </row>
    <row r="47" spans="2:2">
      <c r="B47" s="24" t="s">
        <v>184</v>
      </c>
    </row>
    <row r="48" spans="2:2">
      <c r="B48" s="24" t="s">
        <v>185</v>
      </c>
    </row>
    <row r="49" spans="2:2">
      <c r="B49" s="24" t="s">
        <v>186</v>
      </c>
    </row>
    <row r="50" spans="2:2">
      <c r="B50" s="24" t="s">
        <v>187</v>
      </c>
    </row>
    <row r="51" spans="2:2">
      <c r="B51" s="24" t="s">
        <v>188</v>
      </c>
    </row>
    <row r="53" spans="2:2">
      <c r="B53" s="24" t="s">
        <v>189</v>
      </c>
    </row>
    <row r="55" spans="2:2">
      <c r="B55" s="24" t="s">
        <v>190</v>
      </c>
    </row>
    <row r="56" spans="2:2">
      <c r="B56" s="24" t="s">
        <v>191</v>
      </c>
    </row>
    <row r="57" spans="2:2">
      <c r="B57" s="24" t="s">
        <v>192</v>
      </c>
    </row>
    <row r="58" spans="2:2">
      <c r="B58" s="24" t="s">
        <v>193</v>
      </c>
    </row>
    <row r="59" spans="2:2">
      <c r="B59" s="24" t="s">
        <v>194</v>
      </c>
    </row>
    <row r="60" spans="2:2">
      <c r="B60" s="24" t="s">
        <v>195</v>
      </c>
    </row>
    <row r="62" spans="2:2">
      <c r="B62" s="24" t="s">
        <v>196</v>
      </c>
    </row>
    <row r="64" spans="2:2">
      <c r="B64" s="24" t="s">
        <v>197</v>
      </c>
    </row>
    <row r="65" spans="2:2">
      <c r="B65" s="24" t="s">
        <v>198</v>
      </c>
    </row>
    <row r="67" spans="2:2">
      <c r="B67" s="24" t="s">
        <v>199</v>
      </c>
    </row>
    <row r="69" spans="2:2">
      <c r="B69" s="24" t="s">
        <v>200</v>
      </c>
    </row>
    <row r="70" spans="2:2">
      <c r="B70" s="24" t="s">
        <v>201</v>
      </c>
    </row>
    <row r="71" spans="2:2">
      <c r="B71" s="24" t="s">
        <v>202</v>
      </c>
    </row>
    <row r="72" spans="2:2">
      <c r="B72" s="24" t="s">
        <v>203</v>
      </c>
    </row>
    <row r="73" spans="2:2">
      <c r="B73" s="24" t="s">
        <v>204</v>
      </c>
    </row>
    <row r="74" spans="2:2">
      <c r="B74" s="24" t="s">
        <v>205</v>
      </c>
    </row>
    <row r="75" spans="2:2">
      <c r="B75" s="24" t="s">
        <v>206</v>
      </c>
    </row>
    <row r="77" spans="2:2">
      <c r="B77" s="24" t="s">
        <v>207</v>
      </c>
    </row>
    <row r="79" spans="2:2">
      <c r="B79" s="24" t="s">
        <v>208</v>
      </c>
    </row>
    <row r="80" spans="2:2">
      <c r="B80" s="24" t="s">
        <v>209</v>
      </c>
    </row>
    <row r="81" spans="2:2">
      <c r="B81" s="24" t="s">
        <v>210</v>
      </c>
    </row>
    <row r="82" spans="2:2">
      <c r="B82" s="24" t="s">
        <v>211</v>
      </c>
    </row>
    <row r="83" spans="2:2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abSelected="1" topLeftCell="I1" zoomScale="70" zoomScaleNormal="70" workbookViewId="0">
      <selection activeCell="AC21" sqref="AC21"/>
    </sheetView>
  </sheetViews>
  <sheetFormatPr defaultColWidth="8.88671875" defaultRowHeight="16.2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8100</v>
      </c>
      <c r="P16" s="147">
        <v>600</v>
      </c>
      <c r="Q16" s="147">
        <v>500</v>
      </c>
      <c r="R16" s="147">
        <v>400</v>
      </c>
      <c r="S16" s="147">
        <v>400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0.79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8700</v>
      </c>
      <c r="P27" s="147">
        <v>500</v>
      </c>
      <c r="Q27" s="147">
        <v>400</v>
      </c>
      <c r="R27" s="147">
        <v>200</v>
      </c>
      <c r="S27" s="147">
        <v>200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0.48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8100</v>
      </c>
      <c r="P38" s="147">
        <v>600</v>
      </c>
      <c r="Q38" s="147">
        <v>500</v>
      </c>
      <c r="R38" s="147">
        <v>400</v>
      </c>
      <c r="S38" s="147">
        <v>400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0.79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8700</v>
      </c>
      <c r="P49" s="147">
        <v>500</v>
      </c>
      <c r="Q49" s="147">
        <v>400</v>
      </c>
      <c r="R49" s="147">
        <v>200</v>
      </c>
      <c r="S49" s="147">
        <v>200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0.48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30" hidden="1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>
      <c r="B2" s="164" t="s">
        <v>148</v>
      </c>
    </row>
    <row r="3" spans="2:9">
      <c r="B3" s="146" t="s">
        <v>71</v>
      </c>
      <c r="C3" s="146" t="s">
        <v>146</v>
      </c>
      <c r="D3" s="146" t="s">
        <v>145</v>
      </c>
    </row>
    <row r="4" spans="2:9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>
      <c r="B16" s="167" t="s">
        <v>147</v>
      </c>
      <c r="I16" s="17" t="e">
        <f>1/I17</f>
        <v>#DIV/0!</v>
      </c>
    </row>
    <row r="17" spans="2:10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>
      <c r="B18" s="168">
        <v>0</v>
      </c>
      <c r="C18" s="169">
        <v>0.86973562490871026</v>
      </c>
      <c r="D18" s="169" cm="1">
        <f t="array" ref="D18:D30">J18:J30</f>
        <v>0.81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0.81</v>
      </c>
      <c r="I18" s="166" cm="1">
        <f t="array" ref="I18:I30">_xlfn.ANCHORARRAY(G18)/SUM(_xlfn.ANCHORARRAY(G18))*I17</f>
        <v>0</v>
      </c>
      <c r="J18" s="166" cm="1">
        <f t="array" ref="J18:J22">H18:H22</f>
        <v>0.81</v>
      </c>
    </row>
    <row r="19" spans="2:10">
      <c r="B19" s="170">
        <v>2</v>
      </c>
      <c r="C19" s="171">
        <v>3.4690101757631819E-2</v>
      </c>
      <c r="D19" s="171">
        <v>0.06</v>
      </c>
      <c r="F19" s="17">
        <v>600</v>
      </c>
      <c r="G19" s="17">
        <v>0</v>
      </c>
      <c r="H19" s="166">
        <v>0.06</v>
      </c>
      <c r="I19" s="166">
        <v>0</v>
      </c>
      <c r="J19" s="166">
        <v>0.06</v>
      </c>
    </row>
    <row r="20" spans="2:10">
      <c r="B20" s="170">
        <v>3</v>
      </c>
      <c r="C20" s="171">
        <v>2.8506743268903064E-2</v>
      </c>
      <c r="D20" s="171">
        <v>0.05</v>
      </c>
      <c r="F20" s="17">
        <v>500</v>
      </c>
      <c r="G20" s="17">
        <v>0</v>
      </c>
      <c r="H20" s="166">
        <v>0.05</v>
      </c>
      <c r="I20" s="166">
        <v>0</v>
      </c>
      <c r="J20" s="166">
        <v>0.05</v>
      </c>
    </row>
    <row r="21" spans="2:10">
      <c r="B21" s="170">
        <v>5</v>
      </c>
      <c r="C21" s="171">
        <v>1.9109985880519986E-2</v>
      </c>
      <c r="D21" s="171">
        <v>0.04</v>
      </c>
      <c r="F21" s="17">
        <v>400</v>
      </c>
      <c r="G21" s="17">
        <v>0</v>
      </c>
      <c r="H21" s="166">
        <v>0.04</v>
      </c>
      <c r="I21" s="166">
        <v>0</v>
      </c>
      <c r="J21" s="166">
        <v>0.04</v>
      </c>
    </row>
    <row r="22" spans="2:10">
      <c r="B22" s="170">
        <v>8</v>
      </c>
      <c r="C22" s="171">
        <v>1.8111884707142509E-2</v>
      </c>
      <c r="D22" s="171">
        <v>0.04</v>
      </c>
      <c r="F22" s="17">
        <v>400</v>
      </c>
      <c r="G22" s="17">
        <v>0</v>
      </c>
      <c r="H22" s="166">
        <v>0.04</v>
      </c>
      <c r="I22" s="166">
        <v>0</v>
      </c>
      <c r="J22" s="166">
        <v>0.04</v>
      </c>
    </row>
    <row r="23" spans="2:10">
      <c r="B23" s="170">
        <v>10</v>
      </c>
      <c r="C23" s="171">
        <v>1.4849797945372219E-2</v>
      </c>
      <c r="D23" s="171">
        <v>0</v>
      </c>
      <c r="F23" s="17">
        <v>0</v>
      </c>
      <c r="G23" s="17">
        <v>3400</v>
      </c>
      <c r="H23" s="166">
        <v>0</v>
      </c>
      <c r="I23" s="166">
        <v>0</v>
      </c>
      <c r="J23" s="166" cm="1">
        <f t="array" ref="J23:J30">I23:I30</f>
        <v>0</v>
      </c>
    </row>
    <row r="24" spans="2:10">
      <c r="B24" s="170">
        <v>15</v>
      </c>
      <c r="C24" s="171">
        <v>8.7881591119333951E-3</v>
      </c>
      <c r="D24" s="171">
        <v>0</v>
      </c>
      <c r="F24" s="17">
        <v>0</v>
      </c>
      <c r="G24" s="17">
        <v>1200</v>
      </c>
      <c r="H24" s="166">
        <v>0</v>
      </c>
      <c r="I24" s="166">
        <v>0</v>
      </c>
      <c r="J24" s="166">
        <v>0</v>
      </c>
    </row>
    <row r="25" spans="2:10">
      <c r="B25" s="170">
        <v>20</v>
      </c>
      <c r="C25" s="171">
        <v>4.5523151078436146E-3</v>
      </c>
      <c r="D25" s="171">
        <v>0</v>
      </c>
      <c r="F25" s="17">
        <v>0</v>
      </c>
      <c r="G25" s="17">
        <v>2400</v>
      </c>
      <c r="H25" s="166">
        <v>0</v>
      </c>
      <c r="I25" s="166">
        <v>0</v>
      </c>
      <c r="J25" s="166">
        <v>0</v>
      </c>
    </row>
    <row r="26" spans="2:10">
      <c r="B26" s="170">
        <v>25</v>
      </c>
      <c r="C26" s="171">
        <v>1.3876040703052729E-3</v>
      </c>
      <c r="D26" s="171">
        <v>0</v>
      </c>
      <c r="F26" s="17">
        <v>0</v>
      </c>
      <c r="G26" s="17">
        <v>500</v>
      </c>
      <c r="H26" s="166">
        <v>0</v>
      </c>
      <c r="I26" s="166">
        <v>0</v>
      </c>
      <c r="J26" s="166">
        <v>0</v>
      </c>
    </row>
    <row r="27" spans="2:10">
      <c r="B27" s="170">
        <v>35</v>
      </c>
      <c r="C27" s="171">
        <v>1.9475144846389794E-4</v>
      </c>
      <c r="D27" s="171">
        <v>0</v>
      </c>
      <c r="F27" s="17">
        <v>0</v>
      </c>
      <c r="G27" s="17">
        <v>200</v>
      </c>
      <c r="H27" s="166">
        <v>0</v>
      </c>
      <c r="I27" s="166">
        <v>0</v>
      </c>
      <c r="J27" s="166">
        <v>0</v>
      </c>
    </row>
    <row r="28" spans="2:10">
      <c r="B28" s="170">
        <v>50</v>
      </c>
      <c r="C28" s="171">
        <v>2.4343931057987243E-5</v>
      </c>
      <c r="D28" s="171">
        <v>0</v>
      </c>
      <c r="F28" s="17">
        <v>0</v>
      </c>
      <c r="G28" s="17">
        <v>200</v>
      </c>
      <c r="H28" s="166">
        <v>0</v>
      </c>
      <c r="I28" s="166">
        <v>0</v>
      </c>
      <c r="J28" s="166">
        <v>0</v>
      </c>
    </row>
    <row r="29" spans="2:10">
      <c r="B29" s="170">
        <v>80</v>
      </c>
      <c r="C29" s="171">
        <v>4.8687862115974485E-5</v>
      </c>
      <c r="D29" s="171">
        <v>0</v>
      </c>
      <c r="F29" s="17">
        <v>0</v>
      </c>
      <c r="G29" s="17">
        <v>1200</v>
      </c>
      <c r="H29" s="166">
        <v>0</v>
      </c>
      <c r="I29" s="166">
        <v>0</v>
      </c>
      <c r="J29" s="166">
        <v>0</v>
      </c>
    </row>
    <row r="30" spans="2:10">
      <c r="B30" s="170">
        <v>100</v>
      </c>
      <c r="C30" s="171">
        <v>0</v>
      </c>
      <c r="D30" s="171">
        <v>0</v>
      </c>
      <c r="F30" s="17">
        <v>0</v>
      </c>
      <c r="G30" s="17">
        <v>900</v>
      </c>
      <c r="H30" s="166">
        <v>0</v>
      </c>
      <c r="I30" s="166">
        <v>0</v>
      </c>
      <c r="J30" s="166">
        <v>0</v>
      </c>
    </row>
    <row r="31" spans="2:10">
      <c r="C31" s="17">
        <f>SUMPRODUCT(C18:C30,B18:B30)</f>
        <v>0.81333073664735367</v>
      </c>
      <c r="D31" s="17">
        <f>SUMPRODUCT(D18:D30,B18:B30)</f>
        <v>0.79</v>
      </c>
    </row>
    <row r="34" spans="2:9">
      <c r="B34" s="164" t="s">
        <v>149</v>
      </c>
    </row>
    <row r="35" spans="2:9">
      <c r="B35" s="146" t="s">
        <v>71</v>
      </c>
      <c r="C35" s="146" t="s">
        <v>146</v>
      </c>
      <c r="D35" s="146" t="s">
        <v>145</v>
      </c>
    </row>
    <row r="36" spans="2:9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>
      <c r="B48" s="167" t="s">
        <v>147</v>
      </c>
      <c r="I48" s="17" t="e">
        <f>1/I49</f>
        <v>#DIV/0!</v>
      </c>
    </row>
    <row r="49" spans="2:10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>
      <c r="C63" s="17">
        <f>SUMPRODUCT(C50:C62,B50:B62)</f>
        <v>0.81333073664735367</v>
      </c>
      <c r="D63" s="17">
        <f>SUMPRODUCT(D50:D62,B50:B62)</f>
        <v>4.1499999999999995</v>
      </c>
    </row>
    <row r="66" spans="2:9">
      <c r="B66" s="164" t="s">
        <v>150</v>
      </c>
    </row>
    <row r="67" spans="2:9">
      <c r="B67" s="146" t="s">
        <v>71</v>
      </c>
      <c r="C67" s="146" t="s">
        <v>146</v>
      </c>
      <c r="D67" s="146" t="s">
        <v>145</v>
      </c>
    </row>
    <row r="68" spans="2:9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>
      <c r="B80" s="167" t="s">
        <v>147</v>
      </c>
      <c r="I80" s="17" t="e">
        <f>1/I81</f>
        <v>#DIV/0!</v>
      </c>
    </row>
    <row r="81" spans="2:11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>
      <c r="D4" s="113"/>
      <c r="E4" s="113"/>
      <c r="F4" s="113"/>
      <c r="G4" s="113"/>
    </row>
    <row r="5" spans="1:15">
      <c r="A5" s="52"/>
      <c r="B5" s="52"/>
      <c r="C5" s="1" t="s">
        <v>82</v>
      </c>
    </row>
    <row r="6" spans="1:15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>
      <c r="A8" s="58"/>
      <c r="B8" s="58">
        <v>75</v>
      </c>
      <c r="C8" s="82"/>
      <c r="D8" s="82"/>
      <c r="E8" s="104"/>
      <c r="F8" s="65"/>
      <c r="G8" s="75"/>
      <c r="H8" s="95"/>
    </row>
    <row r="9" spans="1:15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>
      <c r="A3" s="52" t="s">
        <v>74</v>
      </c>
      <c r="B3" s="68">
        <f>Overview!A7</f>
        <v>100</v>
      </c>
      <c r="C3" s="1"/>
      <c r="F3" s="113"/>
      <c r="G3" s="110"/>
    </row>
    <row r="4" spans="1:23">
      <c r="F4" s="113"/>
      <c r="G4" s="113"/>
      <c r="I4" s="1"/>
      <c r="L4" s="138"/>
      <c r="M4" s="139"/>
      <c r="N4" s="136"/>
      <c r="O4" s="137"/>
    </row>
    <row r="5" spans="1:2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>
      <c r="B2" s="121" t="s">
        <v>109</v>
      </c>
      <c r="AQ2" s="121" t="s">
        <v>115</v>
      </c>
    </row>
    <row r="3" spans="1:60">
      <c r="I3" s="24" t="s">
        <v>110</v>
      </c>
    </row>
    <row r="4" spans="1:60">
      <c r="I4" s="24" t="s">
        <v>111</v>
      </c>
      <c r="AR4" s="24" t="s">
        <v>116</v>
      </c>
      <c r="AS4" s="24">
        <v>0.3</v>
      </c>
    </row>
    <row r="5" spans="1:60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>
      <c r="B29" s="121" t="s">
        <v>112</v>
      </c>
    </row>
    <row r="30" spans="2:60">
      <c r="P30" s="24" t="s">
        <v>113</v>
      </c>
      <c r="Q30" s="24">
        <v>50</v>
      </c>
    </row>
    <row r="31" spans="2:60">
      <c r="P31" s="24" t="s">
        <v>114</v>
      </c>
      <c r="Q31" s="24">
        <v>1.2</v>
      </c>
      <c r="AR31" s="24" t="s">
        <v>116</v>
      </c>
      <c r="AS31" s="24">
        <v>0.3</v>
      </c>
    </row>
    <row r="32" spans="2:60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>
      <c r="B50" s="123" t="s">
        <v>19</v>
      </c>
      <c r="E50" s="24">
        <v>15</v>
      </c>
      <c r="F50" s="24">
        <v>11</v>
      </c>
    </row>
    <row r="51" spans="2:49">
      <c r="B51" s="123" t="s">
        <v>37</v>
      </c>
      <c r="E51" s="24">
        <v>21</v>
      </c>
      <c r="F51" s="24">
        <v>16</v>
      </c>
    </row>
    <row r="52" spans="2:49">
      <c r="B52" s="123" t="s">
        <v>35</v>
      </c>
      <c r="E52" s="24">
        <v>17</v>
      </c>
      <c r="F52" s="24">
        <v>13</v>
      </c>
    </row>
    <row r="53" spans="2:49">
      <c r="B53" s="123" t="s">
        <v>34</v>
      </c>
      <c r="E53" s="24">
        <v>15</v>
      </c>
      <c r="F53" s="24">
        <v>11</v>
      </c>
    </row>
    <row r="54" spans="2:49">
      <c r="B54" s="123" t="s">
        <v>36</v>
      </c>
      <c r="E54" s="24">
        <v>15</v>
      </c>
      <c r="F54" s="24">
        <v>11</v>
      </c>
    </row>
    <row r="55" spans="2:49">
      <c r="F55" s="24" cm="1">
        <f t="array" ref="F55:F62">INT(E47:E54*0.27)</f>
        <v>2</v>
      </c>
    </row>
    <row r="56" spans="2:49">
      <c r="F56" s="24">
        <v>2</v>
      </c>
    </row>
    <row r="57" spans="2:49">
      <c r="F57" s="24">
        <v>3</v>
      </c>
    </row>
    <row r="58" spans="2:49">
      <c r="F58" s="24">
        <v>4</v>
      </c>
    </row>
    <row r="59" spans="2:49">
      <c r="F59" s="24">
        <v>5</v>
      </c>
    </row>
    <row r="60" spans="2:49">
      <c r="F60" s="24">
        <v>4</v>
      </c>
    </row>
    <row r="61" spans="2:49">
      <c r="F61" s="24">
        <v>4</v>
      </c>
    </row>
    <row r="62" spans="2:49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122</v>
      </c>
    </row>
    <row r="4" spans="2:5">
      <c r="B4" s="97" t="s">
        <v>87</v>
      </c>
      <c r="C4" s="115"/>
      <c r="D4" s="115"/>
      <c r="E4" s="24" t="e">
        <f>SUM(D4:D5)/C4</f>
        <v>#DIV/0!</v>
      </c>
    </row>
    <row r="5" spans="2:5">
      <c r="B5" s="97" t="s">
        <v>86</v>
      </c>
      <c r="C5" s="49"/>
      <c r="D5" s="115"/>
    </row>
    <row r="7" spans="2:5">
      <c r="B7" s="17" t="s">
        <v>124</v>
      </c>
    </row>
    <row r="8" spans="2:5">
      <c r="B8" s="97" t="s">
        <v>87</v>
      </c>
      <c r="C8" s="134"/>
      <c r="D8" s="134"/>
      <c r="E8" s="24" t="e">
        <f>SUM(D8:D9)/C8</f>
        <v>#DIV/0!</v>
      </c>
    </row>
    <row r="9" spans="2:5">
      <c r="B9" s="97" t="s">
        <v>86</v>
      </c>
      <c r="C9" s="135"/>
      <c r="D9" s="134"/>
    </row>
    <row r="11" spans="2:5">
      <c r="B11" s="17" t="s">
        <v>128</v>
      </c>
    </row>
    <row r="12" spans="2:5">
      <c r="B12" s="97" t="s">
        <v>87</v>
      </c>
      <c r="C12" s="115"/>
      <c r="D12" s="115"/>
      <c r="E12" s="24" t="e">
        <f>SUM(D12:D13)/C12</f>
        <v>#DIV/0!</v>
      </c>
    </row>
    <row r="13" spans="2:5">
      <c r="B13" s="97" t="s">
        <v>86</v>
      </c>
      <c r="C13" s="49"/>
      <c r="D13" s="115"/>
    </row>
    <row r="15" spans="2:5">
      <c r="B15" s="17" t="s">
        <v>126</v>
      </c>
    </row>
    <row r="16" spans="2:5">
      <c r="B16" s="97" t="s">
        <v>87</v>
      </c>
      <c r="C16" s="115"/>
      <c r="D16" s="115"/>
      <c r="E16" s="24" t="e">
        <f>SUM(D16:D17)/C16</f>
        <v>#DIV/0!</v>
      </c>
    </row>
    <row r="17" spans="2:5">
      <c r="B17" s="97" t="s">
        <v>86</v>
      </c>
      <c r="C17" s="49"/>
      <c r="D17" s="115"/>
    </row>
    <row r="19" spans="2:5">
      <c r="B19" s="17" t="s">
        <v>130</v>
      </c>
    </row>
    <row r="20" spans="2:5">
      <c r="B20" s="97" t="s">
        <v>87</v>
      </c>
      <c r="C20" s="115"/>
      <c r="D20" s="115"/>
      <c r="E20" s="24" t="e">
        <f>SUM(D20:D21)/C20</f>
        <v>#DIV/0!</v>
      </c>
    </row>
    <row r="21" spans="2:5">
      <c r="B21" s="97" t="s">
        <v>86</v>
      </c>
      <c r="C21" s="49"/>
      <c r="D21" s="115"/>
    </row>
    <row r="23" spans="2:5">
      <c r="B23" s="17" t="s">
        <v>132</v>
      </c>
    </row>
    <row r="24" spans="2:5">
      <c r="B24" s="97" t="s">
        <v>87</v>
      </c>
      <c r="C24" s="115"/>
      <c r="D24" s="115"/>
      <c r="E24" s="24" t="e">
        <f>SUM(D24:D25)/C24</f>
        <v>#DIV/0!</v>
      </c>
    </row>
    <row r="25" spans="2:5">
      <c r="B25" s="97" t="s">
        <v>86</v>
      </c>
      <c r="C25" s="49"/>
      <c r="D25" s="115"/>
    </row>
    <row r="28" spans="2:5">
      <c r="B28" s="97" t="s">
        <v>62</v>
      </c>
      <c r="C28" s="132">
        <v>10000000000</v>
      </c>
    </row>
    <row r="30" spans="2:5">
      <c r="B30" s="133" t="s">
        <v>121</v>
      </c>
      <c r="C30" s="116" t="e">
        <f>ROUND(E4*$C$28, 0)</f>
        <v>#DIV/0!</v>
      </c>
    </row>
    <row r="31" spans="2:5">
      <c r="B31" s="133" t="s">
        <v>123</v>
      </c>
      <c r="C31" s="116" t="e">
        <f>ROUND(E8*$C$28, 0)</f>
        <v>#DIV/0!</v>
      </c>
    </row>
    <row r="32" spans="2:5">
      <c r="B32" s="133" t="s">
        <v>127</v>
      </c>
      <c r="C32" s="116" t="e">
        <f>ROUND(E12*$C$28, 0)</f>
        <v>#DIV/0!</v>
      </c>
    </row>
    <row r="33" spans="2:3">
      <c r="B33" s="133" t="s">
        <v>125</v>
      </c>
      <c r="C33" s="116" t="e">
        <f>ROUND(E16*$C$28, 0)</f>
        <v>#DIV/0!</v>
      </c>
    </row>
    <row r="34" spans="2:3">
      <c r="B34" s="133" t="s">
        <v>129</v>
      </c>
      <c r="C34" s="116" t="e">
        <f>ROUND(E20*$C$28, 0)</f>
        <v>#DIV/0!</v>
      </c>
    </row>
    <row r="35" spans="2:3">
      <c r="B35" s="133" t="s">
        <v>131</v>
      </c>
      <c r="C35" s="116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P14" sqref="P14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>
      <selection activeCell="W203" sqref="W203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2026-05-20T07:52:35Z</dcterms:modified>
</cp:coreProperties>
</file>