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6ED1B1DA-05F2-4028-B348-067D3A82BFDD}" xr6:coauthVersionLast="47" xr6:coauthVersionMax="47" xr10:uidLastSave="{00000000-0000-0000-0000-000000000000}"/>
  <bookViews>
    <workbookView xWindow="-24375" yWindow="3810" windowWidth="16410" windowHeight="11235" activeTab="6" xr2:uid="{11A1FF38-F7B9-4622-8DEB-86B8CCF6F371}"/>
  </bookViews>
  <sheets>
    <sheet name="Overview" sheetId="4" r:id="rId1"/>
    <sheet name="Description" sheetId="55" r:id="rId2"/>
    <sheet name="Parameter" sheetId="30" r:id="rId3"/>
    <sheet name="Multiplier_Weight" sheetId="76" r:id="rId4"/>
    <sheet name="工作表2" sheetId="75" state="hidden" r:id="rId5"/>
    <sheet name="Multiplier_Weight_Newbie" sheetId="67" state="hidden" r:id="rId6"/>
    <sheet name="Multiplier_Weight_Oldhand" sheetId="48" r:id="rId7"/>
    <sheet name="工作表1" sheetId="65" state="hidden" r:id="rId8"/>
    <sheet name="OP Jackpot" sheetId="53" state="hidden" r:id="rId9"/>
    <sheet name="BG_Symbol" sheetId="13" r:id="rId10"/>
    <sheet name="BG_Symbol (2)" sheetId="68" r:id="rId11"/>
    <sheet name="BG_Symbol (3)" sheetId="74" r:id="rId12"/>
    <sheet name="FG_Symbol" sheetId="69" r:id="rId13"/>
    <sheet name="FG_Symbol (2)" sheetId="70" r:id="rId14"/>
    <sheet name="FG_Symbol (3)" sheetId="71" r:id="rId15"/>
    <sheet name="BF_Symbol" sheetId="7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76" l="1"/>
  <c r="D6" i="76"/>
  <c r="D7" i="76"/>
  <c r="D8" i="76"/>
  <c r="D9" i="76"/>
  <c r="D10" i="76"/>
  <c r="D11" i="76"/>
  <c r="D12" i="76"/>
  <c r="D13" i="76"/>
  <c r="D14" i="76"/>
  <c r="D15" i="76"/>
  <c r="D16" i="76"/>
  <c r="D17" i="76"/>
  <c r="D18" i="76"/>
  <c r="D19" i="76"/>
  <c r="D20" i="76"/>
  <c r="D21" i="76"/>
  <c r="D22" i="76"/>
  <c r="D23" i="76"/>
  <c r="D24" i="76"/>
  <c r="D25" i="76"/>
  <c r="D26" i="76"/>
  <c r="D27" i="76"/>
  <c r="D28" i="76"/>
  <c r="D29" i="76"/>
  <c r="D30" i="76"/>
  <c r="D31" i="76"/>
  <c r="D32" i="76"/>
  <c r="D33" i="76"/>
  <c r="D34" i="76"/>
  <c r="D35" i="76"/>
  <c r="D36" i="76"/>
  <c r="D37" i="76"/>
  <c r="D38" i="76"/>
  <c r="D39" i="76"/>
  <c r="D40" i="76"/>
  <c r="D41" i="76"/>
  <c r="D42" i="76"/>
  <c r="D43" i="76"/>
  <c r="D44" i="76"/>
  <c r="D45" i="76"/>
  <c r="D46" i="76"/>
  <c r="D47" i="76"/>
  <c r="D48" i="76"/>
  <c r="D49" i="76"/>
  <c r="D50" i="76"/>
  <c r="D51" i="76"/>
  <c r="D52" i="76"/>
  <c r="D53" i="76"/>
  <c r="D54" i="76"/>
  <c r="D55" i="76"/>
  <c r="D56" i="76"/>
  <c r="D57" i="76"/>
  <c r="D58" i="76"/>
  <c r="D59" i="76"/>
  <c r="D60" i="76"/>
  <c r="D61" i="76"/>
  <c r="D62" i="76"/>
  <c r="D63" i="76"/>
  <c r="D64" i="76"/>
  <c r="D65" i="76"/>
  <c r="D66" i="76"/>
  <c r="D67" i="76"/>
  <c r="D68" i="76"/>
  <c r="D4" i="76"/>
  <c r="N4" i="76" l="1" a="1"/>
  <c r="N4" i="76" s="1"/>
  <c r="J4" i="76" a="1"/>
  <c r="J4" i="76" s="1"/>
  <c r="H190" i="48" l="1"/>
  <c r="H189" i="48"/>
  <c r="H188" i="48"/>
  <c r="H187" i="48"/>
  <c r="H186" i="48"/>
  <c r="H185" i="48"/>
  <c r="H184" i="48"/>
  <c r="H183" i="48"/>
  <c r="H182" i="48"/>
  <c r="H181" i="48"/>
  <c r="H180" i="48"/>
  <c r="H179" i="48"/>
  <c r="H168" i="48"/>
  <c r="H169" i="48"/>
  <c r="H170" i="48"/>
  <c r="H171" i="48"/>
  <c r="H172" i="48"/>
  <c r="H173" i="48"/>
  <c r="H174" i="48"/>
  <c r="H175" i="48"/>
  <c r="H176" i="48"/>
  <c r="H177" i="48"/>
  <c r="H178" i="48"/>
  <c r="P32" i="30" l="1"/>
  <c r="O32" i="30" s="1"/>
  <c r="AB32" i="30" s="1" a="1"/>
  <c r="AB32" i="30" s="1"/>
  <c r="P31" i="30"/>
  <c r="O31" i="30"/>
  <c r="AB31" i="30" s="1" a="1"/>
  <c r="AB31" i="30" s="1"/>
  <c r="P30" i="30"/>
  <c r="O30" i="30" s="1"/>
  <c r="AB30" i="30" s="1" a="1"/>
  <c r="AB30" i="30" s="1"/>
  <c r="T10" i="30"/>
  <c r="T9" i="30"/>
  <c r="P21" i="30"/>
  <c r="O21" i="30"/>
  <c r="P20" i="30"/>
  <c r="O20" i="30" s="1"/>
  <c r="AB20" i="30" s="1" a="1"/>
  <c r="AB20" i="30" s="1"/>
  <c r="T8" i="30"/>
  <c r="G82" i="75" s="1" a="1"/>
  <c r="G82" i="75" s="1"/>
  <c r="P19" i="30"/>
  <c r="O19" i="30"/>
  <c r="F82" i="75" a="1"/>
  <c r="F82" i="75" s="1"/>
  <c r="G69" i="75" a="1"/>
  <c r="G69" i="75" s="1"/>
  <c r="H68" i="75" s="1" a="1"/>
  <c r="H68" i="75" s="1"/>
  <c r="I81" i="75" s="1"/>
  <c r="C95" i="75"/>
  <c r="O54" i="30"/>
  <c r="AB54" i="30" s="1" a="1"/>
  <c r="AB54" i="30" s="1"/>
  <c r="O53" i="30"/>
  <c r="AB53" i="30" s="1" a="1"/>
  <c r="AB53" i="30" s="1"/>
  <c r="O52" i="30"/>
  <c r="AB52" i="30" s="1" a="1"/>
  <c r="AB52" i="30" s="1"/>
  <c r="O44" i="30"/>
  <c r="AB44" i="30" s="1" a="1"/>
  <c r="AB44" i="30" s="1"/>
  <c r="O43" i="30"/>
  <c r="AB43" i="30" s="1" a="1"/>
  <c r="AB43" i="30" s="1"/>
  <c r="O42" i="30"/>
  <c r="AB42" i="30" s="1" a="1"/>
  <c r="AB42" i="30" s="1"/>
  <c r="O41" i="30"/>
  <c r="AB41" i="30" s="1" a="1"/>
  <c r="AB41" i="30" s="1"/>
  <c r="T11" i="30"/>
  <c r="AB11" i="30" s="1" a="1"/>
  <c r="AB11" i="30" s="1"/>
  <c r="O55" i="30"/>
  <c r="AB55" i="30" s="1" a="1"/>
  <c r="AB55" i="30" s="1"/>
  <c r="O33" i="30"/>
  <c r="AB33" i="30" s="1" a="1"/>
  <c r="AB33" i="30" s="1"/>
  <c r="O22" i="30"/>
  <c r="O50" i="30"/>
  <c r="O49" i="30"/>
  <c r="AB50" i="30" a="1"/>
  <c r="AB50" i="30" s="1"/>
  <c r="AB49" i="30" a="1"/>
  <c r="AB49" i="30" s="1"/>
  <c r="AB39" i="30" a="1"/>
  <c r="AB39" i="30" s="1"/>
  <c r="AB38" i="30" a="1"/>
  <c r="AB38" i="30" s="1"/>
  <c r="AB29" i="30" a="1"/>
  <c r="AB29" i="30" s="1"/>
  <c r="AB22" i="30" a="1"/>
  <c r="AB22" i="30" s="1"/>
  <c r="AB21" i="30" a="1"/>
  <c r="AB21" i="30" s="1"/>
  <c r="AB10" i="30" a="1"/>
  <c r="AB10" i="30" s="1"/>
  <c r="AB9" i="30" a="1"/>
  <c r="AB9" i="30" s="1"/>
  <c r="P28" i="30"/>
  <c r="O28" i="30" s="1"/>
  <c r="AB28" i="30" s="1" a="1"/>
  <c r="AB28" i="30" s="1"/>
  <c r="O27" i="30"/>
  <c r="AB27" i="30" s="1" a="1"/>
  <c r="AB27" i="30" s="1"/>
  <c r="O38" i="30"/>
  <c r="O29" i="30"/>
  <c r="O51" i="30"/>
  <c r="AB51" i="30" s="1" a="1"/>
  <c r="AB51" i="30" s="1"/>
  <c r="O40" i="30"/>
  <c r="AB40" i="30" s="1" a="1"/>
  <c r="AB40" i="30" s="1"/>
  <c r="O39" i="30"/>
  <c r="I82" i="75" l="1" a="1"/>
  <c r="I82" i="75" s="1"/>
  <c r="I80" i="75"/>
  <c r="H82" i="75" a="1"/>
  <c r="H82" i="75" s="1"/>
  <c r="J82" i="75" s="1" a="1"/>
  <c r="J82" i="75" s="1"/>
  <c r="AB8" i="30" a="1"/>
  <c r="AB8" i="30" s="1"/>
  <c r="AB19" i="30" a="1"/>
  <c r="AB19" i="30" s="1"/>
  <c r="C63" i="75"/>
  <c r="C31" i="75"/>
  <c r="G37" i="75" a="1"/>
  <c r="G37" i="75" s="1"/>
  <c r="H36" i="75" s="1" a="1"/>
  <c r="H36" i="75" s="1"/>
  <c r="I49" i="75" s="1"/>
  <c r="I48" i="75" l="1"/>
  <c r="J87" i="75" a="1"/>
  <c r="J87" i="75" s="1"/>
  <c r="D82" i="75" s="1" a="1"/>
  <c r="D82" i="75" s="1"/>
  <c r="D95" i="75" s="1"/>
  <c r="G5" i="75" l="1" a="1"/>
  <c r="G5" i="75" s="1"/>
  <c r="P17" i="30"/>
  <c r="T6" i="30"/>
  <c r="T7" i="30"/>
  <c r="AB7" i="30" s="1" a="1"/>
  <c r="AB7" i="30" s="1"/>
  <c r="T5" i="30"/>
  <c r="G18" i="75" l="1" a="1"/>
  <c r="G18" i="75" s="1"/>
  <c r="AB5" i="30" a="1"/>
  <c r="AB5" i="30" s="1"/>
  <c r="AB6" i="30" a="1"/>
  <c r="AB6" i="30" s="1"/>
  <c r="G50" i="75" a="1"/>
  <c r="G50" i="75" s="1"/>
  <c r="I50" i="75" s="1" a="1"/>
  <c r="H4" i="75" a="1"/>
  <c r="H4" i="75" s="1"/>
  <c r="I17" i="75" s="1"/>
  <c r="J55" i="75" l="1" a="1"/>
  <c r="J55" i="75" s="1"/>
  <c r="I50" i="75"/>
  <c r="I16" i="75"/>
  <c r="I18" i="75" a="1"/>
  <c r="I18" i="75" s="1"/>
  <c r="J23" i="75" l="1" a="1"/>
  <c r="J23" i="75" s="1"/>
  <c r="O18" i="30" l="1"/>
  <c r="AB18" i="30" s="1" a="1"/>
  <c r="AB18" i="30" s="1"/>
  <c r="O16" i="30"/>
  <c r="AB16" i="30" s="1" a="1"/>
  <c r="AB16" i="30" s="1"/>
  <c r="F18" i="75" l="1" a="1"/>
  <c r="F18" i="75" s="1"/>
  <c r="O17" i="30"/>
  <c r="J5" i="30"/>
  <c r="AB17" i="30" l="1" a="1"/>
  <c r="AB17" i="30" s="1"/>
  <c r="F50" i="75" a="1"/>
  <c r="F50" i="75" s="1"/>
  <c r="H50" i="75" s="1" a="1"/>
  <c r="H50" i="75" s="1"/>
  <c r="J50" i="75" s="1" a="1"/>
  <c r="J50" i="75" s="1"/>
  <c r="D50" i="75" s="1" a="1"/>
  <c r="D50" i="75" s="1"/>
  <c r="D63" i="75" s="1"/>
  <c r="H18" i="75" a="1"/>
  <c r="H18" i="75" s="1"/>
  <c r="J18" i="75" s="1" a="1"/>
  <c r="J18" i="75" s="1"/>
  <c r="D18" i="75" s="1" a="1"/>
  <c r="D18" i="75" s="1"/>
  <c r="D31" i="75" s="1"/>
  <c r="J8" i="30"/>
  <c r="AO74" i="71" l="1"/>
  <c r="AN74" i="71"/>
  <c r="AM74" i="71"/>
  <c r="AL74" i="71"/>
  <c r="AK74" i="71"/>
  <c r="AH74" i="71"/>
  <c r="AG74" i="71"/>
  <c r="AF74" i="71"/>
  <c r="AE74" i="71"/>
  <c r="AD74" i="71"/>
  <c r="AO50" i="71"/>
  <c r="AN50" i="71"/>
  <c r="AM50" i="71"/>
  <c r="AL50" i="71"/>
  <c r="AK50" i="71"/>
  <c r="AH50" i="71"/>
  <c r="AG50" i="71"/>
  <c r="AF50" i="71"/>
  <c r="AE50" i="71"/>
  <c r="AD50" i="71"/>
  <c r="AO26" i="71"/>
  <c r="AN26" i="71"/>
  <c r="AM26" i="71"/>
  <c r="AL26" i="71"/>
  <c r="AK26" i="71"/>
  <c r="AH26" i="71"/>
  <c r="AG26" i="71"/>
  <c r="AF26" i="71"/>
  <c r="AE26" i="71"/>
  <c r="AD26" i="71"/>
  <c r="J4" i="71" a="1"/>
  <c r="J4" i="71" s="1"/>
  <c r="AO74" i="70"/>
  <c r="AN74" i="70"/>
  <c r="AM74" i="70"/>
  <c r="AL74" i="70"/>
  <c r="AK74" i="70"/>
  <c r="AH74" i="70"/>
  <c r="AG74" i="70"/>
  <c r="AF74" i="70"/>
  <c r="AE74" i="70"/>
  <c r="AD74" i="70"/>
  <c r="AO50" i="70"/>
  <c r="AN50" i="70"/>
  <c r="AM50" i="70"/>
  <c r="AL50" i="70"/>
  <c r="AK50" i="70"/>
  <c r="AH50" i="70"/>
  <c r="AG50" i="70"/>
  <c r="AF50" i="70"/>
  <c r="AE50" i="70"/>
  <c r="AD50" i="70"/>
  <c r="AO26" i="70"/>
  <c r="AN26" i="70"/>
  <c r="AM26" i="70"/>
  <c r="AL26" i="70"/>
  <c r="AK26" i="70"/>
  <c r="AH26" i="70"/>
  <c r="AG26" i="70"/>
  <c r="AF26" i="70"/>
  <c r="AE26" i="70"/>
  <c r="AD26" i="70"/>
  <c r="J4" i="70" a="1"/>
  <c r="J4" i="70" s="1"/>
  <c r="AO74" i="69"/>
  <c r="AN74" i="69"/>
  <c r="AM74" i="69"/>
  <c r="AL74" i="69"/>
  <c r="AK74" i="69"/>
  <c r="AH74" i="69"/>
  <c r="AG74" i="69"/>
  <c r="AF74" i="69"/>
  <c r="AE74" i="69"/>
  <c r="AD74" i="69"/>
  <c r="AO50" i="69"/>
  <c r="AN50" i="69"/>
  <c r="AM50" i="69"/>
  <c r="AL50" i="69"/>
  <c r="AK50" i="69"/>
  <c r="AH50" i="69"/>
  <c r="AG50" i="69"/>
  <c r="AF50" i="69"/>
  <c r="AE50" i="69"/>
  <c r="AD50" i="69"/>
  <c r="AO26" i="69"/>
  <c r="AN26" i="69"/>
  <c r="AM26" i="69"/>
  <c r="AL26" i="69"/>
  <c r="AK26" i="69"/>
  <c r="AH26" i="69"/>
  <c r="AG26" i="69"/>
  <c r="AF26" i="69"/>
  <c r="AE26" i="69"/>
  <c r="AD26" i="69"/>
  <c r="J4" i="69" a="1"/>
  <c r="J4" i="69" s="1"/>
  <c r="AO74" i="74"/>
  <c r="AN74" i="74"/>
  <c r="AM74" i="74"/>
  <c r="AL74" i="74"/>
  <c r="AK74" i="74"/>
  <c r="AH74" i="74"/>
  <c r="AG74" i="74"/>
  <c r="AF74" i="74"/>
  <c r="AE74" i="74"/>
  <c r="AD74" i="74"/>
  <c r="AO50" i="74"/>
  <c r="AN50" i="74"/>
  <c r="AM50" i="74"/>
  <c r="AL50" i="74"/>
  <c r="AK50" i="74"/>
  <c r="AH50" i="74"/>
  <c r="AG50" i="74"/>
  <c r="AF50" i="74"/>
  <c r="AE50" i="74"/>
  <c r="AD50" i="74"/>
  <c r="AO26" i="74"/>
  <c r="AN26" i="74"/>
  <c r="AM26" i="74"/>
  <c r="AL26" i="74"/>
  <c r="AK26" i="74"/>
  <c r="AH26" i="74"/>
  <c r="AG26" i="74"/>
  <c r="AF26" i="74"/>
  <c r="AE26" i="74"/>
  <c r="AD26" i="74"/>
  <c r="J4" i="74" a="1"/>
  <c r="J4" i="74" s="1"/>
  <c r="AO74" i="68"/>
  <c r="AN74" i="68"/>
  <c r="AM74" i="68"/>
  <c r="AL74" i="68"/>
  <c r="AK74" i="68"/>
  <c r="AH74" i="68"/>
  <c r="AG74" i="68"/>
  <c r="AF74" i="68"/>
  <c r="AE74" i="68"/>
  <c r="AD74" i="68"/>
  <c r="AO50" i="68"/>
  <c r="AN50" i="68"/>
  <c r="AM50" i="68"/>
  <c r="AL50" i="68"/>
  <c r="AK50" i="68"/>
  <c r="AH50" i="68"/>
  <c r="AG50" i="68"/>
  <c r="AF50" i="68"/>
  <c r="AE50" i="68"/>
  <c r="AD50" i="68"/>
  <c r="AO26" i="68"/>
  <c r="AN26" i="68"/>
  <c r="AM26" i="68"/>
  <c r="AL26" i="68"/>
  <c r="AK26" i="68"/>
  <c r="AH26" i="68"/>
  <c r="AG26" i="68"/>
  <c r="AF26" i="68"/>
  <c r="AE26" i="68"/>
  <c r="AD26" i="68"/>
  <c r="J4" i="68" a="1"/>
  <c r="J4" i="68" s="1"/>
  <c r="AO74" i="72" l="1"/>
  <c r="AN74" i="72"/>
  <c r="AM74" i="72"/>
  <c r="AL74" i="72"/>
  <c r="AK74" i="72"/>
  <c r="AH74" i="72"/>
  <c r="AG74" i="72"/>
  <c r="AF74" i="72"/>
  <c r="AE74" i="72"/>
  <c r="AD74" i="72"/>
  <c r="AO50" i="72"/>
  <c r="AN50" i="72"/>
  <c r="AM50" i="72"/>
  <c r="AL50" i="72"/>
  <c r="AK50" i="72"/>
  <c r="AH50" i="72"/>
  <c r="AG50" i="72"/>
  <c r="AF50" i="72"/>
  <c r="AE50" i="72"/>
  <c r="AD50" i="72"/>
  <c r="AO26" i="72"/>
  <c r="AN26" i="72"/>
  <c r="AM26" i="72"/>
  <c r="AL26" i="72"/>
  <c r="AK26" i="72"/>
  <c r="AH26" i="72"/>
  <c r="AG26" i="72"/>
  <c r="AF26" i="72"/>
  <c r="AE26" i="72"/>
  <c r="AD26" i="72"/>
  <c r="AO74" i="13"/>
  <c r="AN74" i="13"/>
  <c r="AM74" i="13"/>
  <c r="AL74" i="13"/>
  <c r="AK74" i="13"/>
  <c r="AH74" i="13"/>
  <c r="AG74" i="13"/>
  <c r="AF74" i="13"/>
  <c r="AE74" i="13"/>
  <c r="AD74" i="13"/>
  <c r="AO50" i="13"/>
  <c r="AN50" i="13"/>
  <c r="AM50" i="13"/>
  <c r="AL50" i="13"/>
  <c r="AK50" i="13"/>
  <c r="AH50" i="13"/>
  <c r="AG50" i="13"/>
  <c r="AF50" i="13"/>
  <c r="AE50" i="13"/>
  <c r="AD50" i="13"/>
  <c r="AO26" i="13"/>
  <c r="AN26" i="13"/>
  <c r="AM26" i="13"/>
  <c r="AL26" i="13"/>
  <c r="AK26" i="13"/>
  <c r="AH26" i="13"/>
  <c r="AG26" i="13"/>
  <c r="AF26" i="13"/>
  <c r="AE26" i="13"/>
  <c r="AD26" i="13"/>
  <c r="B5" i="30" l="1" a="1"/>
  <c r="B5" i="30" s="1"/>
  <c r="H4" i="74" l="1" a="1"/>
  <c r="H4" i="74" s="1"/>
  <c r="A4" i="74" a="1"/>
  <c r="D21" i="74" s="1"/>
  <c r="H27" i="74" l="1" a="1"/>
  <c r="H27" i="74" s="1"/>
  <c r="Q4" i="74" a="1"/>
  <c r="Q4" i="74" s="1"/>
  <c r="E6" i="74"/>
  <c r="F9" i="74"/>
  <c r="F13" i="74"/>
  <c r="F17" i="74"/>
  <c r="F21" i="74"/>
  <c r="A4" i="74"/>
  <c r="F6" i="74"/>
  <c r="G9" i="74"/>
  <c r="G13" i="74"/>
  <c r="G17" i="74"/>
  <c r="G21" i="74"/>
  <c r="G7" i="74"/>
  <c r="G11" i="74"/>
  <c r="G15" i="74"/>
  <c r="G19" i="74"/>
  <c r="G23" i="74"/>
  <c r="E7" i="74"/>
  <c r="E11" i="74"/>
  <c r="E15" i="74"/>
  <c r="E19" i="74"/>
  <c r="E23" i="74"/>
  <c r="F7" i="74"/>
  <c r="F11" i="74"/>
  <c r="F15" i="74"/>
  <c r="F19" i="74"/>
  <c r="F23" i="74"/>
  <c r="C8" i="74"/>
  <c r="C12" i="74"/>
  <c r="C16" i="74"/>
  <c r="C20" i="74"/>
  <c r="E17" i="74"/>
  <c r="G6" i="74"/>
  <c r="C14" i="74"/>
  <c r="D14" i="74"/>
  <c r="D18" i="74"/>
  <c r="D22" i="74"/>
  <c r="E10" i="74"/>
  <c r="E14" i="74"/>
  <c r="E18" i="74"/>
  <c r="E22" i="74"/>
  <c r="F10" i="74"/>
  <c r="F14" i="74"/>
  <c r="F18" i="74"/>
  <c r="F22" i="74"/>
  <c r="G10" i="74"/>
  <c r="G14" i="74"/>
  <c r="G18" i="74"/>
  <c r="G22" i="74"/>
  <c r="D7" i="74"/>
  <c r="D11" i="74"/>
  <c r="D15" i="74"/>
  <c r="D19" i="74"/>
  <c r="D23" i="74"/>
  <c r="D5" i="74"/>
  <c r="F16" i="74"/>
  <c r="D6" i="74"/>
  <c r="E9" i="74"/>
  <c r="E13" i="74"/>
  <c r="E21" i="74"/>
  <c r="C10" i="74"/>
  <c r="C18" i="74"/>
  <c r="C22" i="74"/>
  <c r="D10" i="74"/>
  <c r="C7" i="74"/>
  <c r="C11" i="74"/>
  <c r="C15" i="74"/>
  <c r="C19" i="74"/>
  <c r="C23" i="74"/>
  <c r="C5" i="74"/>
  <c r="D8" i="74"/>
  <c r="D12" i="74"/>
  <c r="D16" i="74"/>
  <c r="D20" i="74"/>
  <c r="E8" i="74"/>
  <c r="E12" i="74"/>
  <c r="E16" i="74"/>
  <c r="E20" i="74"/>
  <c r="E5" i="74"/>
  <c r="F8" i="74"/>
  <c r="F12" i="74"/>
  <c r="F20" i="74"/>
  <c r="F5" i="74"/>
  <c r="G8" i="74"/>
  <c r="G12" i="74"/>
  <c r="G16" i="74"/>
  <c r="G20" i="74"/>
  <c r="G5" i="74"/>
  <c r="C9" i="74"/>
  <c r="C13" i="74"/>
  <c r="C17" i="74"/>
  <c r="C21" i="74"/>
  <c r="C6" i="74"/>
  <c r="D9" i="74"/>
  <c r="D13" i="74"/>
  <c r="D17" i="74"/>
  <c r="AJ54" i="74" l="1" a="1"/>
  <c r="AJ54" i="74" s="1"/>
  <c r="AC54" i="74" a="1"/>
  <c r="AC54" i="74" s="1"/>
  <c r="AJ6" i="74" a="1"/>
  <c r="AJ6" i="74" s="1"/>
  <c r="AC6" i="74" a="1"/>
  <c r="AC6" i="74" s="1"/>
  <c r="AJ30" i="74" a="1"/>
  <c r="AJ30" i="74" s="1"/>
  <c r="AC30" i="74" a="1"/>
  <c r="AC30" i="74" s="1"/>
  <c r="D4" i="74"/>
  <c r="D24" i="74" s="1"/>
  <c r="C4" i="74"/>
  <c r="A27" i="74" a="1"/>
  <c r="A27" i="74" s="1"/>
  <c r="G4" i="74"/>
  <c r="G24" i="74" s="1"/>
  <c r="F4" i="74"/>
  <c r="F24" i="74" s="1"/>
  <c r="E4" i="74"/>
  <c r="E24" i="74" s="1"/>
  <c r="C24" i="74" l="1"/>
  <c r="C27" i="74" s="1" a="1"/>
  <c r="C27" i="74" s="1"/>
  <c r="G23" i="72" l="1"/>
  <c r="F23" i="72"/>
  <c r="E23" i="72"/>
  <c r="D23" i="72"/>
  <c r="C23" i="72"/>
  <c r="G22" i="72"/>
  <c r="C22" i="72"/>
  <c r="G21" i="72"/>
  <c r="D21" i="72"/>
  <c r="C21" i="72"/>
  <c r="G20" i="72"/>
  <c r="F20" i="72"/>
  <c r="D20" i="72"/>
  <c r="C20" i="72"/>
  <c r="G19" i="72"/>
  <c r="F19" i="72"/>
  <c r="E19" i="72"/>
  <c r="D19" i="72"/>
  <c r="C19" i="72"/>
  <c r="G18" i="72"/>
  <c r="F18" i="72"/>
  <c r="E18" i="72"/>
  <c r="D17" i="72"/>
  <c r="C17" i="72"/>
  <c r="G16" i="72"/>
  <c r="F16" i="72"/>
  <c r="E16" i="72"/>
  <c r="D16" i="72"/>
  <c r="G15" i="72"/>
  <c r="F15" i="72"/>
  <c r="E15" i="72"/>
  <c r="D15" i="72"/>
  <c r="C15" i="72"/>
  <c r="G14" i="72"/>
  <c r="F14" i="72"/>
  <c r="E14" i="72"/>
  <c r="D14" i="72"/>
  <c r="C14" i="72"/>
  <c r="G12" i="72"/>
  <c r="F12" i="72"/>
  <c r="E12" i="72"/>
  <c r="D12" i="72"/>
  <c r="C12" i="72"/>
  <c r="G11" i="72"/>
  <c r="E11" i="72"/>
  <c r="D11" i="72"/>
  <c r="C11" i="72"/>
  <c r="G10" i="72"/>
  <c r="F10" i="72"/>
  <c r="E10" i="72"/>
  <c r="D10" i="72"/>
  <c r="C10" i="72"/>
  <c r="G9" i="72"/>
  <c r="D9" i="72"/>
  <c r="E8" i="72"/>
  <c r="D8" i="72"/>
  <c r="C8" i="72"/>
  <c r="G7" i="72"/>
  <c r="F7" i="72"/>
  <c r="E7" i="72"/>
  <c r="C7" i="72"/>
  <c r="G6" i="72"/>
  <c r="F6" i="72"/>
  <c r="C6" i="72"/>
  <c r="G5" i="72"/>
  <c r="F5" i="72"/>
  <c r="E5" i="72"/>
  <c r="D5" i="72"/>
  <c r="C5" i="72"/>
  <c r="J4" i="72" a="1"/>
  <c r="J4" i="72" s="1"/>
  <c r="H4" i="72" a="1"/>
  <c r="H4" i="72" s="1"/>
  <c r="A4" i="72" a="1"/>
  <c r="F21" i="72" s="1"/>
  <c r="E20" i="71"/>
  <c r="D20" i="71"/>
  <c r="C20" i="71"/>
  <c r="G19" i="71"/>
  <c r="F19" i="71"/>
  <c r="E19" i="71"/>
  <c r="D15" i="71"/>
  <c r="C15" i="71"/>
  <c r="G14" i="71"/>
  <c r="F14" i="71"/>
  <c r="D13" i="71"/>
  <c r="C13" i="71"/>
  <c r="C9" i="71"/>
  <c r="G8" i="71"/>
  <c r="F8" i="71"/>
  <c r="E8" i="71"/>
  <c r="D8" i="71"/>
  <c r="C8" i="71"/>
  <c r="H4" i="71" a="1"/>
  <c r="H4" i="71" s="1"/>
  <c r="A4" i="71" a="1"/>
  <c r="F21" i="71" s="1"/>
  <c r="G22" i="70"/>
  <c r="F22" i="70"/>
  <c r="E22" i="70"/>
  <c r="D18" i="70"/>
  <c r="C18" i="70"/>
  <c r="G17" i="70"/>
  <c r="E13" i="70"/>
  <c r="D13" i="70"/>
  <c r="C13" i="70"/>
  <c r="G8" i="70"/>
  <c r="F8" i="70"/>
  <c r="E8" i="70"/>
  <c r="H4" i="70" a="1"/>
  <c r="H4" i="70" s="1"/>
  <c r="A4" i="70" a="1"/>
  <c r="F21" i="70" s="1"/>
  <c r="G23" i="69"/>
  <c r="F23" i="69"/>
  <c r="E23" i="69"/>
  <c r="F22" i="69"/>
  <c r="E22" i="69"/>
  <c r="D22" i="69"/>
  <c r="C22" i="69"/>
  <c r="G21" i="69"/>
  <c r="E21" i="69"/>
  <c r="C21" i="69"/>
  <c r="G20" i="69"/>
  <c r="F20" i="69"/>
  <c r="E20" i="69"/>
  <c r="D20" i="69"/>
  <c r="C20" i="69"/>
  <c r="G19" i="69"/>
  <c r="F19" i="69"/>
  <c r="E19" i="69"/>
  <c r="D19" i="69"/>
  <c r="E18" i="69"/>
  <c r="D18" i="69"/>
  <c r="C18" i="69"/>
  <c r="G17" i="69"/>
  <c r="E17" i="69"/>
  <c r="D17" i="69"/>
  <c r="G16" i="69"/>
  <c r="F16" i="69"/>
  <c r="E16" i="69"/>
  <c r="D16" i="69"/>
  <c r="C16" i="69"/>
  <c r="G15" i="69"/>
  <c r="F15" i="69"/>
  <c r="E15" i="69"/>
  <c r="D15" i="69"/>
  <c r="C15" i="69"/>
  <c r="D14" i="69"/>
  <c r="C14" i="69"/>
  <c r="G13" i="69"/>
  <c r="E13" i="69"/>
  <c r="D13" i="69"/>
  <c r="C13" i="69"/>
  <c r="F12" i="69"/>
  <c r="E12" i="69"/>
  <c r="D12" i="69"/>
  <c r="C12" i="69"/>
  <c r="G11" i="69"/>
  <c r="F11" i="69"/>
  <c r="E11" i="69"/>
  <c r="D11" i="69"/>
  <c r="C11" i="69"/>
  <c r="G10" i="69"/>
  <c r="C10" i="69"/>
  <c r="G9" i="69"/>
  <c r="E9" i="69"/>
  <c r="D9" i="69"/>
  <c r="C9" i="69"/>
  <c r="G8" i="69"/>
  <c r="E8" i="69"/>
  <c r="D8" i="69"/>
  <c r="C8" i="69"/>
  <c r="G7" i="69"/>
  <c r="F7" i="69"/>
  <c r="E7" i="69"/>
  <c r="D7" i="69"/>
  <c r="C7" i="69"/>
  <c r="G6" i="69"/>
  <c r="F6" i="69"/>
  <c r="F5" i="69"/>
  <c r="E5" i="69"/>
  <c r="D5" i="69"/>
  <c r="C5" i="69"/>
  <c r="H4" i="69" a="1"/>
  <c r="H4" i="69" s="1"/>
  <c r="Q4" i="69" s="1" a="1"/>
  <c r="Q4" i="69" s="1"/>
  <c r="A4" i="69"/>
  <c r="A4" i="69" a="1"/>
  <c r="F21" i="69" s="1"/>
  <c r="E23" i="68"/>
  <c r="D23" i="68"/>
  <c r="C23" i="68"/>
  <c r="G22" i="68"/>
  <c r="F22" i="68"/>
  <c r="E22" i="68"/>
  <c r="G19" i="68"/>
  <c r="F19" i="68"/>
  <c r="F14" i="68"/>
  <c r="E14" i="68"/>
  <c r="G11" i="68"/>
  <c r="F11" i="68"/>
  <c r="E11" i="68"/>
  <c r="D11" i="68"/>
  <c r="C11" i="68"/>
  <c r="G10" i="68"/>
  <c r="H4" i="68" a="1"/>
  <c r="H4" i="68" s="1"/>
  <c r="A4" i="68" a="1"/>
  <c r="D22" i="68" s="1"/>
  <c r="J19" i="30"/>
  <c r="J12" i="30"/>
  <c r="J22" i="30" l="1"/>
  <c r="J15" i="30"/>
  <c r="F15" i="71"/>
  <c r="G20" i="71"/>
  <c r="C15" i="68"/>
  <c r="G23" i="68"/>
  <c r="F5" i="70"/>
  <c r="E10" i="70"/>
  <c r="C15" i="70"/>
  <c r="C20" i="70"/>
  <c r="D5" i="71"/>
  <c r="G10" i="71"/>
  <c r="C16" i="71"/>
  <c r="D21" i="71"/>
  <c r="A4" i="70"/>
  <c r="F4" i="70" s="1"/>
  <c r="D9" i="70"/>
  <c r="C14" i="70"/>
  <c r="F18" i="70"/>
  <c r="D23" i="70"/>
  <c r="C5" i="70"/>
  <c r="G9" i="70"/>
  <c r="C19" i="70"/>
  <c r="D5" i="70"/>
  <c r="C10" i="70"/>
  <c r="F14" i="70"/>
  <c r="D19" i="70"/>
  <c r="E9" i="71"/>
  <c r="G14" i="68"/>
  <c r="F23" i="68"/>
  <c r="E5" i="70"/>
  <c r="D10" i="70"/>
  <c r="G14" i="70"/>
  <c r="G19" i="70"/>
  <c r="C5" i="71"/>
  <c r="F10" i="71"/>
  <c r="G15" i="71"/>
  <c r="C21" i="71"/>
  <c r="D15" i="68"/>
  <c r="F8" i="69"/>
  <c r="G12" i="69"/>
  <c r="C17" i="69"/>
  <c r="D21" i="69"/>
  <c r="G5" i="70"/>
  <c r="F10" i="70"/>
  <c r="D15" i="70"/>
  <c r="D20" i="70"/>
  <c r="E5" i="71"/>
  <c r="C11" i="71"/>
  <c r="D16" i="71"/>
  <c r="F22" i="71"/>
  <c r="D7" i="72"/>
  <c r="F11" i="72"/>
  <c r="C16" i="72"/>
  <c r="E20" i="72"/>
  <c r="E14" i="70"/>
  <c r="D6" i="70"/>
  <c r="C23" i="71"/>
  <c r="F6" i="70"/>
  <c r="D11" i="70"/>
  <c r="D16" i="70"/>
  <c r="G20" i="70"/>
  <c r="C6" i="71"/>
  <c r="F11" i="71"/>
  <c r="G16" i="71"/>
  <c r="D23" i="71"/>
  <c r="C9" i="70"/>
  <c r="G13" i="70"/>
  <c r="E18" i="70"/>
  <c r="C23" i="70"/>
  <c r="H27" i="70" a="1"/>
  <c r="H27" i="70" s="1"/>
  <c r="E9" i="70"/>
  <c r="D14" i="70"/>
  <c r="G18" i="70"/>
  <c r="G23" i="70"/>
  <c r="E4" i="69"/>
  <c r="AC30" i="69" a="1"/>
  <c r="AC30" i="69" s="1"/>
  <c r="AJ54" i="69" a="1"/>
  <c r="AJ54" i="69" s="1"/>
  <c r="AC54" i="69" a="1"/>
  <c r="AC54" i="69" s="1"/>
  <c r="AC6" i="69" a="1"/>
  <c r="AC6" i="69" s="1"/>
  <c r="AJ6" i="69" a="1"/>
  <c r="AJ6" i="69" s="1"/>
  <c r="AJ30" i="69" a="1"/>
  <c r="AJ30" i="69" s="1"/>
  <c r="E16" i="70"/>
  <c r="D6" i="71"/>
  <c r="G11" i="71"/>
  <c r="E23" i="71"/>
  <c r="E15" i="68"/>
  <c r="H27" i="68" a="1"/>
  <c r="H27" i="68" s="1"/>
  <c r="F15" i="68"/>
  <c r="D7" i="68"/>
  <c r="E18" i="68"/>
  <c r="F18" i="71"/>
  <c r="D9" i="71"/>
  <c r="E15" i="71"/>
  <c r="F20" i="71"/>
  <c r="C6" i="70"/>
  <c r="G10" i="70"/>
  <c r="G15" i="70"/>
  <c r="E20" i="70"/>
  <c r="F5" i="71"/>
  <c r="D11" i="71"/>
  <c r="E16" i="71"/>
  <c r="G22" i="71"/>
  <c r="E7" i="68"/>
  <c r="F18" i="68"/>
  <c r="C7" i="70"/>
  <c r="C12" i="70"/>
  <c r="F16" i="70"/>
  <c r="C7" i="71"/>
  <c r="C12" i="71"/>
  <c r="D17" i="71"/>
  <c r="F23" i="71"/>
  <c r="D7" i="70"/>
  <c r="D12" i="70"/>
  <c r="G16" i="70"/>
  <c r="E21" i="70"/>
  <c r="D7" i="71"/>
  <c r="D12" i="71"/>
  <c r="G23" i="71"/>
  <c r="F8" i="72"/>
  <c r="C13" i="72"/>
  <c r="G17" i="72"/>
  <c r="D22" i="72"/>
  <c r="D21" i="70"/>
  <c r="F7" i="68"/>
  <c r="G18" i="68"/>
  <c r="G7" i="68"/>
  <c r="G5" i="69"/>
  <c r="D10" i="69"/>
  <c r="F18" i="69"/>
  <c r="G7" i="70"/>
  <c r="E12" i="70"/>
  <c r="C17" i="70"/>
  <c r="E7" i="71"/>
  <c r="E12" i="71"/>
  <c r="E10" i="68"/>
  <c r="D19" i="68"/>
  <c r="C6" i="69"/>
  <c r="E10" i="69"/>
  <c r="F14" i="69"/>
  <c r="G18" i="69"/>
  <c r="C23" i="69"/>
  <c r="C8" i="70"/>
  <c r="F12" i="70"/>
  <c r="D17" i="70"/>
  <c r="C22" i="70"/>
  <c r="F7" i="71"/>
  <c r="F12" i="71"/>
  <c r="C19" i="71"/>
  <c r="A4" i="72"/>
  <c r="D4" i="72" s="1"/>
  <c r="D24" i="72" s="1"/>
  <c r="G8" i="72"/>
  <c r="D13" i="72"/>
  <c r="C18" i="72"/>
  <c r="E22" i="72"/>
  <c r="C11" i="70"/>
  <c r="C16" i="70"/>
  <c r="F20" i="70"/>
  <c r="G5" i="71"/>
  <c r="E11" i="71"/>
  <c r="F16" i="71"/>
  <c r="C7" i="68"/>
  <c r="G15" i="68"/>
  <c r="G6" i="70"/>
  <c r="G11" i="70"/>
  <c r="C21" i="70"/>
  <c r="C17" i="71"/>
  <c r="C19" i="68"/>
  <c r="E14" i="69"/>
  <c r="G22" i="69"/>
  <c r="G21" i="70"/>
  <c r="G18" i="71"/>
  <c r="F10" i="68"/>
  <c r="E19" i="68"/>
  <c r="D6" i="69"/>
  <c r="F10" i="69"/>
  <c r="G14" i="69"/>
  <c r="C19" i="69"/>
  <c r="D23" i="69"/>
  <c r="D8" i="70"/>
  <c r="G12" i="70"/>
  <c r="E17" i="70"/>
  <c r="D22" i="70"/>
  <c r="G7" i="71"/>
  <c r="G12" i="71"/>
  <c r="D19" i="71"/>
  <c r="C9" i="72"/>
  <c r="G13" i="72"/>
  <c r="D18" i="72"/>
  <c r="F22" i="72"/>
  <c r="L12" i="30" a="1"/>
  <c r="L12" i="30" s="1"/>
  <c r="K15" i="30" s="1"/>
  <c r="L19" i="30" a="1"/>
  <c r="L19" i="30" s="1"/>
  <c r="K22" i="30" s="1"/>
  <c r="L5" i="30" a="1"/>
  <c r="L5" i="30" s="1"/>
  <c r="K8" i="30" s="1"/>
  <c r="H27" i="72" a="1"/>
  <c r="H27" i="72" s="1"/>
  <c r="Q4" i="72" a="1"/>
  <c r="Q4" i="72" s="1"/>
  <c r="C4" i="72"/>
  <c r="C24" i="72" s="1"/>
  <c r="E4" i="72"/>
  <c r="F4" i="72"/>
  <c r="D6" i="72"/>
  <c r="E9" i="72"/>
  <c r="E13" i="72"/>
  <c r="E17" i="72"/>
  <c r="E21" i="72"/>
  <c r="E6" i="72"/>
  <c r="F9" i="72"/>
  <c r="F13" i="72"/>
  <c r="F17" i="72"/>
  <c r="H27" i="71" a="1"/>
  <c r="H27" i="71" s="1"/>
  <c r="E13" i="71"/>
  <c r="E17" i="71"/>
  <c r="E21" i="71"/>
  <c r="A4" i="71"/>
  <c r="F6" i="71"/>
  <c r="G9" i="71"/>
  <c r="G13" i="71"/>
  <c r="G17" i="71"/>
  <c r="G21" i="71"/>
  <c r="G6" i="71"/>
  <c r="C10" i="71"/>
  <c r="C14" i="71"/>
  <c r="C18" i="71"/>
  <c r="C22" i="71"/>
  <c r="D10" i="71"/>
  <c r="D14" i="71"/>
  <c r="D18" i="71"/>
  <c r="D22" i="71"/>
  <c r="E10" i="71"/>
  <c r="E14" i="71"/>
  <c r="E18" i="71"/>
  <c r="E22" i="71"/>
  <c r="E6" i="71"/>
  <c r="F9" i="71"/>
  <c r="F13" i="71"/>
  <c r="F17" i="71"/>
  <c r="D4" i="70"/>
  <c r="G4" i="70"/>
  <c r="E7" i="70"/>
  <c r="E11" i="70"/>
  <c r="E15" i="70"/>
  <c r="E19" i="70"/>
  <c r="E23" i="70"/>
  <c r="F7" i="70"/>
  <c r="F11" i="70"/>
  <c r="F15" i="70"/>
  <c r="F19" i="70"/>
  <c r="F23" i="70"/>
  <c r="E6" i="70"/>
  <c r="F9" i="70"/>
  <c r="F13" i="70"/>
  <c r="F17" i="70"/>
  <c r="H27" i="69" a="1"/>
  <c r="H27" i="69" s="1"/>
  <c r="F4" i="69"/>
  <c r="G4" i="69"/>
  <c r="C4" i="69"/>
  <c r="A27" i="69" a="1"/>
  <c r="A27" i="69" s="1"/>
  <c r="D4" i="69"/>
  <c r="E6" i="69"/>
  <c r="F9" i="69"/>
  <c r="F13" i="69"/>
  <c r="F17" i="69"/>
  <c r="E6" i="68"/>
  <c r="F9" i="68"/>
  <c r="F13" i="68"/>
  <c r="F17" i="68"/>
  <c r="F21" i="68"/>
  <c r="A4" i="68"/>
  <c r="F6" i="68"/>
  <c r="G9" i="68"/>
  <c r="G13" i="68"/>
  <c r="G17" i="68"/>
  <c r="G21" i="68"/>
  <c r="F5" i="68"/>
  <c r="G8" i="68"/>
  <c r="G12" i="68"/>
  <c r="G16" i="68"/>
  <c r="G20" i="68"/>
  <c r="G5" i="68"/>
  <c r="C9" i="68"/>
  <c r="C13" i="68"/>
  <c r="C17" i="68"/>
  <c r="C21" i="68"/>
  <c r="C6" i="68"/>
  <c r="D9" i="68"/>
  <c r="D13" i="68"/>
  <c r="D17" i="68"/>
  <c r="D21" i="68"/>
  <c r="D6" i="68"/>
  <c r="E9" i="68"/>
  <c r="E13" i="68"/>
  <c r="E17" i="68"/>
  <c r="E21" i="68"/>
  <c r="G6" i="68"/>
  <c r="C10" i="68"/>
  <c r="C14" i="68"/>
  <c r="C18" i="68"/>
  <c r="C22" i="68"/>
  <c r="C8" i="68"/>
  <c r="C12" i="68"/>
  <c r="C16" i="68"/>
  <c r="C20" i="68"/>
  <c r="C5" i="68"/>
  <c r="D8" i="68"/>
  <c r="D12" i="68"/>
  <c r="D16" i="68"/>
  <c r="D20" i="68"/>
  <c r="D5" i="68"/>
  <c r="E8" i="68"/>
  <c r="E12" i="68"/>
  <c r="E16" i="68"/>
  <c r="E20" i="68"/>
  <c r="E5" i="68"/>
  <c r="F8" i="68"/>
  <c r="F12" i="68"/>
  <c r="F16" i="68"/>
  <c r="F20" i="68"/>
  <c r="D10" i="68"/>
  <c r="D14" i="68"/>
  <c r="D18" i="68"/>
  <c r="J4" i="13" a="1"/>
  <c r="J4" i="13" s="1"/>
  <c r="G24" i="70" l="1"/>
  <c r="G24" i="69"/>
  <c r="A27" i="72" a="1"/>
  <c r="A27" i="72" s="1"/>
  <c r="E4" i="70"/>
  <c r="AJ30" i="70" a="1"/>
  <c r="AJ30" i="70" s="1"/>
  <c r="AJ54" i="70" a="1"/>
  <c r="AJ54" i="70" s="1"/>
  <c r="AJ6" i="70" a="1"/>
  <c r="AJ6" i="70" s="1"/>
  <c r="AC30" i="70" a="1"/>
  <c r="AC30" i="70" s="1"/>
  <c r="AC6" i="70" a="1"/>
  <c r="AC6" i="70" s="1"/>
  <c r="AC54" i="70" a="1"/>
  <c r="AC54" i="70" s="1"/>
  <c r="AJ54" i="68" a="1"/>
  <c r="AJ54" i="68" s="1"/>
  <c r="AJ6" i="68" a="1"/>
  <c r="AJ6" i="68" s="1"/>
  <c r="AC6" i="68" a="1"/>
  <c r="AC6" i="68" s="1"/>
  <c r="AC54" i="68" a="1"/>
  <c r="AC54" i="68" s="1"/>
  <c r="AJ30" i="68" a="1"/>
  <c r="AJ30" i="68" s="1"/>
  <c r="AC30" i="68" a="1"/>
  <c r="AC30" i="68" s="1"/>
  <c r="C4" i="70"/>
  <c r="C24" i="70" s="1"/>
  <c r="Q4" i="70" a="1"/>
  <c r="Q4" i="70" s="1"/>
  <c r="Q4" i="68" a="1"/>
  <c r="Q4" i="68" s="1"/>
  <c r="AJ54" i="71" a="1"/>
  <c r="AJ54" i="71" s="1"/>
  <c r="AC54" i="71" a="1"/>
  <c r="AC54" i="71" s="1"/>
  <c r="AC6" i="71" a="1"/>
  <c r="AC6" i="71" s="1"/>
  <c r="AJ30" i="71" a="1"/>
  <c r="AJ30" i="71" s="1"/>
  <c r="AC30" i="71" a="1"/>
  <c r="AC30" i="71" s="1"/>
  <c r="AJ6" i="71" a="1"/>
  <c r="AJ6" i="71" s="1"/>
  <c r="D24" i="70"/>
  <c r="G4" i="72"/>
  <c r="G24" i="72" s="1"/>
  <c r="E24" i="69"/>
  <c r="D24" i="69"/>
  <c r="AJ30" i="72" a="1"/>
  <c r="AJ30" i="72" s="1"/>
  <c r="AC30" i="72" a="1"/>
  <c r="AC30" i="72" s="1"/>
  <c r="AC54" i="72" a="1"/>
  <c r="AC54" i="72" s="1"/>
  <c r="AJ54" i="72" a="1"/>
  <c r="AJ54" i="72" s="1"/>
  <c r="AC6" i="72" a="1"/>
  <c r="AC6" i="72" s="1"/>
  <c r="AJ6" i="72" a="1"/>
  <c r="AJ6" i="72" s="1"/>
  <c r="A27" i="70" a="1"/>
  <c r="A27" i="70" s="1"/>
  <c r="C24" i="69"/>
  <c r="C27" i="69" s="1" a="1"/>
  <c r="C27" i="69" s="1"/>
  <c r="Q4" i="71" a="1"/>
  <c r="Q4" i="71" s="1"/>
  <c r="E24" i="70"/>
  <c r="F24" i="72"/>
  <c r="E24" i="72"/>
  <c r="G4" i="71"/>
  <c r="G24" i="71" s="1"/>
  <c r="E4" i="71"/>
  <c r="E24" i="71" s="1"/>
  <c r="D4" i="71"/>
  <c r="D24" i="71" s="1"/>
  <c r="C4" i="71"/>
  <c r="C24" i="71" s="1"/>
  <c r="A27" i="71" a="1"/>
  <c r="A27" i="71" s="1"/>
  <c r="F4" i="71"/>
  <c r="F24" i="71" s="1"/>
  <c r="F24" i="70"/>
  <c r="F24" i="69"/>
  <c r="E4" i="68"/>
  <c r="E24" i="68" s="1"/>
  <c r="F4" i="68"/>
  <c r="F24" i="68" s="1"/>
  <c r="G4" i="68"/>
  <c r="G24" i="68" s="1"/>
  <c r="A27" i="68" a="1"/>
  <c r="A27" i="68" s="1"/>
  <c r="D4" i="68"/>
  <c r="D24" i="68" s="1"/>
  <c r="C4" i="68"/>
  <c r="H150" i="67"/>
  <c r="H149" i="67"/>
  <c r="H148" i="67"/>
  <c r="H147" i="67"/>
  <c r="H146" i="67"/>
  <c r="H145" i="67"/>
  <c r="H144" i="67"/>
  <c r="H143" i="67"/>
  <c r="H142" i="67"/>
  <c r="H141" i="67"/>
  <c r="H140" i="67"/>
  <c r="H139" i="67"/>
  <c r="H138" i="67"/>
  <c r="H137" i="67"/>
  <c r="H136" i="67"/>
  <c r="H135" i="67"/>
  <c r="H134" i="67"/>
  <c r="H133" i="67"/>
  <c r="H132" i="67"/>
  <c r="H131" i="67"/>
  <c r="H130" i="67"/>
  <c r="H129" i="67"/>
  <c r="H128" i="67"/>
  <c r="H127" i="67"/>
  <c r="H126" i="67"/>
  <c r="H125" i="67"/>
  <c r="H124" i="67"/>
  <c r="H123" i="67"/>
  <c r="H122" i="67"/>
  <c r="H121" i="67"/>
  <c r="H120" i="67"/>
  <c r="H119" i="67"/>
  <c r="H118" i="67"/>
  <c r="H117" i="67"/>
  <c r="H116" i="67"/>
  <c r="H115" i="67"/>
  <c r="H114" i="67"/>
  <c r="H113" i="67"/>
  <c r="H112" i="67"/>
  <c r="H111" i="67"/>
  <c r="H110" i="67"/>
  <c r="H109" i="67"/>
  <c r="H108" i="67"/>
  <c r="H107" i="67"/>
  <c r="H106" i="67"/>
  <c r="H105" i="67"/>
  <c r="H104" i="67"/>
  <c r="H103" i="67"/>
  <c r="H102" i="67"/>
  <c r="H101" i="67"/>
  <c r="H100" i="67"/>
  <c r="H99" i="67"/>
  <c r="H98" i="67"/>
  <c r="H97" i="67"/>
  <c r="H96" i="67"/>
  <c r="H95" i="67"/>
  <c r="H94" i="67"/>
  <c r="H93" i="67"/>
  <c r="H92" i="67"/>
  <c r="H91" i="67"/>
  <c r="H90" i="67"/>
  <c r="H89" i="67"/>
  <c r="H88" i="67"/>
  <c r="O87" i="67" a="1"/>
  <c r="O87" i="67" s="1"/>
  <c r="H87" i="67"/>
  <c r="E87" i="67" a="1"/>
  <c r="E87" i="67" s="1"/>
  <c r="J87" i="67" s="1" a="1"/>
  <c r="J87" i="67" s="1"/>
  <c r="K87" i="67" s="1" a="1"/>
  <c r="H78" i="67"/>
  <c r="H77" i="67"/>
  <c r="H76" i="67"/>
  <c r="H75" i="67"/>
  <c r="H74" i="67"/>
  <c r="H73" i="67"/>
  <c r="H72" i="67"/>
  <c r="H71" i="67"/>
  <c r="H70" i="67"/>
  <c r="H69" i="67"/>
  <c r="H68" i="67"/>
  <c r="H67" i="67"/>
  <c r="H66" i="67"/>
  <c r="H65" i="67"/>
  <c r="H64" i="67"/>
  <c r="H63" i="67"/>
  <c r="H62" i="67"/>
  <c r="H61" i="67"/>
  <c r="H60" i="67"/>
  <c r="H59" i="67"/>
  <c r="H58" i="67"/>
  <c r="H57" i="67"/>
  <c r="H56" i="67"/>
  <c r="H55" i="67"/>
  <c r="H54" i="67"/>
  <c r="H53" i="67"/>
  <c r="H52" i="67"/>
  <c r="H51" i="67"/>
  <c r="H50" i="67"/>
  <c r="H49" i="67"/>
  <c r="H48" i="67"/>
  <c r="H47" i="67"/>
  <c r="H46" i="67"/>
  <c r="H45" i="67"/>
  <c r="H44" i="67"/>
  <c r="H43" i="67"/>
  <c r="H42" i="67"/>
  <c r="H41" i="67"/>
  <c r="H40" i="67"/>
  <c r="H39" i="67"/>
  <c r="H38" i="67"/>
  <c r="H37" i="67"/>
  <c r="H36" i="67"/>
  <c r="H35" i="67"/>
  <c r="H34" i="67"/>
  <c r="H33" i="67"/>
  <c r="H32" i="67"/>
  <c r="H31" i="67"/>
  <c r="H30" i="67"/>
  <c r="H29" i="67"/>
  <c r="H28" i="67"/>
  <c r="H27" i="67"/>
  <c r="H26" i="67"/>
  <c r="H25" i="67"/>
  <c r="H24" i="67"/>
  <c r="H23" i="67"/>
  <c r="H22" i="67"/>
  <c r="H21" i="67"/>
  <c r="H20" i="67"/>
  <c r="H19" i="67"/>
  <c r="H18" i="67"/>
  <c r="H17" i="67"/>
  <c r="H16" i="67"/>
  <c r="O15" i="67" a="1"/>
  <c r="O15" i="67" s="1"/>
  <c r="H15" i="67"/>
  <c r="E15" i="67" a="1"/>
  <c r="E15" i="67" s="1"/>
  <c r="J15" i="67" s="1" a="1"/>
  <c r="B13" i="67"/>
  <c r="C79" i="67" s="1"/>
  <c r="B7" i="67" a="1"/>
  <c r="B7" i="67" s="1"/>
  <c r="B3" i="67"/>
  <c r="F87" i="67" s="1" a="1"/>
  <c r="F87" i="67" s="1"/>
  <c r="H28" i="48"/>
  <c r="C27" i="70" l="1" a="1"/>
  <c r="C27" i="70" s="1"/>
  <c r="C27" i="72" a="1"/>
  <c r="C27" i="72" s="1"/>
  <c r="C27" i="71" a="1"/>
  <c r="C27" i="71" s="1"/>
  <c r="C24" i="68"/>
  <c r="C27" i="68" s="1" a="1"/>
  <c r="C27" i="68" s="1"/>
  <c r="F15" i="67" a="1"/>
  <c r="F15" i="67" s="1"/>
  <c r="L99" i="67" a="1"/>
  <c r="L99" i="67" s="1"/>
  <c r="L98" i="67" s="1"/>
  <c r="M87" i="67" s="1" a="1"/>
  <c r="K87" i="67"/>
  <c r="J15" i="67"/>
  <c r="K15" i="67" s="1" a="1"/>
  <c r="K79" i="67"/>
  <c r="O157" i="48" a="1"/>
  <c r="O157" i="48" s="1"/>
  <c r="O87" i="48" a="1"/>
  <c r="O87" i="48" s="1"/>
  <c r="T156" i="48" a="1"/>
  <c r="T156" i="48" s="1"/>
  <c r="T86" i="48" a="1"/>
  <c r="T86" i="48" s="1"/>
  <c r="O15" i="48" a="1"/>
  <c r="O15" i="48" s="1"/>
  <c r="K15" i="67" l="1"/>
  <c r="L16" i="67" a="1"/>
  <c r="L16" i="67" s="1"/>
  <c r="L15" i="67" s="1"/>
  <c r="M87" i="67"/>
  <c r="N87" i="67" l="1" a="1"/>
  <c r="N87" i="67" s="1"/>
  <c r="G34" i="67"/>
  <c r="G33" i="67"/>
  <c r="G31" i="67"/>
  <c r="G28" i="67"/>
  <c r="M15" i="67" a="1"/>
  <c r="G79" i="67"/>
  <c r="G29" i="67"/>
  <c r="G27" i="67"/>
  <c r="G26" i="67"/>
  <c r="G30" i="67"/>
  <c r="G32" i="67"/>
  <c r="F7" i="67" l="1"/>
  <c r="G7" i="67" s="1"/>
  <c r="M15" i="67"/>
  <c r="D7" i="67"/>
  <c r="H7" i="67" l="1"/>
  <c r="N15" i="67" a="1"/>
  <c r="N15" i="67" s="1"/>
  <c r="C7" i="67" s="1"/>
  <c r="E7" i="67" s="1"/>
  <c r="B7" i="48" a="1"/>
  <c r="B7" i="48" s="1"/>
  <c r="B3" i="48"/>
  <c r="Q15" i="48" l="1" a="1"/>
  <c r="Q15" i="48" s="1"/>
  <c r="Q87" i="48" l="1" a="1"/>
  <c r="Q87" i="48" s="1"/>
  <c r="Q157" i="48" a="1"/>
  <c r="Q157" i="48" s="1"/>
  <c r="C47" i="65" l="1" a="1"/>
  <c r="C47" i="65" s="1"/>
  <c r="D47" i="65" s="1" a="1"/>
  <c r="D47" i="65" s="1"/>
  <c r="F55" i="65" a="1"/>
  <c r="F55" i="65" s="1"/>
  <c r="F47" i="65" s="1" a="1"/>
  <c r="F47" i="65" s="1"/>
  <c r="BH7" i="65" a="1"/>
  <c r="BH7" i="65" s="1"/>
  <c r="BH15" i="65" a="1"/>
  <c r="BH15" i="65" s="1"/>
  <c r="P7" i="65" l="1" a="1"/>
  <c r="P7" i="65" s="1"/>
  <c r="B15" i="65" l="1"/>
  <c r="C15" i="65"/>
  <c r="D15" i="65"/>
  <c r="E15" i="65"/>
  <c r="F15" i="65"/>
  <c r="G15" i="65"/>
  <c r="P14" i="65" l="1" a="1"/>
  <c r="P14" i="65" s="1"/>
  <c r="P13" i="65" a="1"/>
  <c r="P13" i="65" s="1"/>
  <c r="P12" i="65" a="1"/>
  <c r="P12" i="65" s="1"/>
  <c r="P11" i="65" a="1"/>
  <c r="P11" i="65" s="1"/>
  <c r="P10" i="65" a="1"/>
  <c r="P10" i="65" s="1"/>
  <c r="P9" i="65" a="1"/>
  <c r="P9" i="65" s="1"/>
  <c r="P8" i="65" a="1"/>
  <c r="P8" i="65" s="1"/>
  <c r="P34" i="65" a="1"/>
  <c r="P34" i="65" s="1"/>
  <c r="G42" i="65"/>
  <c r="F42" i="65"/>
  <c r="E42" i="65"/>
  <c r="D42" i="65"/>
  <c r="C42" i="65"/>
  <c r="B42" i="65"/>
  <c r="I18" i="65" a="1"/>
  <c r="I18" i="65" s="1"/>
  <c r="AD7" i="65" l="1" a="1"/>
  <c r="AD7" i="65" s="1"/>
  <c r="P42" i="65"/>
  <c r="AD34" i="65" a="1"/>
  <c r="AR7" i="65" a="1"/>
  <c r="R15" i="65"/>
  <c r="S15" i="65"/>
  <c r="T15" i="65"/>
  <c r="P15" i="65"/>
  <c r="Q15" i="65"/>
  <c r="U15" i="65"/>
  <c r="AT15" i="65" a="1"/>
  <c r="AT15" i="65" s="1"/>
  <c r="AT7" i="65" s="1" a="1"/>
  <c r="AT7" i="65" s="1"/>
  <c r="AV7" i="65" a="1"/>
  <c r="AV7" i="65" s="1"/>
  <c r="AT42" i="65" a="1"/>
  <c r="AT42" i="65" s="1"/>
  <c r="Q42" i="65"/>
  <c r="R42" i="65"/>
  <c r="S42" i="65"/>
  <c r="T42" i="65"/>
  <c r="U42" i="65"/>
  <c r="AL7" i="65" l="1" a="1"/>
  <c r="AL7" i="65" s="1"/>
  <c r="AL15" i="65" s="1"/>
  <c r="AM7" i="65" a="1"/>
  <c r="AM7" i="65" s="1"/>
  <c r="AM15" i="65" s="1"/>
  <c r="AP7" i="65" a="1"/>
  <c r="AP7" i="65" s="1"/>
  <c r="AP15" i="65" s="1"/>
  <c r="AF15" i="65"/>
  <c r="AH15" i="65"/>
  <c r="AO7" i="65" a="1"/>
  <c r="AO7" i="65" s="1"/>
  <c r="AO15" i="65" s="1"/>
  <c r="AE15" i="65"/>
  <c r="AG15" i="65"/>
  <c r="AI15" i="65"/>
  <c r="AN7" i="65" a="1"/>
  <c r="AN7" i="65" s="1"/>
  <c r="AN15" i="65" s="1"/>
  <c r="AD15" i="65"/>
  <c r="AK7" i="65" a="1"/>
  <c r="AK7" i="65" s="1"/>
  <c r="AK15" i="65" s="1"/>
  <c r="AL34" i="65" a="1"/>
  <c r="AL34" i="65" s="1"/>
  <c r="AL42" i="65" s="1"/>
  <c r="AG42" i="65"/>
  <c r="AH42" i="65"/>
  <c r="AI42" i="65"/>
  <c r="AM34" i="65" a="1"/>
  <c r="AM34" i="65" s="1"/>
  <c r="AM42" i="65" s="1"/>
  <c r="AN34" i="65" a="1"/>
  <c r="AN34" i="65" s="1"/>
  <c r="AN42" i="65" s="1"/>
  <c r="AO34" i="65" a="1"/>
  <c r="AO34" i="65" s="1"/>
  <c r="AO42" i="65" s="1"/>
  <c r="AP34" i="65" a="1"/>
  <c r="AP34" i="65" s="1"/>
  <c r="AP42" i="65" s="1"/>
  <c r="AE42" i="65"/>
  <c r="AF42" i="65"/>
  <c r="AD34" i="65"/>
  <c r="AR7" i="65"/>
  <c r="AY7" i="65" s="1" a="1"/>
  <c r="AY7" i="65" s="1"/>
  <c r="AT34" i="65" l="1" a="1"/>
  <c r="AT34" i="65" s="1"/>
  <c r="AV34" i="65" a="1"/>
  <c r="AV34" i="65" s="1"/>
  <c r="AK34" i="65" a="1"/>
  <c r="AK34" i="65" s="1"/>
  <c r="AD42" i="65"/>
  <c r="AK42" i="65" l="1"/>
  <c r="AR34" i="65" a="1"/>
  <c r="AR34" i="65" s="1"/>
  <c r="AY34" i="65" s="1" a="1"/>
  <c r="AY34" i="65" s="1"/>
  <c r="H4" i="13" l="1" a="1"/>
  <c r="H4" i="13" s="1"/>
  <c r="A4" i="13" a="1"/>
  <c r="C22" i="13" l="1"/>
  <c r="D22" i="13"/>
  <c r="G22" i="13"/>
  <c r="C23" i="13"/>
  <c r="D23" i="13"/>
  <c r="E23" i="13"/>
  <c r="F23" i="13"/>
  <c r="G23" i="13"/>
  <c r="E22" i="13"/>
  <c r="F22" i="13"/>
  <c r="H27" i="13" a="1"/>
  <c r="H27" i="13" s="1"/>
  <c r="A4" i="13"/>
  <c r="E13" i="13"/>
  <c r="E20" i="13"/>
  <c r="C21" i="13"/>
  <c r="D14" i="13"/>
  <c r="F6" i="13"/>
  <c r="F13" i="13"/>
  <c r="F20" i="13"/>
  <c r="G6" i="13"/>
  <c r="G13" i="13"/>
  <c r="G20" i="13"/>
  <c r="C7" i="13"/>
  <c r="C14" i="13"/>
  <c r="D7" i="13"/>
  <c r="D21" i="13"/>
  <c r="E7" i="13"/>
  <c r="E14" i="13"/>
  <c r="F7" i="13"/>
  <c r="F14" i="13"/>
  <c r="G7" i="13"/>
  <c r="F16" i="13"/>
  <c r="G16" i="13"/>
  <c r="C10" i="13"/>
  <c r="C17" i="13"/>
  <c r="D10" i="13"/>
  <c r="D17" i="13"/>
  <c r="E10" i="13"/>
  <c r="E17" i="13"/>
  <c r="F10" i="13"/>
  <c r="F17" i="13"/>
  <c r="G10" i="13"/>
  <c r="G17" i="13"/>
  <c r="C11" i="13"/>
  <c r="D11" i="13"/>
  <c r="C20" i="13"/>
  <c r="D13" i="13"/>
  <c r="D20" i="13"/>
  <c r="C8" i="13"/>
  <c r="E11" i="13"/>
  <c r="G14" i="13"/>
  <c r="C18" i="13"/>
  <c r="E21" i="13"/>
  <c r="D8" i="13"/>
  <c r="F11" i="13"/>
  <c r="D18" i="13"/>
  <c r="F21" i="13"/>
  <c r="C5" i="13"/>
  <c r="G11" i="13"/>
  <c r="C15" i="13"/>
  <c r="E18" i="13"/>
  <c r="F8" i="13"/>
  <c r="D15" i="13"/>
  <c r="F18" i="13"/>
  <c r="E5" i="13"/>
  <c r="C12" i="13"/>
  <c r="E15" i="13"/>
  <c r="G18" i="13"/>
  <c r="G5" i="13"/>
  <c r="E12" i="13"/>
  <c r="D19" i="13"/>
  <c r="D6" i="13"/>
  <c r="F9" i="13"/>
  <c r="D16" i="13"/>
  <c r="F19" i="13"/>
  <c r="E8" i="13"/>
  <c r="G21" i="13"/>
  <c r="D5" i="13"/>
  <c r="G8" i="13"/>
  <c r="F5" i="13"/>
  <c r="D12" i="13"/>
  <c r="F15" i="13"/>
  <c r="C9" i="13"/>
  <c r="G15" i="13"/>
  <c r="C19" i="13"/>
  <c r="D9" i="13"/>
  <c r="F12" i="13"/>
  <c r="C6" i="13"/>
  <c r="E9" i="13"/>
  <c r="G12" i="13"/>
  <c r="C16" i="13"/>
  <c r="E19" i="13"/>
  <c r="E6" i="13"/>
  <c r="G9" i="13"/>
  <c r="C13" i="13"/>
  <c r="E16" i="13"/>
  <c r="G19" i="13"/>
  <c r="AC30" i="13" l="1" a="1"/>
  <c r="AC30" i="13" s="1"/>
  <c r="AC54" i="13" a="1"/>
  <c r="AC54" i="13" s="1"/>
  <c r="AJ6" i="13" a="1"/>
  <c r="AJ6" i="13" s="1"/>
  <c r="AC6" i="13" a="1"/>
  <c r="AC6" i="13" s="1"/>
  <c r="AJ54" i="13" a="1"/>
  <c r="AJ54" i="13" s="1"/>
  <c r="AJ30" i="13" a="1"/>
  <c r="AJ30" i="13" s="1"/>
  <c r="E4" i="13"/>
  <c r="E24" i="13" s="1"/>
  <c r="Q4" i="13" a="1"/>
  <c r="Q4" i="13" s="1"/>
  <c r="A27" i="13" a="1"/>
  <c r="A27" i="13" s="1"/>
  <c r="D4" i="13"/>
  <c r="D24" i="13" s="1"/>
  <c r="F4" i="13"/>
  <c r="F24" i="13" s="1"/>
  <c r="C4" i="13"/>
  <c r="C24" i="13" s="1"/>
  <c r="B18" i="65" a="1"/>
  <c r="B18" i="65" s="1"/>
  <c r="G4" i="13"/>
  <c r="G24" i="13" s="1"/>
  <c r="C27" i="13" l="1" a="1"/>
  <c r="C27" i="13" s="1"/>
  <c r="B36" i="4" l="1"/>
  <c r="E24" i="53" l="1"/>
  <c r="C35" i="53" s="1"/>
  <c r="E20" i="53"/>
  <c r="C34" i="53" s="1"/>
  <c r="E16" i="53"/>
  <c r="C33" i="53" s="1"/>
  <c r="E12" i="53"/>
  <c r="C32" i="53" s="1"/>
  <c r="E8" i="53"/>
  <c r="C31" i="53" s="1"/>
  <c r="E4" i="53"/>
  <c r="C30" i="53" s="1"/>
  <c r="A17" i="4" l="1"/>
  <c r="A11" i="4" a="1"/>
  <c r="A11" i="4" s="1"/>
  <c r="M80" i="48" l="1"/>
  <c r="B13" i="48" l="1"/>
  <c r="T220" i="48" l="1"/>
  <c r="T219" i="48"/>
  <c r="T218" i="48"/>
  <c r="T217" i="48"/>
  <c r="T216" i="48"/>
  <c r="T215" i="48"/>
  <c r="T214" i="48"/>
  <c r="T213" i="48"/>
  <c r="T212" i="48"/>
  <c r="T211" i="48"/>
  <c r="T210" i="48"/>
  <c r="T209" i="48"/>
  <c r="T208" i="48"/>
  <c r="T207" i="48"/>
  <c r="T206" i="48"/>
  <c r="T205" i="48"/>
  <c r="T204" i="48"/>
  <c r="T203" i="48"/>
  <c r="T202" i="48"/>
  <c r="T201" i="48"/>
  <c r="T200" i="48"/>
  <c r="T199" i="48"/>
  <c r="T198" i="48"/>
  <c r="T197" i="48"/>
  <c r="T196" i="48"/>
  <c r="T195" i="48"/>
  <c r="T194" i="48"/>
  <c r="T193" i="48"/>
  <c r="T192" i="48"/>
  <c r="T191" i="48"/>
  <c r="T190" i="48"/>
  <c r="T189" i="48"/>
  <c r="T188" i="48"/>
  <c r="T187" i="48"/>
  <c r="T186" i="48"/>
  <c r="T185" i="48"/>
  <c r="T184" i="48"/>
  <c r="T183" i="48"/>
  <c r="T182" i="48"/>
  <c r="T181" i="48"/>
  <c r="T180" i="48"/>
  <c r="T179" i="48"/>
  <c r="T178" i="48"/>
  <c r="T177" i="48"/>
  <c r="T176" i="48"/>
  <c r="T175" i="48"/>
  <c r="T174" i="48"/>
  <c r="T173" i="48"/>
  <c r="T172" i="48"/>
  <c r="T171" i="48"/>
  <c r="T170" i="48"/>
  <c r="T169" i="48"/>
  <c r="T168" i="48"/>
  <c r="T167" i="48"/>
  <c r="T166" i="48"/>
  <c r="T165" i="48"/>
  <c r="T164" i="48"/>
  <c r="T163" i="48"/>
  <c r="T162" i="48"/>
  <c r="T161" i="48"/>
  <c r="T160" i="48"/>
  <c r="T159" i="48"/>
  <c r="T158" i="48"/>
  <c r="T157" i="48"/>
  <c r="T78" i="48"/>
  <c r="T77" i="48"/>
  <c r="T76" i="48"/>
  <c r="T75" i="48"/>
  <c r="T74" i="48"/>
  <c r="T73" i="48"/>
  <c r="T72" i="48"/>
  <c r="T71" i="48"/>
  <c r="T70" i="48"/>
  <c r="T69" i="48"/>
  <c r="T68" i="48"/>
  <c r="T67" i="48"/>
  <c r="T66" i="48"/>
  <c r="T65" i="48"/>
  <c r="T64" i="48"/>
  <c r="T63" i="48"/>
  <c r="T62" i="48"/>
  <c r="T61" i="48"/>
  <c r="T60" i="48"/>
  <c r="T59" i="48"/>
  <c r="T58" i="48"/>
  <c r="T57" i="48"/>
  <c r="T56" i="48"/>
  <c r="T55" i="48"/>
  <c r="T54" i="48"/>
  <c r="T53" i="48"/>
  <c r="T52" i="48"/>
  <c r="T51" i="48"/>
  <c r="T50" i="48"/>
  <c r="T49" i="48"/>
  <c r="T48" i="48"/>
  <c r="T47" i="48"/>
  <c r="T46" i="48"/>
  <c r="T45" i="48"/>
  <c r="T44" i="48"/>
  <c r="T43" i="48"/>
  <c r="T42" i="48"/>
  <c r="T41" i="48"/>
  <c r="T40" i="48"/>
  <c r="T39" i="48"/>
  <c r="T38" i="48"/>
  <c r="T37" i="48"/>
  <c r="T36" i="48"/>
  <c r="T35" i="48"/>
  <c r="T34" i="48"/>
  <c r="T33" i="48"/>
  <c r="T32" i="48"/>
  <c r="T31" i="48"/>
  <c r="T30" i="48"/>
  <c r="T29" i="48"/>
  <c r="T28" i="48"/>
  <c r="T27" i="48"/>
  <c r="T26" i="48"/>
  <c r="T25" i="48"/>
  <c r="T24" i="48"/>
  <c r="T23" i="48"/>
  <c r="T22" i="48"/>
  <c r="T21" i="48"/>
  <c r="T20" i="48"/>
  <c r="T19" i="48"/>
  <c r="T18" i="48"/>
  <c r="T17" i="48"/>
  <c r="T16" i="48"/>
  <c r="T15" i="48"/>
  <c r="T150" i="48"/>
  <c r="T149" i="48"/>
  <c r="T148" i="48"/>
  <c r="T147" i="48"/>
  <c r="T146" i="48"/>
  <c r="T145" i="48"/>
  <c r="T144" i="48"/>
  <c r="T143" i="48"/>
  <c r="T142" i="48"/>
  <c r="T141" i="48"/>
  <c r="T140" i="48"/>
  <c r="T139" i="48"/>
  <c r="T138" i="48"/>
  <c r="T137" i="48"/>
  <c r="T136" i="48"/>
  <c r="T135" i="48"/>
  <c r="T134" i="48"/>
  <c r="T133" i="48"/>
  <c r="T132" i="48"/>
  <c r="T131" i="48"/>
  <c r="T130" i="48"/>
  <c r="T129" i="48"/>
  <c r="T128" i="48"/>
  <c r="T127" i="48"/>
  <c r="T126" i="48"/>
  <c r="T125" i="48"/>
  <c r="T124" i="48"/>
  <c r="T123" i="48"/>
  <c r="T122" i="48"/>
  <c r="T121" i="48"/>
  <c r="T120" i="48"/>
  <c r="T119" i="48"/>
  <c r="T118" i="48"/>
  <c r="T117" i="48"/>
  <c r="T116" i="48"/>
  <c r="T115" i="48"/>
  <c r="T114" i="48"/>
  <c r="T113" i="48"/>
  <c r="T112" i="48"/>
  <c r="T111" i="48"/>
  <c r="T110" i="48"/>
  <c r="T109" i="48"/>
  <c r="T108" i="48"/>
  <c r="T107" i="48"/>
  <c r="T106" i="48"/>
  <c r="T105" i="48"/>
  <c r="T104" i="48"/>
  <c r="T103" i="48"/>
  <c r="T102" i="48"/>
  <c r="T101" i="48"/>
  <c r="T100" i="48"/>
  <c r="T99" i="48"/>
  <c r="T98" i="48"/>
  <c r="T97" i="48"/>
  <c r="T96" i="48"/>
  <c r="T95" i="48"/>
  <c r="T94" i="48"/>
  <c r="T93" i="48"/>
  <c r="T92" i="48"/>
  <c r="T91" i="48"/>
  <c r="T90" i="48"/>
  <c r="T89" i="48"/>
  <c r="T88" i="48"/>
  <c r="T87" i="48"/>
  <c r="C157" i="48" l="1" a="1"/>
  <c r="C157" i="48" s="1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67" i="48"/>
  <c r="H166" i="48"/>
  <c r="H165" i="48"/>
  <c r="H164" i="48"/>
  <c r="H163" i="48"/>
  <c r="H162" i="48"/>
  <c r="H161" i="48"/>
  <c r="H160" i="48"/>
  <c r="H159" i="48"/>
  <c r="H158" i="48"/>
  <c r="H157" i="48"/>
  <c r="E157" i="48" l="1" a="1"/>
  <c r="E157" i="48" s="1"/>
  <c r="J157" i="48" s="1" a="1"/>
  <c r="J157" i="48" s="1"/>
  <c r="K157" i="48" s="1" a="1"/>
  <c r="L169" i="48" s="1" a="1"/>
  <c r="L169" i="48" s="1"/>
  <c r="L168" i="48" s="1"/>
  <c r="K157" i="48" l="1"/>
  <c r="M157" i="48" l="1" a="1"/>
  <c r="G211" i="48" s="1"/>
  <c r="M157" i="48" l="1"/>
  <c r="R157" i="48" l="1" a="1"/>
  <c r="R157" i="48" s="1"/>
  <c r="P157" i="48" a="1"/>
  <c r="P157" i="48" s="1"/>
  <c r="F8" i="48" l="1"/>
  <c r="G8" i="48" s="1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H88" i="48"/>
  <c r="H87" i="48"/>
  <c r="E87" i="48" a="1"/>
  <c r="E87" i="48" s="1"/>
  <c r="J87" i="48" s="1" a="1"/>
  <c r="J87" i="48" s="1"/>
  <c r="E15" i="48" a="1"/>
  <c r="E15" i="48" s="1"/>
  <c r="J15" i="48" s="1" a="1"/>
  <c r="J15" i="48" s="1"/>
  <c r="C79" i="48" l="1"/>
  <c r="K87" i="48" a="1"/>
  <c r="L106" i="48" s="1" a="1"/>
  <c r="L106" i="48" s="1"/>
  <c r="L105" i="48" s="1"/>
  <c r="K15" i="48" a="1"/>
  <c r="E4" i="76" l="1" a="1"/>
  <c r="E4" i="76" s="1"/>
  <c r="M4" i="76" s="1" a="1"/>
  <c r="M4" i="76" s="1"/>
  <c r="K87" i="48"/>
  <c r="K15" i="48"/>
  <c r="M87" i="48" l="1" a="1"/>
  <c r="H78" i="48"/>
  <c r="H72" i="48"/>
  <c r="H73" i="48"/>
  <c r="H74" i="48"/>
  <c r="H75" i="48"/>
  <c r="H76" i="48"/>
  <c r="H77" i="48"/>
  <c r="G135" i="48" l="1"/>
  <c r="G136" i="48" s="1"/>
  <c r="G139" i="48"/>
  <c r="G140" i="48" s="1"/>
  <c r="M87" i="48"/>
  <c r="R87" i="48" s="1" a="1"/>
  <c r="R87" i="48" s="1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9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H15" i="48"/>
  <c r="B3" i="76" l="1" a="1"/>
  <c r="B3" i="76" s="1"/>
  <c r="P87" i="48" a="1"/>
  <c r="P87" i="48" s="1"/>
  <c r="K79" i="48"/>
  <c r="L16" i="48" s="1" a="1"/>
  <c r="L16" i="48" s="1"/>
  <c r="L15" i="48" s="1"/>
  <c r="G79" i="48" l="1"/>
  <c r="C4" i="76" a="1"/>
  <c r="G34" i="48"/>
  <c r="G33" i="48"/>
  <c r="G27" i="48"/>
  <c r="G26" i="48"/>
  <c r="G32" i="48"/>
  <c r="G31" i="48"/>
  <c r="G30" i="48"/>
  <c r="G29" i="48"/>
  <c r="G28" i="48"/>
  <c r="M15" i="48" a="1"/>
  <c r="C4" i="76" l="1"/>
  <c r="I4" i="76" s="1" a="1"/>
  <c r="I4" i="76" s="1"/>
  <c r="G63" i="48"/>
  <c r="G39" i="48"/>
  <c r="G40" i="48" s="1"/>
  <c r="M15" i="48"/>
  <c r="P15" i="48" s="1" a="1"/>
  <c r="P15" i="48" s="1"/>
  <c r="F7" i="48"/>
  <c r="R15" i="48" l="1" a="1"/>
  <c r="R15" i="48" s="1"/>
  <c r="G7" i="48"/>
  <c r="C17" i="4" s="1"/>
  <c r="A21" i="4" l="1"/>
  <c r="C21" i="4"/>
  <c r="F87" i="48" l="1" a="1"/>
  <c r="F87" i="48" s="1"/>
  <c r="N87" i="48" s="1" a="1"/>
  <c r="N87" i="48" s="1"/>
  <c r="D7" i="48" s="1"/>
  <c r="F157" i="48" a="1"/>
  <c r="F157" i="48" s="1"/>
  <c r="N157" i="48" s="1" a="1"/>
  <c r="N157" i="48" s="1"/>
  <c r="F15" i="48" a="1"/>
  <c r="D8" i="48" l="1"/>
  <c r="H8" i="48" s="1"/>
  <c r="N80" i="48"/>
  <c r="C8" i="48" s="1"/>
  <c r="F15" i="48"/>
  <c r="N15" i="48" s="1" a="1"/>
  <c r="N15" i="48" s="1"/>
  <c r="C7" i="48" s="1"/>
  <c r="H7" i="48"/>
  <c r="C11" i="4" l="1"/>
  <c r="E7" i="48"/>
  <c r="C12" i="4"/>
  <c r="E8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<sst xmlns="http://schemas.openxmlformats.org/spreadsheetml/2006/main" count="7580" uniqueCount="254">
  <si>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</si>
  <si>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</si>
  <si>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</si>
  <si>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</si>
  <si>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</si>
  <si>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Symbol</t>
    <phoneticPr fontId="22" type="noConversion"/>
  </si>
  <si>
    <t>R1</t>
    <phoneticPr fontId="22" type="noConversion"/>
  </si>
  <si>
    <t>R2</t>
    <phoneticPr fontId="22" type="noConversion"/>
  </si>
  <si>
    <t>R3</t>
    <phoneticPr fontId="22" type="noConversion"/>
  </si>
  <si>
    <t>R4</t>
    <phoneticPr fontId="22" type="noConversion"/>
  </si>
  <si>
    <t>R5</t>
    <phoneticPr fontId="22" type="noConversion"/>
  </si>
  <si>
    <t>ID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</si>
  <si>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</si>
  <si>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</si>
  <si>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</si>
  <si>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</si>
  <si>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</si>
  <si>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</si>
  <si>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</si>
  <si>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</si>
  <si>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</si>
  <si>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</si>
  <si>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</si>
  <si>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</si>
  <si>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</si>
  <si>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</si>
  <si>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</si>
  <si>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</si>
  <si>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</si>
  <si>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</si>
  <si>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</si>
  <si>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</si>
  <si>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</si>
  <si>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</si>
  <si>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</si>
  <si>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</si>
  <si>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</si>
  <si>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</si>
  <si>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</si>
  <si>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</si>
  <si>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</si>
  <si>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</si>
  <si>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</si>
  <si>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</si>
  <si>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</si>
  <si>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</si>
  <si>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</si>
  <si>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</si>
  <si>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</si>
  <si>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</si>
  <si>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</si>
  <si>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</si>
  <si>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</si>
  <si>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</si>
  <si>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</si>
  <si>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</si>
  <si>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</si>
  <si>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</si>
  <si>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</si>
  <si>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</si>
  <si>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</si>
  <si>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</si>
  <si>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</si>
  <si>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</si>
  <si>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</si>
  <si>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</si>
  <si>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</si>
  <si>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</si>
  <si>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</si>
  <si>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</si>
  <si>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</si>
  <si>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</si>
  <si>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</si>
  <si>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</si>
  <si>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</si>
  <si>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</si>
  <si>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</si>
  <si>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</si>
  <si>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</si>
  <si>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</si>
  <si>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</si>
  <si>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Compare</t>
    <phoneticPr fontId="20" type="noConversion"/>
  </si>
  <si>
    <t>RTP</t>
  </si>
  <si>
    <t>Avg Multi</t>
    <phoneticPr fontId="20" type="noConversion"/>
  </si>
  <si>
    <r>
      <rPr>
        <sz val="12"/>
        <color theme="1"/>
        <rFont val="微軟正黑體"/>
        <family val="2"/>
        <charset val="136"/>
      </rPr>
      <t>目前</t>
    </r>
    <phoneticPr fontId="20" type="noConversion"/>
  </si>
  <si>
    <t>Avg. Multi.</t>
    <phoneticPr fontId="20" type="noConversion"/>
  </si>
  <si>
    <t>FGC1Screen</t>
    <phoneticPr fontId="20" type="noConversion"/>
  </si>
  <si>
    <t>BGC1Screen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</si>
  <si>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</si>
  <si>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</si>
  <si>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</si>
  <si>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</si>
  <si>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</si>
  <si>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</si>
  <si>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</si>
  <si>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</si>
  <si>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</si>
  <si>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</si>
  <si>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</si>
  <si>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Gold M1</t>
    <phoneticPr fontId="20" type="noConversion"/>
  </si>
  <si>
    <t>Gold M2</t>
    <phoneticPr fontId="20" type="noConversion"/>
  </si>
  <si>
    <t>Gold M3</t>
    <phoneticPr fontId="20" type="noConversion"/>
  </si>
  <si>
    <t>Gold M4</t>
    <phoneticPr fontId="20" type="noConversion"/>
  </si>
  <si>
    <t>Gold A</t>
    <phoneticPr fontId="20" type="noConversion"/>
  </si>
  <si>
    <t>Gold K</t>
    <phoneticPr fontId="20" type="noConversion"/>
  </si>
  <si>
    <t>Gold Q</t>
    <phoneticPr fontId="20" type="noConversion"/>
  </si>
  <si>
    <t>Gold J</t>
    <phoneticPr fontId="20" type="noConversion"/>
  </si>
  <si>
    <t>B</t>
    <phoneticPr fontId="20" type="noConversion"/>
  </si>
  <si>
    <t>R6</t>
  </si>
  <si>
    <t>Weight</t>
    <phoneticPr fontId="20" type="noConversion"/>
  </si>
  <si>
    <t>Eliminate Wheel Weight B</t>
  </si>
  <si>
    <r>
      <t>+-</t>
    </r>
    <r>
      <rPr>
        <sz val="12"/>
        <color theme="1"/>
        <rFont val="微軟正黑體"/>
        <family val="2"/>
        <charset val="136"/>
      </rPr>
      <t>平均值</t>
    </r>
    <r>
      <rPr>
        <sz val="12"/>
        <color theme="1"/>
        <rFont val="Courier New"/>
        <family val="3"/>
      </rPr>
      <t>(</t>
    </r>
    <r>
      <rPr>
        <sz val="12"/>
        <color theme="1"/>
        <rFont val="微軟正黑體"/>
        <family val="2"/>
        <charset val="136"/>
      </rPr>
      <t>列</t>
    </r>
    <r>
      <rPr>
        <sz val="12"/>
        <color theme="1"/>
        <rFont val="Courier New"/>
        <family val="3"/>
      </rPr>
      <t>)</t>
    </r>
    <phoneticPr fontId="20" type="noConversion"/>
  </si>
  <si>
    <r>
      <t xml:space="preserve">&gt;0 </t>
    </r>
    <r>
      <rPr>
        <sz val="12"/>
        <color theme="1"/>
        <rFont val="微軟正黑體"/>
        <family val="2"/>
        <charset val="136"/>
      </rPr>
      <t>變大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斷爛</t>
    </r>
    <phoneticPr fontId="20" type="noConversion"/>
  </si>
  <si>
    <r>
      <t xml:space="preserve">&lt;0 </t>
    </r>
    <r>
      <rPr>
        <sz val="12"/>
        <color theme="1"/>
        <rFont val="微軟正黑體"/>
        <family val="2"/>
        <charset val="136"/>
      </rPr>
      <t>變大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平均</t>
    </r>
    <phoneticPr fontId="20" type="noConversion"/>
  </si>
  <si>
    <t>N-X</t>
    <phoneticPr fontId="20" type="noConversion"/>
  </si>
  <si>
    <t>N</t>
    <phoneticPr fontId="20" type="noConversion"/>
  </si>
  <si>
    <t>F</t>
    <phoneticPr fontId="20" type="noConversion"/>
  </si>
  <si>
    <r>
      <rPr>
        <sz val="12"/>
        <color theme="1"/>
        <rFont val="微軟正黑體"/>
        <family val="2"/>
        <charset val="136"/>
      </rPr>
      <t>黃金底板</t>
    </r>
    <phoneticPr fontId="20" type="noConversion"/>
  </si>
  <si>
    <t>Rate</t>
    <phoneticPr fontId="20" type="noConversion"/>
  </si>
  <si>
    <t>GK</t>
  </si>
  <si>
    <r>
      <rPr>
        <sz val="12"/>
        <color theme="1"/>
        <rFont val="微軟正黑體"/>
        <family val="2"/>
        <charset val="136"/>
      </rPr>
      <t>賞金大對決</t>
    </r>
    <phoneticPr fontId="20" type="noConversion"/>
  </si>
  <si>
    <r>
      <rPr>
        <sz val="12"/>
        <color theme="1"/>
        <rFont val="微軟正黑體"/>
        <family val="2"/>
        <charset val="136"/>
      </rPr>
      <t>糖果</t>
    </r>
    <phoneticPr fontId="20" type="noConversion"/>
  </si>
  <si>
    <r>
      <rPr>
        <sz val="12"/>
        <color theme="1"/>
        <rFont val="微軟正黑體"/>
        <family val="2"/>
        <charset val="136"/>
      </rPr>
      <t>糖果</t>
    </r>
  </si>
  <si>
    <t>NB-Newbie-A</t>
  </si>
  <si>
    <t>NB-Newbie-A</t>
    <phoneticPr fontId="20" type="noConversion"/>
  </si>
  <si>
    <t>NB-Newbie-B</t>
  </si>
  <si>
    <t>NB-Newbie-B</t>
    <phoneticPr fontId="20" type="noConversion"/>
  </si>
  <si>
    <t>NB-Oldhand-B</t>
  </si>
  <si>
    <t>NB-Oldhand-B</t>
    <phoneticPr fontId="20" type="noConversion"/>
  </si>
  <si>
    <t>NB-Oldhand-A</t>
  </si>
  <si>
    <t>NB-Oldhand-A</t>
    <phoneticPr fontId="20" type="noConversion"/>
  </si>
  <si>
    <t>BF-A</t>
  </si>
  <si>
    <t>BF-A</t>
    <phoneticPr fontId="20" type="noConversion"/>
  </si>
  <si>
    <t>BF-B</t>
  </si>
  <si>
    <t>BF-B</t>
    <phoneticPr fontId="20" type="noConversion"/>
  </si>
  <si>
    <t>H026192</t>
    <phoneticPr fontId="22" type="noConversion"/>
  </si>
  <si>
    <t>M5</t>
  </si>
  <si>
    <t>G5</t>
  </si>
  <si>
    <t>Gold M5</t>
  </si>
  <si>
    <t>BG_Symbol</t>
    <phoneticPr fontId="20" type="noConversion"/>
  </si>
  <si>
    <t>BG_Symbol (2)</t>
    <phoneticPr fontId="20" type="noConversion"/>
  </si>
  <si>
    <t xml:space="preserve">3+ Combo </t>
    <phoneticPr fontId="20" type="noConversion"/>
  </si>
  <si>
    <t xml:space="preserve">1 Combo </t>
    <phoneticPr fontId="20" type="noConversion"/>
  </si>
  <si>
    <t xml:space="preserve">2 Combo </t>
    <phoneticPr fontId="20" type="noConversion"/>
  </si>
  <si>
    <t>Symbol</t>
    <phoneticPr fontId="20" type="noConversion"/>
  </si>
  <si>
    <t>Symbol ID</t>
    <phoneticPr fontId="20" type="noConversion"/>
  </si>
  <si>
    <t>Symbol Weight</t>
    <phoneticPr fontId="22" type="noConversion"/>
  </si>
  <si>
    <t>FG_Symbol</t>
  </si>
  <si>
    <t>FG_Symbol</t>
    <phoneticPr fontId="20" type="noConversion"/>
  </si>
  <si>
    <t>FG_Symbol (2)</t>
  </si>
  <si>
    <t>FG_Symbol (2)</t>
    <phoneticPr fontId="20" type="noConversion"/>
  </si>
  <si>
    <t>FG_Symbol (3)</t>
  </si>
  <si>
    <t>FG_Symbol (3)</t>
    <phoneticPr fontId="20" type="noConversion"/>
  </si>
  <si>
    <t>Worksheet Name</t>
  </si>
  <si>
    <t>Worksheet Name</t>
    <phoneticPr fontId="20" type="noConversion"/>
  </si>
  <si>
    <t>BG_Symbol</t>
  </si>
  <si>
    <t>BG_Symbol (2)</t>
  </si>
  <si>
    <t>Worksheet Name \ Multiple</t>
    <phoneticPr fontId="20" type="noConversion"/>
  </si>
  <si>
    <t>Eliminate Wheel Weight A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</si>
  <si>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</si>
  <si>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</si>
  <si>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</si>
  <si>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</si>
  <si>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Free Game (Weight/Total)</t>
    <phoneticPr fontId="20" type="noConversion"/>
  </si>
  <si>
    <t>Table Selection Weight - Base Game (Weight/Total)</t>
    <phoneticPr fontId="20" type="noConversion"/>
  </si>
  <si>
    <t>Table Selection Weight - Buy Feature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</si>
  <si>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</si>
  <si>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</si>
  <si>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</si>
  <si>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</si>
  <si>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</si>
  <si>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</si>
  <si>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</si>
  <si>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</si>
  <si>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</si>
  <si>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</si>
  <si>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</si>
  <si>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</si>
  <si>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</si>
  <si>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>OP</t>
    <phoneticPr fontId="20" type="noConversion"/>
  </si>
  <si>
    <t>PG</t>
    <phoneticPr fontId="20" type="noConversion"/>
  </si>
  <si>
    <t>倍數出現率</t>
    <phoneticPr fontId="20" type="noConversion"/>
  </si>
  <si>
    <r>
      <rPr>
        <sz val="12"/>
        <rFont val="微軟正黑體"/>
        <family val="2"/>
        <charset val="136"/>
      </rPr>
      <t>金框出現率</t>
    </r>
    <r>
      <rPr>
        <sz val="12"/>
        <rFont val="Courier New"/>
        <family val="3"/>
      </rPr>
      <t>(B1)</t>
    </r>
    <phoneticPr fontId="20" type="noConversion"/>
  </si>
  <si>
    <r>
      <rPr>
        <sz val="12"/>
        <rFont val="微軟正黑體"/>
        <family val="2"/>
        <charset val="136"/>
      </rPr>
      <t>金框出現率</t>
    </r>
    <r>
      <rPr>
        <sz val="12"/>
        <rFont val="Courier New"/>
        <family val="3"/>
      </rPr>
      <t>(B2)</t>
    </r>
    <phoneticPr fontId="20" type="noConversion"/>
  </si>
  <si>
    <r>
      <rPr>
        <sz val="12"/>
        <rFont val="微軟正黑體"/>
        <family val="2"/>
        <charset val="136"/>
      </rPr>
      <t>金框出現率</t>
    </r>
    <r>
      <rPr>
        <sz val="12"/>
        <rFont val="Courier New"/>
        <family val="3"/>
      </rPr>
      <t>(F2)</t>
    </r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</si>
  <si>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</si>
  <si>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</si>
  <si>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</si>
  <si>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</si>
  <si>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</si>
  <si>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</si>
  <si>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</si>
  <si>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4. </t>
    </r>
    <r>
      <rPr>
        <sz val="12"/>
        <color theme="1"/>
        <rFont val="微軟正黑體"/>
        <family val="2"/>
        <charset val="136"/>
      </rPr>
      <t>盤面上的金框會先判定是否觸發</t>
    </r>
    <r>
      <rPr>
        <sz val="12"/>
        <color theme="1"/>
        <rFont val="Courier New"/>
        <family val="3"/>
      </rPr>
      <t xml:space="preserve"> Used Special Pool Weight</t>
    </r>
    <r>
      <rPr>
        <sz val="12"/>
        <color theme="1"/>
        <rFont val="微軟正黑體"/>
        <family val="2"/>
        <charset val="136"/>
      </rPr>
      <t>。</t>
    </r>
  </si>
  <si>
    <r>
      <t xml:space="preserve">    5. </t>
    </r>
    <r>
      <rPr>
        <sz val="12"/>
        <color theme="1"/>
        <rFont val="微軟正黑體"/>
        <family val="2"/>
        <charset val="136"/>
      </rPr>
      <t>若命中特殊池，該金框用</t>
    </r>
    <r>
      <rPr>
        <sz val="12"/>
        <color theme="1"/>
        <rFont val="Courier New"/>
        <family val="3"/>
      </rPr>
      <t xml:space="preserve"> Multiple Selection Weight - Special Pool </t>
    </r>
    <r>
      <rPr>
        <sz val="12"/>
        <color theme="1"/>
        <rFont val="微軟正黑體"/>
        <family val="2"/>
        <charset val="136"/>
      </rPr>
      <t>抽倍率。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</si>
  <si>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</si>
  <si>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輪金框用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</si>
  <si>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其他輪金框用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</si>
  <si>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</si>
  <si>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</si>
  <si>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</si>
  <si>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</si>
  <si>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2. </t>
    </r>
    <r>
      <rPr>
        <sz val="12"/>
        <color theme="1"/>
        <rFont val="微軟正黑體"/>
        <family val="2"/>
        <charset val="136"/>
      </rPr>
      <t>命中的金框會把自身倍率加進最終倍率和，並轉成</t>
    </r>
    <r>
      <rPr>
        <sz val="12"/>
        <color theme="1"/>
        <rFont val="Courier New"/>
        <family val="3"/>
      </rPr>
      <t xml:space="preserve"> WW </t>
    </r>
    <r>
      <rPr>
        <sz val="12"/>
        <color theme="1"/>
        <rFont val="微軟正黑體"/>
        <family val="2"/>
        <charset val="136"/>
      </rPr>
      <t>留在盤面。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</si>
  <si>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</si>
  <si>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4. </t>
    </r>
    <r>
      <rPr>
        <sz val="12"/>
        <color theme="1"/>
        <rFont val="微軟正黑體"/>
        <family val="2"/>
        <charset val="136"/>
      </rPr>
      <t>若新補進來的是金框：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</si>
  <si>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</si>
  <si>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</si>
  <si>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</si>
  <si>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</si>
  <si>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</si>
  <si>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</si>
  <si>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</si>
  <si>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</si>
  <si>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</si>
  <si>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</si>
  <si>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</si>
  <si>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</si>
  <si>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</si>
  <si>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</si>
  <si>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</si>
  <si>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3. </t>
    </r>
    <r>
      <rPr>
        <sz val="12"/>
        <color theme="1"/>
        <rFont val="微軟正黑體"/>
        <family val="2"/>
        <charset val="136"/>
      </rPr>
      <t>初始金框倍率分配：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</si>
  <si>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</si>
  <si>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</si>
  <si>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</si>
  <si>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</si>
  <si>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</si>
  <si>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1. </t>
    </r>
    <r>
      <rPr>
        <sz val="12"/>
        <color theme="1"/>
        <rFont val="微軟正黑體"/>
        <family val="2"/>
        <charset val="136"/>
      </rPr>
      <t>命中的金框一樣會把倍率加到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</si>
  <si>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</si>
  <si>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3. </t>
    </r>
    <r>
      <rPr>
        <sz val="12"/>
        <color theme="1"/>
        <rFont val="微軟正黑體"/>
        <family val="2"/>
        <charset val="136"/>
      </rPr>
      <t>新補進來金框的倍率來源：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</si>
  <si>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</si>
  <si>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</si>
  <si>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</si>
  <si>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</si>
  <si>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</si>
  <si>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</si>
  <si>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</si>
  <si>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</si>
  <si>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3. </t>
    </r>
    <r>
      <rPr>
        <sz val="12"/>
        <color theme="1"/>
        <rFont val="微軟正黑體"/>
        <family val="2"/>
        <charset val="136"/>
      </rPr>
      <t>判定倍數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初始金框</t>
    </r>
    <r>
      <rPr>
        <sz val="12"/>
        <color theme="1"/>
        <rFont val="Courier New"/>
        <family val="3"/>
      </rPr>
      <t>/Special Pool)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</si>
  <si>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</si>
  <si>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5. </t>
    </r>
    <r>
      <rPr>
        <sz val="12"/>
        <color theme="1"/>
        <rFont val="微軟正黑體"/>
        <family val="2"/>
        <charset val="136"/>
      </rPr>
      <t>消除循環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消除中獎符號，新符號掉落並判定新金框倍數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</si>
  <si>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</si>
  <si>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</si>
  <si>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</si>
  <si>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</si>
  <si>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</si>
  <si>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</si>
  <si>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4. BG_Symbol (2): </t>
    </r>
    <r>
      <rPr>
        <sz val="12"/>
        <color theme="1"/>
        <rFont val="微軟正黑體"/>
        <family val="2"/>
        <charset val="136"/>
      </rPr>
      <t>觸發全部都是金框用的表。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</si>
  <si>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</si>
  <si>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Weight_BG</t>
    <phoneticPr fontId="29" type="noConversion"/>
  </si>
  <si>
    <t>Weight_FG</t>
    <phoneticPr fontId="29" type="noConversion"/>
  </si>
  <si>
    <t>Weight_BF</t>
    <phoneticPr fontId="29" type="noConversion"/>
  </si>
  <si>
    <t>0.0.1.1</t>
    <phoneticPr fontId="20" type="noConversion"/>
  </si>
  <si>
    <t>no</t>
    <phoneticPr fontId="20" type="noConversion"/>
  </si>
  <si>
    <t>yes</t>
    <phoneticPr fontId="20" type="noConversion"/>
  </si>
  <si>
    <t>cum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</si>
</sst>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00000"/>
    <numFmt numFmtId="181" formatCode="0.0%"/>
    <numFmt numFmtId="182" formatCode="0.0000"/>
    <numFmt numFmtId="183" formatCode="0.000"/>
  </numFmts>
  <fonts count="32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name val="Courier New"/>
      <family val="2"/>
      <charset val="136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196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0" fontId="25" fillId="0" borderId="11" xfId="0" applyFont="1" applyBorder="1"/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0" fontId="25" fillId="33" borderId="11" xfId="0" applyFont="1" applyFill="1" applyBorder="1" applyAlignment="1">
      <alignment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39" borderId="11" xfId="1" quotePrefix="1" applyNumberFormat="1" applyFont="1" applyFill="1" applyBorder="1" applyAlignment="1">
      <alignment vertical="center"/>
    </xf>
    <xf numFmtId="10" fontId="25" fillId="0" borderId="0" xfId="1" applyNumberFormat="1" applyFont="1">
      <alignment vertical="center"/>
    </xf>
    <xf numFmtId="10" fontId="25" fillId="33" borderId="11" xfId="1" applyNumberFormat="1" applyFont="1" applyFill="1" applyBorder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33" borderId="11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0" fontId="25" fillId="0" borderId="11" xfId="0" applyFont="1" applyFill="1" applyBorder="1" applyAlignment="1">
      <alignment vertical="center"/>
    </xf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0" fontId="19" fillId="40" borderId="0" xfId="0" applyFont="1" applyFill="1" applyAlignment="1">
      <alignment vertical="center"/>
    </xf>
    <xf numFmtId="0" fontId="27" fillId="40" borderId="0" xfId="0" applyFont="1" applyFill="1"/>
    <xf numFmtId="0" fontId="25" fillId="40" borderId="0" xfId="0" applyFont="1" applyFill="1" applyAlignment="1">
      <alignment horizontal="center" vertical="center"/>
    </xf>
    <xf numFmtId="10" fontId="25" fillId="40" borderId="0" xfId="0" applyNumberFormat="1" applyFont="1" applyFill="1" applyAlignment="1">
      <alignment vertical="center"/>
    </xf>
    <xf numFmtId="0" fontId="25" fillId="40" borderId="0" xfId="0" applyFont="1" applyFill="1" applyAlignment="1">
      <alignment vertical="center"/>
    </xf>
    <xf numFmtId="0" fontId="25" fillId="40" borderId="0" xfId="0" applyFont="1" applyFill="1"/>
    <xf numFmtId="177" fontId="25" fillId="36" borderId="11" xfId="1" applyNumberFormat="1" applyFont="1" applyFill="1" applyBorder="1" applyAlignment="1">
      <alignment vertical="center"/>
    </xf>
    <xf numFmtId="0" fontId="19" fillId="0" borderId="11" xfId="0" applyFont="1" applyFill="1" applyBorder="1" applyAlignment="1">
      <alignment horizontal="center" vertical="center" wrapText="1"/>
    </xf>
    <xf numFmtId="180" fontId="27" fillId="0" borderId="0" xfId="0" applyNumberFormat="1" applyFont="1"/>
    <xf numFmtId="1" fontId="27" fillId="0" borderId="0" xfId="0" applyNumberFormat="1" applyFont="1"/>
    <xf numFmtId="1" fontId="25" fillId="0" borderId="0" xfId="0" applyNumberFormat="1" applyFont="1"/>
    <xf numFmtId="181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0" fontId="25" fillId="33" borderId="11" xfId="0" applyFont="1" applyFill="1" applyBorder="1"/>
    <xf numFmtId="179" fontId="25" fillId="35" borderId="11" xfId="0" applyNumberFormat="1" applyFont="1" applyFill="1" applyBorder="1"/>
    <xf numFmtId="10" fontId="25" fillId="0" borderId="0" xfId="0" applyNumberFormat="1" applyFont="1"/>
    <xf numFmtId="0" fontId="19" fillId="41" borderId="11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42" borderId="0" xfId="0" quotePrefix="1" applyFont="1" applyFill="1"/>
    <xf numFmtId="0" fontId="27" fillId="0" borderId="11" xfId="0" applyFont="1" applyBorder="1"/>
    <xf numFmtId="0" fontId="25" fillId="0" borderId="0" xfId="0" applyFont="1" applyAlignment="1">
      <alignment horizontal="right"/>
    </xf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0" fontId="19" fillId="33" borderId="11" xfId="0" applyFont="1" applyFill="1" applyBorder="1" applyAlignment="1">
      <alignment vertical="center"/>
    </xf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2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0" fontId="25" fillId="33" borderId="15" xfId="0" applyFont="1" applyFill="1" applyBorder="1"/>
    <xf numFmtId="0" fontId="25" fillId="0" borderId="15" xfId="0" applyFont="1" applyBorder="1"/>
    <xf numFmtId="183" fontId="27" fillId="0" borderId="0" xfId="1" applyNumberFormat="1" applyFont="1" applyAlignment="1"/>
    <xf numFmtId="183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19" fillId="0" borderId="15" xfId="0" applyFont="1" applyFill="1" applyBorder="1" applyAlignment="1">
      <alignment horizontal="center"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19" fillId="41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19" fillId="0" borderId="15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27" fillId="0" borderId="0" xfId="0" applyNumberFormat="1" applyFont="1" applyFill="1" applyBorder="1"/>
    <xf numFmtId="0" fontId="19" fillId="0" borderId="15" xfId="0" applyNumberFormat="1" applyFont="1" applyFill="1" applyBorder="1"/>
    <xf numFmtId="0" fontId="19" fillId="34" borderId="15" xfId="0" applyNumberFormat="1" applyFont="1" applyFill="1" applyBorder="1" applyAlignment="1">
      <alignment horizontal="center" vertical="center"/>
    </xf>
    <xf numFmtId="0" fontId="19" fillId="35" borderId="15" xfId="0" applyNumberFormat="1" applyFont="1" applyFill="1" applyBorder="1"/>
    <xf numFmtId="0" fontId="19" fillId="43" borderId="11" xfId="0" applyFont="1" applyFill="1" applyBorder="1" applyAlignment="1">
      <alignment horizontal="center" vertical="center"/>
    </xf>
    <xf numFmtId="0" fontId="19" fillId="43" borderId="10" xfId="0" quotePrefix="1" applyFont="1" applyFill="1" applyBorder="1" applyAlignment="1">
      <alignment horizontal="center" vertical="center"/>
    </xf>
    <xf numFmtId="0" fontId="19" fillId="43" borderId="11" xfId="0" quotePrefix="1" applyFont="1" applyFill="1" applyBorder="1" applyAlignment="1">
      <alignment horizontal="center" vertical="center"/>
    </xf>
    <xf numFmtId="0" fontId="19" fillId="43" borderId="15" xfId="0" applyFont="1" applyFill="1" applyBorder="1" applyAlignment="1">
      <alignment horizontal="center"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/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33" borderId="15" xfId="0" applyNumberFormat="1" applyFont="1" applyFill="1" applyBorder="1"/>
    <xf numFmtId="0" fontId="19" fillId="41" borderId="15" xfId="0" applyFont="1" applyFill="1" applyBorder="1" applyAlignment="1">
      <alignment horizontal="center" vertical="center"/>
    </xf>
    <xf numFmtId="0" fontId="27" fillId="41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0" fontId="19" fillId="44" borderId="15" xfId="0" applyNumberFormat="1" applyFont="1" applyFill="1" applyBorder="1"/>
    <xf numFmtId="0" fontId="19" fillId="0" borderId="10" xfId="0" applyNumberFormat="1" applyFont="1" applyFill="1" applyBorder="1"/>
    <xf numFmtId="0" fontId="19" fillId="35" borderId="10" xfId="0" applyNumberFormat="1" applyFont="1" applyFill="1" applyBorder="1"/>
    <xf numFmtId="0" fontId="19" fillId="44" borderId="10" xfId="0" applyNumberFormat="1" applyFont="1" applyFill="1" applyBorder="1"/>
    <xf numFmtId="2" fontId="19" fillId="0" borderId="0" xfId="0" applyNumberFormat="1" applyFont="1" applyFill="1" applyBorder="1"/>
    <xf numFmtId="2" fontId="27" fillId="0" borderId="0" xfId="1" applyNumberFormat="1" applyFont="1" applyFill="1" applyBorder="1" applyAlignment="1"/>
    <xf numFmtId="0" fontId="31" fillId="0" borderId="0" xfId="0" applyFont="1"/>
    <xf numFmtId="10" fontId="19" fillId="0" borderId="15" xfId="1" applyNumberFormat="1" applyFont="1" applyBorder="1" applyAlignment="1"/>
    <xf numFmtId="10" fontId="19" fillId="0" borderId="0" xfId="1" applyNumberFormat="1" applyFont="1" applyAlignment="1"/>
    <xf numFmtId="0" fontId="26" fillId="0" borderId="0" xfId="0" applyFont="1"/>
    <xf numFmtId="0" fontId="19" fillId="0" borderId="10" xfId="0" applyFont="1" applyBorder="1" applyAlignment="1">
      <alignment vertical="center"/>
    </xf>
    <xf numFmtId="10" fontId="19" fillId="0" borderId="10" xfId="1" applyNumberFormat="1" applyFont="1" applyBorder="1">
      <alignment vertical="center"/>
    </xf>
    <xf numFmtId="0" fontId="19" fillId="0" borderId="15" xfId="0" applyFont="1" applyBorder="1" applyAlignment="1">
      <alignment vertical="center"/>
    </xf>
    <xf numFmtId="10" fontId="19" fillId="0" borderId="15" xfId="1" applyNumberFormat="1" applyFont="1" applyBorder="1">
      <alignment vertical="center"/>
    </xf>
    <xf numFmtId="10" fontId="19" fillId="0" borderId="0" xfId="0" applyNumberFormat="1" applyFont="1"/>
    <xf numFmtId="182" fontId="25" fillId="0" borderId="0" xfId="1" applyNumberFormat="1" applyFont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4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0" borderId="0" xfId="0" applyFont="1" applyFill="1" applyAlignment="1">
      <alignment horizontal="center" vertic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2"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2"/>
  <sheetViews>
    <sheetView workbookViewId="0">
      <selection activeCell="F20" sqref="F20"/>
    </sheetView>
  </sheetViews>
  <sheetFormatPr defaultColWidth="8.88671875" defaultRowHeight="15.6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>
      <c r="A2" s="18" t="s">
        <v>39</v>
      </c>
      <c r="B2" s="38" t="s">
        <v>135</v>
      </c>
      <c r="C2" s="5"/>
    </row>
    <row r="3" spans="1:9">
      <c r="A3" s="18" t="s">
        <v>40</v>
      </c>
      <c r="B3" s="38" t="s">
        <v>250</v>
      </c>
      <c r="C3" s="19"/>
    </row>
    <row r="4" spans="1:9">
      <c r="C4" s="28"/>
    </row>
    <row r="5" spans="1:9">
      <c r="C5" s="28"/>
    </row>
    <row r="6" spans="1:9">
      <c r="A6" s="20" t="s">
        <v>56</v>
      </c>
      <c r="C6" s="28"/>
    </row>
    <row r="7" spans="1:9">
      <c r="A7" s="37">
        <v>100</v>
      </c>
      <c r="C7" s="28"/>
    </row>
    <row r="8" spans="1:9">
      <c r="C8" s="28"/>
    </row>
    <row r="9" spans="1:9">
      <c r="C9" s="28"/>
    </row>
    <row r="10" spans="1:9">
      <c r="A10" s="20" t="s">
        <v>51</v>
      </c>
      <c r="B10" s="20" t="s">
        <v>54</v>
      </c>
      <c r="C10" s="33" t="s">
        <v>38</v>
      </c>
      <c r="D10" s="33" t="s">
        <v>52</v>
      </c>
      <c r="G10" s="7"/>
      <c r="H10" s="7"/>
      <c r="I10" s="7"/>
    </row>
    <row r="11" spans="1:9">
      <c r="A11" s="42" cm="1">
        <f t="array" ref="A11:A12">B11:B12*A7</f>
        <v>100</v>
      </c>
      <c r="B11" s="37">
        <v>1</v>
      </c>
      <c r="C11" s="111">
        <f>SUM(B17:B18)</f>
        <v>0</v>
      </c>
      <c r="D11" s="111" t="s">
        <v>53</v>
      </c>
      <c r="G11" s="7"/>
      <c r="H11" s="7"/>
      <c r="I11" s="7"/>
    </row>
    <row r="12" spans="1:9">
      <c r="A12" s="42">
        <v>7500</v>
      </c>
      <c r="B12" s="37">
        <v>75</v>
      </c>
      <c r="C12" s="50">
        <f>SUM(B21:B22)</f>
        <v>0</v>
      </c>
      <c r="D12" s="50" t="s">
        <v>55</v>
      </c>
    </row>
    <row r="13" spans="1:9">
      <c r="A13" s="23"/>
      <c r="B13" s="23"/>
      <c r="C13" s="24"/>
      <c r="D13" s="2"/>
      <c r="F13" s="3"/>
    </row>
    <row r="14" spans="1:9">
      <c r="A14" s="10"/>
      <c r="B14" s="10"/>
      <c r="C14" s="24"/>
      <c r="D14" s="24"/>
      <c r="F14" s="4"/>
    </row>
    <row r="15" spans="1:9">
      <c r="A15" s="27" t="s">
        <v>24</v>
      </c>
      <c r="B15" s="11"/>
      <c r="C15" s="47"/>
      <c r="D15" s="44"/>
      <c r="E15" s="48"/>
      <c r="F15" s="7"/>
      <c r="G15" s="7"/>
      <c r="H15" s="7"/>
      <c r="I15" s="12"/>
    </row>
    <row r="16" spans="1:9">
      <c r="A16" s="33" t="s">
        <v>52</v>
      </c>
      <c r="B16" s="20" t="s">
        <v>0</v>
      </c>
      <c r="C16" s="20" t="s">
        <v>1</v>
      </c>
      <c r="D16" s="20" t="s">
        <v>2</v>
      </c>
      <c r="E16" s="20" t="s">
        <v>12</v>
      </c>
      <c r="F16" s="114"/>
      <c r="G16" s="7"/>
      <c r="H16" s="7"/>
      <c r="I16" s="12"/>
    </row>
    <row r="17" spans="1:9">
      <c r="A17" s="185" t="str">
        <f>D11</f>
        <v>Normal Bet</v>
      </c>
      <c r="B17" s="41"/>
      <c r="C17" s="186" t="e">
        <f>1/D17</f>
        <v>#DIV/0!</v>
      </c>
      <c r="D17" s="188"/>
      <c r="E17" s="29" t="s">
        <v>49</v>
      </c>
      <c r="F17" s="114"/>
      <c r="G17" s="7"/>
      <c r="H17" s="7"/>
      <c r="I17" s="12"/>
    </row>
    <row r="18" spans="1:9">
      <c r="A18" s="185"/>
      <c r="B18" s="41"/>
      <c r="C18" s="187"/>
      <c r="D18" s="189"/>
      <c r="E18" s="29" t="s">
        <v>57</v>
      </c>
      <c r="F18" s="114"/>
      <c r="G18" s="7"/>
      <c r="H18" s="7"/>
      <c r="I18" s="12"/>
    </row>
    <row r="19" spans="1:9">
      <c r="A19" s="45"/>
      <c r="B19" s="46"/>
      <c r="C19" s="47"/>
      <c r="D19" s="44"/>
      <c r="E19" s="7"/>
      <c r="F19" s="114"/>
      <c r="G19" s="7"/>
      <c r="H19" s="7"/>
      <c r="I19" s="12"/>
    </row>
    <row r="20" spans="1:9">
      <c r="A20" s="33" t="s">
        <v>52</v>
      </c>
      <c r="B20" s="20" t="s">
        <v>0</v>
      </c>
      <c r="C20" s="20" t="s">
        <v>1</v>
      </c>
      <c r="D20" s="20" t="s">
        <v>2</v>
      </c>
      <c r="E20" s="20" t="s">
        <v>12</v>
      </c>
      <c r="F20" s="114"/>
      <c r="G20" s="7"/>
      <c r="H20" s="7"/>
      <c r="I20" s="12"/>
    </row>
    <row r="21" spans="1:9">
      <c r="A21" s="185" t="str">
        <f>D12</f>
        <v>Buy Feature</v>
      </c>
      <c r="B21" s="41"/>
      <c r="C21" s="186">
        <f>1/D21</f>
        <v>1</v>
      </c>
      <c r="D21" s="190">
        <v>1</v>
      </c>
      <c r="E21" s="29" t="s">
        <v>49</v>
      </c>
      <c r="F21" s="114"/>
      <c r="G21" s="7"/>
      <c r="H21" s="7"/>
      <c r="I21" s="12"/>
    </row>
    <row r="22" spans="1:9">
      <c r="A22" s="185"/>
      <c r="B22" s="41"/>
      <c r="C22" s="187"/>
      <c r="D22" s="191"/>
      <c r="E22" s="29" t="s">
        <v>57</v>
      </c>
      <c r="F22" s="114"/>
      <c r="G22" s="7"/>
      <c r="H22" s="7"/>
      <c r="I22" s="12"/>
    </row>
    <row r="23" spans="1:9">
      <c r="A23" s="45"/>
      <c r="B23" s="46"/>
      <c r="C23" s="47"/>
      <c r="D23" s="44"/>
      <c r="E23" s="7"/>
      <c r="F23" s="7"/>
      <c r="G23" s="7"/>
      <c r="H23" s="7"/>
      <c r="I23" s="12"/>
    </row>
    <row r="24" spans="1:9">
      <c r="A24" s="45"/>
      <c r="B24" s="46"/>
      <c r="C24" s="47"/>
      <c r="D24" s="44"/>
      <c r="E24" s="7"/>
      <c r="F24" s="7"/>
      <c r="G24" s="7"/>
      <c r="H24" s="7"/>
      <c r="I24" s="12"/>
    </row>
    <row r="25" spans="1:9">
      <c r="A25" s="20" t="s">
        <v>3</v>
      </c>
      <c r="B25" s="20">
        <v>1</v>
      </c>
      <c r="C25" s="20">
        <v>2</v>
      </c>
      <c r="D25" s="20">
        <v>3</v>
      </c>
      <c r="E25" s="20">
        <v>4</v>
      </c>
      <c r="F25" s="20">
        <v>5</v>
      </c>
      <c r="G25" s="7"/>
      <c r="H25" s="7"/>
    </row>
    <row r="26" spans="1:9">
      <c r="A26" s="21" t="s">
        <v>4</v>
      </c>
      <c r="B26" s="22">
        <v>3</v>
      </c>
      <c r="C26" s="22">
        <v>3</v>
      </c>
      <c r="D26" s="22">
        <v>3</v>
      </c>
      <c r="E26" s="22">
        <v>3</v>
      </c>
      <c r="F26" s="22">
        <v>3</v>
      </c>
      <c r="G26" s="7"/>
      <c r="H26" s="7"/>
    </row>
    <row r="27" spans="1:9">
      <c r="A27" s="31"/>
      <c r="B27" s="31"/>
      <c r="C27" s="31"/>
      <c r="D27" s="31"/>
      <c r="E27" s="31"/>
      <c r="F27" s="31"/>
      <c r="G27" s="31"/>
    </row>
    <row r="28" spans="1:9">
      <c r="A28" s="31"/>
      <c r="B28" s="31"/>
      <c r="C28" s="31"/>
      <c r="D28" s="31"/>
      <c r="E28" s="31"/>
      <c r="F28" s="31"/>
      <c r="G28" s="31"/>
    </row>
    <row r="29" spans="1:9">
      <c r="A29" s="1" t="s">
        <v>47</v>
      </c>
    </row>
    <row r="30" spans="1:9">
      <c r="A30" s="20" t="s">
        <v>41</v>
      </c>
      <c r="B30" s="20" t="s">
        <v>49</v>
      </c>
      <c r="C30" s="20" t="s">
        <v>50</v>
      </c>
    </row>
    <row r="31" spans="1:9">
      <c r="A31" s="22">
        <v>3</v>
      </c>
      <c r="B31" s="39">
        <v>15</v>
      </c>
      <c r="C31" s="39">
        <v>15</v>
      </c>
    </row>
    <row r="32" spans="1:9">
      <c r="A32" s="22">
        <v>4</v>
      </c>
      <c r="B32" s="39">
        <v>17</v>
      </c>
      <c r="C32" s="39">
        <v>17</v>
      </c>
    </row>
    <row r="33" spans="1:6">
      <c r="A33" s="8">
        <v>5</v>
      </c>
      <c r="B33" s="40">
        <v>19</v>
      </c>
      <c r="C33" s="40">
        <v>19</v>
      </c>
    </row>
    <row r="34" spans="1:6">
      <c r="A34" s="168" t="s">
        <v>178</v>
      </c>
      <c r="B34" s="32"/>
    </row>
    <row r="36" spans="1:6">
      <c r="A36" s="1" t="s">
        <v>46</v>
      </c>
      <c r="B36" s="1" t="str">
        <f>"All wins show for "&amp;A7&amp;" credit bet."</f>
        <v>All wins show for 100 credit bet.</v>
      </c>
    </row>
    <row r="37" spans="1:6">
      <c r="A37" s="20" t="s">
        <v>42</v>
      </c>
      <c r="B37" s="20" t="s">
        <v>43</v>
      </c>
      <c r="C37" s="20">
        <v>3</v>
      </c>
      <c r="D37" s="20">
        <v>4</v>
      </c>
      <c r="E37" s="20">
        <v>5</v>
      </c>
      <c r="F37" s="20" t="s">
        <v>48</v>
      </c>
    </row>
    <row r="38" spans="1:6">
      <c r="A38" s="22" t="s">
        <v>25</v>
      </c>
      <c r="B38" s="22" t="s">
        <v>44</v>
      </c>
      <c r="C38" s="34">
        <v>0</v>
      </c>
      <c r="D38" s="34">
        <v>0</v>
      </c>
      <c r="E38" s="34">
        <v>0</v>
      </c>
      <c r="F38" s="35">
        <v>0</v>
      </c>
    </row>
    <row r="39" spans="1:6">
      <c r="A39" s="8" t="s">
        <v>30</v>
      </c>
      <c r="B39" s="8" t="s">
        <v>45</v>
      </c>
      <c r="C39" s="30">
        <v>0</v>
      </c>
      <c r="D39" s="30">
        <v>0</v>
      </c>
      <c r="E39" s="30">
        <v>0</v>
      </c>
      <c r="F39" s="36">
        <v>1</v>
      </c>
    </row>
    <row r="40" spans="1:6">
      <c r="A40" s="156" t="s">
        <v>26</v>
      </c>
      <c r="B40" s="156" t="s">
        <v>26</v>
      </c>
      <c r="C40" s="156">
        <v>250</v>
      </c>
      <c r="D40" s="156">
        <v>1250</v>
      </c>
      <c r="E40" s="156">
        <v>5000</v>
      </c>
      <c r="F40" s="157">
        <v>2</v>
      </c>
    </row>
    <row r="41" spans="1:6">
      <c r="A41" s="156" t="s">
        <v>27</v>
      </c>
      <c r="B41" s="156" t="s">
        <v>27</v>
      </c>
      <c r="C41" s="156">
        <v>100</v>
      </c>
      <c r="D41" s="156">
        <v>500</v>
      </c>
      <c r="E41" s="156">
        <v>2000</v>
      </c>
      <c r="F41" s="158">
        <v>3</v>
      </c>
    </row>
    <row r="42" spans="1:6">
      <c r="A42" s="156" t="s">
        <v>28</v>
      </c>
      <c r="B42" s="156" t="s">
        <v>28</v>
      </c>
      <c r="C42" s="156">
        <v>75</v>
      </c>
      <c r="D42" s="156">
        <v>250</v>
      </c>
      <c r="E42" s="156">
        <v>1000</v>
      </c>
      <c r="F42" s="157">
        <v>4</v>
      </c>
    </row>
    <row r="43" spans="1:6">
      <c r="A43" s="156" t="s">
        <v>29</v>
      </c>
      <c r="B43" s="156" t="s">
        <v>29</v>
      </c>
      <c r="C43" s="156">
        <v>50</v>
      </c>
      <c r="D43" s="156">
        <v>200</v>
      </c>
      <c r="E43" s="156">
        <v>750</v>
      </c>
      <c r="F43" s="158">
        <v>5</v>
      </c>
    </row>
    <row r="44" spans="1:6">
      <c r="A44" s="156" t="s">
        <v>136</v>
      </c>
      <c r="B44" s="156" t="s">
        <v>136</v>
      </c>
      <c r="C44" s="159">
        <v>25</v>
      </c>
      <c r="D44" s="159">
        <v>100</v>
      </c>
      <c r="E44" s="159">
        <v>500</v>
      </c>
      <c r="F44" s="157">
        <v>6</v>
      </c>
    </row>
    <row r="45" spans="1:6">
      <c r="A45" s="156" t="s">
        <v>23</v>
      </c>
      <c r="B45" s="156" t="s">
        <v>23</v>
      </c>
      <c r="C45" s="156">
        <v>10</v>
      </c>
      <c r="D45" s="156">
        <v>50</v>
      </c>
      <c r="E45" s="156">
        <v>250</v>
      </c>
      <c r="F45" s="158">
        <v>7</v>
      </c>
    </row>
    <row r="46" spans="1:6">
      <c r="A46" s="156" t="s">
        <v>31</v>
      </c>
      <c r="B46" s="156" t="s">
        <v>31</v>
      </c>
      <c r="C46" s="156">
        <v>10</v>
      </c>
      <c r="D46" s="156">
        <v>50</v>
      </c>
      <c r="E46" s="156">
        <v>250</v>
      </c>
      <c r="F46" s="157">
        <v>8</v>
      </c>
    </row>
    <row r="47" spans="1:6">
      <c r="A47" s="156" t="s">
        <v>32</v>
      </c>
      <c r="B47" s="156" t="s">
        <v>32</v>
      </c>
      <c r="C47" s="156">
        <v>10</v>
      </c>
      <c r="D47" s="156">
        <v>50</v>
      </c>
      <c r="E47" s="156">
        <v>250</v>
      </c>
      <c r="F47" s="158">
        <v>9</v>
      </c>
    </row>
    <row r="48" spans="1:6">
      <c r="A48" s="156" t="s">
        <v>33</v>
      </c>
      <c r="B48" s="156" t="s">
        <v>33</v>
      </c>
      <c r="C48" s="156">
        <v>10</v>
      </c>
      <c r="D48" s="156">
        <v>50</v>
      </c>
      <c r="E48" s="156">
        <v>250</v>
      </c>
      <c r="F48" s="157">
        <v>10</v>
      </c>
    </row>
    <row r="49" spans="1:9">
      <c r="A49" s="8" t="s">
        <v>88</v>
      </c>
      <c r="B49" s="8" t="s">
        <v>99</v>
      </c>
      <c r="C49" s="30">
        <v>250</v>
      </c>
      <c r="D49" s="30">
        <v>1250</v>
      </c>
      <c r="E49" s="30">
        <v>5000</v>
      </c>
      <c r="F49" s="36">
        <v>11</v>
      </c>
    </row>
    <row r="50" spans="1:9">
      <c r="A50" s="8" t="s">
        <v>89</v>
      </c>
      <c r="B50" s="8" t="s">
        <v>100</v>
      </c>
      <c r="C50" s="30">
        <v>100</v>
      </c>
      <c r="D50" s="30">
        <v>500</v>
      </c>
      <c r="E50" s="30">
        <v>2000</v>
      </c>
      <c r="F50" s="35">
        <v>12</v>
      </c>
    </row>
    <row r="51" spans="1:9">
      <c r="A51" s="8" t="s">
        <v>90</v>
      </c>
      <c r="B51" s="8" t="s">
        <v>101</v>
      </c>
      <c r="C51" s="30">
        <v>75</v>
      </c>
      <c r="D51" s="30">
        <v>250</v>
      </c>
      <c r="E51" s="30">
        <v>1000</v>
      </c>
      <c r="F51" s="36">
        <v>13</v>
      </c>
    </row>
    <row r="52" spans="1:9">
      <c r="A52" s="8" t="s">
        <v>91</v>
      </c>
      <c r="B52" s="8" t="s">
        <v>102</v>
      </c>
      <c r="C52" s="30">
        <v>50</v>
      </c>
      <c r="D52" s="30">
        <v>200</v>
      </c>
      <c r="E52" s="30">
        <v>750</v>
      </c>
      <c r="F52" s="35">
        <v>14</v>
      </c>
    </row>
    <row r="53" spans="1:9">
      <c r="A53" s="8" t="s">
        <v>137</v>
      </c>
      <c r="B53" s="8" t="s">
        <v>138</v>
      </c>
      <c r="C53" s="142">
        <v>25</v>
      </c>
      <c r="D53" s="142">
        <v>100</v>
      </c>
      <c r="E53" s="142">
        <v>500</v>
      </c>
      <c r="F53" s="36">
        <v>15</v>
      </c>
    </row>
    <row r="54" spans="1:9">
      <c r="A54" s="8" t="s">
        <v>93</v>
      </c>
      <c r="B54" s="8" t="s">
        <v>103</v>
      </c>
      <c r="C54" s="30">
        <v>10</v>
      </c>
      <c r="D54" s="30">
        <v>50</v>
      </c>
      <c r="E54" s="30">
        <v>250</v>
      </c>
      <c r="F54" s="35">
        <v>16</v>
      </c>
    </row>
    <row r="55" spans="1:9">
      <c r="A55" s="8" t="s">
        <v>94</v>
      </c>
      <c r="B55" s="8" t="s">
        <v>104</v>
      </c>
      <c r="C55" s="30">
        <v>10</v>
      </c>
      <c r="D55" s="30">
        <v>50</v>
      </c>
      <c r="E55" s="30">
        <v>250</v>
      </c>
      <c r="F55" s="36">
        <v>17</v>
      </c>
    </row>
    <row r="56" spans="1:9">
      <c r="A56" s="8" t="s">
        <v>96</v>
      </c>
      <c r="B56" s="8" t="s">
        <v>105</v>
      </c>
      <c r="C56" s="30">
        <v>10</v>
      </c>
      <c r="D56" s="30">
        <v>50</v>
      </c>
      <c r="E56" s="30">
        <v>250</v>
      </c>
      <c r="F56" s="35">
        <v>18</v>
      </c>
    </row>
    <row r="57" spans="1:9">
      <c r="A57" s="8" t="s">
        <v>98</v>
      </c>
      <c r="B57" s="8" t="s">
        <v>106</v>
      </c>
      <c r="C57" s="30">
        <v>10</v>
      </c>
      <c r="D57" s="30">
        <v>50</v>
      </c>
      <c r="E57" s="30">
        <v>250</v>
      </c>
      <c r="F57" s="36">
        <v>19</v>
      </c>
    </row>
    <row r="58" spans="1:9">
      <c r="A58" s="24"/>
      <c r="B58" s="24"/>
      <c r="C58" s="24"/>
      <c r="D58" s="24"/>
      <c r="E58" s="24"/>
      <c r="F58" s="24"/>
      <c r="G58" s="24"/>
      <c r="H58" s="24"/>
      <c r="I58" s="24"/>
    </row>
    <row r="59" spans="1:9">
      <c r="A59" s="24"/>
      <c r="B59" s="24"/>
      <c r="C59" s="24"/>
      <c r="D59" s="24"/>
      <c r="E59" s="24"/>
      <c r="F59" s="24"/>
      <c r="G59" s="24"/>
      <c r="H59" s="24"/>
      <c r="I59" s="24"/>
    </row>
    <row r="60" spans="1:9">
      <c r="A60" s="24"/>
      <c r="B60" s="24"/>
      <c r="C60" s="24"/>
      <c r="D60" s="24"/>
      <c r="E60" s="24"/>
      <c r="F60" s="24"/>
      <c r="G60" s="24"/>
      <c r="H60" s="24"/>
      <c r="I60" s="24"/>
    </row>
    <row r="61" spans="1:9">
      <c r="A61" s="24"/>
      <c r="B61" s="24"/>
      <c r="C61" s="24"/>
      <c r="D61" s="24"/>
      <c r="E61" s="24"/>
      <c r="F61" s="24"/>
      <c r="G61" s="24"/>
      <c r="H61" s="24"/>
      <c r="I61" s="24"/>
    </row>
    <row r="62" spans="1:9">
      <c r="A62" s="24"/>
      <c r="B62" s="24"/>
      <c r="C62" s="24"/>
      <c r="D62" s="24"/>
      <c r="E62" s="24"/>
      <c r="F62" s="24"/>
      <c r="G62" s="24"/>
      <c r="H62" s="24"/>
      <c r="I62" s="24"/>
    </row>
    <row r="63" spans="1:9">
      <c r="A63" s="24"/>
      <c r="B63" s="24"/>
      <c r="C63" s="24"/>
      <c r="D63" s="24"/>
      <c r="E63" s="24"/>
      <c r="F63" s="24"/>
      <c r="G63" s="24"/>
      <c r="H63" s="24"/>
      <c r="I63" s="24"/>
    </row>
    <row r="64" spans="1:9">
      <c r="A64" s="24"/>
      <c r="B64" s="24"/>
      <c r="C64" s="24"/>
      <c r="D64" s="24"/>
      <c r="E64" s="24"/>
      <c r="F64" s="24"/>
      <c r="G64" s="24"/>
      <c r="H64" s="24"/>
      <c r="I64" s="24"/>
    </row>
    <row r="65" spans="1:9">
      <c r="A65" s="24"/>
      <c r="B65" s="24"/>
      <c r="C65" s="24"/>
      <c r="D65" s="24"/>
      <c r="E65" s="24"/>
      <c r="F65" s="24"/>
      <c r="G65" s="24"/>
      <c r="H65" s="24"/>
      <c r="I65" s="24"/>
    </row>
    <row r="66" spans="1:9">
      <c r="A66" s="24"/>
      <c r="B66" s="24"/>
      <c r="C66" s="24"/>
      <c r="D66" s="24"/>
      <c r="E66" s="24"/>
      <c r="F66" s="24"/>
      <c r="G66" s="24"/>
      <c r="H66" s="24"/>
      <c r="I66" s="24"/>
    </row>
    <row r="67" spans="1:9">
      <c r="A67" s="24"/>
      <c r="B67" s="24"/>
      <c r="C67" s="24"/>
      <c r="D67" s="24"/>
      <c r="E67" s="24"/>
      <c r="F67" s="24"/>
      <c r="G67" s="24"/>
      <c r="H67" s="24"/>
      <c r="I67" s="24"/>
    </row>
    <row r="68" spans="1:9">
      <c r="A68" s="24"/>
      <c r="B68" s="24"/>
      <c r="C68" s="24"/>
      <c r="D68" s="24"/>
      <c r="E68" s="24"/>
      <c r="F68" s="24"/>
      <c r="G68" s="24"/>
      <c r="H68" s="24"/>
      <c r="I68" s="24"/>
    </row>
    <row r="69" spans="1:9">
      <c r="A69" s="24"/>
      <c r="B69" s="24"/>
      <c r="C69" s="24"/>
      <c r="D69" s="24"/>
      <c r="E69" s="24"/>
      <c r="F69" s="24"/>
      <c r="G69" s="24"/>
      <c r="H69" s="24"/>
      <c r="I69" s="24"/>
    </row>
    <row r="70" spans="1:9">
      <c r="A70" s="24"/>
      <c r="B70" s="24"/>
      <c r="C70" s="24"/>
      <c r="D70" s="24"/>
      <c r="E70" s="24"/>
      <c r="F70" s="24"/>
      <c r="G70" s="24"/>
      <c r="H70" s="24"/>
      <c r="I70" s="24"/>
    </row>
    <row r="71" spans="1:9">
      <c r="A71" s="24"/>
      <c r="B71" s="24"/>
      <c r="C71" s="24"/>
      <c r="D71" s="24"/>
      <c r="E71" s="24"/>
      <c r="F71" s="24"/>
      <c r="G71" s="24"/>
      <c r="H71" s="24"/>
      <c r="I71" s="24"/>
    </row>
    <row r="72" spans="1:9">
      <c r="A72" s="24"/>
      <c r="B72" s="24"/>
      <c r="C72" s="24"/>
      <c r="D72" s="24"/>
      <c r="E72" s="24"/>
      <c r="F72" s="24"/>
      <c r="G72" s="24"/>
      <c r="H72" s="24"/>
      <c r="I72" s="24"/>
    </row>
    <row r="73" spans="1:9">
      <c r="A73" s="24"/>
      <c r="B73" s="24"/>
      <c r="C73" s="24"/>
      <c r="D73" s="24"/>
      <c r="E73" s="24"/>
      <c r="F73" s="24"/>
      <c r="G73" s="24"/>
      <c r="H73" s="24"/>
      <c r="I73" s="24"/>
    </row>
    <row r="74" spans="1:9">
      <c r="A74" s="24"/>
      <c r="B74" s="24"/>
      <c r="C74" s="24"/>
      <c r="D74" s="24"/>
      <c r="E74" s="24"/>
      <c r="F74" s="24"/>
      <c r="G74" s="24"/>
      <c r="H74" s="24"/>
      <c r="I74" s="24"/>
    </row>
    <row r="75" spans="1:9">
      <c r="A75" s="24"/>
      <c r="B75" s="24"/>
      <c r="C75" s="24"/>
      <c r="D75" s="24"/>
      <c r="E75" s="24"/>
      <c r="F75" s="24"/>
      <c r="G75" s="24"/>
      <c r="H75" s="24"/>
      <c r="I75" s="24"/>
    </row>
    <row r="76" spans="1:9">
      <c r="A76" s="24"/>
      <c r="B76" s="24"/>
      <c r="C76" s="24"/>
      <c r="D76" s="24"/>
      <c r="E76" s="24"/>
      <c r="F76" s="24"/>
      <c r="G76" s="24"/>
      <c r="H76" s="24"/>
      <c r="I76" s="24"/>
    </row>
    <row r="77" spans="1:9">
      <c r="A77" s="24"/>
      <c r="B77" s="24"/>
      <c r="C77" s="24"/>
      <c r="D77" s="24"/>
      <c r="E77" s="24"/>
      <c r="F77" s="24"/>
      <c r="G77" s="24"/>
      <c r="H77" s="24"/>
      <c r="I77" s="24"/>
    </row>
    <row r="78" spans="1:9">
      <c r="A78" s="24"/>
      <c r="B78" s="24"/>
      <c r="C78" s="24"/>
      <c r="D78" s="24"/>
      <c r="E78" s="24"/>
      <c r="F78" s="24"/>
      <c r="G78" s="24"/>
      <c r="H78" s="24"/>
      <c r="I78" s="24"/>
    </row>
    <row r="79" spans="1:9">
      <c r="A79" s="24"/>
      <c r="B79" s="24"/>
      <c r="C79" s="24"/>
      <c r="D79" s="24"/>
      <c r="E79" s="24"/>
      <c r="F79" s="24"/>
      <c r="G79" s="24"/>
      <c r="H79" s="24"/>
      <c r="I79" s="24"/>
    </row>
    <row r="80" spans="1:9">
      <c r="B80" s="6"/>
      <c r="C80" s="6"/>
      <c r="D80" s="6"/>
    </row>
    <row r="82" spans="6:9">
      <c r="F82" s="24"/>
      <c r="G82" s="24"/>
      <c r="H82" s="24"/>
      <c r="I82" s="24"/>
    </row>
    <row r="87" spans="6:9">
      <c r="F87" s="24"/>
      <c r="G87" s="24"/>
      <c r="H87" s="24"/>
      <c r="I87" s="24"/>
    </row>
    <row r="92" spans="6:9">
      <c r="F92" s="24"/>
      <c r="G92" s="24"/>
    </row>
    <row r="97" spans="6:7">
      <c r="F97" s="24"/>
      <c r="G97" s="24"/>
    </row>
    <row r="102" spans="6:7">
      <c r="F102" s="24"/>
      <c r="G102" s="24"/>
    </row>
  </sheetData>
  <mergeCells count="6">
    <mergeCell ref="A17:A18"/>
    <mergeCell ref="C17:C18"/>
    <mergeCell ref="D17:D18"/>
    <mergeCell ref="A21:A22"/>
    <mergeCell ref="D21:D22"/>
    <mergeCell ref="C21:C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workbookViewId="0">
      <selection activeCell="M28" sqref="M28"/>
    </sheetView>
  </sheetViews>
  <sheetFormatPr defaultRowHeight="15.6"/>
  <cols>
    <col min="1" max="16384" width="8.88671875" style="24"/>
  </cols>
  <sheetData>
    <row r="3" spans="2:2">
      <c r="B3" s="24" t="s">
        <v>186</v>
      </c>
    </row>
    <row r="5" spans="2:2">
      <c r="B5" s="24" t="s">
        <v>187</v>
      </c>
    </row>
    <row r="7" spans="2:2">
      <c r="B7" s="24" t="s">
        <v>188</v>
      </c>
    </row>
    <row r="8" spans="2:2">
      <c r="B8" s="24" t="s">
        <v>189</v>
      </c>
    </row>
    <row r="9" spans="2:2">
      <c r="B9" s="24" t="s">
        <v>190</v>
      </c>
    </row>
    <row r="10" spans="2:2">
      <c r="B10" s="24" t="s">
        <v>191</v>
      </c>
    </row>
    <row r="11" spans="2:2">
      <c r="B11" s="24" t="s">
        <v>192</v>
      </c>
    </row>
    <row r="12" spans="2:2">
      <c r="B12" s="24" t="s">
        <v>193</v>
      </c>
    </row>
    <row r="13" spans="2:2">
      <c r="B13" s="24" t="s">
        <v>194</v>
      </c>
    </row>
    <row r="14" spans="2:2">
      <c r="B14" s="24" t="s">
        <v>195</v>
      </c>
    </row>
    <row r="15" spans="2:2">
      <c r="B15" s="24" t="s">
        <v>196</v>
      </c>
    </row>
    <row r="16" spans="2:2">
      <c r="B16" s="24" t="s">
        <v>197</v>
      </c>
    </row>
    <row r="18" spans="2:2">
      <c r="B18" s="24" t="s">
        <v>198</v>
      </c>
    </row>
    <row r="19" spans="2:2">
      <c r="B19" s="24" t="s">
        <v>185</v>
      </c>
    </row>
    <row r="20" spans="2:2">
      <c r="B20" s="24" t="s">
        <v>199</v>
      </c>
    </row>
    <row r="21" spans="2:2">
      <c r="B21" s="24" t="s">
        <v>200</v>
      </c>
    </row>
    <row r="22" spans="2:2">
      <c r="B22" s="24" t="s">
        <v>201</v>
      </c>
    </row>
    <row r="23" spans="2:2">
      <c r="B23" s="24" t="s">
        <v>202</v>
      </c>
    </row>
    <row r="24" spans="2:2">
      <c r="B24" s="24" t="s">
        <v>203</v>
      </c>
    </row>
    <row r="25" spans="2:2">
      <c r="B25" s="24" t="s">
        <v>204</v>
      </c>
    </row>
    <row r="26" spans="2:2">
      <c r="B26" s="24" t="s">
        <v>205</v>
      </c>
    </row>
    <row r="28" spans="2:2">
      <c r="B28" s="24" t="s">
        <v>206</v>
      </c>
    </row>
    <row r="30" spans="2:2">
      <c r="B30" s="24" t="s">
        <v>207</v>
      </c>
    </row>
    <row r="31" spans="2:2">
      <c r="B31" s="24" t="s">
        <v>208</v>
      </c>
    </row>
    <row r="33" spans="2:2">
      <c r="B33" s="24" t="s">
        <v>209</v>
      </c>
    </row>
    <row r="35" spans="2:2">
      <c r="B35" s="24" t="s">
        <v>210</v>
      </c>
    </row>
    <row r="37" spans="2:2">
      <c r="B37" s="24" t="s">
        <v>211</v>
      </c>
    </row>
    <row r="38" spans="2:2">
      <c r="B38" s="24" t="s">
        <v>212</v>
      </c>
    </row>
    <row r="39" spans="2:2">
      <c r="B39" s="24" t="s">
        <v>213</v>
      </c>
    </row>
    <row r="40" spans="2:2">
      <c r="B40" s="24" t="s">
        <v>214</v>
      </c>
    </row>
    <row r="42" spans="2:2">
      <c r="B42" s="24" t="s">
        <v>215</v>
      </c>
    </row>
    <row r="43" spans="2:2">
      <c r="B43" s="24" t="s">
        <v>185</v>
      </c>
    </row>
    <row r="44" spans="2:2">
      <c r="B44" s="24" t="s">
        <v>216</v>
      </c>
    </row>
    <row r="46" spans="2:2">
      <c r="B46" s="24" t="s">
        <v>217</v>
      </c>
    </row>
    <row r="47" spans="2:2">
      <c r="B47" s="24" t="s">
        <v>218</v>
      </c>
    </row>
    <row r="48" spans="2:2">
      <c r="B48" s="24" t="s">
        <v>219</v>
      </c>
    </row>
    <row r="49" spans="2:2">
      <c r="B49" s="24" t="s">
        <v>220</v>
      </c>
    </row>
    <row r="50" spans="2:2">
      <c r="B50" s="24" t="s">
        <v>221</v>
      </c>
    </row>
    <row r="51" spans="2:2">
      <c r="B51" s="24" t="s">
        <v>222</v>
      </c>
    </row>
    <row r="53" spans="2:2">
      <c r="B53" s="24" t="s">
        <v>223</v>
      </c>
    </row>
    <row r="55" spans="2:2">
      <c r="B55" s="24" t="s">
        <v>224</v>
      </c>
    </row>
    <row r="56" spans="2:2">
      <c r="B56" s="24" t="s">
        <v>225</v>
      </c>
    </row>
    <row r="57" spans="2:2">
      <c r="B57" s="24" t="s">
        <v>226</v>
      </c>
    </row>
    <row r="58" spans="2:2">
      <c r="B58" s="24" t="s">
        <v>227</v>
      </c>
    </row>
    <row r="59" spans="2:2">
      <c r="B59" s="24" t="s">
        <v>228</v>
      </c>
    </row>
    <row r="60" spans="2:2">
      <c r="B60" s="24" t="s">
        <v>229</v>
      </c>
    </row>
    <row r="62" spans="2:2">
      <c r="B62" s="24" t="s">
        <v>230</v>
      </c>
    </row>
    <row r="64" spans="2:2">
      <c r="B64" s="24" t="s">
        <v>231</v>
      </c>
    </row>
    <row r="65" spans="2:2">
      <c r="B65" s="24" t="s">
        <v>232</v>
      </c>
    </row>
    <row r="67" spans="2:2">
      <c r="B67" s="24" t="s">
        <v>233</v>
      </c>
    </row>
    <row r="69" spans="2:2">
      <c r="B69" s="24" t="s">
        <v>234</v>
      </c>
    </row>
    <row r="70" spans="2:2">
      <c r="B70" s="24" t="s">
        <v>235</v>
      </c>
    </row>
    <row r="71" spans="2:2">
      <c r="B71" s="24" t="s">
        <v>236</v>
      </c>
    </row>
    <row r="72" spans="2:2">
      <c r="B72" s="24" t="s">
        <v>237</v>
      </c>
    </row>
    <row r="73" spans="2:2">
      <c r="B73" s="24" t="s">
        <v>238</v>
      </c>
    </row>
    <row r="74" spans="2:2">
      <c r="B74" s="24" t="s">
        <v>239</v>
      </c>
    </row>
    <row r="75" spans="2:2">
      <c r="B75" s="24" t="s">
        <v>240</v>
      </c>
    </row>
    <row r="77" spans="2:2">
      <c r="B77" s="24" t="s">
        <v>241</v>
      </c>
    </row>
    <row r="79" spans="2:2">
      <c r="B79" s="24" t="s">
        <v>242</v>
      </c>
    </row>
    <row r="80" spans="2:2">
      <c r="B80" s="24" t="s">
        <v>243</v>
      </c>
    </row>
    <row r="81" spans="2:2">
      <c r="B81" s="24" t="s">
        <v>244</v>
      </c>
    </row>
    <row r="82" spans="2:2">
      <c r="B82" s="24" t="s">
        <v>245</v>
      </c>
    </row>
    <row r="83" spans="2:2">
      <c r="B83" s="24" t="s">
        <v>246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B3:AP130"/>
  <sheetViews>
    <sheetView topLeftCell="A23" workbookViewId="0">
      <selection activeCell="K31" sqref="K31"/>
    </sheetView>
  </sheetViews>
  <sheetFormatPr defaultColWidth="8.88671875" defaultRowHeight="16.2"/>
  <cols>
    <col min="1" max="8" width="8.88671875" style="120"/>
    <col min="9" max="9" width="57.6640625" style="120" customWidth="1"/>
    <col min="10" max="10" width="16.21875" style="120" bestFit="1" customWidth="1"/>
    <col min="11" max="11" width="10.5546875" style="120" customWidth="1"/>
    <col min="12" max="12" width="11" style="120" bestFit="1" customWidth="1"/>
    <col min="13" max="13" width="8.88671875" style="120"/>
    <col min="14" max="14" width="37.33203125" style="120" bestFit="1" customWidth="1"/>
    <col min="15" max="27" width="8.88671875" style="120"/>
    <col min="28" max="28" width="11.6640625" style="152" bestFit="1" customWidth="1"/>
    <col min="29" max="29" width="37.33203125" style="120" customWidth="1"/>
    <col min="30" max="30" width="9.5546875" style="120" bestFit="1" customWidth="1"/>
    <col min="31" max="39" width="8.88671875" style="120"/>
    <col min="43" max="16384" width="8.88671875" style="120"/>
  </cols>
  <sheetData>
    <row r="3" spans="2:38">
      <c r="B3" s="120" t="s">
        <v>173</v>
      </c>
      <c r="I3" s="17" t="s">
        <v>164</v>
      </c>
      <c r="J3" s="17"/>
      <c r="K3" s="17"/>
      <c r="N3" s="120" t="s">
        <v>160</v>
      </c>
      <c r="AC3" s="120" t="s">
        <v>159</v>
      </c>
    </row>
    <row r="4" spans="2:38">
      <c r="B4" s="154" t="s">
        <v>168</v>
      </c>
      <c r="C4" s="154" t="s">
        <v>172</v>
      </c>
      <c r="D4" s="154" t="s">
        <v>14</v>
      </c>
      <c r="E4" s="154" t="s">
        <v>15</v>
      </c>
      <c r="F4" s="154" t="s">
        <v>16</v>
      </c>
      <c r="G4" s="154" t="s">
        <v>17</v>
      </c>
      <c r="I4" s="145" t="s">
        <v>153</v>
      </c>
      <c r="J4" s="146" t="s">
        <v>109</v>
      </c>
      <c r="K4" s="146" t="s">
        <v>169</v>
      </c>
      <c r="N4" s="154" t="s">
        <v>157</v>
      </c>
      <c r="O4" s="154">
        <v>0</v>
      </c>
      <c r="P4" s="154">
        <v>2</v>
      </c>
      <c r="Q4" s="154">
        <v>3</v>
      </c>
      <c r="R4" s="154">
        <v>5</v>
      </c>
      <c r="S4" s="154">
        <v>8</v>
      </c>
      <c r="T4" s="154">
        <v>10</v>
      </c>
      <c r="U4" s="154">
        <v>15</v>
      </c>
      <c r="V4" s="154">
        <v>20</v>
      </c>
      <c r="W4" s="154">
        <v>25</v>
      </c>
      <c r="X4" s="154">
        <v>35</v>
      </c>
      <c r="Y4" s="154">
        <v>50</v>
      </c>
      <c r="Z4" s="154">
        <v>80</v>
      </c>
      <c r="AA4" s="154">
        <v>100</v>
      </c>
      <c r="AC4" s="154" t="s">
        <v>157</v>
      </c>
      <c r="AD4" s="154">
        <v>1</v>
      </c>
      <c r="AE4" s="154">
        <v>2</v>
      </c>
      <c r="AF4" s="154">
        <v>3</v>
      </c>
      <c r="AG4" s="154">
        <v>4</v>
      </c>
      <c r="AH4" s="154">
        <v>5</v>
      </c>
      <c r="AI4" s="154">
        <v>6</v>
      </c>
      <c r="AJ4" s="154">
        <v>7</v>
      </c>
      <c r="AK4" s="154">
        <v>8</v>
      </c>
      <c r="AL4" s="154">
        <v>9</v>
      </c>
    </row>
    <row r="5" spans="2:38">
      <c r="B5" s="153" cm="1">
        <f t="array" ref="B5:B24">_xlfn.SEQUENCE(20,,0)</f>
        <v>0</v>
      </c>
      <c r="C5" s="165">
        <v>1</v>
      </c>
      <c r="D5" s="165">
        <v>1</v>
      </c>
      <c r="E5" s="165">
        <v>1</v>
      </c>
      <c r="F5" s="165">
        <v>1</v>
      </c>
      <c r="G5" s="165">
        <v>1</v>
      </c>
      <c r="I5" s="133" t="s">
        <v>139</v>
      </c>
      <c r="J5" s="147">
        <f>10000-J6-J7</f>
        <v>5999</v>
      </c>
      <c r="K5" s="161"/>
      <c r="L5" s="151" cm="1">
        <f t="array" ref="L5:L7">J5:J7/J8</f>
        <v>0.59989999999999999</v>
      </c>
      <c r="N5" s="153" t="s">
        <v>155</v>
      </c>
      <c r="O5" s="169">
        <v>0</v>
      </c>
      <c r="P5" s="169">
        <v>0</v>
      </c>
      <c r="Q5" s="169">
        <v>0</v>
      </c>
      <c r="R5" s="169">
        <v>0</v>
      </c>
      <c r="S5" s="169">
        <v>0</v>
      </c>
      <c r="T5" s="155">
        <f t="shared" ref="T5:T11" si="0">10000-SUM(U5:AA5)</f>
        <v>3400</v>
      </c>
      <c r="U5" s="155">
        <v>1200</v>
      </c>
      <c r="V5" s="155">
        <v>2400</v>
      </c>
      <c r="W5" s="155">
        <v>500</v>
      </c>
      <c r="X5" s="155">
        <v>200</v>
      </c>
      <c r="Y5" s="155">
        <v>200</v>
      </c>
      <c r="Z5" s="155">
        <v>1200</v>
      </c>
      <c r="AA5" s="155">
        <v>900</v>
      </c>
      <c r="AB5" s="174" cm="1">
        <f t="array" ref="AB5">SUMPRODUCT(O5:AA5/SUM(O5:AA5),$O$4:$AA$4)</f>
        <v>31.549999999999997</v>
      </c>
      <c r="AC5" s="153" t="s">
        <v>155</v>
      </c>
      <c r="AD5" s="155">
        <v>500</v>
      </c>
      <c r="AE5" s="155">
        <v>1000</v>
      </c>
      <c r="AF5" s="155">
        <v>1500</v>
      </c>
      <c r="AG5" s="155">
        <v>3000</v>
      </c>
      <c r="AH5" s="155">
        <v>10000</v>
      </c>
      <c r="AI5" s="155">
        <v>10000</v>
      </c>
      <c r="AJ5" s="155">
        <v>10000</v>
      </c>
      <c r="AK5" s="155">
        <v>10000</v>
      </c>
      <c r="AL5" s="155">
        <v>10000</v>
      </c>
    </row>
    <row r="6" spans="2:38">
      <c r="B6" s="153">
        <v>1</v>
      </c>
      <c r="C6" s="165">
        <v>0</v>
      </c>
      <c r="D6" s="165">
        <v>0</v>
      </c>
      <c r="E6" s="165">
        <v>0</v>
      </c>
      <c r="F6" s="165">
        <v>0</v>
      </c>
      <c r="G6" s="165">
        <v>0</v>
      </c>
      <c r="I6" s="133" t="s">
        <v>140</v>
      </c>
      <c r="J6" s="148">
        <v>1001</v>
      </c>
      <c r="K6" s="162"/>
      <c r="L6" s="151">
        <v>0.10009999999999999</v>
      </c>
      <c r="N6" s="153" t="s">
        <v>156</v>
      </c>
      <c r="O6" s="169">
        <v>0</v>
      </c>
      <c r="P6" s="169">
        <v>0</v>
      </c>
      <c r="Q6" s="169">
        <v>0</v>
      </c>
      <c r="R6" s="169">
        <v>0</v>
      </c>
      <c r="S6" s="169">
        <v>0</v>
      </c>
      <c r="T6" s="155">
        <f t="shared" si="0"/>
        <v>4450</v>
      </c>
      <c r="U6" s="155">
        <v>600</v>
      </c>
      <c r="V6" s="155">
        <v>2400</v>
      </c>
      <c r="W6" s="155">
        <v>250</v>
      </c>
      <c r="X6" s="155">
        <v>100</v>
      </c>
      <c r="Y6" s="155">
        <v>100</v>
      </c>
      <c r="Z6" s="155">
        <v>1200</v>
      </c>
      <c r="AA6" s="155">
        <v>900</v>
      </c>
      <c r="AB6" s="174" cm="1">
        <f t="array" ref="AB6">SUMPRODUCT(O6:AA6/SUM(O6:AA6),$O$4:$AA$4)</f>
        <v>30.224999999999998</v>
      </c>
      <c r="AC6" s="153" t="s">
        <v>156</v>
      </c>
      <c r="AD6" s="155">
        <v>0</v>
      </c>
      <c r="AE6" s="155">
        <v>0</v>
      </c>
      <c r="AF6" s="155">
        <v>1000</v>
      </c>
      <c r="AG6" s="155">
        <v>1500</v>
      </c>
      <c r="AH6" s="155">
        <v>2500</v>
      </c>
      <c r="AI6" s="155">
        <v>5000</v>
      </c>
      <c r="AJ6" s="155">
        <v>10000</v>
      </c>
      <c r="AK6" s="155">
        <v>10000</v>
      </c>
      <c r="AL6" s="155">
        <v>10000</v>
      </c>
    </row>
    <row r="7" spans="2:38">
      <c r="B7" s="153">
        <v>2</v>
      </c>
      <c r="C7" s="165">
        <v>2</v>
      </c>
      <c r="D7" s="165">
        <v>2</v>
      </c>
      <c r="E7" s="165">
        <v>2</v>
      </c>
      <c r="F7" s="165">
        <v>2</v>
      </c>
      <c r="G7" s="165">
        <v>2</v>
      </c>
      <c r="I7" s="133" t="s">
        <v>167</v>
      </c>
      <c r="J7" s="148">
        <v>3000</v>
      </c>
      <c r="K7" s="162"/>
      <c r="L7" s="151">
        <v>0.3</v>
      </c>
      <c r="N7" s="153" t="s">
        <v>167</v>
      </c>
      <c r="O7" s="169">
        <v>0</v>
      </c>
      <c r="P7" s="169">
        <v>0</v>
      </c>
      <c r="Q7" s="169">
        <v>0</v>
      </c>
      <c r="R7" s="169">
        <v>0</v>
      </c>
      <c r="S7" s="169">
        <v>0</v>
      </c>
      <c r="T7" s="155">
        <f t="shared" si="0"/>
        <v>10000</v>
      </c>
      <c r="U7" s="155">
        <v>0</v>
      </c>
      <c r="V7" s="155">
        <v>0</v>
      </c>
      <c r="W7" s="155">
        <v>0</v>
      </c>
      <c r="X7" s="155">
        <v>0</v>
      </c>
      <c r="Y7" s="155">
        <v>0</v>
      </c>
      <c r="Z7" s="155">
        <v>0</v>
      </c>
      <c r="AA7" s="155">
        <v>0</v>
      </c>
      <c r="AB7" s="174" cm="1">
        <f t="array" ref="AB7">SUMPRODUCT(O7:AA7/SUM(O7:AA7),$O$4:$AA$4)</f>
        <v>10</v>
      </c>
      <c r="AC7" s="153" t="s">
        <v>167</v>
      </c>
      <c r="AD7" s="169">
        <v>0</v>
      </c>
      <c r="AE7" s="169">
        <v>0</v>
      </c>
      <c r="AF7" s="169">
        <v>0</v>
      </c>
      <c r="AG7" s="169">
        <v>0</v>
      </c>
      <c r="AH7" s="169">
        <v>0</v>
      </c>
      <c r="AI7" s="169">
        <v>0</v>
      </c>
      <c r="AJ7" s="169">
        <v>0</v>
      </c>
      <c r="AK7" s="169">
        <v>0</v>
      </c>
      <c r="AL7" s="169">
        <v>0</v>
      </c>
    </row>
    <row r="8" spans="2:38">
      <c r="B8" s="153">
        <v>3</v>
      </c>
      <c r="C8" s="165">
        <v>0</v>
      </c>
      <c r="D8" s="165">
        <v>1</v>
      </c>
      <c r="E8" s="165">
        <v>2</v>
      </c>
      <c r="F8" s="165">
        <v>1</v>
      </c>
      <c r="G8" s="165">
        <v>0</v>
      </c>
      <c r="I8" s="17"/>
      <c r="J8" s="51">
        <f>SUM(J5:J7)</f>
        <v>10000</v>
      </c>
      <c r="K8" s="51">
        <f>SUMPRODUCT(K5:K7,_xlfn.ANCHORARRAY(L5))</f>
        <v>0</v>
      </c>
      <c r="L8" s="152"/>
      <c r="N8" s="153" t="s">
        <v>147</v>
      </c>
      <c r="O8" s="169">
        <v>0</v>
      </c>
      <c r="P8" s="169">
        <v>0</v>
      </c>
      <c r="Q8" s="169">
        <v>0</v>
      </c>
      <c r="R8" s="169">
        <v>0</v>
      </c>
      <c r="S8" s="169">
        <v>0</v>
      </c>
      <c r="T8" s="155">
        <f t="shared" si="0"/>
        <v>3900</v>
      </c>
      <c r="U8" s="155">
        <v>1500</v>
      </c>
      <c r="V8" s="155">
        <v>2500</v>
      </c>
      <c r="W8" s="155">
        <v>100</v>
      </c>
      <c r="X8" s="155">
        <v>100</v>
      </c>
      <c r="Y8" s="155">
        <v>100</v>
      </c>
      <c r="Z8" s="155">
        <v>1000</v>
      </c>
      <c r="AA8" s="155">
        <v>800</v>
      </c>
      <c r="AB8" s="174" cm="1">
        <f t="array" ref="AB8">SUMPRODUCT(O8:AA8/SUM(O8:AA8),$O$4:$AA$4)</f>
        <v>28.25</v>
      </c>
      <c r="AC8" s="153" t="s">
        <v>147</v>
      </c>
      <c r="AD8" s="155">
        <v>0</v>
      </c>
      <c r="AE8" s="155">
        <v>0</v>
      </c>
      <c r="AF8" s="155">
        <v>1000</v>
      </c>
      <c r="AG8" s="155">
        <v>1500</v>
      </c>
      <c r="AH8" s="155">
        <v>2500</v>
      </c>
      <c r="AI8" s="155">
        <v>4000</v>
      </c>
      <c r="AJ8" s="155">
        <v>10000</v>
      </c>
      <c r="AK8" s="155">
        <v>10000</v>
      </c>
      <c r="AL8" s="155">
        <v>10000</v>
      </c>
    </row>
    <row r="9" spans="2:38">
      <c r="B9" s="153">
        <v>4</v>
      </c>
      <c r="C9" s="165">
        <v>2</v>
      </c>
      <c r="D9" s="165">
        <v>1</v>
      </c>
      <c r="E9" s="165">
        <v>0</v>
      </c>
      <c r="F9" s="165">
        <v>1</v>
      </c>
      <c r="G9" s="165">
        <v>2</v>
      </c>
      <c r="L9" s="152"/>
      <c r="N9" s="153" t="s">
        <v>149</v>
      </c>
      <c r="O9" s="169">
        <v>0</v>
      </c>
      <c r="P9" s="169">
        <v>0</v>
      </c>
      <c r="Q9" s="169">
        <v>0</v>
      </c>
      <c r="R9" s="169">
        <v>0</v>
      </c>
      <c r="S9" s="169">
        <v>0</v>
      </c>
      <c r="T9" s="155">
        <f t="shared" si="0"/>
        <v>3900</v>
      </c>
      <c r="U9" s="155">
        <v>1500</v>
      </c>
      <c r="V9" s="155">
        <v>2500</v>
      </c>
      <c r="W9" s="155">
        <v>100</v>
      </c>
      <c r="X9" s="155">
        <v>100</v>
      </c>
      <c r="Y9" s="155">
        <v>100</v>
      </c>
      <c r="Z9" s="155">
        <v>1000</v>
      </c>
      <c r="AA9" s="155">
        <v>800</v>
      </c>
      <c r="AB9" s="174" cm="1">
        <f t="array" ref="AB9">SUMPRODUCT(O9:AA9/SUM(O9:AA9),$O$4:$AA$4)</f>
        <v>28.25</v>
      </c>
      <c r="AC9" s="153" t="s">
        <v>149</v>
      </c>
      <c r="AD9" s="155">
        <v>0</v>
      </c>
      <c r="AE9" s="155">
        <v>0</v>
      </c>
      <c r="AF9" s="155">
        <v>1000</v>
      </c>
      <c r="AG9" s="155">
        <v>1500</v>
      </c>
      <c r="AH9" s="155">
        <v>2500</v>
      </c>
      <c r="AI9" s="155">
        <v>4000</v>
      </c>
      <c r="AJ9" s="155">
        <v>10000</v>
      </c>
      <c r="AK9" s="155">
        <v>10000</v>
      </c>
      <c r="AL9" s="155">
        <v>10000</v>
      </c>
    </row>
    <row r="10" spans="2:38">
      <c r="B10" s="153">
        <v>5</v>
      </c>
      <c r="C10" s="165">
        <v>0</v>
      </c>
      <c r="D10" s="165">
        <v>0</v>
      </c>
      <c r="E10" s="165">
        <v>1</v>
      </c>
      <c r="F10" s="165">
        <v>0</v>
      </c>
      <c r="G10" s="165">
        <v>0</v>
      </c>
      <c r="I10" s="17" t="s">
        <v>163</v>
      </c>
      <c r="J10" s="17"/>
      <c r="K10" s="17"/>
      <c r="L10" s="152"/>
      <c r="N10" s="153" t="s">
        <v>151</v>
      </c>
      <c r="O10" s="169">
        <v>0</v>
      </c>
      <c r="P10" s="169">
        <v>0</v>
      </c>
      <c r="Q10" s="169">
        <v>0</v>
      </c>
      <c r="R10" s="169">
        <v>0</v>
      </c>
      <c r="S10" s="169">
        <v>0</v>
      </c>
      <c r="T10" s="155">
        <f t="shared" si="0"/>
        <v>3900</v>
      </c>
      <c r="U10" s="155">
        <v>1500</v>
      </c>
      <c r="V10" s="155">
        <v>2500</v>
      </c>
      <c r="W10" s="155">
        <v>100</v>
      </c>
      <c r="X10" s="155">
        <v>100</v>
      </c>
      <c r="Y10" s="155">
        <v>100</v>
      </c>
      <c r="Z10" s="155">
        <v>1000</v>
      </c>
      <c r="AA10" s="155">
        <v>800</v>
      </c>
      <c r="AB10" s="174" cm="1">
        <f t="array" ref="AB10">SUMPRODUCT(O10:AA10/SUM(O10:AA10),$O$4:$AA$4)</f>
        <v>28.25</v>
      </c>
      <c r="AC10" s="153" t="s">
        <v>151</v>
      </c>
      <c r="AD10" s="155">
        <v>0</v>
      </c>
      <c r="AE10" s="155">
        <v>0</v>
      </c>
      <c r="AF10" s="155">
        <v>1000</v>
      </c>
      <c r="AG10" s="155">
        <v>1500</v>
      </c>
      <c r="AH10" s="155">
        <v>2500</v>
      </c>
      <c r="AI10" s="155">
        <v>4000</v>
      </c>
      <c r="AJ10" s="155">
        <v>10000</v>
      </c>
      <c r="AK10" s="155">
        <v>10000</v>
      </c>
      <c r="AL10" s="155">
        <v>10000</v>
      </c>
    </row>
    <row r="11" spans="2:38" ht="15.6" customHeight="1">
      <c r="B11" s="153">
        <v>6</v>
      </c>
      <c r="C11" s="165">
        <v>2</v>
      </c>
      <c r="D11" s="165">
        <v>2</v>
      </c>
      <c r="E11" s="165">
        <v>1</v>
      </c>
      <c r="F11" s="165">
        <v>2</v>
      </c>
      <c r="G11" s="165">
        <v>2</v>
      </c>
      <c r="I11" s="145" t="s">
        <v>154</v>
      </c>
      <c r="J11" s="146" t="s">
        <v>109</v>
      </c>
      <c r="K11" s="146" t="s">
        <v>169</v>
      </c>
      <c r="N11" s="153" t="s">
        <v>166</v>
      </c>
      <c r="O11" s="169">
        <v>0</v>
      </c>
      <c r="P11" s="169">
        <v>0</v>
      </c>
      <c r="Q11" s="169">
        <v>0</v>
      </c>
      <c r="R11" s="169">
        <v>0</v>
      </c>
      <c r="S11" s="169">
        <v>0</v>
      </c>
      <c r="T11" s="155">
        <f t="shared" si="0"/>
        <v>10000</v>
      </c>
      <c r="U11" s="155">
        <v>0</v>
      </c>
      <c r="V11" s="155">
        <v>0</v>
      </c>
      <c r="W11" s="155">
        <v>0</v>
      </c>
      <c r="X11" s="155">
        <v>0</v>
      </c>
      <c r="Y11" s="155">
        <v>0</v>
      </c>
      <c r="Z11" s="155">
        <v>0</v>
      </c>
      <c r="AA11" s="155">
        <v>0</v>
      </c>
      <c r="AB11" s="174" cm="1">
        <f t="array" ref="AB11">SUMPRODUCT(O11:AA11/SUM(O11:AA11),$O$4:$AA$4)</f>
        <v>10</v>
      </c>
      <c r="AC11" s="153" t="s">
        <v>166</v>
      </c>
      <c r="AD11" s="169">
        <v>0</v>
      </c>
      <c r="AE11" s="169">
        <v>0</v>
      </c>
      <c r="AF11" s="169">
        <v>0</v>
      </c>
      <c r="AG11" s="169">
        <v>0</v>
      </c>
      <c r="AH11" s="169">
        <v>0</v>
      </c>
      <c r="AI11" s="169">
        <v>0</v>
      </c>
      <c r="AJ11" s="169">
        <v>0</v>
      </c>
      <c r="AK11" s="169">
        <v>0</v>
      </c>
      <c r="AL11" s="169">
        <v>0</v>
      </c>
    </row>
    <row r="12" spans="2:38" ht="15.6" customHeight="1">
      <c r="B12" s="153">
        <v>7</v>
      </c>
      <c r="C12" s="165">
        <v>1</v>
      </c>
      <c r="D12" s="165">
        <v>2</v>
      </c>
      <c r="E12" s="165">
        <v>2</v>
      </c>
      <c r="F12" s="165">
        <v>2</v>
      </c>
      <c r="G12" s="165">
        <v>1</v>
      </c>
      <c r="I12" s="133" t="s">
        <v>148</v>
      </c>
      <c r="J12" s="147">
        <f>10000-SUM(J13:J14)</f>
        <v>10000</v>
      </c>
      <c r="K12" s="161"/>
      <c r="L12" s="151" cm="1">
        <f t="array" ref="L12:L14">J12:J14/SUM(J15)</f>
        <v>1</v>
      </c>
    </row>
    <row r="13" spans="2:38" ht="15.6" customHeight="1">
      <c r="B13" s="153">
        <v>8</v>
      </c>
      <c r="C13" s="165">
        <v>1</v>
      </c>
      <c r="D13" s="165">
        <v>0</v>
      </c>
      <c r="E13" s="165">
        <v>0</v>
      </c>
      <c r="F13" s="165">
        <v>0</v>
      </c>
      <c r="G13" s="165">
        <v>1</v>
      </c>
      <c r="I13" s="133" t="s">
        <v>150</v>
      </c>
      <c r="J13" s="148">
        <v>0</v>
      </c>
      <c r="K13" s="162"/>
      <c r="L13" s="151">
        <v>0</v>
      </c>
    </row>
    <row r="14" spans="2:38" ht="15.6" customHeight="1">
      <c r="B14" s="153">
        <v>9</v>
      </c>
      <c r="C14" s="165">
        <v>0</v>
      </c>
      <c r="D14" s="165">
        <v>1</v>
      </c>
      <c r="E14" s="165">
        <v>1</v>
      </c>
      <c r="F14" s="165">
        <v>1</v>
      </c>
      <c r="G14" s="165">
        <v>0</v>
      </c>
      <c r="I14" s="133" t="s">
        <v>152</v>
      </c>
      <c r="J14" s="148">
        <v>0</v>
      </c>
      <c r="K14" s="162"/>
      <c r="L14" s="151">
        <v>0</v>
      </c>
      <c r="N14" s="120" t="s">
        <v>176</v>
      </c>
    </row>
    <row r="15" spans="2:38" ht="15.6" customHeight="1">
      <c r="B15" s="153">
        <v>10</v>
      </c>
      <c r="C15" s="165">
        <v>2</v>
      </c>
      <c r="D15" s="165">
        <v>1</v>
      </c>
      <c r="E15" s="165">
        <v>1</v>
      </c>
      <c r="F15" s="165">
        <v>1</v>
      </c>
      <c r="G15" s="165">
        <v>2</v>
      </c>
      <c r="J15" s="51">
        <f>SUM(J12:J14)</f>
        <v>10000</v>
      </c>
      <c r="K15" s="51">
        <f>SUMPRODUCT(K12:K14,_xlfn.ANCHORARRAY(L12))</f>
        <v>0</v>
      </c>
      <c r="L15" s="152"/>
      <c r="N15" s="154" t="s">
        <v>157</v>
      </c>
      <c r="O15" s="154">
        <v>0</v>
      </c>
      <c r="P15" s="154">
        <v>2</v>
      </c>
      <c r="Q15" s="154">
        <v>3</v>
      </c>
      <c r="R15" s="154">
        <v>5</v>
      </c>
      <c r="S15" s="154">
        <v>8</v>
      </c>
      <c r="T15" s="154">
        <v>10</v>
      </c>
      <c r="U15" s="154">
        <v>15</v>
      </c>
      <c r="V15" s="154">
        <v>20</v>
      </c>
      <c r="W15" s="154">
        <v>25</v>
      </c>
      <c r="X15" s="154">
        <v>35</v>
      </c>
      <c r="Y15" s="154">
        <v>50</v>
      </c>
      <c r="Z15" s="154">
        <v>80</v>
      </c>
      <c r="AA15" s="154">
        <v>100</v>
      </c>
    </row>
    <row r="16" spans="2:38" ht="15.6" customHeight="1">
      <c r="B16" s="153">
        <v>11</v>
      </c>
      <c r="C16" s="165">
        <v>1</v>
      </c>
      <c r="D16" s="165">
        <v>1</v>
      </c>
      <c r="E16" s="165">
        <v>0</v>
      </c>
      <c r="F16" s="165">
        <v>1</v>
      </c>
      <c r="G16" s="165">
        <v>1</v>
      </c>
      <c r="L16" s="152"/>
      <c r="N16" s="170" t="s">
        <v>155</v>
      </c>
      <c r="O16" s="171">
        <f t="shared" ref="O16:O22" si="1">10000-SUM(P16:AA16)</f>
        <v>8100</v>
      </c>
      <c r="P16" s="171">
        <v>600</v>
      </c>
      <c r="Q16" s="171">
        <v>500</v>
      </c>
      <c r="R16" s="171">
        <v>400</v>
      </c>
      <c r="S16" s="171">
        <v>400</v>
      </c>
      <c r="T16" s="171">
        <v>0</v>
      </c>
      <c r="U16" s="171">
        <v>0</v>
      </c>
      <c r="V16" s="171">
        <v>0</v>
      </c>
      <c r="W16" s="171">
        <v>0</v>
      </c>
      <c r="X16" s="171">
        <v>0</v>
      </c>
      <c r="Y16" s="171">
        <v>0</v>
      </c>
      <c r="Z16" s="171">
        <v>0</v>
      </c>
      <c r="AA16" s="171">
        <v>0</v>
      </c>
      <c r="AB16" s="174" cm="1">
        <f t="array" ref="AB16">SUMPRODUCT(O16:AA16/SUM(O16:AA16),$O$4:$AA$4)</f>
        <v>0.79</v>
      </c>
      <c r="AD16" s="173"/>
      <c r="AE16" s="173"/>
    </row>
    <row r="17" spans="2:31" ht="15.6" customHeight="1">
      <c r="B17" s="153">
        <v>12</v>
      </c>
      <c r="C17" s="165">
        <v>1</v>
      </c>
      <c r="D17" s="165">
        <v>1</v>
      </c>
      <c r="E17" s="165">
        <v>2</v>
      </c>
      <c r="F17" s="165">
        <v>1</v>
      </c>
      <c r="G17" s="165">
        <v>1</v>
      </c>
      <c r="I17" s="17" t="s">
        <v>165</v>
      </c>
      <c r="J17" s="17"/>
      <c r="K17" s="17"/>
      <c r="L17" s="152"/>
      <c r="N17" s="153" t="s">
        <v>156</v>
      </c>
      <c r="O17" s="169">
        <f t="shared" si="1"/>
        <v>0</v>
      </c>
      <c r="P17" s="155">
        <f>10000-SUM(Q17:AA17)</f>
        <v>3200</v>
      </c>
      <c r="Q17" s="155">
        <v>2600</v>
      </c>
      <c r="R17" s="155">
        <v>2100</v>
      </c>
      <c r="S17" s="155">
        <v>2100</v>
      </c>
      <c r="T17" s="155">
        <v>0</v>
      </c>
      <c r="U17" s="171">
        <v>0</v>
      </c>
      <c r="V17" s="171">
        <v>0</v>
      </c>
      <c r="W17" s="171">
        <v>0</v>
      </c>
      <c r="X17" s="171">
        <v>0</v>
      </c>
      <c r="Y17" s="171">
        <v>0</v>
      </c>
      <c r="Z17" s="171">
        <v>0</v>
      </c>
      <c r="AA17" s="171">
        <v>0</v>
      </c>
      <c r="AB17" s="174" cm="1">
        <f t="array" ref="AB17">SUMPRODUCT(O17:AA17/SUM(O17:AA17),$O$4:$AA$4)</f>
        <v>4.1499999999999995</v>
      </c>
      <c r="AD17" s="173"/>
      <c r="AE17" s="173"/>
    </row>
    <row r="18" spans="2:31" ht="15.6" customHeight="1">
      <c r="B18" s="153">
        <v>13</v>
      </c>
      <c r="C18" s="165">
        <v>1</v>
      </c>
      <c r="D18" s="165">
        <v>0</v>
      </c>
      <c r="E18" s="165">
        <v>1</v>
      </c>
      <c r="F18" s="165">
        <v>0</v>
      </c>
      <c r="G18" s="165">
        <v>1</v>
      </c>
      <c r="I18" s="145" t="s">
        <v>154</v>
      </c>
      <c r="J18" s="146" t="s">
        <v>109</v>
      </c>
      <c r="K18" s="146" t="s">
        <v>169</v>
      </c>
      <c r="N18" s="153" t="s">
        <v>167</v>
      </c>
      <c r="O18" s="155">
        <f t="shared" si="1"/>
        <v>8100</v>
      </c>
      <c r="P18" s="171">
        <v>800</v>
      </c>
      <c r="Q18" s="171">
        <v>700</v>
      </c>
      <c r="R18" s="171">
        <v>400</v>
      </c>
      <c r="S18" s="172">
        <v>0</v>
      </c>
      <c r="T18" s="172">
        <v>0</v>
      </c>
      <c r="U18" s="172">
        <v>0</v>
      </c>
      <c r="V18" s="172">
        <v>0</v>
      </c>
      <c r="W18" s="172">
        <v>0</v>
      </c>
      <c r="X18" s="172">
        <v>0</v>
      </c>
      <c r="Y18" s="172">
        <v>0</v>
      </c>
      <c r="Z18" s="172">
        <v>0</v>
      </c>
      <c r="AA18" s="172">
        <v>0</v>
      </c>
      <c r="AB18" s="174" cm="1">
        <f t="array" ref="AB18">SUMPRODUCT(O18:AA18/SUM(O18:AA18),$O$4:$AA$4)</f>
        <v>0.57000000000000006</v>
      </c>
      <c r="AD18" s="173"/>
      <c r="AE18" s="173"/>
    </row>
    <row r="19" spans="2:31" ht="15.6" customHeight="1">
      <c r="B19" s="153">
        <v>14</v>
      </c>
      <c r="C19" s="165">
        <v>1</v>
      </c>
      <c r="D19" s="165">
        <v>2</v>
      </c>
      <c r="E19" s="165">
        <v>1</v>
      </c>
      <c r="F19" s="165">
        <v>2</v>
      </c>
      <c r="G19" s="165">
        <v>1</v>
      </c>
      <c r="I19" s="133" t="s">
        <v>148</v>
      </c>
      <c r="J19" s="147">
        <f>10000-SUM(J20:J21)</f>
        <v>10000</v>
      </c>
      <c r="K19" s="161"/>
      <c r="L19" s="151" cm="1">
        <f t="array" ref="L19:L21">J19:J21/SUM(J22)</f>
        <v>1</v>
      </c>
      <c r="N19" s="153" t="s">
        <v>147</v>
      </c>
      <c r="O19" s="169">
        <f t="shared" si="1"/>
        <v>0</v>
      </c>
      <c r="P19" s="155">
        <f>10000-SUM(Q19:AA19)</f>
        <v>6440</v>
      </c>
      <c r="Q19" s="155">
        <v>2600</v>
      </c>
      <c r="R19" s="155">
        <v>660</v>
      </c>
      <c r="S19" s="155">
        <v>300</v>
      </c>
      <c r="T19" s="155">
        <v>0</v>
      </c>
      <c r="U19" s="155">
        <v>0</v>
      </c>
      <c r="V19" s="155">
        <v>0</v>
      </c>
      <c r="W19" s="155">
        <v>0</v>
      </c>
      <c r="X19" s="155">
        <v>0</v>
      </c>
      <c r="Y19" s="155">
        <v>0</v>
      </c>
      <c r="Z19" s="155">
        <v>0</v>
      </c>
      <c r="AA19" s="155">
        <v>0</v>
      </c>
      <c r="AB19" s="174" cm="1">
        <f t="array" ref="AB19">SUMPRODUCT(O19:AA19/SUM(O19:AA19),$O$4:$AA$4)</f>
        <v>2.6379999999999999</v>
      </c>
      <c r="AD19" s="173"/>
      <c r="AE19" s="173"/>
    </row>
    <row r="20" spans="2:31" ht="15.6" customHeight="1">
      <c r="B20" s="153">
        <v>15</v>
      </c>
      <c r="C20" s="165">
        <v>0</v>
      </c>
      <c r="D20" s="165">
        <v>1</v>
      </c>
      <c r="E20" s="165">
        <v>0</v>
      </c>
      <c r="F20" s="165">
        <v>1</v>
      </c>
      <c r="G20" s="165">
        <v>0</v>
      </c>
      <c r="I20" s="133" t="s">
        <v>150</v>
      </c>
      <c r="J20" s="148">
        <v>0</v>
      </c>
      <c r="K20" s="162"/>
      <c r="L20" s="151">
        <v>0</v>
      </c>
      <c r="N20" s="153" t="s">
        <v>149</v>
      </c>
      <c r="O20" s="169">
        <f t="shared" si="1"/>
        <v>0</v>
      </c>
      <c r="P20" s="155">
        <f>10000-SUM(Q20:AA20)</f>
        <v>6440</v>
      </c>
      <c r="Q20" s="155">
        <v>2600</v>
      </c>
      <c r="R20" s="155">
        <v>660</v>
      </c>
      <c r="S20" s="155">
        <v>300</v>
      </c>
      <c r="T20" s="155">
        <v>0</v>
      </c>
      <c r="U20" s="155">
        <v>0</v>
      </c>
      <c r="V20" s="155">
        <v>0</v>
      </c>
      <c r="W20" s="155">
        <v>0</v>
      </c>
      <c r="X20" s="155">
        <v>0</v>
      </c>
      <c r="Y20" s="155">
        <v>0</v>
      </c>
      <c r="Z20" s="155">
        <v>0</v>
      </c>
      <c r="AA20" s="155">
        <v>0</v>
      </c>
      <c r="AB20" s="174" cm="1">
        <f t="array" ref="AB20">SUMPRODUCT(O20:AA20/SUM(O20:AA20),$O$4:$AA$4)</f>
        <v>2.6379999999999999</v>
      </c>
      <c r="AD20" s="173"/>
      <c r="AE20" s="173"/>
    </row>
    <row r="21" spans="2:31" ht="15.6" customHeight="1">
      <c r="B21" s="153">
        <v>16</v>
      </c>
      <c r="C21" s="165">
        <v>2</v>
      </c>
      <c r="D21" s="165">
        <v>1</v>
      </c>
      <c r="E21" s="165">
        <v>2</v>
      </c>
      <c r="F21" s="165">
        <v>1</v>
      </c>
      <c r="G21" s="165">
        <v>2</v>
      </c>
      <c r="I21" s="133" t="s">
        <v>152</v>
      </c>
      <c r="J21" s="148">
        <v>0</v>
      </c>
      <c r="K21" s="162"/>
      <c r="L21" s="151">
        <v>0</v>
      </c>
      <c r="N21" s="153" t="s">
        <v>151</v>
      </c>
      <c r="O21" s="169">
        <f t="shared" si="1"/>
        <v>0</v>
      </c>
      <c r="P21" s="155">
        <f>10000-SUM(Q21:AA21)</f>
        <v>6440</v>
      </c>
      <c r="Q21" s="155">
        <v>2600</v>
      </c>
      <c r="R21" s="155">
        <v>660</v>
      </c>
      <c r="S21" s="155">
        <v>300</v>
      </c>
      <c r="T21" s="155">
        <v>0</v>
      </c>
      <c r="U21" s="155">
        <v>0</v>
      </c>
      <c r="V21" s="155">
        <v>0</v>
      </c>
      <c r="W21" s="155">
        <v>0</v>
      </c>
      <c r="X21" s="155">
        <v>0</v>
      </c>
      <c r="Y21" s="155">
        <v>0</v>
      </c>
      <c r="Z21" s="155">
        <v>0</v>
      </c>
      <c r="AA21" s="155">
        <v>0</v>
      </c>
      <c r="AB21" s="174" cm="1">
        <f t="array" ref="AB21">SUMPRODUCT(O21:AA21/SUM(O21:AA21),$O$4:$AA$4)</f>
        <v>2.6379999999999999</v>
      </c>
      <c r="AD21" s="173"/>
      <c r="AE21" s="173"/>
    </row>
    <row r="22" spans="2:31" ht="15.6" customHeight="1">
      <c r="B22" s="153">
        <v>17</v>
      </c>
      <c r="C22" s="165">
        <v>0</v>
      </c>
      <c r="D22" s="165">
        <v>0</v>
      </c>
      <c r="E22" s="165">
        <v>1</v>
      </c>
      <c r="F22" s="165">
        <v>2</v>
      </c>
      <c r="G22" s="165">
        <v>2</v>
      </c>
      <c r="J22" s="51">
        <f>SUM(J19:J21)</f>
        <v>10000</v>
      </c>
      <c r="K22" s="51">
        <f>SUMPRODUCT(K19:K21,_xlfn.ANCHORARRAY(L19))</f>
        <v>0</v>
      </c>
      <c r="N22" s="153" t="s">
        <v>166</v>
      </c>
      <c r="O22" s="155">
        <f t="shared" si="1"/>
        <v>8100</v>
      </c>
      <c r="P22" s="171">
        <v>800</v>
      </c>
      <c r="Q22" s="171">
        <v>700</v>
      </c>
      <c r="R22" s="171">
        <v>400</v>
      </c>
      <c r="S22" s="172">
        <v>0</v>
      </c>
      <c r="T22" s="172">
        <v>0</v>
      </c>
      <c r="U22" s="172">
        <v>0</v>
      </c>
      <c r="V22" s="172">
        <v>0</v>
      </c>
      <c r="W22" s="172">
        <v>0</v>
      </c>
      <c r="X22" s="172">
        <v>0</v>
      </c>
      <c r="Y22" s="172">
        <v>0</v>
      </c>
      <c r="Z22" s="172">
        <v>0</v>
      </c>
      <c r="AA22" s="172">
        <v>0</v>
      </c>
      <c r="AB22" s="174" cm="1">
        <f t="array" ref="AB22">SUMPRODUCT(O22:AA22/SUM(O22:AA22),$O$4:$AA$4)</f>
        <v>0.57000000000000006</v>
      </c>
      <c r="AD22" s="173"/>
      <c r="AE22" s="173"/>
    </row>
    <row r="23" spans="2:31" ht="15.6" customHeight="1">
      <c r="B23" s="153">
        <v>18</v>
      </c>
      <c r="C23" s="165">
        <v>2</v>
      </c>
      <c r="D23" s="165">
        <v>2</v>
      </c>
      <c r="E23" s="165">
        <v>1</v>
      </c>
      <c r="F23" s="165">
        <v>0</v>
      </c>
      <c r="G23" s="165">
        <v>0</v>
      </c>
    </row>
    <row r="24" spans="2:31" ht="15.6" customHeight="1">
      <c r="B24" s="153">
        <v>19</v>
      </c>
      <c r="C24" s="165">
        <v>0</v>
      </c>
      <c r="D24" s="165">
        <v>2</v>
      </c>
      <c r="E24" s="165">
        <v>0</v>
      </c>
      <c r="F24" s="165">
        <v>2</v>
      </c>
      <c r="G24" s="165">
        <v>0</v>
      </c>
      <c r="I24" s="120" t="s">
        <v>171</v>
      </c>
    </row>
    <row r="25" spans="2:31" ht="15.6" customHeight="1">
      <c r="I25" s="154" t="s">
        <v>170</v>
      </c>
      <c r="N25" s="120" t="s">
        <v>177</v>
      </c>
    </row>
    <row r="26" spans="2:31" ht="15.6" customHeight="1">
      <c r="I26" s="163">
        <v>0</v>
      </c>
      <c r="N26" s="154" t="s">
        <v>157</v>
      </c>
      <c r="O26" s="154">
        <v>0</v>
      </c>
      <c r="P26" s="154">
        <v>2</v>
      </c>
      <c r="Q26" s="154">
        <v>3</v>
      </c>
      <c r="R26" s="154">
        <v>5</v>
      </c>
      <c r="S26" s="154">
        <v>8</v>
      </c>
      <c r="T26" s="154">
        <v>10</v>
      </c>
      <c r="U26" s="154">
        <v>15</v>
      </c>
      <c r="V26" s="154">
        <v>20</v>
      </c>
      <c r="W26" s="154">
        <v>25</v>
      </c>
      <c r="X26" s="154">
        <v>35</v>
      </c>
      <c r="Y26" s="154">
        <v>50</v>
      </c>
      <c r="Z26" s="154">
        <v>80</v>
      </c>
      <c r="AA26" s="154">
        <v>100</v>
      </c>
    </row>
    <row r="27" spans="2:31" ht="15.6" customHeight="1">
      <c r="I27" s="164">
        <v>2</v>
      </c>
      <c r="N27" s="170" t="s">
        <v>155</v>
      </c>
      <c r="O27" s="171">
        <f t="shared" ref="O27:O33" si="2">10000-SUM(P27:AA27)</f>
        <v>8700</v>
      </c>
      <c r="P27" s="171">
        <v>500</v>
      </c>
      <c r="Q27" s="171">
        <v>400</v>
      </c>
      <c r="R27" s="171">
        <v>200</v>
      </c>
      <c r="S27" s="171">
        <v>200</v>
      </c>
      <c r="T27" s="171">
        <v>0</v>
      </c>
      <c r="U27" s="171">
        <v>0</v>
      </c>
      <c r="V27" s="171">
        <v>0</v>
      </c>
      <c r="W27" s="171">
        <v>0</v>
      </c>
      <c r="X27" s="171">
        <v>0</v>
      </c>
      <c r="Y27" s="171">
        <v>0</v>
      </c>
      <c r="Z27" s="171">
        <v>0</v>
      </c>
      <c r="AA27" s="171">
        <v>0</v>
      </c>
      <c r="AB27" s="174" cm="1">
        <f t="array" ref="AB27">SUMPRODUCT(O27:AA27/SUM(O27:AA27),$O$4:$AA$4)</f>
        <v>0.48</v>
      </c>
      <c r="AD27" s="173"/>
      <c r="AE27" s="173"/>
    </row>
    <row r="28" spans="2:31">
      <c r="I28" s="164">
        <v>3</v>
      </c>
      <c r="N28" s="153" t="s">
        <v>156</v>
      </c>
      <c r="O28" s="169">
        <f t="shared" si="2"/>
        <v>0</v>
      </c>
      <c r="P28" s="155">
        <f>10000-SUM(Q28:AA28)</f>
        <v>4400</v>
      </c>
      <c r="Q28" s="155">
        <v>2600</v>
      </c>
      <c r="R28" s="155">
        <v>1500</v>
      </c>
      <c r="S28" s="155">
        <v>1500</v>
      </c>
      <c r="T28" s="155">
        <v>0</v>
      </c>
      <c r="U28" s="171">
        <v>0</v>
      </c>
      <c r="V28" s="171">
        <v>0</v>
      </c>
      <c r="W28" s="171">
        <v>0</v>
      </c>
      <c r="X28" s="171">
        <v>0</v>
      </c>
      <c r="Y28" s="171">
        <v>0</v>
      </c>
      <c r="Z28" s="171">
        <v>0</v>
      </c>
      <c r="AA28" s="171">
        <v>0</v>
      </c>
      <c r="AB28" s="174" cm="1">
        <f t="array" ref="AB28">SUMPRODUCT(O28:AA28/SUM(O28:AA28),$O$4:$AA$4)</f>
        <v>3.6100000000000003</v>
      </c>
      <c r="AD28" s="173"/>
      <c r="AE28" s="173"/>
    </row>
    <row r="29" spans="2:31">
      <c r="I29" s="164">
        <v>5</v>
      </c>
      <c r="N29" s="153" t="s">
        <v>167</v>
      </c>
      <c r="O29" s="155">
        <f t="shared" si="2"/>
        <v>8100</v>
      </c>
      <c r="P29" s="171">
        <v>800</v>
      </c>
      <c r="Q29" s="171">
        <v>700</v>
      </c>
      <c r="R29" s="171">
        <v>400</v>
      </c>
      <c r="S29" s="172">
        <v>0</v>
      </c>
      <c r="T29" s="172">
        <v>0</v>
      </c>
      <c r="U29" s="172">
        <v>0</v>
      </c>
      <c r="V29" s="172">
        <v>0</v>
      </c>
      <c r="W29" s="172">
        <v>0</v>
      </c>
      <c r="X29" s="172">
        <v>0</v>
      </c>
      <c r="Y29" s="172">
        <v>0</v>
      </c>
      <c r="Z29" s="172">
        <v>0</v>
      </c>
      <c r="AA29" s="172">
        <v>0</v>
      </c>
      <c r="AB29" s="174" cm="1">
        <f t="array" ref="AB29">SUMPRODUCT(O29:AA29/SUM(O29:AA29),$O$4:$AA$4)</f>
        <v>0.57000000000000006</v>
      </c>
      <c r="AD29" s="173"/>
      <c r="AE29" s="173"/>
    </row>
    <row r="30" spans="2:31">
      <c r="I30" s="164">
        <v>8</v>
      </c>
      <c r="N30" s="153" t="s">
        <v>147</v>
      </c>
      <c r="O30" s="169">
        <f t="shared" si="2"/>
        <v>0</v>
      </c>
      <c r="P30" s="155">
        <f>10000-SUM(Q30:AA30)</f>
        <v>7100</v>
      </c>
      <c r="Q30" s="155">
        <v>2500</v>
      </c>
      <c r="R30" s="155">
        <v>300</v>
      </c>
      <c r="S30" s="155">
        <v>100</v>
      </c>
      <c r="T30" s="155">
        <v>0</v>
      </c>
      <c r="U30" s="155">
        <v>0</v>
      </c>
      <c r="V30" s="155">
        <v>0</v>
      </c>
      <c r="W30" s="155">
        <v>0</v>
      </c>
      <c r="X30" s="155">
        <v>0</v>
      </c>
      <c r="Y30" s="155">
        <v>0</v>
      </c>
      <c r="Z30" s="155">
        <v>0</v>
      </c>
      <c r="AA30" s="155">
        <v>0</v>
      </c>
      <c r="AB30" s="174" cm="1">
        <f t="array" ref="AB30">SUMPRODUCT(O30:AA30/SUM(O30:AA30),$O$4:$AA$4)</f>
        <v>2.4</v>
      </c>
      <c r="AD30" s="173"/>
      <c r="AE30" s="173"/>
    </row>
    <row r="31" spans="2:31">
      <c r="I31" s="164">
        <v>10</v>
      </c>
      <c r="N31" s="153" t="s">
        <v>149</v>
      </c>
      <c r="O31" s="169">
        <f t="shared" si="2"/>
        <v>0</v>
      </c>
      <c r="P31" s="155">
        <f>10000-SUM(Q31:AA31)</f>
        <v>7100</v>
      </c>
      <c r="Q31" s="155">
        <v>2500</v>
      </c>
      <c r="R31" s="155">
        <v>300</v>
      </c>
      <c r="S31" s="155">
        <v>100</v>
      </c>
      <c r="T31" s="155">
        <v>0</v>
      </c>
      <c r="U31" s="155">
        <v>0</v>
      </c>
      <c r="V31" s="155">
        <v>0</v>
      </c>
      <c r="W31" s="155">
        <v>0</v>
      </c>
      <c r="X31" s="155">
        <v>0</v>
      </c>
      <c r="Y31" s="155">
        <v>0</v>
      </c>
      <c r="Z31" s="155">
        <v>0</v>
      </c>
      <c r="AA31" s="155">
        <v>0</v>
      </c>
      <c r="AB31" s="174" cm="1">
        <f t="array" ref="AB31">SUMPRODUCT(O31:AA31/SUM(O31:AA31),$O$4:$AA$4)</f>
        <v>2.4</v>
      </c>
      <c r="AD31" s="173"/>
      <c r="AE31" s="173"/>
    </row>
    <row r="32" spans="2:31">
      <c r="I32" s="164">
        <v>15</v>
      </c>
      <c r="N32" s="153" t="s">
        <v>151</v>
      </c>
      <c r="O32" s="169">
        <f t="shared" si="2"/>
        <v>0</v>
      </c>
      <c r="P32" s="155">
        <f>10000-SUM(Q32:AA32)</f>
        <v>7100</v>
      </c>
      <c r="Q32" s="155">
        <v>2500</v>
      </c>
      <c r="R32" s="155">
        <v>300</v>
      </c>
      <c r="S32" s="155">
        <v>100</v>
      </c>
      <c r="T32" s="155">
        <v>0</v>
      </c>
      <c r="U32" s="155">
        <v>0</v>
      </c>
      <c r="V32" s="155">
        <v>0</v>
      </c>
      <c r="W32" s="155">
        <v>0</v>
      </c>
      <c r="X32" s="155">
        <v>0</v>
      </c>
      <c r="Y32" s="155">
        <v>0</v>
      </c>
      <c r="Z32" s="155">
        <v>0</v>
      </c>
      <c r="AA32" s="155">
        <v>0</v>
      </c>
      <c r="AB32" s="174" cm="1">
        <f t="array" ref="AB32">SUMPRODUCT(O32:AA32/SUM(O32:AA32),$O$4:$AA$4)</f>
        <v>2.4</v>
      </c>
      <c r="AD32" s="173"/>
      <c r="AE32" s="173"/>
    </row>
    <row r="33" spans="9:31">
      <c r="I33" s="164">
        <v>20</v>
      </c>
      <c r="N33" s="153" t="s">
        <v>166</v>
      </c>
      <c r="O33" s="155">
        <f t="shared" si="2"/>
        <v>8100</v>
      </c>
      <c r="P33" s="171">
        <v>800</v>
      </c>
      <c r="Q33" s="171">
        <v>700</v>
      </c>
      <c r="R33" s="171">
        <v>400</v>
      </c>
      <c r="S33" s="172">
        <v>0</v>
      </c>
      <c r="T33" s="172">
        <v>0</v>
      </c>
      <c r="U33" s="172">
        <v>0</v>
      </c>
      <c r="V33" s="172">
        <v>0</v>
      </c>
      <c r="W33" s="172">
        <v>0</v>
      </c>
      <c r="X33" s="172">
        <v>0</v>
      </c>
      <c r="Y33" s="172">
        <v>0</v>
      </c>
      <c r="Z33" s="172">
        <v>0</v>
      </c>
      <c r="AA33" s="172">
        <v>0</v>
      </c>
      <c r="AB33" s="174" cm="1">
        <f t="array" ref="AB33">SUMPRODUCT(O33:AA33/SUM(O33:AA33),$O$4:$AA$4)</f>
        <v>0.57000000000000006</v>
      </c>
      <c r="AD33" s="173"/>
      <c r="AE33" s="173"/>
    </row>
    <row r="34" spans="9:31">
      <c r="I34" s="164">
        <v>25</v>
      </c>
    </row>
    <row r="35" spans="9:31">
      <c r="I35" s="164">
        <v>35</v>
      </c>
      <c r="T35" s="120">
        <v>10</v>
      </c>
      <c r="U35" s="120">
        <v>60</v>
      </c>
      <c r="V35" s="120">
        <v>30</v>
      </c>
      <c r="W35" s="120">
        <v>20</v>
      </c>
      <c r="X35" s="120">
        <v>20</v>
      </c>
      <c r="Y35" s="120">
        <v>10</v>
      </c>
      <c r="Z35" s="120">
        <v>50</v>
      </c>
    </row>
    <row r="36" spans="9:31">
      <c r="I36" s="164">
        <v>50</v>
      </c>
      <c r="N36" s="120" t="s">
        <v>162</v>
      </c>
    </row>
    <row r="37" spans="9:31">
      <c r="I37" s="164">
        <v>80</v>
      </c>
      <c r="N37" s="154" t="s">
        <v>157</v>
      </c>
      <c r="O37" s="154">
        <v>0</v>
      </c>
      <c r="P37" s="154">
        <v>2</v>
      </c>
      <c r="Q37" s="154">
        <v>3</v>
      </c>
      <c r="R37" s="154">
        <v>5</v>
      </c>
      <c r="S37" s="154">
        <v>8</v>
      </c>
      <c r="T37" s="154">
        <v>10</v>
      </c>
      <c r="U37" s="154">
        <v>15</v>
      </c>
      <c r="V37" s="154">
        <v>20</v>
      </c>
      <c r="W37" s="154">
        <v>25</v>
      </c>
      <c r="X37" s="154">
        <v>35</v>
      </c>
      <c r="Y37" s="154">
        <v>50</v>
      </c>
      <c r="Z37" s="154">
        <v>80</v>
      </c>
      <c r="AA37" s="154">
        <v>100</v>
      </c>
    </row>
    <row r="38" spans="9:31">
      <c r="I38" s="164">
        <v>100</v>
      </c>
      <c r="N38" s="153" t="s">
        <v>155</v>
      </c>
      <c r="O38" s="171">
        <f t="shared" ref="O38:O44" si="3">10000-SUM(P38:AA38)</f>
        <v>8100</v>
      </c>
      <c r="P38" s="171">
        <v>600</v>
      </c>
      <c r="Q38" s="171">
        <v>500</v>
      </c>
      <c r="R38" s="171">
        <v>400</v>
      </c>
      <c r="S38" s="171">
        <v>400</v>
      </c>
      <c r="T38" s="171">
        <v>0</v>
      </c>
      <c r="U38" s="171">
        <v>0</v>
      </c>
      <c r="V38" s="171">
        <v>0</v>
      </c>
      <c r="W38" s="171">
        <v>0</v>
      </c>
      <c r="X38" s="171">
        <v>0</v>
      </c>
      <c r="Y38" s="171">
        <v>0</v>
      </c>
      <c r="Z38" s="171">
        <v>0</v>
      </c>
      <c r="AA38" s="171">
        <v>0</v>
      </c>
      <c r="AB38" s="174" cm="1">
        <f t="array" ref="AB38">SUMPRODUCT(O38:AA38/SUM(O38:AA38),$O$4:$AA$4)</f>
        <v>0.79</v>
      </c>
      <c r="AC38" s="174"/>
      <c r="AD38" s="173"/>
      <c r="AE38" s="173"/>
    </row>
    <row r="39" spans="9:31">
      <c r="N39" s="153" t="s">
        <v>156</v>
      </c>
      <c r="O39" s="171">
        <f t="shared" si="3"/>
        <v>8100</v>
      </c>
      <c r="P39" s="171">
        <v>600</v>
      </c>
      <c r="Q39" s="171">
        <v>500</v>
      </c>
      <c r="R39" s="171">
        <v>400</v>
      </c>
      <c r="S39" s="171">
        <v>400</v>
      </c>
      <c r="T39" s="171">
        <v>0</v>
      </c>
      <c r="U39" s="171">
        <v>0</v>
      </c>
      <c r="V39" s="171">
        <v>0</v>
      </c>
      <c r="W39" s="171">
        <v>0</v>
      </c>
      <c r="X39" s="171">
        <v>0</v>
      </c>
      <c r="Y39" s="171">
        <v>0</v>
      </c>
      <c r="Z39" s="171">
        <v>0</v>
      </c>
      <c r="AA39" s="171">
        <v>0</v>
      </c>
      <c r="AB39" s="174" cm="1">
        <f t="array" ref="AB39">SUMPRODUCT(O39:AA39/SUM(O39:AA39),$O$4:$AA$4)</f>
        <v>0.79</v>
      </c>
      <c r="AC39" s="174"/>
      <c r="AD39" s="173"/>
      <c r="AE39" s="173"/>
    </row>
    <row r="40" spans="9:31">
      <c r="N40" s="153" t="s">
        <v>167</v>
      </c>
      <c r="O40" s="155">
        <f t="shared" si="3"/>
        <v>8100</v>
      </c>
      <c r="P40" s="171">
        <v>800</v>
      </c>
      <c r="Q40" s="171">
        <v>700</v>
      </c>
      <c r="R40" s="171">
        <v>400</v>
      </c>
      <c r="S40" s="171">
        <v>0</v>
      </c>
      <c r="T40" s="171">
        <v>0</v>
      </c>
      <c r="U40" s="171">
        <v>0</v>
      </c>
      <c r="V40" s="171">
        <v>0</v>
      </c>
      <c r="W40" s="171">
        <v>0</v>
      </c>
      <c r="X40" s="171">
        <v>0</v>
      </c>
      <c r="Y40" s="171">
        <v>0</v>
      </c>
      <c r="Z40" s="171">
        <v>0</v>
      </c>
      <c r="AA40" s="171">
        <v>0</v>
      </c>
      <c r="AB40" s="174" cm="1">
        <f t="array" ref="AB40">SUMPRODUCT(O40:AA40/SUM(O40:AA40),$O$4:$AA$4)</f>
        <v>0.57000000000000006</v>
      </c>
      <c r="AC40" s="174"/>
      <c r="AD40" s="173"/>
      <c r="AE40" s="173"/>
    </row>
    <row r="41" spans="9:31">
      <c r="I41" s="17" t="s">
        <v>174</v>
      </c>
      <c r="J41" s="17"/>
      <c r="K41" s="17"/>
      <c r="N41" s="153" t="s">
        <v>147</v>
      </c>
      <c r="O41" s="155">
        <f t="shared" si="3"/>
        <v>6500</v>
      </c>
      <c r="P41" s="155">
        <v>2100</v>
      </c>
      <c r="Q41" s="155">
        <v>1000</v>
      </c>
      <c r="R41" s="155">
        <v>200</v>
      </c>
      <c r="S41" s="155">
        <v>200</v>
      </c>
      <c r="T41" s="155">
        <v>0</v>
      </c>
      <c r="U41" s="155">
        <v>0</v>
      </c>
      <c r="V41" s="155">
        <v>0</v>
      </c>
      <c r="W41" s="155">
        <v>0</v>
      </c>
      <c r="X41" s="155">
        <v>0</v>
      </c>
      <c r="Y41" s="155">
        <v>0</v>
      </c>
      <c r="Z41" s="155">
        <v>0</v>
      </c>
      <c r="AA41" s="155">
        <v>0</v>
      </c>
      <c r="AB41" s="174" cm="1">
        <f t="array" ref="AB41">SUMPRODUCT(O41:AA41/SUM(O41:AA41),$O$4:$AA$4)</f>
        <v>0.98</v>
      </c>
      <c r="AC41" s="174"/>
      <c r="AD41" s="173"/>
      <c r="AE41" s="173"/>
    </row>
    <row r="42" spans="9:31">
      <c r="I42" s="145"/>
      <c r="J42" s="146" t="s">
        <v>175</v>
      </c>
      <c r="K42" s="146" t="s">
        <v>107</v>
      </c>
      <c r="N42" s="153" t="s">
        <v>149</v>
      </c>
      <c r="O42" s="155">
        <f t="shared" si="3"/>
        <v>6500</v>
      </c>
      <c r="P42" s="155">
        <v>2100</v>
      </c>
      <c r="Q42" s="155">
        <v>1000</v>
      </c>
      <c r="R42" s="155">
        <v>200</v>
      </c>
      <c r="S42" s="155">
        <v>200</v>
      </c>
      <c r="T42" s="155">
        <v>0</v>
      </c>
      <c r="U42" s="155">
        <v>0</v>
      </c>
      <c r="V42" s="155">
        <v>0</v>
      </c>
      <c r="W42" s="155">
        <v>0</v>
      </c>
      <c r="X42" s="155">
        <v>0</v>
      </c>
      <c r="Y42" s="155">
        <v>0</v>
      </c>
      <c r="Z42" s="155">
        <v>0</v>
      </c>
      <c r="AA42" s="155">
        <v>0</v>
      </c>
      <c r="AB42" s="174" cm="1">
        <f t="array" ref="AB42">SUMPRODUCT(O42:AA42/SUM(O42:AA42),$O$4:$AA$4)</f>
        <v>0.98</v>
      </c>
      <c r="AC42" s="174"/>
      <c r="AD42" s="173"/>
      <c r="AE42" s="173"/>
    </row>
    <row r="43" spans="9:31">
      <c r="I43" s="133" t="s">
        <v>49</v>
      </c>
      <c r="J43" s="147">
        <v>10</v>
      </c>
      <c r="K43" s="147">
        <v>0</v>
      </c>
      <c r="N43" s="153" t="s">
        <v>151</v>
      </c>
      <c r="O43" s="155">
        <f t="shared" si="3"/>
        <v>6500</v>
      </c>
      <c r="P43" s="155">
        <v>2100</v>
      </c>
      <c r="Q43" s="155">
        <v>1000</v>
      </c>
      <c r="R43" s="155">
        <v>200</v>
      </c>
      <c r="S43" s="155">
        <v>200</v>
      </c>
      <c r="T43" s="155">
        <v>0</v>
      </c>
      <c r="U43" s="155">
        <v>0</v>
      </c>
      <c r="V43" s="155">
        <v>0</v>
      </c>
      <c r="W43" s="155">
        <v>0</v>
      </c>
      <c r="X43" s="155">
        <v>0</v>
      </c>
      <c r="Y43" s="155">
        <v>0</v>
      </c>
      <c r="Z43" s="155">
        <v>0</v>
      </c>
      <c r="AA43" s="155">
        <v>0</v>
      </c>
      <c r="AB43" s="174" cm="1">
        <f t="array" ref="AB43">SUMPRODUCT(O43:AA43/SUM(O43:AA43),$O$4:$AA$4)</f>
        <v>0.98</v>
      </c>
      <c r="AC43" s="174"/>
      <c r="AD43" s="173"/>
      <c r="AE43" s="173"/>
    </row>
    <row r="44" spans="9:31">
      <c r="I44" s="133" t="s">
        <v>50</v>
      </c>
      <c r="J44" s="148">
        <v>10</v>
      </c>
      <c r="K44" s="148">
        <v>0</v>
      </c>
      <c r="N44" s="153" t="s">
        <v>166</v>
      </c>
      <c r="O44" s="155">
        <f t="shared" si="3"/>
        <v>8100</v>
      </c>
      <c r="P44" s="171">
        <v>800</v>
      </c>
      <c r="Q44" s="171">
        <v>700</v>
      </c>
      <c r="R44" s="171">
        <v>400</v>
      </c>
      <c r="S44" s="172">
        <v>0</v>
      </c>
      <c r="T44" s="172">
        <v>0</v>
      </c>
      <c r="U44" s="172">
        <v>0</v>
      </c>
      <c r="V44" s="172">
        <v>0</v>
      </c>
      <c r="W44" s="172">
        <v>0</v>
      </c>
      <c r="X44" s="172">
        <v>0</v>
      </c>
      <c r="Y44" s="172">
        <v>0</v>
      </c>
      <c r="Z44" s="172">
        <v>0</v>
      </c>
      <c r="AA44" s="172">
        <v>0</v>
      </c>
      <c r="AB44" s="174" cm="1">
        <f t="array" ref="AB44">SUMPRODUCT(O44:AA44/SUM(O44:AA44),$O$4:$AA$4)</f>
        <v>0.57000000000000006</v>
      </c>
      <c r="AC44" s="174"/>
      <c r="AD44" s="173"/>
      <c r="AE44" s="173"/>
    </row>
    <row r="47" spans="9:31">
      <c r="N47" s="120" t="s">
        <v>161</v>
      </c>
    </row>
    <row r="48" spans="9:31">
      <c r="N48" s="154" t="s">
        <v>157</v>
      </c>
      <c r="O48" s="154">
        <v>0</v>
      </c>
      <c r="P48" s="154">
        <v>2</v>
      </c>
      <c r="Q48" s="154">
        <v>3</v>
      </c>
      <c r="R48" s="154">
        <v>5</v>
      </c>
      <c r="S48" s="154">
        <v>8</v>
      </c>
      <c r="T48" s="154">
        <v>10</v>
      </c>
      <c r="U48" s="154">
        <v>15</v>
      </c>
      <c r="V48" s="154">
        <v>20</v>
      </c>
      <c r="W48" s="154">
        <v>25</v>
      </c>
      <c r="X48" s="154">
        <v>35</v>
      </c>
      <c r="Y48" s="154">
        <v>50</v>
      </c>
      <c r="Z48" s="154">
        <v>80</v>
      </c>
      <c r="AA48" s="154">
        <v>100</v>
      </c>
    </row>
    <row r="49" spans="14:31">
      <c r="N49" s="153" t="s">
        <v>155</v>
      </c>
      <c r="O49" s="171">
        <f t="shared" ref="O49:O55" si="4">10000-SUM(P49:AA49)</f>
        <v>8700</v>
      </c>
      <c r="P49" s="171">
        <v>500</v>
      </c>
      <c r="Q49" s="171">
        <v>400</v>
      </c>
      <c r="R49" s="171">
        <v>200</v>
      </c>
      <c r="S49" s="171">
        <v>200</v>
      </c>
      <c r="T49" s="171">
        <v>0</v>
      </c>
      <c r="U49" s="171">
        <v>0</v>
      </c>
      <c r="V49" s="171">
        <v>0</v>
      </c>
      <c r="W49" s="171">
        <v>0</v>
      </c>
      <c r="X49" s="171">
        <v>0</v>
      </c>
      <c r="Y49" s="171">
        <v>0</v>
      </c>
      <c r="Z49" s="171">
        <v>0</v>
      </c>
      <c r="AA49" s="171">
        <v>0</v>
      </c>
      <c r="AB49" s="174" cm="1">
        <f t="array" ref="AB49">SUMPRODUCT(O49:AA49/SUM(O49:AA49),$O$4:$AA$4)</f>
        <v>0.48</v>
      </c>
      <c r="AC49" s="174"/>
      <c r="AD49" s="173"/>
      <c r="AE49" s="173"/>
    </row>
    <row r="50" spans="14:31">
      <c r="N50" s="153" t="s">
        <v>156</v>
      </c>
      <c r="O50" s="171">
        <f t="shared" si="4"/>
        <v>8700</v>
      </c>
      <c r="P50" s="171">
        <v>500</v>
      </c>
      <c r="Q50" s="171">
        <v>400</v>
      </c>
      <c r="R50" s="171">
        <v>200</v>
      </c>
      <c r="S50" s="171">
        <v>200</v>
      </c>
      <c r="T50" s="171">
        <v>0</v>
      </c>
      <c r="U50" s="171">
        <v>0</v>
      </c>
      <c r="V50" s="171">
        <v>0</v>
      </c>
      <c r="W50" s="171">
        <v>0</v>
      </c>
      <c r="X50" s="171">
        <v>0</v>
      </c>
      <c r="Y50" s="171">
        <v>0</v>
      </c>
      <c r="Z50" s="171">
        <v>0</v>
      </c>
      <c r="AA50" s="171">
        <v>0</v>
      </c>
      <c r="AB50" s="174" cm="1">
        <f t="array" ref="AB50">SUMPRODUCT(O50:AA50/SUM(O50:AA50),$O$4:$AA$4)</f>
        <v>0.48</v>
      </c>
      <c r="AC50" s="174"/>
      <c r="AD50" s="173"/>
      <c r="AE50" s="173"/>
    </row>
    <row r="51" spans="14:31">
      <c r="N51" s="153" t="s">
        <v>167</v>
      </c>
      <c r="O51" s="155">
        <f t="shared" si="4"/>
        <v>8100</v>
      </c>
      <c r="P51" s="171">
        <v>800</v>
      </c>
      <c r="Q51" s="171">
        <v>700</v>
      </c>
      <c r="R51" s="171">
        <v>400</v>
      </c>
      <c r="S51" s="172">
        <v>0</v>
      </c>
      <c r="T51" s="172">
        <v>0</v>
      </c>
      <c r="U51" s="172">
        <v>0</v>
      </c>
      <c r="V51" s="172">
        <v>0</v>
      </c>
      <c r="W51" s="172">
        <v>0</v>
      </c>
      <c r="X51" s="172">
        <v>0</v>
      </c>
      <c r="Y51" s="172">
        <v>0</v>
      </c>
      <c r="Z51" s="172">
        <v>0</v>
      </c>
      <c r="AA51" s="172">
        <v>0</v>
      </c>
      <c r="AB51" s="174" cm="1">
        <f t="array" ref="AB51">SUMPRODUCT(O51:AA51/SUM(O51:AA51),$O$4:$AA$4)</f>
        <v>0.57000000000000006</v>
      </c>
      <c r="AC51" s="174"/>
      <c r="AD51" s="173"/>
      <c r="AE51" s="173"/>
    </row>
    <row r="52" spans="14:31">
      <c r="N52" s="153" t="s">
        <v>147</v>
      </c>
      <c r="O52" s="155">
        <f t="shared" si="4"/>
        <v>6700</v>
      </c>
      <c r="P52" s="155">
        <v>2300</v>
      </c>
      <c r="Q52" s="155">
        <v>800</v>
      </c>
      <c r="R52" s="155">
        <v>100</v>
      </c>
      <c r="S52" s="155">
        <v>100</v>
      </c>
      <c r="T52" s="155">
        <v>0</v>
      </c>
      <c r="U52" s="155">
        <v>0</v>
      </c>
      <c r="V52" s="155">
        <v>0</v>
      </c>
      <c r="W52" s="155">
        <v>0</v>
      </c>
      <c r="X52" s="155">
        <v>0</v>
      </c>
      <c r="Y52" s="155">
        <v>0</v>
      </c>
      <c r="Z52" s="155">
        <v>0</v>
      </c>
      <c r="AA52" s="155">
        <v>0</v>
      </c>
      <c r="AB52" s="174" cm="1">
        <f t="array" ref="AB52">SUMPRODUCT(O52:AA52/SUM(O52:AA52),$O$4:$AA$4)</f>
        <v>0.83</v>
      </c>
      <c r="AC52" s="174"/>
      <c r="AD52" s="173"/>
      <c r="AE52" s="173"/>
    </row>
    <row r="53" spans="14:31">
      <c r="N53" s="153" t="s">
        <v>149</v>
      </c>
      <c r="O53" s="155">
        <f t="shared" si="4"/>
        <v>6700</v>
      </c>
      <c r="P53" s="155">
        <v>2300</v>
      </c>
      <c r="Q53" s="155">
        <v>800</v>
      </c>
      <c r="R53" s="155">
        <v>100</v>
      </c>
      <c r="S53" s="155">
        <v>100</v>
      </c>
      <c r="T53" s="155">
        <v>0</v>
      </c>
      <c r="U53" s="155">
        <v>0</v>
      </c>
      <c r="V53" s="155">
        <v>0</v>
      </c>
      <c r="W53" s="155">
        <v>0</v>
      </c>
      <c r="X53" s="155">
        <v>0</v>
      </c>
      <c r="Y53" s="155">
        <v>0</v>
      </c>
      <c r="Z53" s="155">
        <v>0</v>
      </c>
      <c r="AA53" s="155">
        <v>0</v>
      </c>
      <c r="AB53" s="174" cm="1">
        <f t="array" ref="AB53">SUMPRODUCT(O53:AA53/SUM(O53:AA53),$O$4:$AA$4)</f>
        <v>0.83</v>
      </c>
      <c r="AC53" s="174"/>
      <c r="AD53" s="173"/>
      <c r="AE53" s="173"/>
    </row>
    <row r="54" spans="14:31">
      <c r="N54" s="153" t="s">
        <v>151</v>
      </c>
      <c r="O54" s="155">
        <f t="shared" si="4"/>
        <v>6700</v>
      </c>
      <c r="P54" s="155">
        <v>2300</v>
      </c>
      <c r="Q54" s="155">
        <v>800</v>
      </c>
      <c r="R54" s="155">
        <v>100</v>
      </c>
      <c r="S54" s="155">
        <v>100</v>
      </c>
      <c r="T54" s="155">
        <v>0</v>
      </c>
      <c r="U54" s="155">
        <v>0</v>
      </c>
      <c r="V54" s="155">
        <v>0</v>
      </c>
      <c r="W54" s="155">
        <v>0</v>
      </c>
      <c r="X54" s="155">
        <v>0</v>
      </c>
      <c r="Y54" s="155">
        <v>0</v>
      </c>
      <c r="Z54" s="155">
        <v>0</v>
      </c>
      <c r="AA54" s="155">
        <v>0</v>
      </c>
      <c r="AB54" s="174" cm="1">
        <f t="array" ref="AB54">SUMPRODUCT(O54:AA54/SUM(O54:AA54),$O$4:$AA$4)</f>
        <v>0.83</v>
      </c>
      <c r="AC54" s="174"/>
      <c r="AD54" s="173"/>
      <c r="AE54" s="173"/>
    </row>
    <row r="55" spans="14:31">
      <c r="N55" s="153" t="s">
        <v>166</v>
      </c>
      <c r="O55" s="155">
        <f t="shared" si="4"/>
        <v>8100</v>
      </c>
      <c r="P55" s="171">
        <v>800</v>
      </c>
      <c r="Q55" s="171">
        <v>700</v>
      </c>
      <c r="R55" s="171">
        <v>400</v>
      </c>
      <c r="S55" s="172">
        <v>0</v>
      </c>
      <c r="T55" s="172">
        <v>0</v>
      </c>
      <c r="U55" s="172">
        <v>0</v>
      </c>
      <c r="V55" s="172">
        <v>0</v>
      </c>
      <c r="W55" s="172">
        <v>0</v>
      </c>
      <c r="X55" s="172">
        <v>0</v>
      </c>
      <c r="Y55" s="172">
        <v>0</v>
      </c>
      <c r="Z55" s="172">
        <v>0</v>
      </c>
      <c r="AA55" s="172">
        <v>0</v>
      </c>
      <c r="AB55" s="174" cm="1">
        <f t="array" ref="AB55">SUMPRODUCT(O55:AA55/SUM(O55:AA55),$O$4:$AA$4)</f>
        <v>0.57000000000000006</v>
      </c>
      <c r="AC55" s="174"/>
      <c r="AD55" s="173"/>
      <c r="AE55" s="173"/>
    </row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30" hidden="1"/>
  </sheetData>
  <phoneticPr fontId="2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47F7-A5B5-460F-9F96-2AC271F7062C}">
  <dimension ref="B3:T68"/>
  <sheetViews>
    <sheetView workbookViewId="0">
      <selection activeCell="Q31" sqref="Q31"/>
    </sheetView>
  </sheetViews>
  <sheetFormatPr defaultRowHeight="16.2"/>
  <cols>
    <col min="1" max="1" width="8.88671875" style="24"/>
    <col min="2" max="2" width="27.109375" style="120" bestFit="1" customWidth="1"/>
    <col min="3" max="3" width="16.33203125" style="120" bestFit="1" customWidth="1"/>
    <col min="4" max="4" width="16.33203125" style="120" customWidth="1"/>
    <col min="5" max="6" width="16.33203125" style="120" bestFit="1" customWidth="1"/>
    <col min="8" max="10" width="10.109375" style="24" customWidth="1"/>
    <col min="11" max="12" width="8.88671875" style="24"/>
    <col min="13" max="14" width="10.109375" style="24" customWidth="1"/>
    <col min="15" max="16384" width="8.88671875" style="24"/>
  </cols>
  <sheetData>
    <row r="3" spans="2:14">
      <c r="B3" s="20" t="str" cm="1">
        <f t="array" ref="B3:B68">Multiplier_Weight_Oldhand!H14:H79</f>
        <v>Range</v>
      </c>
      <c r="C3" s="20" t="s">
        <v>247</v>
      </c>
      <c r="D3" s="146" t="s">
        <v>253</v>
      </c>
      <c r="E3" s="20" t="s">
        <v>248</v>
      </c>
      <c r="F3" s="20" t="s">
        <v>249</v>
      </c>
    </row>
    <row r="4" spans="2:14">
      <c r="B4" s="61" t="str">
        <v>(-1, 0]</v>
      </c>
      <c r="C4" s="155" cm="1">
        <f t="array" ref="C4:C68">Multiplier_Weight_Oldhand!L15:L79</f>
        <v>740278469</v>
      </c>
      <c r="D4" s="155">
        <f>SUM($C$4:C4)</f>
        <v>740278469</v>
      </c>
      <c r="E4" s="155" cm="1">
        <f t="array" ref="E4:E67">Multiplier_Weight_Oldhand!L87:L150</f>
        <v>0</v>
      </c>
      <c r="F4" s="155">
        <v>0</v>
      </c>
      <c r="H4" s="24">
        <v>746296</v>
      </c>
      <c r="I4" s="110" cm="1">
        <f t="array" ref="I4:I68">_xlfn.ANCHORARRAY(C4)/SUM(_xlfn.ANCHORARRAY(C4))</f>
        <v>0.74027846900000005</v>
      </c>
      <c r="J4" s="110" cm="1">
        <f t="array" ref="J4:J67">H4:H67/SUM(H4:H67)</f>
        <v>0.74629599999999996</v>
      </c>
      <c r="L4" s="24">
        <v>0</v>
      </c>
      <c r="M4" s="110" cm="1">
        <f t="array" ref="M4:M67">_xlfn.ANCHORARRAY(E4)/SUM(_xlfn.ANCHORARRAY(E4))</f>
        <v>0</v>
      </c>
      <c r="N4" s="110" cm="1">
        <f t="array" ref="N4:N67">L4:L67/SUM(L4:L67)</f>
        <v>0</v>
      </c>
    </row>
    <row r="5" spans="2:14">
      <c r="B5" s="61" t="str">
        <v>(0, 1]</v>
      </c>
      <c r="C5" s="155">
        <v>168065068</v>
      </c>
      <c r="D5" s="155">
        <f>SUM($C$4:C5)</f>
        <v>908343537</v>
      </c>
      <c r="E5" s="155">
        <v>0</v>
      </c>
      <c r="F5" s="155">
        <v>0</v>
      </c>
      <c r="H5" s="24">
        <v>168324</v>
      </c>
      <c r="I5" s="110">
        <v>0.16806506800000001</v>
      </c>
      <c r="J5" s="110">
        <v>0.168324</v>
      </c>
      <c r="L5" s="24">
        <v>0</v>
      </c>
      <c r="M5" s="110">
        <v>0</v>
      </c>
      <c r="N5" s="110">
        <v>0</v>
      </c>
    </row>
    <row r="6" spans="2:14">
      <c r="B6" s="61" t="str">
        <v>(1, 2]</v>
      </c>
      <c r="C6" s="155">
        <v>36253475</v>
      </c>
      <c r="D6" s="155">
        <f>SUM($C$4:C6)</f>
        <v>944597012</v>
      </c>
      <c r="E6" s="155">
        <v>0</v>
      </c>
      <c r="F6" s="155">
        <v>0</v>
      </c>
      <c r="H6" s="24">
        <v>36147</v>
      </c>
      <c r="I6" s="110">
        <v>3.6253475E-2</v>
      </c>
      <c r="J6" s="110">
        <v>3.6146999999999999E-2</v>
      </c>
      <c r="L6" s="24">
        <v>0</v>
      </c>
      <c r="M6" s="110">
        <v>0</v>
      </c>
      <c r="N6" s="110">
        <v>0</v>
      </c>
    </row>
    <row r="7" spans="2:14">
      <c r="B7" s="61" t="str">
        <v>(2, 3]</v>
      </c>
      <c r="C7" s="155">
        <v>16477087</v>
      </c>
      <c r="D7" s="155">
        <f>SUM($C$4:C7)</f>
        <v>961074099</v>
      </c>
      <c r="E7" s="155">
        <v>0</v>
      </c>
      <c r="F7" s="155">
        <v>0</v>
      </c>
      <c r="H7" s="24">
        <v>16571</v>
      </c>
      <c r="I7" s="110">
        <v>1.6477087000000001E-2</v>
      </c>
      <c r="J7" s="110">
        <v>1.6570999999999999E-2</v>
      </c>
      <c r="L7" s="24">
        <v>0</v>
      </c>
      <c r="M7" s="110">
        <v>0</v>
      </c>
      <c r="N7" s="110">
        <v>0</v>
      </c>
    </row>
    <row r="8" spans="2:14">
      <c r="B8" s="61" t="str">
        <v>(3, 4]</v>
      </c>
      <c r="C8" s="155">
        <v>7840052</v>
      </c>
      <c r="D8" s="155">
        <f>SUM($C$4:C8)</f>
        <v>968914151</v>
      </c>
      <c r="E8" s="155">
        <v>0</v>
      </c>
      <c r="F8" s="155">
        <v>0</v>
      </c>
      <c r="H8" s="24">
        <v>7879</v>
      </c>
      <c r="I8" s="110">
        <v>7.8400520000000001E-3</v>
      </c>
      <c r="J8" s="110">
        <v>7.8790000000000006E-3</v>
      </c>
      <c r="L8" s="24">
        <v>0</v>
      </c>
      <c r="M8" s="110">
        <v>0</v>
      </c>
      <c r="N8" s="110">
        <v>0</v>
      </c>
    </row>
    <row r="9" spans="2:14">
      <c r="B9" s="61" t="str">
        <v>(4, 5]</v>
      </c>
      <c r="C9" s="155">
        <v>5404149</v>
      </c>
      <c r="D9" s="155">
        <f>SUM($C$4:C9)</f>
        <v>974318300</v>
      </c>
      <c r="E9" s="155">
        <v>0</v>
      </c>
      <c r="F9" s="155">
        <v>0</v>
      </c>
      <c r="H9" s="24">
        <v>5318</v>
      </c>
      <c r="I9" s="110">
        <v>5.4041489999999996E-3</v>
      </c>
      <c r="J9" s="110">
        <v>5.3179999999999998E-3</v>
      </c>
      <c r="L9" s="24">
        <v>0</v>
      </c>
      <c r="M9" s="110">
        <v>0</v>
      </c>
      <c r="N9" s="110">
        <v>0</v>
      </c>
    </row>
    <row r="10" spans="2:14">
      <c r="B10" s="61" t="str">
        <v>(5, 6]</v>
      </c>
      <c r="C10" s="155">
        <v>4037019</v>
      </c>
      <c r="D10" s="155">
        <f>SUM($C$4:C10)</f>
        <v>978355319</v>
      </c>
      <c r="E10" s="155">
        <v>0</v>
      </c>
      <c r="F10" s="155">
        <v>0</v>
      </c>
      <c r="H10" s="24">
        <v>4051</v>
      </c>
      <c r="I10" s="110">
        <v>4.0370190000000002E-3</v>
      </c>
      <c r="J10" s="110">
        <v>4.0509999999999999E-3</v>
      </c>
      <c r="L10" s="24">
        <v>0</v>
      </c>
      <c r="M10" s="110">
        <v>0</v>
      </c>
      <c r="N10" s="110">
        <v>0</v>
      </c>
    </row>
    <row r="11" spans="2:14">
      <c r="B11" s="61" t="str">
        <v>(6, 7]</v>
      </c>
      <c r="C11" s="155">
        <v>2596321</v>
      </c>
      <c r="D11" s="155">
        <f>SUM($C$4:C11)</f>
        <v>980951640</v>
      </c>
      <c r="E11" s="155">
        <v>0</v>
      </c>
      <c r="F11" s="155">
        <v>0</v>
      </c>
      <c r="H11" s="24">
        <v>2617</v>
      </c>
      <c r="I11" s="110">
        <v>2.596321E-3</v>
      </c>
      <c r="J11" s="110">
        <v>2.617E-3</v>
      </c>
      <c r="L11" s="24">
        <v>0</v>
      </c>
      <c r="M11" s="110">
        <v>0</v>
      </c>
      <c r="N11" s="110">
        <v>0</v>
      </c>
    </row>
    <row r="12" spans="2:14">
      <c r="B12" s="61" t="str">
        <v>(7, 8]</v>
      </c>
      <c r="C12" s="155">
        <v>2902852</v>
      </c>
      <c r="D12" s="155">
        <f>SUM($C$4:C12)</f>
        <v>983854492</v>
      </c>
      <c r="E12" s="155">
        <v>0</v>
      </c>
      <c r="F12" s="155">
        <v>0</v>
      </c>
      <c r="H12" s="24">
        <v>2899</v>
      </c>
      <c r="I12" s="110">
        <v>2.902852E-3</v>
      </c>
      <c r="J12" s="110">
        <v>2.8990000000000001E-3</v>
      </c>
      <c r="L12" s="24">
        <v>0</v>
      </c>
      <c r="M12" s="110">
        <v>0</v>
      </c>
      <c r="N12" s="110">
        <v>0</v>
      </c>
    </row>
    <row r="13" spans="2:14">
      <c r="B13" s="61" t="str">
        <v>(8, 9]</v>
      </c>
      <c r="C13" s="155">
        <v>1921952</v>
      </c>
      <c r="D13" s="155">
        <f>SUM($C$4:C13)</f>
        <v>985776444</v>
      </c>
      <c r="E13" s="155">
        <v>0</v>
      </c>
      <c r="F13" s="155">
        <v>0</v>
      </c>
      <c r="H13" s="24">
        <v>1900</v>
      </c>
      <c r="I13" s="110">
        <v>1.921952E-3</v>
      </c>
      <c r="J13" s="110">
        <v>1.9E-3</v>
      </c>
      <c r="L13" s="24">
        <v>0</v>
      </c>
      <c r="M13" s="110">
        <v>0</v>
      </c>
      <c r="N13" s="110">
        <v>0</v>
      </c>
    </row>
    <row r="14" spans="2:14">
      <c r="B14" s="61" t="str">
        <v>(9, 10]</v>
      </c>
      <c r="C14" s="155">
        <v>1837145</v>
      </c>
      <c r="D14" s="155">
        <f>SUM($C$4:C14)</f>
        <v>987613589</v>
      </c>
      <c r="E14" s="155">
        <v>0</v>
      </c>
      <c r="F14" s="155">
        <v>0</v>
      </c>
      <c r="H14" s="24">
        <v>1896</v>
      </c>
      <c r="I14" s="110">
        <v>1.8371450000000001E-3</v>
      </c>
      <c r="J14" s="110">
        <v>1.8959999999999999E-3</v>
      </c>
      <c r="L14" s="24">
        <v>0</v>
      </c>
      <c r="M14" s="110">
        <v>0</v>
      </c>
      <c r="N14" s="110">
        <v>0</v>
      </c>
    </row>
    <row r="15" spans="2:14">
      <c r="B15" s="61" t="str">
        <v>(10, 15]</v>
      </c>
      <c r="C15" s="155">
        <v>6120411</v>
      </c>
      <c r="D15" s="155">
        <f>SUM($C$4:C15)</f>
        <v>993734000</v>
      </c>
      <c r="E15" s="155">
        <v>0</v>
      </c>
      <c r="F15" s="155">
        <v>0</v>
      </c>
      <c r="H15" s="24">
        <v>6101</v>
      </c>
      <c r="I15" s="110">
        <v>6.1204110000000001E-3</v>
      </c>
      <c r="J15" s="110">
        <v>6.1009999999999997E-3</v>
      </c>
      <c r="L15" s="24">
        <v>0</v>
      </c>
      <c r="M15" s="110">
        <v>0</v>
      </c>
      <c r="N15" s="110">
        <v>0</v>
      </c>
    </row>
    <row r="16" spans="2:14">
      <c r="B16" s="124" t="str">
        <v>(15, 20]</v>
      </c>
      <c r="C16" s="155">
        <v>0</v>
      </c>
      <c r="D16" s="155">
        <f>SUM($C$4:C16)</f>
        <v>993734000</v>
      </c>
      <c r="E16" s="155">
        <v>0</v>
      </c>
      <c r="F16" s="155">
        <v>0</v>
      </c>
      <c r="H16" s="24">
        <v>0</v>
      </c>
      <c r="I16" s="110">
        <v>0</v>
      </c>
      <c r="J16" s="110">
        <v>0</v>
      </c>
      <c r="L16" s="24">
        <v>0</v>
      </c>
      <c r="M16" s="110">
        <v>0</v>
      </c>
      <c r="N16" s="110">
        <v>0</v>
      </c>
    </row>
    <row r="17" spans="2:20">
      <c r="B17" s="61" t="str">
        <v>(20, 25]</v>
      </c>
      <c r="C17" s="155">
        <v>0</v>
      </c>
      <c r="D17" s="155">
        <f>SUM($C$4:C17)</f>
        <v>993734000</v>
      </c>
      <c r="E17" s="155">
        <v>0</v>
      </c>
      <c r="F17" s="155">
        <v>0</v>
      </c>
      <c r="H17" s="24">
        <v>0</v>
      </c>
      <c r="I17" s="110">
        <v>0</v>
      </c>
      <c r="J17" s="110">
        <v>0</v>
      </c>
      <c r="L17" s="24">
        <v>0</v>
      </c>
      <c r="M17" s="110">
        <v>0</v>
      </c>
      <c r="N17" s="110">
        <v>0</v>
      </c>
    </row>
    <row r="18" spans="2:20">
      <c r="B18" s="61" t="str">
        <v>(25, 30]</v>
      </c>
      <c r="C18" s="155">
        <v>0</v>
      </c>
      <c r="D18" s="155">
        <f>SUM($C$4:C18)</f>
        <v>993734000</v>
      </c>
      <c r="E18" s="155">
        <v>0</v>
      </c>
      <c r="F18" s="155">
        <v>0</v>
      </c>
      <c r="H18" s="24">
        <v>0</v>
      </c>
      <c r="I18" s="110">
        <v>0</v>
      </c>
      <c r="J18" s="110">
        <v>0</v>
      </c>
      <c r="L18" s="24">
        <v>0</v>
      </c>
      <c r="M18" s="110">
        <v>0</v>
      </c>
      <c r="N18" s="110">
        <v>0</v>
      </c>
    </row>
    <row r="19" spans="2:20">
      <c r="B19" s="61" t="str">
        <v>(30, 35]</v>
      </c>
      <c r="C19" s="155">
        <v>0</v>
      </c>
      <c r="D19" s="155">
        <f>SUM($C$4:C19)</f>
        <v>993734000</v>
      </c>
      <c r="E19" s="155">
        <v>0</v>
      </c>
      <c r="F19" s="155">
        <v>0</v>
      </c>
      <c r="H19" s="24">
        <v>1</v>
      </c>
      <c r="I19" s="110">
        <v>0</v>
      </c>
      <c r="J19" s="110">
        <v>9.9999999999999995E-7</v>
      </c>
      <c r="L19" s="24">
        <v>0</v>
      </c>
      <c r="M19" s="110">
        <v>0</v>
      </c>
      <c r="N19" s="110">
        <v>0</v>
      </c>
    </row>
    <row r="20" spans="2:20">
      <c r="B20" s="124" t="str">
        <v>(35, 40]</v>
      </c>
      <c r="C20" s="155">
        <v>0</v>
      </c>
      <c r="D20" s="155">
        <f>SUM($C$4:C20)</f>
        <v>993734000</v>
      </c>
      <c r="E20" s="155">
        <v>0</v>
      </c>
      <c r="F20" s="155">
        <v>0</v>
      </c>
      <c r="H20" s="24">
        <v>0</v>
      </c>
      <c r="I20" s="110">
        <v>0</v>
      </c>
      <c r="J20" s="110">
        <v>0</v>
      </c>
      <c r="L20" s="24">
        <v>0</v>
      </c>
      <c r="M20" s="110">
        <v>0</v>
      </c>
      <c r="N20" s="110">
        <v>0</v>
      </c>
    </row>
    <row r="21" spans="2:20">
      <c r="B21" s="61" t="str">
        <v>(40, 45]</v>
      </c>
      <c r="C21" s="155">
        <v>0</v>
      </c>
      <c r="D21" s="155">
        <f>SUM($C$4:C21)</f>
        <v>993734000</v>
      </c>
      <c r="E21" s="155">
        <v>0</v>
      </c>
      <c r="F21" s="155">
        <v>0</v>
      </c>
      <c r="H21" s="24">
        <v>0</v>
      </c>
      <c r="I21" s="110">
        <v>0</v>
      </c>
      <c r="J21" s="110">
        <v>0</v>
      </c>
      <c r="L21" s="24">
        <v>0</v>
      </c>
      <c r="M21" s="110">
        <v>0</v>
      </c>
      <c r="N21" s="110">
        <v>0</v>
      </c>
      <c r="T21" s="120"/>
    </row>
    <row r="22" spans="2:20">
      <c r="B22" s="61" t="str">
        <v>(45, 50]</v>
      </c>
      <c r="C22" s="155">
        <v>0</v>
      </c>
      <c r="D22" s="155">
        <f>SUM($C$4:C22)</f>
        <v>993734000</v>
      </c>
      <c r="E22" s="155">
        <v>23684215</v>
      </c>
      <c r="F22" s="155">
        <v>0</v>
      </c>
      <c r="H22" s="24">
        <v>0</v>
      </c>
      <c r="I22" s="110">
        <v>0</v>
      </c>
      <c r="J22" s="110">
        <v>0</v>
      </c>
      <c r="L22" s="24">
        <v>165</v>
      </c>
      <c r="M22" s="110">
        <v>2.3684215000000002E-2</v>
      </c>
      <c r="N22" s="110">
        <v>2.6467757459095284E-2</v>
      </c>
    </row>
    <row r="23" spans="2:20">
      <c r="B23" s="124" t="str">
        <v>(50, 60]</v>
      </c>
      <c r="C23" s="155">
        <v>0</v>
      </c>
      <c r="D23" s="155">
        <f>SUM($C$4:C23)</f>
        <v>993734000</v>
      </c>
      <c r="E23" s="155">
        <v>55263157</v>
      </c>
      <c r="F23" s="155">
        <v>0</v>
      </c>
      <c r="H23" s="24">
        <v>0</v>
      </c>
      <c r="I23" s="110">
        <v>0</v>
      </c>
      <c r="J23" s="110">
        <v>0</v>
      </c>
      <c r="L23" s="24">
        <v>327</v>
      </c>
      <c r="M23" s="110">
        <v>5.5263157E-2</v>
      </c>
      <c r="N23" s="110">
        <v>5.2454282964388838E-2</v>
      </c>
    </row>
    <row r="24" spans="2:20">
      <c r="B24" s="61" t="str">
        <v>(60, 70]</v>
      </c>
      <c r="C24" s="155">
        <v>0</v>
      </c>
      <c r="D24" s="155">
        <f>SUM($C$4:C24)</f>
        <v>993734000</v>
      </c>
      <c r="E24" s="155">
        <v>59210526</v>
      </c>
      <c r="F24" s="155">
        <v>0</v>
      </c>
      <c r="H24" s="24">
        <v>0</v>
      </c>
      <c r="I24" s="110">
        <v>0</v>
      </c>
      <c r="J24" s="110">
        <v>0</v>
      </c>
      <c r="L24" s="24">
        <v>351</v>
      </c>
      <c r="M24" s="110">
        <v>5.9210525999999999E-2</v>
      </c>
      <c r="N24" s="110">
        <v>5.6304138594802697E-2</v>
      </c>
    </row>
    <row r="25" spans="2:20">
      <c r="B25" s="61" t="str">
        <v>(70, 80]</v>
      </c>
      <c r="C25" s="155">
        <v>0</v>
      </c>
      <c r="D25" s="155">
        <f>SUM($C$4:C25)</f>
        <v>993734000</v>
      </c>
      <c r="E25" s="155">
        <v>68421052</v>
      </c>
      <c r="F25" s="155">
        <v>0</v>
      </c>
      <c r="H25" s="24">
        <v>0</v>
      </c>
      <c r="I25" s="110">
        <v>0</v>
      </c>
      <c r="J25" s="110">
        <v>0</v>
      </c>
      <c r="L25" s="24">
        <v>399</v>
      </c>
      <c r="M25" s="110">
        <v>6.8421051999999996E-2</v>
      </c>
      <c r="N25" s="110">
        <v>6.4003849855630415E-2</v>
      </c>
    </row>
    <row r="26" spans="2:20">
      <c r="B26" s="61" t="str">
        <v>(80, 90]</v>
      </c>
      <c r="C26" s="155">
        <v>0</v>
      </c>
      <c r="D26" s="155">
        <f>SUM($C$4:C26)</f>
        <v>993734000</v>
      </c>
      <c r="E26" s="155">
        <v>73684210</v>
      </c>
      <c r="F26" s="155">
        <v>0</v>
      </c>
      <c r="H26" s="24">
        <v>0</v>
      </c>
      <c r="I26" s="110">
        <v>0</v>
      </c>
      <c r="J26" s="110">
        <v>0</v>
      </c>
      <c r="L26" s="24">
        <v>438</v>
      </c>
      <c r="M26" s="110">
        <v>7.368421E-2</v>
      </c>
      <c r="N26" s="110">
        <v>7.0259865255052942E-2</v>
      </c>
    </row>
    <row r="27" spans="2:20">
      <c r="B27" s="61" t="str">
        <v>(90, 100]</v>
      </c>
      <c r="C27" s="155">
        <v>0</v>
      </c>
      <c r="D27" s="155">
        <f>SUM($C$4:C27)</f>
        <v>993734000</v>
      </c>
      <c r="E27" s="155">
        <v>61842105</v>
      </c>
      <c r="F27" s="155">
        <v>1000000000</v>
      </c>
      <c r="H27" s="24">
        <v>0</v>
      </c>
      <c r="I27" s="110">
        <v>0</v>
      </c>
      <c r="J27" s="110">
        <v>0</v>
      </c>
      <c r="L27" s="24">
        <v>371</v>
      </c>
      <c r="M27" s="110">
        <v>6.1842105000000001E-2</v>
      </c>
      <c r="N27" s="110">
        <v>5.9512351620147577E-2</v>
      </c>
    </row>
    <row r="28" spans="2:20">
      <c r="B28" s="61" t="str">
        <v>(100, 120]</v>
      </c>
      <c r="C28" s="155">
        <v>0</v>
      </c>
      <c r="D28" s="155">
        <f>SUM($C$4:C28)</f>
        <v>993734000</v>
      </c>
      <c r="E28" s="155">
        <v>139473684</v>
      </c>
      <c r="F28" s="155">
        <v>0</v>
      </c>
      <c r="H28" s="24">
        <v>0</v>
      </c>
      <c r="I28" s="110">
        <v>0</v>
      </c>
      <c r="J28" s="110">
        <v>0</v>
      </c>
      <c r="L28" s="24">
        <v>922</v>
      </c>
      <c r="M28" s="110">
        <v>0.13947368399999999</v>
      </c>
      <c r="N28" s="110">
        <v>0.14789862046839911</v>
      </c>
    </row>
    <row r="29" spans="2:20">
      <c r="B29" s="61" t="str">
        <v>(120, 140]</v>
      </c>
      <c r="C29" s="155">
        <v>0</v>
      </c>
      <c r="D29" s="155">
        <f>SUM($C$4:C29)</f>
        <v>993734000</v>
      </c>
      <c r="E29" s="155">
        <v>136842105</v>
      </c>
      <c r="F29" s="155">
        <v>0</v>
      </c>
      <c r="H29" s="24">
        <v>0</v>
      </c>
      <c r="I29" s="110">
        <v>0</v>
      </c>
      <c r="J29" s="110">
        <v>0</v>
      </c>
      <c r="L29" s="24">
        <v>838</v>
      </c>
      <c r="M29" s="110">
        <v>0.13684210499999999</v>
      </c>
      <c r="N29" s="110">
        <v>0.13442412576195059</v>
      </c>
    </row>
    <row r="30" spans="2:20">
      <c r="B30" s="61" t="str">
        <v>(140, 160]</v>
      </c>
      <c r="C30" s="155">
        <v>0</v>
      </c>
      <c r="D30" s="155">
        <f>SUM($C$4:C30)</f>
        <v>993734000</v>
      </c>
      <c r="E30" s="155">
        <v>135526315</v>
      </c>
      <c r="F30" s="155">
        <v>0</v>
      </c>
      <c r="H30" s="24">
        <v>0</v>
      </c>
      <c r="I30" s="110">
        <v>0</v>
      </c>
      <c r="J30" s="110">
        <v>0</v>
      </c>
      <c r="L30" s="24">
        <v>842</v>
      </c>
      <c r="M30" s="110">
        <v>0.13552631500000001</v>
      </c>
      <c r="N30" s="110">
        <v>0.13506576836701956</v>
      </c>
    </row>
    <row r="31" spans="2:20">
      <c r="B31" s="61" t="str">
        <v>(160, 180]</v>
      </c>
      <c r="C31" s="155">
        <v>0</v>
      </c>
      <c r="D31" s="155">
        <f>SUM($C$4:C31)</f>
        <v>993734000</v>
      </c>
      <c r="E31" s="155">
        <v>136842105</v>
      </c>
      <c r="F31" s="155">
        <v>0</v>
      </c>
      <c r="H31" s="24">
        <v>0</v>
      </c>
      <c r="I31" s="110">
        <v>0</v>
      </c>
      <c r="J31" s="110">
        <v>0</v>
      </c>
      <c r="L31" s="24">
        <v>896</v>
      </c>
      <c r="M31" s="110">
        <v>0.13684210499999999</v>
      </c>
      <c r="N31" s="110">
        <v>0.14372794353545076</v>
      </c>
    </row>
    <row r="32" spans="2:20">
      <c r="B32" s="61" t="str">
        <v>(180, 200]</v>
      </c>
      <c r="C32" s="155">
        <v>0</v>
      </c>
      <c r="D32" s="155">
        <f>SUM($C$4:C32)</f>
        <v>993734000</v>
      </c>
      <c r="E32" s="155">
        <v>109210526</v>
      </c>
      <c r="F32" s="155">
        <v>0</v>
      </c>
      <c r="H32" s="24">
        <v>0</v>
      </c>
      <c r="I32" s="110">
        <v>0</v>
      </c>
      <c r="J32" s="110">
        <v>0</v>
      </c>
      <c r="L32" s="24">
        <v>685</v>
      </c>
      <c r="M32" s="110">
        <v>0.109210526</v>
      </c>
      <c r="N32" s="110">
        <v>0.10988129611806224</v>
      </c>
    </row>
    <row r="33" spans="2:14">
      <c r="B33" s="61" t="str">
        <v>(200, 250]</v>
      </c>
      <c r="C33" s="155">
        <v>0</v>
      </c>
      <c r="D33" s="155">
        <f>SUM($C$4:C33)</f>
        <v>993734000</v>
      </c>
      <c r="E33" s="155">
        <v>0</v>
      </c>
      <c r="F33" s="155">
        <v>0</v>
      </c>
      <c r="H33" s="24">
        <v>0</v>
      </c>
      <c r="I33" s="110">
        <v>0</v>
      </c>
      <c r="J33" s="110">
        <v>0</v>
      </c>
      <c r="L33" s="24">
        <v>0</v>
      </c>
      <c r="M33" s="110">
        <v>0</v>
      </c>
      <c r="N33" s="110">
        <v>0</v>
      </c>
    </row>
    <row r="34" spans="2:14">
      <c r="B34" s="61" t="str">
        <v>(250, 300]</v>
      </c>
      <c r="C34" s="155">
        <v>0</v>
      </c>
      <c r="D34" s="155">
        <f>SUM($C$4:C34)</f>
        <v>993734000</v>
      </c>
      <c r="E34" s="155">
        <v>0</v>
      </c>
      <c r="F34" s="155">
        <v>0</v>
      </c>
      <c r="H34" s="24">
        <v>0</v>
      </c>
      <c r="I34" s="110">
        <v>0</v>
      </c>
      <c r="J34" s="110">
        <v>0</v>
      </c>
      <c r="L34" s="24">
        <v>0</v>
      </c>
      <c r="M34" s="110">
        <v>0</v>
      </c>
      <c r="N34" s="110">
        <v>0</v>
      </c>
    </row>
    <row r="35" spans="2:14">
      <c r="B35" s="61" t="str">
        <v>(300, 350]</v>
      </c>
      <c r="C35" s="155">
        <v>0</v>
      </c>
      <c r="D35" s="155">
        <f>SUM($C$4:C35)</f>
        <v>993734000</v>
      </c>
      <c r="E35" s="155">
        <v>0</v>
      </c>
      <c r="F35" s="155">
        <v>0</v>
      </c>
      <c r="H35" s="24">
        <v>0</v>
      </c>
      <c r="I35" s="110">
        <v>0</v>
      </c>
      <c r="J35" s="110">
        <v>0</v>
      </c>
      <c r="L35" s="24">
        <v>0</v>
      </c>
      <c r="M35" s="110">
        <v>0</v>
      </c>
      <c r="N35" s="110">
        <v>0</v>
      </c>
    </row>
    <row r="36" spans="2:14">
      <c r="B36" s="61" t="str">
        <v>(350, 400]</v>
      </c>
      <c r="C36" s="155">
        <v>0</v>
      </c>
      <c r="D36" s="155">
        <f>SUM($C$4:C36)</f>
        <v>993734000</v>
      </c>
      <c r="E36" s="155">
        <v>0</v>
      </c>
      <c r="F36" s="155">
        <v>0</v>
      </c>
      <c r="H36" s="24">
        <v>0</v>
      </c>
      <c r="I36" s="110">
        <v>0</v>
      </c>
      <c r="J36" s="110">
        <v>0</v>
      </c>
      <c r="L36" s="24">
        <v>0</v>
      </c>
      <c r="M36" s="110">
        <v>0</v>
      </c>
      <c r="N36" s="110">
        <v>0</v>
      </c>
    </row>
    <row r="37" spans="2:14">
      <c r="B37" s="61" t="str">
        <v>(400, 450]</v>
      </c>
      <c r="C37" s="155">
        <v>0</v>
      </c>
      <c r="D37" s="155">
        <f>SUM($C$4:C37)</f>
        <v>993734000</v>
      </c>
      <c r="E37" s="155">
        <v>0</v>
      </c>
      <c r="F37" s="155">
        <v>0</v>
      </c>
      <c r="H37" s="24">
        <v>0</v>
      </c>
      <c r="I37" s="110">
        <v>0</v>
      </c>
      <c r="J37" s="110">
        <v>0</v>
      </c>
      <c r="L37" s="24">
        <v>0</v>
      </c>
      <c r="M37" s="110">
        <v>0</v>
      </c>
      <c r="N37" s="110">
        <v>0</v>
      </c>
    </row>
    <row r="38" spans="2:14">
      <c r="B38" s="61" t="str">
        <v>(450, 500]</v>
      </c>
      <c r="C38" s="155">
        <v>0</v>
      </c>
      <c r="D38" s="155">
        <f>SUM($C$4:C38)</f>
        <v>993734000</v>
      </c>
      <c r="E38" s="155">
        <v>0</v>
      </c>
      <c r="F38" s="155">
        <v>0</v>
      </c>
      <c r="H38" s="24">
        <v>0</v>
      </c>
      <c r="I38" s="110">
        <v>0</v>
      </c>
      <c r="J38" s="110">
        <v>0</v>
      </c>
      <c r="L38" s="24">
        <v>0</v>
      </c>
      <c r="M38" s="110">
        <v>0</v>
      </c>
      <c r="N38" s="110">
        <v>0</v>
      </c>
    </row>
    <row r="39" spans="2:14">
      <c r="B39" s="61" t="str">
        <v>(500, 550]</v>
      </c>
      <c r="C39" s="155">
        <v>0</v>
      </c>
      <c r="D39" s="155">
        <f>SUM($C$4:C39)</f>
        <v>993734000</v>
      </c>
      <c r="E39" s="155">
        <v>0</v>
      </c>
      <c r="F39" s="155">
        <v>0</v>
      </c>
      <c r="H39" s="24">
        <v>0</v>
      </c>
      <c r="I39" s="110">
        <v>0</v>
      </c>
      <c r="J39" s="110">
        <v>0</v>
      </c>
      <c r="L39" s="24">
        <v>0</v>
      </c>
      <c r="M39" s="110">
        <v>0</v>
      </c>
      <c r="N39" s="110">
        <v>0</v>
      </c>
    </row>
    <row r="40" spans="2:14">
      <c r="B40" s="61" t="str">
        <v>(550, 600]</v>
      </c>
      <c r="C40" s="155">
        <v>0</v>
      </c>
      <c r="D40" s="155">
        <f>SUM($C$4:C40)</f>
        <v>993734000</v>
      </c>
      <c r="E40" s="155">
        <v>0</v>
      </c>
      <c r="F40" s="155">
        <v>0</v>
      </c>
      <c r="H40" s="24">
        <v>0</v>
      </c>
      <c r="I40" s="110">
        <v>0</v>
      </c>
      <c r="J40" s="110">
        <v>0</v>
      </c>
      <c r="L40" s="24">
        <v>0</v>
      </c>
      <c r="M40" s="110">
        <v>0</v>
      </c>
      <c r="N40" s="110">
        <v>0</v>
      </c>
    </row>
    <row r="41" spans="2:14">
      <c r="B41" s="61" t="str">
        <v>(600, 650]</v>
      </c>
      <c r="C41" s="155">
        <v>0</v>
      </c>
      <c r="D41" s="155">
        <f>SUM($C$4:C41)</f>
        <v>993734000</v>
      </c>
      <c r="E41" s="155">
        <v>0</v>
      </c>
      <c r="F41" s="155">
        <v>0</v>
      </c>
      <c r="H41" s="24">
        <v>0</v>
      </c>
      <c r="I41" s="110">
        <v>0</v>
      </c>
      <c r="J41" s="110">
        <v>0</v>
      </c>
      <c r="L41" s="24">
        <v>0</v>
      </c>
      <c r="M41" s="110">
        <v>0</v>
      </c>
      <c r="N41" s="110">
        <v>0</v>
      </c>
    </row>
    <row r="42" spans="2:14">
      <c r="B42" s="61" t="str">
        <v>(650, 700]</v>
      </c>
      <c r="C42" s="155">
        <v>0</v>
      </c>
      <c r="D42" s="155">
        <f>SUM($C$4:C42)</f>
        <v>993734000</v>
      </c>
      <c r="E42" s="155">
        <v>0</v>
      </c>
      <c r="F42" s="155">
        <v>0</v>
      </c>
      <c r="H42" s="24">
        <v>0</v>
      </c>
      <c r="I42" s="110">
        <v>0</v>
      </c>
      <c r="J42" s="110">
        <v>0</v>
      </c>
      <c r="L42" s="24">
        <v>0</v>
      </c>
      <c r="M42" s="110">
        <v>0</v>
      </c>
      <c r="N42" s="110">
        <v>0</v>
      </c>
    </row>
    <row r="43" spans="2:14">
      <c r="B43" s="61" t="str">
        <v>(700, 750]</v>
      </c>
      <c r="C43" s="155">
        <v>0</v>
      </c>
      <c r="D43" s="155">
        <f>SUM($C$4:C43)</f>
        <v>993734000</v>
      </c>
      <c r="E43" s="155">
        <v>0</v>
      </c>
      <c r="F43" s="155">
        <v>0</v>
      </c>
      <c r="H43" s="24">
        <v>0</v>
      </c>
      <c r="I43" s="110">
        <v>0</v>
      </c>
      <c r="J43" s="110">
        <v>0</v>
      </c>
      <c r="L43" s="24">
        <v>0</v>
      </c>
      <c r="M43" s="110">
        <v>0</v>
      </c>
      <c r="N43" s="110">
        <v>0</v>
      </c>
    </row>
    <row r="44" spans="2:14">
      <c r="B44" s="61" t="str">
        <v>(750, 800]</v>
      </c>
      <c r="C44" s="155">
        <v>0</v>
      </c>
      <c r="D44" s="155">
        <f>SUM($C$4:C44)</f>
        <v>993734000</v>
      </c>
      <c r="E44" s="155">
        <v>0</v>
      </c>
      <c r="F44" s="155">
        <v>0</v>
      </c>
      <c r="H44" s="24">
        <v>0</v>
      </c>
      <c r="I44" s="110">
        <v>0</v>
      </c>
      <c r="J44" s="110">
        <v>0</v>
      </c>
      <c r="L44" s="24">
        <v>0</v>
      </c>
      <c r="M44" s="110">
        <v>0</v>
      </c>
      <c r="N44" s="110">
        <v>0</v>
      </c>
    </row>
    <row r="45" spans="2:14">
      <c r="B45" s="61" t="str">
        <v>(800, 850]</v>
      </c>
      <c r="C45" s="155">
        <v>0</v>
      </c>
      <c r="D45" s="155">
        <f>SUM($C$4:C45)</f>
        <v>993734000</v>
      </c>
      <c r="E45" s="155">
        <v>0</v>
      </c>
      <c r="F45" s="155">
        <v>0</v>
      </c>
      <c r="H45" s="24">
        <v>0</v>
      </c>
      <c r="I45" s="110">
        <v>0</v>
      </c>
      <c r="J45" s="110">
        <v>0</v>
      </c>
      <c r="L45" s="24">
        <v>0</v>
      </c>
      <c r="M45" s="110">
        <v>0</v>
      </c>
      <c r="N45" s="110">
        <v>0</v>
      </c>
    </row>
    <row r="46" spans="2:14">
      <c r="B46" s="61" t="str">
        <v>(850, 900]</v>
      </c>
      <c r="C46" s="155">
        <v>0</v>
      </c>
      <c r="D46" s="155">
        <f>SUM($C$4:C46)</f>
        <v>993734000</v>
      </c>
      <c r="E46" s="155">
        <v>0</v>
      </c>
      <c r="F46" s="155">
        <v>0</v>
      </c>
      <c r="H46" s="24">
        <v>0</v>
      </c>
      <c r="I46" s="110">
        <v>0</v>
      </c>
      <c r="J46" s="110">
        <v>0</v>
      </c>
      <c r="L46" s="24">
        <v>0</v>
      </c>
      <c r="M46" s="110">
        <v>0</v>
      </c>
      <c r="N46" s="110">
        <v>0</v>
      </c>
    </row>
    <row r="47" spans="2:14">
      <c r="B47" s="61" t="str">
        <v>(900, 950]</v>
      </c>
      <c r="C47" s="155">
        <v>0</v>
      </c>
      <c r="D47" s="155">
        <f>SUM($C$4:C47)</f>
        <v>993734000</v>
      </c>
      <c r="E47" s="155">
        <v>0</v>
      </c>
      <c r="F47" s="155">
        <v>0</v>
      </c>
      <c r="H47" s="24">
        <v>0</v>
      </c>
      <c r="I47" s="110">
        <v>0</v>
      </c>
      <c r="J47" s="110">
        <v>0</v>
      </c>
      <c r="L47" s="24">
        <v>0</v>
      </c>
      <c r="M47" s="110">
        <v>0</v>
      </c>
      <c r="N47" s="110">
        <v>0</v>
      </c>
    </row>
    <row r="48" spans="2:14">
      <c r="B48" s="61" t="str">
        <v>(950, 1000]</v>
      </c>
      <c r="C48" s="155">
        <v>0</v>
      </c>
      <c r="D48" s="155">
        <f>SUM($C$4:C48)</f>
        <v>993734000</v>
      </c>
      <c r="E48" s="155">
        <v>0</v>
      </c>
      <c r="F48" s="155">
        <v>0</v>
      </c>
      <c r="H48" s="24">
        <v>0</v>
      </c>
      <c r="I48" s="110">
        <v>0</v>
      </c>
      <c r="J48" s="110">
        <v>0</v>
      </c>
      <c r="L48" s="24">
        <v>0</v>
      </c>
      <c r="M48" s="110">
        <v>0</v>
      </c>
      <c r="N48" s="110">
        <v>0</v>
      </c>
    </row>
    <row r="49" spans="2:14">
      <c r="B49" s="61" t="str">
        <v>(1000, 2000]</v>
      </c>
      <c r="C49" s="155">
        <v>0</v>
      </c>
      <c r="D49" s="155">
        <f>SUM($C$4:C49)</f>
        <v>993734000</v>
      </c>
      <c r="E49" s="155">
        <v>0</v>
      </c>
      <c r="F49" s="155">
        <v>0</v>
      </c>
      <c r="H49" s="24">
        <v>0</v>
      </c>
      <c r="I49" s="110">
        <v>0</v>
      </c>
      <c r="J49" s="110">
        <v>0</v>
      </c>
      <c r="L49" s="24">
        <v>0</v>
      </c>
      <c r="M49" s="110">
        <v>0</v>
      </c>
      <c r="N49" s="110">
        <v>0</v>
      </c>
    </row>
    <row r="50" spans="2:14">
      <c r="B50" s="61" t="str">
        <v>(2000, 3000]</v>
      </c>
      <c r="C50" s="155">
        <v>0</v>
      </c>
      <c r="D50" s="155">
        <f>SUM($C$4:C50)</f>
        <v>993734000</v>
      </c>
      <c r="E50" s="155">
        <v>0</v>
      </c>
      <c r="F50" s="155">
        <v>0</v>
      </c>
      <c r="H50" s="24">
        <v>0</v>
      </c>
      <c r="I50" s="110">
        <v>0</v>
      </c>
      <c r="J50" s="110">
        <v>0</v>
      </c>
      <c r="L50" s="24">
        <v>0</v>
      </c>
      <c r="M50" s="110">
        <v>0</v>
      </c>
      <c r="N50" s="110">
        <v>0</v>
      </c>
    </row>
    <row r="51" spans="2:14">
      <c r="B51" s="61" t="str">
        <v>(3000, 4000]</v>
      </c>
      <c r="C51" s="155">
        <v>0</v>
      </c>
      <c r="D51" s="155">
        <f>SUM($C$4:C51)</f>
        <v>993734000</v>
      </c>
      <c r="E51" s="155">
        <v>0</v>
      </c>
      <c r="F51" s="155">
        <v>0</v>
      </c>
      <c r="H51" s="24">
        <v>0</v>
      </c>
      <c r="I51" s="110">
        <v>0</v>
      </c>
      <c r="J51" s="110">
        <v>0</v>
      </c>
      <c r="L51" s="24">
        <v>0</v>
      </c>
      <c r="M51" s="110">
        <v>0</v>
      </c>
      <c r="N51" s="110">
        <v>0</v>
      </c>
    </row>
    <row r="52" spans="2:14">
      <c r="B52" s="61" t="str">
        <v>(4000, 5000]</v>
      </c>
      <c r="C52" s="155">
        <v>0</v>
      </c>
      <c r="D52" s="155">
        <f>SUM($C$4:C52)</f>
        <v>993734000</v>
      </c>
      <c r="E52" s="155">
        <v>0</v>
      </c>
      <c r="F52" s="155">
        <v>0</v>
      </c>
      <c r="H52" s="24">
        <v>0</v>
      </c>
      <c r="I52" s="110">
        <v>0</v>
      </c>
      <c r="J52" s="110">
        <v>0</v>
      </c>
      <c r="L52" s="24">
        <v>0</v>
      </c>
      <c r="M52" s="110">
        <v>0</v>
      </c>
      <c r="N52" s="110">
        <v>0</v>
      </c>
    </row>
    <row r="53" spans="2:14">
      <c r="B53" s="61" t="str">
        <v>(5000, 6000]</v>
      </c>
      <c r="C53" s="155">
        <v>0</v>
      </c>
      <c r="D53" s="155">
        <f>SUM($C$4:C53)</f>
        <v>993734000</v>
      </c>
      <c r="E53" s="155">
        <v>0</v>
      </c>
      <c r="F53" s="155">
        <v>0</v>
      </c>
      <c r="H53" s="24">
        <v>0</v>
      </c>
      <c r="I53" s="110">
        <v>0</v>
      </c>
      <c r="J53" s="110">
        <v>0</v>
      </c>
      <c r="L53" s="24">
        <v>0</v>
      </c>
      <c r="M53" s="110">
        <v>0</v>
      </c>
      <c r="N53" s="110">
        <v>0</v>
      </c>
    </row>
    <row r="54" spans="2:14">
      <c r="B54" s="61" t="str">
        <v>(6000, 7000]</v>
      </c>
      <c r="C54" s="155">
        <v>0</v>
      </c>
      <c r="D54" s="155">
        <f>SUM($C$4:C54)</f>
        <v>993734000</v>
      </c>
      <c r="E54" s="155">
        <v>0</v>
      </c>
      <c r="F54" s="155">
        <v>0</v>
      </c>
      <c r="H54" s="24">
        <v>0</v>
      </c>
      <c r="I54" s="110">
        <v>0</v>
      </c>
      <c r="J54" s="110">
        <v>0</v>
      </c>
      <c r="L54" s="24">
        <v>0</v>
      </c>
      <c r="M54" s="110">
        <v>0</v>
      </c>
      <c r="N54" s="110">
        <v>0</v>
      </c>
    </row>
    <row r="55" spans="2:14">
      <c r="B55" s="61" t="str">
        <v>(7000, 8000]</v>
      </c>
      <c r="C55" s="155">
        <v>0</v>
      </c>
      <c r="D55" s="155">
        <f>SUM($C$4:C55)</f>
        <v>993734000</v>
      </c>
      <c r="E55" s="155">
        <v>0</v>
      </c>
      <c r="F55" s="155">
        <v>0</v>
      </c>
      <c r="H55" s="24">
        <v>0</v>
      </c>
      <c r="I55" s="110">
        <v>0</v>
      </c>
      <c r="J55" s="110">
        <v>0</v>
      </c>
      <c r="L55" s="24">
        <v>0</v>
      </c>
      <c r="M55" s="110">
        <v>0</v>
      </c>
      <c r="N55" s="110">
        <v>0</v>
      </c>
    </row>
    <row r="56" spans="2:14">
      <c r="B56" s="61" t="str">
        <v>(8000, 9000]</v>
      </c>
      <c r="C56" s="155">
        <v>0</v>
      </c>
      <c r="D56" s="155">
        <f>SUM($C$4:C56)</f>
        <v>993734000</v>
      </c>
      <c r="E56" s="155">
        <v>0</v>
      </c>
      <c r="F56" s="155">
        <v>0</v>
      </c>
      <c r="H56" s="24">
        <v>0</v>
      </c>
      <c r="I56" s="110">
        <v>0</v>
      </c>
      <c r="J56" s="110">
        <v>0</v>
      </c>
      <c r="L56" s="24">
        <v>0</v>
      </c>
      <c r="M56" s="110">
        <v>0</v>
      </c>
      <c r="N56" s="110">
        <v>0</v>
      </c>
    </row>
    <row r="57" spans="2:14">
      <c r="B57" s="61" t="str">
        <v>(9000, 10000]</v>
      </c>
      <c r="C57" s="155">
        <v>0</v>
      </c>
      <c r="D57" s="155">
        <f>SUM($C$4:C57)</f>
        <v>993734000</v>
      </c>
      <c r="E57" s="155">
        <v>0</v>
      </c>
      <c r="F57" s="155">
        <v>0</v>
      </c>
      <c r="H57" s="24">
        <v>0</v>
      </c>
      <c r="I57" s="110">
        <v>0</v>
      </c>
      <c r="J57" s="110">
        <v>0</v>
      </c>
      <c r="L57" s="24">
        <v>0</v>
      </c>
      <c r="M57" s="110">
        <v>0</v>
      </c>
      <c r="N57" s="110">
        <v>0</v>
      </c>
    </row>
    <row r="58" spans="2:14">
      <c r="B58" s="61" t="str">
        <v>(10000, 20000]</v>
      </c>
      <c r="C58" s="155">
        <v>0</v>
      </c>
      <c r="D58" s="155">
        <f>SUM($C$4:C58)</f>
        <v>993734000</v>
      </c>
      <c r="E58" s="155">
        <v>0</v>
      </c>
      <c r="F58" s="155">
        <v>0</v>
      </c>
      <c r="H58" s="24">
        <v>0</v>
      </c>
      <c r="I58" s="110">
        <v>0</v>
      </c>
      <c r="J58" s="110">
        <v>0</v>
      </c>
      <c r="L58" s="24">
        <v>0</v>
      </c>
      <c r="M58" s="110">
        <v>0</v>
      </c>
      <c r="N58" s="110">
        <v>0</v>
      </c>
    </row>
    <row r="59" spans="2:14">
      <c r="B59" s="61" t="str">
        <v>(20000, 30000]</v>
      </c>
      <c r="C59" s="155">
        <v>0</v>
      </c>
      <c r="D59" s="155">
        <f>SUM($C$4:C59)</f>
        <v>993734000</v>
      </c>
      <c r="E59" s="155">
        <v>0</v>
      </c>
      <c r="F59" s="155">
        <v>0</v>
      </c>
      <c r="H59" s="24">
        <v>0</v>
      </c>
      <c r="I59" s="110">
        <v>0</v>
      </c>
      <c r="J59" s="110">
        <v>0</v>
      </c>
      <c r="L59" s="24">
        <v>0</v>
      </c>
      <c r="M59" s="110">
        <v>0</v>
      </c>
      <c r="N59" s="110">
        <v>0</v>
      </c>
    </row>
    <row r="60" spans="2:14">
      <c r="B60" s="61" t="str">
        <v>(30000, 40000]</v>
      </c>
      <c r="C60" s="155">
        <v>0</v>
      </c>
      <c r="D60" s="155">
        <f>SUM($C$4:C60)</f>
        <v>993734000</v>
      </c>
      <c r="E60" s="155">
        <v>0</v>
      </c>
      <c r="F60" s="155">
        <v>0</v>
      </c>
      <c r="H60" s="24">
        <v>0</v>
      </c>
      <c r="I60" s="110">
        <v>0</v>
      </c>
      <c r="J60" s="110">
        <v>0</v>
      </c>
      <c r="L60" s="24">
        <v>0</v>
      </c>
      <c r="M60" s="110">
        <v>0</v>
      </c>
      <c r="N60" s="110">
        <v>0</v>
      </c>
    </row>
    <row r="61" spans="2:14">
      <c r="B61" s="61" t="str">
        <v>(40000, 50000]</v>
      </c>
      <c r="C61" s="155">
        <v>0</v>
      </c>
      <c r="D61" s="155">
        <f>SUM($C$4:C61)</f>
        <v>993734000</v>
      </c>
      <c r="E61" s="155">
        <v>0</v>
      </c>
      <c r="F61" s="155">
        <v>0</v>
      </c>
      <c r="H61" s="24">
        <v>0</v>
      </c>
      <c r="I61" s="110">
        <v>0</v>
      </c>
      <c r="J61" s="110">
        <v>0</v>
      </c>
      <c r="L61" s="24">
        <v>0</v>
      </c>
      <c r="M61" s="110">
        <v>0</v>
      </c>
      <c r="N61" s="110">
        <v>0</v>
      </c>
    </row>
    <row r="62" spans="2:14">
      <c r="B62" s="61" t="str">
        <v>(50000, 60000]</v>
      </c>
      <c r="C62" s="155">
        <v>0</v>
      </c>
      <c r="D62" s="155">
        <f>SUM($C$4:C62)</f>
        <v>993734000</v>
      </c>
      <c r="E62" s="155">
        <v>0</v>
      </c>
      <c r="F62" s="155">
        <v>0</v>
      </c>
      <c r="H62" s="24">
        <v>0</v>
      </c>
      <c r="I62" s="110">
        <v>0</v>
      </c>
      <c r="J62" s="110">
        <v>0</v>
      </c>
      <c r="L62" s="24">
        <v>0</v>
      </c>
      <c r="M62" s="110">
        <v>0</v>
      </c>
      <c r="N62" s="110">
        <v>0</v>
      </c>
    </row>
    <row r="63" spans="2:14">
      <c r="B63" s="61" t="str">
        <v>(60000, 70000]</v>
      </c>
      <c r="C63" s="155">
        <v>0</v>
      </c>
      <c r="D63" s="155">
        <f>SUM($C$4:C63)</f>
        <v>993734000</v>
      </c>
      <c r="E63" s="155">
        <v>0</v>
      </c>
      <c r="F63" s="155">
        <v>0</v>
      </c>
      <c r="H63" s="24">
        <v>0</v>
      </c>
      <c r="I63" s="110">
        <v>0</v>
      </c>
      <c r="J63" s="110">
        <v>0</v>
      </c>
      <c r="L63" s="24">
        <v>0</v>
      </c>
      <c r="M63" s="110">
        <v>0</v>
      </c>
      <c r="N63" s="110">
        <v>0</v>
      </c>
    </row>
    <row r="64" spans="2:14">
      <c r="B64" s="61" t="str">
        <v>(70000, 80000]</v>
      </c>
      <c r="C64" s="155">
        <v>0</v>
      </c>
      <c r="D64" s="155">
        <f>SUM($C$4:C64)</f>
        <v>993734000</v>
      </c>
      <c r="E64" s="155">
        <v>0</v>
      </c>
      <c r="F64" s="155">
        <v>0</v>
      </c>
      <c r="H64" s="24">
        <v>0</v>
      </c>
      <c r="I64" s="110">
        <v>0</v>
      </c>
      <c r="J64" s="110">
        <v>0</v>
      </c>
      <c r="L64" s="24">
        <v>0</v>
      </c>
      <c r="M64" s="110">
        <v>0</v>
      </c>
      <c r="N64" s="110">
        <v>0</v>
      </c>
    </row>
    <row r="65" spans="2:14">
      <c r="B65" s="61" t="str">
        <v>(80000, 90000]</v>
      </c>
      <c r="C65" s="155">
        <v>0</v>
      </c>
      <c r="D65" s="155">
        <f>SUM($C$4:C65)</f>
        <v>993734000</v>
      </c>
      <c r="E65" s="155">
        <v>0</v>
      </c>
      <c r="F65" s="155">
        <v>0</v>
      </c>
      <c r="H65" s="24">
        <v>0</v>
      </c>
      <c r="I65" s="110">
        <v>0</v>
      </c>
      <c r="J65" s="110">
        <v>0</v>
      </c>
      <c r="L65" s="24">
        <v>0</v>
      </c>
      <c r="M65" s="110">
        <v>0</v>
      </c>
      <c r="N65" s="110">
        <v>0</v>
      </c>
    </row>
    <row r="66" spans="2:14">
      <c r="B66" s="61" t="str">
        <v>(90000, 100000]</v>
      </c>
      <c r="C66" s="155">
        <v>0</v>
      </c>
      <c r="D66" s="155">
        <f>SUM($C$4:C66)</f>
        <v>993734000</v>
      </c>
      <c r="E66" s="155">
        <v>0</v>
      </c>
      <c r="F66" s="155">
        <v>0</v>
      </c>
      <c r="H66" s="24">
        <v>0</v>
      </c>
      <c r="I66" s="110">
        <v>0</v>
      </c>
      <c r="J66" s="110">
        <v>0</v>
      </c>
      <c r="L66" s="24">
        <v>0</v>
      </c>
      <c r="M66" s="110">
        <v>0</v>
      </c>
      <c r="N66" s="110">
        <v>0</v>
      </c>
    </row>
    <row r="67" spans="2:14">
      <c r="B67" s="61" t="str">
        <v>(100000, 9999999]</v>
      </c>
      <c r="C67" s="155">
        <v>0</v>
      </c>
      <c r="D67" s="155">
        <f>SUM($C$4:C67)</f>
        <v>993734000</v>
      </c>
      <c r="E67" s="155">
        <v>0</v>
      </c>
      <c r="F67" s="155">
        <v>0</v>
      </c>
      <c r="H67" s="24">
        <v>0</v>
      </c>
      <c r="I67" s="110">
        <v>0</v>
      </c>
      <c r="J67" s="110">
        <v>0</v>
      </c>
      <c r="L67" s="24">
        <v>0</v>
      </c>
      <c r="M67" s="110">
        <v>0</v>
      </c>
      <c r="N67" s="110">
        <v>0</v>
      </c>
    </row>
    <row r="68" spans="2:14">
      <c r="B68" s="61" t="str">
        <v>Free Game</v>
      </c>
      <c r="C68" s="155">
        <v>6266000</v>
      </c>
      <c r="D68" s="155">
        <f>SUM($C$4:C68)</f>
        <v>1000000000</v>
      </c>
      <c r="E68" s="155"/>
      <c r="F68" s="155"/>
      <c r="I68" s="110">
        <v>6.2659999999999999E-3</v>
      </c>
      <c r="M68" s="110"/>
    </row>
  </sheetData>
  <phoneticPr fontId="20" type="noConversion"/>
  <conditionalFormatting sqref="I6:J68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{6EBE3073-27D9-4A5E-9B80-F3DCF52F1BD0}</x14:id>
        </ext>
      </extLst>
    </cfRule>
  </conditionalFormatting>
  <conditionalFormatting sqref="M68:N68 M4:M67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{A8341847-6004-41E0-82FB-AEBE52D042DE}</x14:id>
        </ext>
      </extLst>
    </cfRule>
  </conditionalFormatting>
  <conditionalFormatting sqref="N4:N67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{E5DEB5E2-F5C1-4787-AD23-8C27FF83A025}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BE3073-27D9-4A5E-9B80-F3DCF52F1B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I6:J68</xm:sqref>
        </x14:conditionalFormatting>
        <x14:conditionalFormatting xmlns:xm="http://schemas.microsoft.com/office/excel/2006/main">
          <x14:cfRule type="dataBar" id="{A8341847-6004-41E0-82FB-AEBE52D042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M68:N68 M4:M67</xm:sqref>
        </x14:conditionalFormatting>
        <x14:conditionalFormatting xmlns:xm="http://schemas.microsoft.com/office/excel/2006/main">
          <x14:cfRule type="dataBar" id="{E5DEB5E2-F5C1-4787-AD23-8C27FF83A0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N4:N67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F293-373B-4F9E-BEE0-B02CAC8D3F43}">
  <sheetPr codeName="工作表14"/>
  <dimension ref="B2:K95"/>
  <sheetViews>
    <sheetView workbookViewId="0"/>
  </sheetViews>
  <sheetFormatPr defaultRowHeight="15.6"/>
  <cols>
    <col min="1" max="1" width="8.88671875" style="17"/>
    <col min="2" max="2" width="9" style="17" bestFit="1" customWidth="1"/>
    <col min="3" max="4" width="9.6640625" style="17" bestFit="1" customWidth="1"/>
    <col min="5" max="5" width="8.88671875" style="17"/>
    <col min="6" max="7" width="9" style="17" bestFit="1" customWidth="1"/>
    <col min="8" max="8" width="11.109375" style="17" bestFit="1" customWidth="1"/>
    <col min="9" max="9" width="9.5546875" style="17" bestFit="1" customWidth="1"/>
    <col min="10" max="10" width="9.6640625" style="17" bestFit="1" customWidth="1"/>
    <col min="11" max="11" width="9.5546875" style="17" bestFit="1" customWidth="1"/>
    <col min="12" max="12" width="8.88671875" style="17"/>
    <col min="13" max="14" width="9.6640625" style="17" bestFit="1" customWidth="1"/>
    <col min="15" max="17" width="8.88671875" style="17"/>
    <col min="18" max="18" width="9.5546875" style="17" bestFit="1" customWidth="1"/>
    <col min="19" max="19" width="8.88671875" style="17"/>
    <col min="20" max="20" width="9.5546875" style="17" bestFit="1" customWidth="1"/>
    <col min="21" max="16384" width="8.88671875" style="17"/>
  </cols>
  <sheetData>
    <row r="2" spans="2:9">
      <c r="B2" s="175" t="s">
        <v>182</v>
      </c>
    </row>
    <row r="3" spans="2:9">
      <c r="B3" s="146" t="s">
        <v>71</v>
      </c>
      <c r="C3" s="146" t="s">
        <v>180</v>
      </c>
      <c r="D3" s="146" t="s">
        <v>179</v>
      </c>
    </row>
    <row r="4" spans="2:9">
      <c r="B4" s="133">
        <v>0</v>
      </c>
      <c r="C4" s="176">
        <v>0.12890728185260192</v>
      </c>
      <c r="D4" s="176">
        <v>0.17979999999999999</v>
      </c>
      <c r="G4" s="17">
        <v>0</v>
      </c>
      <c r="H4" s="177" cm="1">
        <f t="array" ref="H4:H13">G4:G13/10000</f>
        <v>0</v>
      </c>
    </row>
    <row r="5" spans="2:9">
      <c r="B5" s="133">
        <v>1</v>
      </c>
      <c r="C5" s="176">
        <v>0.30351325173901561</v>
      </c>
      <c r="D5" s="176">
        <v>0.35339999999999999</v>
      </c>
      <c r="G5" s="17" cm="1">
        <f t="array" ref="G5:G13">TRANSPOSE(Parameter!AD5:AL5)</f>
        <v>500</v>
      </c>
      <c r="H5" s="177">
        <v>0.05</v>
      </c>
    </row>
    <row r="6" spans="2:9">
      <c r="B6" s="133">
        <v>2</v>
      </c>
      <c r="C6" s="176">
        <v>0.30338117460596986</v>
      </c>
      <c r="D6" s="176">
        <v>0.29630000000000001</v>
      </c>
      <c r="G6" s="17">
        <v>1000</v>
      </c>
      <c r="H6" s="177">
        <v>0.1</v>
      </c>
    </row>
    <row r="7" spans="2:9">
      <c r="B7" s="133">
        <v>3</v>
      </c>
      <c r="C7" s="176">
        <v>0.18173813507088141</v>
      </c>
      <c r="D7" s="176">
        <v>0.13270000000000001</v>
      </c>
      <c r="G7" s="17">
        <v>1500</v>
      </c>
      <c r="H7" s="177">
        <v>0.15</v>
      </c>
    </row>
    <row r="8" spans="2:9">
      <c r="B8" s="133">
        <v>4</v>
      </c>
      <c r="C8" s="176">
        <v>6.3705203839042004E-2</v>
      </c>
      <c r="D8" s="176">
        <v>3.3300000000000003E-2</v>
      </c>
      <c r="G8" s="17">
        <v>3000</v>
      </c>
      <c r="H8" s="177">
        <v>0.3</v>
      </c>
    </row>
    <row r="9" spans="2:9">
      <c r="B9" s="133">
        <v>5</v>
      </c>
      <c r="C9" s="176">
        <v>1.4748613190103021E-2</v>
      </c>
      <c r="D9" s="176">
        <v>4.4000000000000003E-3</v>
      </c>
      <c r="G9" s="17">
        <v>10000</v>
      </c>
      <c r="H9" s="177">
        <v>1</v>
      </c>
    </row>
    <row r="10" spans="2:9">
      <c r="B10" s="133">
        <v>6</v>
      </c>
      <c r="C10" s="176">
        <v>3.6101083032490976E-3</v>
      </c>
      <c r="D10" s="176">
        <v>2.0000000000000001E-4</v>
      </c>
      <c r="G10" s="17">
        <v>10000</v>
      </c>
      <c r="H10" s="177">
        <v>1</v>
      </c>
    </row>
    <row r="11" spans="2:9">
      <c r="B11" s="133">
        <v>7</v>
      </c>
      <c r="C11" s="176">
        <v>3.9623139913709608E-4</v>
      </c>
      <c r="D11" s="176">
        <v>0</v>
      </c>
      <c r="G11" s="17">
        <v>10000</v>
      </c>
      <c r="H11" s="177">
        <v>1</v>
      </c>
    </row>
    <row r="12" spans="2:9">
      <c r="B12" s="133">
        <v>8</v>
      </c>
      <c r="C12" s="176">
        <v>0</v>
      </c>
      <c r="D12" s="176">
        <v>0</v>
      </c>
      <c r="G12" s="17">
        <v>10000</v>
      </c>
      <c r="H12" s="177">
        <v>1</v>
      </c>
    </row>
    <row r="13" spans="2:9">
      <c r="B13" s="133">
        <v>9</v>
      </c>
      <c r="C13" s="176">
        <v>0</v>
      </c>
      <c r="D13" s="176">
        <v>0</v>
      </c>
      <c r="G13" s="17">
        <v>10000</v>
      </c>
      <c r="H13" s="177">
        <v>1</v>
      </c>
    </row>
    <row r="16" spans="2:9">
      <c r="B16" s="178" t="s">
        <v>181</v>
      </c>
      <c r="I16" s="17">
        <f>1/I17</f>
        <v>12.2256861666361</v>
      </c>
    </row>
    <row r="17" spans="2:10">
      <c r="B17" s="146"/>
      <c r="C17" s="146" t="s">
        <v>180</v>
      </c>
      <c r="D17" s="146" t="s">
        <v>179</v>
      </c>
      <c r="H17" s="177"/>
      <c r="I17" s="177">
        <f>SUMPRODUCT(H4:H13,D4:D13)</f>
        <v>8.179500000000002E-2</v>
      </c>
    </row>
    <row r="18" spans="2:10">
      <c r="B18" s="179">
        <v>0</v>
      </c>
      <c r="C18" s="180">
        <v>0.86973562490871026</v>
      </c>
      <c r="D18" s="180" cm="1">
        <f t="array" ref="D18:D30">J18:J30</f>
        <v>0.74374605000000005</v>
      </c>
      <c r="F18" s="17" cm="1">
        <f t="array" ref="F18:F30">TRANSPOSE(Parameter!O16:AA16)</f>
        <v>8100</v>
      </c>
      <c r="G18" s="17" cm="1">
        <f t="array" ref="G18:G30">TRANSPOSE(Parameter!O5:AA5)</f>
        <v>0</v>
      </c>
      <c r="H18" s="177" cm="1">
        <f t="array" ref="H18:H30">_xlfn.ANCHORARRAY(F18)/SUM(_xlfn.ANCHORARRAY(F18))*(1-I17)</f>
        <v>0.74374605000000005</v>
      </c>
      <c r="I18" s="177" cm="1">
        <f t="array" ref="I18:I30">_xlfn.ANCHORARRAY(G18)/SUM(_xlfn.ANCHORARRAY(G18))*I17</f>
        <v>0</v>
      </c>
      <c r="J18" s="177" cm="1">
        <f t="array" ref="J18:J22">H18:H22</f>
        <v>0.74374605000000005</v>
      </c>
    </row>
    <row r="19" spans="2:10">
      <c r="B19" s="181">
        <v>2</v>
      </c>
      <c r="C19" s="182">
        <v>3.4690101757631819E-2</v>
      </c>
      <c r="D19" s="182">
        <v>5.5092299999999997E-2</v>
      </c>
      <c r="F19" s="17">
        <v>600</v>
      </c>
      <c r="G19" s="17">
        <v>0</v>
      </c>
      <c r="H19" s="177">
        <v>5.5092299999999997E-2</v>
      </c>
      <c r="I19" s="177">
        <v>0</v>
      </c>
      <c r="J19" s="177">
        <v>5.5092299999999997E-2</v>
      </c>
    </row>
    <row r="20" spans="2:10">
      <c r="B20" s="181">
        <v>3</v>
      </c>
      <c r="C20" s="182">
        <v>2.8506743268903064E-2</v>
      </c>
      <c r="D20" s="182">
        <v>4.591025E-2</v>
      </c>
      <c r="F20" s="17">
        <v>500</v>
      </c>
      <c r="G20" s="17">
        <v>0</v>
      </c>
      <c r="H20" s="177">
        <v>4.591025E-2</v>
      </c>
      <c r="I20" s="177">
        <v>0</v>
      </c>
      <c r="J20" s="177">
        <v>4.591025E-2</v>
      </c>
    </row>
    <row r="21" spans="2:10">
      <c r="B21" s="181">
        <v>5</v>
      </c>
      <c r="C21" s="182">
        <v>1.9109985880519986E-2</v>
      </c>
      <c r="D21" s="182">
        <v>3.6728199999999996E-2</v>
      </c>
      <c r="F21" s="17">
        <v>400</v>
      </c>
      <c r="G21" s="17">
        <v>0</v>
      </c>
      <c r="H21" s="177">
        <v>3.6728199999999996E-2</v>
      </c>
      <c r="I21" s="177">
        <v>0</v>
      </c>
      <c r="J21" s="177">
        <v>3.6728199999999996E-2</v>
      </c>
    </row>
    <row r="22" spans="2:10">
      <c r="B22" s="181">
        <v>8</v>
      </c>
      <c r="C22" s="182">
        <v>1.8111884707142509E-2</v>
      </c>
      <c r="D22" s="182">
        <v>3.6728199999999996E-2</v>
      </c>
      <c r="F22" s="17">
        <v>400</v>
      </c>
      <c r="G22" s="17">
        <v>0</v>
      </c>
      <c r="H22" s="177">
        <v>3.6728199999999996E-2</v>
      </c>
      <c r="I22" s="177">
        <v>0</v>
      </c>
      <c r="J22" s="177">
        <v>3.6728199999999996E-2</v>
      </c>
    </row>
    <row r="23" spans="2:10">
      <c r="B23" s="181">
        <v>10</v>
      </c>
      <c r="C23" s="182">
        <v>1.4849797945372219E-2</v>
      </c>
      <c r="D23" s="182">
        <v>2.781030000000001E-2</v>
      </c>
      <c r="F23" s="17">
        <v>0</v>
      </c>
      <c r="G23" s="17">
        <v>3400</v>
      </c>
      <c r="H23" s="177">
        <v>0</v>
      </c>
      <c r="I23" s="177">
        <v>2.781030000000001E-2</v>
      </c>
      <c r="J23" s="177" cm="1">
        <f t="array" ref="J23:J30">I23:I30</f>
        <v>2.781030000000001E-2</v>
      </c>
    </row>
    <row r="24" spans="2:10">
      <c r="B24" s="181">
        <v>15</v>
      </c>
      <c r="C24" s="182">
        <v>8.7881591119333951E-3</v>
      </c>
      <c r="D24" s="182">
        <v>9.8154000000000019E-3</v>
      </c>
      <c r="F24" s="17">
        <v>0</v>
      </c>
      <c r="G24" s="17">
        <v>1200</v>
      </c>
      <c r="H24" s="177">
        <v>0</v>
      </c>
      <c r="I24" s="177">
        <v>9.8154000000000019E-3</v>
      </c>
      <c r="J24" s="177">
        <v>9.8154000000000019E-3</v>
      </c>
    </row>
    <row r="25" spans="2:10">
      <c r="B25" s="181">
        <v>20</v>
      </c>
      <c r="C25" s="182">
        <v>4.5523151078436146E-3</v>
      </c>
      <c r="D25" s="182">
        <v>1.9630800000000004E-2</v>
      </c>
      <c r="F25" s="17">
        <v>0</v>
      </c>
      <c r="G25" s="17">
        <v>2400</v>
      </c>
      <c r="H25" s="177">
        <v>0</v>
      </c>
      <c r="I25" s="177">
        <v>1.9630800000000004E-2</v>
      </c>
      <c r="J25" s="177">
        <v>1.9630800000000004E-2</v>
      </c>
    </row>
    <row r="26" spans="2:10">
      <c r="B26" s="181">
        <v>25</v>
      </c>
      <c r="C26" s="182">
        <v>1.3876040703052729E-3</v>
      </c>
      <c r="D26" s="182">
        <v>4.0897500000000014E-3</v>
      </c>
      <c r="F26" s="17">
        <v>0</v>
      </c>
      <c r="G26" s="17">
        <v>500</v>
      </c>
      <c r="H26" s="177">
        <v>0</v>
      </c>
      <c r="I26" s="177">
        <v>4.0897500000000014E-3</v>
      </c>
      <c r="J26" s="177">
        <v>4.0897500000000014E-3</v>
      </c>
    </row>
    <row r="27" spans="2:10">
      <c r="B27" s="181">
        <v>35</v>
      </c>
      <c r="C27" s="182">
        <v>1.9475144846389794E-4</v>
      </c>
      <c r="D27" s="182">
        <v>1.6359000000000005E-3</v>
      </c>
      <c r="F27" s="17">
        <v>0</v>
      </c>
      <c r="G27" s="17">
        <v>200</v>
      </c>
      <c r="H27" s="177">
        <v>0</v>
      </c>
      <c r="I27" s="177">
        <v>1.6359000000000005E-3</v>
      </c>
      <c r="J27" s="177">
        <v>1.6359000000000005E-3</v>
      </c>
    </row>
    <row r="28" spans="2:10">
      <c r="B28" s="181">
        <v>50</v>
      </c>
      <c r="C28" s="182">
        <v>2.4343931057987243E-5</v>
      </c>
      <c r="D28" s="182">
        <v>1.6359000000000005E-3</v>
      </c>
      <c r="F28" s="17">
        <v>0</v>
      </c>
      <c r="G28" s="17">
        <v>200</v>
      </c>
      <c r="H28" s="177">
        <v>0</v>
      </c>
      <c r="I28" s="177">
        <v>1.6359000000000005E-3</v>
      </c>
      <c r="J28" s="177">
        <v>1.6359000000000005E-3</v>
      </c>
    </row>
    <row r="29" spans="2:10">
      <c r="B29" s="181">
        <v>80</v>
      </c>
      <c r="C29" s="182">
        <v>4.8687862115974485E-5</v>
      </c>
      <c r="D29" s="182">
        <v>9.8154000000000019E-3</v>
      </c>
      <c r="F29" s="17">
        <v>0</v>
      </c>
      <c r="G29" s="17">
        <v>1200</v>
      </c>
      <c r="H29" s="177">
        <v>0</v>
      </c>
      <c r="I29" s="177">
        <v>9.8154000000000019E-3</v>
      </c>
      <c r="J29" s="177">
        <v>9.8154000000000019E-3</v>
      </c>
    </row>
    <row r="30" spans="2:10">
      <c r="B30" s="181">
        <v>100</v>
      </c>
      <c r="C30" s="182">
        <v>0</v>
      </c>
      <c r="D30" s="182">
        <v>7.3615500000000014E-3</v>
      </c>
      <c r="F30" s="17">
        <v>0</v>
      </c>
      <c r="G30" s="17">
        <v>900</v>
      </c>
      <c r="H30" s="177">
        <v>0</v>
      </c>
      <c r="I30" s="177">
        <v>7.3615500000000014E-3</v>
      </c>
      <c r="J30" s="177">
        <v>7.3615500000000014E-3</v>
      </c>
    </row>
    <row r="31" spans="2:10">
      <c r="C31" s="17">
        <f>SUMPRODUCT(C18:C30,B18:B30)</f>
        <v>0.81333073664735367</v>
      </c>
      <c r="D31" s="17">
        <f>SUMPRODUCT(D18:D30,B18:B30)</f>
        <v>3.3060142000000008</v>
      </c>
    </row>
    <row r="34" spans="2:9">
      <c r="B34" s="175" t="s">
        <v>183</v>
      </c>
    </row>
    <row r="35" spans="2:9">
      <c r="B35" s="146" t="s">
        <v>71</v>
      </c>
      <c r="C35" s="146" t="s">
        <v>180</v>
      </c>
      <c r="D35" s="146" t="s">
        <v>179</v>
      </c>
    </row>
    <row r="36" spans="2:9">
      <c r="B36" s="133">
        <v>0</v>
      </c>
      <c r="C36" s="176">
        <v>0.12890728185260192</v>
      </c>
      <c r="D36" s="176">
        <v>0</v>
      </c>
      <c r="G36" s="17">
        <v>0</v>
      </c>
      <c r="H36" s="177" cm="1">
        <f t="array" ref="H36:H45">G36:G45/10000</f>
        <v>0</v>
      </c>
    </row>
    <row r="37" spans="2:9">
      <c r="B37" s="133">
        <v>1</v>
      </c>
      <c r="C37" s="176">
        <v>0.30351325173901561</v>
      </c>
      <c r="D37" s="176">
        <v>0</v>
      </c>
      <c r="G37" s="17" cm="1">
        <f t="array" ref="G37:G45">TRANSPOSE(Parameter!AD6:AL6)</f>
        <v>0</v>
      </c>
      <c r="H37" s="177">
        <v>0</v>
      </c>
    </row>
    <row r="38" spans="2:9">
      <c r="B38" s="133">
        <v>2</v>
      </c>
      <c r="C38" s="176">
        <v>0.30338117460596986</v>
      </c>
      <c r="D38" s="176">
        <v>0</v>
      </c>
      <c r="G38" s="17">
        <v>0</v>
      </c>
      <c r="H38" s="177">
        <v>0</v>
      </c>
    </row>
    <row r="39" spans="2:9">
      <c r="B39" s="133">
        <v>3</v>
      </c>
      <c r="C39" s="176">
        <v>0.18173813507088141</v>
      </c>
      <c r="D39" s="176">
        <v>0.17960000000000001</v>
      </c>
      <c r="G39" s="17">
        <v>1000</v>
      </c>
      <c r="H39" s="177">
        <v>0.1</v>
      </c>
    </row>
    <row r="40" spans="2:9">
      <c r="B40" s="133">
        <v>4</v>
      </c>
      <c r="C40" s="176">
        <v>6.3705203839042004E-2</v>
      </c>
      <c r="D40" s="176">
        <v>0.38219999999999998</v>
      </c>
      <c r="G40" s="17">
        <v>1500</v>
      </c>
      <c r="H40" s="177">
        <v>0.15</v>
      </c>
    </row>
    <row r="41" spans="2:9">
      <c r="B41" s="133">
        <v>5</v>
      </c>
      <c r="C41" s="176">
        <v>1.4748613190103021E-2</v>
      </c>
      <c r="D41" s="176">
        <v>0.29920000000000002</v>
      </c>
      <c r="G41" s="17">
        <v>2500</v>
      </c>
      <c r="H41" s="177">
        <v>0.25</v>
      </c>
    </row>
    <row r="42" spans="2:9">
      <c r="B42" s="133">
        <v>6</v>
      </c>
      <c r="C42" s="176">
        <v>3.6101083032490976E-3</v>
      </c>
      <c r="D42" s="176">
        <v>0.1134</v>
      </c>
      <c r="G42" s="17">
        <v>5000</v>
      </c>
      <c r="H42" s="177">
        <v>0.5</v>
      </c>
    </row>
    <row r="43" spans="2:9">
      <c r="B43" s="133">
        <v>7</v>
      </c>
      <c r="C43" s="176">
        <v>3.9623139913709608E-4</v>
      </c>
      <c r="D43" s="176">
        <v>2.3E-2</v>
      </c>
      <c r="G43" s="17">
        <v>10000</v>
      </c>
      <c r="H43" s="177">
        <v>1</v>
      </c>
    </row>
    <row r="44" spans="2:9">
      <c r="B44" s="133">
        <v>8</v>
      </c>
      <c r="C44" s="176">
        <v>0</v>
      </c>
      <c r="D44" s="176">
        <v>2.3999999999999998E-3</v>
      </c>
      <c r="G44" s="17">
        <v>10000</v>
      </c>
      <c r="H44" s="177">
        <v>1</v>
      </c>
    </row>
    <row r="45" spans="2:9">
      <c r="B45" s="133">
        <v>9</v>
      </c>
      <c r="C45" s="176">
        <v>0</v>
      </c>
      <c r="D45" s="176">
        <v>1E-4</v>
      </c>
      <c r="G45" s="17">
        <v>10000</v>
      </c>
      <c r="H45" s="177">
        <v>1</v>
      </c>
    </row>
    <row r="48" spans="2:9">
      <c r="B48" s="178" t="s">
        <v>181</v>
      </c>
      <c r="I48" s="17">
        <f>1/I49</f>
        <v>4.3049636230573851</v>
      </c>
    </row>
    <row r="49" spans="2:10">
      <c r="B49" s="146"/>
      <c r="C49" s="146" t="s">
        <v>180</v>
      </c>
      <c r="D49" s="146" t="s">
        <v>179</v>
      </c>
      <c r="H49" s="177"/>
      <c r="I49" s="177">
        <f>SUMPRODUCT(H36:H45,D36:D45)</f>
        <v>0.23229</v>
      </c>
    </row>
    <row r="50" spans="2:10">
      <c r="B50" s="179">
        <v>0</v>
      </c>
      <c r="C50" s="180">
        <v>0.86973562490871026</v>
      </c>
      <c r="D50" s="180" cm="1">
        <f t="array" ref="D50:D62">J50:J62</f>
        <v>0</v>
      </c>
      <c r="F50" s="17" cm="1">
        <f t="array" ref="F50:F62">TRANSPOSE(Parameter!O17:AA17)</f>
        <v>0</v>
      </c>
      <c r="G50" s="17" cm="1">
        <f t="array" ref="G50:G62">TRANSPOSE(Parameter!O6:AA6)</f>
        <v>0</v>
      </c>
      <c r="H50" s="177" cm="1">
        <f t="array" ref="H50:H62">_xlfn.ANCHORARRAY(F50)/SUM(_xlfn.ANCHORARRAY(F50))*(1-I49)</f>
        <v>0</v>
      </c>
      <c r="I50" s="177" cm="1">
        <f t="array" ref="I50:I62">_xlfn.ANCHORARRAY(G50)/SUM(_xlfn.ANCHORARRAY(G50))*I49</f>
        <v>0</v>
      </c>
      <c r="J50" s="177" cm="1">
        <f t="array" ref="J50:J54">H50:H54</f>
        <v>0</v>
      </c>
    </row>
    <row r="51" spans="2:10">
      <c r="B51" s="181">
        <v>2</v>
      </c>
      <c r="C51" s="182">
        <v>3.4690101757631819E-2</v>
      </c>
      <c r="D51" s="182">
        <v>0.2456672</v>
      </c>
      <c r="F51" s="17">
        <v>3200</v>
      </c>
      <c r="G51" s="17">
        <v>0</v>
      </c>
      <c r="H51" s="177">
        <v>0.2456672</v>
      </c>
      <c r="I51" s="177">
        <v>0</v>
      </c>
      <c r="J51" s="177">
        <v>0.2456672</v>
      </c>
    </row>
    <row r="52" spans="2:10">
      <c r="B52" s="181">
        <v>3</v>
      </c>
      <c r="C52" s="182">
        <v>2.8506743268903064E-2</v>
      </c>
      <c r="D52" s="182">
        <v>0.19960460000000002</v>
      </c>
      <c r="F52" s="17">
        <v>2600</v>
      </c>
      <c r="G52" s="17">
        <v>0</v>
      </c>
      <c r="H52" s="177">
        <v>0.19960460000000002</v>
      </c>
      <c r="I52" s="177">
        <v>0</v>
      </c>
      <c r="J52" s="177">
        <v>0.19960460000000002</v>
      </c>
    </row>
    <row r="53" spans="2:10">
      <c r="B53" s="181">
        <v>5</v>
      </c>
      <c r="C53" s="182">
        <v>1.9109985880519986E-2</v>
      </c>
      <c r="D53" s="182">
        <v>0.1612191</v>
      </c>
      <c r="F53" s="17">
        <v>2100</v>
      </c>
      <c r="G53" s="17">
        <v>0</v>
      </c>
      <c r="H53" s="177">
        <v>0.1612191</v>
      </c>
      <c r="I53" s="177">
        <v>0</v>
      </c>
      <c r="J53" s="177">
        <v>0.1612191</v>
      </c>
    </row>
    <row r="54" spans="2:10">
      <c r="B54" s="181">
        <v>8</v>
      </c>
      <c r="C54" s="182">
        <v>1.8111884707142509E-2</v>
      </c>
      <c r="D54" s="182">
        <v>0.1612191</v>
      </c>
      <c r="F54" s="17">
        <v>2100</v>
      </c>
      <c r="G54" s="17">
        <v>0</v>
      </c>
      <c r="H54" s="177">
        <v>0.1612191</v>
      </c>
      <c r="I54" s="177">
        <v>0</v>
      </c>
      <c r="J54" s="177">
        <v>0.1612191</v>
      </c>
    </row>
    <row r="55" spans="2:10">
      <c r="B55" s="181">
        <v>10</v>
      </c>
      <c r="C55" s="182">
        <v>1.4849797945372219E-2</v>
      </c>
      <c r="D55" s="182">
        <v>0.10336905</v>
      </c>
      <c r="F55" s="17">
        <v>0</v>
      </c>
      <c r="G55" s="17">
        <v>4450</v>
      </c>
      <c r="H55" s="177">
        <v>0</v>
      </c>
      <c r="I55" s="177">
        <v>0.10336905</v>
      </c>
      <c r="J55" s="177" cm="1">
        <f t="array" ref="J55:J62">I55:I62</f>
        <v>0.10336905</v>
      </c>
    </row>
    <row r="56" spans="2:10">
      <c r="B56" s="181">
        <v>15</v>
      </c>
      <c r="C56" s="182">
        <v>8.7881591119333951E-3</v>
      </c>
      <c r="D56" s="182">
        <v>1.3937399999999999E-2</v>
      </c>
      <c r="F56" s="17">
        <v>0</v>
      </c>
      <c r="G56" s="17">
        <v>600</v>
      </c>
      <c r="H56" s="177">
        <v>0</v>
      </c>
      <c r="I56" s="177">
        <v>1.3937399999999999E-2</v>
      </c>
      <c r="J56" s="177">
        <v>1.3937399999999999E-2</v>
      </c>
    </row>
    <row r="57" spans="2:10">
      <c r="B57" s="181">
        <v>20</v>
      </c>
      <c r="C57" s="182">
        <v>4.5523151078436146E-3</v>
      </c>
      <c r="D57" s="182">
        <v>5.5749599999999996E-2</v>
      </c>
      <c r="F57" s="17">
        <v>0</v>
      </c>
      <c r="G57" s="17">
        <v>2400</v>
      </c>
      <c r="H57" s="177">
        <v>0</v>
      </c>
      <c r="I57" s="177">
        <v>5.5749599999999996E-2</v>
      </c>
      <c r="J57" s="177">
        <v>5.5749599999999996E-2</v>
      </c>
    </row>
    <row r="58" spans="2:10">
      <c r="B58" s="181">
        <v>25</v>
      </c>
      <c r="C58" s="182">
        <v>1.3876040703052729E-3</v>
      </c>
      <c r="D58" s="182">
        <v>5.8072499999999999E-3</v>
      </c>
      <c r="F58" s="17">
        <v>0</v>
      </c>
      <c r="G58" s="17">
        <v>250</v>
      </c>
      <c r="H58" s="177">
        <v>0</v>
      </c>
      <c r="I58" s="177">
        <v>5.8072499999999999E-3</v>
      </c>
      <c r="J58" s="177">
        <v>5.8072499999999999E-3</v>
      </c>
    </row>
    <row r="59" spans="2:10">
      <c r="B59" s="181">
        <v>35</v>
      </c>
      <c r="C59" s="182">
        <v>1.9475144846389794E-4</v>
      </c>
      <c r="D59" s="182">
        <v>2.3229000000000001E-3</v>
      </c>
      <c r="F59" s="17">
        <v>0</v>
      </c>
      <c r="G59" s="17">
        <v>100</v>
      </c>
      <c r="H59" s="177">
        <v>0</v>
      </c>
      <c r="I59" s="177">
        <v>2.3229000000000001E-3</v>
      </c>
      <c r="J59" s="177">
        <v>2.3229000000000001E-3</v>
      </c>
    </row>
    <row r="60" spans="2:10">
      <c r="B60" s="181">
        <v>50</v>
      </c>
      <c r="C60" s="182">
        <v>2.4343931057987243E-5</v>
      </c>
      <c r="D60" s="182">
        <v>2.3229000000000001E-3</v>
      </c>
      <c r="F60" s="17">
        <v>0</v>
      </c>
      <c r="G60" s="17">
        <v>100</v>
      </c>
      <c r="H60" s="177">
        <v>0</v>
      </c>
      <c r="I60" s="177">
        <v>2.3229000000000001E-3</v>
      </c>
      <c r="J60" s="177">
        <v>2.3229000000000001E-3</v>
      </c>
    </row>
    <row r="61" spans="2:10">
      <c r="B61" s="181">
        <v>80</v>
      </c>
      <c r="C61" s="182">
        <v>4.8687862115974485E-5</v>
      </c>
      <c r="D61" s="182">
        <v>2.7874799999999998E-2</v>
      </c>
      <c r="F61" s="17">
        <v>0</v>
      </c>
      <c r="G61" s="17">
        <v>1200</v>
      </c>
      <c r="H61" s="177">
        <v>0</v>
      </c>
      <c r="I61" s="177">
        <v>2.7874799999999998E-2</v>
      </c>
      <c r="J61" s="177">
        <v>2.7874799999999998E-2</v>
      </c>
    </row>
    <row r="62" spans="2:10">
      <c r="B62" s="181">
        <v>100</v>
      </c>
      <c r="C62" s="182">
        <v>0</v>
      </c>
      <c r="D62" s="182">
        <v>2.09061E-2</v>
      </c>
      <c r="F62" s="17">
        <v>0</v>
      </c>
      <c r="G62" s="17">
        <v>900</v>
      </c>
      <c r="H62" s="177">
        <v>0</v>
      </c>
      <c r="I62" s="177">
        <v>2.09061E-2</v>
      </c>
      <c r="J62" s="177">
        <v>2.09061E-2</v>
      </c>
    </row>
    <row r="63" spans="2:10">
      <c r="C63" s="17">
        <f>SUMPRODUCT(C50:C62,B50:B62)</f>
        <v>0.81333073664735367</v>
      </c>
      <c r="D63" s="17">
        <f>SUMPRODUCT(D50:D62,B50:B62)</f>
        <v>10.206961750000001</v>
      </c>
    </row>
    <row r="66" spans="2:9">
      <c r="B66" s="175" t="s">
        <v>184</v>
      </c>
    </row>
    <row r="67" spans="2:9">
      <c r="B67" s="146" t="s">
        <v>71</v>
      </c>
      <c r="C67" s="146" t="s">
        <v>180</v>
      </c>
      <c r="D67" s="146" t="s">
        <v>179</v>
      </c>
    </row>
    <row r="68" spans="2:9">
      <c r="B68" s="133">
        <v>0</v>
      </c>
      <c r="C68" s="176">
        <v>5.6827150749802685E-2</v>
      </c>
      <c r="D68" s="176">
        <v>0</v>
      </c>
      <c r="G68" s="17">
        <v>0</v>
      </c>
      <c r="H68" s="177" cm="1">
        <f t="array" ref="H68:H77">G68:G77/10000</f>
        <v>0</v>
      </c>
    </row>
    <row r="69" spans="2:9">
      <c r="B69" s="133">
        <v>1</v>
      </c>
      <c r="C69" s="176">
        <v>0.14601420678768745</v>
      </c>
      <c r="D69" s="176">
        <v>0</v>
      </c>
      <c r="G69" s="17" cm="1">
        <f t="array" ref="G69:G77">TRANSPOSE(Parameter!AD8:AL8)</f>
        <v>0</v>
      </c>
      <c r="H69" s="177">
        <v>0</v>
      </c>
    </row>
    <row r="70" spans="2:9">
      <c r="B70" s="133">
        <v>2</v>
      </c>
      <c r="C70" s="176">
        <v>0.23993685872138912</v>
      </c>
      <c r="D70" s="176">
        <v>1.18E-2</v>
      </c>
      <c r="G70" s="17">
        <v>0</v>
      </c>
      <c r="H70" s="177">
        <v>0</v>
      </c>
    </row>
    <row r="71" spans="2:9">
      <c r="B71" s="133">
        <v>3</v>
      </c>
      <c r="C71" s="176">
        <v>0.24072612470402527</v>
      </c>
      <c r="D71" s="176">
        <v>0.23769999999999999</v>
      </c>
      <c r="G71" s="17">
        <v>1000</v>
      </c>
      <c r="H71" s="177">
        <v>0.1</v>
      </c>
    </row>
    <row r="72" spans="2:9">
      <c r="B72" s="133">
        <v>4</v>
      </c>
      <c r="C72" s="176">
        <v>0.17363851617995266</v>
      </c>
      <c r="D72" s="176">
        <v>0.39269999999999999</v>
      </c>
      <c r="G72" s="17">
        <v>1500</v>
      </c>
      <c r="H72" s="177">
        <v>0.15</v>
      </c>
    </row>
    <row r="73" spans="2:9">
      <c r="B73" s="133">
        <v>5</v>
      </c>
      <c r="C73" s="176">
        <v>0.10023677979479084</v>
      </c>
      <c r="D73" s="176">
        <v>0.25750000000000001</v>
      </c>
      <c r="G73" s="17">
        <v>2500</v>
      </c>
      <c r="H73" s="177">
        <v>0.25</v>
      </c>
    </row>
    <row r="74" spans="2:9">
      <c r="B74" s="133">
        <v>6</v>
      </c>
      <c r="C74" s="176">
        <v>3.1570639305445937E-2</v>
      </c>
      <c r="D74" s="176">
        <v>8.2699999999999996E-2</v>
      </c>
      <c r="G74" s="17">
        <v>4000</v>
      </c>
      <c r="H74" s="177">
        <v>0.4</v>
      </c>
    </row>
    <row r="75" spans="2:9">
      <c r="B75" s="133">
        <v>7</v>
      </c>
      <c r="C75" s="176">
        <v>1.0260457774269928E-2</v>
      </c>
      <c r="D75" s="176">
        <v>1.5800000000000002E-2</v>
      </c>
      <c r="G75" s="17">
        <v>10000</v>
      </c>
      <c r="H75" s="177">
        <v>1</v>
      </c>
    </row>
    <row r="76" spans="2:9">
      <c r="B76" s="133">
        <v>8</v>
      </c>
      <c r="C76" s="176">
        <v>7.8926598263614838E-4</v>
      </c>
      <c r="D76" s="176">
        <v>1.6999999999999999E-3</v>
      </c>
      <c r="G76" s="17">
        <v>10000</v>
      </c>
      <c r="H76" s="177">
        <v>1</v>
      </c>
    </row>
    <row r="77" spans="2:9">
      <c r="B77" s="133">
        <v>9</v>
      </c>
      <c r="C77" s="176">
        <v>0</v>
      </c>
      <c r="D77" s="176">
        <v>1E-4</v>
      </c>
      <c r="G77" s="17">
        <v>10000</v>
      </c>
      <c r="H77" s="177">
        <v>1</v>
      </c>
    </row>
    <row r="80" spans="2:9">
      <c r="B80" s="178" t="s">
        <v>181</v>
      </c>
      <c r="I80" s="17">
        <f>1/I81</f>
        <v>5.0574015071056486</v>
      </c>
    </row>
    <row r="81" spans="2:11">
      <c r="B81" s="146"/>
      <c r="C81" s="146" t="s">
        <v>180</v>
      </c>
      <c r="D81" s="146" t="s">
        <v>179</v>
      </c>
      <c r="H81" s="177"/>
      <c r="I81" s="177">
        <f>SUMPRODUCT(H68:H77,D68:D77)</f>
        <v>0.19773000000000002</v>
      </c>
    </row>
    <row r="82" spans="2:11">
      <c r="B82" s="179">
        <v>0</v>
      </c>
      <c r="C82" s="180">
        <v>0.64345873104997198</v>
      </c>
      <c r="D82" s="180" cm="1">
        <f t="array" ref="D82:D94">J82:J94</f>
        <v>0</v>
      </c>
      <c r="F82" s="17" cm="1">
        <f t="array" ref="F82:F94">TRANSPOSE(Parameter!O19:AA19)</f>
        <v>0</v>
      </c>
      <c r="G82" s="17" cm="1">
        <f t="array" ref="G82:G94">TRANSPOSE(Parameter!O8:AA8)</f>
        <v>0</v>
      </c>
      <c r="H82" s="177" cm="1">
        <f t="array" ref="H82:H94">_xlfn.ANCHORARRAY(F82)/SUM(_xlfn.ANCHORARRAY(F82))*(1-I81)</f>
        <v>0</v>
      </c>
      <c r="I82" s="177" cm="1">
        <f t="array" ref="I82:I94">_xlfn.ANCHORARRAY(G82)/SUM(_xlfn.ANCHORARRAY(G82))*I81</f>
        <v>0</v>
      </c>
      <c r="J82" s="177" cm="1">
        <f t="array" ref="J82:J86">H82:H86</f>
        <v>0</v>
      </c>
      <c r="K82" s="183"/>
    </row>
    <row r="83" spans="2:11">
      <c r="B83" s="181">
        <v>2</v>
      </c>
      <c r="C83" s="182">
        <v>0.21617069062324537</v>
      </c>
      <c r="D83" s="182">
        <v>0.51666188000000002</v>
      </c>
      <c r="F83" s="17">
        <v>6440</v>
      </c>
      <c r="G83" s="17">
        <v>0</v>
      </c>
      <c r="H83" s="177">
        <v>0.51666188000000002</v>
      </c>
      <c r="I83" s="177">
        <v>0</v>
      </c>
      <c r="J83" s="177">
        <v>0.51666188000000002</v>
      </c>
      <c r="K83" s="177"/>
    </row>
    <row r="84" spans="2:11">
      <c r="B84" s="181">
        <v>3</v>
      </c>
      <c r="C84" s="182">
        <v>8.5906793935991016E-2</v>
      </c>
      <c r="D84" s="182">
        <v>0.2085902</v>
      </c>
      <c r="F84" s="17">
        <v>2600</v>
      </c>
      <c r="G84" s="17">
        <v>0</v>
      </c>
      <c r="H84" s="177">
        <v>0.2085902</v>
      </c>
      <c r="I84" s="177">
        <v>0</v>
      </c>
      <c r="J84" s="177">
        <v>0.2085902</v>
      </c>
      <c r="K84" s="177"/>
    </row>
    <row r="85" spans="2:11">
      <c r="B85" s="181">
        <v>5</v>
      </c>
      <c r="C85" s="182">
        <v>2.1897810218978103E-2</v>
      </c>
      <c r="D85" s="182">
        <v>5.2949820000000002E-2</v>
      </c>
      <c r="F85" s="17">
        <v>660</v>
      </c>
      <c r="G85" s="17">
        <v>0</v>
      </c>
      <c r="H85" s="177">
        <v>5.2949820000000002E-2</v>
      </c>
      <c r="I85" s="177">
        <v>0</v>
      </c>
      <c r="J85" s="177">
        <v>5.2949820000000002E-2</v>
      </c>
      <c r="K85" s="177"/>
    </row>
    <row r="86" spans="2:11">
      <c r="B86" s="181">
        <v>8</v>
      </c>
      <c r="C86" s="182">
        <v>1.0668163952835485E-2</v>
      </c>
      <c r="D86" s="182">
        <v>2.4068100000000002E-2</v>
      </c>
      <c r="F86" s="17">
        <v>300</v>
      </c>
      <c r="G86" s="17">
        <v>0</v>
      </c>
      <c r="H86" s="177">
        <v>2.4068100000000002E-2</v>
      </c>
      <c r="I86" s="177">
        <v>0</v>
      </c>
      <c r="J86" s="177">
        <v>2.4068100000000002E-2</v>
      </c>
      <c r="K86" s="177"/>
    </row>
    <row r="87" spans="2:11">
      <c r="B87" s="181">
        <v>10</v>
      </c>
      <c r="C87" s="182">
        <v>1.0106681639528355E-2</v>
      </c>
      <c r="D87" s="182">
        <v>7.7114700000000008E-2</v>
      </c>
      <c r="F87" s="17">
        <v>0</v>
      </c>
      <c r="G87" s="17">
        <v>3900</v>
      </c>
      <c r="H87" s="177">
        <v>0</v>
      </c>
      <c r="I87" s="177">
        <v>7.7114700000000008E-2</v>
      </c>
      <c r="J87" s="177" cm="1">
        <f t="array" ref="J87:J94">I87:I94</f>
        <v>7.7114700000000008E-2</v>
      </c>
      <c r="K87" s="177"/>
    </row>
    <row r="88" spans="2:11">
      <c r="B88" s="181">
        <v>15</v>
      </c>
      <c r="C88" s="182">
        <v>5.8955642897248733E-3</v>
      </c>
      <c r="D88" s="182">
        <v>2.9659500000000002E-2</v>
      </c>
      <c r="F88" s="17">
        <v>0</v>
      </c>
      <c r="G88" s="17">
        <v>1500</v>
      </c>
      <c r="H88" s="177">
        <v>0</v>
      </c>
      <c r="I88" s="177">
        <v>2.9659500000000002E-2</v>
      </c>
      <c r="J88" s="177">
        <v>2.9659500000000002E-2</v>
      </c>
      <c r="K88" s="177"/>
    </row>
    <row r="89" spans="2:11">
      <c r="B89" s="181">
        <v>20</v>
      </c>
      <c r="C89" s="182">
        <v>2.807411566535654E-3</v>
      </c>
      <c r="D89" s="182">
        <v>4.9432500000000004E-2</v>
      </c>
      <c r="F89" s="17">
        <v>0</v>
      </c>
      <c r="G89" s="17">
        <v>2500</v>
      </c>
      <c r="H89" s="177">
        <v>0</v>
      </c>
      <c r="I89" s="177">
        <v>4.9432500000000004E-2</v>
      </c>
      <c r="J89" s="177">
        <v>4.9432500000000004E-2</v>
      </c>
      <c r="K89" s="177"/>
    </row>
    <row r="90" spans="2:11">
      <c r="B90" s="181">
        <v>25</v>
      </c>
      <c r="C90" s="182">
        <v>5.6148231330713087E-4</v>
      </c>
      <c r="D90" s="182">
        <v>1.9773000000000004E-3</v>
      </c>
      <c r="F90" s="17">
        <v>0</v>
      </c>
      <c r="G90" s="17">
        <v>100</v>
      </c>
      <c r="H90" s="177">
        <v>0</v>
      </c>
      <c r="I90" s="177">
        <v>1.9773000000000004E-3</v>
      </c>
      <c r="J90" s="177">
        <v>1.9773000000000004E-3</v>
      </c>
      <c r="K90" s="177"/>
    </row>
    <row r="91" spans="2:11">
      <c r="B91" s="181">
        <v>35</v>
      </c>
      <c r="C91" s="182">
        <v>5.6148231330713087E-4</v>
      </c>
      <c r="D91" s="182">
        <v>1.9773000000000004E-3</v>
      </c>
      <c r="F91" s="17">
        <v>0</v>
      </c>
      <c r="G91" s="17">
        <v>100</v>
      </c>
      <c r="H91" s="177">
        <v>0</v>
      </c>
      <c r="I91" s="177">
        <v>1.9773000000000004E-3</v>
      </c>
      <c r="J91" s="177">
        <v>1.9773000000000004E-3</v>
      </c>
      <c r="K91" s="177"/>
    </row>
    <row r="92" spans="2:11">
      <c r="B92" s="181">
        <v>50</v>
      </c>
      <c r="C92" s="182">
        <v>8.4222346996069624E-4</v>
      </c>
      <c r="D92" s="182">
        <v>1.9773000000000004E-3</v>
      </c>
      <c r="F92" s="17">
        <v>0</v>
      </c>
      <c r="G92" s="17">
        <v>100</v>
      </c>
      <c r="H92" s="177">
        <v>0</v>
      </c>
      <c r="I92" s="177">
        <v>1.9773000000000004E-3</v>
      </c>
      <c r="J92" s="177">
        <v>1.9773000000000004E-3</v>
      </c>
      <c r="K92" s="177"/>
    </row>
    <row r="93" spans="2:11">
      <c r="B93" s="181">
        <v>80</v>
      </c>
      <c r="C93" s="182">
        <v>8.4222346996069624E-4</v>
      </c>
      <c r="D93" s="182">
        <v>1.9773000000000002E-2</v>
      </c>
      <c r="F93" s="17">
        <v>0</v>
      </c>
      <c r="G93" s="17">
        <v>1000</v>
      </c>
      <c r="H93" s="177">
        <v>0</v>
      </c>
      <c r="I93" s="177">
        <v>1.9773000000000002E-2</v>
      </c>
      <c r="J93" s="177">
        <v>1.9773000000000002E-2</v>
      </c>
      <c r="K93" s="177"/>
    </row>
    <row r="94" spans="2:11">
      <c r="B94" s="181">
        <v>100</v>
      </c>
      <c r="C94" s="182">
        <v>2.8074115665356543E-4</v>
      </c>
      <c r="D94" s="182">
        <v>1.5818400000000003E-2</v>
      </c>
      <c r="F94" s="17">
        <v>0</v>
      </c>
      <c r="G94" s="17">
        <v>800</v>
      </c>
      <c r="H94" s="177">
        <v>0</v>
      </c>
      <c r="I94" s="177">
        <v>1.5818400000000003E-2</v>
      </c>
      <c r="J94" s="177">
        <v>1.5818400000000003E-2</v>
      </c>
      <c r="K94" s="177"/>
    </row>
    <row r="95" spans="2:11">
      <c r="C95" s="17">
        <f>SUMPRODUCT(C82:C94,B82:B94)</f>
        <v>1.301796743402583</v>
      </c>
      <c r="D95" s="17">
        <f>SUMPRODUCT(D82:D94,B82:B94)</f>
        <v>7.7022607600000006</v>
      </c>
    </row>
  </sheetData>
  <phoneticPr fontId="20" type="noConversion"/>
  <conditionalFormatting sqref="A1:K16 A17:A30 E17:K30 U1:XFD82 L1:T1 A31:K47 U84:XFD87 X83:XFD83 U89:XFD1048576 Z88:XFD88 A63:K79 A48:G62 K48:K62 A95:K1048576 A80:G94 K80:K94">
    <cfRule type="cellIs" dxfId="81" priority="32" operator="equal">
      <formula>0</formula>
    </cfRule>
  </conditionalFormatting>
  <conditionalFormatting sqref="C18:C30">
    <cfRule type="cellIs" dxfId="80" priority="31" operator="equal">
      <formula>0</formula>
    </cfRule>
  </conditionalFormatting>
  <conditionalFormatting sqref="C19:C30"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{A8B2C446-4EE6-42D7-B071-BB870B8DFBD5}</x14:id>
        </ext>
      </extLst>
    </cfRule>
  </conditionalFormatting>
  <conditionalFormatting sqref="C17:D17">
    <cfRule type="cellIs" dxfId="79" priority="29" operator="equal">
      <formula>0</formula>
    </cfRule>
  </conditionalFormatting>
  <conditionalFormatting sqref="D18:D30">
    <cfRule type="cellIs" dxfId="78" priority="28" operator="equal">
      <formula>0</formula>
    </cfRule>
  </conditionalFormatting>
  <conditionalFormatting sqref="D19:D30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{C9C2295E-EA13-4CAD-A312-5E76EA18B4FD}</x14:id>
        </ext>
      </extLst>
    </cfRule>
  </conditionalFormatting>
  <conditionalFormatting sqref="E49:E62 B48:G48 B46:J47 B36:G45 I36:J45 B63 E63:J63 L32:T82 L89:T1048576 L80:AB96">
    <cfRule type="cellIs" dxfId="77" priority="26" operator="equal">
      <formula>0</formula>
    </cfRule>
  </conditionalFormatting>
  <conditionalFormatting sqref="C50:C62">
    <cfRule type="cellIs" dxfId="76" priority="25" operator="equal">
      <formula>0</formula>
    </cfRule>
  </conditionalFormatting>
  <conditionalFormatting sqref="C51:C62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{7BC44335-0568-4DC8-8EB3-5393F9B8EAB0}</x14:id>
        </ext>
      </extLst>
    </cfRule>
  </conditionalFormatting>
  <conditionalFormatting sqref="C49:D49">
    <cfRule type="cellIs" dxfId="75" priority="23" operator="equal">
      <formula>0</formula>
    </cfRule>
  </conditionalFormatting>
  <conditionalFormatting sqref="D50:D62">
    <cfRule type="cellIs" dxfId="74" priority="22" operator="equal">
      <formula>0</formula>
    </cfRule>
  </conditionalFormatting>
  <conditionalFormatting sqref="D51:D62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{15D12382-2572-48D8-A257-B4C80633482D}</x14:id>
        </ext>
      </extLst>
    </cfRule>
  </conditionalFormatting>
  <conditionalFormatting sqref="F49:G62">
    <cfRule type="cellIs" dxfId="73" priority="20" operator="equal">
      <formula>0</formula>
    </cfRule>
  </conditionalFormatting>
  <conditionalFormatting sqref="C63:D63">
    <cfRule type="cellIs" dxfId="72" priority="17" operator="equal">
      <formula>0</formula>
    </cfRule>
  </conditionalFormatting>
  <conditionalFormatting sqref="H36:H45">
    <cfRule type="cellIs" dxfId="71" priority="18" operator="equal">
      <formula>0</formula>
    </cfRule>
  </conditionalFormatting>
  <conditionalFormatting sqref="E81:E94 B80:G80 B78:J79 B68:G77 I68:J77 B95 E95:J95">
    <cfRule type="cellIs" dxfId="70" priority="16" operator="equal">
      <formula>0</formula>
    </cfRule>
  </conditionalFormatting>
  <conditionalFormatting sqref="C82:C94">
    <cfRule type="cellIs" dxfId="69" priority="15" operator="equal">
      <formula>0</formula>
    </cfRule>
  </conditionalFormatting>
  <conditionalFormatting sqref="C83:C94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{1CFC1D78-6CCF-45C3-AE6C-77EA8EDFA9DD}</x14:id>
        </ext>
      </extLst>
    </cfRule>
  </conditionalFormatting>
  <conditionalFormatting sqref="C81:D81">
    <cfRule type="cellIs" dxfId="68" priority="13" operator="equal">
      <formula>0</formula>
    </cfRule>
  </conditionalFormatting>
  <conditionalFormatting sqref="D82:D94">
    <cfRule type="cellIs" dxfId="67" priority="12" operator="equal">
      <formula>0</formula>
    </cfRule>
  </conditionalFormatting>
  <conditionalFormatting sqref="D83:D94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{4295F6B7-33B8-4A69-84B9-548D8EC59B5F}</x14:id>
        </ext>
      </extLst>
    </cfRule>
  </conditionalFormatting>
  <conditionalFormatting sqref="F81:G94">
    <cfRule type="cellIs" dxfId="66" priority="10" operator="equal">
      <formula>0</formula>
    </cfRule>
  </conditionalFormatting>
  <conditionalFormatting sqref="H68:H77">
    <cfRule type="cellIs" dxfId="65" priority="8" operator="equal">
      <formula>0</formula>
    </cfRule>
  </conditionalFormatting>
  <conditionalFormatting sqref="C95:D95">
    <cfRule type="cellIs" dxfId="64" priority="7" operator="equal">
      <formula>0</formula>
    </cfRule>
  </conditionalFormatting>
  <conditionalFormatting sqref="T83:W83">
    <cfRule type="cellIs" dxfId="63" priority="6" operator="equal">
      <formula>0</formula>
    </cfRule>
  </conditionalFormatting>
  <conditionalFormatting sqref="H80:J94">
    <cfRule type="cellIs" dxfId="62" priority="1" operator="equal">
      <formula>0</formula>
    </cfRule>
  </conditionalFormatting>
  <conditionalFormatting sqref="Y88">
    <cfRule type="cellIs" dxfId="61" priority="4" operator="equal">
      <formula>0</formula>
    </cfRule>
  </conditionalFormatting>
  <conditionalFormatting sqref="R88:X88">
    <cfRule type="cellIs" dxfId="60" priority="3" operator="equal">
      <formula>0</formula>
    </cfRule>
  </conditionalFormatting>
  <conditionalFormatting sqref="H48:J62">
    <cfRule type="cellIs" dxfId="59" priority="2" operator="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2C446-4EE6-42D7-B071-BB870B8DFB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C19:C30</xm:sqref>
        </x14:conditionalFormatting>
        <x14:conditionalFormatting xmlns:xm="http://schemas.microsoft.com/office/excel/2006/main">
          <x14:cfRule type="dataBar" id="{C9C2295E-EA13-4CAD-A312-5E76EA18B4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D19:D30</xm:sqref>
        </x14:conditionalFormatting>
        <x14:conditionalFormatting xmlns:xm="http://schemas.microsoft.com/office/excel/2006/main">
          <x14:cfRule type="dataBar" id="{7BC44335-0568-4DC8-8EB3-5393F9B8EA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C51:C62</xm:sqref>
        </x14:conditionalFormatting>
        <x14:conditionalFormatting xmlns:xm="http://schemas.microsoft.com/office/excel/2006/main">
          <x14:cfRule type="dataBar" id="{15D12382-2572-48D8-A257-B4C8063348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D51:D62</xm:sqref>
        </x14:conditionalFormatting>
        <x14:conditionalFormatting xmlns:xm="http://schemas.microsoft.com/office/excel/2006/main">
          <x14:cfRule type="dataBar" id="{1CFC1D78-6CCF-45C3-AE6C-77EA8EDFA9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C83:C94</xm:sqref>
        </x14:conditionalFormatting>
        <x14:conditionalFormatting xmlns:xm="http://schemas.microsoft.com/office/excel/2006/main">
          <x14:cfRule type="dataBar" id="{4295F6B7-33B8-4A69-84B9-548D8EC59B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D83:D94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4E3C5-9CD9-4E40-8469-4E70BBA8CA72}">
  <sheetPr codeName="工作表6"/>
  <dimension ref="A1:P150"/>
  <sheetViews>
    <sheetView workbookViewId="0"/>
  </sheetViews>
  <sheetFormatPr defaultRowHeight="15.6"/>
  <cols>
    <col min="1" max="1" width="19.77734375" style="24" bestFit="1" customWidth="1"/>
    <col min="2" max="2" width="22.88671875" style="24" bestFit="1" customWidth="1"/>
    <col min="3" max="3" width="19.88671875" style="24" bestFit="1" customWidth="1"/>
    <col min="4" max="4" width="25.5546875" style="24" bestFit="1" customWidth="1"/>
    <col min="5" max="5" width="16.88671875" style="24" bestFit="1" customWidth="1"/>
    <col min="6" max="6" width="19.88671875" style="24" bestFit="1" customWidth="1"/>
    <col min="7" max="7" width="14" style="51" bestFit="1" customWidth="1"/>
    <col min="8" max="8" width="25.77734375" style="24" customWidth="1"/>
    <col min="9" max="9" width="14" style="24" bestFit="1" customWidth="1"/>
    <col min="10" max="10" width="12.44140625" style="24" customWidth="1"/>
    <col min="11" max="11" width="15.5546875" style="24" customWidth="1"/>
    <col min="12" max="12" width="18.77734375" style="24" customWidth="1"/>
    <col min="13" max="13" width="12.44140625" style="24" customWidth="1"/>
    <col min="14" max="14" width="19.88671875" style="24" customWidth="1"/>
    <col min="15" max="15" width="8.88671875" style="51" customWidth="1"/>
    <col min="16" max="16" width="11" style="24" bestFit="1" customWidth="1"/>
    <col min="17" max="16384" width="8.88671875" style="24"/>
  </cols>
  <sheetData>
    <row r="1" spans="1:15">
      <c r="A1" s="52"/>
      <c r="B1" s="52"/>
      <c r="C1" s="1"/>
      <c r="D1" s="1"/>
      <c r="E1" s="1"/>
      <c r="F1" s="1"/>
      <c r="H1" s="13"/>
      <c r="I1" s="52"/>
      <c r="J1" s="52"/>
      <c r="K1" s="52"/>
      <c r="L1" s="52"/>
      <c r="M1" s="52"/>
      <c r="N1" s="52"/>
    </row>
    <row r="2" spans="1:15">
      <c r="A2" s="52" t="s">
        <v>62</v>
      </c>
      <c r="B2" s="68">
        <v>1000000000</v>
      </c>
      <c r="C2" s="1"/>
      <c r="D2" s="113"/>
      <c r="E2" s="113"/>
      <c r="F2" s="113"/>
      <c r="G2" s="113"/>
      <c r="K2" s="52"/>
      <c r="L2" s="52"/>
      <c r="M2" s="52"/>
      <c r="N2" s="52"/>
    </row>
    <row r="3" spans="1:15">
      <c r="A3" s="52" t="s">
        <v>74</v>
      </c>
      <c r="B3" s="68">
        <f>Overview!A7</f>
        <v>100</v>
      </c>
      <c r="C3" s="1"/>
      <c r="D3" s="110"/>
      <c r="E3" s="110"/>
      <c r="F3" s="113"/>
      <c r="G3" s="110"/>
    </row>
    <row r="4" spans="1:15">
      <c r="D4" s="113"/>
      <c r="E4" s="113"/>
      <c r="F4" s="113"/>
      <c r="G4" s="113"/>
    </row>
    <row r="5" spans="1:15">
      <c r="A5" s="52"/>
      <c r="B5" s="52"/>
      <c r="C5" s="1" t="s">
        <v>82</v>
      </c>
    </row>
    <row r="6" spans="1:15">
      <c r="A6" s="91"/>
      <c r="B6" s="86" t="s">
        <v>68</v>
      </c>
      <c r="C6" s="86" t="s">
        <v>49</v>
      </c>
      <c r="D6" s="86" t="s">
        <v>50</v>
      </c>
      <c r="E6" s="86" t="s">
        <v>77</v>
      </c>
      <c r="F6" s="86" t="s">
        <v>69</v>
      </c>
      <c r="G6" s="86" t="s">
        <v>70</v>
      </c>
      <c r="H6" s="86" t="s">
        <v>83</v>
      </c>
    </row>
    <row r="7" spans="1:15">
      <c r="A7" s="58" t="s">
        <v>53</v>
      </c>
      <c r="B7" s="58" cm="1">
        <f t="array" ref="B7:B8">Overview!B11:B12</f>
        <v>1</v>
      </c>
      <c r="C7" s="82" t="e">
        <f>SUM(N15:N79)</f>
        <v>#DIV/0!</v>
      </c>
      <c r="D7" s="82" t="e">
        <f>SUM(_xlfn.ANCHORARRAY(N87))*M79</f>
        <v>#DIV/0!</v>
      </c>
      <c r="E7" s="104" t="e">
        <f>SUM(C7:D7)</f>
        <v>#DIV/0!</v>
      </c>
      <c r="F7" s="74" t="e">
        <f>M79</f>
        <v>#DIV/0!</v>
      </c>
      <c r="G7" s="75" t="e">
        <f>1/F7</f>
        <v>#DIV/0!</v>
      </c>
      <c r="H7" s="95" t="e">
        <f>D7*G7</f>
        <v>#DIV/0!</v>
      </c>
      <c r="I7" s="110"/>
    </row>
    <row r="8" spans="1:15">
      <c r="A8" s="58"/>
      <c r="B8" s="58">
        <v>75</v>
      </c>
      <c r="C8" s="82"/>
      <c r="D8" s="82"/>
      <c r="E8" s="104"/>
      <c r="F8" s="65"/>
      <c r="G8" s="75"/>
      <c r="H8" s="95"/>
    </row>
    <row r="9" spans="1:15">
      <c r="A9" s="52"/>
      <c r="B9" s="52"/>
      <c r="C9" s="1"/>
      <c r="D9" s="112"/>
      <c r="E9" s="52"/>
      <c r="F9" s="1"/>
      <c r="H9" s="13"/>
      <c r="I9" s="52"/>
      <c r="J9" s="52"/>
      <c r="K9" s="52"/>
      <c r="L9" s="52"/>
      <c r="M9" s="52"/>
      <c r="N9" s="52"/>
    </row>
    <row r="10" spans="1:15">
      <c r="A10" s="52"/>
      <c r="B10" s="52"/>
      <c r="C10" s="1"/>
      <c r="D10" s="1"/>
      <c r="E10" s="112"/>
      <c r="F10" s="1"/>
      <c r="H10" s="13"/>
      <c r="I10" s="52"/>
      <c r="J10" s="52"/>
      <c r="K10" s="52"/>
      <c r="L10" s="52"/>
      <c r="M10" s="52"/>
      <c r="N10" s="52"/>
    </row>
    <row r="11" spans="1:15" s="57" customFormat="1">
      <c r="A11" s="192" t="s">
        <v>49</v>
      </c>
      <c r="B11" s="192"/>
      <c r="C11" s="192"/>
      <c r="D11" s="192"/>
      <c r="E11" s="53"/>
      <c r="F11" s="53"/>
      <c r="G11" s="88"/>
      <c r="H11" s="55"/>
      <c r="I11" s="56"/>
      <c r="J11" s="54"/>
      <c r="K11" s="54"/>
      <c r="L11" s="54"/>
      <c r="M11" s="54"/>
      <c r="N11" s="54"/>
      <c r="O11" s="88"/>
    </row>
    <row r="12" spans="1:15">
      <c r="A12" s="52"/>
      <c r="B12" s="52"/>
      <c r="C12" s="1"/>
      <c r="D12" s="1"/>
      <c r="E12" s="1"/>
      <c r="F12" s="1"/>
      <c r="H12" s="13"/>
      <c r="I12" s="52"/>
      <c r="J12" s="52"/>
      <c r="K12" s="52"/>
      <c r="L12" s="52"/>
      <c r="M12" s="52"/>
      <c r="N12" s="52"/>
    </row>
    <row r="13" spans="1:15">
      <c r="A13" s="70" t="s">
        <v>75</v>
      </c>
      <c r="B13" s="68">
        <f>10^8</f>
        <v>100000000</v>
      </c>
      <c r="C13" s="1"/>
      <c r="D13" s="1"/>
      <c r="E13" s="1"/>
      <c r="F13" s="1"/>
      <c r="H13" s="70" t="s">
        <v>76</v>
      </c>
      <c r="I13" s="52"/>
      <c r="J13" s="52"/>
      <c r="K13" s="52"/>
      <c r="L13" s="52"/>
      <c r="M13" s="52"/>
      <c r="N13" s="52"/>
    </row>
    <row r="14" spans="1:15">
      <c r="A14" s="20" t="s">
        <v>58</v>
      </c>
      <c r="B14" s="20" t="s">
        <v>59</v>
      </c>
      <c r="C14" s="20" t="s">
        <v>71</v>
      </c>
      <c r="D14" s="20" t="s">
        <v>72</v>
      </c>
      <c r="E14" s="20" t="s">
        <v>73</v>
      </c>
      <c r="F14" s="20" t="s">
        <v>85</v>
      </c>
      <c r="G14" s="90"/>
      <c r="H14" s="20" t="s">
        <v>61</v>
      </c>
      <c r="I14" s="20" t="s">
        <v>63</v>
      </c>
      <c r="J14" s="20" t="s">
        <v>64</v>
      </c>
      <c r="K14" s="20" t="s">
        <v>65</v>
      </c>
      <c r="L14" s="20" t="s">
        <v>66</v>
      </c>
      <c r="M14" s="20" t="s">
        <v>67</v>
      </c>
      <c r="N14" s="20" t="s">
        <v>60</v>
      </c>
      <c r="O14" s="51">
        <v>1.1000000000000001</v>
      </c>
    </row>
    <row r="15" spans="1:15">
      <c r="A15" s="64">
        <v>-1</v>
      </c>
      <c r="B15" s="64">
        <v>0</v>
      </c>
      <c r="C15" s="71"/>
      <c r="D15" s="71"/>
      <c r="E15" s="69" t="e" cm="1">
        <f t="array" ref="E15:E78">_xlfn.LET(_xlpm.x, C15:C78, _xlpm.x/SUM(_xlpm.x))</f>
        <v>#DIV/0!</v>
      </c>
      <c r="F15" s="92" cm="1">
        <f t="array" ref="F15:F80">_xlfn.LET(_xlpm.x, D15:D80/C15:C80/B3, IF(ISERR(_xlpm.x), 0, _xlpm.x))</f>
        <v>0</v>
      </c>
      <c r="G15" s="90"/>
      <c r="H15" s="61" t="str">
        <f>"("&amp;$A15&amp;", "&amp;$B15&amp;"]"</f>
        <v>(-1, 0]</v>
      </c>
      <c r="I15" s="62">
        <v>1</v>
      </c>
      <c r="J15" s="59" t="e" cm="1">
        <f t="array" ref="J15:J79">E15:E79*I15:I79</f>
        <v>#DIV/0!</v>
      </c>
      <c r="K15" s="59" t="e" cm="1">
        <f t="array" ref="K15:K78">J15:J78/SUM(_xlfn.ANCHORARRAY(J15))</f>
        <v>#DIV/0!</v>
      </c>
      <c r="L15" s="128" t="e">
        <f>INT($B$2-SUM(_xlfn.ANCHORARRAY(L16)))</f>
        <v>#DIV/0!</v>
      </c>
      <c r="M15" s="59" t="e" cm="1">
        <f t="array" ref="M15:M79">_xlfn.LET(_xlpm.x, L15:L79, _xlpm.x/SUM(_xlpm.x))</f>
        <v>#DIV/0!</v>
      </c>
      <c r="N15" s="59" t="e" cm="1">
        <f t="array" ref="N15:N79">M15:M79*F15:F79</f>
        <v>#DIV/0!</v>
      </c>
      <c r="O15" s="51" cm="1">
        <f t="array" ref="O15:O78">I15:I78*O14</f>
        <v>1.1000000000000001</v>
      </c>
    </row>
    <row r="16" spans="1:15">
      <c r="A16" s="58">
        <v>0</v>
      </c>
      <c r="B16" s="58">
        <v>1</v>
      </c>
      <c r="C16" s="72"/>
      <c r="D16" s="72"/>
      <c r="E16" s="59" t="e">
        <v>#DIV/0!</v>
      </c>
      <c r="F16" s="93">
        <v>0</v>
      </c>
      <c r="G16" s="90"/>
      <c r="H16" s="61" t="str">
        <f t="shared" ref="H16:H78" si="0">"("&amp;$A16&amp;", "&amp;$B16&amp;"]"</f>
        <v>(0, 1]</v>
      </c>
      <c r="I16" s="62">
        <v>1</v>
      </c>
      <c r="J16" s="59" t="e">
        <v>#DIV/0!</v>
      </c>
      <c r="K16" s="59" t="e">
        <v>#DIV/0!</v>
      </c>
      <c r="L16" s="128" t="e" cm="1">
        <f t="array" ref="L16:L79">INT(K16:K79*$B$2)</f>
        <v>#DIV/0!</v>
      </c>
      <c r="M16" s="59" t="e">
        <v>#DIV/0!</v>
      </c>
      <c r="N16" s="59" t="e">
        <v>#DIV/0!</v>
      </c>
      <c r="O16" s="51">
        <v>1.1000000000000001</v>
      </c>
    </row>
    <row r="17" spans="1:15">
      <c r="A17" s="58">
        <v>1</v>
      </c>
      <c r="B17" s="58">
        <v>2</v>
      </c>
      <c r="C17" s="72"/>
      <c r="D17" s="72"/>
      <c r="E17" s="59" t="e">
        <v>#DIV/0!</v>
      </c>
      <c r="F17" s="93">
        <v>0</v>
      </c>
      <c r="G17" s="90"/>
      <c r="H17" s="61" t="str">
        <f t="shared" si="0"/>
        <v>(1, 2]</v>
      </c>
      <c r="I17" s="62">
        <v>1</v>
      </c>
      <c r="J17" s="59" t="e">
        <v>#DIV/0!</v>
      </c>
      <c r="K17" s="59" t="e">
        <v>#DIV/0!</v>
      </c>
      <c r="L17" s="128" t="e">
        <v>#DIV/0!</v>
      </c>
      <c r="M17" s="59" t="e">
        <v>#DIV/0!</v>
      </c>
      <c r="N17" s="59" t="e">
        <v>#DIV/0!</v>
      </c>
      <c r="O17" s="51">
        <v>1.1000000000000001</v>
      </c>
    </row>
    <row r="18" spans="1:15">
      <c r="A18" s="58">
        <v>2</v>
      </c>
      <c r="B18" s="58">
        <v>3</v>
      </c>
      <c r="C18" s="72"/>
      <c r="D18" s="72"/>
      <c r="E18" s="59" t="e">
        <v>#DIV/0!</v>
      </c>
      <c r="F18" s="93">
        <v>0</v>
      </c>
      <c r="G18" s="90"/>
      <c r="H18" s="61" t="str">
        <f t="shared" si="0"/>
        <v>(2, 3]</v>
      </c>
      <c r="I18" s="62">
        <v>1</v>
      </c>
      <c r="J18" s="59" t="e">
        <v>#DIV/0!</v>
      </c>
      <c r="K18" s="59" t="e">
        <v>#DIV/0!</v>
      </c>
      <c r="L18" s="128" t="e">
        <v>#DIV/0!</v>
      </c>
      <c r="M18" s="59" t="e">
        <v>#DIV/0!</v>
      </c>
      <c r="N18" s="59" t="e">
        <v>#DIV/0!</v>
      </c>
      <c r="O18" s="51">
        <v>1.1000000000000001</v>
      </c>
    </row>
    <row r="19" spans="1:15">
      <c r="A19" s="58">
        <v>3</v>
      </c>
      <c r="B19" s="58">
        <v>4</v>
      </c>
      <c r="C19" s="72"/>
      <c r="D19" s="72"/>
      <c r="E19" s="59" t="e">
        <v>#DIV/0!</v>
      </c>
      <c r="F19" s="93">
        <v>0</v>
      </c>
      <c r="G19" s="90"/>
      <c r="H19" s="61" t="str">
        <f t="shared" si="0"/>
        <v>(3, 4]</v>
      </c>
      <c r="I19" s="62">
        <v>1</v>
      </c>
      <c r="J19" s="59" t="e">
        <v>#DIV/0!</v>
      </c>
      <c r="K19" s="59" t="e">
        <v>#DIV/0!</v>
      </c>
      <c r="L19" s="128" t="e">
        <v>#DIV/0!</v>
      </c>
      <c r="M19" s="59" t="e">
        <v>#DIV/0!</v>
      </c>
      <c r="N19" s="59" t="e">
        <v>#DIV/0!</v>
      </c>
      <c r="O19" s="51">
        <v>1.1000000000000001</v>
      </c>
    </row>
    <row r="20" spans="1:15">
      <c r="A20" s="58">
        <v>4</v>
      </c>
      <c r="B20" s="58">
        <v>5</v>
      </c>
      <c r="C20" s="72"/>
      <c r="D20" s="72"/>
      <c r="E20" s="59" t="e">
        <v>#DIV/0!</v>
      </c>
      <c r="F20" s="93">
        <v>0</v>
      </c>
      <c r="G20" s="90"/>
      <c r="H20" s="61" t="str">
        <f t="shared" si="0"/>
        <v>(4, 5]</v>
      </c>
      <c r="I20" s="62">
        <v>1</v>
      </c>
      <c r="J20" s="59" t="e">
        <v>#DIV/0!</v>
      </c>
      <c r="K20" s="59" t="e">
        <v>#DIV/0!</v>
      </c>
      <c r="L20" s="128" t="e">
        <v>#DIV/0!</v>
      </c>
      <c r="M20" s="59" t="e">
        <v>#DIV/0!</v>
      </c>
      <c r="N20" s="59" t="e">
        <v>#DIV/0!</v>
      </c>
      <c r="O20" s="51">
        <v>1.1000000000000001</v>
      </c>
    </row>
    <row r="21" spans="1:15">
      <c r="A21" s="58">
        <v>5</v>
      </c>
      <c r="B21" s="58">
        <v>6</v>
      </c>
      <c r="C21" s="72"/>
      <c r="D21" s="72"/>
      <c r="E21" s="59" t="e">
        <v>#DIV/0!</v>
      </c>
      <c r="F21" s="93">
        <v>0</v>
      </c>
      <c r="G21" s="90"/>
      <c r="H21" s="61" t="str">
        <f t="shared" si="0"/>
        <v>(5, 6]</v>
      </c>
      <c r="I21" s="62">
        <v>1</v>
      </c>
      <c r="J21" s="59" t="e">
        <v>#DIV/0!</v>
      </c>
      <c r="K21" s="59" t="e">
        <v>#DIV/0!</v>
      </c>
      <c r="L21" s="128" t="e">
        <v>#DIV/0!</v>
      </c>
      <c r="M21" s="59" t="e">
        <v>#DIV/0!</v>
      </c>
      <c r="N21" s="59" t="e">
        <v>#DIV/0!</v>
      </c>
      <c r="O21" s="51">
        <v>1.1000000000000001</v>
      </c>
    </row>
    <row r="22" spans="1:15">
      <c r="A22" s="58">
        <v>6</v>
      </c>
      <c r="B22" s="58">
        <v>7</v>
      </c>
      <c r="C22" s="72"/>
      <c r="D22" s="72"/>
      <c r="E22" s="59" t="e">
        <v>#DIV/0!</v>
      </c>
      <c r="F22" s="93">
        <v>0</v>
      </c>
      <c r="G22" s="90"/>
      <c r="H22" s="61" t="str">
        <f t="shared" si="0"/>
        <v>(6, 7]</v>
      </c>
      <c r="I22" s="62">
        <v>1</v>
      </c>
      <c r="J22" s="59" t="e">
        <v>#DIV/0!</v>
      </c>
      <c r="K22" s="59" t="e">
        <v>#DIV/0!</v>
      </c>
      <c r="L22" s="128" t="e">
        <v>#DIV/0!</v>
      </c>
      <c r="M22" s="59" t="e">
        <v>#DIV/0!</v>
      </c>
      <c r="N22" s="59" t="e">
        <v>#DIV/0!</v>
      </c>
      <c r="O22" s="51">
        <v>1.1000000000000001</v>
      </c>
    </row>
    <row r="23" spans="1:15">
      <c r="A23" s="58">
        <v>7</v>
      </c>
      <c r="B23" s="58">
        <v>8</v>
      </c>
      <c r="C23" s="72"/>
      <c r="D23" s="72"/>
      <c r="E23" s="59" t="e">
        <v>#DIV/0!</v>
      </c>
      <c r="F23" s="93">
        <v>0</v>
      </c>
      <c r="G23" s="90"/>
      <c r="H23" s="61" t="str">
        <f t="shared" si="0"/>
        <v>(7, 8]</v>
      </c>
      <c r="I23" s="62">
        <v>1</v>
      </c>
      <c r="J23" s="59" t="e">
        <v>#DIV/0!</v>
      </c>
      <c r="K23" s="59" t="e">
        <v>#DIV/0!</v>
      </c>
      <c r="L23" s="128" t="e">
        <v>#DIV/0!</v>
      </c>
      <c r="M23" s="59" t="e">
        <v>#DIV/0!</v>
      </c>
      <c r="N23" s="59" t="e">
        <v>#DIV/0!</v>
      </c>
      <c r="O23" s="51">
        <v>1.1000000000000001</v>
      </c>
    </row>
    <row r="24" spans="1:15">
      <c r="A24" s="58">
        <v>8</v>
      </c>
      <c r="B24" s="58">
        <v>9</v>
      </c>
      <c r="C24" s="72"/>
      <c r="D24" s="72"/>
      <c r="E24" s="59" t="e">
        <v>#DIV/0!</v>
      </c>
      <c r="F24" s="93">
        <v>0</v>
      </c>
      <c r="G24" s="90"/>
      <c r="H24" s="61" t="str">
        <f t="shared" si="0"/>
        <v>(8, 9]</v>
      </c>
      <c r="I24" s="62">
        <v>1</v>
      </c>
      <c r="J24" s="59" t="e">
        <v>#DIV/0!</v>
      </c>
      <c r="K24" s="59" t="e">
        <v>#DIV/0!</v>
      </c>
      <c r="L24" s="128" t="e">
        <v>#DIV/0!</v>
      </c>
      <c r="M24" s="59" t="e">
        <v>#DIV/0!</v>
      </c>
      <c r="N24" s="59" t="e">
        <v>#DIV/0!</v>
      </c>
      <c r="O24" s="51">
        <v>1.1000000000000001</v>
      </c>
    </row>
    <row r="25" spans="1:15">
      <c r="A25" s="58">
        <v>9</v>
      </c>
      <c r="B25" s="58">
        <v>10</v>
      </c>
      <c r="C25" s="72"/>
      <c r="D25" s="72"/>
      <c r="E25" s="59" t="e">
        <v>#DIV/0!</v>
      </c>
      <c r="F25" s="93">
        <v>0</v>
      </c>
      <c r="G25" s="90"/>
      <c r="H25" s="61" t="str">
        <f t="shared" si="0"/>
        <v>(9, 10]</v>
      </c>
      <c r="I25" s="62">
        <v>1</v>
      </c>
      <c r="J25" s="59" t="e">
        <v>#DIV/0!</v>
      </c>
      <c r="K25" s="59" t="e">
        <v>#DIV/0!</v>
      </c>
      <c r="L25" s="128" t="e">
        <v>#DIV/0!</v>
      </c>
      <c r="M25" s="59" t="e">
        <v>#DIV/0!</v>
      </c>
      <c r="N25" s="59" t="e">
        <v>#DIV/0!</v>
      </c>
      <c r="O25" s="51">
        <v>1.1000000000000001</v>
      </c>
    </row>
    <row r="26" spans="1:15">
      <c r="A26" s="58">
        <v>10</v>
      </c>
      <c r="B26" s="58">
        <v>15</v>
      </c>
      <c r="C26" s="72"/>
      <c r="D26" s="72"/>
      <c r="E26" s="59" t="e">
        <v>#DIV/0!</v>
      </c>
      <c r="F26" s="93">
        <v>0</v>
      </c>
      <c r="G26" s="107" t="e">
        <f>SUM($L$15:L25)-1000</f>
        <v>#DIV/0!</v>
      </c>
      <c r="H26" s="61" t="str">
        <f t="shared" si="0"/>
        <v>(10, 15]</v>
      </c>
      <c r="I26" s="62">
        <v>1</v>
      </c>
      <c r="J26" s="59" t="e">
        <v>#DIV/0!</v>
      </c>
      <c r="K26" s="59" t="e">
        <v>#DIV/0!</v>
      </c>
      <c r="L26" s="128" t="e">
        <v>#DIV/0!</v>
      </c>
      <c r="M26" s="59" t="e">
        <v>#DIV/0!</v>
      </c>
      <c r="N26" s="59" t="e">
        <v>#DIV/0!</v>
      </c>
      <c r="O26" s="51">
        <v>1.1000000000000001</v>
      </c>
    </row>
    <row r="27" spans="1:15">
      <c r="A27" s="58">
        <v>15</v>
      </c>
      <c r="B27" s="58">
        <v>20</v>
      </c>
      <c r="C27" s="72"/>
      <c r="D27" s="72"/>
      <c r="E27" s="59" t="e">
        <v>#DIV/0!</v>
      </c>
      <c r="F27" s="93">
        <v>0</v>
      </c>
      <c r="G27" s="107" t="e">
        <f>SUM($L$15:L26)-1000</f>
        <v>#DIV/0!</v>
      </c>
      <c r="H27" s="124" t="str">
        <f t="shared" si="0"/>
        <v>(15, 20]</v>
      </c>
      <c r="I27" s="62">
        <v>1</v>
      </c>
      <c r="J27" s="59" t="e">
        <v>#DIV/0!</v>
      </c>
      <c r="K27" s="59" t="e">
        <v>#DIV/0!</v>
      </c>
      <c r="L27" s="128" t="e">
        <v>#DIV/0!</v>
      </c>
      <c r="M27" s="59" t="e">
        <v>#DIV/0!</v>
      </c>
      <c r="N27" s="59" t="e">
        <v>#DIV/0!</v>
      </c>
      <c r="O27" s="51">
        <v>1.1000000000000001</v>
      </c>
    </row>
    <row r="28" spans="1:15">
      <c r="A28" s="58">
        <v>20</v>
      </c>
      <c r="B28" s="58">
        <v>25</v>
      </c>
      <c r="C28" s="72"/>
      <c r="D28" s="72"/>
      <c r="E28" s="59" t="e">
        <v>#DIV/0!</v>
      </c>
      <c r="F28" s="93">
        <v>0</v>
      </c>
      <c r="G28" s="107" t="e">
        <f>SUM($L$15:L27)-1000</f>
        <v>#DIV/0!</v>
      </c>
      <c r="H28" s="61" t="str">
        <f t="shared" si="0"/>
        <v>(20, 25]</v>
      </c>
      <c r="I28" s="62">
        <v>1</v>
      </c>
      <c r="J28" s="59" t="e">
        <v>#DIV/0!</v>
      </c>
      <c r="K28" s="59" t="e">
        <v>#DIV/0!</v>
      </c>
      <c r="L28" s="128" t="e">
        <v>#DIV/0!</v>
      </c>
      <c r="M28" s="59" t="e">
        <v>#DIV/0!</v>
      </c>
      <c r="N28" s="59" t="e">
        <v>#DIV/0!</v>
      </c>
      <c r="O28" s="51">
        <v>1.1000000000000001</v>
      </c>
    </row>
    <row r="29" spans="1:15">
      <c r="A29" s="58">
        <v>25</v>
      </c>
      <c r="B29" s="58">
        <v>30</v>
      </c>
      <c r="C29" s="72"/>
      <c r="D29" s="72"/>
      <c r="E29" s="59" t="e">
        <v>#DIV/0!</v>
      </c>
      <c r="F29" s="93">
        <v>0</v>
      </c>
      <c r="G29" s="107" t="e">
        <f>SUM($L$15:L28)-1000</f>
        <v>#DIV/0!</v>
      </c>
      <c r="H29" s="61" t="str">
        <f t="shared" si="0"/>
        <v>(25, 30]</v>
      </c>
      <c r="I29" s="62">
        <v>1</v>
      </c>
      <c r="J29" s="59" t="e">
        <v>#DIV/0!</v>
      </c>
      <c r="K29" s="59" t="e">
        <v>#DIV/0!</v>
      </c>
      <c r="L29" s="128" t="e">
        <v>#DIV/0!</v>
      </c>
      <c r="M29" s="59" t="e">
        <v>#DIV/0!</v>
      </c>
      <c r="N29" s="59" t="e">
        <v>#DIV/0!</v>
      </c>
      <c r="O29" s="51">
        <v>1.1000000000000001</v>
      </c>
    </row>
    <row r="30" spans="1:15">
      <c r="A30" s="58">
        <v>30</v>
      </c>
      <c r="B30" s="58">
        <v>35</v>
      </c>
      <c r="C30" s="72"/>
      <c r="D30" s="72"/>
      <c r="E30" s="59" t="e">
        <v>#DIV/0!</v>
      </c>
      <c r="F30" s="93">
        <v>0</v>
      </c>
      <c r="G30" s="107" t="e">
        <f>SUM($L$15:L29)-1000</f>
        <v>#DIV/0!</v>
      </c>
      <c r="H30" s="61" t="str">
        <f t="shared" si="0"/>
        <v>(30, 35]</v>
      </c>
      <c r="I30" s="62">
        <v>1</v>
      </c>
      <c r="J30" s="59" t="e">
        <v>#DIV/0!</v>
      </c>
      <c r="K30" s="59" t="e">
        <v>#DIV/0!</v>
      </c>
      <c r="L30" s="128" t="e">
        <v>#DIV/0!</v>
      </c>
      <c r="M30" s="59" t="e">
        <v>#DIV/0!</v>
      </c>
      <c r="N30" s="59" t="e">
        <v>#DIV/0!</v>
      </c>
      <c r="O30" s="51">
        <v>1.1000000000000001</v>
      </c>
    </row>
    <row r="31" spans="1:15">
      <c r="A31" s="58">
        <v>35</v>
      </c>
      <c r="B31" s="58">
        <v>40</v>
      </c>
      <c r="C31" s="72"/>
      <c r="D31" s="72"/>
      <c r="E31" s="59" t="e">
        <v>#DIV/0!</v>
      </c>
      <c r="F31" s="93">
        <v>0</v>
      </c>
      <c r="G31" s="107" t="e">
        <f>SUM($L$15:L30)-1000</f>
        <v>#DIV/0!</v>
      </c>
      <c r="H31" s="124" t="str">
        <f t="shared" si="0"/>
        <v>(35, 40]</v>
      </c>
      <c r="I31" s="62">
        <v>1</v>
      </c>
      <c r="J31" s="59" t="e">
        <v>#DIV/0!</v>
      </c>
      <c r="K31" s="59" t="e">
        <v>#DIV/0!</v>
      </c>
      <c r="L31" s="128" t="e">
        <v>#DIV/0!</v>
      </c>
      <c r="M31" s="59" t="e">
        <v>#DIV/0!</v>
      </c>
      <c r="N31" s="59" t="e">
        <v>#DIV/0!</v>
      </c>
      <c r="O31" s="51">
        <v>1.1000000000000001</v>
      </c>
    </row>
    <row r="32" spans="1:15">
      <c r="A32" s="58">
        <v>40</v>
      </c>
      <c r="B32" s="58">
        <v>45</v>
      </c>
      <c r="C32" s="72"/>
      <c r="D32" s="72"/>
      <c r="E32" s="59" t="e">
        <v>#DIV/0!</v>
      </c>
      <c r="F32" s="93">
        <v>0</v>
      </c>
      <c r="G32" s="107" t="e">
        <f>SUM($L$15:L31)-1000</f>
        <v>#DIV/0!</v>
      </c>
      <c r="H32" s="61" t="str">
        <f t="shared" si="0"/>
        <v>(40, 45]</v>
      </c>
      <c r="I32" s="62">
        <v>1</v>
      </c>
      <c r="J32" s="59" t="e">
        <v>#DIV/0!</v>
      </c>
      <c r="K32" s="59" t="e">
        <v>#DIV/0!</v>
      </c>
      <c r="L32" s="128" t="e">
        <v>#DIV/0!</v>
      </c>
      <c r="M32" s="59" t="e">
        <v>#DIV/0!</v>
      </c>
      <c r="N32" s="59" t="e">
        <v>#DIV/0!</v>
      </c>
      <c r="O32" s="51">
        <v>1.1000000000000001</v>
      </c>
    </row>
    <row r="33" spans="1:15">
      <c r="A33" s="58">
        <v>45</v>
      </c>
      <c r="B33" s="58">
        <v>50</v>
      </c>
      <c r="C33" s="72"/>
      <c r="D33" s="72"/>
      <c r="E33" s="59" t="e">
        <v>#DIV/0!</v>
      </c>
      <c r="F33" s="93">
        <v>0</v>
      </c>
      <c r="G33" s="107" t="e">
        <f>SUM($L$15:L32)-1000</f>
        <v>#DIV/0!</v>
      </c>
      <c r="H33" s="61" t="str">
        <f t="shared" si="0"/>
        <v>(45, 50]</v>
      </c>
      <c r="I33" s="62">
        <v>1</v>
      </c>
      <c r="J33" s="59" t="e">
        <v>#DIV/0!</v>
      </c>
      <c r="K33" s="59" t="e">
        <v>#DIV/0!</v>
      </c>
      <c r="L33" s="128" t="e">
        <v>#DIV/0!</v>
      </c>
      <c r="M33" s="59" t="e">
        <v>#DIV/0!</v>
      </c>
      <c r="N33" s="59" t="e">
        <v>#DIV/0!</v>
      </c>
      <c r="O33" s="51">
        <v>1.1000000000000001</v>
      </c>
    </row>
    <row r="34" spans="1:15">
      <c r="A34" s="58">
        <v>50</v>
      </c>
      <c r="B34" s="58">
        <v>60</v>
      </c>
      <c r="C34" s="72"/>
      <c r="D34" s="72"/>
      <c r="E34" s="59" t="e">
        <v>#DIV/0!</v>
      </c>
      <c r="F34" s="93">
        <v>0</v>
      </c>
      <c r="G34" s="107" t="e">
        <f>SUM($L$15:L33)-1000</f>
        <v>#DIV/0!</v>
      </c>
      <c r="H34" s="124" t="str">
        <f t="shared" si="0"/>
        <v>(50, 60]</v>
      </c>
      <c r="I34" s="62">
        <v>1</v>
      </c>
      <c r="J34" s="59" t="e">
        <v>#DIV/0!</v>
      </c>
      <c r="K34" s="59" t="e">
        <v>#DIV/0!</v>
      </c>
      <c r="L34" s="128" t="e">
        <v>#DIV/0!</v>
      </c>
      <c r="M34" s="59" t="e">
        <v>#DIV/0!</v>
      </c>
      <c r="N34" s="59" t="e">
        <v>#DIV/0!</v>
      </c>
      <c r="O34" s="51">
        <v>1.1000000000000001</v>
      </c>
    </row>
    <row r="35" spans="1:15">
      <c r="A35" s="58">
        <v>60</v>
      </c>
      <c r="B35" s="58">
        <v>70</v>
      </c>
      <c r="C35" s="72"/>
      <c r="D35" s="72"/>
      <c r="E35" s="59" t="e">
        <v>#DIV/0!</v>
      </c>
      <c r="F35" s="93">
        <v>0</v>
      </c>
      <c r="G35" s="90"/>
      <c r="H35" s="61" t="str">
        <f t="shared" si="0"/>
        <v>(60, 70]</v>
      </c>
      <c r="I35" s="62">
        <v>1</v>
      </c>
      <c r="J35" s="59" t="e">
        <v>#DIV/0!</v>
      </c>
      <c r="K35" s="59" t="e">
        <v>#DIV/0!</v>
      </c>
      <c r="L35" s="128" t="e">
        <v>#DIV/0!</v>
      </c>
      <c r="M35" s="59" t="e">
        <v>#DIV/0!</v>
      </c>
      <c r="N35" s="59" t="e">
        <v>#DIV/0!</v>
      </c>
      <c r="O35" s="51">
        <v>1.1000000000000001</v>
      </c>
    </row>
    <row r="36" spans="1:15">
      <c r="A36" s="58">
        <v>70</v>
      </c>
      <c r="B36" s="58">
        <v>80</v>
      </c>
      <c r="C36" s="72"/>
      <c r="D36" s="72"/>
      <c r="E36" s="59" t="e">
        <v>#DIV/0!</v>
      </c>
      <c r="F36" s="93">
        <v>0</v>
      </c>
      <c r="G36" s="90"/>
      <c r="H36" s="61" t="str">
        <f t="shared" si="0"/>
        <v>(70, 80]</v>
      </c>
      <c r="I36" s="62">
        <v>1</v>
      </c>
      <c r="J36" s="59" t="e">
        <v>#DIV/0!</v>
      </c>
      <c r="K36" s="59" t="e">
        <v>#DIV/0!</v>
      </c>
      <c r="L36" s="128" t="e">
        <v>#DIV/0!</v>
      </c>
      <c r="M36" s="59" t="e">
        <v>#DIV/0!</v>
      </c>
      <c r="N36" s="59" t="e">
        <v>#DIV/0!</v>
      </c>
      <c r="O36" s="51">
        <v>1.1000000000000001</v>
      </c>
    </row>
    <row r="37" spans="1:15">
      <c r="A37" s="58">
        <v>80</v>
      </c>
      <c r="B37" s="58">
        <v>90</v>
      </c>
      <c r="C37" s="72"/>
      <c r="D37" s="72"/>
      <c r="E37" s="59" t="e">
        <v>#DIV/0!</v>
      </c>
      <c r="F37" s="93">
        <v>0</v>
      </c>
      <c r="G37" s="90"/>
      <c r="H37" s="61" t="str">
        <f t="shared" si="0"/>
        <v>(80, 90]</v>
      </c>
      <c r="I37" s="62">
        <v>1</v>
      </c>
      <c r="J37" s="59" t="e">
        <v>#DIV/0!</v>
      </c>
      <c r="K37" s="59" t="e">
        <v>#DIV/0!</v>
      </c>
      <c r="L37" s="128" t="e">
        <v>#DIV/0!</v>
      </c>
      <c r="M37" s="59" t="e">
        <v>#DIV/0!</v>
      </c>
      <c r="N37" s="59" t="e">
        <v>#DIV/0!</v>
      </c>
      <c r="O37" s="51">
        <v>1.1000000000000001</v>
      </c>
    </row>
    <row r="38" spans="1:15">
      <c r="A38" s="58">
        <v>90</v>
      </c>
      <c r="B38" s="58">
        <v>100</v>
      </c>
      <c r="C38" s="72"/>
      <c r="D38" s="72"/>
      <c r="E38" s="59" t="e">
        <v>#DIV/0!</v>
      </c>
      <c r="F38" s="93">
        <v>0</v>
      </c>
      <c r="G38" s="90"/>
      <c r="H38" s="61" t="str">
        <f t="shared" si="0"/>
        <v>(90, 100]</v>
      </c>
      <c r="I38" s="62">
        <v>1</v>
      </c>
      <c r="J38" s="59" t="e">
        <v>#DIV/0!</v>
      </c>
      <c r="K38" s="59" t="e">
        <v>#DIV/0!</v>
      </c>
      <c r="L38" s="128" t="e">
        <v>#DIV/0!</v>
      </c>
      <c r="M38" s="59" t="e">
        <v>#DIV/0!</v>
      </c>
      <c r="N38" s="59" t="e">
        <v>#DIV/0!</v>
      </c>
      <c r="O38" s="51">
        <v>1.1000000000000001</v>
      </c>
    </row>
    <row r="39" spans="1:15">
      <c r="A39" s="58">
        <v>100</v>
      </c>
      <c r="B39" s="58">
        <v>120</v>
      </c>
      <c r="C39" s="72"/>
      <c r="D39" s="72"/>
      <c r="E39" s="59" t="e">
        <v>#DIV/0!</v>
      </c>
      <c r="F39" s="93">
        <v>0</v>
      </c>
      <c r="G39" s="90"/>
      <c r="H39" s="61" t="str">
        <f t="shared" si="0"/>
        <v>(100, 120]</v>
      </c>
      <c r="I39" s="62">
        <v>1</v>
      </c>
      <c r="J39" s="59" t="e">
        <v>#DIV/0!</v>
      </c>
      <c r="K39" s="59" t="e">
        <v>#DIV/0!</v>
      </c>
      <c r="L39" s="128" t="e">
        <v>#DIV/0!</v>
      </c>
      <c r="M39" s="59" t="e">
        <v>#DIV/0!</v>
      </c>
      <c r="N39" s="59" t="e">
        <v>#DIV/0!</v>
      </c>
      <c r="O39" s="51">
        <v>1.1000000000000001</v>
      </c>
    </row>
    <row r="40" spans="1:15">
      <c r="A40" s="58">
        <v>120</v>
      </c>
      <c r="B40" s="58">
        <v>140</v>
      </c>
      <c r="C40" s="72"/>
      <c r="D40" s="72"/>
      <c r="E40" s="59" t="e">
        <v>#DIV/0!</v>
      </c>
      <c r="F40" s="93">
        <v>0</v>
      </c>
      <c r="G40" s="90"/>
      <c r="H40" s="61" t="str">
        <f t="shared" si="0"/>
        <v>(120, 140]</v>
      </c>
      <c r="I40" s="62">
        <v>1</v>
      </c>
      <c r="J40" s="59" t="e">
        <v>#DIV/0!</v>
      </c>
      <c r="K40" s="59" t="e">
        <v>#DIV/0!</v>
      </c>
      <c r="L40" s="128" t="e">
        <v>#DIV/0!</v>
      </c>
      <c r="M40" s="59" t="e">
        <v>#DIV/0!</v>
      </c>
      <c r="N40" s="59" t="e">
        <v>#DIV/0!</v>
      </c>
      <c r="O40" s="51">
        <v>1.1000000000000001</v>
      </c>
    </row>
    <row r="41" spans="1:15">
      <c r="A41" s="58">
        <v>140</v>
      </c>
      <c r="B41" s="58">
        <v>160</v>
      </c>
      <c r="C41" s="72"/>
      <c r="D41" s="72"/>
      <c r="E41" s="59" t="e">
        <v>#DIV/0!</v>
      </c>
      <c r="F41" s="93">
        <v>0</v>
      </c>
      <c r="G41" s="90"/>
      <c r="H41" s="61" t="str">
        <f t="shared" si="0"/>
        <v>(140, 160]</v>
      </c>
      <c r="I41" s="62">
        <v>1</v>
      </c>
      <c r="J41" s="59" t="e">
        <v>#DIV/0!</v>
      </c>
      <c r="K41" s="59" t="e">
        <v>#DIV/0!</v>
      </c>
      <c r="L41" s="128" t="e">
        <v>#DIV/0!</v>
      </c>
      <c r="M41" s="59" t="e">
        <v>#DIV/0!</v>
      </c>
      <c r="N41" s="59" t="e">
        <v>#DIV/0!</v>
      </c>
      <c r="O41" s="51">
        <v>1.1000000000000001</v>
      </c>
    </row>
    <row r="42" spans="1:15">
      <c r="A42" s="58">
        <v>160</v>
      </c>
      <c r="B42" s="58">
        <v>180</v>
      </c>
      <c r="C42" s="72"/>
      <c r="D42" s="72"/>
      <c r="E42" s="59" t="e">
        <v>#DIV/0!</v>
      </c>
      <c r="F42" s="93">
        <v>0</v>
      </c>
      <c r="G42" s="90"/>
      <c r="H42" s="61" t="str">
        <f t="shared" si="0"/>
        <v>(160, 180]</v>
      </c>
      <c r="I42" s="62">
        <v>1</v>
      </c>
      <c r="J42" s="59" t="e">
        <v>#DIV/0!</v>
      </c>
      <c r="K42" s="59" t="e">
        <v>#DIV/0!</v>
      </c>
      <c r="L42" s="128" t="e">
        <v>#DIV/0!</v>
      </c>
      <c r="M42" s="59" t="e">
        <v>#DIV/0!</v>
      </c>
      <c r="N42" s="59" t="e">
        <v>#DIV/0!</v>
      </c>
      <c r="O42" s="51">
        <v>1.1000000000000001</v>
      </c>
    </row>
    <row r="43" spans="1:15">
      <c r="A43" s="58">
        <v>180</v>
      </c>
      <c r="B43" s="58">
        <v>200</v>
      </c>
      <c r="C43" s="72"/>
      <c r="D43" s="72"/>
      <c r="E43" s="59" t="e">
        <v>#DIV/0!</v>
      </c>
      <c r="F43" s="93">
        <v>0</v>
      </c>
      <c r="G43" s="90"/>
      <c r="H43" s="61" t="str">
        <f t="shared" si="0"/>
        <v>(180, 200]</v>
      </c>
      <c r="I43" s="62">
        <v>1</v>
      </c>
      <c r="J43" s="59" t="e">
        <v>#DIV/0!</v>
      </c>
      <c r="K43" s="59" t="e">
        <v>#DIV/0!</v>
      </c>
      <c r="L43" s="128" t="e">
        <v>#DIV/0!</v>
      </c>
      <c r="M43" s="59" t="e">
        <v>#DIV/0!</v>
      </c>
      <c r="N43" s="59" t="e">
        <v>#DIV/0!</v>
      </c>
      <c r="O43" s="51">
        <v>1.1000000000000001</v>
      </c>
    </row>
    <row r="44" spans="1:15">
      <c r="A44" s="58">
        <v>200</v>
      </c>
      <c r="B44" s="58">
        <v>250</v>
      </c>
      <c r="C44" s="72"/>
      <c r="D44" s="72"/>
      <c r="E44" s="59" t="e">
        <v>#DIV/0!</v>
      </c>
      <c r="F44" s="93">
        <v>0</v>
      </c>
      <c r="G44" s="90"/>
      <c r="H44" s="61" t="str">
        <f t="shared" si="0"/>
        <v>(200, 250]</v>
      </c>
      <c r="I44" s="62">
        <v>1</v>
      </c>
      <c r="J44" s="59" t="e">
        <v>#DIV/0!</v>
      </c>
      <c r="K44" s="59" t="e">
        <v>#DIV/0!</v>
      </c>
      <c r="L44" s="128" t="e">
        <v>#DIV/0!</v>
      </c>
      <c r="M44" s="59" t="e">
        <v>#DIV/0!</v>
      </c>
      <c r="N44" s="59" t="e">
        <v>#DIV/0!</v>
      </c>
      <c r="O44" s="51">
        <v>1.1000000000000001</v>
      </c>
    </row>
    <row r="45" spans="1:15">
      <c r="A45" s="58">
        <v>250</v>
      </c>
      <c r="B45" s="58">
        <v>300</v>
      </c>
      <c r="C45" s="72"/>
      <c r="D45" s="72"/>
      <c r="E45" s="59" t="e">
        <v>#DIV/0!</v>
      </c>
      <c r="F45" s="93">
        <v>0</v>
      </c>
      <c r="G45" s="90"/>
      <c r="H45" s="61" t="str">
        <f t="shared" si="0"/>
        <v>(250, 300]</v>
      </c>
      <c r="I45" s="62">
        <v>1</v>
      </c>
      <c r="J45" s="59" t="e">
        <v>#DIV/0!</v>
      </c>
      <c r="K45" s="59" t="e">
        <v>#DIV/0!</v>
      </c>
      <c r="L45" s="128" t="e">
        <v>#DIV/0!</v>
      </c>
      <c r="M45" s="59" t="e">
        <v>#DIV/0!</v>
      </c>
      <c r="N45" s="59" t="e">
        <v>#DIV/0!</v>
      </c>
      <c r="O45" s="51">
        <v>1.1000000000000001</v>
      </c>
    </row>
    <row r="46" spans="1:15">
      <c r="A46" s="58">
        <v>300</v>
      </c>
      <c r="B46" s="58">
        <v>350</v>
      </c>
      <c r="C46" s="72"/>
      <c r="D46" s="72"/>
      <c r="E46" s="59" t="e">
        <v>#DIV/0!</v>
      </c>
      <c r="F46" s="93">
        <v>0</v>
      </c>
      <c r="G46" s="90"/>
      <c r="H46" s="61" t="str">
        <f t="shared" si="0"/>
        <v>(300, 350]</v>
      </c>
      <c r="I46" s="62">
        <v>1</v>
      </c>
      <c r="J46" s="59" t="e">
        <v>#DIV/0!</v>
      </c>
      <c r="K46" s="59" t="e">
        <v>#DIV/0!</v>
      </c>
      <c r="L46" s="128" t="e">
        <v>#DIV/0!</v>
      </c>
      <c r="M46" s="59" t="e">
        <v>#DIV/0!</v>
      </c>
      <c r="N46" s="59" t="e">
        <v>#DIV/0!</v>
      </c>
      <c r="O46" s="51">
        <v>1.1000000000000001</v>
      </c>
    </row>
    <row r="47" spans="1:15">
      <c r="A47" s="58">
        <v>350</v>
      </c>
      <c r="B47" s="58">
        <v>400</v>
      </c>
      <c r="C47" s="72"/>
      <c r="D47" s="72"/>
      <c r="E47" s="59" t="e">
        <v>#DIV/0!</v>
      </c>
      <c r="F47" s="93">
        <v>0</v>
      </c>
      <c r="G47" s="90"/>
      <c r="H47" s="61" t="str">
        <f t="shared" si="0"/>
        <v>(350, 400]</v>
      </c>
      <c r="I47" s="62">
        <v>1</v>
      </c>
      <c r="J47" s="59" t="e">
        <v>#DIV/0!</v>
      </c>
      <c r="K47" s="59" t="e">
        <v>#DIV/0!</v>
      </c>
      <c r="L47" s="128" t="e">
        <v>#DIV/0!</v>
      </c>
      <c r="M47" s="59" t="e">
        <v>#DIV/0!</v>
      </c>
      <c r="N47" s="59" t="e">
        <v>#DIV/0!</v>
      </c>
      <c r="O47" s="51">
        <v>1.1000000000000001</v>
      </c>
    </row>
    <row r="48" spans="1:15">
      <c r="A48" s="58">
        <v>400</v>
      </c>
      <c r="B48" s="58">
        <v>450</v>
      </c>
      <c r="C48" s="72"/>
      <c r="D48" s="72"/>
      <c r="E48" s="59" t="e">
        <v>#DIV/0!</v>
      </c>
      <c r="F48" s="93">
        <v>0</v>
      </c>
      <c r="G48" s="90"/>
      <c r="H48" s="61" t="str">
        <f t="shared" si="0"/>
        <v>(400, 450]</v>
      </c>
      <c r="I48" s="62">
        <v>1</v>
      </c>
      <c r="J48" s="59" t="e">
        <v>#DIV/0!</v>
      </c>
      <c r="K48" s="59" t="e">
        <v>#DIV/0!</v>
      </c>
      <c r="L48" s="128" t="e">
        <v>#DIV/0!</v>
      </c>
      <c r="M48" s="59" t="e">
        <v>#DIV/0!</v>
      </c>
      <c r="N48" s="59" t="e">
        <v>#DIV/0!</v>
      </c>
      <c r="O48" s="51">
        <v>1.1000000000000001</v>
      </c>
    </row>
    <row r="49" spans="1:15">
      <c r="A49" s="58">
        <v>450</v>
      </c>
      <c r="B49" s="58">
        <v>500</v>
      </c>
      <c r="C49" s="72"/>
      <c r="D49" s="72"/>
      <c r="E49" s="59" t="e">
        <v>#DIV/0!</v>
      </c>
      <c r="F49" s="93">
        <v>0</v>
      </c>
      <c r="G49" s="90"/>
      <c r="H49" s="61" t="str">
        <f t="shared" si="0"/>
        <v>(450, 500]</v>
      </c>
      <c r="I49" s="62">
        <v>1</v>
      </c>
      <c r="J49" s="59" t="e">
        <v>#DIV/0!</v>
      </c>
      <c r="K49" s="59" t="e">
        <v>#DIV/0!</v>
      </c>
      <c r="L49" s="128" t="e">
        <v>#DIV/0!</v>
      </c>
      <c r="M49" s="59" t="e">
        <v>#DIV/0!</v>
      </c>
      <c r="N49" s="59" t="e">
        <v>#DIV/0!</v>
      </c>
      <c r="O49" s="51">
        <v>1.1000000000000001</v>
      </c>
    </row>
    <row r="50" spans="1:15">
      <c r="A50" s="58">
        <v>500</v>
      </c>
      <c r="B50" s="58">
        <v>550</v>
      </c>
      <c r="C50" s="72"/>
      <c r="D50" s="72"/>
      <c r="E50" s="59" t="e">
        <v>#DIV/0!</v>
      </c>
      <c r="F50" s="93">
        <v>0</v>
      </c>
      <c r="G50" s="90"/>
      <c r="H50" s="61" t="str">
        <f t="shared" si="0"/>
        <v>(500, 550]</v>
      </c>
      <c r="I50" s="62">
        <v>1</v>
      </c>
      <c r="J50" s="59" t="e">
        <v>#DIV/0!</v>
      </c>
      <c r="K50" s="59" t="e">
        <v>#DIV/0!</v>
      </c>
      <c r="L50" s="128" t="e">
        <v>#DIV/0!</v>
      </c>
      <c r="M50" s="59" t="e">
        <v>#DIV/0!</v>
      </c>
      <c r="N50" s="59" t="e">
        <v>#DIV/0!</v>
      </c>
      <c r="O50" s="51">
        <v>1.1000000000000001</v>
      </c>
    </row>
    <row r="51" spans="1:15">
      <c r="A51" s="58">
        <v>550</v>
      </c>
      <c r="B51" s="58">
        <v>600</v>
      </c>
      <c r="C51" s="72"/>
      <c r="D51" s="72"/>
      <c r="E51" s="59" t="e">
        <v>#DIV/0!</v>
      </c>
      <c r="F51" s="93">
        <v>0</v>
      </c>
      <c r="G51" s="90"/>
      <c r="H51" s="61" t="str">
        <f t="shared" si="0"/>
        <v>(550, 600]</v>
      </c>
      <c r="I51" s="62">
        <v>1</v>
      </c>
      <c r="J51" s="59" t="e">
        <v>#DIV/0!</v>
      </c>
      <c r="K51" s="59" t="e">
        <v>#DIV/0!</v>
      </c>
      <c r="L51" s="128" t="e">
        <v>#DIV/0!</v>
      </c>
      <c r="M51" s="59" t="e">
        <v>#DIV/0!</v>
      </c>
      <c r="N51" s="59" t="e">
        <v>#DIV/0!</v>
      </c>
      <c r="O51" s="51">
        <v>1.1000000000000001</v>
      </c>
    </row>
    <row r="52" spans="1:15">
      <c r="A52" s="58">
        <v>600</v>
      </c>
      <c r="B52" s="58">
        <v>650</v>
      </c>
      <c r="C52" s="72"/>
      <c r="D52" s="72"/>
      <c r="E52" s="59" t="e">
        <v>#DIV/0!</v>
      </c>
      <c r="F52" s="93">
        <v>0</v>
      </c>
      <c r="G52" s="90"/>
      <c r="H52" s="61" t="str">
        <f t="shared" si="0"/>
        <v>(600, 650]</v>
      </c>
      <c r="I52" s="62">
        <v>1</v>
      </c>
      <c r="J52" s="59" t="e">
        <v>#DIV/0!</v>
      </c>
      <c r="K52" s="59" t="e">
        <v>#DIV/0!</v>
      </c>
      <c r="L52" s="128" t="e">
        <v>#DIV/0!</v>
      </c>
      <c r="M52" s="59" t="e">
        <v>#DIV/0!</v>
      </c>
      <c r="N52" s="59" t="e">
        <v>#DIV/0!</v>
      </c>
      <c r="O52" s="51">
        <v>1.1000000000000001</v>
      </c>
    </row>
    <row r="53" spans="1:15">
      <c r="A53" s="58">
        <v>650</v>
      </c>
      <c r="B53" s="58">
        <v>700</v>
      </c>
      <c r="C53" s="72"/>
      <c r="D53" s="72"/>
      <c r="E53" s="59" t="e">
        <v>#DIV/0!</v>
      </c>
      <c r="F53" s="93">
        <v>0</v>
      </c>
      <c r="G53" s="90"/>
      <c r="H53" s="61" t="str">
        <f t="shared" si="0"/>
        <v>(650, 700]</v>
      </c>
      <c r="I53" s="62">
        <v>1</v>
      </c>
      <c r="J53" s="59" t="e">
        <v>#DIV/0!</v>
      </c>
      <c r="K53" s="59" t="e">
        <v>#DIV/0!</v>
      </c>
      <c r="L53" s="128" t="e">
        <v>#DIV/0!</v>
      </c>
      <c r="M53" s="59" t="e">
        <v>#DIV/0!</v>
      </c>
      <c r="N53" s="59" t="e">
        <v>#DIV/0!</v>
      </c>
      <c r="O53" s="51">
        <v>1.1000000000000001</v>
      </c>
    </row>
    <row r="54" spans="1:15">
      <c r="A54" s="58">
        <v>700</v>
      </c>
      <c r="B54" s="58">
        <v>750</v>
      </c>
      <c r="C54" s="72"/>
      <c r="D54" s="72"/>
      <c r="E54" s="59" t="e">
        <v>#DIV/0!</v>
      </c>
      <c r="F54" s="93">
        <v>0</v>
      </c>
      <c r="G54" s="90"/>
      <c r="H54" s="61" t="str">
        <f t="shared" si="0"/>
        <v>(700, 750]</v>
      </c>
      <c r="I54" s="62">
        <v>1</v>
      </c>
      <c r="J54" s="59" t="e">
        <v>#DIV/0!</v>
      </c>
      <c r="K54" s="59" t="e">
        <v>#DIV/0!</v>
      </c>
      <c r="L54" s="128" t="e">
        <v>#DIV/0!</v>
      </c>
      <c r="M54" s="59" t="e">
        <v>#DIV/0!</v>
      </c>
      <c r="N54" s="59" t="e">
        <v>#DIV/0!</v>
      </c>
      <c r="O54" s="51">
        <v>1.1000000000000001</v>
      </c>
    </row>
    <row r="55" spans="1:15">
      <c r="A55" s="58">
        <v>750</v>
      </c>
      <c r="B55" s="58">
        <v>800</v>
      </c>
      <c r="C55" s="72"/>
      <c r="D55" s="72"/>
      <c r="E55" s="59" t="e">
        <v>#DIV/0!</v>
      </c>
      <c r="F55" s="93">
        <v>0</v>
      </c>
      <c r="G55" s="90"/>
      <c r="H55" s="61" t="str">
        <f t="shared" si="0"/>
        <v>(750, 800]</v>
      </c>
      <c r="I55" s="62">
        <v>1</v>
      </c>
      <c r="J55" s="59" t="e">
        <v>#DIV/0!</v>
      </c>
      <c r="K55" s="59" t="e">
        <v>#DIV/0!</v>
      </c>
      <c r="L55" s="128" t="e">
        <v>#DIV/0!</v>
      </c>
      <c r="M55" s="59" t="e">
        <v>#DIV/0!</v>
      </c>
      <c r="N55" s="59" t="e">
        <v>#DIV/0!</v>
      </c>
      <c r="O55" s="51">
        <v>1.1000000000000001</v>
      </c>
    </row>
    <row r="56" spans="1:15">
      <c r="A56" s="58">
        <v>800</v>
      </c>
      <c r="B56" s="58">
        <v>850</v>
      </c>
      <c r="C56" s="72"/>
      <c r="D56" s="72"/>
      <c r="E56" s="59" t="e">
        <v>#DIV/0!</v>
      </c>
      <c r="F56" s="93">
        <v>0</v>
      </c>
      <c r="G56" s="90"/>
      <c r="H56" s="61" t="str">
        <f t="shared" si="0"/>
        <v>(800, 850]</v>
      </c>
      <c r="I56" s="62">
        <v>1</v>
      </c>
      <c r="J56" s="59" t="e">
        <v>#DIV/0!</v>
      </c>
      <c r="K56" s="59" t="e">
        <v>#DIV/0!</v>
      </c>
      <c r="L56" s="128" t="e">
        <v>#DIV/0!</v>
      </c>
      <c r="M56" s="59" t="e">
        <v>#DIV/0!</v>
      </c>
      <c r="N56" s="59" t="e">
        <v>#DIV/0!</v>
      </c>
      <c r="O56" s="51">
        <v>1.1000000000000001</v>
      </c>
    </row>
    <row r="57" spans="1:15">
      <c r="A57" s="58">
        <v>850</v>
      </c>
      <c r="B57" s="58">
        <v>900</v>
      </c>
      <c r="C57" s="72"/>
      <c r="D57" s="72"/>
      <c r="E57" s="59" t="e">
        <v>#DIV/0!</v>
      </c>
      <c r="F57" s="93">
        <v>0</v>
      </c>
      <c r="G57" s="90"/>
      <c r="H57" s="61" t="str">
        <f t="shared" si="0"/>
        <v>(850, 900]</v>
      </c>
      <c r="I57" s="62">
        <v>1</v>
      </c>
      <c r="J57" s="59" t="e">
        <v>#DIV/0!</v>
      </c>
      <c r="K57" s="59" t="e">
        <v>#DIV/0!</v>
      </c>
      <c r="L57" s="84" t="e">
        <v>#DIV/0!</v>
      </c>
      <c r="M57" s="59" t="e">
        <v>#DIV/0!</v>
      </c>
      <c r="N57" s="59" t="e">
        <v>#DIV/0!</v>
      </c>
      <c r="O57" s="51">
        <v>1.1000000000000001</v>
      </c>
    </row>
    <row r="58" spans="1:15">
      <c r="A58" s="58">
        <v>900</v>
      </c>
      <c r="B58" s="58">
        <v>950</v>
      </c>
      <c r="C58" s="72"/>
      <c r="D58" s="72"/>
      <c r="E58" s="59" t="e">
        <v>#DIV/0!</v>
      </c>
      <c r="F58" s="93">
        <v>0</v>
      </c>
      <c r="G58" s="90"/>
      <c r="H58" s="61" t="str">
        <f t="shared" si="0"/>
        <v>(900, 950]</v>
      </c>
      <c r="I58" s="62">
        <v>1</v>
      </c>
      <c r="J58" s="59" t="e">
        <v>#DIV/0!</v>
      </c>
      <c r="K58" s="59" t="e">
        <v>#DIV/0!</v>
      </c>
      <c r="L58" s="84" t="e">
        <v>#DIV/0!</v>
      </c>
      <c r="M58" s="59" t="e">
        <v>#DIV/0!</v>
      </c>
      <c r="N58" s="59" t="e">
        <v>#DIV/0!</v>
      </c>
      <c r="O58" s="51">
        <v>1.1000000000000001</v>
      </c>
    </row>
    <row r="59" spans="1:15">
      <c r="A59" s="58">
        <v>950</v>
      </c>
      <c r="B59" s="58">
        <v>1000</v>
      </c>
      <c r="C59" s="72"/>
      <c r="D59" s="72"/>
      <c r="E59" s="59" t="e">
        <v>#DIV/0!</v>
      </c>
      <c r="F59" s="93">
        <v>0</v>
      </c>
      <c r="G59" s="90"/>
      <c r="H59" s="61" t="str">
        <f t="shared" si="0"/>
        <v>(950, 1000]</v>
      </c>
      <c r="I59" s="62">
        <v>1</v>
      </c>
      <c r="J59" s="59" t="e">
        <v>#DIV/0!</v>
      </c>
      <c r="K59" s="59" t="e">
        <v>#DIV/0!</v>
      </c>
      <c r="L59" s="84" t="e">
        <v>#DIV/0!</v>
      </c>
      <c r="M59" s="59" t="e">
        <v>#DIV/0!</v>
      </c>
      <c r="N59" s="59" t="e">
        <v>#DIV/0!</v>
      </c>
      <c r="O59" s="51">
        <v>1.1000000000000001</v>
      </c>
    </row>
    <row r="60" spans="1:15">
      <c r="A60" s="58">
        <v>1000</v>
      </c>
      <c r="B60" s="58">
        <v>2000</v>
      </c>
      <c r="C60" s="72"/>
      <c r="D60" s="72"/>
      <c r="E60" s="59" t="e">
        <v>#DIV/0!</v>
      </c>
      <c r="F60" s="93">
        <v>0</v>
      </c>
      <c r="G60" s="90"/>
      <c r="H60" s="61" t="str">
        <f t="shared" si="0"/>
        <v>(1000, 2000]</v>
      </c>
      <c r="I60" s="62">
        <v>1</v>
      </c>
      <c r="J60" s="59" t="e">
        <v>#DIV/0!</v>
      </c>
      <c r="K60" s="59" t="e">
        <v>#DIV/0!</v>
      </c>
      <c r="L60" s="84" t="e">
        <v>#DIV/0!</v>
      </c>
      <c r="M60" s="59" t="e">
        <v>#DIV/0!</v>
      </c>
      <c r="N60" s="59" t="e">
        <v>#DIV/0!</v>
      </c>
      <c r="O60" s="51">
        <v>1.1000000000000001</v>
      </c>
    </row>
    <row r="61" spans="1:15">
      <c r="A61" s="58">
        <v>2000</v>
      </c>
      <c r="B61" s="58">
        <v>3000</v>
      </c>
      <c r="C61" s="72"/>
      <c r="D61" s="72"/>
      <c r="E61" s="59" t="e">
        <v>#DIV/0!</v>
      </c>
      <c r="F61" s="93">
        <v>0</v>
      </c>
      <c r="G61" s="90"/>
      <c r="H61" s="61" t="str">
        <f t="shared" si="0"/>
        <v>(2000, 3000]</v>
      </c>
      <c r="I61" s="62">
        <v>1</v>
      </c>
      <c r="J61" s="59" t="e">
        <v>#DIV/0!</v>
      </c>
      <c r="K61" s="59" t="e">
        <v>#DIV/0!</v>
      </c>
      <c r="L61" s="84" t="e">
        <v>#DIV/0!</v>
      </c>
      <c r="M61" s="59" t="e">
        <v>#DIV/0!</v>
      </c>
      <c r="N61" s="59" t="e">
        <v>#DIV/0!</v>
      </c>
      <c r="O61" s="51">
        <v>1.1000000000000001</v>
      </c>
    </row>
    <row r="62" spans="1:15">
      <c r="A62" s="58">
        <v>3000</v>
      </c>
      <c r="B62" s="58">
        <v>4000</v>
      </c>
      <c r="C62" s="72"/>
      <c r="D62" s="72"/>
      <c r="E62" s="59" t="e">
        <v>#DIV/0!</v>
      </c>
      <c r="F62" s="93">
        <v>0</v>
      </c>
      <c r="G62" s="90"/>
      <c r="H62" s="61" t="str">
        <f t="shared" si="0"/>
        <v>(3000, 4000]</v>
      </c>
      <c r="I62" s="62">
        <v>1</v>
      </c>
      <c r="J62" s="59" t="e">
        <v>#DIV/0!</v>
      </c>
      <c r="K62" s="59" t="e">
        <v>#DIV/0!</v>
      </c>
      <c r="L62" s="84" t="e">
        <v>#DIV/0!</v>
      </c>
      <c r="M62" s="59" t="e">
        <v>#DIV/0!</v>
      </c>
      <c r="N62" s="59" t="e">
        <v>#DIV/0!</v>
      </c>
      <c r="O62" s="51">
        <v>1.1000000000000001</v>
      </c>
    </row>
    <row r="63" spans="1:15">
      <c r="A63" s="58">
        <v>4000</v>
      </c>
      <c r="B63" s="58">
        <v>5000</v>
      </c>
      <c r="C63" s="72"/>
      <c r="D63" s="72"/>
      <c r="E63" s="59" t="e">
        <v>#DIV/0!</v>
      </c>
      <c r="F63" s="93">
        <v>0</v>
      </c>
      <c r="G63" s="90"/>
      <c r="H63" s="61" t="str">
        <f t="shared" si="0"/>
        <v>(4000, 5000]</v>
      </c>
      <c r="I63" s="62">
        <v>1</v>
      </c>
      <c r="J63" s="59" t="e">
        <v>#DIV/0!</v>
      </c>
      <c r="K63" s="59" t="e">
        <v>#DIV/0!</v>
      </c>
      <c r="L63" s="84" t="e">
        <v>#DIV/0!</v>
      </c>
      <c r="M63" s="59" t="e">
        <v>#DIV/0!</v>
      </c>
      <c r="N63" s="59" t="e">
        <v>#DIV/0!</v>
      </c>
      <c r="O63" s="51">
        <v>1.1000000000000001</v>
      </c>
    </row>
    <row r="64" spans="1:15">
      <c r="A64" s="58">
        <v>5000</v>
      </c>
      <c r="B64" s="58">
        <v>6000</v>
      </c>
      <c r="C64" s="72"/>
      <c r="D64" s="72"/>
      <c r="E64" s="59" t="e">
        <v>#DIV/0!</v>
      </c>
      <c r="F64" s="93">
        <v>0</v>
      </c>
      <c r="G64" s="90"/>
      <c r="H64" s="61" t="str">
        <f t="shared" si="0"/>
        <v>(5000, 6000]</v>
      </c>
      <c r="I64" s="62">
        <v>1</v>
      </c>
      <c r="J64" s="59" t="e">
        <v>#DIV/0!</v>
      </c>
      <c r="K64" s="59" t="e">
        <v>#DIV/0!</v>
      </c>
      <c r="L64" s="84" t="e">
        <v>#DIV/0!</v>
      </c>
      <c r="M64" s="59" t="e">
        <v>#DIV/0!</v>
      </c>
      <c r="N64" s="59" t="e">
        <v>#DIV/0!</v>
      </c>
      <c r="O64" s="51">
        <v>1.1000000000000001</v>
      </c>
    </row>
    <row r="65" spans="1:16">
      <c r="A65" s="58">
        <v>6000</v>
      </c>
      <c r="B65" s="58">
        <v>7000</v>
      </c>
      <c r="C65" s="72"/>
      <c r="D65" s="72"/>
      <c r="E65" s="59" t="e">
        <v>#DIV/0!</v>
      </c>
      <c r="F65" s="93">
        <v>0</v>
      </c>
      <c r="G65" s="90"/>
      <c r="H65" s="61" t="str">
        <f t="shared" si="0"/>
        <v>(6000, 7000]</v>
      </c>
      <c r="I65" s="62">
        <v>1</v>
      </c>
      <c r="J65" s="59" t="e">
        <v>#DIV/0!</v>
      </c>
      <c r="K65" s="59" t="e">
        <v>#DIV/0!</v>
      </c>
      <c r="L65" s="84" t="e">
        <v>#DIV/0!</v>
      </c>
      <c r="M65" s="59" t="e">
        <v>#DIV/0!</v>
      </c>
      <c r="N65" s="59" t="e">
        <v>#DIV/0!</v>
      </c>
      <c r="O65" s="51">
        <v>1.1000000000000001</v>
      </c>
    </row>
    <row r="66" spans="1:16">
      <c r="A66" s="58">
        <v>7000</v>
      </c>
      <c r="B66" s="58">
        <v>8000</v>
      </c>
      <c r="C66" s="72"/>
      <c r="D66" s="72"/>
      <c r="E66" s="59" t="e">
        <v>#DIV/0!</v>
      </c>
      <c r="F66" s="93">
        <v>0</v>
      </c>
      <c r="G66" s="90"/>
      <c r="H66" s="61" t="str">
        <f t="shared" si="0"/>
        <v>(7000, 8000]</v>
      </c>
      <c r="I66" s="62">
        <v>1</v>
      </c>
      <c r="J66" s="59" t="e">
        <v>#DIV/0!</v>
      </c>
      <c r="K66" s="59" t="e">
        <v>#DIV/0!</v>
      </c>
      <c r="L66" s="84" t="e">
        <v>#DIV/0!</v>
      </c>
      <c r="M66" s="59" t="e">
        <v>#DIV/0!</v>
      </c>
      <c r="N66" s="59" t="e">
        <v>#DIV/0!</v>
      </c>
      <c r="O66" s="51">
        <v>1.1000000000000001</v>
      </c>
    </row>
    <row r="67" spans="1:16">
      <c r="A67" s="58">
        <v>8000</v>
      </c>
      <c r="B67" s="58">
        <v>9000</v>
      </c>
      <c r="C67" s="72"/>
      <c r="D67" s="72"/>
      <c r="E67" s="59" t="e">
        <v>#DIV/0!</v>
      </c>
      <c r="F67" s="93">
        <v>0</v>
      </c>
      <c r="G67" s="90"/>
      <c r="H67" s="61" t="str">
        <f t="shared" si="0"/>
        <v>(8000, 9000]</v>
      </c>
      <c r="I67" s="62">
        <v>1</v>
      </c>
      <c r="J67" s="59" t="e">
        <v>#DIV/0!</v>
      </c>
      <c r="K67" s="59" t="e">
        <v>#DIV/0!</v>
      </c>
      <c r="L67" s="84" t="e">
        <v>#DIV/0!</v>
      </c>
      <c r="M67" s="59" t="e">
        <v>#DIV/0!</v>
      </c>
      <c r="N67" s="59" t="e">
        <v>#DIV/0!</v>
      </c>
      <c r="O67" s="51">
        <v>1.1000000000000001</v>
      </c>
    </row>
    <row r="68" spans="1:16">
      <c r="A68" s="58">
        <v>9000</v>
      </c>
      <c r="B68" s="58">
        <v>10000</v>
      </c>
      <c r="C68" s="72"/>
      <c r="D68" s="72"/>
      <c r="E68" s="59" t="e">
        <v>#DIV/0!</v>
      </c>
      <c r="F68" s="93">
        <v>0</v>
      </c>
      <c r="G68" s="90"/>
      <c r="H68" s="61" t="str">
        <f t="shared" si="0"/>
        <v>(9000, 10000]</v>
      </c>
      <c r="I68" s="62">
        <v>1</v>
      </c>
      <c r="J68" s="59" t="e">
        <v>#DIV/0!</v>
      </c>
      <c r="K68" s="59" t="e">
        <v>#DIV/0!</v>
      </c>
      <c r="L68" s="84" t="e">
        <v>#DIV/0!</v>
      </c>
      <c r="M68" s="59" t="e">
        <v>#DIV/0!</v>
      </c>
      <c r="N68" s="59" t="e">
        <v>#DIV/0!</v>
      </c>
      <c r="O68" s="51">
        <v>1.1000000000000001</v>
      </c>
    </row>
    <row r="69" spans="1:16">
      <c r="A69" s="58">
        <v>10000</v>
      </c>
      <c r="B69" s="58">
        <v>20000</v>
      </c>
      <c r="C69" s="72"/>
      <c r="D69" s="72"/>
      <c r="E69" s="59" t="e">
        <v>#DIV/0!</v>
      </c>
      <c r="F69" s="93">
        <v>0</v>
      </c>
      <c r="G69" s="90"/>
      <c r="H69" s="61" t="str">
        <f t="shared" si="0"/>
        <v>(10000, 20000]</v>
      </c>
      <c r="I69" s="62">
        <v>1</v>
      </c>
      <c r="J69" s="59" t="e">
        <v>#DIV/0!</v>
      </c>
      <c r="K69" s="59" t="e">
        <v>#DIV/0!</v>
      </c>
      <c r="L69" s="84" t="e">
        <v>#DIV/0!</v>
      </c>
      <c r="M69" s="59" t="e">
        <v>#DIV/0!</v>
      </c>
      <c r="N69" s="59" t="e">
        <v>#DIV/0!</v>
      </c>
      <c r="O69" s="51">
        <v>1.1000000000000001</v>
      </c>
    </row>
    <row r="70" spans="1:16">
      <c r="A70" s="58">
        <v>20000</v>
      </c>
      <c r="B70" s="58">
        <v>30000</v>
      </c>
      <c r="C70" s="72"/>
      <c r="D70" s="72"/>
      <c r="E70" s="59" t="e">
        <v>#DIV/0!</v>
      </c>
      <c r="F70" s="93">
        <v>0</v>
      </c>
      <c r="G70" s="90"/>
      <c r="H70" s="61" t="str">
        <f t="shared" si="0"/>
        <v>(20000, 30000]</v>
      </c>
      <c r="I70" s="62">
        <v>1</v>
      </c>
      <c r="J70" s="59" t="e">
        <v>#DIV/0!</v>
      </c>
      <c r="K70" s="59" t="e">
        <v>#DIV/0!</v>
      </c>
      <c r="L70" s="84" t="e">
        <v>#DIV/0!</v>
      </c>
      <c r="M70" s="59" t="e">
        <v>#DIV/0!</v>
      </c>
      <c r="N70" s="59" t="e">
        <v>#DIV/0!</v>
      </c>
      <c r="O70" s="51">
        <v>1.1000000000000001</v>
      </c>
    </row>
    <row r="71" spans="1:16">
      <c r="A71" s="58">
        <v>30000</v>
      </c>
      <c r="B71" s="58">
        <v>40000</v>
      </c>
      <c r="C71" s="72"/>
      <c r="D71" s="72"/>
      <c r="E71" s="59" t="e">
        <v>#DIV/0!</v>
      </c>
      <c r="F71" s="93">
        <v>0</v>
      </c>
      <c r="G71" s="90"/>
      <c r="H71" s="61" t="str">
        <f t="shared" si="0"/>
        <v>(30000, 40000]</v>
      </c>
      <c r="I71" s="62">
        <v>1</v>
      </c>
      <c r="J71" s="59" t="e">
        <v>#DIV/0!</v>
      </c>
      <c r="K71" s="59" t="e">
        <v>#DIV/0!</v>
      </c>
      <c r="L71" s="84" t="e">
        <v>#DIV/0!</v>
      </c>
      <c r="M71" s="59" t="e">
        <v>#DIV/0!</v>
      </c>
      <c r="N71" s="59" t="e">
        <v>#DIV/0!</v>
      </c>
      <c r="O71" s="51">
        <v>1.1000000000000001</v>
      </c>
    </row>
    <row r="72" spans="1:16">
      <c r="A72" s="58">
        <v>40000</v>
      </c>
      <c r="B72" s="58">
        <v>50000</v>
      </c>
      <c r="C72" s="72"/>
      <c r="D72" s="72"/>
      <c r="E72" s="59" t="e">
        <v>#DIV/0!</v>
      </c>
      <c r="F72" s="93">
        <v>0</v>
      </c>
      <c r="G72" s="90"/>
      <c r="H72" s="61" t="str">
        <f t="shared" si="0"/>
        <v>(40000, 50000]</v>
      </c>
      <c r="I72" s="62">
        <v>1</v>
      </c>
      <c r="J72" s="59" t="e">
        <v>#DIV/0!</v>
      </c>
      <c r="K72" s="59" t="e">
        <v>#DIV/0!</v>
      </c>
      <c r="L72" s="84" t="e">
        <v>#DIV/0!</v>
      </c>
      <c r="M72" s="59" t="e">
        <v>#DIV/0!</v>
      </c>
      <c r="N72" s="59" t="e">
        <v>#DIV/0!</v>
      </c>
      <c r="O72" s="51">
        <v>1.1000000000000001</v>
      </c>
    </row>
    <row r="73" spans="1:16">
      <c r="A73" s="58">
        <v>50000</v>
      </c>
      <c r="B73" s="58">
        <v>60000</v>
      </c>
      <c r="C73" s="72"/>
      <c r="D73" s="72"/>
      <c r="E73" s="59" t="e">
        <v>#DIV/0!</v>
      </c>
      <c r="F73" s="93">
        <v>0</v>
      </c>
      <c r="G73" s="90"/>
      <c r="H73" s="61" t="str">
        <f t="shared" si="0"/>
        <v>(50000, 60000]</v>
      </c>
      <c r="I73" s="62">
        <v>1</v>
      </c>
      <c r="J73" s="59" t="e">
        <v>#DIV/0!</v>
      </c>
      <c r="K73" s="59" t="e">
        <v>#DIV/0!</v>
      </c>
      <c r="L73" s="84" t="e">
        <v>#DIV/0!</v>
      </c>
      <c r="M73" s="59" t="e">
        <v>#DIV/0!</v>
      </c>
      <c r="N73" s="59" t="e">
        <v>#DIV/0!</v>
      </c>
      <c r="O73" s="51">
        <v>1.1000000000000001</v>
      </c>
    </row>
    <row r="74" spans="1:16">
      <c r="A74" s="58">
        <v>60000</v>
      </c>
      <c r="B74" s="58">
        <v>70000</v>
      </c>
      <c r="C74" s="72"/>
      <c r="D74" s="72"/>
      <c r="E74" s="59" t="e">
        <v>#DIV/0!</v>
      </c>
      <c r="F74" s="93">
        <v>0</v>
      </c>
      <c r="G74" s="90"/>
      <c r="H74" s="61" t="str">
        <f t="shared" si="0"/>
        <v>(60000, 70000]</v>
      </c>
      <c r="I74" s="62">
        <v>1</v>
      </c>
      <c r="J74" s="59" t="e">
        <v>#DIV/0!</v>
      </c>
      <c r="K74" s="59" t="e">
        <v>#DIV/0!</v>
      </c>
      <c r="L74" s="84" t="e">
        <v>#DIV/0!</v>
      </c>
      <c r="M74" s="59" t="e">
        <v>#DIV/0!</v>
      </c>
      <c r="N74" s="59" t="e">
        <v>#DIV/0!</v>
      </c>
      <c r="O74" s="51">
        <v>1.1000000000000001</v>
      </c>
    </row>
    <row r="75" spans="1:16">
      <c r="A75" s="58">
        <v>70000</v>
      </c>
      <c r="B75" s="58">
        <v>80000</v>
      </c>
      <c r="C75" s="72"/>
      <c r="D75" s="72"/>
      <c r="E75" s="59" t="e">
        <v>#DIV/0!</v>
      </c>
      <c r="F75" s="93">
        <v>0</v>
      </c>
      <c r="G75" s="90"/>
      <c r="H75" s="61" t="str">
        <f t="shared" si="0"/>
        <v>(70000, 80000]</v>
      </c>
      <c r="I75" s="62">
        <v>1</v>
      </c>
      <c r="J75" s="59" t="e">
        <v>#DIV/0!</v>
      </c>
      <c r="K75" s="59" t="e">
        <v>#DIV/0!</v>
      </c>
      <c r="L75" s="84" t="e">
        <v>#DIV/0!</v>
      </c>
      <c r="M75" s="59" t="e">
        <v>#DIV/0!</v>
      </c>
      <c r="N75" s="59" t="e">
        <v>#DIV/0!</v>
      </c>
      <c r="O75" s="51">
        <v>1.1000000000000001</v>
      </c>
    </row>
    <row r="76" spans="1:16">
      <c r="A76" s="58">
        <v>80000</v>
      </c>
      <c r="B76" s="58">
        <v>90000</v>
      </c>
      <c r="C76" s="72"/>
      <c r="D76" s="72"/>
      <c r="E76" s="59" t="e">
        <v>#DIV/0!</v>
      </c>
      <c r="F76" s="93">
        <v>0</v>
      </c>
      <c r="G76" s="90"/>
      <c r="H76" s="61" t="str">
        <f t="shared" si="0"/>
        <v>(80000, 90000]</v>
      </c>
      <c r="I76" s="62">
        <v>1</v>
      </c>
      <c r="J76" s="59" t="e">
        <v>#DIV/0!</v>
      </c>
      <c r="K76" s="59" t="e">
        <v>#DIV/0!</v>
      </c>
      <c r="L76" s="84" t="e">
        <v>#DIV/0!</v>
      </c>
      <c r="M76" s="59" t="e">
        <v>#DIV/0!</v>
      </c>
      <c r="N76" s="59" t="e">
        <v>#DIV/0!</v>
      </c>
      <c r="O76" s="51">
        <v>1.1000000000000001</v>
      </c>
    </row>
    <row r="77" spans="1:16">
      <c r="A77" s="58">
        <v>90000</v>
      </c>
      <c r="B77" s="58">
        <v>100000</v>
      </c>
      <c r="C77" s="72"/>
      <c r="D77" s="72"/>
      <c r="E77" s="59" t="e">
        <v>#DIV/0!</v>
      </c>
      <c r="F77" s="93">
        <v>0</v>
      </c>
      <c r="G77" s="90"/>
      <c r="H77" s="61" t="str">
        <f t="shared" si="0"/>
        <v>(90000, 100000]</v>
      </c>
      <c r="I77" s="62">
        <v>1</v>
      </c>
      <c r="J77" s="59" t="e">
        <v>#DIV/0!</v>
      </c>
      <c r="K77" s="59" t="e">
        <v>#DIV/0!</v>
      </c>
      <c r="L77" s="84" t="e">
        <v>#DIV/0!</v>
      </c>
      <c r="M77" s="59" t="e">
        <v>#DIV/0!</v>
      </c>
      <c r="N77" s="59" t="e">
        <v>#DIV/0!</v>
      </c>
      <c r="O77" s="51">
        <v>1.1000000000000001</v>
      </c>
    </row>
    <row r="78" spans="1:16">
      <c r="A78" s="58">
        <v>100000</v>
      </c>
      <c r="B78" s="58">
        <v>9999999</v>
      </c>
      <c r="C78" s="72"/>
      <c r="D78" s="72"/>
      <c r="E78" s="59" t="e">
        <v>#DIV/0!</v>
      </c>
      <c r="F78" s="93">
        <v>0</v>
      </c>
      <c r="G78" s="90"/>
      <c r="H78" s="61" t="str">
        <f t="shared" si="0"/>
        <v>(100000, 9999999]</v>
      </c>
      <c r="I78" s="62">
        <v>1</v>
      </c>
      <c r="J78" s="59" t="e">
        <v>#DIV/0!</v>
      </c>
      <c r="K78" s="59" t="e">
        <v>#DIV/0!</v>
      </c>
      <c r="L78" s="84" t="e">
        <v>#DIV/0!</v>
      </c>
      <c r="M78" s="59" t="e">
        <v>#DIV/0!</v>
      </c>
      <c r="N78" s="59" t="e">
        <v>#DIV/0!</v>
      </c>
      <c r="O78" s="51">
        <v>1.1000000000000001</v>
      </c>
    </row>
    <row r="79" spans="1:16">
      <c r="A79" s="193" t="s">
        <v>78</v>
      </c>
      <c r="B79" s="194"/>
      <c r="C79" s="73">
        <f>E79*B13</f>
        <v>0</v>
      </c>
      <c r="D79" s="72"/>
      <c r="E79" s="67"/>
      <c r="F79" s="93">
        <v>0</v>
      </c>
      <c r="G79" s="107" t="e">
        <f>SUM($L$15:L79)-100</f>
        <v>#DIV/0!</v>
      </c>
      <c r="H79" s="61" t="s">
        <v>78</v>
      </c>
      <c r="I79" s="62">
        <v>1</v>
      </c>
      <c r="J79" s="59">
        <v>0</v>
      </c>
      <c r="K79" s="59">
        <f>J79</f>
        <v>0</v>
      </c>
      <c r="L79" s="84">
        <v>0</v>
      </c>
      <c r="M79" s="63" t="e">
        <v>#DIV/0!</v>
      </c>
      <c r="N79" s="59" t="e">
        <v>#DIV/0!</v>
      </c>
      <c r="P79" s="51"/>
    </row>
    <row r="80" spans="1:16">
      <c r="A80" s="193"/>
      <c r="B80" s="194"/>
      <c r="C80" s="73"/>
      <c r="D80" s="72"/>
      <c r="E80" s="59"/>
      <c r="F80" s="93">
        <v>0</v>
      </c>
      <c r="G80" s="90"/>
      <c r="H80" s="61"/>
      <c r="I80" s="81"/>
      <c r="J80" s="59"/>
      <c r="K80" s="59"/>
      <c r="L80" s="85"/>
      <c r="M80" s="63"/>
      <c r="N80" s="59"/>
      <c r="P80" s="51"/>
    </row>
    <row r="81" spans="1:15">
      <c r="A81" s="66"/>
      <c r="B81" s="52"/>
      <c r="C81" s="1"/>
      <c r="D81" s="1"/>
      <c r="E81" s="1"/>
      <c r="F81" s="1"/>
      <c r="H81" s="13"/>
      <c r="I81" s="52"/>
      <c r="J81" s="52"/>
      <c r="K81" s="52"/>
      <c r="L81" s="68"/>
      <c r="M81" s="52"/>
      <c r="N81" s="52"/>
    </row>
    <row r="82" spans="1:15">
      <c r="A82" s="52"/>
      <c r="D82" s="125"/>
      <c r="E82" s="1"/>
      <c r="F82" s="1"/>
      <c r="H82" s="13"/>
      <c r="I82" s="52"/>
      <c r="J82" s="52"/>
      <c r="K82" s="52"/>
      <c r="L82" s="52"/>
      <c r="M82" s="52"/>
      <c r="N82" s="52"/>
    </row>
    <row r="83" spans="1:15" s="80" customFormat="1">
      <c r="A83" s="192" t="s">
        <v>50</v>
      </c>
      <c r="B83" s="192"/>
      <c r="C83" s="192"/>
      <c r="D83" s="192"/>
      <c r="E83" s="76"/>
      <c r="F83" s="76"/>
      <c r="G83" s="89"/>
      <c r="H83" s="78"/>
      <c r="I83" s="79"/>
      <c r="J83" s="77"/>
      <c r="K83" s="77"/>
      <c r="L83" s="77"/>
      <c r="M83" s="77"/>
      <c r="N83" s="77"/>
      <c r="O83" s="89"/>
    </row>
    <row r="84" spans="1:15">
      <c r="A84" s="52"/>
      <c r="B84" s="52"/>
      <c r="C84" s="1"/>
      <c r="D84" s="1"/>
      <c r="E84" s="1"/>
      <c r="F84" s="1"/>
      <c r="H84" s="13"/>
      <c r="I84" s="52"/>
      <c r="J84" s="52"/>
      <c r="K84" s="52"/>
      <c r="L84" s="52"/>
      <c r="M84" s="52"/>
      <c r="N84" s="52"/>
    </row>
    <row r="85" spans="1:15">
      <c r="A85" s="70" t="s">
        <v>75</v>
      </c>
      <c r="B85" s="68">
        <v>10000000</v>
      </c>
      <c r="C85" s="1"/>
      <c r="D85" s="1"/>
      <c r="E85" s="1"/>
      <c r="F85" s="1"/>
      <c r="H85" s="70" t="s">
        <v>76</v>
      </c>
      <c r="I85" s="52"/>
      <c r="J85" s="52"/>
      <c r="K85" s="52"/>
      <c r="M85" s="52"/>
      <c r="N85" s="52"/>
    </row>
    <row r="86" spans="1:15">
      <c r="A86" s="20" t="s">
        <v>58</v>
      </c>
      <c r="B86" s="20" t="s">
        <v>59</v>
      </c>
      <c r="C86" s="20" t="s">
        <v>71</v>
      </c>
      <c r="D86" s="20" t="s">
        <v>72</v>
      </c>
      <c r="E86" s="20" t="s">
        <v>73</v>
      </c>
      <c r="F86" s="20" t="s">
        <v>85</v>
      </c>
      <c r="H86" s="20" t="s">
        <v>61</v>
      </c>
      <c r="I86" s="20" t="s">
        <v>63</v>
      </c>
      <c r="J86" s="20" t="s">
        <v>64</v>
      </c>
      <c r="K86" s="20" t="s">
        <v>65</v>
      </c>
      <c r="L86" s="20" t="s">
        <v>66</v>
      </c>
      <c r="M86" s="20" t="s">
        <v>67</v>
      </c>
      <c r="N86" s="20" t="s">
        <v>60</v>
      </c>
      <c r="O86" s="51">
        <v>1.1000000000000001</v>
      </c>
    </row>
    <row r="87" spans="1:15">
      <c r="A87" s="64">
        <v>-1</v>
      </c>
      <c r="B87" s="64">
        <v>0</v>
      </c>
      <c r="C87" s="71"/>
      <c r="D87" s="71"/>
      <c r="E87" s="59" t="e" cm="1">
        <f t="array" ref="E87:E150">_xlfn.LET(_xlpm.x, C87:C150, _xlpm.x/SUM(_xlpm.x))</f>
        <v>#DIV/0!</v>
      </c>
      <c r="F87" s="92" cm="1">
        <f t="array" ref="F87:F150">_xlfn.LET(_xlpm.x, D87:D150/C87:C150/B3, IF(ISERR(_xlpm.x), 0, _xlpm.x))</f>
        <v>0</v>
      </c>
      <c r="H87" s="61" t="str">
        <f>"("&amp;$A87&amp;", "&amp;$B87&amp;"]"</f>
        <v>(-1, 0]</v>
      </c>
      <c r="I87" s="62">
        <v>1</v>
      </c>
      <c r="J87" s="59" t="e" cm="1">
        <f t="array" ref="J87:J150">_xlfn.ANCHORARRAY(E87)*I87:I150</f>
        <v>#DIV/0!</v>
      </c>
      <c r="K87" s="59" t="e" cm="1">
        <f t="array" ref="K87:K150">J87:J150/SUM(_xlfn.ANCHORARRAY(J87))</f>
        <v>#DIV/0!</v>
      </c>
      <c r="L87" s="128">
        <v>0</v>
      </c>
      <c r="M87" s="59" t="e" cm="1">
        <f t="array" ref="M87:M150">_xlfn.LET(_xlpm.x, L87:L150, _xlpm.x/SUM(_xlpm.x))</f>
        <v>#DIV/0!</v>
      </c>
      <c r="N87" s="60" t="e" cm="1">
        <f t="array" ref="N87:N150">M87:M150*_xlfn.ANCHORARRAY(F87)</f>
        <v>#DIV/0!</v>
      </c>
      <c r="O87" s="51" cm="1">
        <f t="array" ref="O87:O150">I87:I150*O86</f>
        <v>1.1000000000000001</v>
      </c>
    </row>
    <row r="88" spans="1:15">
      <c r="A88" s="58">
        <v>0</v>
      </c>
      <c r="B88" s="58">
        <v>1</v>
      </c>
      <c r="C88" s="72"/>
      <c r="D88" s="72"/>
      <c r="E88" s="59" t="e">
        <v>#DIV/0!</v>
      </c>
      <c r="F88" s="93">
        <v>0</v>
      </c>
      <c r="G88" s="107"/>
      <c r="H88" s="61" t="str">
        <f t="shared" ref="H88:H150" si="1">"("&amp;$A88&amp;", "&amp;$B88&amp;"]"</f>
        <v>(0, 1]</v>
      </c>
      <c r="I88" s="62">
        <v>1</v>
      </c>
      <c r="J88" s="59" t="e">
        <v>#DIV/0!</v>
      </c>
      <c r="K88" s="59" t="e">
        <v>#DIV/0!</v>
      </c>
      <c r="L88" s="128">
        <v>0</v>
      </c>
      <c r="M88" s="59" t="e">
        <v>#DIV/0!</v>
      </c>
      <c r="N88" s="59" t="e">
        <v>#DIV/0!</v>
      </c>
      <c r="O88" s="51">
        <v>1.1000000000000001</v>
      </c>
    </row>
    <row r="89" spans="1:15">
      <c r="A89" s="58">
        <v>1</v>
      </c>
      <c r="B89" s="58">
        <v>2</v>
      </c>
      <c r="C89" s="72"/>
      <c r="D89" s="72"/>
      <c r="E89" s="59" t="e">
        <v>#DIV/0!</v>
      </c>
      <c r="F89" s="93">
        <v>0</v>
      </c>
      <c r="G89" s="107"/>
      <c r="H89" s="61" t="str">
        <f t="shared" si="1"/>
        <v>(1, 2]</v>
      </c>
      <c r="I89" s="62">
        <v>1</v>
      </c>
      <c r="J89" s="59" t="e">
        <v>#DIV/0!</v>
      </c>
      <c r="K89" s="59" t="e">
        <v>#DIV/0!</v>
      </c>
      <c r="L89" s="128">
        <v>0</v>
      </c>
      <c r="M89" s="59" t="e">
        <v>#DIV/0!</v>
      </c>
      <c r="N89" s="59" t="e">
        <v>#DIV/0!</v>
      </c>
      <c r="O89" s="51">
        <v>1.1000000000000001</v>
      </c>
    </row>
    <row r="90" spans="1:15">
      <c r="A90" s="58">
        <v>2</v>
      </c>
      <c r="B90" s="58">
        <v>3</v>
      </c>
      <c r="C90" s="72"/>
      <c r="D90" s="72"/>
      <c r="E90" s="59" t="e">
        <v>#DIV/0!</v>
      </c>
      <c r="F90" s="93">
        <v>0</v>
      </c>
      <c r="G90" s="107"/>
      <c r="H90" s="61" t="str">
        <f t="shared" si="1"/>
        <v>(2, 3]</v>
      </c>
      <c r="I90" s="62">
        <v>1</v>
      </c>
      <c r="J90" s="59" t="e">
        <v>#DIV/0!</v>
      </c>
      <c r="K90" s="59" t="e">
        <v>#DIV/0!</v>
      </c>
      <c r="L90" s="128">
        <v>0</v>
      </c>
      <c r="M90" s="59" t="e">
        <v>#DIV/0!</v>
      </c>
      <c r="N90" s="59" t="e">
        <v>#DIV/0!</v>
      </c>
      <c r="O90" s="51">
        <v>1.1000000000000001</v>
      </c>
    </row>
    <row r="91" spans="1:15">
      <c r="A91" s="58">
        <v>3</v>
      </c>
      <c r="B91" s="58">
        <v>4</v>
      </c>
      <c r="C91" s="72"/>
      <c r="D91" s="72"/>
      <c r="E91" s="59" t="e">
        <v>#DIV/0!</v>
      </c>
      <c r="F91" s="93">
        <v>0</v>
      </c>
      <c r="G91" s="107"/>
      <c r="H91" s="61" t="str">
        <f t="shared" si="1"/>
        <v>(3, 4]</v>
      </c>
      <c r="I91" s="62">
        <v>1</v>
      </c>
      <c r="J91" s="59" t="e">
        <v>#DIV/0!</v>
      </c>
      <c r="K91" s="59" t="e">
        <v>#DIV/0!</v>
      </c>
      <c r="L91" s="128">
        <v>0</v>
      </c>
      <c r="M91" s="59" t="e">
        <v>#DIV/0!</v>
      </c>
      <c r="N91" s="59" t="e">
        <v>#DIV/0!</v>
      </c>
      <c r="O91" s="51">
        <v>1.1000000000000001</v>
      </c>
    </row>
    <row r="92" spans="1:15">
      <c r="A92" s="58">
        <v>4</v>
      </c>
      <c r="B92" s="58">
        <v>5</v>
      </c>
      <c r="C92" s="72"/>
      <c r="D92" s="72"/>
      <c r="E92" s="59" t="e">
        <v>#DIV/0!</v>
      </c>
      <c r="F92" s="93">
        <v>0</v>
      </c>
      <c r="G92" s="107"/>
      <c r="H92" s="61" t="str">
        <f t="shared" si="1"/>
        <v>(4, 5]</v>
      </c>
      <c r="I92" s="62">
        <v>1</v>
      </c>
      <c r="J92" s="59" t="e">
        <v>#DIV/0!</v>
      </c>
      <c r="K92" s="59" t="e">
        <v>#DIV/0!</v>
      </c>
      <c r="L92" s="128">
        <v>0</v>
      </c>
      <c r="M92" s="59" t="e">
        <v>#DIV/0!</v>
      </c>
      <c r="N92" s="59" t="e">
        <v>#DIV/0!</v>
      </c>
      <c r="O92" s="51">
        <v>1.1000000000000001</v>
      </c>
    </row>
    <row r="93" spans="1:15">
      <c r="A93" s="58">
        <v>5</v>
      </c>
      <c r="B93" s="58">
        <v>6</v>
      </c>
      <c r="C93" s="72"/>
      <c r="D93" s="72"/>
      <c r="E93" s="59" t="e">
        <v>#DIV/0!</v>
      </c>
      <c r="F93" s="93">
        <v>0</v>
      </c>
      <c r="G93" s="107"/>
      <c r="H93" s="61" t="str">
        <f t="shared" si="1"/>
        <v>(5, 6]</v>
      </c>
      <c r="I93" s="62">
        <v>1</v>
      </c>
      <c r="J93" s="59" t="e">
        <v>#DIV/0!</v>
      </c>
      <c r="K93" s="59" t="e">
        <v>#DIV/0!</v>
      </c>
      <c r="L93" s="128">
        <v>0</v>
      </c>
      <c r="M93" s="59" t="e">
        <v>#DIV/0!</v>
      </c>
      <c r="N93" s="59" t="e">
        <v>#DIV/0!</v>
      </c>
      <c r="O93" s="51">
        <v>1.1000000000000001</v>
      </c>
    </row>
    <row r="94" spans="1:15">
      <c r="A94" s="58">
        <v>6</v>
      </c>
      <c r="B94" s="58">
        <v>7</v>
      </c>
      <c r="C94" s="72"/>
      <c r="D94" s="72"/>
      <c r="E94" s="59" t="e">
        <v>#DIV/0!</v>
      </c>
      <c r="F94" s="93">
        <v>0</v>
      </c>
      <c r="G94" s="107"/>
      <c r="H94" s="61" t="str">
        <f t="shared" si="1"/>
        <v>(6, 7]</v>
      </c>
      <c r="I94" s="62">
        <v>1</v>
      </c>
      <c r="J94" s="59" t="e">
        <v>#DIV/0!</v>
      </c>
      <c r="K94" s="59" t="e">
        <v>#DIV/0!</v>
      </c>
      <c r="L94" s="128">
        <v>0</v>
      </c>
      <c r="M94" s="59" t="e">
        <v>#DIV/0!</v>
      </c>
      <c r="N94" s="59" t="e">
        <v>#DIV/0!</v>
      </c>
      <c r="O94" s="51">
        <v>1.1000000000000001</v>
      </c>
    </row>
    <row r="95" spans="1:15">
      <c r="A95" s="58">
        <v>7</v>
      </c>
      <c r="B95" s="58">
        <v>8</v>
      </c>
      <c r="C95" s="72"/>
      <c r="D95" s="72"/>
      <c r="E95" s="59" t="e">
        <v>#DIV/0!</v>
      </c>
      <c r="F95" s="93">
        <v>0</v>
      </c>
      <c r="G95" s="107"/>
      <c r="H95" s="61" t="str">
        <f t="shared" si="1"/>
        <v>(7, 8]</v>
      </c>
      <c r="I95" s="62">
        <v>1</v>
      </c>
      <c r="J95" s="59" t="e">
        <v>#DIV/0!</v>
      </c>
      <c r="K95" s="59" t="e">
        <v>#DIV/0!</v>
      </c>
      <c r="L95" s="128">
        <v>0</v>
      </c>
      <c r="M95" s="59" t="e">
        <v>#DIV/0!</v>
      </c>
      <c r="N95" s="59" t="e">
        <v>#DIV/0!</v>
      </c>
      <c r="O95" s="51">
        <v>1.1000000000000001</v>
      </c>
    </row>
    <row r="96" spans="1:15">
      <c r="A96" s="58">
        <v>8</v>
      </c>
      <c r="B96" s="58">
        <v>9</v>
      </c>
      <c r="C96" s="72"/>
      <c r="D96" s="72"/>
      <c r="E96" s="59" t="e">
        <v>#DIV/0!</v>
      </c>
      <c r="F96" s="93">
        <v>0</v>
      </c>
      <c r="G96" s="107"/>
      <c r="H96" s="61" t="str">
        <f t="shared" si="1"/>
        <v>(8, 9]</v>
      </c>
      <c r="I96" s="62">
        <v>1</v>
      </c>
      <c r="J96" s="59" t="e">
        <v>#DIV/0!</v>
      </c>
      <c r="K96" s="59" t="e">
        <v>#DIV/0!</v>
      </c>
      <c r="L96" s="128">
        <v>0</v>
      </c>
      <c r="M96" s="59" t="e">
        <v>#DIV/0!</v>
      </c>
      <c r="N96" s="59" t="e">
        <v>#DIV/0!</v>
      </c>
      <c r="O96" s="51">
        <v>1.1000000000000001</v>
      </c>
    </row>
    <row r="97" spans="1:15">
      <c r="A97" s="58">
        <v>9</v>
      </c>
      <c r="B97" s="58">
        <v>10</v>
      </c>
      <c r="C97" s="72"/>
      <c r="D97" s="72"/>
      <c r="E97" s="59" t="e">
        <v>#DIV/0!</v>
      </c>
      <c r="F97" s="93">
        <v>0</v>
      </c>
      <c r="G97" s="107"/>
      <c r="H97" s="61" t="str">
        <f t="shared" si="1"/>
        <v>(9, 10]</v>
      </c>
      <c r="I97" s="62">
        <v>1</v>
      </c>
      <c r="J97" s="59" t="e">
        <v>#DIV/0!</v>
      </c>
      <c r="K97" s="59" t="e">
        <v>#DIV/0!</v>
      </c>
      <c r="L97" s="128">
        <v>0</v>
      </c>
      <c r="M97" s="59" t="e">
        <v>#DIV/0!</v>
      </c>
      <c r="N97" s="59" t="e">
        <v>#DIV/0!</v>
      </c>
      <c r="O97" s="51">
        <v>1.1000000000000001</v>
      </c>
    </row>
    <row r="98" spans="1:15">
      <c r="A98" s="58">
        <v>10</v>
      </c>
      <c r="B98" s="58">
        <v>15</v>
      </c>
      <c r="C98" s="72"/>
      <c r="D98" s="72"/>
      <c r="E98" s="59" t="e">
        <v>#DIV/0!</v>
      </c>
      <c r="F98" s="93">
        <v>0</v>
      </c>
      <c r="G98" s="108"/>
      <c r="H98" s="61" t="str">
        <f t="shared" si="1"/>
        <v>(10, 15]</v>
      </c>
      <c r="I98" s="62">
        <v>1</v>
      </c>
      <c r="J98" s="59" t="e">
        <v>#DIV/0!</v>
      </c>
      <c r="K98" s="59" t="e">
        <v>#DIV/0!</v>
      </c>
      <c r="L98" s="128" t="e">
        <f>$B$2-SUM(_xlfn.ANCHORARRAY(L99))</f>
        <v>#DIV/0!</v>
      </c>
      <c r="M98" s="59" t="e">
        <v>#DIV/0!</v>
      </c>
      <c r="N98" s="59" t="e">
        <v>#DIV/0!</v>
      </c>
      <c r="O98" s="51">
        <v>1.1000000000000001</v>
      </c>
    </row>
    <row r="99" spans="1:15">
      <c r="A99" s="58">
        <v>15</v>
      </c>
      <c r="B99" s="58">
        <v>20</v>
      </c>
      <c r="C99" s="72"/>
      <c r="D99" s="72"/>
      <c r="E99" s="59" t="e">
        <v>#DIV/0!</v>
      </c>
      <c r="F99" s="93">
        <v>0</v>
      </c>
      <c r="G99" s="108"/>
      <c r="H99" s="124" t="str">
        <f t="shared" si="1"/>
        <v>(15, 20]</v>
      </c>
      <c r="I99" s="62">
        <v>1</v>
      </c>
      <c r="J99" s="59" t="e">
        <v>#DIV/0!</v>
      </c>
      <c r="K99" s="59" t="e">
        <v>#DIV/0!</v>
      </c>
      <c r="L99" s="128" t="e" cm="1">
        <f t="array" ref="L99:L150">INT(K99:K150*$B$2)</f>
        <v>#DIV/0!</v>
      </c>
      <c r="M99" s="59" t="e">
        <v>#DIV/0!</v>
      </c>
      <c r="N99" s="59" t="e">
        <v>#DIV/0!</v>
      </c>
      <c r="O99" s="51">
        <v>1.1000000000000001</v>
      </c>
    </row>
    <row r="100" spans="1:15">
      <c r="A100" s="58">
        <v>20</v>
      </c>
      <c r="B100" s="58">
        <v>25</v>
      </c>
      <c r="C100" s="72"/>
      <c r="D100" s="72"/>
      <c r="E100" s="59" t="e">
        <v>#DIV/0!</v>
      </c>
      <c r="F100" s="93">
        <v>0</v>
      </c>
      <c r="G100" s="108"/>
      <c r="H100" s="61" t="str">
        <f t="shared" si="1"/>
        <v>(20, 25]</v>
      </c>
      <c r="I100" s="62">
        <v>1</v>
      </c>
      <c r="J100" s="59" t="e">
        <v>#DIV/0!</v>
      </c>
      <c r="K100" s="59" t="e">
        <v>#DIV/0!</v>
      </c>
      <c r="L100" s="128" t="e">
        <v>#DIV/0!</v>
      </c>
      <c r="M100" s="59" t="e">
        <v>#DIV/0!</v>
      </c>
      <c r="N100" s="59" t="e">
        <v>#DIV/0!</v>
      </c>
      <c r="O100" s="51">
        <v>1.1000000000000001</v>
      </c>
    </row>
    <row r="101" spans="1:15">
      <c r="A101" s="58">
        <v>25</v>
      </c>
      <c r="B101" s="58">
        <v>30</v>
      </c>
      <c r="C101" s="72"/>
      <c r="D101" s="72"/>
      <c r="E101" s="59" t="e">
        <v>#DIV/0!</v>
      </c>
      <c r="F101" s="93">
        <v>0</v>
      </c>
      <c r="G101" s="108"/>
      <c r="H101" s="61" t="str">
        <f t="shared" si="1"/>
        <v>(25, 30]</v>
      </c>
      <c r="I101" s="62">
        <v>1</v>
      </c>
      <c r="J101" s="59" t="e">
        <v>#DIV/0!</v>
      </c>
      <c r="K101" s="59" t="e">
        <v>#DIV/0!</v>
      </c>
      <c r="L101" s="128" t="e">
        <v>#DIV/0!</v>
      </c>
      <c r="M101" s="59" t="e">
        <v>#DIV/0!</v>
      </c>
      <c r="N101" s="59" t="e">
        <v>#DIV/0!</v>
      </c>
      <c r="O101" s="51">
        <v>1.1000000000000001</v>
      </c>
    </row>
    <row r="102" spans="1:15">
      <c r="A102" s="58">
        <v>30</v>
      </c>
      <c r="B102" s="58">
        <v>35</v>
      </c>
      <c r="C102" s="72"/>
      <c r="D102" s="72"/>
      <c r="E102" s="59" t="e">
        <v>#DIV/0!</v>
      </c>
      <c r="F102" s="93">
        <v>0</v>
      </c>
      <c r="G102" s="108"/>
      <c r="H102" s="61" t="str">
        <f t="shared" si="1"/>
        <v>(30, 35]</v>
      </c>
      <c r="I102" s="62">
        <v>1</v>
      </c>
      <c r="J102" s="59" t="e">
        <v>#DIV/0!</v>
      </c>
      <c r="K102" s="59" t="e">
        <v>#DIV/0!</v>
      </c>
      <c r="L102" s="128" t="e">
        <v>#DIV/0!</v>
      </c>
      <c r="M102" s="59" t="e">
        <v>#DIV/0!</v>
      </c>
      <c r="N102" s="59" t="e">
        <v>#DIV/0!</v>
      </c>
      <c r="O102" s="51">
        <v>1.1000000000000001</v>
      </c>
    </row>
    <row r="103" spans="1:15">
      <c r="A103" s="58">
        <v>35</v>
      </c>
      <c r="B103" s="58">
        <v>40</v>
      </c>
      <c r="C103" s="72"/>
      <c r="D103" s="72"/>
      <c r="E103" s="59" t="e">
        <v>#DIV/0!</v>
      </c>
      <c r="F103" s="93">
        <v>0</v>
      </c>
      <c r="G103" s="108"/>
      <c r="H103" s="124" t="str">
        <f t="shared" si="1"/>
        <v>(35, 40]</v>
      </c>
      <c r="I103" s="62">
        <v>1</v>
      </c>
      <c r="J103" s="59" t="e">
        <v>#DIV/0!</v>
      </c>
      <c r="K103" s="59" t="e">
        <v>#DIV/0!</v>
      </c>
      <c r="L103" s="128" t="e">
        <v>#DIV/0!</v>
      </c>
      <c r="M103" s="59" t="e">
        <v>#DIV/0!</v>
      </c>
      <c r="N103" s="59" t="e">
        <v>#DIV/0!</v>
      </c>
      <c r="O103" s="51">
        <v>1.1000000000000001</v>
      </c>
    </row>
    <row r="104" spans="1:15">
      <c r="A104" s="58">
        <v>40</v>
      </c>
      <c r="B104" s="58">
        <v>45</v>
      </c>
      <c r="C104" s="72"/>
      <c r="D104" s="72"/>
      <c r="E104" s="59" t="e">
        <v>#DIV/0!</v>
      </c>
      <c r="F104" s="93">
        <v>0</v>
      </c>
      <c r="G104" s="108"/>
      <c r="H104" s="61" t="str">
        <f t="shared" si="1"/>
        <v>(40, 45]</v>
      </c>
      <c r="I104" s="62">
        <v>1</v>
      </c>
      <c r="J104" s="59" t="e">
        <v>#DIV/0!</v>
      </c>
      <c r="K104" s="59" t="e">
        <v>#DIV/0!</v>
      </c>
      <c r="L104" s="128" t="e">
        <v>#DIV/0!</v>
      </c>
      <c r="M104" s="59" t="e">
        <v>#DIV/0!</v>
      </c>
      <c r="N104" s="59" t="e">
        <v>#DIV/0!</v>
      </c>
      <c r="O104" s="51">
        <v>1.1000000000000001</v>
      </c>
    </row>
    <row r="105" spans="1:15">
      <c r="A105" s="58">
        <v>45</v>
      </c>
      <c r="B105" s="58">
        <v>50</v>
      </c>
      <c r="C105" s="72"/>
      <c r="D105" s="72"/>
      <c r="E105" s="59" t="e">
        <v>#DIV/0!</v>
      </c>
      <c r="F105" s="93">
        <v>0</v>
      </c>
      <c r="G105" s="108"/>
      <c r="H105" s="61" t="str">
        <f t="shared" si="1"/>
        <v>(45, 50]</v>
      </c>
      <c r="I105" s="62">
        <v>1</v>
      </c>
      <c r="J105" s="59" t="e">
        <v>#DIV/0!</v>
      </c>
      <c r="K105" s="59" t="e">
        <v>#DIV/0!</v>
      </c>
      <c r="L105" s="128" t="e">
        <v>#DIV/0!</v>
      </c>
      <c r="M105" s="59" t="e">
        <v>#DIV/0!</v>
      </c>
      <c r="N105" s="59" t="e">
        <v>#DIV/0!</v>
      </c>
      <c r="O105" s="51">
        <v>1.1000000000000001</v>
      </c>
    </row>
    <row r="106" spans="1:15">
      <c r="A106" s="58">
        <v>50</v>
      </c>
      <c r="B106" s="58">
        <v>60</v>
      </c>
      <c r="C106" s="72"/>
      <c r="D106" s="72"/>
      <c r="E106" s="59" t="e">
        <v>#DIV/0!</v>
      </c>
      <c r="F106" s="93">
        <v>0</v>
      </c>
      <c r="G106" s="108"/>
      <c r="H106" s="124" t="str">
        <f t="shared" si="1"/>
        <v>(50, 60]</v>
      </c>
      <c r="I106" s="62">
        <v>1</v>
      </c>
      <c r="J106" s="59" t="e">
        <v>#DIV/0!</v>
      </c>
      <c r="K106" s="59" t="e">
        <v>#DIV/0!</v>
      </c>
      <c r="L106" s="128" t="e">
        <v>#DIV/0!</v>
      </c>
      <c r="M106" s="59" t="e">
        <v>#DIV/0!</v>
      </c>
      <c r="N106" s="59" t="e">
        <v>#DIV/0!</v>
      </c>
      <c r="O106" s="51">
        <v>1.1000000000000001</v>
      </c>
    </row>
    <row r="107" spans="1:15">
      <c r="A107" s="58">
        <v>60</v>
      </c>
      <c r="B107" s="58">
        <v>70</v>
      </c>
      <c r="C107" s="72"/>
      <c r="D107" s="72"/>
      <c r="E107" s="59" t="e">
        <v>#DIV/0!</v>
      </c>
      <c r="F107" s="93">
        <v>0</v>
      </c>
      <c r="G107" s="108"/>
      <c r="H107" s="61" t="str">
        <f t="shared" si="1"/>
        <v>(60, 70]</v>
      </c>
      <c r="I107" s="62">
        <v>1</v>
      </c>
      <c r="J107" s="59" t="e">
        <v>#DIV/0!</v>
      </c>
      <c r="K107" s="59" t="e">
        <v>#DIV/0!</v>
      </c>
      <c r="L107" s="128" t="e">
        <v>#DIV/0!</v>
      </c>
      <c r="M107" s="59" t="e">
        <v>#DIV/0!</v>
      </c>
      <c r="N107" s="59" t="e">
        <v>#DIV/0!</v>
      </c>
      <c r="O107" s="51">
        <v>1.1000000000000001</v>
      </c>
    </row>
    <row r="108" spans="1:15">
      <c r="A108" s="58">
        <v>70</v>
      </c>
      <c r="B108" s="58">
        <v>80</v>
      </c>
      <c r="C108" s="72"/>
      <c r="D108" s="72"/>
      <c r="E108" s="59" t="e">
        <v>#DIV/0!</v>
      </c>
      <c r="F108" s="93">
        <v>0</v>
      </c>
      <c r="G108" s="108"/>
      <c r="H108" s="61" t="str">
        <f t="shared" si="1"/>
        <v>(70, 80]</v>
      </c>
      <c r="I108" s="62">
        <v>1</v>
      </c>
      <c r="J108" s="59" t="e">
        <v>#DIV/0!</v>
      </c>
      <c r="K108" s="59" t="e">
        <v>#DIV/0!</v>
      </c>
      <c r="L108" s="128" t="e">
        <v>#DIV/0!</v>
      </c>
      <c r="M108" s="59" t="e">
        <v>#DIV/0!</v>
      </c>
      <c r="N108" s="59" t="e">
        <v>#DIV/0!</v>
      </c>
      <c r="O108" s="51">
        <v>1.1000000000000001</v>
      </c>
    </row>
    <row r="109" spans="1:15">
      <c r="A109" s="58">
        <v>80</v>
      </c>
      <c r="B109" s="58">
        <v>90</v>
      </c>
      <c r="C109" s="72"/>
      <c r="D109" s="72"/>
      <c r="E109" s="59" t="e">
        <v>#DIV/0!</v>
      </c>
      <c r="F109" s="93">
        <v>0</v>
      </c>
      <c r="H109" s="61" t="str">
        <f t="shared" si="1"/>
        <v>(80, 90]</v>
      </c>
      <c r="I109" s="62">
        <v>1</v>
      </c>
      <c r="J109" s="59" t="e">
        <v>#DIV/0!</v>
      </c>
      <c r="K109" s="59" t="e">
        <v>#DIV/0!</v>
      </c>
      <c r="L109" s="128" t="e">
        <v>#DIV/0!</v>
      </c>
      <c r="M109" s="59" t="e">
        <v>#DIV/0!</v>
      </c>
      <c r="N109" s="59" t="e">
        <v>#DIV/0!</v>
      </c>
      <c r="O109" s="51">
        <v>1.1000000000000001</v>
      </c>
    </row>
    <row r="110" spans="1:15">
      <c r="A110" s="58">
        <v>90</v>
      </c>
      <c r="B110" s="58">
        <v>100</v>
      </c>
      <c r="C110" s="72"/>
      <c r="D110" s="72"/>
      <c r="E110" s="59" t="e">
        <v>#DIV/0!</v>
      </c>
      <c r="F110" s="93">
        <v>0</v>
      </c>
      <c r="G110" s="108"/>
      <c r="H110" s="61" t="str">
        <f t="shared" si="1"/>
        <v>(90, 100]</v>
      </c>
      <c r="I110" s="126">
        <v>1</v>
      </c>
      <c r="J110" s="127" t="e">
        <v>#DIV/0!</v>
      </c>
      <c r="K110" s="127" t="e">
        <v>#DIV/0!</v>
      </c>
      <c r="L110" s="128" t="e">
        <v>#DIV/0!</v>
      </c>
      <c r="M110" s="127" t="e">
        <v>#DIV/0!</v>
      </c>
      <c r="N110" s="127" t="e">
        <v>#DIV/0!</v>
      </c>
      <c r="O110" s="51">
        <v>1.1000000000000001</v>
      </c>
    </row>
    <row r="111" spans="1:15">
      <c r="A111" s="58">
        <v>100</v>
      </c>
      <c r="B111" s="58">
        <v>120</v>
      </c>
      <c r="C111" s="72"/>
      <c r="D111" s="72"/>
      <c r="E111" s="59" t="e">
        <v>#DIV/0!</v>
      </c>
      <c r="F111" s="93">
        <v>0</v>
      </c>
      <c r="G111" s="108"/>
      <c r="H111" s="61" t="str">
        <f t="shared" si="1"/>
        <v>(100, 120]</v>
      </c>
      <c r="I111" s="126">
        <v>1</v>
      </c>
      <c r="J111" s="127" t="e">
        <v>#DIV/0!</v>
      </c>
      <c r="K111" s="127" t="e">
        <v>#DIV/0!</v>
      </c>
      <c r="L111" s="128" t="e">
        <v>#DIV/0!</v>
      </c>
      <c r="M111" s="127" t="e">
        <v>#DIV/0!</v>
      </c>
      <c r="N111" s="127" t="e">
        <v>#DIV/0!</v>
      </c>
      <c r="O111" s="51">
        <v>1.1000000000000001</v>
      </c>
    </row>
    <row r="112" spans="1:15">
      <c r="A112" s="58">
        <v>120</v>
      </c>
      <c r="B112" s="58">
        <v>140</v>
      </c>
      <c r="C112" s="72"/>
      <c r="D112" s="72"/>
      <c r="E112" s="59" t="e">
        <v>#DIV/0!</v>
      </c>
      <c r="F112" s="93">
        <v>0</v>
      </c>
      <c r="G112" s="108"/>
      <c r="H112" s="61" t="str">
        <f t="shared" si="1"/>
        <v>(120, 140]</v>
      </c>
      <c r="I112" s="126">
        <v>1</v>
      </c>
      <c r="J112" s="127" t="e">
        <v>#DIV/0!</v>
      </c>
      <c r="K112" s="127" t="e">
        <v>#DIV/0!</v>
      </c>
      <c r="L112" s="128" t="e">
        <v>#DIV/0!</v>
      </c>
      <c r="M112" s="127" t="e">
        <v>#DIV/0!</v>
      </c>
      <c r="N112" s="127" t="e">
        <v>#DIV/0!</v>
      </c>
      <c r="O112" s="51">
        <v>1.1000000000000001</v>
      </c>
    </row>
    <row r="113" spans="1:15">
      <c r="A113" s="58">
        <v>140</v>
      </c>
      <c r="B113" s="58">
        <v>160</v>
      </c>
      <c r="C113" s="72"/>
      <c r="D113" s="72"/>
      <c r="E113" s="59" t="e">
        <v>#DIV/0!</v>
      </c>
      <c r="F113" s="93">
        <v>0</v>
      </c>
      <c r="G113" s="108"/>
      <c r="H113" s="61" t="str">
        <f t="shared" si="1"/>
        <v>(140, 160]</v>
      </c>
      <c r="I113" s="126">
        <v>1</v>
      </c>
      <c r="J113" s="127" t="e">
        <v>#DIV/0!</v>
      </c>
      <c r="K113" s="127" t="e">
        <v>#DIV/0!</v>
      </c>
      <c r="L113" s="128" t="e">
        <v>#DIV/0!</v>
      </c>
      <c r="M113" s="127" t="e">
        <v>#DIV/0!</v>
      </c>
      <c r="N113" s="127" t="e">
        <v>#DIV/0!</v>
      </c>
      <c r="O113" s="51">
        <v>1.1000000000000001</v>
      </c>
    </row>
    <row r="114" spans="1:15">
      <c r="A114" s="58">
        <v>160</v>
      </c>
      <c r="B114" s="58">
        <v>180</v>
      </c>
      <c r="C114" s="72"/>
      <c r="D114" s="72"/>
      <c r="E114" s="59" t="e">
        <v>#DIV/0!</v>
      </c>
      <c r="F114" s="93">
        <v>0</v>
      </c>
      <c r="G114" s="108"/>
      <c r="H114" s="61" t="str">
        <f t="shared" si="1"/>
        <v>(160, 180]</v>
      </c>
      <c r="I114" s="126">
        <v>1</v>
      </c>
      <c r="J114" s="127" t="e">
        <v>#DIV/0!</v>
      </c>
      <c r="K114" s="127" t="e">
        <v>#DIV/0!</v>
      </c>
      <c r="L114" s="128" t="e">
        <v>#DIV/0!</v>
      </c>
      <c r="M114" s="127" t="e">
        <v>#DIV/0!</v>
      </c>
      <c r="N114" s="127" t="e">
        <v>#DIV/0!</v>
      </c>
      <c r="O114" s="51">
        <v>1.1000000000000001</v>
      </c>
    </row>
    <row r="115" spans="1:15">
      <c r="A115" s="58">
        <v>180</v>
      </c>
      <c r="B115" s="58">
        <v>200</v>
      </c>
      <c r="C115" s="72"/>
      <c r="D115" s="72"/>
      <c r="E115" s="59" t="e">
        <v>#DIV/0!</v>
      </c>
      <c r="F115" s="93">
        <v>0</v>
      </c>
      <c r="G115" s="108"/>
      <c r="H115" s="61" t="str">
        <f t="shared" si="1"/>
        <v>(180, 200]</v>
      </c>
      <c r="I115" s="126">
        <v>1</v>
      </c>
      <c r="J115" s="127" t="e">
        <v>#DIV/0!</v>
      </c>
      <c r="K115" s="127" t="e">
        <v>#DIV/0!</v>
      </c>
      <c r="L115" s="128" t="e">
        <v>#DIV/0!</v>
      </c>
      <c r="M115" s="127" t="e">
        <v>#DIV/0!</v>
      </c>
      <c r="N115" s="127" t="e">
        <v>#DIV/0!</v>
      </c>
      <c r="O115" s="51">
        <v>1.1000000000000001</v>
      </c>
    </row>
    <row r="116" spans="1:15">
      <c r="A116" s="58">
        <v>200</v>
      </c>
      <c r="B116" s="58">
        <v>250</v>
      </c>
      <c r="C116" s="72"/>
      <c r="D116" s="72"/>
      <c r="E116" s="59" t="e">
        <v>#DIV/0!</v>
      </c>
      <c r="F116" s="93">
        <v>0</v>
      </c>
      <c r="G116" s="108"/>
      <c r="H116" s="61" t="str">
        <f t="shared" si="1"/>
        <v>(200, 250]</v>
      </c>
      <c r="I116" s="126">
        <v>1</v>
      </c>
      <c r="J116" s="127" t="e">
        <v>#DIV/0!</v>
      </c>
      <c r="K116" s="127" t="e">
        <v>#DIV/0!</v>
      </c>
      <c r="L116" s="128" t="e">
        <v>#DIV/0!</v>
      </c>
      <c r="M116" s="127" t="e">
        <v>#DIV/0!</v>
      </c>
      <c r="N116" s="127" t="e">
        <v>#DIV/0!</v>
      </c>
      <c r="O116" s="51">
        <v>1.1000000000000001</v>
      </c>
    </row>
    <row r="117" spans="1:15">
      <c r="A117" s="58">
        <v>250</v>
      </c>
      <c r="B117" s="58">
        <v>300</v>
      </c>
      <c r="C117" s="72"/>
      <c r="D117" s="72"/>
      <c r="E117" s="59" t="e">
        <v>#DIV/0!</v>
      </c>
      <c r="F117" s="93">
        <v>0</v>
      </c>
      <c r="G117" s="108"/>
      <c r="H117" s="61" t="str">
        <f t="shared" si="1"/>
        <v>(250, 300]</v>
      </c>
      <c r="I117" s="126">
        <v>1</v>
      </c>
      <c r="J117" s="127" t="e">
        <v>#DIV/0!</v>
      </c>
      <c r="K117" s="127" t="e">
        <v>#DIV/0!</v>
      </c>
      <c r="L117" s="128" t="e">
        <v>#DIV/0!</v>
      </c>
      <c r="M117" s="127" t="e">
        <v>#DIV/0!</v>
      </c>
      <c r="N117" s="127" t="e">
        <v>#DIV/0!</v>
      </c>
      <c r="O117" s="51">
        <v>1.1000000000000001</v>
      </c>
    </row>
    <row r="118" spans="1:15">
      <c r="A118" s="58">
        <v>300</v>
      </c>
      <c r="B118" s="58">
        <v>350</v>
      </c>
      <c r="C118" s="72"/>
      <c r="D118" s="72"/>
      <c r="E118" s="59" t="e">
        <v>#DIV/0!</v>
      </c>
      <c r="F118" s="93">
        <v>0</v>
      </c>
      <c r="G118" s="108"/>
      <c r="H118" s="61" t="str">
        <f t="shared" si="1"/>
        <v>(300, 350]</v>
      </c>
      <c r="I118" s="126">
        <v>1</v>
      </c>
      <c r="J118" s="127" t="e">
        <v>#DIV/0!</v>
      </c>
      <c r="K118" s="127" t="e">
        <v>#DIV/0!</v>
      </c>
      <c r="L118" s="128" t="e">
        <v>#DIV/0!</v>
      </c>
      <c r="M118" s="127" t="e">
        <v>#DIV/0!</v>
      </c>
      <c r="N118" s="127" t="e">
        <v>#DIV/0!</v>
      </c>
      <c r="O118" s="51">
        <v>1.1000000000000001</v>
      </c>
    </row>
    <row r="119" spans="1:15">
      <c r="A119" s="58">
        <v>350</v>
      </c>
      <c r="B119" s="58">
        <v>400</v>
      </c>
      <c r="C119" s="72"/>
      <c r="D119" s="72"/>
      <c r="E119" s="59" t="e">
        <v>#DIV/0!</v>
      </c>
      <c r="F119" s="93">
        <v>0</v>
      </c>
      <c r="G119" s="108"/>
      <c r="H119" s="61" t="str">
        <f t="shared" si="1"/>
        <v>(350, 400]</v>
      </c>
      <c r="I119" s="126">
        <v>1</v>
      </c>
      <c r="J119" s="127" t="e">
        <v>#DIV/0!</v>
      </c>
      <c r="K119" s="127" t="e">
        <v>#DIV/0!</v>
      </c>
      <c r="L119" s="128" t="e">
        <v>#DIV/0!</v>
      </c>
      <c r="M119" s="127" t="e">
        <v>#DIV/0!</v>
      </c>
      <c r="N119" s="127" t="e">
        <v>#DIV/0!</v>
      </c>
      <c r="O119" s="51">
        <v>1.1000000000000001</v>
      </c>
    </row>
    <row r="120" spans="1:15">
      <c r="A120" s="58">
        <v>400</v>
      </c>
      <c r="B120" s="58">
        <v>450</v>
      </c>
      <c r="C120" s="72"/>
      <c r="D120" s="72"/>
      <c r="E120" s="59" t="e">
        <v>#DIV/0!</v>
      </c>
      <c r="F120" s="93">
        <v>0</v>
      </c>
      <c r="G120" s="108"/>
      <c r="H120" s="61" t="str">
        <f t="shared" si="1"/>
        <v>(400, 450]</v>
      </c>
      <c r="I120" s="126">
        <v>1</v>
      </c>
      <c r="J120" s="127" t="e">
        <v>#DIV/0!</v>
      </c>
      <c r="K120" s="127" t="e">
        <v>#DIV/0!</v>
      </c>
      <c r="L120" s="128" t="e">
        <v>#DIV/0!</v>
      </c>
      <c r="M120" s="127" t="e">
        <v>#DIV/0!</v>
      </c>
      <c r="N120" s="127" t="e">
        <v>#DIV/0!</v>
      </c>
      <c r="O120" s="51">
        <v>1.1000000000000001</v>
      </c>
    </row>
    <row r="121" spans="1:15">
      <c r="A121" s="58">
        <v>450</v>
      </c>
      <c r="B121" s="58">
        <v>500</v>
      </c>
      <c r="C121" s="72"/>
      <c r="D121" s="72"/>
      <c r="E121" s="59" t="e">
        <v>#DIV/0!</v>
      </c>
      <c r="F121" s="93">
        <v>0</v>
      </c>
      <c r="G121" s="108"/>
      <c r="H121" s="61" t="str">
        <f t="shared" si="1"/>
        <v>(450, 500]</v>
      </c>
      <c r="I121" s="126">
        <v>1</v>
      </c>
      <c r="J121" s="127" t="e">
        <v>#DIV/0!</v>
      </c>
      <c r="K121" s="127" t="e">
        <v>#DIV/0!</v>
      </c>
      <c r="L121" s="128" t="e">
        <v>#DIV/0!</v>
      </c>
      <c r="M121" s="127" t="e">
        <v>#DIV/0!</v>
      </c>
      <c r="N121" s="127" t="e">
        <v>#DIV/0!</v>
      </c>
      <c r="O121" s="51">
        <v>1.1000000000000001</v>
      </c>
    </row>
    <row r="122" spans="1:15">
      <c r="A122" s="58">
        <v>500</v>
      </c>
      <c r="B122" s="58">
        <v>550</v>
      </c>
      <c r="C122" s="72"/>
      <c r="D122" s="72"/>
      <c r="E122" s="59" t="e">
        <v>#DIV/0!</v>
      </c>
      <c r="F122" s="93">
        <v>0</v>
      </c>
      <c r="G122" s="108"/>
      <c r="H122" s="61" t="str">
        <f t="shared" si="1"/>
        <v>(500, 550]</v>
      </c>
      <c r="I122" s="126">
        <v>1</v>
      </c>
      <c r="J122" s="127" t="e">
        <v>#DIV/0!</v>
      </c>
      <c r="K122" s="127" t="e">
        <v>#DIV/0!</v>
      </c>
      <c r="L122" s="128" t="e">
        <v>#DIV/0!</v>
      </c>
      <c r="M122" s="127" t="e">
        <v>#DIV/0!</v>
      </c>
      <c r="N122" s="127" t="e">
        <v>#DIV/0!</v>
      </c>
      <c r="O122" s="51">
        <v>1.1000000000000001</v>
      </c>
    </row>
    <row r="123" spans="1:15">
      <c r="A123" s="58">
        <v>550</v>
      </c>
      <c r="B123" s="58">
        <v>600</v>
      </c>
      <c r="C123" s="72"/>
      <c r="D123" s="72"/>
      <c r="E123" s="59" t="e">
        <v>#DIV/0!</v>
      </c>
      <c r="F123" s="93">
        <v>0</v>
      </c>
      <c r="G123" s="108"/>
      <c r="H123" s="61" t="str">
        <f t="shared" si="1"/>
        <v>(550, 600]</v>
      </c>
      <c r="I123" s="62">
        <v>1</v>
      </c>
      <c r="J123" s="59" t="e">
        <v>#DIV/0!</v>
      </c>
      <c r="K123" s="59" t="e">
        <v>#DIV/0!</v>
      </c>
      <c r="L123" s="128" t="e">
        <v>#DIV/0!</v>
      </c>
      <c r="M123" s="59" t="e">
        <v>#DIV/0!</v>
      </c>
      <c r="N123" s="59" t="e">
        <v>#DIV/0!</v>
      </c>
      <c r="O123" s="51">
        <v>1.1000000000000001</v>
      </c>
    </row>
    <row r="124" spans="1:15">
      <c r="A124" s="58">
        <v>600</v>
      </c>
      <c r="B124" s="58">
        <v>650</v>
      </c>
      <c r="C124" s="72"/>
      <c r="D124" s="72"/>
      <c r="E124" s="59" t="e">
        <v>#DIV/0!</v>
      </c>
      <c r="F124" s="93">
        <v>0</v>
      </c>
      <c r="G124" s="108"/>
      <c r="H124" s="61" t="str">
        <f t="shared" si="1"/>
        <v>(600, 650]</v>
      </c>
      <c r="I124" s="62">
        <v>1</v>
      </c>
      <c r="J124" s="59" t="e">
        <v>#DIV/0!</v>
      </c>
      <c r="K124" s="59" t="e">
        <v>#DIV/0!</v>
      </c>
      <c r="L124" s="128" t="e">
        <v>#DIV/0!</v>
      </c>
      <c r="M124" s="59" t="e">
        <v>#DIV/0!</v>
      </c>
      <c r="N124" s="59" t="e">
        <v>#DIV/0!</v>
      </c>
      <c r="O124" s="51">
        <v>1.1000000000000001</v>
      </c>
    </row>
    <row r="125" spans="1:15">
      <c r="A125" s="58">
        <v>650</v>
      </c>
      <c r="B125" s="58">
        <v>700</v>
      </c>
      <c r="C125" s="72"/>
      <c r="D125" s="72"/>
      <c r="E125" s="59" t="e">
        <v>#DIV/0!</v>
      </c>
      <c r="F125" s="93">
        <v>0</v>
      </c>
      <c r="G125" s="108"/>
      <c r="H125" s="61" t="str">
        <f t="shared" si="1"/>
        <v>(650, 700]</v>
      </c>
      <c r="I125" s="62">
        <v>1</v>
      </c>
      <c r="J125" s="59" t="e">
        <v>#DIV/0!</v>
      </c>
      <c r="K125" s="59" t="e">
        <v>#DIV/0!</v>
      </c>
      <c r="L125" s="128" t="e">
        <v>#DIV/0!</v>
      </c>
      <c r="M125" s="59" t="e">
        <v>#DIV/0!</v>
      </c>
      <c r="N125" s="59" t="e">
        <v>#DIV/0!</v>
      </c>
      <c r="O125" s="51">
        <v>1.1000000000000001</v>
      </c>
    </row>
    <row r="126" spans="1:15">
      <c r="A126" s="58">
        <v>700</v>
      </c>
      <c r="B126" s="58">
        <v>750</v>
      </c>
      <c r="C126" s="72"/>
      <c r="D126" s="72"/>
      <c r="E126" s="59" t="e">
        <v>#DIV/0!</v>
      </c>
      <c r="F126" s="93">
        <v>0</v>
      </c>
      <c r="G126" s="107"/>
      <c r="H126" s="61" t="str">
        <f t="shared" si="1"/>
        <v>(700, 750]</v>
      </c>
      <c r="I126" s="62">
        <v>1</v>
      </c>
      <c r="J126" s="59" t="e">
        <v>#DIV/0!</v>
      </c>
      <c r="K126" s="59" t="e">
        <v>#DIV/0!</v>
      </c>
      <c r="L126" s="128" t="e">
        <v>#DIV/0!</v>
      </c>
      <c r="M126" s="59" t="e">
        <v>#DIV/0!</v>
      </c>
      <c r="N126" s="59" t="e">
        <v>#DIV/0!</v>
      </c>
      <c r="O126" s="51">
        <v>1.1000000000000001</v>
      </c>
    </row>
    <row r="127" spans="1:15">
      <c r="A127" s="58">
        <v>750</v>
      </c>
      <c r="B127" s="58">
        <v>800</v>
      </c>
      <c r="C127" s="72"/>
      <c r="D127" s="72"/>
      <c r="E127" s="59" t="e">
        <v>#DIV/0!</v>
      </c>
      <c r="F127" s="93">
        <v>0</v>
      </c>
      <c r="G127" s="107"/>
      <c r="H127" s="61" t="str">
        <f t="shared" si="1"/>
        <v>(750, 800]</v>
      </c>
      <c r="I127" s="62">
        <v>1</v>
      </c>
      <c r="J127" s="59" t="e">
        <v>#DIV/0!</v>
      </c>
      <c r="K127" s="59" t="e">
        <v>#DIV/0!</v>
      </c>
      <c r="L127" s="128" t="e">
        <v>#DIV/0!</v>
      </c>
      <c r="M127" s="59" t="e">
        <v>#DIV/0!</v>
      </c>
      <c r="N127" s="59" t="e">
        <v>#DIV/0!</v>
      </c>
      <c r="O127" s="51">
        <v>1.1000000000000001</v>
      </c>
    </row>
    <row r="128" spans="1:15">
      <c r="A128" s="58">
        <v>800</v>
      </c>
      <c r="B128" s="58">
        <v>850</v>
      </c>
      <c r="C128" s="72"/>
      <c r="D128" s="72"/>
      <c r="E128" s="59" t="e">
        <v>#DIV/0!</v>
      </c>
      <c r="F128" s="93">
        <v>0</v>
      </c>
      <c r="G128" s="107"/>
      <c r="H128" s="61" t="str">
        <f t="shared" si="1"/>
        <v>(800, 850]</v>
      </c>
      <c r="I128" s="62">
        <v>1</v>
      </c>
      <c r="J128" s="59" t="e">
        <v>#DIV/0!</v>
      </c>
      <c r="K128" s="59" t="e">
        <v>#DIV/0!</v>
      </c>
      <c r="L128" s="128" t="e">
        <v>#DIV/0!</v>
      </c>
      <c r="M128" s="59" t="e">
        <v>#DIV/0!</v>
      </c>
      <c r="N128" s="59" t="e">
        <v>#DIV/0!</v>
      </c>
      <c r="O128" s="51">
        <v>1.1000000000000001</v>
      </c>
    </row>
    <row r="129" spans="1:15">
      <c r="A129" s="58">
        <v>850</v>
      </c>
      <c r="B129" s="58">
        <v>900</v>
      </c>
      <c r="C129" s="72"/>
      <c r="D129" s="72"/>
      <c r="E129" s="59" t="e">
        <v>#DIV/0!</v>
      </c>
      <c r="F129" s="93">
        <v>0</v>
      </c>
      <c r="G129" s="107"/>
      <c r="H129" s="61" t="str">
        <f t="shared" si="1"/>
        <v>(850, 900]</v>
      </c>
      <c r="I129" s="62">
        <v>1</v>
      </c>
      <c r="J129" s="59" t="e">
        <v>#DIV/0!</v>
      </c>
      <c r="K129" s="59" t="e">
        <v>#DIV/0!</v>
      </c>
      <c r="L129" s="84" t="e">
        <v>#DIV/0!</v>
      </c>
      <c r="M129" s="59" t="e">
        <v>#DIV/0!</v>
      </c>
      <c r="N129" s="59" t="e">
        <v>#DIV/0!</v>
      </c>
      <c r="O129" s="51">
        <v>1.1000000000000001</v>
      </c>
    </row>
    <row r="130" spans="1:15">
      <c r="A130" s="58">
        <v>900</v>
      </c>
      <c r="B130" s="58">
        <v>950</v>
      </c>
      <c r="C130" s="72"/>
      <c r="D130" s="72"/>
      <c r="E130" s="59" t="e">
        <v>#DIV/0!</v>
      </c>
      <c r="F130" s="93">
        <v>0</v>
      </c>
      <c r="G130" s="107"/>
      <c r="H130" s="61" t="str">
        <f t="shared" si="1"/>
        <v>(900, 950]</v>
      </c>
      <c r="I130" s="62">
        <v>1</v>
      </c>
      <c r="J130" s="59" t="e">
        <v>#DIV/0!</v>
      </c>
      <c r="K130" s="59" t="e">
        <v>#DIV/0!</v>
      </c>
      <c r="L130" s="84" t="e">
        <v>#DIV/0!</v>
      </c>
      <c r="M130" s="59" t="e">
        <v>#DIV/0!</v>
      </c>
      <c r="N130" s="59" t="e">
        <v>#DIV/0!</v>
      </c>
      <c r="O130" s="51">
        <v>1.1000000000000001</v>
      </c>
    </row>
    <row r="131" spans="1:15">
      <c r="A131" s="58">
        <v>950</v>
      </c>
      <c r="B131" s="58">
        <v>1000</v>
      </c>
      <c r="C131" s="72"/>
      <c r="D131" s="72"/>
      <c r="E131" s="59" t="e">
        <v>#DIV/0!</v>
      </c>
      <c r="F131" s="93">
        <v>0</v>
      </c>
      <c r="G131" s="107"/>
      <c r="H131" s="61" t="str">
        <f t="shared" si="1"/>
        <v>(950, 1000]</v>
      </c>
      <c r="I131" s="62">
        <v>1</v>
      </c>
      <c r="J131" s="59" t="e">
        <v>#DIV/0!</v>
      </c>
      <c r="K131" s="59" t="e">
        <v>#DIV/0!</v>
      </c>
      <c r="L131" s="84" t="e">
        <v>#DIV/0!</v>
      </c>
      <c r="M131" s="59" t="e">
        <v>#DIV/0!</v>
      </c>
      <c r="N131" s="59" t="e">
        <v>#DIV/0!</v>
      </c>
      <c r="O131" s="51">
        <v>1.1000000000000001</v>
      </c>
    </row>
    <row r="132" spans="1:15">
      <c r="A132" s="58">
        <v>1000</v>
      </c>
      <c r="B132" s="58">
        <v>2000</v>
      </c>
      <c r="C132" s="72"/>
      <c r="D132" s="72"/>
      <c r="E132" s="59" t="e">
        <v>#DIV/0!</v>
      </c>
      <c r="F132" s="93">
        <v>0</v>
      </c>
      <c r="G132" s="107"/>
      <c r="H132" s="61" t="str">
        <f t="shared" si="1"/>
        <v>(1000, 2000]</v>
      </c>
      <c r="I132" s="62">
        <v>1</v>
      </c>
      <c r="J132" s="59" t="e">
        <v>#DIV/0!</v>
      </c>
      <c r="K132" s="59" t="e">
        <v>#DIV/0!</v>
      </c>
      <c r="L132" s="84" t="e">
        <v>#DIV/0!</v>
      </c>
      <c r="M132" s="59" t="e">
        <v>#DIV/0!</v>
      </c>
      <c r="N132" s="59" t="e">
        <v>#DIV/0!</v>
      </c>
      <c r="O132" s="51">
        <v>1.1000000000000001</v>
      </c>
    </row>
    <row r="133" spans="1:15">
      <c r="A133" s="58">
        <v>2000</v>
      </c>
      <c r="B133" s="58">
        <v>3000</v>
      </c>
      <c r="C133" s="72"/>
      <c r="D133" s="72"/>
      <c r="E133" s="59" t="e">
        <v>#DIV/0!</v>
      </c>
      <c r="F133" s="93">
        <v>0</v>
      </c>
      <c r="G133" s="107"/>
      <c r="H133" s="61" t="str">
        <f t="shared" si="1"/>
        <v>(2000, 3000]</v>
      </c>
      <c r="I133" s="62">
        <v>1</v>
      </c>
      <c r="J133" s="59" t="e">
        <v>#DIV/0!</v>
      </c>
      <c r="K133" s="59" t="e">
        <v>#DIV/0!</v>
      </c>
      <c r="L133" s="84" t="e">
        <v>#DIV/0!</v>
      </c>
      <c r="M133" s="59" t="e">
        <v>#DIV/0!</v>
      </c>
      <c r="N133" s="59" t="e">
        <v>#DIV/0!</v>
      </c>
      <c r="O133" s="51">
        <v>1.1000000000000001</v>
      </c>
    </row>
    <row r="134" spans="1:15">
      <c r="A134" s="58">
        <v>3000</v>
      </c>
      <c r="B134" s="58">
        <v>4000</v>
      </c>
      <c r="C134" s="72"/>
      <c r="D134" s="72"/>
      <c r="E134" s="59" t="e">
        <v>#DIV/0!</v>
      </c>
      <c r="F134" s="93">
        <v>0</v>
      </c>
      <c r="G134" s="107"/>
      <c r="H134" s="61" t="str">
        <f t="shared" si="1"/>
        <v>(3000, 4000]</v>
      </c>
      <c r="I134" s="62">
        <v>1</v>
      </c>
      <c r="J134" s="59" t="e">
        <v>#DIV/0!</v>
      </c>
      <c r="K134" s="59" t="e">
        <v>#DIV/0!</v>
      </c>
      <c r="L134" s="84" t="e">
        <v>#DIV/0!</v>
      </c>
      <c r="M134" s="59" t="e">
        <v>#DIV/0!</v>
      </c>
      <c r="N134" s="59" t="e">
        <v>#DIV/0!</v>
      </c>
      <c r="O134" s="51">
        <v>1.1000000000000001</v>
      </c>
    </row>
    <row r="135" spans="1:15">
      <c r="A135" s="58">
        <v>4000</v>
      </c>
      <c r="B135" s="58">
        <v>5000</v>
      </c>
      <c r="C135" s="72"/>
      <c r="D135" s="72"/>
      <c r="E135" s="59" t="e">
        <v>#DIV/0!</v>
      </c>
      <c r="F135" s="93">
        <v>0</v>
      </c>
      <c r="G135" s="107"/>
      <c r="H135" s="61" t="str">
        <f t="shared" si="1"/>
        <v>(4000, 5000]</v>
      </c>
      <c r="I135" s="62">
        <v>1</v>
      </c>
      <c r="J135" s="59" t="e">
        <v>#DIV/0!</v>
      </c>
      <c r="K135" s="59" t="e">
        <v>#DIV/0!</v>
      </c>
      <c r="L135" s="84" t="e">
        <v>#DIV/0!</v>
      </c>
      <c r="M135" s="59" t="e">
        <v>#DIV/0!</v>
      </c>
      <c r="N135" s="59" t="e">
        <v>#DIV/0!</v>
      </c>
      <c r="O135" s="51">
        <v>1.1000000000000001</v>
      </c>
    </row>
    <row r="136" spans="1:15">
      <c r="A136" s="58">
        <v>5000</v>
      </c>
      <c r="B136" s="58">
        <v>6000</v>
      </c>
      <c r="C136" s="72"/>
      <c r="D136" s="72"/>
      <c r="E136" s="59" t="e">
        <v>#DIV/0!</v>
      </c>
      <c r="F136" s="93">
        <v>0</v>
      </c>
      <c r="G136" s="107"/>
      <c r="H136" s="61" t="str">
        <f t="shared" si="1"/>
        <v>(5000, 6000]</v>
      </c>
      <c r="I136" s="62">
        <v>1</v>
      </c>
      <c r="J136" s="59" t="e">
        <v>#DIV/0!</v>
      </c>
      <c r="K136" s="59" t="e">
        <v>#DIV/0!</v>
      </c>
      <c r="L136" s="84" t="e">
        <v>#DIV/0!</v>
      </c>
      <c r="M136" s="59" t="e">
        <v>#DIV/0!</v>
      </c>
      <c r="N136" s="59" t="e">
        <v>#DIV/0!</v>
      </c>
      <c r="O136" s="51">
        <v>1.1000000000000001</v>
      </c>
    </row>
    <row r="137" spans="1:15">
      <c r="A137" s="58">
        <v>6000</v>
      </c>
      <c r="B137" s="58">
        <v>7000</v>
      </c>
      <c r="C137" s="72"/>
      <c r="D137" s="72"/>
      <c r="E137" s="59" t="e">
        <v>#DIV/0!</v>
      </c>
      <c r="F137" s="93">
        <v>0</v>
      </c>
      <c r="G137" s="107"/>
      <c r="H137" s="61" t="str">
        <f t="shared" si="1"/>
        <v>(6000, 7000]</v>
      </c>
      <c r="I137" s="62">
        <v>1</v>
      </c>
      <c r="J137" s="59" t="e">
        <v>#DIV/0!</v>
      </c>
      <c r="K137" s="59" t="e">
        <v>#DIV/0!</v>
      </c>
      <c r="L137" s="84" t="e">
        <v>#DIV/0!</v>
      </c>
      <c r="M137" s="59" t="e">
        <v>#DIV/0!</v>
      </c>
      <c r="N137" s="59" t="e">
        <v>#DIV/0!</v>
      </c>
      <c r="O137" s="51">
        <v>1.1000000000000001</v>
      </c>
    </row>
    <row r="138" spans="1:15">
      <c r="A138" s="58">
        <v>7000</v>
      </c>
      <c r="B138" s="58">
        <v>8000</v>
      </c>
      <c r="C138" s="72"/>
      <c r="D138" s="72"/>
      <c r="E138" s="59" t="e">
        <v>#DIV/0!</v>
      </c>
      <c r="F138" s="93">
        <v>0</v>
      </c>
      <c r="G138" s="107"/>
      <c r="H138" s="61" t="str">
        <f t="shared" si="1"/>
        <v>(7000, 8000]</v>
      </c>
      <c r="I138" s="62">
        <v>1</v>
      </c>
      <c r="J138" s="59" t="e">
        <v>#DIV/0!</v>
      </c>
      <c r="K138" s="59" t="e">
        <v>#DIV/0!</v>
      </c>
      <c r="L138" s="84" t="e">
        <v>#DIV/0!</v>
      </c>
      <c r="M138" s="59" t="e">
        <v>#DIV/0!</v>
      </c>
      <c r="N138" s="59" t="e">
        <v>#DIV/0!</v>
      </c>
      <c r="O138" s="51">
        <v>1.1000000000000001</v>
      </c>
    </row>
    <row r="139" spans="1:15">
      <c r="A139" s="58">
        <v>8000</v>
      </c>
      <c r="B139" s="58">
        <v>9000</v>
      </c>
      <c r="C139" s="72"/>
      <c r="D139" s="72"/>
      <c r="E139" s="59" t="e">
        <v>#DIV/0!</v>
      </c>
      <c r="F139" s="93">
        <v>0</v>
      </c>
      <c r="G139" s="107"/>
      <c r="H139" s="61" t="str">
        <f t="shared" si="1"/>
        <v>(8000, 9000]</v>
      </c>
      <c r="I139" s="62">
        <v>1</v>
      </c>
      <c r="J139" s="59" t="e">
        <v>#DIV/0!</v>
      </c>
      <c r="K139" s="59" t="e">
        <v>#DIV/0!</v>
      </c>
      <c r="L139" s="84" t="e">
        <v>#DIV/0!</v>
      </c>
      <c r="M139" s="59" t="e">
        <v>#DIV/0!</v>
      </c>
      <c r="N139" s="59" t="e">
        <v>#DIV/0!</v>
      </c>
      <c r="O139" s="51">
        <v>1.1000000000000001</v>
      </c>
    </row>
    <row r="140" spans="1:15">
      <c r="A140" s="58">
        <v>9000</v>
      </c>
      <c r="B140" s="58">
        <v>10000</v>
      </c>
      <c r="C140" s="72"/>
      <c r="D140" s="72"/>
      <c r="E140" s="59" t="e">
        <v>#DIV/0!</v>
      </c>
      <c r="F140" s="93">
        <v>0</v>
      </c>
      <c r="G140" s="107"/>
      <c r="H140" s="61" t="str">
        <f t="shared" si="1"/>
        <v>(9000, 10000]</v>
      </c>
      <c r="I140" s="62">
        <v>1</v>
      </c>
      <c r="J140" s="59" t="e">
        <v>#DIV/0!</v>
      </c>
      <c r="K140" s="59" t="e">
        <v>#DIV/0!</v>
      </c>
      <c r="L140" s="84" t="e">
        <v>#DIV/0!</v>
      </c>
      <c r="M140" s="59" t="e">
        <v>#DIV/0!</v>
      </c>
      <c r="N140" s="59" t="e">
        <v>#DIV/0!</v>
      </c>
      <c r="O140" s="51">
        <v>1.1000000000000001</v>
      </c>
    </row>
    <row r="141" spans="1:15">
      <c r="A141" s="58">
        <v>10000</v>
      </c>
      <c r="B141" s="58">
        <v>20000</v>
      </c>
      <c r="C141" s="72"/>
      <c r="D141" s="72"/>
      <c r="E141" s="59" t="e">
        <v>#DIV/0!</v>
      </c>
      <c r="F141" s="93">
        <v>0</v>
      </c>
      <c r="G141" s="107"/>
      <c r="H141" s="61" t="str">
        <f t="shared" si="1"/>
        <v>(10000, 20000]</v>
      </c>
      <c r="I141" s="62">
        <v>1</v>
      </c>
      <c r="J141" s="59" t="e">
        <v>#DIV/0!</v>
      </c>
      <c r="K141" s="59" t="e">
        <v>#DIV/0!</v>
      </c>
      <c r="L141" s="84" t="e">
        <v>#DIV/0!</v>
      </c>
      <c r="M141" s="59" t="e">
        <v>#DIV/0!</v>
      </c>
      <c r="N141" s="59" t="e">
        <v>#DIV/0!</v>
      </c>
      <c r="O141" s="51">
        <v>1.1000000000000001</v>
      </c>
    </row>
    <row r="142" spans="1:15">
      <c r="A142" s="58">
        <v>20000</v>
      </c>
      <c r="B142" s="58">
        <v>30000</v>
      </c>
      <c r="C142" s="72"/>
      <c r="D142" s="72"/>
      <c r="E142" s="59" t="e">
        <v>#DIV/0!</v>
      </c>
      <c r="F142" s="93">
        <v>0</v>
      </c>
      <c r="G142" s="107"/>
      <c r="H142" s="61" t="str">
        <f t="shared" si="1"/>
        <v>(20000, 30000]</v>
      </c>
      <c r="I142" s="62">
        <v>1</v>
      </c>
      <c r="J142" s="59" t="e">
        <v>#DIV/0!</v>
      </c>
      <c r="K142" s="59" t="e">
        <v>#DIV/0!</v>
      </c>
      <c r="L142" s="84" t="e">
        <v>#DIV/0!</v>
      </c>
      <c r="M142" s="59" t="e">
        <v>#DIV/0!</v>
      </c>
      <c r="N142" s="59" t="e">
        <v>#DIV/0!</v>
      </c>
      <c r="O142" s="51">
        <v>1.1000000000000001</v>
      </c>
    </row>
    <row r="143" spans="1:15">
      <c r="A143" s="58">
        <v>30000</v>
      </c>
      <c r="B143" s="58">
        <v>40000</v>
      </c>
      <c r="C143" s="72"/>
      <c r="D143" s="72"/>
      <c r="E143" s="59" t="e">
        <v>#DIV/0!</v>
      </c>
      <c r="F143" s="93">
        <v>0</v>
      </c>
      <c r="G143" s="107"/>
      <c r="H143" s="61" t="str">
        <f t="shared" si="1"/>
        <v>(30000, 40000]</v>
      </c>
      <c r="I143" s="62">
        <v>1</v>
      </c>
      <c r="J143" s="59" t="e">
        <v>#DIV/0!</v>
      </c>
      <c r="K143" s="59" t="e">
        <v>#DIV/0!</v>
      </c>
      <c r="L143" s="84" t="e">
        <v>#DIV/0!</v>
      </c>
      <c r="M143" s="59" t="e">
        <v>#DIV/0!</v>
      </c>
      <c r="N143" s="59" t="e">
        <v>#DIV/0!</v>
      </c>
      <c r="O143" s="51">
        <v>1.1000000000000001</v>
      </c>
    </row>
    <row r="144" spans="1:15">
      <c r="A144" s="58">
        <v>40000</v>
      </c>
      <c r="B144" s="58">
        <v>50000</v>
      </c>
      <c r="C144" s="72"/>
      <c r="D144" s="72"/>
      <c r="E144" s="59" t="e">
        <v>#DIV/0!</v>
      </c>
      <c r="F144" s="93">
        <v>0</v>
      </c>
      <c r="G144" s="107"/>
      <c r="H144" s="61" t="str">
        <f t="shared" si="1"/>
        <v>(40000, 50000]</v>
      </c>
      <c r="I144" s="62">
        <v>1</v>
      </c>
      <c r="J144" s="59" t="e">
        <v>#DIV/0!</v>
      </c>
      <c r="K144" s="59" t="e">
        <v>#DIV/0!</v>
      </c>
      <c r="L144" s="84" t="e">
        <v>#DIV/0!</v>
      </c>
      <c r="M144" s="59" t="e">
        <v>#DIV/0!</v>
      </c>
      <c r="N144" s="59" t="e">
        <v>#DIV/0!</v>
      </c>
      <c r="O144" s="51">
        <v>1.1000000000000001</v>
      </c>
    </row>
    <row r="145" spans="1:15">
      <c r="A145" s="58">
        <v>50000</v>
      </c>
      <c r="B145" s="58">
        <v>60000</v>
      </c>
      <c r="C145" s="72"/>
      <c r="D145" s="72"/>
      <c r="E145" s="59" t="e">
        <v>#DIV/0!</v>
      </c>
      <c r="F145" s="93">
        <v>0</v>
      </c>
      <c r="G145" s="107"/>
      <c r="H145" s="61" t="str">
        <f t="shared" si="1"/>
        <v>(50000, 60000]</v>
      </c>
      <c r="I145" s="62">
        <v>1</v>
      </c>
      <c r="J145" s="59" t="e">
        <v>#DIV/0!</v>
      </c>
      <c r="K145" s="59" t="e">
        <v>#DIV/0!</v>
      </c>
      <c r="L145" s="84" t="e">
        <v>#DIV/0!</v>
      </c>
      <c r="M145" s="59" t="e">
        <v>#DIV/0!</v>
      </c>
      <c r="N145" s="59" t="e">
        <v>#DIV/0!</v>
      </c>
      <c r="O145" s="51">
        <v>1.1000000000000001</v>
      </c>
    </row>
    <row r="146" spans="1:15">
      <c r="A146" s="58">
        <v>60000</v>
      </c>
      <c r="B146" s="58">
        <v>70000</v>
      </c>
      <c r="C146" s="72"/>
      <c r="D146" s="72"/>
      <c r="E146" s="59" t="e">
        <v>#DIV/0!</v>
      </c>
      <c r="F146" s="93">
        <v>0</v>
      </c>
      <c r="G146" s="107"/>
      <c r="H146" s="61" t="str">
        <f t="shared" si="1"/>
        <v>(60000, 70000]</v>
      </c>
      <c r="I146" s="62">
        <v>1</v>
      </c>
      <c r="J146" s="59" t="e">
        <v>#DIV/0!</v>
      </c>
      <c r="K146" s="59" t="e">
        <v>#DIV/0!</v>
      </c>
      <c r="L146" s="84" t="e">
        <v>#DIV/0!</v>
      </c>
      <c r="M146" s="59" t="e">
        <v>#DIV/0!</v>
      </c>
      <c r="N146" s="59" t="e">
        <v>#DIV/0!</v>
      </c>
      <c r="O146" s="51">
        <v>1.1000000000000001</v>
      </c>
    </row>
    <row r="147" spans="1:15">
      <c r="A147" s="58">
        <v>70000</v>
      </c>
      <c r="B147" s="58">
        <v>80000</v>
      </c>
      <c r="C147" s="72"/>
      <c r="D147" s="72"/>
      <c r="E147" s="59" t="e">
        <v>#DIV/0!</v>
      </c>
      <c r="F147" s="93">
        <v>0</v>
      </c>
      <c r="G147" s="107"/>
      <c r="H147" s="61" t="str">
        <f t="shared" si="1"/>
        <v>(70000, 80000]</v>
      </c>
      <c r="I147" s="62">
        <v>1</v>
      </c>
      <c r="J147" s="59" t="e">
        <v>#DIV/0!</v>
      </c>
      <c r="K147" s="59" t="e">
        <v>#DIV/0!</v>
      </c>
      <c r="L147" s="84" t="e">
        <v>#DIV/0!</v>
      </c>
      <c r="M147" s="59" t="e">
        <v>#DIV/0!</v>
      </c>
      <c r="N147" s="59" t="e">
        <v>#DIV/0!</v>
      </c>
      <c r="O147" s="51">
        <v>1.1000000000000001</v>
      </c>
    </row>
    <row r="148" spans="1:15">
      <c r="A148" s="58">
        <v>80000</v>
      </c>
      <c r="B148" s="58">
        <v>90000</v>
      </c>
      <c r="C148" s="72"/>
      <c r="D148" s="72"/>
      <c r="E148" s="59" t="e">
        <v>#DIV/0!</v>
      </c>
      <c r="F148" s="93">
        <v>0</v>
      </c>
      <c r="G148" s="107"/>
      <c r="H148" s="61" t="str">
        <f t="shared" si="1"/>
        <v>(80000, 90000]</v>
      </c>
      <c r="I148" s="62">
        <v>1</v>
      </c>
      <c r="J148" s="59" t="e">
        <v>#DIV/0!</v>
      </c>
      <c r="K148" s="59" t="e">
        <v>#DIV/0!</v>
      </c>
      <c r="L148" s="84" t="e">
        <v>#DIV/0!</v>
      </c>
      <c r="M148" s="59" t="e">
        <v>#DIV/0!</v>
      </c>
      <c r="N148" s="59" t="e">
        <v>#DIV/0!</v>
      </c>
      <c r="O148" s="51">
        <v>1.1000000000000001</v>
      </c>
    </row>
    <row r="149" spans="1:15">
      <c r="A149" s="58">
        <v>90000</v>
      </c>
      <c r="B149" s="58">
        <v>100000</v>
      </c>
      <c r="C149" s="72"/>
      <c r="D149" s="72"/>
      <c r="E149" s="59" t="e">
        <v>#DIV/0!</v>
      </c>
      <c r="F149" s="93">
        <v>0</v>
      </c>
      <c r="G149" s="107"/>
      <c r="H149" s="61" t="str">
        <f t="shared" si="1"/>
        <v>(90000, 100000]</v>
      </c>
      <c r="I149" s="62">
        <v>1</v>
      </c>
      <c r="J149" s="59" t="e">
        <v>#DIV/0!</v>
      </c>
      <c r="K149" s="59" t="e">
        <v>#DIV/0!</v>
      </c>
      <c r="L149" s="84" t="e">
        <v>#DIV/0!</v>
      </c>
      <c r="M149" s="59" t="e">
        <v>#DIV/0!</v>
      </c>
      <c r="N149" s="59" t="e">
        <v>#DIV/0!</v>
      </c>
      <c r="O149" s="51">
        <v>1.1000000000000001</v>
      </c>
    </row>
    <row r="150" spans="1:15">
      <c r="A150" s="58">
        <v>100000</v>
      </c>
      <c r="B150" s="58">
        <v>9999999</v>
      </c>
      <c r="C150" s="72"/>
      <c r="D150" s="72"/>
      <c r="E150" s="59" t="e">
        <v>#DIV/0!</v>
      </c>
      <c r="F150" s="93">
        <v>0</v>
      </c>
      <c r="G150" s="107"/>
      <c r="H150" s="61" t="str">
        <f t="shared" si="1"/>
        <v>(100000, 9999999]</v>
      </c>
      <c r="I150" s="62">
        <v>1</v>
      </c>
      <c r="J150" s="59" t="e">
        <v>#DIV/0!</v>
      </c>
      <c r="K150" s="59" t="e">
        <v>#DIV/0!</v>
      </c>
      <c r="L150" s="84" t="e">
        <v>#DIV/0!</v>
      </c>
      <c r="M150" s="59" t="e">
        <v>#DIV/0!</v>
      </c>
      <c r="N150" s="59" t="e">
        <v>#DIV/0!</v>
      </c>
      <c r="O150" s="51">
        <v>1.1000000000000001</v>
      </c>
    </row>
  </sheetData>
  <mergeCells count="4">
    <mergeCell ref="A11:D11"/>
    <mergeCell ref="A79:B79"/>
    <mergeCell ref="A80:B80"/>
    <mergeCell ref="A83:D83"/>
  </mergeCells>
  <phoneticPr fontId="20" type="noConversion"/>
  <conditionalFormatting sqref="N15:N79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{C537C520-4BD7-4E2B-AB18-25A916962D15}</x14:id>
        </ext>
      </extLst>
    </cfRule>
  </conditionalFormatting>
  <conditionalFormatting sqref="M17:M78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{64FFF1C0-5E26-430D-9128-427EB0437F12}</x14:id>
        </ext>
      </extLst>
    </cfRule>
  </conditionalFormatting>
  <conditionalFormatting sqref="M87:M150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{3EE935DF-9626-487F-9D33-2EEE388DFF9C}</x14:id>
        </ext>
      </extLst>
    </cfRule>
  </conditionalFormatting>
  <conditionalFormatting sqref="N87:N150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{F4486DC4-71E6-48D9-BC4F-F29269CBC43F}</x14:id>
        </ext>
      </extLst>
    </cfRule>
  </conditionalFormatting>
  <conditionalFormatting sqref="E15:E78">
    <cfRule type="cellIs" dxfId="58" priority="20" operator="lessThan">
      <formula>0.001</formula>
    </cfRule>
  </conditionalFormatting>
  <conditionalFormatting sqref="E87:E150">
    <cfRule type="cellIs" dxfId="57" priority="19" operator="lessThan">
      <formula>0.001</formula>
    </cfRule>
  </conditionalFormatting>
  <conditionalFormatting sqref="P98:P12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{0C6A81AD-70ED-4611-BE8B-08F4E5307CAE}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37C520-4BD7-4E2B-AB18-25A916962D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N15:N79</xm:sqref>
        </x14:conditionalFormatting>
        <x14:conditionalFormatting xmlns:xm="http://schemas.microsoft.com/office/excel/2006/main">
          <x14:cfRule type="dataBar" id="{64FFF1C0-5E26-430D-9128-427EB0437F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M17:M78</xm:sqref>
        </x14:conditionalFormatting>
        <x14:conditionalFormatting xmlns:xm="http://schemas.microsoft.com/office/excel/2006/main">
          <x14:cfRule type="dataBar" id="{3EE935DF-9626-487F-9D33-2EEE388DFF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M87:M150</xm:sqref>
        </x14:conditionalFormatting>
        <x14:conditionalFormatting xmlns:xm="http://schemas.microsoft.com/office/excel/2006/main">
          <x14:cfRule type="dataBar" id="{F4486DC4-71E6-48D9-BC4F-F29269CBC4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N87:N150</xm:sqref>
        </x14:conditionalFormatting>
        <x14:conditionalFormatting xmlns:xm="http://schemas.microsoft.com/office/excel/2006/main">
          <x14:cfRule type="dataBar" id="{0C6A81AD-70ED-4611-BE8B-08F4E5307C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P98:P126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AA220"/>
  <sheetViews>
    <sheetView tabSelected="1" zoomScale="85" zoomScaleNormal="85" workbookViewId="0">
      <selection activeCell="N9" sqref="N9"/>
    </sheetView>
  </sheetViews>
  <sheetFormatPr defaultRowHeight="15.6"/>
  <cols>
    <col min="1" max="1" width="19.77734375" style="24" bestFit="1" customWidth="1"/>
    <col min="2" max="2" width="22.88671875" style="24" bestFit="1" customWidth="1"/>
    <col min="3" max="3" width="18.33203125" style="24" bestFit="1" customWidth="1"/>
    <col min="4" max="4" width="22.6640625" style="24" bestFit="1" customWidth="1"/>
    <col min="5" max="5" width="13.88671875" style="24" bestFit="1" customWidth="1"/>
    <col min="6" max="6" width="16.77734375" style="24" bestFit="1" customWidth="1"/>
    <col min="7" max="7" width="15.5546875" style="51" bestFit="1" customWidth="1"/>
    <col min="8" max="8" width="25.5546875" style="24" bestFit="1" customWidth="1"/>
    <col min="9" max="9" width="14" style="24" customWidth="1"/>
    <col min="10" max="10" width="12.44140625" style="24" customWidth="1"/>
    <col min="11" max="11" width="15.5546875" style="24" customWidth="1"/>
    <col min="12" max="12" width="15.33203125" style="24" bestFit="1" customWidth="1"/>
    <col min="13" max="13" width="12.44140625" style="24" bestFit="1" customWidth="1"/>
    <col min="14" max="14" width="19.77734375" style="24" bestFit="1" customWidth="1"/>
    <col min="15" max="15" width="12.21875" style="51" customWidth="1"/>
    <col min="16" max="18" width="15.21875" style="24" hidden="1" customWidth="1"/>
    <col min="19" max="19" width="8.88671875" style="24" hidden="1" customWidth="1"/>
    <col min="20" max="20" width="27.109375" style="24" hidden="1" customWidth="1"/>
    <col min="21" max="23" width="11.88671875" style="24" hidden="1" customWidth="1"/>
    <col min="24" max="24" width="11" style="24" hidden="1" customWidth="1"/>
    <col min="25" max="25" width="8.88671875" style="24"/>
    <col min="26" max="26" width="12.44140625" style="24" bestFit="1" customWidth="1"/>
    <col min="27" max="28" width="25.5546875" style="24" bestFit="1" customWidth="1"/>
    <col min="29" max="29" width="16.88671875" style="24" bestFit="1" customWidth="1"/>
    <col min="30" max="30" width="7" style="24" bestFit="1" customWidth="1"/>
    <col min="31" max="33" width="9.6640625" style="24" bestFit="1" customWidth="1"/>
    <col min="34" max="16384" width="8.88671875" style="24"/>
  </cols>
  <sheetData>
    <row r="1" spans="1:23">
      <c r="A1" s="52"/>
      <c r="B1" s="52"/>
      <c r="C1" s="1"/>
      <c r="F1" s="1"/>
      <c r="H1" s="13"/>
      <c r="I1" s="52"/>
      <c r="J1" s="52"/>
      <c r="K1" s="52"/>
      <c r="L1" s="52"/>
      <c r="M1" s="52"/>
      <c r="N1" s="52"/>
    </row>
    <row r="2" spans="1:23">
      <c r="A2" s="52" t="s">
        <v>62</v>
      </c>
      <c r="B2" s="68">
        <v>1000000000</v>
      </c>
      <c r="C2" s="1"/>
      <c r="F2" s="113"/>
      <c r="G2" s="113"/>
      <c r="K2" s="52"/>
      <c r="L2" s="52"/>
      <c r="M2" s="52"/>
      <c r="N2" s="52"/>
    </row>
    <row r="3" spans="1:23">
      <c r="A3" s="52" t="s">
        <v>74</v>
      </c>
      <c r="B3" s="68">
        <f>Overview!A7</f>
        <v>100</v>
      </c>
      <c r="C3" s="1"/>
      <c r="F3" s="113"/>
      <c r="G3" s="110"/>
    </row>
    <row r="4" spans="1:23">
      <c r="F4" s="113"/>
      <c r="G4" s="113"/>
      <c r="I4" s="1"/>
      <c r="L4" s="138"/>
      <c r="M4" s="139"/>
      <c r="N4" s="136"/>
      <c r="O4" s="137"/>
    </row>
    <row r="5" spans="1:23">
      <c r="A5" s="52"/>
      <c r="B5" s="52"/>
      <c r="C5" s="1" t="s">
        <v>82</v>
      </c>
      <c r="I5" s="113"/>
      <c r="L5" s="140"/>
      <c r="M5" s="139"/>
      <c r="N5" s="136"/>
      <c r="O5" s="137"/>
    </row>
    <row r="6" spans="1:23">
      <c r="A6" s="91"/>
      <c r="B6" s="86" t="s">
        <v>68</v>
      </c>
      <c r="C6" s="86" t="s">
        <v>49</v>
      </c>
      <c r="D6" s="86" t="s">
        <v>50</v>
      </c>
      <c r="E6" s="86" t="s">
        <v>77</v>
      </c>
      <c r="F6" s="86" t="s">
        <v>69</v>
      </c>
      <c r="G6" s="86" t="s">
        <v>70</v>
      </c>
      <c r="H6" s="86" t="s">
        <v>83</v>
      </c>
      <c r="I6" s="113"/>
      <c r="L6" s="110"/>
      <c r="M6" s="110"/>
      <c r="N6" s="129"/>
    </row>
    <row r="7" spans="1:23">
      <c r="A7" s="58" t="s">
        <v>53</v>
      </c>
      <c r="B7" s="58" cm="1">
        <f t="array" ref="B7:B8">Overview!B11:B12</f>
        <v>1</v>
      </c>
      <c r="C7" s="82">
        <f>SUM(N15:N79)</f>
        <v>0.3905549937610126</v>
      </c>
      <c r="D7" s="82">
        <f>SUM(_xlfn.ANCHORARRAY(N87))*M79</f>
        <v>0.76715503536014173</v>
      </c>
      <c r="E7" s="104">
        <f>SUM(C7:D7)</f>
        <v>1.1577100291211544</v>
      </c>
      <c r="F7" s="74">
        <f>M79</f>
        <v>6.2659999999999999E-3</v>
      </c>
      <c r="G7" s="75">
        <f>1/F7</f>
        <v>159.59144589849984</v>
      </c>
      <c r="H7" s="95">
        <f>D7*G7</f>
        <v>122.43138132143979</v>
      </c>
      <c r="I7" s="184"/>
      <c r="L7" s="113"/>
      <c r="M7" s="110"/>
      <c r="N7" s="129"/>
    </row>
    <row r="8" spans="1:23">
      <c r="A8" s="58" t="s">
        <v>55</v>
      </c>
      <c r="B8" s="58">
        <v>75</v>
      </c>
      <c r="C8" s="82">
        <f>N80</f>
        <v>0</v>
      </c>
      <c r="D8" s="82">
        <f>SUM(_xlfn.ANCHORARRAY(N157))/B8</f>
        <v>6.6445586168965685</v>
      </c>
      <c r="E8" s="104">
        <f>SUM(C8:D8)</f>
        <v>6.6445586168965685</v>
      </c>
      <c r="F8" s="65">
        <f>E80</f>
        <v>1</v>
      </c>
      <c r="G8" s="75">
        <f>1/F8</f>
        <v>1</v>
      </c>
      <c r="H8" s="95">
        <f>D8*G8*B8</f>
        <v>498.34189626724265</v>
      </c>
      <c r="I8" s="113"/>
      <c r="L8" s="117"/>
      <c r="M8" s="110"/>
      <c r="N8" s="129"/>
    </row>
    <row r="9" spans="1:23">
      <c r="A9" s="52"/>
      <c r="B9" s="52"/>
      <c r="C9" s="7"/>
      <c r="D9" s="112"/>
      <c r="E9" s="52"/>
      <c r="F9" s="1"/>
      <c r="H9" s="13"/>
      <c r="I9" s="52"/>
      <c r="J9" s="52"/>
      <c r="K9" s="52"/>
      <c r="L9" s="131"/>
      <c r="M9" s="113"/>
      <c r="N9" s="113"/>
    </row>
    <row r="10" spans="1:23">
      <c r="A10" s="52"/>
      <c r="B10" s="52"/>
      <c r="C10" s="1"/>
      <c r="D10" s="1"/>
      <c r="E10" s="112"/>
      <c r="F10" s="1"/>
      <c r="H10" s="13"/>
      <c r="I10" s="52"/>
      <c r="J10" s="52"/>
      <c r="K10" s="52"/>
      <c r="L10" s="131"/>
      <c r="M10" s="113"/>
      <c r="N10" s="113"/>
    </row>
    <row r="11" spans="1:23" s="57" customFormat="1">
      <c r="A11" s="192" t="s">
        <v>49</v>
      </c>
      <c r="B11" s="192"/>
      <c r="C11" s="192"/>
      <c r="D11" s="192"/>
      <c r="E11" s="53"/>
      <c r="F11" s="53"/>
      <c r="G11" s="88"/>
      <c r="H11" s="55"/>
      <c r="I11" s="56"/>
      <c r="J11" s="54"/>
      <c r="K11" s="54"/>
      <c r="L11" s="54"/>
      <c r="M11" s="54"/>
      <c r="N11" s="54"/>
      <c r="O11" s="88"/>
    </row>
    <row r="12" spans="1:23">
      <c r="A12" s="52"/>
      <c r="B12" s="52"/>
      <c r="C12" s="1"/>
      <c r="D12" s="1"/>
      <c r="E12" s="1"/>
      <c r="F12" s="1"/>
      <c r="H12" s="13"/>
      <c r="I12" s="52"/>
      <c r="J12" s="52"/>
      <c r="K12" s="52"/>
      <c r="L12" s="52"/>
      <c r="M12" s="52"/>
      <c r="N12" s="52"/>
    </row>
    <row r="13" spans="1:23">
      <c r="A13" s="70" t="s">
        <v>75</v>
      </c>
      <c r="B13" s="68">
        <f>10^8</f>
        <v>100000000</v>
      </c>
      <c r="C13" s="1"/>
      <c r="D13" s="1"/>
      <c r="E13" s="1"/>
      <c r="F13" s="1"/>
      <c r="H13" s="70" t="s">
        <v>76</v>
      </c>
      <c r="I13" s="52"/>
      <c r="J13" s="52"/>
      <c r="K13" s="52"/>
      <c r="L13" s="52"/>
      <c r="M13" s="52"/>
      <c r="N13" s="52"/>
      <c r="P13" s="24" t="s">
        <v>81</v>
      </c>
      <c r="U13" s="110">
        <v>0.71068527191054676</v>
      </c>
      <c r="V13" s="110"/>
      <c r="W13" s="110"/>
    </row>
    <row r="14" spans="1:23">
      <c r="A14" s="20" t="s">
        <v>58</v>
      </c>
      <c r="B14" s="20" t="s">
        <v>59</v>
      </c>
      <c r="C14" s="20" t="s">
        <v>71</v>
      </c>
      <c r="D14" s="20" t="s">
        <v>72</v>
      </c>
      <c r="E14" s="20" t="s">
        <v>73</v>
      </c>
      <c r="F14" s="20" t="s">
        <v>85</v>
      </c>
      <c r="G14" s="90"/>
      <c r="H14" s="20" t="s">
        <v>61</v>
      </c>
      <c r="I14" s="20" t="s">
        <v>63</v>
      </c>
      <c r="J14" s="20" t="s">
        <v>64</v>
      </c>
      <c r="K14" s="20" t="s">
        <v>65</v>
      </c>
      <c r="L14" s="20" t="s">
        <v>66</v>
      </c>
      <c r="M14" s="20" t="s">
        <v>67</v>
      </c>
      <c r="N14" s="20" t="s">
        <v>60</v>
      </c>
      <c r="O14" s="51">
        <v>0.95</v>
      </c>
      <c r="P14" s="86" t="s">
        <v>84</v>
      </c>
      <c r="Q14" s="86" t="s">
        <v>120</v>
      </c>
      <c r="R14" s="86" t="s">
        <v>80</v>
      </c>
      <c r="T14" s="20" t="s">
        <v>61</v>
      </c>
      <c r="U14" s="86" t="s">
        <v>120</v>
      </c>
      <c r="V14" s="86" t="s">
        <v>121</v>
      </c>
      <c r="W14" s="86"/>
    </row>
    <row r="15" spans="1:23">
      <c r="A15" s="64">
        <v>-1</v>
      </c>
      <c r="B15" s="64">
        <v>0</v>
      </c>
      <c r="C15" s="71">
        <v>724391</v>
      </c>
      <c r="D15" s="71">
        <v>0</v>
      </c>
      <c r="E15" s="69" cm="1">
        <f t="array" ref="E15:E78">_xlfn.LET(_xlpm.x, C15:C78, _xlpm.x/SUM(_xlpm.x))</f>
        <v>0.72666764974665632</v>
      </c>
      <c r="F15" s="92" cm="1">
        <f t="array" ref="F15:F80">_xlfn.LET(_xlpm.x, D15:D80/C15:C80/B3, IF(ISERR(_xlpm.x), 0, _xlpm.x))</f>
        <v>0</v>
      </c>
      <c r="G15" s="90"/>
      <c r="H15" s="61" t="str">
        <f>"("&amp;$A15&amp;", "&amp;$B15&amp;"]"</f>
        <v>(-1, 0]</v>
      </c>
      <c r="I15" s="62">
        <v>1</v>
      </c>
      <c r="J15" s="59" cm="1">
        <f t="array" ref="J15:J79">E15:E79*I15:I79</f>
        <v>0.72666764974665632</v>
      </c>
      <c r="K15" s="59" cm="1">
        <f t="array" ref="K15:K78">J15:J78/SUM(_xlfn.ANCHORARRAY(J15))</f>
        <v>0.74016210121260406</v>
      </c>
      <c r="L15" s="128">
        <f>INT($B$2-SUM(_xlfn.ANCHORARRAY(L16)))</f>
        <v>740278469</v>
      </c>
      <c r="M15" s="59" cm="1">
        <f t="array" ref="M15:M79">_xlfn.LET(_xlpm.x, L15:L79, _xlpm.x/SUM(_xlpm.x))</f>
        <v>0.74027846900000005</v>
      </c>
      <c r="N15" s="59" cm="1">
        <f t="array" ref="N15:N79">M15:M79*F15:F79</f>
        <v>0</v>
      </c>
      <c r="O15" s="130" cm="1">
        <f t="array" ref="O15:O78">I15:I78*O14</f>
        <v>0.95</v>
      </c>
      <c r="P15" s="59" cm="1">
        <f t="array" ref="P15:P78">M15:M78</f>
        <v>0.74027846900000005</v>
      </c>
      <c r="Q15" s="59" cm="1">
        <f t="array" ref="Q15:Q78">_xlfn.XLOOKUP(Q14,U14:W14,U15:W78)</f>
        <v>0.71593621693879494</v>
      </c>
      <c r="R15" s="83" cm="1">
        <f t="array" ref="R15:R78">_xlfn.LET(_xlpm.x, Q15:Q78/M15:M78, IF(ISERR(_xlpm.x), 0, ROUND(_xlpm.x,2)))</f>
        <v>0.97</v>
      </c>
      <c r="T15" s="61" t="str">
        <f>"("&amp;$A15&amp;", "&amp;$B15&amp;"]"</f>
        <v>(-1, 0]</v>
      </c>
      <c r="U15" s="59">
        <v>0.71593621693879494</v>
      </c>
      <c r="V15" s="59"/>
      <c r="W15" s="59"/>
    </row>
    <row r="16" spans="1:23">
      <c r="A16" s="58">
        <v>0</v>
      </c>
      <c r="B16" s="58">
        <v>1</v>
      </c>
      <c r="C16" s="72">
        <v>164484</v>
      </c>
      <c r="D16" s="72">
        <v>6793075</v>
      </c>
      <c r="E16" s="59">
        <v>0.16500094796998999</v>
      </c>
      <c r="F16" s="93">
        <v>0.41299305707546025</v>
      </c>
      <c r="G16" s="90"/>
      <c r="H16" s="61" t="str">
        <f t="shared" ref="H16:H78" si="0">"("&amp;$A16&amp;", "&amp;$B16&amp;"]"</f>
        <v>(0, 1]</v>
      </c>
      <c r="I16" s="62">
        <v>1</v>
      </c>
      <c r="J16" s="59">
        <v>0.16500094796998999</v>
      </c>
      <c r="K16" s="59">
        <v>0.16806506852770667</v>
      </c>
      <c r="L16" s="128" cm="1">
        <f t="array" ref="L16:L79">INT(K16:K79*$B$2)</f>
        <v>168065068</v>
      </c>
      <c r="M16" s="59">
        <v>0.16806506800000001</v>
      </c>
      <c r="N16" s="59">
        <v>6.9409706220915107E-2</v>
      </c>
      <c r="O16" s="130">
        <v>0.95</v>
      </c>
      <c r="P16" s="59">
        <v>0.16806506800000001</v>
      </c>
      <c r="Q16" s="59">
        <v>0.19096724911677648</v>
      </c>
      <c r="R16" s="83">
        <v>1.1399999999999999</v>
      </c>
      <c r="T16" s="61" t="str">
        <f t="shared" ref="T16:T78" si="1">"("&amp;$A16&amp;", "&amp;$B16&amp;"]"</f>
        <v>(0, 1]</v>
      </c>
      <c r="U16" s="59">
        <v>0.19096724911677648</v>
      </c>
      <c r="V16" s="59"/>
      <c r="W16" s="59"/>
    </row>
    <row r="17" spans="1:23">
      <c r="A17" s="58">
        <v>1</v>
      </c>
      <c r="B17" s="58">
        <v>2</v>
      </c>
      <c r="C17" s="72">
        <v>35481</v>
      </c>
      <c r="D17" s="72">
        <v>5292945</v>
      </c>
      <c r="E17" s="59">
        <v>3.559251133802202E-2</v>
      </c>
      <c r="F17" s="93">
        <v>1.4917688340238435</v>
      </c>
      <c r="G17" s="90"/>
      <c r="H17" s="61" t="str">
        <f t="shared" si="0"/>
        <v>(1, 2]</v>
      </c>
      <c r="I17" s="62">
        <v>1</v>
      </c>
      <c r="J17" s="59">
        <v>3.559251133802202E-2</v>
      </c>
      <c r="K17" s="59">
        <v>3.6253475696308206E-2</v>
      </c>
      <c r="L17" s="128">
        <v>36253475</v>
      </c>
      <c r="M17" s="59">
        <v>3.6253475E-2</v>
      </c>
      <c r="N17" s="59">
        <v>5.4081804130062562E-2</v>
      </c>
      <c r="O17" s="130">
        <v>0.95</v>
      </c>
      <c r="P17" s="59">
        <v>3.6253475E-2</v>
      </c>
      <c r="Q17" s="59">
        <v>3.2464432349852003E-2</v>
      </c>
      <c r="R17" s="83">
        <v>0.9</v>
      </c>
      <c r="T17" s="61" t="str">
        <f t="shared" si="1"/>
        <v>(1, 2]</v>
      </c>
      <c r="U17" s="59">
        <v>3.2464432349852003E-2</v>
      </c>
      <c r="V17" s="59"/>
      <c r="W17" s="59"/>
    </row>
    <row r="18" spans="1:23">
      <c r="A18" s="58">
        <v>2</v>
      </c>
      <c r="B18" s="58">
        <v>3</v>
      </c>
      <c r="C18" s="72">
        <v>16126</v>
      </c>
      <c r="D18" s="72">
        <v>4066310</v>
      </c>
      <c r="E18" s="59">
        <v>1.6176681543275079E-2</v>
      </c>
      <c r="F18" s="93">
        <v>2.5215862582165447</v>
      </c>
      <c r="G18" s="90"/>
      <c r="H18" s="61" t="str">
        <f t="shared" si="0"/>
        <v>(2, 3]</v>
      </c>
      <c r="I18" s="62">
        <v>1</v>
      </c>
      <c r="J18" s="59">
        <v>1.6176681543275079E-2</v>
      </c>
      <c r="K18" s="59">
        <v>1.6477087711131766E-2</v>
      </c>
      <c r="L18" s="128">
        <v>16477087</v>
      </c>
      <c r="M18" s="59">
        <v>1.6477087000000001E-2</v>
      </c>
      <c r="N18" s="59">
        <v>4.1548396154638477E-2</v>
      </c>
      <c r="O18" s="130">
        <v>0.95</v>
      </c>
      <c r="P18" s="59">
        <v>1.6477087000000001E-2</v>
      </c>
      <c r="Q18" s="59">
        <v>1.4990929055666954E-2</v>
      </c>
      <c r="R18" s="83">
        <v>0.91</v>
      </c>
      <c r="T18" s="61" t="str">
        <f t="shared" si="1"/>
        <v>(2, 3]</v>
      </c>
      <c r="U18" s="59">
        <v>1.4990929055666954E-2</v>
      </c>
      <c r="V18" s="59"/>
      <c r="W18" s="59"/>
    </row>
    <row r="19" spans="1:23">
      <c r="A19" s="58">
        <v>3</v>
      </c>
      <c r="B19" s="58">
        <v>4</v>
      </c>
      <c r="C19" s="72">
        <v>7673</v>
      </c>
      <c r="D19" s="72">
        <v>2744615</v>
      </c>
      <c r="E19" s="59">
        <v>7.6971150614876405E-3</v>
      </c>
      <c r="F19" s="93">
        <v>3.5769777140622967</v>
      </c>
      <c r="G19" s="90"/>
      <c r="H19" s="61" t="str">
        <f t="shared" si="0"/>
        <v>(3, 4]</v>
      </c>
      <c r="I19" s="62">
        <v>1</v>
      </c>
      <c r="J19" s="59">
        <v>7.6971150614876405E-3</v>
      </c>
      <c r="K19" s="59">
        <v>7.8400529584220537E-3</v>
      </c>
      <c r="L19" s="128">
        <v>7840052</v>
      </c>
      <c r="M19" s="59">
        <v>7.8400520000000001E-3</v>
      </c>
      <c r="N19" s="59">
        <v>2.8043691281089536E-2</v>
      </c>
      <c r="O19" s="130">
        <v>0.95</v>
      </c>
      <c r="P19" s="59">
        <v>7.8400520000000001E-3</v>
      </c>
      <c r="Q19" s="59">
        <v>8.0206244629046127E-3</v>
      </c>
      <c r="R19" s="83">
        <v>1.02</v>
      </c>
      <c r="T19" s="61" t="str">
        <f t="shared" si="1"/>
        <v>(3, 4]</v>
      </c>
      <c r="U19" s="59">
        <v>8.0206244629046127E-3</v>
      </c>
      <c r="V19" s="59"/>
      <c r="W19" s="59"/>
    </row>
    <row r="20" spans="1:23">
      <c r="A20" s="58">
        <v>4</v>
      </c>
      <c r="B20" s="58">
        <v>5</v>
      </c>
      <c r="C20" s="72">
        <v>5289</v>
      </c>
      <c r="D20" s="72">
        <v>2441570</v>
      </c>
      <c r="E20" s="59">
        <v>5.3056225153405622E-3</v>
      </c>
      <c r="F20" s="93">
        <v>4.6163168840990743</v>
      </c>
      <c r="G20" s="90"/>
      <c r="H20" s="61" t="str">
        <f t="shared" si="0"/>
        <v>(4, 5]</v>
      </c>
      <c r="I20" s="62">
        <v>1</v>
      </c>
      <c r="J20" s="59">
        <v>5.3056225153405622E-3</v>
      </c>
      <c r="K20" s="59">
        <v>5.4041496281890065E-3</v>
      </c>
      <c r="L20" s="128">
        <v>5404149</v>
      </c>
      <c r="M20" s="59">
        <v>5.4041489999999996E-3</v>
      </c>
      <c r="N20" s="59">
        <v>2.4947264272887126E-2</v>
      </c>
      <c r="O20" s="130">
        <v>0.95</v>
      </c>
      <c r="P20" s="59">
        <v>5.4041489999999996E-3</v>
      </c>
      <c r="Q20" s="59">
        <v>6.779337343645565E-3</v>
      </c>
      <c r="R20" s="83">
        <v>1.25</v>
      </c>
      <c r="T20" s="61" t="str">
        <f t="shared" si="1"/>
        <v>(4, 5]</v>
      </c>
      <c r="U20" s="59">
        <v>6.779337343645565E-3</v>
      </c>
      <c r="V20" s="59"/>
      <c r="W20" s="59"/>
    </row>
    <row r="21" spans="1:23">
      <c r="A21" s="58">
        <v>5</v>
      </c>
      <c r="B21" s="58">
        <v>6</v>
      </c>
      <c r="C21" s="72">
        <v>3951</v>
      </c>
      <c r="D21" s="72">
        <v>2214305</v>
      </c>
      <c r="E21" s="59">
        <v>3.9634173866724444E-3</v>
      </c>
      <c r="F21" s="93">
        <v>5.6044166033915461</v>
      </c>
      <c r="G21" s="90"/>
      <c r="H21" s="61" t="str">
        <f t="shared" si="0"/>
        <v>(5, 6]</v>
      </c>
      <c r="I21" s="62">
        <v>1</v>
      </c>
      <c r="J21" s="59">
        <v>3.9634173866724444E-3</v>
      </c>
      <c r="K21" s="59">
        <v>4.0370193195263301E-3</v>
      </c>
      <c r="L21" s="128">
        <v>4037019</v>
      </c>
      <c r="M21" s="59">
        <v>4.0370190000000002E-3</v>
      </c>
      <c r="N21" s="59">
        <v>2.2625136311807136E-2</v>
      </c>
      <c r="O21" s="130">
        <v>0.95</v>
      </c>
      <c r="P21" s="59">
        <v>4.0370190000000002E-3</v>
      </c>
      <c r="Q21" s="59">
        <v>4.3922467296858593E-3</v>
      </c>
      <c r="R21" s="83">
        <v>1.0900000000000001</v>
      </c>
      <c r="T21" s="61" t="str">
        <f t="shared" si="1"/>
        <v>(5, 6]</v>
      </c>
      <c r="U21" s="59">
        <v>4.3922467296858593E-3</v>
      </c>
      <c r="V21" s="59"/>
      <c r="W21" s="59"/>
    </row>
    <row r="22" spans="1:23">
      <c r="A22" s="58">
        <v>6</v>
      </c>
      <c r="B22" s="58">
        <v>7</v>
      </c>
      <c r="C22" s="72">
        <v>2541</v>
      </c>
      <c r="D22" s="72">
        <v>1670120</v>
      </c>
      <c r="E22" s="59">
        <v>2.5489859730535767E-3</v>
      </c>
      <c r="F22" s="93">
        <v>6.5726879181424636</v>
      </c>
      <c r="G22" s="90"/>
      <c r="H22" s="61" t="str">
        <f t="shared" si="0"/>
        <v>(6, 7]</v>
      </c>
      <c r="I22" s="62">
        <v>1</v>
      </c>
      <c r="J22" s="59">
        <v>2.5489859730535767E-3</v>
      </c>
      <c r="K22" s="59">
        <v>2.5963214606217174E-3</v>
      </c>
      <c r="L22" s="128">
        <v>2596321</v>
      </c>
      <c r="M22" s="59">
        <v>2.596321E-3</v>
      </c>
      <c r="N22" s="59">
        <v>1.7064807668319557E-2</v>
      </c>
      <c r="O22" s="130">
        <v>0.95</v>
      </c>
      <c r="P22" s="59">
        <v>2.596321E-3</v>
      </c>
      <c r="Q22" s="59">
        <v>4.6786976033610234E-3</v>
      </c>
      <c r="R22" s="83">
        <v>1.8</v>
      </c>
      <c r="T22" s="61" t="str">
        <f t="shared" si="1"/>
        <v>(6, 7]</v>
      </c>
      <c r="U22" s="59">
        <v>4.6786976033610234E-3</v>
      </c>
      <c r="V22" s="59"/>
      <c r="W22" s="59"/>
    </row>
    <row r="23" spans="1:23">
      <c r="A23" s="58">
        <v>7</v>
      </c>
      <c r="B23" s="58">
        <v>8</v>
      </c>
      <c r="C23" s="72">
        <v>2841</v>
      </c>
      <c r="D23" s="72">
        <v>2175740</v>
      </c>
      <c r="E23" s="59">
        <v>2.8499288270150383E-3</v>
      </c>
      <c r="F23" s="93">
        <v>7.6583597324885604</v>
      </c>
      <c r="G23" s="90"/>
      <c r="H23" s="61" t="str">
        <f t="shared" si="0"/>
        <v>(7, 8]</v>
      </c>
      <c r="I23" s="62">
        <v>1</v>
      </c>
      <c r="J23" s="59">
        <v>2.8499288270150383E-3</v>
      </c>
      <c r="K23" s="59">
        <v>2.9028529199631248E-3</v>
      </c>
      <c r="L23" s="128">
        <v>2902852</v>
      </c>
      <c r="M23" s="59">
        <v>2.902852E-3</v>
      </c>
      <c r="N23" s="59">
        <v>2.2231084866173884E-2</v>
      </c>
      <c r="O23" s="130">
        <v>0.95</v>
      </c>
      <c r="P23" s="59">
        <v>2.902852E-3</v>
      </c>
      <c r="Q23" s="59">
        <v>4.0103122314523064E-3</v>
      </c>
      <c r="R23" s="83">
        <v>1.38</v>
      </c>
      <c r="T23" s="61" t="str">
        <f t="shared" si="1"/>
        <v>(7, 8]</v>
      </c>
      <c r="U23" s="59">
        <v>4.0103122314523064E-3</v>
      </c>
      <c r="V23" s="59"/>
      <c r="W23" s="59"/>
    </row>
    <row r="24" spans="1:23">
      <c r="A24" s="58">
        <v>8</v>
      </c>
      <c r="B24" s="58">
        <v>9</v>
      </c>
      <c r="C24" s="72">
        <v>1881</v>
      </c>
      <c r="D24" s="72">
        <v>1620565</v>
      </c>
      <c r="E24" s="59">
        <v>1.886911694338362E-3</v>
      </c>
      <c r="F24" s="93">
        <v>8.6154439128123332</v>
      </c>
      <c r="G24" s="90"/>
      <c r="H24" s="61" t="str">
        <f t="shared" si="0"/>
        <v>(8, 9]</v>
      </c>
      <c r="I24" s="62">
        <v>1</v>
      </c>
      <c r="J24" s="59">
        <v>1.886911694338362E-3</v>
      </c>
      <c r="K24" s="59">
        <v>1.921952250070622E-3</v>
      </c>
      <c r="L24" s="128">
        <v>1921952</v>
      </c>
      <c r="M24" s="59">
        <v>1.921952E-3</v>
      </c>
      <c r="N24" s="59">
        <v>1.6558469659117489E-2</v>
      </c>
      <c r="O24" s="130">
        <v>0.95</v>
      </c>
      <c r="P24" s="59">
        <v>1.921952E-3</v>
      </c>
      <c r="Q24" s="59">
        <v>3.532894108660365E-3</v>
      </c>
      <c r="R24" s="83">
        <v>1.84</v>
      </c>
      <c r="T24" s="61" t="str">
        <f t="shared" si="1"/>
        <v>(8, 9]</v>
      </c>
      <c r="U24" s="59">
        <v>3.532894108660365E-3</v>
      </c>
      <c r="V24" s="59"/>
      <c r="W24" s="59"/>
    </row>
    <row r="25" spans="1:23">
      <c r="A25" s="58">
        <v>9</v>
      </c>
      <c r="B25" s="58">
        <v>10</v>
      </c>
      <c r="C25" s="72">
        <v>1798</v>
      </c>
      <c r="D25" s="72">
        <v>1744480</v>
      </c>
      <c r="E25" s="59">
        <v>1.8036508380756911E-3</v>
      </c>
      <c r="F25" s="93">
        <v>9.7023359288097897</v>
      </c>
      <c r="G25" s="90"/>
      <c r="H25" s="61" t="str">
        <f t="shared" si="0"/>
        <v>(9, 10]</v>
      </c>
      <c r="I25" s="62">
        <v>1</v>
      </c>
      <c r="J25" s="59">
        <v>1.8036508380756911E-3</v>
      </c>
      <c r="K25" s="59">
        <v>1.8371452129861661E-3</v>
      </c>
      <c r="L25" s="128">
        <v>1837145</v>
      </c>
      <c r="M25" s="59">
        <v>1.8371450000000001E-3</v>
      </c>
      <c r="N25" s="59">
        <v>1.7824597939933261E-2</v>
      </c>
      <c r="O25" s="130">
        <v>0.95</v>
      </c>
      <c r="P25" s="59">
        <v>1.8371450000000001E-3</v>
      </c>
      <c r="Q25" s="59">
        <v>1.2412871192590471E-3</v>
      </c>
      <c r="R25" s="83">
        <v>0.68</v>
      </c>
      <c r="T25" s="61" t="str">
        <f t="shared" si="1"/>
        <v>(9, 10]</v>
      </c>
      <c r="U25" s="59">
        <v>1.2412871192590471E-3</v>
      </c>
      <c r="V25" s="59"/>
      <c r="W25" s="59"/>
    </row>
    <row r="26" spans="1:23">
      <c r="A26" s="58">
        <v>10</v>
      </c>
      <c r="B26" s="58">
        <v>15</v>
      </c>
      <c r="C26" s="72">
        <v>5990</v>
      </c>
      <c r="D26" s="72">
        <v>7459035</v>
      </c>
      <c r="E26" s="59">
        <v>6.0088256507638427E-3</v>
      </c>
      <c r="F26" s="93">
        <v>12.452479131886477</v>
      </c>
      <c r="G26" s="107">
        <f>SUM($L$15:L25)-1000</f>
        <v>987612589</v>
      </c>
      <c r="H26" s="61" t="str">
        <f t="shared" si="0"/>
        <v>(10, 15]</v>
      </c>
      <c r="I26" s="62">
        <v>1</v>
      </c>
      <c r="J26" s="59">
        <v>6.0088256507638427E-3</v>
      </c>
      <c r="K26" s="59">
        <v>6.1204114715167606E-3</v>
      </c>
      <c r="L26" s="128">
        <v>6120411</v>
      </c>
      <c r="M26" s="59">
        <v>6.1204110000000001E-3</v>
      </c>
      <c r="N26" s="59">
        <v>7.6214290256068448E-2</v>
      </c>
      <c r="O26" s="130">
        <v>0.95</v>
      </c>
      <c r="P26" s="59">
        <v>6.1204110000000001E-3</v>
      </c>
      <c r="Q26" s="59">
        <v>4.6786976033610234E-3</v>
      </c>
      <c r="R26" s="83">
        <v>0.76</v>
      </c>
      <c r="T26" s="61" t="str">
        <f t="shared" si="1"/>
        <v>(10, 15]</v>
      </c>
      <c r="U26" s="59">
        <v>4.6786976033610234E-3</v>
      </c>
      <c r="V26" s="59"/>
      <c r="W26" s="59"/>
    </row>
    <row r="27" spans="1:23">
      <c r="A27" s="58">
        <v>15</v>
      </c>
      <c r="B27" s="58">
        <v>20</v>
      </c>
      <c r="C27" s="72">
        <v>4007</v>
      </c>
      <c r="D27" s="72">
        <v>7050070</v>
      </c>
      <c r="E27" s="59">
        <v>4.0195933860785842E-3</v>
      </c>
      <c r="F27" s="93">
        <v>17.594384826553529</v>
      </c>
      <c r="G27" s="107">
        <f>SUM($L$15:L26)-1000</f>
        <v>993733000</v>
      </c>
      <c r="H27" s="124" t="str">
        <f t="shared" si="0"/>
        <v>(15, 20]</v>
      </c>
      <c r="I27" s="62">
        <v>0</v>
      </c>
      <c r="J27" s="59">
        <v>0</v>
      </c>
      <c r="K27" s="59">
        <v>0</v>
      </c>
      <c r="L27" s="128">
        <v>0</v>
      </c>
      <c r="M27" s="59">
        <v>0</v>
      </c>
      <c r="N27" s="59">
        <v>0</v>
      </c>
      <c r="O27" s="130">
        <v>0</v>
      </c>
      <c r="P27" s="59">
        <v>0</v>
      </c>
      <c r="Q27" s="59">
        <v>2.4825742385180941E-3</v>
      </c>
      <c r="R27" s="83">
        <v>0</v>
      </c>
      <c r="T27" s="61" t="str">
        <f t="shared" si="1"/>
        <v>(15, 20]</v>
      </c>
      <c r="U27" s="59">
        <v>2.4825742385180941E-3</v>
      </c>
      <c r="V27" s="59"/>
      <c r="W27" s="59"/>
    </row>
    <row r="28" spans="1:23">
      <c r="A28" s="58">
        <v>20</v>
      </c>
      <c r="B28" s="58">
        <v>25</v>
      </c>
      <c r="C28" s="72">
        <v>2755</v>
      </c>
      <c r="D28" s="72">
        <v>6227820</v>
      </c>
      <c r="E28" s="59">
        <v>2.7636585422127526E-3</v>
      </c>
      <c r="F28" s="93">
        <v>22.60551724137931</v>
      </c>
      <c r="G28" s="107">
        <f>SUM($L$15:L27)-1000</f>
        <v>993733000</v>
      </c>
      <c r="H28" s="61" t="str">
        <f t="shared" si="0"/>
        <v>(20, 25]</v>
      </c>
      <c r="I28" s="62">
        <v>0</v>
      </c>
      <c r="J28" s="59">
        <v>0</v>
      </c>
      <c r="K28" s="59">
        <v>0</v>
      </c>
      <c r="L28" s="128">
        <v>0</v>
      </c>
      <c r="M28" s="59">
        <v>0</v>
      </c>
      <c r="N28" s="59">
        <v>0</v>
      </c>
      <c r="O28" s="130">
        <v>0</v>
      </c>
      <c r="P28" s="59">
        <v>0</v>
      </c>
      <c r="Q28" s="59">
        <v>9.5483624558388236E-4</v>
      </c>
      <c r="R28" s="83">
        <v>0</v>
      </c>
      <c r="T28" s="61" t="str">
        <f t="shared" si="1"/>
        <v>(20, 25]</v>
      </c>
      <c r="U28" s="59">
        <v>9.5483624558388236E-4</v>
      </c>
      <c r="V28" s="59"/>
      <c r="W28" s="59"/>
    </row>
    <row r="29" spans="1:23">
      <c r="A29" s="58">
        <v>25</v>
      </c>
      <c r="B29" s="58">
        <v>30</v>
      </c>
      <c r="C29" s="72">
        <v>2166</v>
      </c>
      <c r="D29" s="72">
        <v>5974070</v>
      </c>
      <c r="E29" s="59">
        <v>2.1728074056017502E-3</v>
      </c>
      <c r="F29" s="93">
        <v>27.581117266851336</v>
      </c>
      <c r="G29" s="107">
        <f>SUM($L$15:L28)-1000</f>
        <v>993733000</v>
      </c>
      <c r="H29" s="61" t="str">
        <f t="shared" si="0"/>
        <v>(25, 30]</v>
      </c>
      <c r="I29" s="62">
        <v>0</v>
      </c>
      <c r="J29" s="59">
        <v>0</v>
      </c>
      <c r="K29" s="59">
        <v>0</v>
      </c>
      <c r="L29" s="128">
        <v>0</v>
      </c>
      <c r="M29" s="59">
        <v>0</v>
      </c>
      <c r="N29" s="59">
        <v>0</v>
      </c>
      <c r="O29" s="130">
        <v>0</v>
      </c>
      <c r="P29" s="59">
        <v>0</v>
      </c>
      <c r="Q29" s="59">
        <v>1.1458034947006588E-3</v>
      </c>
      <c r="R29" s="83">
        <v>0</v>
      </c>
      <c r="T29" s="61" t="str">
        <f t="shared" si="1"/>
        <v>(25, 30]</v>
      </c>
      <c r="U29" s="59">
        <v>1.1458034947006588E-3</v>
      </c>
      <c r="V29" s="59"/>
      <c r="W29" s="59"/>
    </row>
    <row r="30" spans="1:23">
      <c r="A30" s="58">
        <v>30</v>
      </c>
      <c r="B30" s="58">
        <v>35</v>
      </c>
      <c r="C30" s="72">
        <v>1524</v>
      </c>
      <c r="D30" s="72">
        <v>4962115</v>
      </c>
      <c r="E30" s="59">
        <v>1.5287896981242232E-3</v>
      </c>
      <c r="F30" s="93">
        <v>32.559809711286086</v>
      </c>
      <c r="G30" s="107">
        <f>SUM($L$15:L29)-1000</f>
        <v>993733000</v>
      </c>
      <c r="H30" s="61" t="str">
        <f t="shared" si="0"/>
        <v>(30, 35]</v>
      </c>
      <c r="I30" s="62">
        <v>0</v>
      </c>
      <c r="J30" s="59">
        <v>0</v>
      </c>
      <c r="K30" s="59">
        <v>0</v>
      </c>
      <c r="L30" s="128">
        <v>0</v>
      </c>
      <c r="M30" s="59">
        <v>0</v>
      </c>
      <c r="N30" s="59">
        <v>0</v>
      </c>
      <c r="O30" s="130">
        <v>0</v>
      </c>
      <c r="P30" s="59">
        <v>0</v>
      </c>
      <c r="Q30" s="59">
        <v>1.3367707438174353E-3</v>
      </c>
      <c r="R30" s="83">
        <v>0</v>
      </c>
      <c r="T30" s="61" t="str">
        <f t="shared" si="1"/>
        <v>(30, 35]</v>
      </c>
      <c r="U30" s="59">
        <v>1.3367707438174353E-3</v>
      </c>
      <c r="V30" s="59"/>
      <c r="W30" s="59"/>
    </row>
    <row r="31" spans="1:23">
      <c r="A31" s="58">
        <v>35</v>
      </c>
      <c r="B31" s="58">
        <v>40</v>
      </c>
      <c r="C31" s="72">
        <v>1404</v>
      </c>
      <c r="D31" s="72">
        <v>5290095</v>
      </c>
      <c r="E31" s="59">
        <v>1.4084125565396388E-3</v>
      </c>
      <c r="F31" s="93">
        <v>37.678739316239316</v>
      </c>
      <c r="G31" s="107">
        <f>SUM($L$15:L30)-1000</f>
        <v>993733000</v>
      </c>
      <c r="H31" s="124" t="str">
        <f t="shared" si="0"/>
        <v>(35, 40]</v>
      </c>
      <c r="I31" s="62">
        <v>0</v>
      </c>
      <c r="J31" s="59">
        <v>0</v>
      </c>
      <c r="K31" s="59">
        <v>0</v>
      </c>
      <c r="L31" s="128">
        <v>0</v>
      </c>
      <c r="M31" s="59">
        <v>0</v>
      </c>
      <c r="N31" s="59">
        <v>0</v>
      </c>
      <c r="O31" s="130">
        <v>0</v>
      </c>
      <c r="P31" s="59">
        <v>0</v>
      </c>
      <c r="Q31" s="59">
        <v>9.5483624558388236E-4</v>
      </c>
      <c r="R31" s="83">
        <v>0</v>
      </c>
      <c r="T31" s="61" t="str">
        <f t="shared" si="1"/>
        <v>(35, 40]</v>
      </c>
      <c r="U31" s="59">
        <v>9.5483624558388236E-4</v>
      </c>
      <c r="V31" s="59"/>
      <c r="W31" s="59"/>
    </row>
    <row r="32" spans="1:23">
      <c r="A32" s="58">
        <v>40</v>
      </c>
      <c r="B32" s="58">
        <v>45</v>
      </c>
      <c r="C32" s="72">
        <v>1062</v>
      </c>
      <c r="D32" s="72">
        <v>4537870</v>
      </c>
      <c r="E32" s="59">
        <v>1.0653377030235729E-3</v>
      </c>
      <c r="F32" s="93">
        <v>42.729472693032015</v>
      </c>
      <c r="G32" s="107">
        <f>SUM($L$15:L31)-1000</f>
        <v>993733000</v>
      </c>
      <c r="H32" s="61" t="str">
        <f t="shared" si="0"/>
        <v>(40, 45]</v>
      </c>
      <c r="I32" s="62">
        <v>0</v>
      </c>
      <c r="J32" s="59">
        <v>0</v>
      </c>
      <c r="K32" s="59">
        <v>0</v>
      </c>
      <c r="L32" s="128">
        <v>0</v>
      </c>
      <c r="M32" s="59">
        <v>0</v>
      </c>
      <c r="N32" s="59">
        <v>0</v>
      </c>
      <c r="O32" s="130">
        <v>0</v>
      </c>
      <c r="P32" s="59">
        <v>0</v>
      </c>
      <c r="Q32" s="59">
        <v>0</v>
      </c>
      <c r="R32" s="83">
        <v>0</v>
      </c>
      <c r="T32" s="61" t="str">
        <f t="shared" si="1"/>
        <v>(40, 45]</v>
      </c>
      <c r="U32" s="59">
        <v>0</v>
      </c>
      <c r="V32" s="59"/>
      <c r="W32" s="59"/>
    </row>
    <row r="33" spans="1:23">
      <c r="A33" s="58">
        <v>45</v>
      </c>
      <c r="B33" s="58">
        <v>50</v>
      </c>
      <c r="C33" s="72">
        <v>898</v>
      </c>
      <c r="D33" s="72">
        <v>4301205</v>
      </c>
      <c r="E33" s="59">
        <v>9.0082227619130736E-4</v>
      </c>
      <c r="F33" s="93">
        <v>47.897605790645876</v>
      </c>
      <c r="G33" s="107">
        <f>SUM($L$15:L32)-1000</f>
        <v>993733000</v>
      </c>
      <c r="H33" s="61" t="str">
        <f t="shared" si="0"/>
        <v>(45, 50]</v>
      </c>
      <c r="I33" s="62">
        <v>0</v>
      </c>
      <c r="J33" s="59">
        <v>0</v>
      </c>
      <c r="K33" s="59">
        <v>0</v>
      </c>
      <c r="L33" s="128">
        <v>0</v>
      </c>
      <c r="M33" s="59">
        <v>0</v>
      </c>
      <c r="N33" s="59">
        <v>0</v>
      </c>
      <c r="O33" s="130">
        <v>0</v>
      </c>
      <c r="P33" s="59">
        <v>0</v>
      </c>
      <c r="Q33" s="59">
        <v>5.7290174735032942E-4</v>
      </c>
      <c r="R33" s="83">
        <v>0</v>
      </c>
      <c r="T33" s="61" t="str">
        <f t="shared" si="1"/>
        <v>(45, 50]</v>
      </c>
      <c r="U33" s="59">
        <v>5.7290174735032942E-4</v>
      </c>
      <c r="V33" s="59"/>
      <c r="W33" s="59"/>
    </row>
    <row r="34" spans="1:23">
      <c r="A34" s="58">
        <v>50</v>
      </c>
      <c r="B34" s="58">
        <v>60</v>
      </c>
      <c r="C34" s="72">
        <v>1594</v>
      </c>
      <c r="D34" s="72">
        <v>8835000</v>
      </c>
      <c r="E34" s="59">
        <v>1.5990096973818974E-3</v>
      </c>
      <c r="F34" s="93">
        <v>55.426599749058965</v>
      </c>
      <c r="G34" s="107">
        <f>SUM($L$15:L33)-1000</f>
        <v>993733000</v>
      </c>
      <c r="H34" s="124" t="str">
        <f t="shared" si="0"/>
        <v>(50, 60]</v>
      </c>
      <c r="I34" s="62">
        <v>0</v>
      </c>
      <c r="J34" s="59">
        <v>0</v>
      </c>
      <c r="K34" s="59">
        <v>0</v>
      </c>
      <c r="L34" s="128">
        <v>0</v>
      </c>
      <c r="M34" s="59">
        <v>0</v>
      </c>
      <c r="N34" s="59">
        <v>0</v>
      </c>
      <c r="O34" s="130">
        <v>0</v>
      </c>
      <c r="P34" s="59">
        <v>0</v>
      </c>
      <c r="Q34" s="59">
        <v>9.5483624558388236E-5</v>
      </c>
      <c r="R34" s="83">
        <v>0</v>
      </c>
      <c r="T34" s="61" t="str">
        <f t="shared" si="1"/>
        <v>(50, 60]</v>
      </c>
      <c r="U34" s="59">
        <v>9.5483624558388236E-5</v>
      </c>
      <c r="V34" s="59"/>
      <c r="W34" s="59"/>
    </row>
    <row r="35" spans="1:23">
      <c r="A35" s="58">
        <v>60</v>
      </c>
      <c r="B35" s="58">
        <v>70</v>
      </c>
      <c r="C35" s="72">
        <v>1145</v>
      </c>
      <c r="D35" s="72">
        <v>7455825</v>
      </c>
      <c r="E35" s="59">
        <v>1.1485985592862439E-3</v>
      </c>
      <c r="F35" s="93">
        <v>65.116375545851525</v>
      </c>
      <c r="G35" s="90"/>
      <c r="H35" s="61" t="str">
        <f t="shared" si="0"/>
        <v>(60, 70]</v>
      </c>
      <c r="I35" s="62">
        <v>0</v>
      </c>
      <c r="J35" s="59">
        <v>0</v>
      </c>
      <c r="K35" s="59">
        <v>0</v>
      </c>
      <c r="L35" s="128">
        <v>0</v>
      </c>
      <c r="M35" s="59">
        <v>0</v>
      </c>
      <c r="N35" s="59">
        <v>0</v>
      </c>
      <c r="O35" s="130">
        <v>0</v>
      </c>
      <c r="P35" s="59">
        <v>0</v>
      </c>
      <c r="Q35" s="59">
        <v>1.9096724911677647E-4</v>
      </c>
      <c r="R35" s="83">
        <v>0</v>
      </c>
      <c r="T35" s="61" t="str">
        <f t="shared" si="1"/>
        <v>(60, 70]</v>
      </c>
      <c r="U35" s="59">
        <v>1.9096724911677647E-4</v>
      </c>
      <c r="V35" s="59"/>
      <c r="W35" s="59"/>
    </row>
    <row r="36" spans="1:23">
      <c r="A36" s="58">
        <v>70</v>
      </c>
      <c r="B36" s="58">
        <v>80</v>
      </c>
      <c r="C36" s="72">
        <v>990</v>
      </c>
      <c r="D36" s="72">
        <v>7468905</v>
      </c>
      <c r="E36" s="59">
        <v>9.931114180728221E-4</v>
      </c>
      <c r="F36" s="93">
        <v>75.443484848484843</v>
      </c>
      <c r="G36" s="90"/>
      <c r="H36" s="61" t="str">
        <f t="shared" si="0"/>
        <v>(70, 80]</v>
      </c>
      <c r="I36" s="62">
        <v>0</v>
      </c>
      <c r="J36" s="59">
        <v>0</v>
      </c>
      <c r="K36" s="59">
        <v>0</v>
      </c>
      <c r="L36" s="128">
        <v>0</v>
      </c>
      <c r="M36" s="59">
        <v>0</v>
      </c>
      <c r="N36" s="59">
        <v>0</v>
      </c>
      <c r="O36" s="130">
        <v>0</v>
      </c>
      <c r="P36" s="59">
        <v>0</v>
      </c>
      <c r="Q36" s="59">
        <v>1.9096724911677647E-4</v>
      </c>
      <c r="R36" s="83">
        <v>0</v>
      </c>
      <c r="T36" s="61" t="str">
        <f t="shared" si="1"/>
        <v>(70, 80]</v>
      </c>
      <c r="U36" s="59">
        <v>1.9096724911677647E-4</v>
      </c>
      <c r="V36" s="59"/>
      <c r="W36" s="59"/>
    </row>
    <row r="37" spans="1:23">
      <c r="A37" s="58">
        <v>80</v>
      </c>
      <c r="B37" s="58">
        <v>90</v>
      </c>
      <c r="C37" s="72">
        <v>686</v>
      </c>
      <c r="D37" s="72">
        <v>5848215</v>
      </c>
      <c r="E37" s="59">
        <v>6.8815599272520811E-4</v>
      </c>
      <c r="F37" s="93">
        <v>85.250947521865896</v>
      </c>
      <c r="G37" s="90"/>
      <c r="H37" s="61" t="str">
        <f t="shared" si="0"/>
        <v>(80, 90]</v>
      </c>
      <c r="I37" s="62">
        <v>0</v>
      </c>
      <c r="J37" s="59">
        <v>0</v>
      </c>
      <c r="K37" s="59">
        <v>0</v>
      </c>
      <c r="L37" s="128">
        <v>0</v>
      </c>
      <c r="M37" s="59">
        <v>0</v>
      </c>
      <c r="N37" s="59">
        <v>0</v>
      </c>
      <c r="O37" s="130">
        <v>0</v>
      </c>
      <c r="P37" s="59">
        <v>0</v>
      </c>
      <c r="Q37" s="59">
        <v>1.9096724911677647E-4</v>
      </c>
      <c r="R37" s="83">
        <v>0</v>
      </c>
      <c r="T37" s="61" t="str">
        <f t="shared" si="1"/>
        <v>(80, 90]</v>
      </c>
      <c r="U37" s="59">
        <v>1.9096724911677647E-4</v>
      </c>
      <c r="V37" s="59"/>
      <c r="W37" s="59"/>
    </row>
    <row r="38" spans="1:23">
      <c r="A38" s="58">
        <v>90</v>
      </c>
      <c r="B38" s="58">
        <v>100</v>
      </c>
      <c r="C38" s="72">
        <v>591</v>
      </c>
      <c r="D38" s="72">
        <v>5632880</v>
      </c>
      <c r="E38" s="59">
        <v>5.9285742230407866E-4</v>
      </c>
      <c r="F38" s="93">
        <v>95.310998307952616</v>
      </c>
      <c r="G38" s="90"/>
      <c r="H38" s="61" t="str">
        <f t="shared" si="0"/>
        <v>(90, 100]</v>
      </c>
      <c r="I38" s="62">
        <v>0</v>
      </c>
      <c r="J38" s="59">
        <v>0</v>
      </c>
      <c r="K38" s="59">
        <v>0</v>
      </c>
      <c r="L38" s="128">
        <v>0</v>
      </c>
      <c r="M38" s="59">
        <v>0</v>
      </c>
      <c r="N38" s="59">
        <v>0</v>
      </c>
      <c r="O38" s="130">
        <v>0</v>
      </c>
      <c r="P38" s="59">
        <v>0</v>
      </c>
      <c r="Q38" s="59">
        <v>0</v>
      </c>
      <c r="R38" s="83">
        <v>0</v>
      </c>
      <c r="T38" s="61" t="str">
        <f t="shared" si="1"/>
        <v>(90, 100]</v>
      </c>
      <c r="U38" s="59">
        <v>0</v>
      </c>
      <c r="V38" s="59"/>
      <c r="W38" s="59"/>
    </row>
    <row r="39" spans="1:23">
      <c r="A39" s="58">
        <v>100</v>
      </c>
      <c r="B39" s="58">
        <v>120</v>
      </c>
      <c r="C39" s="72">
        <v>965</v>
      </c>
      <c r="D39" s="72">
        <v>10627980</v>
      </c>
      <c r="E39" s="59">
        <v>9.6803284690936704E-4</v>
      </c>
      <c r="F39" s="93">
        <v>110.13450777202074</v>
      </c>
      <c r="G39" s="90">
        <f>SUM(M46:M69)</f>
        <v>0</v>
      </c>
      <c r="H39" s="61" t="str">
        <f t="shared" si="0"/>
        <v>(100, 120]</v>
      </c>
      <c r="I39" s="62">
        <v>0</v>
      </c>
      <c r="J39" s="59">
        <v>0</v>
      </c>
      <c r="K39" s="59">
        <v>0</v>
      </c>
      <c r="L39" s="128">
        <v>0</v>
      </c>
      <c r="M39" s="59">
        <v>0</v>
      </c>
      <c r="N39" s="59">
        <v>0</v>
      </c>
      <c r="O39" s="130">
        <v>0</v>
      </c>
      <c r="P39" s="59">
        <v>0</v>
      </c>
      <c r="Q39" s="59">
        <v>0</v>
      </c>
      <c r="R39" s="83">
        <v>0</v>
      </c>
      <c r="T39" s="61" t="str">
        <f t="shared" si="1"/>
        <v>(100, 120]</v>
      </c>
      <c r="U39" s="59">
        <v>0</v>
      </c>
      <c r="V39" s="59"/>
      <c r="W39" s="59"/>
    </row>
    <row r="40" spans="1:23">
      <c r="A40" s="58">
        <v>120</v>
      </c>
      <c r="B40" s="58">
        <v>140</v>
      </c>
      <c r="C40" s="72">
        <v>687</v>
      </c>
      <c r="D40" s="72">
        <v>8922710</v>
      </c>
      <c r="E40" s="59">
        <v>6.8915913557174627E-4</v>
      </c>
      <c r="F40" s="93">
        <v>129.87933042212518</v>
      </c>
      <c r="G40" s="90" t="e">
        <f>1/G39</f>
        <v>#DIV/0!</v>
      </c>
      <c r="H40" s="61" t="str">
        <f t="shared" si="0"/>
        <v>(120, 140]</v>
      </c>
      <c r="I40" s="62">
        <v>0</v>
      </c>
      <c r="J40" s="59">
        <v>0</v>
      </c>
      <c r="K40" s="59">
        <v>0</v>
      </c>
      <c r="L40" s="128">
        <v>0</v>
      </c>
      <c r="M40" s="59">
        <v>0</v>
      </c>
      <c r="N40" s="59">
        <v>0</v>
      </c>
      <c r="O40" s="130">
        <v>0</v>
      </c>
      <c r="P40" s="59">
        <v>0</v>
      </c>
      <c r="Q40" s="59">
        <v>0</v>
      </c>
      <c r="R40" s="83">
        <v>0</v>
      </c>
      <c r="T40" s="61" t="str">
        <f t="shared" si="1"/>
        <v>(120, 140]</v>
      </c>
      <c r="U40" s="59">
        <v>0</v>
      </c>
      <c r="V40" s="59"/>
      <c r="W40" s="59"/>
    </row>
    <row r="41" spans="1:23">
      <c r="A41" s="58">
        <v>140</v>
      </c>
      <c r="B41" s="58">
        <v>160</v>
      </c>
      <c r="C41" s="72">
        <v>579</v>
      </c>
      <c r="D41" s="72">
        <v>8719640</v>
      </c>
      <c r="E41" s="59">
        <v>5.8081970814562026E-4</v>
      </c>
      <c r="F41" s="93">
        <v>150.59827288428326</v>
      </c>
      <c r="G41" s="90"/>
      <c r="H41" s="61" t="str">
        <f t="shared" si="0"/>
        <v>(140, 160]</v>
      </c>
      <c r="I41" s="62">
        <v>0</v>
      </c>
      <c r="J41" s="59">
        <v>0</v>
      </c>
      <c r="K41" s="59">
        <v>0</v>
      </c>
      <c r="L41" s="128">
        <v>0</v>
      </c>
      <c r="M41" s="59">
        <v>0</v>
      </c>
      <c r="N41" s="59">
        <v>0</v>
      </c>
      <c r="O41" s="130">
        <v>0</v>
      </c>
      <c r="P41" s="59">
        <v>0</v>
      </c>
      <c r="Q41" s="59">
        <v>0</v>
      </c>
      <c r="R41" s="83">
        <v>0</v>
      </c>
      <c r="T41" s="61" t="str">
        <f t="shared" si="1"/>
        <v>(140, 160]</v>
      </c>
      <c r="U41" s="59">
        <v>0</v>
      </c>
      <c r="V41" s="59"/>
      <c r="W41" s="59"/>
    </row>
    <row r="42" spans="1:23">
      <c r="A42" s="58">
        <v>160</v>
      </c>
      <c r="B42" s="58">
        <v>180</v>
      </c>
      <c r="C42" s="72">
        <v>434</v>
      </c>
      <c r="D42" s="72">
        <v>7409365</v>
      </c>
      <c r="E42" s="59">
        <v>4.3536399539758063E-4</v>
      </c>
      <c r="F42" s="93">
        <v>170.72269585253457</v>
      </c>
      <c r="G42" s="90"/>
      <c r="H42" s="61" t="str">
        <f t="shared" si="0"/>
        <v>(160, 180]</v>
      </c>
      <c r="I42" s="62">
        <v>0</v>
      </c>
      <c r="J42" s="59">
        <v>0</v>
      </c>
      <c r="K42" s="59">
        <v>0</v>
      </c>
      <c r="L42" s="128">
        <v>0</v>
      </c>
      <c r="M42" s="59">
        <v>0</v>
      </c>
      <c r="N42" s="59">
        <v>0</v>
      </c>
      <c r="O42" s="130">
        <v>0</v>
      </c>
      <c r="P42" s="59">
        <v>0</v>
      </c>
      <c r="Q42" s="59">
        <v>0</v>
      </c>
      <c r="R42" s="83">
        <v>0</v>
      </c>
      <c r="T42" s="61" t="str">
        <f t="shared" si="1"/>
        <v>(160, 180]</v>
      </c>
      <c r="U42" s="59">
        <v>0</v>
      </c>
      <c r="V42" s="59"/>
      <c r="W42" s="59"/>
    </row>
    <row r="43" spans="1:23">
      <c r="A43" s="58">
        <v>180</v>
      </c>
      <c r="B43" s="58">
        <v>200</v>
      </c>
      <c r="C43" s="72">
        <v>384</v>
      </c>
      <c r="D43" s="72">
        <v>7315430</v>
      </c>
      <c r="E43" s="59">
        <v>3.8520685307067039E-4</v>
      </c>
      <c r="F43" s="93">
        <v>190.50598958333333</v>
      </c>
      <c r="G43" s="90"/>
      <c r="H43" s="61" t="str">
        <f t="shared" si="0"/>
        <v>(180, 200]</v>
      </c>
      <c r="I43" s="62">
        <v>0</v>
      </c>
      <c r="J43" s="59">
        <v>0</v>
      </c>
      <c r="K43" s="59">
        <v>0</v>
      </c>
      <c r="L43" s="128">
        <v>0</v>
      </c>
      <c r="M43" s="59">
        <v>0</v>
      </c>
      <c r="N43" s="59">
        <v>0</v>
      </c>
      <c r="O43" s="130">
        <v>0</v>
      </c>
      <c r="P43" s="59">
        <v>0</v>
      </c>
      <c r="Q43" s="59">
        <v>0</v>
      </c>
      <c r="R43" s="83">
        <v>0</v>
      </c>
      <c r="T43" s="61" t="str">
        <f t="shared" si="1"/>
        <v>(180, 200]</v>
      </c>
      <c r="U43" s="59">
        <v>0</v>
      </c>
      <c r="V43" s="59"/>
      <c r="W43" s="59"/>
    </row>
    <row r="44" spans="1:23">
      <c r="A44" s="58">
        <v>200</v>
      </c>
      <c r="B44" s="58">
        <v>250</v>
      </c>
      <c r="C44" s="72">
        <v>689</v>
      </c>
      <c r="D44" s="72">
        <v>15443900</v>
      </c>
      <c r="E44" s="59">
        <v>6.9116542126482271E-4</v>
      </c>
      <c r="F44" s="93">
        <v>224.14949201741655</v>
      </c>
      <c r="G44" s="90"/>
      <c r="H44" s="61" t="str">
        <f t="shared" si="0"/>
        <v>(200, 250]</v>
      </c>
      <c r="I44" s="62">
        <v>0</v>
      </c>
      <c r="J44" s="59">
        <v>0</v>
      </c>
      <c r="K44" s="59">
        <v>0</v>
      </c>
      <c r="L44" s="128">
        <v>0</v>
      </c>
      <c r="M44" s="59">
        <v>0</v>
      </c>
      <c r="N44" s="59">
        <v>0</v>
      </c>
      <c r="O44" s="130">
        <v>0</v>
      </c>
      <c r="P44" s="59">
        <v>0</v>
      </c>
      <c r="Q44" s="59">
        <v>0</v>
      </c>
      <c r="R44" s="83">
        <v>0</v>
      </c>
      <c r="T44" s="61" t="str">
        <f t="shared" si="1"/>
        <v>(200, 250]</v>
      </c>
      <c r="U44" s="59">
        <v>0</v>
      </c>
      <c r="V44" s="59"/>
      <c r="W44" s="59"/>
    </row>
    <row r="45" spans="1:23">
      <c r="A45" s="58">
        <v>250</v>
      </c>
      <c r="B45" s="58">
        <v>300</v>
      </c>
      <c r="C45" s="72">
        <v>438</v>
      </c>
      <c r="D45" s="72">
        <v>12037700</v>
      </c>
      <c r="E45" s="59">
        <v>4.3937656678373345E-4</v>
      </c>
      <c r="F45" s="93">
        <v>274.83333333333331</v>
      </c>
      <c r="G45" s="90"/>
      <c r="H45" s="61" t="str">
        <f t="shared" si="0"/>
        <v>(250, 300]</v>
      </c>
      <c r="I45" s="62">
        <v>0</v>
      </c>
      <c r="J45" s="59">
        <v>0</v>
      </c>
      <c r="K45" s="59">
        <v>0</v>
      </c>
      <c r="L45" s="128">
        <v>0</v>
      </c>
      <c r="M45" s="59">
        <v>0</v>
      </c>
      <c r="N45" s="59">
        <v>0</v>
      </c>
      <c r="O45" s="130">
        <v>0</v>
      </c>
      <c r="P45" s="59">
        <v>0</v>
      </c>
      <c r="Q45" s="59">
        <v>0</v>
      </c>
      <c r="R45" s="83">
        <v>0</v>
      </c>
      <c r="T45" s="61" t="str">
        <f t="shared" si="1"/>
        <v>(250, 300]</v>
      </c>
      <c r="U45" s="59">
        <v>0</v>
      </c>
      <c r="V45" s="59"/>
      <c r="W45" s="59"/>
    </row>
    <row r="46" spans="1:23">
      <c r="A46" s="58">
        <v>300</v>
      </c>
      <c r="B46" s="58">
        <v>350</v>
      </c>
      <c r="C46" s="72">
        <v>319</v>
      </c>
      <c r="D46" s="72">
        <v>10328085</v>
      </c>
      <c r="E46" s="59">
        <v>3.2000256804568715E-4</v>
      </c>
      <c r="F46" s="93">
        <v>323.76442006269593</v>
      </c>
      <c r="G46" s="90"/>
      <c r="H46" s="61" t="str">
        <f t="shared" si="0"/>
        <v>(300, 350]</v>
      </c>
      <c r="I46" s="62">
        <v>0</v>
      </c>
      <c r="J46" s="59">
        <v>0</v>
      </c>
      <c r="K46" s="59">
        <v>0</v>
      </c>
      <c r="L46" s="128">
        <v>0</v>
      </c>
      <c r="M46" s="59">
        <v>0</v>
      </c>
      <c r="N46" s="59">
        <v>0</v>
      </c>
      <c r="O46" s="130">
        <v>0</v>
      </c>
      <c r="P46" s="59">
        <v>0</v>
      </c>
      <c r="Q46" s="59">
        <v>1.9096724911677647E-4</v>
      </c>
      <c r="R46" s="83">
        <v>0</v>
      </c>
      <c r="T46" s="61" t="str">
        <f t="shared" si="1"/>
        <v>(300, 350]</v>
      </c>
      <c r="U46" s="59">
        <v>1.9096724911677647E-4</v>
      </c>
      <c r="V46" s="59"/>
      <c r="W46" s="59"/>
    </row>
    <row r="47" spans="1:23">
      <c r="A47" s="58">
        <v>350</v>
      </c>
      <c r="B47" s="58">
        <v>400</v>
      </c>
      <c r="C47" s="72">
        <v>224</v>
      </c>
      <c r="D47" s="72">
        <v>8402535</v>
      </c>
      <c r="E47" s="59">
        <v>2.2470399762455773E-4</v>
      </c>
      <c r="F47" s="93">
        <v>375.1131696428572</v>
      </c>
      <c r="G47" s="90"/>
      <c r="H47" s="61" t="str">
        <f t="shared" si="0"/>
        <v>(350, 400]</v>
      </c>
      <c r="I47" s="62">
        <v>0</v>
      </c>
      <c r="J47" s="59">
        <v>0</v>
      </c>
      <c r="K47" s="59">
        <v>0</v>
      </c>
      <c r="L47" s="128">
        <v>0</v>
      </c>
      <c r="M47" s="59">
        <v>0</v>
      </c>
      <c r="N47" s="59">
        <v>0</v>
      </c>
      <c r="O47" s="130">
        <v>0</v>
      </c>
      <c r="P47" s="59">
        <v>0</v>
      </c>
      <c r="Q47" s="59">
        <v>0</v>
      </c>
      <c r="R47" s="83">
        <v>0</v>
      </c>
      <c r="T47" s="61" t="str">
        <f t="shared" si="1"/>
        <v>(350, 400]</v>
      </c>
      <c r="U47" s="59">
        <v>0</v>
      </c>
      <c r="V47" s="59"/>
      <c r="W47" s="59"/>
    </row>
    <row r="48" spans="1:23">
      <c r="A48" s="58">
        <v>400</v>
      </c>
      <c r="B48" s="58">
        <v>450</v>
      </c>
      <c r="C48" s="72">
        <v>148</v>
      </c>
      <c r="D48" s="72">
        <v>6276820</v>
      </c>
      <c r="E48" s="59">
        <v>1.4846514128765423E-4</v>
      </c>
      <c r="F48" s="93">
        <v>424.10945945945946</v>
      </c>
      <c r="G48" s="90"/>
      <c r="H48" s="61" t="str">
        <f t="shared" si="0"/>
        <v>(400, 450]</v>
      </c>
      <c r="I48" s="62">
        <v>0</v>
      </c>
      <c r="J48" s="59">
        <v>0</v>
      </c>
      <c r="K48" s="59">
        <v>0</v>
      </c>
      <c r="L48" s="128">
        <v>0</v>
      </c>
      <c r="M48" s="59">
        <v>0</v>
      </c>
      <c r="N48" s="59">
        <v>0</v>
      </c>
      <c r="O48" s="130">
        <v>0</v>
      </c>
      <c r="P48" s="59">
        <v>0</v>
      </c>
      <c r="Q48" s="59">
        <v>0</v>
      </c>
      <c r="R48" s="83">
        <v>0</v>
      </c>
      <c r="T48" s="61" t="str">
        <f t="shared" si="1"/>
        <v>(400, 450]</v>
      </c>
      <c r="U48" s="59">
        <v>0</v>
      </c>
      <c r="V48" s="59"/>
      <c r="W48" s="59"/>
    </row>
    <row r="49" spans="1:27">
      <c r="A49" s="58">
        <v>450</v>
      </c>
      <c r="B49" s="58">
        <v>500</v>
      </c>
      <c r="C49" s="72">
        <v>114</v>
      </c>
      <c r="D49" s="72">
        <v>5428680</v>
      </c>
      <c r="E49" s="59">
        <v>1.1435828450535527E-4</v>
      </c>
      <c r="F49" s="93">
        <v>476.2</v>
      </c>
      <c r="G49" s="90"/>
      <c r="H49" s="61" t="str">
        <f t="shared" si="0"/>
        <v>(450, 500]</v>
      </c>
      <c r="I49" s="62">
        <v>0</v>
      </c>
      <c r="J49" s="59">
        <v>0</v>
      </c>
      <c r="K49" s="59">
        <v>0</v>
      </c>
      <c r="L49" s="128">
        <v>0</v>
      </c>
      <c r="M49" s="59">
        <v>0</v>
      </c>
      <c r="N49" s="59">
        <v>0</v>
      </c>
      <c r="O49" s="130">
        <v>0</v>
      </c>
      <c r="P49" s="59">
        <v>0</v>
      </c>
      <c r="Q49" s="59">
        <v>0</v>
      </c>
      <c r="R49" s="83">
        <v>0</v>
      </c>
      <c r="T49" s="61" t="str">
        <f t="shared" si="1"/>
        <v>(450, 500]</v>
      </c>
      <c r="U49" s="59">
        <v>0</v>
      </c>
      <c r="V49" s="59"/>
      <c r="W49" s="59"/>
    </row>
    <row r="50" spans="1:27">
      <c r="A50" s="58">
        <v>500</v>
      </c>
      <c r="B50" s="58">
        <v>550</v>
      </c>
      <c r="C50" s="72">
        <v>102</v>
      </c>
      <c r="D50" s="72">
        <v>5337415</v>
      </c>
      <c r="E50" s="59">
        <v>1.0232057034689682E-4</v>
      </c>
      <c r="F50" s="93">
        <v>523.27598039215684</v>
      </c>
      <c r="G50" s="90"/>
      <c r="H50" s="61" t="str">
        <f t="shared" si="0"/>
        <v>(500, 550]</v>
      </c>
      <c r="I50" s="62">
        <v>0</v>
      </c>
      <c r="J50" s="59">
        <v>0</v>
      </c>
      <c r="K50" s="59">
        <v>0</v>
      </c>
      <c r="L50" s="128">
        <v>0</v>
      </c>
      <c r="M50" s="59">
        <v>0</v>
      </c>
      <c r="N50" s="59">
        <v>0</v>
      </c>
      <c r="O50" s="130">
        <v>0</v>
      </c>
      <c r="P50" s="59">
        <v>0</v>
      </c>
      <c r="Q50" s="59">
        <v>0</v>
      </c>
      <c r="R50" s="83">
        <v>0</v>
      </c>
      <c r="T50" s="61" t="str">
        <f t="shared" si="1"/>
        <v>(500, 550]</v>
      </c>
      <c r="U50" s="59">
        <v>0</v>
      </c>
      <c r="V50" s="59"/>
      <c r="W50" s="59"/>
    </row>
    <row r="51" spans="1:27">
      <c r="A51" s="58">
        <v>550</v>
      </c>
      <c r="B51" s="58">
        <v>600</v>
      </c>
      <c r="C51" s="72">
        <v>83</v>
      </c>
      <c r="D51" s="72">
        <v>4773965</v>
      </c>
      <c r="E51" s="59">
        <v>8.3260856262670942E-5</v>
      </c>
      <c r="F51" s="93">
        <v>575.1765060240964</v>
      </c>
      <c r="G51" s="90"/>
      <c r="H51" s="61" t="str">
        <f t="shared" si="0"/>
        <v>(550, 600]</v>
      </c>
      <c r="I51" s="62">
        <v>0</v>
      </c>
      <c r="J51" s="59">
        <v>0</v>
      </c>
      <c r="K51" s="59">
        <v>0</v>
      </c>
      <c r="L51" s="128">
        <v>0</v>
      </c>
      <c r="M51" s="59">
        <v>0</v>
      </c>
      <c r="N51" s="59">
        <v>0</v>
      </c>
      <c r="O51" s="130">
        <v>0</v>
      </c>
      <c r="P51" s="59">
        <v>0</v>
      </c>
      <c r="Q51" s="59">
        <v>0</v>
      </c>
      <c r="R51" s="83">
        <v>0</v>
      </c>
      <c r="T51" s="61" t="str">
        <f t="shared" si="1"/>
        <v>(550, 600]</v>
      </c>
      <c r="U51" s="59">
        <v>0</v>
      </c>
      <c r="V51" s="59"/>
      <c r="W51" s="59"/>
    </row>
    <row r="52" spans="1:27">
      <c r="A52" s="58">
        <v>600</v>
      </c>
      <c r="B52" s="58">
        <v>650</v>
      </c>
      <c r="C52" s="72">
        <v>49</v>
      </c>
      <c r="D52" s="72">
        <v>3051935</v>
      </c>
      <c r="E52" s="59">
        <v>4.9153999480372003E-5</v>
      </c>
      <c r="F52" s="93">
        <v>622.84387755102046</v>
      </c>
      <c r="G52" s="90"/>
      <c r="H52" s="61" t="str">
        <f t="shared" si="0"/>
        <v>(600, 650]</v>
      </c>
      <c r="I52" s="62">
        <v>0</v>
      </c>
      <c r="J52" s="59">
        <v>0</v>
      </c>
      <c r="K52" s="59">
        <v>0</v>
      </c>
      <c r="L52" s="128">
        <v>0</v>
      </c>
      <c r="M52" s="59">
        <v>0</v>
      </c>
      <c r="N52" s="59">
        <v>0</v>
      </c>
      <c r="O52" s="130">
        <v>0</v>
      </c>
      <c r="P52" s="59">
        <v>0</v>
      </c>
      <c r="Q52" s="59">
        <v>0</v>
      </c>
      <c r="R52" s="83">
        <v>0</v>
      </c>
      <c r="T52" s="61" t="str">
        <f t="shared" si="1"/>
        <v>(600, 650]</v>
      </c>
      <c r="U52" s="59">
        <v>0</v>
      </c>
      <c r="V52" s="59"/>
      <c r="W52" s="59"/>
    </row>
    <row r="53" spans="1:27">
      <c r="A53" s="58">
        <v>650</v>
      </c>
      <c r="B53" s="58">
        <v>700</v>
      </c>
      <c r="C53" s="72">
        <v>55</v>
      </c>
      <c r="D53" s="72">
        <v>3711725</v>
      </c>
      <c r="E53" s="59">
        <v>5.5172856559601229E-5</v>
      </c>
      <c r="F53" s="93">
        <v>674.85909090909092</v>
      </c>
      <c r="G53" s="90"/>
      <c r="H53" s="61" t="str">
        <f t="shared" si="0"/>
        <v>(650, 700]</v>
      </c>
      <c r="I53" s="62">
        <v>0</v>
      </c>
      <c r="J53" s="59">
        <v>0</v>
      </c>
      <c r="K53" s="59">
        <v>0</v>
      </c>
      <c r="L53" s="128">
        <v>0</v>
      </c>
      <c r="M53" s="59">
        <v>0</v>
      </c>
      <c r="N53" s="59">
        <v>0</v>
      </c>
      <c r="O53" s="130">
        <v>0</v>
      </c>
      <c r="P53" s="59">
        <v>0</v>
      </c>
      <c r="Q53" s="59">
        <v>0</v>
      </c>
      <c r="R53" s="83">
        <v>0</v>
      </c>
      <c r="T53" s="61" t="str">
        <f t="shared" si="1"/>
        <v>(650, 700]</v>
      </c>
      <c r="U53" s="59">
        <v>0</v>
      </c>
      <c r="V53" s="59"/>
      <c r="W53" s="59"/>
    </row>
    <row r="54" spans="1:27">
      <c r="A54" s="58">
        <v>700</v>
      </c>
      <c r="B54" s="58">
        <v>750</v>
      </c>
      <c r="C54" s="72">
        <v>43</v>
      </c>
      <c r="D54" s="72">
        <v>3121340</v>
      </c>
      <c r="E54" s="59">
        <v>4.3135142401142777E-5</v>
      </c>
      <c r="F54" s="93">
        <v>725.89302325581389</v>
      </c>
      <c r="G54" s="90"/>
      <c r="H54" s="61" t="str">
        <f t="shared" si="0"/>
        <v>(700, 750]</v>
      </c>
      <c r="I54" s="62">
        <v>0</v>
      </c>
      <c r="J54" s="59">
        <v>0</v>
      </c>
      <c r="K54" s="59">
        <v>0</v>
      </c>
      <c r="L54" s="128">
        <v>0</v>
      </c>
      <c r="M54" s="59">
        <v>0</v>
      </c>
      <c r="N54" s="59">
        <v>0</v>
      </c>
      <c r="O54" s="130">
        <v>0</v>
      </c>
      <c r="P54" s="59">
        <v>0</v>
      </c>
      <c r="Q54" s="59">
        <v>0</v>
      </c>
      <c r="R54" s="83">
        <v>0</v>
      </c>
      <c r="T54" s="61" t="str">
        <f t="shared" si="1"/>
        <v>(700, 750]</v>
      </c>
      <c r="U54" s="59">
        <v>0</v>
      </c>
      <c r="V54" s="59"/>
      <c r="W54" s="59"/>
    </row>
    <row r="55" spans="1:27">
      <c r="A55" s="58">
        <v>750</v>
      </c>
      <c r="B55" s="58">
        <v>800</v>
      </c>
      <c r="C55" s="72">
        <v>27</v>
      </c>
      <c r="D55" s="72">
        <v>2090300</v>
      </c>
      <c r="E55" s="59">
        <v>2.7084856856531512E-5</v>
      </c>
      <c r="F55" s="93">
        <v>774.18518518518522</v>
      </c>
      <c r="G55" s="90"/>
      <c r="H55" s="61" t="str">
        <f t="shared" si="0"/>
        <v>(750, 800]</v>
      </c>
      <c r="I55" s="62">
        <v>0</v>
      </c>
      <c r="J55" s="59">
        <v>0</v>
      </c>
      <c r="K55" s="59">
        <v>0</v>
      </c>
      <c r="L55" s="128">
        <v>0</v>
      </c>
      <c r="M55" s="59">
        <v>0</v>
      </c>
      <c r="N55" s="59">
        <v>0</v>
      </c>
      <c r="O55" s="130">
        <v>0</v>
      </c>
      <c r="P55" s="59">
        <v>0</v>
      </c>
      <c r="Q55" s="59">
        <v>0</v>
      </c>
      <c r="R55" s="83">
        <v>0</v>
      </c>
      <c r="T55" s="61" t="str">
        <f t="shared" si="1"/>
        <v>(750, 800]</v>
      </c>
      <c r="U55" s="59">
        <v>0</v>
      </c>
      <c r="V55" s="59"/>
      <c r="W55" s="59"/>
    </row>
    <row r="56" spans="1:27">
      <c r="A56" s="58">
        <v>800</v>
      </c>
      <c r="B56" s="58">
        <v>850</v>
      </c>
      <c r="C56" s="72">
        <v>21</v>
      </c>
      <c r="D56" s="72">
        <v>1740425</v>
      </c>
      <c r="E56" s="59">
        <v>2.1065999777302286E-5</v>
      </c>
      <c r="F56" s="93">
        <v>828.77380952380952</v>
      </c>
      <c r="G56" s="90"/>
      <c r="H56" s="61" t="str">
        <f t="shared" si="0"/>
        <v>(800, 850]</v>
      </c>
      <c r="I56" s="62">
        <v>0</v>
      </c>
      <c r="J56" s="59">
        <v>0</v>
      </c>
      <c r="K56" s="59">
        <v>0</v>
      </c>
      <c r="L56" s="128">
        <v>0</v>
      </c>
      <c r="M56" s="59">
        <v>0</v>
      </c>
      <c r="N56" s="59">
        <v>0</v>
      </c>
      <c r="O56" s="130">
        <v>0</v>
      </c>
      <c r="P56" s="59">
        <v>0</v>
      </c>
      <c r="Q56" s="59">
        <v>0</v>
      </c>
      <c r="R56" s="83">
        <v>0</v>
      </c>
      <c r="T56" s="61" t="str">
        <f t="shared" si="1"/>
        <v>(800, 850]</v>
      </c>
      <c r="U56" s="59">
        <v>0</v>
      </c>
      <c r="V56" s="59"/>
      <c r="W56" s="59"/>
    </row>
    <row r="57" spans="1:27">
      <c r="A57" s="58">
        <v>850</v>
      </c>
      <c r="B57" s="58">
        <v>900</v>
      </c>
      <c r="C57" s="72">
        <v>34</v>
      </c>
      <c r="D57" s="72">
        <v>2971170</v>
      </c>
      <c r="E57" s="59">
        <v>3.4106856782298946E-5</v>
      </c>
      <c r="F57" s="93">
        <v>873.87352941176471</v>
      </c>
      <c r="G57" s="90"/>
      <c r="H57" s="61" t="str">
        <f t="shared" si="0"/>
        <v>(850, 900]</v>
      </c>
      <c r="I57" s="62">
        <v>0</v>
      </c>
      <c r="J57" s="59">
        <v>0</v>
      </c>
      <c r="K57" s="59">
        <v>0</v>
      </c>
      <c r="L57" s="84">
        <v>0</v>
      </c>
      <c r="M57" s="59">
        <v>0</v>
      </c>
      <c r="N57" s="59">
        <v>0</v>
      </c>
      <c r="O57" s="130">
        <v>0</v>
      </c>
      <c r="P57" s="59">
        <v>0</v>
      </c>
      <c r="Q57" s="59">
        <v>0</v>
      </c>
      <c r="R57" s="83">
        <v>0</v>
      </c>
      <c r="T57" s="61" t="str">
        <f t="shared" si="1"/>
        <v>(850, 900]</v>
      </c>
      <c r="U57" s="59">
        <v>0</v>
      </c>
      <c r="V57" s="59"/>
      <c r="W57" s="59"/>
    </row>
    <row r="58" spans="1:27">
      <c r="A58" s="58">
        <v>900</v>
      </c>
      <c r="B58" s="58">
        <v>950</v>
      </c>
      <c r="C58" s="72">
        <v>18</v>
      </c>
      <c r="D58" s="72">
        <v>1666180</v>
      </c>
      <c r="E58" s="59">
        <v>1.8056571237687677E-5</v>
      </c>
      <c r="F58" s="93">
        <v>925.65555555555557</v>
      </c>
      <c r="G58" s="90"/>
      <c r="H58" s="61" t="str">
        <f t="shared" si="0"/>
        <v>(900, 950]</v>
      </c>
      <c r="I58" s="62">
        <v>0</v>
      </c>
      <c r="J58" s="59">
        <v>0</v>
      </c>
      <c r="K58" s="59">
        <v>0</v>
      </c>
      <c r="L58" s="84">
        <v>0</v>
      </c>
      <c r="M58" s="59">
        <v>0</v>
      </c>
      <c r="N58" s="59">
        <v>0</v>
      </c>
      <c r="O58" s="130">
        <v>0</v>
      </c>
      <c r="P58" s="59">
        <v>0</v>
      </c>
      <c r="Q58" s="59">
        <v>0</v>
      </c>
      <c r="R58" s="83">
        <v>0</v>
      </c>
      <c r="T58" s="61" t="str">
        <f t="shared" si="1"/>
        <v>(900, 950]</v>
      </c>
      <c r="U58" s="59">
        <v>0</v>
      </c>
      <c r="V58" s="59"/>
      <c r="W58" s="59"/>
    </row>
    <row r="59" spans="1:27">
      <c r="A59" s="58">
        <v>950</v>
      </c>
      <c r="B59" s="58">
        <v>1000</v>
      </c>
      <c r="C59" s="72">
        <v>14</v>
      </c>
      <c r="D59" s="72">
        <v>1368265</v>
      </c>
      <c r="E59" s="59">
        <v>1.4043999851534858E-5</v>
      </c>
      <c r="F59" s="93">
        <v>977.33214285714291</v>
      </c>
      <c r="G59" s="90"/>
      <c r="H59" s="61" t="str">
        <f t="shared" si="0"/>
        <v>(950, 1000]</v>
      </c>
      <c r="I59" s="62">
        <v>0</v>
      </c>
      <c r="J59" s="59">
        <v>0</v>
      </c>
      <c r="K59" s="59">
        <v>0</v>
      </c>
      <c r="L59" s="84">
        <v>0</v>
      </c>
      <c r="M59" s="59">
        <v>0</v>
      </c>
      <c r="N59" s="59">
        <v>0</v>
      </c>
      <c r="O59" s="130">
        <v>0</v>
      </c>
      <c r="P59" s="59">
        <v>0</v>
      </c>
      <c r="Q59" s="59">
        <v>0</v>
      </c>
      <c r="R59" s="83">
        <v>0</v>
      </c>
      <c r="T59" s="61" t="str">
        <f t="shared" si="1"/>
        <v>(950, 1000]</v>
      </c>
      <c r="U59" s="59">
        <v>0</v>
      </c>
      <c r="V59" s="59"/>
      <c r="W59" s="59"/>
    </row>
    <row r="60" spans="1:27">
      <c r="A60" s="58">
        <v>1000</v>
      </c>
      <c r="B60" s="58">
        <v>2000</v>
      </c>
      <c r="C60" s="72">
        <v>139</v>
      </c>
      <c r="D60" s="72">
        <v>18093515</v>
      </c>
      <c r="E60" s="59">
        <v>1.3943685566881038E-4</v>
      </c>
      <c r="F60" s="93">
        <v>1301.6917266187049</v>
      </c>
      <c r="G60" s="90"/>
      <c r="H60" s="61" t="str">
        <f t="shared" si="0"/>
        <v>(1000, 2000]</v>
      </c>
      <c r="I60" s="62">
        <v>0</v>
      </c>
      <c r="J60" s="59">
        <v>0</v>
      </c>
      <c r="K60" s="59">
        <v>0</v>
      </c>
      <c r="L60" s="84">
        <v>0</v>
      </c>
      <c r="M60" s="59">
        <v>0</v>
      </c>
      <c r="N60" s="59">
        <v>0</v>
      </c>
      <c r="O60" s="130">
        <v>0</v>
      </c>
      <c r="P60" s="59">
        <v>0</v>
      </c>
      <c r="Q60" s="59">
        <v>0</v>
      </c>
      <c r="R60" s="83">
        <v>0</v>
      </c>
      <c r="T60" s="61" t="str">
        <f t="shared" si="1"/>
        <v>(1000, 2000]</v>
      </c>
      <c r="U60" s="59">
        <v>0</v>
      </c>
      <c r="V60" s="59"/>
      <c r="W60" s="59"/>
    </row>
    <row r="61" spans="1:27">
      <c r="A61" s="58">
        <v>2000</v>
      </c>
      <c r="B61" s="58">
        <v>3000</v>
      </c>
      <c r="C61" s="72">
        <v>17</v>
      </c>
      <c r="D61" s="72">
        <v>4006620</v>
      </c>
      <c r="E61" s="59">
        <v>1.7053428391149473E-5</v>
      </c>
      <c r="F61" s="93">
        <v>2356.8352941176472</v>
      </c>
      <c r="G61" s="90"/>
      <c r="H61" s="61" t="str">
        <f t="shared" si="0"/>
        <v>(2000, 3000]</v>
      </c>
      <c r="I61" s="62">
        <v>0</v>
      </c>
      <c r="J61" s="59">
        <v>0</v>
      </c>
      <c r="K61" s="59">
        <v>0</v>
      </c>
      <c r="L61" s="84">
        <v>0</v>
      </c>
      <c r="M61" s="59">
        <v>0</v>
      </c>
      <c r="N61" s="59">
        <v>0</v>
      </c>
      <c r="O61" s="130">
        <v>0</v>
      </c>
      <c r="P61" s="59">
        <v>0</v>
      </c>
      <c r="Q61" s="59">
        <v>0</v>
      </c>
      <c r="R61" s="83">
        <v>0</v>
      </c>
      <c r="T61" s="61" t="str">
        <f t="shared" si="1"/>
        <v>(2000, 3000]</v>
      </c>
      <c r="U61" s="59">
        <v>0</v>
      </c>
      <c r="V61" s="59"/>
      <c r="W61" s="59"/>
    </row>
    <row r="62" spans="1:27">
      <c r="A62" s="58">
        <v>3000</v>
      </c>
      <c r="B62" s="58">
        <v>4000</v>
      </c>
      <c r="C62" s="72">
        <v>8</v>
      </c>
      <c r="D62" s="72">
        <v>2621960</v>
      </c>
      <c r="E62" s="59">
        <v>8.0251427723056342E-6</v>
      </c>
      <c r="F62" s="93">
        <v>3277.45</v>
      </c>
      <c r="G62" s="90"/>
      <c r="H62" s="61" t="str">
        <f t="shared" si="0"/>
        <v>(3000, 4000]</v>
      </c>
      <c r="I62" s="62">
        <v>0</v>
      </c>
      <c r="J62" s="59">
        <v>0</v>
      </c>
      <c r="K62" s="59">
        <v>0</v>
      </c>
      <c r="L62" s="84">
        <v>0</v>
      </c>
      <c r="M62" s="59">
        <v>0</v>
      </c>
      <c r="N62" s="59">
        <v>0</v>
      </c>
      <c r="O62" s="130">
        <v>0</v>
      </c>
      <c r="P62" s="59">
        <v>0</v>
      </c>
      <c r="Q62" s="59">
        <v>0</v>
      </c>
      <c r="R62" s="83">
        <v>0</v>
      </c>
      <c r="T62" s="61" t="str">
        <f t="shared" si="1"/>
        <v>(3000, 4000]</v>
      </c>
      <c r="U62" s="59">
        <v>0</v>
      </c>
      <c r="V62" s="59"/>
      <c r="W62" s="59"/>
    </row>
    <row r="63" spans="1:27">
      <c r="A63" s="58">
        <v>4000</v>
      </c>
      <c r="B63" s="58">
        <v>5000</v>
      </c>
      <c r="C63" s="72">
        <v>4</v>
      </c>
      <c r="D63" s="72">
        <v>1834000</v>
      </c>
      <c r="E63" s="59">
        <v>4.0125713861528171E-6</v>
      </c>
      <c r="F63" s="93">
        <v>4585</v>
      </c>
      <c r="G63" s="90" t="e">
        <f>1/M63</f>
        <v>#DIV/0!</v>
      </c>
      <c r="H63" s="61" t="str">
        <f t="shared" si="0"/>
        <v>(4000, 5000]</v>
      </c>
      <c r="I63" s="62">
        <v>0</v>
      </c>
      <c r="J63" s="59">
        <v>0</v>
      </c>
      <c r="K63" s="59">
        <v>0</v>
      </c>
      <c r="L63" s="84">
        <v>0</v>
      </c>
      <c r="M63" s="59">
        <v>0</v>
      </c>
      <c r="N63" s="59">
        <v>0</v>
      </c>
      <c r="O63" s="130">
        <v>0</v>
      </c>
      <c r="P63" s="59">
        <v>0</v>
      </c>
      <c r="Q63" s="59">
        <v>0</v>
      </c>
      <c r="R63" s="83">
        <v>0</v>
      </c>
      <c r="T63" s="61" t="str">
        <f t="shared" si="1"/>
        <v>(4000, 5000]</v>
      </c>
      <c r="U63" s="59">
        <v>0</v>
      </c>
      <c r="V63" s="59"/>
      <c r="W63" s="59"/>
    </row>
    <row r="64" spans="1:27">
      <c r="A64" s="58">
        <v>5000</v>
      </c>
      <c r="B64" s="58">
        <v>6000</v>
      </c>
      <c r="C64" s="72">
        <v>1</v>
      </c>
      <c r="D64" s="72">
        <v>517235</v>
      </c>
      <c r="E64" s="59">
        <v>1.0031428465382043E-6</v>
      </c>
      <c r="F64" s="93">
        <v>5172.3500000000004</v>
      </c>
      <c r="G64" s="90"/>
      <c r="H64" s="61" t="str">
        <f t="shared" si="0"/>
        <v>(5000, 6000]</v>
      </c>
      <c r="I64" s="62">
        <v>0</v>
      </c>
      <c r="J64" s="59">
        <v>0</v>
      </c>
      <c r="K64" s="59">
        <v>0</v>
      </c>
      <c r="L64" s="84">
        <v>0</v>
      </c>
      <c r="M64" s="59">
        <v>0</v>
      </c>
      <c r="N64" s="59">
        <v>0</v>
      </c>
      <c r="O64" s="130">
        <v>0</v>
      </c>
      <c r="P64" s="59">
        <v>0</v>
      </c>
      <c r="Q64" s="59">
        <v>0</v>
      </c>
      <c r="R64" s="83">
        <v>0</v>
      </c>
      <c r="T64" s="61" t="str">
        <f t="shared" si="1"/>
        <v>(5000, 6000]</v>
      </c>
      <c r="U64" s="59">
        <v>0</v>
      </c>
      <c r="V64" s="59"/>
      <c r="W64" s="59"/>
      <c r="Z64" s="24" t="s">
        <v>251</v>
      </c>
      <c r="AA64" s="24">
        <v>3.1210000000000001E-3</v>
      </c>
    </row>
    <row r="65" spans="1:27">
      <c r="A65" s="58">
        <v>6000</v>
      </c>
      <c r="B65" s="58">
        <v>7000</v>
      </c>
      <c r="C65" s="72">
        <v>2</v>
      </c>
      <c r="D65" s="72">
        <v>1268580</v>
      </c>
      <c r="E65" s="59">
        <v>2.0062856930764086E-6</v>
      </c>
      <c r="F65" s="93">
        <v>6342.9</v>
      </c>
      <c r="G65" s="90"/>
      <c r="H65" s="61" t="str">
        <f t="shared" si="0"/>
        <v>(6000, 7000]</v>
      </c>
      <c r="I65" s="62">
        <v>0</v>
      </c>
      <c r="J65" s="59">
        <v>0</v>
      </c>
      <c r="K65" s="59">
        <v>0</v>
      </c>
      <c r="L65" s="84">
        <v>0</v>
      </c>
      <c r="M65" s="59">
        <v>0</v>
      </c>
      <c r="N65" s="59">
        <v>0</v>
      </c>
      <c r="O65" s="130">
        <v>0</v>
      </c>
      <c r="P65" s="59">
        <v>0</v>
      </c>
      <c r="Q65" s="59">
        <v>0</v>
      </c>
      <c r="R65" s="83">
        <v>0</v>
      </c>
      <c r="T65" s="61" t="str">
        <f t="shared" si="1"/>
        <v>(6000, 7000]</v>
      </c>
      <c r="U65" s="59">
        <v>0</v>
      </c>
      <c r="V65" s="59"/>
      <c r="W65" s="59"/>
      <c r="Z65" s="24" t="s">
        <v>252</v>
      </c>
      <c r="AA65" s="24">
        <v>6.2659999999999999E-3</v>
      </c>
    </row>
    <row r="66" spans="1:27">
      <c r="A66" s="58">
        <v>7000</v>
      </c>
      <c r="B66" s="58">
        <v>8000</v>
      </c>
      <c r="C66" s="72">
        <v>0</v>
      </c>
      <c r="D66" s="72">
        <v>0</v>
      </c>
      <c r="E66" s="59">
        <v>0</v>
      </c>
      <c r="F66" s="93">
        <v>0</v>
      </c>
      <c r="G66" s="130"/>
      <c r="H66" s="61" t="str">
        <f t="shared" si="0"/>
        <v>(7000, 8000]</v>
      </c>
      <c r="I66" s="62">
        <v>0</v>
      </c>
      <c r="J66" s="59">
        <v>0</v>
      </c>
      <c r="K66" s="59">
        <v>0</v>
      </c>
      <c r="L66" s="84">
        <v>0</v>
      </c>
      <c r="M66" s="59">
        <v>0</v>
      </c>
      <c r="N66" s="59">
        <v>0</v>
      </c>
      <c r="O66" s="130">
        <v>0</v>
      </c>
      <c r="P66" s="59">
        <v>0</v>
      </c>
      <c r="Q66" s="59">
        <v>0</v>
      </c>
      <c r="R66" s="83">
        <v>0</v>
      </c>
      <c r="T66" s="61" t="str">
        <f t="shared" si="1"/>
        <v>(7000, 8000]</v>
      </c>
      <c r="U66" s="59">
        <v>0</v>
      </c>
      <c r="V66" s="59"/>
      <c r="W66" s="59"/>
    </row>
    <row r="67" spans="1:27">
      <c r="A67" s="58">
        <v>8000</v>
      </c>
      <c r="B67" s="58">
        <v>9000</v>
      </c>
      <c r="C67" s="72">
        <v>0</v>
      </c>
      <c r="D67" s="72">
        <v>0</v>
      </c>
      <c r="E67" s="59">
        <v>0</v>
      </c>
      <c r="F67" s="93">
        <v>0</v>
      </c>
      <c r="G67" s="90"/>
      <c r="H67" s="61" t="str">
        <f t="shared" si="0"/>
        <v>(8000, 9000]</v>
      </c>
      <c r="I67" s="62">
        <v>0</v>
      </c>
      <c r="J67" s="59">
        <v>0</v>
      </c>
      <c r="K67" s="59">
        <v>0</v>
      </c>
      <c r="L67" s="84">
        <v>0</v>
      </c>
      <c r="M67" s="59">
        <v>0</v>
      </c>
      <c r="N67" s="59">
        <v>0</v>
      </c>
      <c r="O67" s="130">
        <v>0</v>
      </c>
      <c r="P67" s="59">
        <v>0</v>
      </c>
      <c r="Q67" s="59">
        <v>0</v>
      </c>
      <c r="R67" s="83">
        <v>0</v>
      </c>
      <c r="T67" s="61" t="str">
        <f t="shared" si="1"/>
        <v>(8000, 9000]</v>
      </c>
      <c r="U67" s="59">
        <v>0</v>
      </c>
      <c r="V67" s="59"/>
      <c r="W67" s="59"/>
    </row>
    <row r="68" spans="1:27">
      <c r="A68" s="58">
        <v>9000</v>
      </c>
      <c r="B68" s="58">
        <v>10000</v>
      </c>
      <c r="C68" s="72">
        <v>0</v>
      </c>
      <c r="D68" s="72">
        <v>0</v>
      </c>
      <c r="E68" s="59">
        <v>0</v>
      </c>
      <c r="F68" s="93">
        <v>0</v>
      </c>
      <c r="G68" s="90"/>
      <c r="H68" s="61" t="str">
        <f t="shared" si="0"/>
        <v>(9000, 10000]</v>
      </c>
      <c r="I68" s="62">
        <v>0</v>
      </c>
      <c r="J68" s="59">
        <v>0</v>
      </c>
      <c r="K68" s="59">
        <v>0</v>
      </c>
      <c r="L68" s="84">
        <v>0</v>
      </c>
      <c r="M68" s="59">
        <v>0</v>
      </c>
      <c r="N68" s="59">
        <v>0</v>
      </c>
      <c r="O68" s="130">
        <v>0</v>
      </c>
      <c r="P68" s="59">
        <v>0</v>
      </c>
      <c r="Q68" s="59">
        <v>0</v>
      </c>
      <c r="R68" s="83">
        <v>0</v>
      </c>
      <c r="T68" s="61" t="str">
        <f t="shared" si="1"/>
        <v>(9000, 10000]</v>
      </c>
      <c r="U68" s="59">
        <v>0</v>
      </c>
      <c r="V68" s="59"/>
      <c r="W68" s="59"/>
    </row>
    <row r="69" spans="1:27">
      <c r="A69" s="58">
        <v>10000</v>
      </c>
      <c r="B69" s="58">
        <v>20000</v>
      </c>
      <c r="C69" s="72">
        <v>0</v>
      </c>
      <c r="D69" s="72">
        <v>0</v>
      </c>
      <c r="E69" s="59">
        <v>0</v>
      </c>
      <c r="F69" s="93">
        <v>0</v>
      </c>
      <c r="G69" s="90"/>
      <c r="H69" s="61" t="str">
        <f t="shared" si="0"/>
        <v>(10000, 20000]</v>
      </c>
      <c r="I69" s="62">
        <v>0</v>
      </c>
      <c r="J69" s="59">
        <v>0</v>
      </c>
      <c r="K69" s="59">
        <v>0</v>
      </c>
      <c r="L69" s="84">
        <v>0</v>
      </c>
      <c r="M69" s="59">
        <v>0</v>
      </c>
      <c r="N69" s="59">
        <v>0</v>
      </c>
      <c r="O69" s="130">
        <v>0</v>
      </c>
      <c r="P69" s="59">
        <v>0</v>
      </c>
      <c r="Q69" s="59">
        <v>0</v>
      </c>
      <c r="R69" s="83">
        <v>0</v>
      </c>
      <c r="T69" s="61" t="str">
        <f t="shared" si="1"/>
        <v>(10000, 20000]</v>
      </c>
      <c r="U69" s="59">
        <v>0</v>
      </c>
      <c r="V69" s="59"/>
      <c r="W69" s="59"/>
    </row>
    <row r="70" spans="1:27">
      <c r="A70" s="58">
        <v>20000</v>
      </c>
      <c r="B70" s="58">
        <v>30000</v>
      </c>
      <c r="C70" s="72">
        <v>0</v>
      </c>
      <c r="D70" s="72">
        <v>0</v>
      </c>
      <c r="E70" s="59">
        <v>0</v>
      </c>
      <c r="F70" s="93">
        <v>0</v>
      </c>
      <c r="G70" s="90"/>
      <c r="H70" s="61" t="str">
        <f t="shared" si="0"/>
        <v>(20000, 30000]</v>
      </c>
      <c r="I70" s="62">
        <v>0</v>
      </c>
      <c r="J70" s="59">
        <v>0</v>
      </c>
      <c r="K70" s="59">
        <v>0</v>
      </c>
      <c r="L70" s="84">
        <v>0</v>
      </c>
      <c r="M70" s="59">
        <v>0</v>
      </c>
      <c r="N70" s="59">
        <v>0</v>
      </c>
      <c r="O70" s="130">
        <v>0</v>
      </c>
      <c r="P70" s="59">
        <v>0</v>
      </c>
      <c r="Q70" s="59">
        <v>0</v>
      </c>
      <c r="R70" s="83">
        <v>0</v>
      </c>
      <c r="T70" s="61" t="str">
        <f t="shared" si="1"/>
        <v>(20000, 30000]</v>
      </c>
      <c r="U70" s="59">
        <v>0</v>
      </c>
      <c r="V70" s="59"/>
      <c r="W70" s="59"/>
    </row>
    <row r="71" spans="1:27">
      <c r="A71" s="58">
        <v>30000</v>
      </c>
      <c r="B71" s="58">
        <v>40000</v>
      </c>
      <c r="C71" s="72">
        <v>1</v>
      </c>
      <c r="D71" s="72">
        <v>3258185</v>
      </c>
      <c r="E71" s="59">
        <v>1.0031428465382043E-6</v>
      </c>
      <c r="F71" s="93">
        <v>32581.85</v>
      </c>
      <c r="G71" s="90"/>
      <c r="H71" s="61" t="str">
        <f t="shared" si="0"/>
        <v>(30000, 40000]</v>
      </c>
      <c r="I71" s="62">
        <v>0</v>
      </c>
      <c r="J71" s="59">
        <v>0</v>
      </c>
      <c r="K71" s="59">
        <v>0</v>
      </c>
      <c r="L71" s="84">
        <v>0</v>
      </c>
      <c r="M71" s="59">
        <v>0</v>
      </c>
      <c r="N71" s="59">
        <v>0</v>
      </c>
      <c r="O71" s="130">
        <v>0</v>
      </c>
      <c r="P71" s="59">
        <v>0</v>
      </c>
      <c r="Q71" s="59">
        <v>0</v>
      </c>
      <c r="R71" s="83">
        <v>0</v>
      </c>
      <c r="T71" s="61" t="str">
        <f t="shared" si="1"/>
        <v>(30000, 40000]</v>
      </c>
      <c r="U71" s="59">
        <v>0</v>
      </c>
      <c r="V71" s="59"/>
      <c r="W71" s="59"/>
    </row>
    <row r="72" spans="1:27">
      <c r="A72" s="58">
        <v>40000</v>
      </c>
      <c r="B72" s="58">
        <v>50000</v>
      </c>
      <c r="C72" s="72">
        <v>0</v>
      </c>
      <c r="D72" s="72">
        <v>0</v>
      </c>
      <c r="E72" s="59">
        <v>0</v>
      </c>
      <c r="F72" s="93">
        <v>0</v>
      </c>
      <c r="G72" s="90"/>
      <c r="H72" s="61" t="str">
        <f t="shared" si="0"/>
        <v>(40000, 50000]</v>
      </c>
      <c r="I72" s="62">
        <v>0</v>
      </c>
      <c r="J72" s="59">
        <v>0</v>
      </c>
      <c r="K72" s="59">
        <v>0</v>
      </c>
      <c r="L72" s="84">
        <v>0</v>
      </c>
      <c r="M72" s="59">
        <v>0</v>
      </c>
      <c r="N72" s="59">
        <v>0</v>
      </c>
      <c r="O72" s="130">
        <v>0</v>
      </c>
      <c r="P72" s="59">
        <v>0</v>
      </c>
      <c r="Q72" s="59">
        <v>0</v>
      </c>
      <c r="R72" s="83">
        <v>0</v>
      </c>
      <c r="T72" s="61" t="str">
        <f t="shared" si="1"/>
        <v>(40000, 50000]</v>
      </c>
      <c r="U72" s="59">
        <v>0</v>
      </c>
      <c r="V72" s="59"/>
      <c r="W72" s="59"/>
    </row>
    <row r="73" spans="1:27">
      <c r="A73" s="58">
        <v>50000</v>
      </c>
      <c r="B73" s="58">
        <v>60000</v>
      </c>
      <c r="C73" s="72">
        <v>0</v>
      </c>
      <c r="D73" s="72">
        <v>0</v>
      </c>
      <c r="E73" s="59">
        <v>0</v>
      </c>
      <c r="F73" s="93">
        <v>0</v>
      </c>
      <c r="G73" s="90"/>
      <c r="H73" s="61" t="str">
        <f t="shared" si="0"/>
        <v>(50000, 60000]</v>
      </c>
      <c r="I73" s="62">
        <v>0</v>
      </c>
      <c r="J73" s="59">
        <v>0</v>
      </c>
      <c r="K73" s="59">
        <v>0</v>
      </c>
      <c r="L73" s="84">
        <v>0</v>
      </c>
      <c r="M73" s="59">
        <v>0</v>
      </c>
      <c r="N73" s="59">
        <v>0</v>
      </c>
      <c r="O73" s="130">
        <v>0</v>
      </c>
      <c r="P73" s="59">
        <v>0</v>
      </c>
      <c r="Q73" s="59">
        <v>0</v>
      </c>
      <c r="R73" s="83">
        <v>0</v>
      </c>
      <c r="T73" s="61" t="str">
        <f t="shared" si="1"/>
        <v>(50000, 60000]</v>
      </c>
      <c r="U73" s="59">
        <v>0</v>
      </c>
      <c r="V73" s="59"/>
      <c r="W73" s="59"/>
    </row>
    <row r="74" spans="1:27">
      <c r="A74" s="58">
        <v>60000</v>
      </c>
      <c r="B74" s="58">
        <v>70000</v>
      </c>
      <c r="C74" s="72">
        <v>0</v>
      </c>
      <c r="D74" s="72">
        <v>0</v>
      </c>
      <c r="E74" s="59">
        <v>0</v>
      </c>
      <c r="F74" s="93">
        <v>0</v>
      </c>
      <c r="G74" s="90"/>
      <c r="H74" s="61" t="str">
        <f t="shared" si="0"/>
        <v>(60000, 70000]</v>
      </c>
      <c r="I74" s="62">
        <v>0</v>
      </c>
      <c r="J74" s="59">
        <v>0</v>
      </c>
      <c r="K74" s="59">
        <v>0</v>
      </c>
      <c r="L74" s="84">
        <v>0</v>
      </c>
      <c r="M74" s="59">
        <v>0</v>
      </c>
      <c r="N74" s="59">
        <v>0</v>
      </c>
      <c r="O74" s="130">
        <v>0</v>
      </c>
      <c r="P74" s="59">
        <v>0</v>
      </c>
      <c r="Q74" s="59">
        <v>0</v>
      </c>
      <c r="R74" s="83">
        <v>0</v>
      </c>
      <c r="T74" s="61" t="str">
        <f t="shared" si="1"/>
        <v>(60000, 70000]</v>
      </c>
      <c r="U74" s="59">
        <v>0</v>
      </c>
      <c r="V74" s="59"/>
      <c r="W74" s="59"/>
    </row>
    <row r="75" spans="1:27">
      <c r="A75" s="58">
        <v>70000</v>
      </c>
      <c r="B75" s="58">
        <v>80000</v>
      </c>
      <c r="C75" s="72">
        <v>0</v>
      </c>
      <c r="D75" s="72">
        <v>0</v>
      </c>
      <c r="E75" s="59">
        <v>0</v>
      </c>
      <c r="F75" s="93">
        <v>0</v>
      </c>
      <c r="G75" s="90"/>
      <c r="H75" s="61" t="str">
        <f t="shared" si="0"/>
        <v>(70000, 80000]</v>
      </c>
      <c r="I75" s="62">
        <v>0</v>
      </c>
      <c r="J75" s="59">
        <v>0</v>
      </c>
      <c r="K75" s="59">
        <v>0</v>
      </c>
      <c r="L75" s="84">
        <v>0</v>
      </c>
      <c r="M75" s="59">
        <v>0</v>
      </c>
      <c r="N75" s="59">
        <v>0</v>
      </c>
      <c r="O75" s="130">
        <v>0</v>
      </c>
      <c r="P75" s="59">
        <v>0</v>
      </c>
      <c r="Q75" s="59">
        <v>0</v>
      </c>
      <c r="R75" s="83">
        <v>0</v>
      </c>
      <c r="T75" s="61" t="str">
        <f t="shared" si="1"/>
        <v>(70000, 80000]</v>
      </c>
      <c r="U75" s="59">
        <v>0</v>
      </c>
      <c r="V75" s="59"/>
      <c r="W75" s="59"/>
    </row>
    <row r="76" spans="1:27">
      <c r="A76" s="58">
        <v>80000</v>
      </c>
      <c r="B76" s="58">
        <v>90000</v>
      </c>
      <c r="C76" s="72">
        <v>0</v>
      </c>
      <c r="D76" s="72">
        <v>0</v>
      </c>
      <c r="E76" s="59">
        <v>0</v>
      </c>
      <c r="F76" s="93">
        <v>0</v>
      </c>
      <c r="G76" s="90"/>
      <c r="H76" s="61" t="str">
        <f t="shared" si="0"/>
        <v>(80000, 90000]</v>
      </c>
      <c r="I76" s="62">
        <v>0</v>
      </c>
      <c r="J76" s="59">
        <v>0</v>
      </c>
      <c r="K76" s="59">
        <v>0</v>
      </c>
      <c r="L76" s="84">
        <v>0</v>
      </c>
      <c r="M76" s="59">
        <v>0</v>
      </c>
      <c r="N76" s="59">
        <v>0</v>
      </c>
      <c r="O76" s="130">
        <v>0</v>
      </c>
      <c r="P76" s="59">
        <v>0</v>
      </c>
      <c r="Q76" s="59">
        <v>0</v>
      </c>
      <c r="R76" s="83">
        <v>0</v>
      </c>
      <c r="T76" s="61" t="str">
        <f t="shared" si="1"/>
        <v>(80000, 90000]</v>
      </c>
      <c r="U76" s="59">
        <v>0</v>
      </c>
      <c r="V76" s="59"/>
      <c r="W76" s="59"/>
    </row>
    <row r="77" spans="1:27">
      <c r="A77" s="58">
        <v>90000</v>
      </c>
      <c r="B77" s="58">
        <v>100000</v>
      </c>
      <c r="C77" s="72">
        <v>0</v>
      </c>
      <c r="D77" s="72">
        <v>0</v>
      </c>
      <c r="E77" s="59">
        <v>0</v>
      </c>
      <c r="F77" s="93">
        <v>0</v>
      </c>
      <c r="G77" s="90"/>
      <c r="H77" s="61" t="str">
        <f t="shared" si="0"/>
        <v>(90000, 100000]</v>
      </c>
      <c r="I77" s="62">
        <v>0</v>
      </c>
      <c r="J77" s="59">
        <v>0</v>
      </c>
      <c r="K77" s="59">
        <v>0</v>
      </c>
      <c r="L77" s="84">
        <v>0</v>
      </c>
      <c r="M77" s="59">
        <v>0</v>
      </c>
      <c r="N77" s="59">
        <v>0</v>
      </c>
      <c r="O77" s="130">
        <v>0</v>
      </c>
      <c r="P77" s="59">
        <v>0</v>
      </c>
      <c r="Q77" s="59">
        <v>0</v>
      </c>
      <c r="R77" s="83">
        <v>0</v>
      </c>
      <c r="T77" s="61" t="str">
        <f t="shared" si="1"/>
        <v>(90000, 100000]</v>
      </c>
      <c r="U77" s="59">
        <v>0</v>
      </c>
      <c r="V77" s="59"/>
      <c r="W77" s="59"/>
    </row>
    <row r="78" spans="1:27">
      <c r="A78" s="58">
        <v>100000</v>
      </c>
      <c r="B78" s="58">
        <v>9999999</v>
      </c>
      <c r="C78" s="72">
        <v>0</v>
      </c>
      <c r="D78" s="72">
        <v>0</v>
      </c>
      <c r="E78" s="59">
        <v>0</v>
      </c>
      <c r="F78" s="93">
        <v>0</v>
      </c>
      <c r="G78" s="90"/>
      <c r="H78" s="61" t="str">
        <f t="shared" si="0"/>
        <v>(100000, 9999999]</v>
      </c>
      <c r="I78" s="62">
        <v>0</v>
      </c>
      <c r="J78" s="59">
        <v>0</v>
      </c>
      <c r="K78" s="59">
        <v>0</v>
      </c>
      <c r="L78" s="84">
        <v>0</v>
      </c>
      <c r="M78" s="59">
        <v>0</v>
      </c>
      <c r="N78" s="59">
        <v>0</v>
      </c>
      <c r="O78" s="130">
        <v>0</v>
      </c>
      <c r="P78" s="59">
        <v>0</v>
      </c>
      <c r="Q78" s="59">
        <v>0</v>
      </c>
      <c r="R78" s="83">
        <v>0</v>
      </c>
      <c r="T78" s="61" t="str">
        <f t="shared" si="1"/>
        <v>(100000, 9999999]</v>
      </c>
      <c r="U78" s="59">
        <v>0</v>
      </c>
      <c r="V78" s="59"/>
      <c r="W78" s="59"/>
    </row>
    <row r="79" spans="1:27">
      <c r="A79" s="193" t="s">
        <v>78</v>
      </c>
      <c r="B79" s="194"/>
      <c r="C79" s="73">
        <f>E79*B13</f>
        <v>313300</v>
      </c>
      <c r="D79" s="72">
        <v>28725</v>
      </c>
      <c r="E79" s="67">
        <v>3.1329999999999999E-3</v>
      </c>
      <c r="F79" s="93">
        <v>9.1685285668688149E-4</v>
      </c>
      <c r="G79" s="107">
        <f>SUM($L$15:L79)-1000</f>
        <v>999999000</v>
      </c>
      <c r="H79" s="61" t="s">
        <v>78</v>
      </c>
      <c r="I79" s="62">
        <v>2</v>
      </c>
      <c r="J79" s="59">
        <v>6.2659999999999999E-3</v>
      </c>
      <c r="K79" s="59">
        <f>J79</f>
        <v>6.2659999999999999E-3</v>
      </c>
      <c r="L79" s="84">
        <v>6266000</v>
      </c>
      <c r="M79" s="63">
        <v>6.2659999999999999E-3</v>
      </c>
      <c r="N79" s="59">
        <v>5.7449999999999992E-6</v>
      </c>
      <c r="P79" s="51"/>
      <c r="Q79" s="51"/>
      <c r="R79" s="51"/>
      <c r="S79" s="51"/>
      <c r="T79" s="51"/>
      <c r="U79" s="51"/>
      <c r="V79" s="51"/>
      <c r="W79" s="51"/>
      <c r="X79" s="51"/>
    </row>
    <row r="80" spans="1:27">
      <c r="A80" s="193" t="s">
        <v>79</v>
      </c>
      <c r="B80" s="194"/>
      <c r="C80" s="73">
        <v>10000000</v>
      </c>
      <c r="D80" s="72">
        <v>0</v>
      </c>
      <c r="E80" s="59">
        <v>1</v>
      </c>
      <c r="F80" s="93">
        <v>0</v>
      </c>
      <c r="G80" s="90"/>
      <c r="H80" s="61" t="s">
        <v>79</v>
      </c>
      <c r="I80" s="81"/>
      <c r="J80" s="59"/>
      <c r="K80" s="59"/>
      <c r="L80" s="85"/>
      <c r="M80" s="63">
        <f>E80</f>
        <v>1</v>
      </c>
      <c r="N80" s="59">
        <f>F80/B8</f>
        <v>0</v>
      </c>
      <c r="P80" s="51"/>
      <c r="Q80" s="51"/>
      <c r="R80" s="51"/>
      <c r="S80" s="51"/>
      <c r="T80" s="51"/>
      <c r="U80" s="51"/>
      <c r="V80" s="51"/>
      <c r="W80" s="51"/>
      <c r="X80" s="51"/>
    </row>
    <row r="81" spans="1:23">
      <c r="A81" s="66"/>
      <c r="B81" s="52"/>
      <c r="C81" s="1"/>
      <c r="D81" s="1"/>
      <c r="E81" s="1"/>
      <c r="F81" s="1"/>
      <c r="H81" s="13"/>
      <c r="I81" s="52"/>
      <c r="J81" s="52"/>
      <c r="K81" s="52"/>
      <c r="L81" s="68"/>
      <c r="M81" s="52"/>
      <c r="N81" s="52"/>
    </row>
    <row r="82" spans="1:23">
      <c r="A82" s="52"/>
      <c r="D82" s="125"/>
      <c r="E82" s="1"/>
      <c r="F82" s="1"/>
      <c r="H82" s="13"/>
      <c r="I82" s="52"/>
      <c r="J82" s="52"/>
      <c r="K82" s="52"/>
      <c r="L82" s="52"/>
      <c r="M82" s="52"/>
      <c r="N82" s="52"/>
    </row>
    <row r="83" spans="1:23" s="80" customFormat="1">
      <c r="A83" s="192" t="s">
        <v>50</v>
      </c>
      <c r="B83" s="192"/>
      <c r="C83" s="192"/>
      <c r="D83" s="192"/>
      <c r="E83" s="76"/>
      <c r="F83" s="76"/>
      <c r="G83" s="89"/>
      <c r="H83" s="78"/>
      <c r="I83" s="79"/>
      <c r="J83" s="77"/>
      <c r="K83" s="77"/>
      <c r="L83" s="77"/>
      <c r="M83" s="77"/>
      <c r="N83" s="77"/>
      <c r="O83" s="89"/>
    </row>
    <row r="84" spans="1:23">
      <c r="A84" s="52"/>
      <c r="B84" s="52"/>
      <c r="C84" s="1"/>
      <c r="D84" s="1"/>
      <c r="E84" s="1"/>
      <c r="F84" s="1"/>
      <c r="H84" s="13"/>
      <c r="I84" s="52"/>
      <c r="J84" s="52"/>
      <c r="K84" s="52"/>
      <c r="L84" s="52"/>
      <c r="M84" s="52"/>
      <c r="N84" s="52"/>
    </row>
    <row r="85" spans="1:23">
      <c r="A85" s="70" t="s">
        <v>75</v>
      </c>
      <c r="B85" s="68">
        <v>10000000</v>
      </c>
      <c r="C85" s="1"/>
      <c r="D85" s="1"/>
      <c r="E85" s="1"/>
      <c r="F85" s="1"/>
      <c r="H85" s="70" t="s">
        <v>76</v>
      </c>
      <c r="I85" s="52"/>
      <c r="J85" s="52"/>
      <c r="K85" s="52"/>
      <c r="M85" s="52"/>
      <c r="N85" s="52"/>
      <c r="P85" s="24" t="s">
        <v>81</v>
      </c>
    </row>
    <row r="86" spans="1:23">
      <c r="A86" s="20" t="s">
        <v>58</v>
      </c>
      <c r="B86" s="20" t="s">
        <v>59</v>
      </c>
      <c r="C86" s="20" t="s">
        <v>71</v>
      </c>
      <c r="D86" s="20" t="s">
        <v>72</v>
      </c>
      <c r="E86" s="20" t="s">
        <v>73</v>
      </c>
      <c r="F86" s="20" t="s">
        <v>85</v>
      </c>
      <c r="H86" s="20" t="s">
        <v>61</v>
      </c>
      <c r="I86" s="20" t="s">
        <v>63</v>
      </c>
      <c r="J86" s="20" t="s">
        <v>64</v>
      </c>
      <c r="K86" s="20" t="s">
        <v>65</v>
      </c>
      <c r="L86" s="20" t="s">
        <v>66</v>
      </c>
      <c r="M86" s="20" t="s">
        <v>67</v>
      </c>
      <c r="N86" s="20" t="s">
        <v>60</v>
      </c>
      <c r="O86" s="51">
        <v>1.1000000000000001</v>
      </c>
      <c r="P86" s="86" t="s">
        <v>84</v>
      </c>
      <c r="Q86" s="86" t="s">
        <v>122</v>
      </c>
      <c r="R86" s="86" t="s">
        <v>80</v>
      </c>
      <c r="T86" s="20" t="str" cm="1">
        <f t="array" ref="T86:W86">_xlfn.LET(_xlpm.x, $T$14:$W$14, IF(_xlpm.x="", "", _xlpm.x))</f>
        <v>Range</v>
      </c>
      <c r="U86" s="86" t="str">
        <v>賞金大對決</v>
      </c>
      <c r="V86" s="86" t="str">
        <v>糖果</v>
      </c>
      <c r="W86" s="86" t="str">
        <v/>
      </c>
    </row>
    <row r="87" spans="1:23">
      <c r="A87" s="64">
        <v>-1</v>
      </c>
      <c r="B87" s="64">
        <v>0</v>
      </c>
      <c r="C87" s="71">
        <v>0</v>
      </c>
      <c r="D87" s="71">
        <v>0</v>
      </c>
      <c r="E87" s="59" cm="1">
        <f t="array" ref="E87:E150">_xlfn.LET(_xlpm.x, C87:C150, _xlpm.x/SUM(_xlpm.x))</f>
        <v>0</v>
      </c>
      <c r="F87" s="92" cm="1">
        <f t="array" ref="F87:F150">_xlfn.LET(_xlpm.x, D87:D150/C87:C150/B3, IF(ISERR(_xlpm.x), 0, _xlpm.x))</f>
        <v>0</v>
      </c>
      <c r="H87" s="61" t="str">
        <f>"("&amp;$A87&amp;", "&amp;$B87&amp;"]"</f>
        <v>(-1, 0]</v>
      </c>
      <c r="I87" s="62">
        <v>0</v>
      </c>
      <c r="J87" s="59" cm="1">
        <f t="array" ref="J87:J150">_xlfn.ANCHORARRAY(E87)*I87:I150</f>
        <v>0</v>
      </c>
      <c r="K87" s="59" cm="1">
        <f t="array" ref="K87:K150">J87:J150/SUM(_xlfn.ANCHORARRAY(J87))</f>
        <v>0</v>
      </c>
      <c r="L87" s="128">
        <v>0</v>
      </c>
      <c r="M87" s="59" cm="1">
        <f t="array" ref="M87:M150">_xlfn.LET(_xlpm.x, L87:L150, _xlpm.x/SUM(_xlpm.x))</f>
        <v>0</v>
      </c>
      <c r="N87" s="60" cm="1">
        <f t="array" ref="N87:N150">M87:M150*_xlfn.ANCHORARRAY(F87)</f>
        <v>0</v>
      </c>
      <c r="O87" s="130" cm="1">
        <f t="array" ref="O87:O150">I87:I150*O86</f>
        <v>0</v>
      </c>
      <c r="P87" s="59" cm="1">
        <f t="array" ref="P87:P150">_xlfn.ANCHORARRAY(M87)</f>
        <v>0</v>
      </c>
      <c r="Q87" s="59" cm="1">
        <f t="array" ref="Q87:Q150">_xlfn.XLOOKUP(Q86,U86:W86,U87:W150)</f>
        <v>0</v>
      </c>
      <c r="R87" s="83" cm="1">
        <f t="array" ref="R87:R150">_xlfn.LET(_xlpm.x, Q87:Q150/M87:M150, IF(ISERR(_xlpm.x), 0, ROUND(_xlpm.x,2)))</f>
        <v>0</v>
      </c>
      <c r="T87" s="61" t="str">
        <f>"("&amp;$A87&amp;", "&amp;$B87&amp;"]"</f>
        <v>(-1, 0]</v>
      </c>
      <c r="U87" s="59">
        <v>0.74581005586592175</v>
      </c>
      <c r="V87" s="59">
        <v>0</v>
      </c>
      <c r="W87" s="59"/>
    </row>
    <row r="88" spans="1:23">
      <c r="A88" s="58">
        <v>0</v>
      </c>
      <c r="B88" s="58">
        <v>1</v>
      </c>
      <c r="C88" s="72">
        <v>2</v>
      </c>
      <c r="D88" s="72">
        <v>150</v>
      </c>
      <c r="E88" s="59">
        <v>6.3856960408684551E-4</v>
      </c>
      <c r="F88" s="93">
        <v>0.75</v>
      </c>
      <c r="G88" s="107"/>
      <c r="H88" s="61" t="str">
        <f t="shared" ref="H88:H150" si="2">"("&amp;$A88&amp;", "&amp;$B88&amp;"]"</f>
        <v>(0, 1]</v>
      </c>
      <c r="I88" s="62">
        <v>0</v>
      </c>
      <c r="J88" s="59">
        <v>0</v>
      </c>
      <c r="K88" s="59">
        <v>0</v>
      </c>
      <c r="L88" s="128">
        <v>0</v>
      </c>
      <c r="M88" s="59">
        <v>0</v>
      </c>
      <c r="N88" s="59">
        <v>0</v>
      </c>
      <c r="O88" s="130">
        <v>0</v>
      </c>
      <c r="P88" s="59">
        <v>0</v>
      </c>
      <c r="Q88" s="59">
        <v>0</v>
      </c>
      <c r="R88" s="83">
        <v>0</v>
      </c>
      <c r="T88" s="61" t="str">
        <f t="shared" ref="T88:T150" si="3">"("&amp;$A88&amp;", "&amp;$B88&amp;"]"</f>
        <v>(0, 1]</v>
      </c>
      <c r="U88" s="59">
        <v>2.5139664804469275E-2</v>
      </c>
      <c r="V88" s="59">
        <v>0</v>
      </c>
      <c r="W88" s="59"/>
    </row>
    <row r="89" spans="1:23">
      <c r="A89" s="58">
        <v>1</v>
      </c>
      <c r="B89" s="58">
        <v>2</v>
      </c>
      <c r="C89" s="72">
        <v>1</v>
      </c>
      <c r="D89" s="72">
        <v>120</v>
      </c>
      <c r="E89" s="59">
        <v>3.1928480204342275E-4</v>
      </c>
      <c r="F89" s="93">
        <v>1.2</v>
      </c>
      <c r="G89" s="107"/>
      <c r="H89" s="61" t="str">
        <f t="shared" si="2"/>
        <v>(1, 2]</v>
      </c>
      <c r="I89" s="62">
        <v>0</v>
      </c>
      <c r="J89" s="59">
        <v>0</v>
      </c>
      <c r="K89" s="59">
        <v>0</v>
      </c>
      <c r="L89" s="128">
        <v>0</v>
      </c>
      <c r="M89" s="59">
        <v>0</v>
      </c>
      <c r="N89" s="59">
        <v>0</v>
      </c>
      <c r="O89" s="130">
        <v>0</v>
      </c>
      <c r="P89" s="59">
        <v>0</v>
      </c>
      <c r="Q89" s="59">
        <v>0</v>
      </c>
      <c r="R89" s="83">
        <v>0</v>
      </c>
      <c r="T89" s="61" t="str">
        <f t="shared" si="3"/>
        <v>(1, 2]</v>
      </c>
      <c r="U89" s="59">
        <v>3.0726256983240222E-2</v>
      </c>
      <c r="V89" s="59">
        <v>0</v>
      </c>
      <c r="W89" s="59"/>
    </row>
    <row r="90" spans="1:23">
      <c r="A90" s="58">
        <v>2</v>
      </c>
      <c r="B90" s="58">
        <v>3</v>
      </c>
      <c r="C90" s="72">
        <v>4</v>
      </c>
      <c r="D90" s="72">
        <v>1065</v>
      </c>
      <c r="E90" s="59">
        <v>1.277139208173691E-3</v>
      </c>
      <c r="F90" s="93">
        <v>2.6625000000000001</v>
      </c>
      <c r="G90" s="107"/>
      <c r="H90" s="61" t="str">
        <f t="shared" si="2"/>
        <v>(2, 3]</v>
      </c>
      <c r="I90" s="62">
        <v>0</v>
      </c>
      <c r="J90" s="59">
        <v>0</v>
      </c>
      <c r="K90" s="59">
        <v>0</v>
      </c>
      <c r="L90" s="128">
        <v>0</v>
      </c>
      <c r="M90" s="59">
        <v>0</v>
      </c>
      <c r="N90" s="59">
        <v>0</v>
      </c>
      <c r="O90" s="130">
        <v>0</v>
      </c>
      <c r="P90" s="59">
        <v>0</v>
      </c>
      <c r="Q90" s="59">
        <v>0</v>
      </c>
      <c r="R90" s="83">
        <v>0</v>
      </c>
      <c r="T90" s="61" t="str">
        <f t="shared" si="3"/>
        <v>(2, 3]</v>
      </c>
      <c r="U90" s="59">
        <v>0</v>
      </c>
      <c r="V90" s="59">
        <v>0</v>
      </c>
      <c r="W90" s="59"/>
    </row>
    <row r="91" spans="1:23">
      <c r="A91" s="58">
        <v>3</v>
      </c>
      <c r="B91" s="58">
        <v>4</v>
      </c>
      <c r="C91" s="72">
        <v>3</v>
      </c>
      <c r="D91" s="72">
        <v>1090</v>
      </c>
      <c r="E91" s="59">
        <v>9.5785440613026815E-4</v>
      </c>
      <c r="F91" s="93">
        <v>3.6333333333333333</v>
      </c>
      <c r="G91" s="107"/>
      <c r="H91" s="61" t="str">
        <f t="shared" si="2"/>
        <v>(3, 4]</v>
      </c>
      <c r="I91" s="62">
        <v>0</v>
      </c>
      <c r="J91" s="59">
        <v>0</v>
      </c>
      <c r="K91" s="59">
        <v>0</v>
      </c>
      <c r="L91" s="128">
        <v>0</v>
      </c>
      <c r="M91" s="59">
        <v>0</v>
      </c>
      <c r="N91" s="59">
        <v>0</v>
      </c>
      <c r="O91" s="130">
        <v>0</v>
      </c>
      <c r="P91" s="59">
        <v>0</v>
      </c>
      <c r="Q91" s="59">
        <v>0</v>
      </c>
      <c r="R91" s="83">
        <v>0</v>
      </c>
      <c r="T91" s="61" t="str">
        <f t="shared" si="3"/>
        <v>(3, 4]</v>
      </c>
      <c r="U91" s="59">
        <v>3.0726256983240222E-2</v>
      </c>
      <c r="V91" s="59">
        <v>0</v>
      </c>
      <c r="W91" s="59"/>
    </row>
    <row r="92" spans="1:23">
      <c r="A92" s="58">
        <v>4</v>
      </c>
      <c r="B92" s="58">
        <v>5</v>
      </c>
      <c r="C92" s="72">
        <v>1</v>
      </c>
      <c r="D92" s="72">
        <v>420</v>
      </c>
      <c r="E92" s="59">
        <v>3.1928480204342275E-4</v>
      </c>
      <c r="F92" s="93">
        <v>4.2</v>
      </c>
      <c r="G92" s="107"/>
      <c r="H92" s="61" t="str">
        <f t="shared" si="2"/>
        <v>(4, 5]</v>
      </c>
      <c r="I92" s="62">
        <v>0</v>
      </c>
      <c r="J92" s="59">
        <v>0</v>
      </c>
      <c r="K92" s="59">
        <v>0</v>
      </c>
      <c r="L92" s="128">
        <v>0</v>
      </c>
      <c r="M92" s="59">
        <v>0</v>
      </c>
      <c r="N92" s="59">
        <v>0</v>
      </c>
      <c r="O92" s="130">
        <v>0</v>
      </c>
      <c r="P92" s="59">
        <v>0</v>
      </c>
      <c r="Q92" s="59">
        <v>0</v>
      </c>
      <c r="R92" s="83">
        <v>0</v>
      </c>
      <c r="T92" s="61" t="str">
        <f t="shared" si="3"/>
        <v>(4, 5]</v>
      </c>
      <c r="U92" s="59">
        <v>2.5139664804469275E-2</v>
      </c>
      <c r="V92" s="59">
        <v>0</v>
      </c>
      <c r="W92" s="59"/>
    </row>
    <row r="93" spans="1:23">
      <c r="A93" s="58">
        <v>5</v>
      </c>
      <c r="B93" s="58">
        <v>6</v>
      </c>
      <c r="C93" s="72">
        <v>2</v>
      </c>
      <c r="D93" s="72">
        <v>1155</v>
      </c>
      <c r="E93" s="59">
        <v>6.3856960408684551E-4</v>
      </c>
      <c r="F93" s="93">
        <v>5.7750000000000004</v>
      </c>
      <c r="G93" s="107"/>
      <c r="H93" s="61" t="str">
        <f t="shared" si="2"/>
        <v>(5, 6]</v>
      </c>
      <c r="I93" s="62">
        <v>0</v>
      </c>
      <c r="J93" s="59">
        <v>0</v>
      </c>
      <c r="K93" s="59">
        <v>0</v>
      </c>
      <c r="L93" s="128">
        <v>0</v>
      </c>
      <c r="M93" s="59">
        <v>0</v>
      </c>
      <c r="N93" s="59">
        <v>0</v>
      </c>
      <c r="O93" s="130">
        <v>0</v>
      </c>
      <c r="P93" s="59">
        <v>0</v>
      </c>
      <c r="Q93" s="59">
        <v>0</v>
      </c>
      <c r="R93" s="83">
        <v>0</v>
      </c>
      <c r="T93" s="61" t="str">
        <f t="shared" si="3"/>
        <v>(5, 6]</v>
      </c>
      <c r="U93" s="59">
        <v>1.11731843575419E-2</v>
      </c>
      <c r="V93" s="59">
        <v>0</v>
      </c>
      <c r="W93" s="59"/>
    </row>
    <row r="94" spans="1:23">
      <c r="A94" s="58">
        <v>6</v>
      </c>
      <c r="B94" s="58">
        <v>7</v>
      </c>
      <c r="C94" s="72">
        <v>2</v>
      </c>
      <c r="D94" s="72">
        <v>1355</v>
      </c>
      <c r="E94" s="59">
        <v>6.3856960408684551E-4</v>
      </c>
      <c r="F94" s="93">
        <v>6.7750000000000004</v>
      </c>
      <c r="G94" s="107"/>
      <c r="H94" s="61" t="str">
        <f t="shared" si="2"/>
        <v>(6, 7]</v>
      </c>
      <c r="I94" s="62">
        <v>0</v>
      </c>
      <c r="J94" s="59">
        <v>0</v>
      </c>
      <c r="K94" s="59">
        <v>0</v>
      </c>
      <c r="L94" s="128">
        <v>0</v>
      </c>
      <c r="M94" s="59">
        <v>0</v>
      </c>
      <c r="N94" s="59">
        <v>0</v>
      </c>
      <c r="O94" s="130">
        <v>0</v>
      </c>
      <c r="P94" s="59">
        <v>0</v>
      </c>
      <c r="Q94" s="59">
        <v>0</v>
      </c>
      <c r="R94" s="83">
        <v>0</v>
      </c>
      <c r="T94" s="61" t="str">
        <f t="shared" si="3"/>
        <v>(6, 7]</v>
      </c>
      <c r="U94" s="59">
        <v>8.3798882681564244E-3</v>
      </c>
      <c r="V94" s="59">
        <v>0</v>
      </c>
      <c r="W94" s="59"/>
    </row>
    <row r="95" spans="1:23">
      <c r="A95" s="58">
        <v>7</v>
      </c>
      <c r="B95" s="58">
        <v>8</v>
      </c>
      <c r="C95" s="72">
        <v>1</v>
      </c>
      <c r="D95" s="72">
        <v>725</v>
      </c>
      <c r="E95" s="59">
        <v>3.1928480204342275E-4</v>
      </c>
      <c r="F95" s="93">
        <v>7.25</v>
      </c>
      <c r="G95" s="107"/>
      <c r="H95" s="61" t="str">
        <f t="shared" si="2"/>
        <v>(7, 8]</v>
      </c>
      <c r="I95" s="62">
        <v>0</v>
      </c>
      <c r="J95" s="59">
        <v>0</v>
      </c>
      <c r="K95" s="59">
        <v>0</v>
      </c>
      <c r="L95" s="128">
        <v>0</v>
      </c>
      <c r="M95" s="59">
        <v>0</v>
      </c>
      <c r="N95" s="59">
        <v>0</v>
      </c>
      <c r="O95" s="130">
        <v>0</v>
      </c>
      <c r="P95" s="59">
        <v>0</v>
      </c>
      <c r="Q95" s="59">
        <v>0</v>
      </c>
      <c r="R95" s="83">
        <v>0</v>
      </c>
      <c r="T95" s="61" t="str">
        <f t="shared" si="3"/>
        <v>(7, 8]</v>
      </c>
      <c r="U95" s="59">
        <v>1.6759776536312849E-2</v>
      </c>
      <c r="V95" s="59">
        <v>0</v>
      </c>
      <c r="W95" s="59"/>
    </row>
    <row r="96" spans="1:23">
      <c r="A96" s="58">
        <v>8</v>
      </c>
      <c r="B96" s="58">
        <v>9</v>
      </c>
      <c r="C96" s="72">
        <v>2</v>
      </c>
      <c r="D96" s="72">
        <v>1710</v>
      </c>
      <c r="E96" s="59">
        <v>6.3856960408684551E-4</v>
      </c>
      <c r="F96" s="93">
        <v>8.5500000000000007</v>
      </c>
      <c r="G96" s="107"/>
      <c r="H96" s="61" t="str">
        <f t="shared" si="2"/>
        <v>(8, 9]</v>
      </c>
      <c r="I96" s="62">
        <v>0</v>
      </c>
      <c r="J96" s="59">
        <v>0</v>
      </c>
      <c r="K96" s="59">
        <v>0</v>
      </c>
      <c r="L96" s="128">
        <v>0</v>
      </c>
      <c r="M96" s="59">
        <v>0</v>
      </c>
      <c r="N96" s="59">
        <v>0</v>
      </c>
      <c r="O96" s="130">
        <v>0</v>
      </c>
      <c r="P96" s="59">
        <v>0</v>
      </c>
      <c r="Q96" s="59">
        <v>0</v>
      </c>
      <c r="R96" s="83">
        <v>0</v>
      </c>
      <c r="T96" s="61" t="str">
        <f t="shared" si="3"/>
        <v>(8, 9]</v>
      </c>
      <c r="U96" s="59">
        <v>0</v>
      </c>
      <c r="V96" s="59">
        <v>0</v>
      </c>
      <c r="W96" s="59"/>
    </row>
    <row r="97" spans="1:23">
      <c r="A97" s="58">
        <v>9</v>
      </c>
      <c r="B97" s="58">
        <v>10</v>
      </c>
      <c r="C97" s="72">
        <v>4</v>
      </c>
      <c r="D97" s="72">
        <v>3825</v>
      </c>
      <c r="E97" s="59">
        <v>1.277139208173691E-3</v>
      </c>
      <c r="F97" s="93">
        <v>9.5625</v>
      </c>
      <c r="G97" s="107"/>
      <c r="H97" s="61" t="str">
        <f t="shared" si="2"/>
        <v>(9, 10]</v>
      </c>
      <c r="I97" s="62">
        <v>0</v>
      </c>
      <c r="J97" s="59">
        <v>0</v>
      </c>
      <c r="K97" s="59">
        <v>0</v>
      </c>
      <c r="L97" s="128">
        <v>0</v>
      </c>
      <c r="M97" s="59">
        <v>0</v>
      </c>
      <c r="N97" s="59">
        <v>0</v>
      </c>
      <c r="O97" s="130">
        <v>0</v>
      </c>
      <c r="P97" s="59">
        <v>0</v>
      </c>
      <c r="Q97" s="59">
        <v>0</v>
      </c>
      <c r="R97" s="83">
        <v>0</v>
      </c>
      <c r="T97" s="61" t="str">
        <f t="shared" si="3"/>
        <v>(9, 10]</v>
      </c>
      <c r="U97" s="59">
        <v>2.7932960893854749E-3</v>
      </c>
      <c r="V97" s="59">
        <v>0</v>
      </c>
      <c r="W97" s="59"/>
    </row>
    <row r="98" spans="1:23">
      <c r="A98" s="58">
        <v>10</v>
      </c>
      <c r="B98" s="58">
        <v>15</v>
      </c>
      <c r="C98" s="72">
        <v>10</v>
      </c>
      <c r="D98" s="72">
        <v>12065</v>
      </c>
      <c r="E98" s="59">
        <v>3.1928480204342275E-3</v>
      </c>
      <c r="F98" s="93">
        <v>12.065</v>
      </c>
      <c r="G98" s="108"/>
      <c r="H98" s="61" t="str">
        <f t="shared" si="2"/>
        <v>(10, 15]</v>
      </c>
      <c r="I98" s="62">
        <v>0</v>
      </c>
      <c r="J98" s="59">
        <v>0</v>
      </c>
      <c r="K98" s="59">
        <v>0</v>
      </c>
      <c r="L98" s="128">
        <v>0</v>
      </c>
      <c r="M98" s="59">
        <v>0</v>
      </c>
      <c r="N98" s="59">
        <v>0</v>
      </c>
      <c r="O98" s="130">
        <v>0</v>
      </c>
      <c r="P98" s="59">
        <v>0</v>
      </c>
      <c r="Q98" s="59">
        <v>9.3836278938362785E-2</v>
      </c>
      <c r="R98" s="83">
        <v>0</v>
      </c>
      <c r="S98" s="109"/>
      <c r="T98" s="61" t="str">
        <f t="shared" si="3"/>
        <v>(10, 15]</v>
      </c>
      <c r="U98" s="59">
        <v>4.4692737430167599E-2</v>
      </c>
      <c r="V98" s="59">
        <v>9.3836278938362785E-2</v>
      </c>
      <c r="W98" s="59"/>
    </row>
    <row r="99" spans="1:23">
      <c r="A99" s="58">
        <v>15</v>
      </c>
      <c r="B99" s="58">
        <v>20</v>
      </c>
      <c r="C99" s="72">
        <v>18</v>
      </c>
      <c r="D99" s="72">
        <v>32170</v>
      </c>
      <c r="E99" s="59">
        <v>5.7471264367816091E-3</v>
      </c>
      <c r="F99" s="93">
        <v>17.87222222222222</v>
      </c>
      <c r="G99" s="108"/>
      <c r="H99" s="124" t="str">
        <f t="shared" si="2"/>
        <v>(15, 20]</v>
      </c>
      <c r="I99" s="62">
        <v>0</v>
      </c>
      <c r="J99" s="59">
        <v>0</v>
      </c>
      <c r="K99" s="59">
        <v>0</v>
      </c>
      <c r="L99" s="128">
        <v>0</v>
      </c>
      <c r="M99" s="59">
        <v>0</v>
      </c>
      <c r="N99" s="59">
        <v>0</v>
      </c>
      <c r="O99" s="130">
        <v>0</v>
      </c>
      <c r="P99" s="59">
        <v>0</v>
      </c>
      <c r="Q99" s="59">
        <v>8.1863957818639574E-2</v>
      </c>
      <c r="R99" s="83">
        <v>0</v>
      </c>
      <c r="S99" s="109"/>
      <c r="T99" s="61" t="str">
        <f t="shared" si="3"/>
        <v>(15, 20]</v>
      </c>
      <c r="U99" s="59">
        <v>1.3966480446927373E-2</v>
      </c>
      <c r="V99" s="59">
        <v>8.1863957818639574E-2</v>
      </c>
      <c r="W99" s="59"/>
    </row>
    <row r="100" spans="1:23">
      <c r="A100" s="58">
        <v>20</v>
      </c>
      <c r="B100" s="58">
        <v>25</v>
      </c>
      <c r="C100" s="72">
        <v>16</v>
      </c>
      <c r="D100" s="72">
        <v>36110</v>
      </c>
      <c r="E100" s="59">
        <v>5.108556832694764E-3</v>
      </c>
      <c r="F100" s="93">
        <v>22.568750000000001</v>
      </c>
      <c r="G100" s="108"/>
      <c r="H100" s="61" t="str">
        <f t="shared" si="2"/>
        <v>(20, 25]</v>
      </c>
      <c r="I100" s="62">
        <v>0</v>
      </c>
      <c r="J100" s="59">
        <v>0</v>
      </c>
      <c r="K100" s="59">
        <v>0</v>
      </c>
      <c r="L100" s="128">
        <v>0</v>
      </c>
      <c r="M100" s="59">
        <v>0</v>
      </c>
      <c r="N100" s="59">
        <v>0</v>
      </c>
      <c r="O100" s="130">
        <v>0</v>
      </c>
      <c r="P100" s="59">
        <v>0</v>
      </c>
      <c r="Q100" s="59">
        <v>7.2439909724399093E-2</v>
      </c>
      <c r="R100" s="83">
        <v>0</v>
      </c>
      <c r="S100" s="109"/>
      <c r="T100" s="61" t="str">
        <f t="shared" si="3"/>
        <v>(20, 25]</v>
      </c>
      <c r="U100" s="59">
        <v>1.11731843575419E-2</v>
      </c>
      <c r="V100" s="59">
        <v>7.2439909724399093E-2</v>
      </c>
      <c r="W100" s="59"/>
    </row>
    <row r="101" spans="1:23">
      <c r="A101" s="58">
        <v>25</v>
      </c>
      <c r="B101" s="58">
        <v>30</v>
      </c>
      <c r="C101" s="72">
        <v>30</v>
      </c>
      <c r="D101" s="72">
        <v>82580</v>
      </c>
      <c r="E101" s="59">
        <v>9.5785440613026813E-3</v>
      </c>
      <c r="F101" s="93">
        <v>27.526666666666664</v>
      </c>
      <c r="G101" s="108"/>
      <c r="H101" s="61" t="str">
        <f t="shared" si="2"/>
        <v>(25, 30]</v>
      </c>
      <c r="I101" s="62">
        <v>0</v>
      </c>
      <c r="J101" s="59">
        <v>0</v>
      </c>
      <c r="K101" s="59">
        <v>0</v>
      </c>
      <c r="L101" s="128">
        <v>0</v>
      </c>
      <c r="M101" s="59">
        <v>0</v>
      </c>
      <c r="N101" s="59">
        <v>0</v>
      </c>
      <c r="O101" s="130">
        <v>0</v>
      </c>
      <c r="P101" s="59">
        <v>0</v>
      </c>
      <c r="Q101" s="59">
        <v>6.0502447605024476E-2</v>
      </c>
      <c r="R101" s="83">
        <v>0</v>
      </c>
      <c r="S101" s="109"/>
      <c r="T101" s="61" t="str">
        <f t="shared" si="3"/>
        <v>(25, 30]</v>
      </c>
      <c r="U101" s="59">
        <v>5.5865921787709499E-3</v>
      </c>
      <c r="V101" s="59">
        <v>6.0502447605024476E-2</v>
      </c>
      <c r="W101" s="59"/>
    </row>
    <row r="102" spans="1:23">
      <c r="A102" s="58">
        <v>30</v>
      </c>
      <c r="B102" s="58">
        <v>35</v>
      </c>
      <c r="C102" s="72">
        <v>15</v>
      </c>
      <c r="D102" s="72">
        <v>49635</v>
      </c>
      <c r="E102" s="59">
        <v>4.7892720306513406E-3</v>
      </c>
      <c r="F102" s="93">
        <v>33.090000000000003</v>
      </c>
      <c r="G102" s="108"/>
      <c r="H102" s="61" t="str">
        <f t="shared" si="2"/>
        <v>(30, 35]</v>
      </c>
      <c r="I102" s="62">
        <v>0</v>
      </c>
      <c r="J102" s="59">
        <v>0</v>
      </c>
      <c r="K102" s="59">
        <v>0</v>
      </c>
      <c r="L102" s="128">
        <v>0</v>
      </c>
      <c r="M102" s="59">
        <v>0</v>
      </c>
      <c r="N102" s="59">
        <v>0</v>
      </c>
      <c r="O102" s="130">
        <v>0</v>
      </c>
      <c r="P102" s="59">
        <v>0</v>
      </c>
      <c r="Q102" s="59">
        <v>5.3853647538536477E-2</v>
      </c>
      <c r="R102" s="83">
        <v>0</v>
      </c>
      <c r="S102" s="109"/>
      <c r="T102" s="61" t="str">
        <f t="shared" si="3"/>
        <v>(30, 35]</v>
      </c>
      <c r="U102" s="59">
        <v>1.11731843575419E-2</v>
      </c>
      <c r="V102" s="59">
        <v>5.3853647538536477E-2</v>
      </c>
      <c r="W102" s="59"/>
    </row>
    <row r="103" spans="1:23">
      <c r="A103" s="58">
        <v>35</v>
      </c>
      <c r="B103" s="58">
        <v>40</v>
      </c>
      <c r="C103" s="72">
        <v>18</v>
      </c>
      <c r="D103" s="72">
        <v>67930</v>
      </c>
      <c r="E103" s="59">
        <v>5.7471264367816091E-3</v>
      </c>
      <c r="F103" s="93">
        <v>37.738888888888887</v>
      </c>
      <c r="G103" s="108"/>
      <c r="H103" s="124" t="str">
        <f t="shared" si="2"/>
        <v>(35, 40]</v>
      </c>
      <c r="I103" s="62">
        <v>0</v>
      </c>
      <c r="J103" s="59">
        <v>0</v>
      </c>
      <c r="K103" s="59">
        <v>0</v>
      </c>
      <c r="L103" s="128">
        <v>0</v>
      </c>
      <c r="M103" s="59">
        <v>0</v>
      </c>
      <c r="N103" s="59">
        <v>0</v>
      </c>
      <c r="O103" s="130">
        <v>0</v>
      </c>
      <c r="P103" s="59">
        <v>0</v>
      </c>
      <c r="Q103" s="59">
        <v>4.8777538487775385E-2</v>
      </c>
      <c r="R103" s="83">
        <v>0</v>
      </c>
      <c r="S103" s="109"/>
      <c r="T103" s="61" t="str">
        <f t="shared" si="3"/>
        <v>(35, 40]</v>
      </c>
      <c r="U103" s="59">
        <v>0</v>
      </c>
      <c r="V103" s="59">
        <v>4.8777538487775385E-2</v>
      </c>
      <c r="W103" s="59"/>
    </row>
    <row r="104" spans="1:23">
      <c r="A104" s="58">
        <v>40</v>
      </c>
      <c r="B104" s="58">
        <v>45</v>
      </c>
      <c r="C104" s="72">
        <v>13</v>
      </c>
      <c r="D104" s="72">
        <v>54945</v>
      </c>
      <c r="E104" s="59">
        <v>4.1507024265644956E-3</v>
      </c>
      <c r="F104" s="93">
        <v>42.265384615384619</v>
      </c>
      <c r="G104" s="108"/>
      <c r="H104" s="61" t="str">
        <f t="shared" si="2"/>
        <v>(40, 45]</v>
      </c>
      <c r="I104" s="62">
        <v>0</v>
      </c>
      <c r="J104" s="59">
        <v>0</v>
      </c>
      <c r="K104" s="59">
        <v>0</v>
      </c>
      <c r="L104" s="128">
        <v>0</v>
      </c>
      <c r="M104" s="59">
        <v>0</v>
      </c>
      <c r="N104" s="59">
        <v>0</v>
      </c>
      <c r="O104" s="130">
        <v>0</v>
      </c>
      <c r="P104" s="59">
        <v>0</v>
      </c>
      <c r="Q104" s="59">
        <v>3.9837827398378274E-2</v>
      </c>
      <c r="R104" s="83">
        <v>0</v>
      </c>
      <c r="S104" s="109"/>
      <c r="T104" s="61" t="str">
        <f t="shared" si="3"/>
        <v>(40, 45]</v>
      </c>
      <c r="U104" s="59">
        <v>5.5865921787709499E-3</v>
      </c>
      <c r="V104" s="59">
        <v>3.9837827398378274E-2</v>
      </c>
      <c r="W104" s="59"/>
    </row>
    <row r="105" spans="1:23">
      <c r="A105" s="58">
        <v>45</v>
      </c>
      <c r="B105" s="58">
        <v>50</v>
      </c>
      <c r="C105" s="72">
        <v>18</v>
      </c>
      <c r="D105" s="72">
        <v>83990</v>
      </c>
      <c r="E105" s="59">
        <v>5.7471264367816091E-3</v>
      </c>
      <c r="F105" s="93">
        <v>46.661111111111111</v>
      </c>
      <c r="G105" s="108"/>
      <c r="H105" s="61" t="str">
        <f t="shared" si="2"/>
        <v>(45, 50]</v>
      </c>
      <c r="I105" s="62">
        <v>1</v>
      </c>
      <c r="J105" s="59">
        <v>5.7471264367816091E-3</v>
      </c>
      <c r="K105" s="59">
        <v>2.368421052631579E-2</v>
      </c>
      <c r="L105" s="128">
        <f>1000000000-SUM(_xlfn.ANCHORARRAY(L106))</f>
        <v>23684215</v>
      </c>
      <c r="M105" s="59">
        <v>2.3684215000000002E-2</v>
      </c>
      <c r="N105" s="59">
        <v>1.1051317876944444</v>
      </c>
      <c r="O105" s="130">
        <v>1.1000000000000001</v>
      </c>
      <c r="P105" s="59">
        <v>2.3684215000000002E-2</v>
      </c>
      <c r="Q105" s="59">
        <v>3.9474207394742077E-2</v>
      </c>
      <c r="R105" s="83">
        <v>1.67</v>
      </c>
      <c r="S105" s="109"/>
      <c r="T105" s="61" t="str">
        <f t="shared" si="3"/>
        <v>(45, 50]</v>
      </c>
      <c r="U105" s="59">
        <v>0</v>
      </c>
      <c r="V105" s="59">
        <v>3.9474207394742077E-2</v>
      </c>
      <c r="W105" s="59"/>
    </row>
    <row r="106" spans="1:23">
      <c r="A106" s="58">
        <v>50</v>
      </c>
      <c r="B106" s="58">
        <v>60</v>
      </c>
      <c r="C106" s="72">
        <v>42</v>
      </c>
      <c r="D106" s="72">
        <v>230855</v>
      </c>
      <c r="E106" s="59">
        <v>1.3409961685823755E-2</v>
      </c>
      <c r="F106" s="93">
        <v>54.965476190476195</v>
      </c>
      <c r="G106" s="108"/>
      <c r="H106" s="124" t="str">
        <f t="shared" si="2"/>
        <v>(50, 60]</v>
      </c>
      <c r="I106" s="62">
        <v>1</v>
      </c>
      <c r="J106" s="59">
        <v>1.3409961685823755E-2</v>
      </c>
      <c r="K106" s="59">
        <v>5.526315789473684E-2</v>
      </c>
      <c r="L106" s="128" cm="1">
        <f t="array" ref="L106:L150">INT(K106:K150*$B$2)</f>
        <v>55263157</v>
      </c>
      <c r="M106" s="59">
        <v>5.5263157E-2</v>
      </c>
      <c r="N106" s="59">
        <v>3.0375657402940477</v>
      </c>
      <c r="O106" s="130">
        <v>1.1000000000000001</v>
      </c>
      <c r="P106" s="59">
        <v>5.5263157E-2</v>
      </c>
      <c r="Q106" s="59">
        <v>6.6493725664937262E-2</v>
      </c>
      <c r="R106" s="83">
        <v>1.2</v>
      </c>
      <c r="S106" s="109"/>
      <c r="T106" s="61" t="str">
        <f t="shared" si="3"/>
        <v>(50, 60]</v>
      </c>
      <c r="U106" s="59">
        <v>0</v>
      </c>
      <c r="V106" s="59">
        <v>6.6493725664937262E-2</v>
      </c>
      <c r="W106" s="59"/>
    </row>
    <row r="107" spans="1:23">
      <c r="A107" s="58">
        <v>60</v>
      </c>
      <c r="B107" s="58">
        <v>70</v>
      </c>
      <c r="C107" s="72">
        <v>45</v>
      </c>
      <c r="D107" s="72">
        <v>294970</v>
      </c>
      <c r="E107" s="59">
        <v>1.4367816091954023E-2</v>
      </c>
      <c r="F107" s="93">
        <v>65.548888888888882</v>
      </c>
      <c r="G107" s="108"/>
      <c r="H107" s="61" t="str">
        <f t="shared" si="2"/>
        <v>(60, 70]</v>
      </c>
      <c r="I107" s="62">
        <v>1</v>
      </c>
      <c r="J107" s="59">
        <v>1.4367816091954023E-2</v>
      </c>
      <c r="K107" s="59">
        <v>5.921052631578947E-2</v>
      </c>
      <c r="L107" s="128">
        <v>59210526</v>
      </c>
      <c r="M107" s="59">
        <v>5.9210525999999999E-2</v>
      </c>
      <c r="N107" s="59">
        <v>3.8811841898266661</v>
      </c>
      <c r="O107" s="130">
        <v>1.1000000000000001</v>
      </c>
      <c r="P107" s="59">
        <v>5.9210525999999999E-2</v>
      </c>
      <c r="Q107" s="59">
        <v>5.5811324558113246E-2</v>
      </c>
      <c r="R107" s="83">
        <v>0.94</v>
      </c>
      <c r="S107" s="109"/>
      <c r="T107" s="61" t="str">
        <f t="shared" si="3"/>
        <v>(60, 70]</v>
      </c>
      <c r="U107" s="59">
        <v>0</v>
      </c>
      <c r="V107" s="59">
        <v>5.5811324558113246E-2</v>
      </c>
      <c r="W107" s="59"/>
    </row>
    <row r="108" spans="1:23">
      <c r="A108" s="58">
        <v>70</v>
      </c>
      <c r="B108" s="58">
        <v>80</v>
      </c>
      <c r="C108" s="72">
        <v>52</v>
      </c>
      <c r="D108" s="72">
        <v>386290</v>
      </c>
      <c r="E108" s="59">
        <v>1.6602809706257982E-2</v>
      </c>
      <c r="F108" s="93">
        <v>74.286538461538456</v>
      </c>
      <c r="G108" s="108"/>
      <c r="H108" s="61" t="str">
        <f t="shared" si="2"/>
        <v>(70, 80]</v>
      </c>
      <c r="I108" s="62">
        <v>1</v>
      </c>
      <c r="J108" s="59">
        <v>1.6602809706257982E-2</v>
      </c>
      <c r="K108" s="59">
        <v>6.8421052631578952E-2</v>
      </c>
      <c r="L108" s="128">
        <v>68421052</v>
      </c>
      <c r="M108" s="59">
        <v>6.8421051999999996E-2</v>
      </c>
      <c r="N108" s="59">
        <v>5.0827631109769227</v>
      </c>
      <c r="O108" s="130">
        <v>1.1000000000000001</v>
      </c>
      <c r="P108" s="59">
        <v>6.8421051999999996E-2</v>
      </c>
      <c r="Q108" s="59">
        <v>4.7531103475311032E-2</v>
      </c>
      <c r="R108" s="83">
        <v>0.69</v>
      </c>
      <c r="S108" s="109"/>
      <c r="T108" s="61" t="str">
        <f t="shared" si="3"/>
        <v>(70, 80]</v>
      </c>
      <c r="U108" s="59">
        <v>0</v>
      </c>
      <c r="V108" s="59">
        <v>4.7531103475311032E-2</v>
      </c>
      <c r="W108" s="59"/>
    </row>
    <row r="109" spans="1:23">
      <c r="A109" s="58">
        <v>80</v>
      </c>
      <c r="B109" s="58">
        <v>90</v>
      </c>
      <c r="C109" s="72">
        <v>56</v>
      </c>
      <c r="D109" s="72">
        <v>477100</v>
      </c>
      <c r="E109" s="59">
        <v>1.7879948914431672E-2</v>
      </c>
      <c r="F109" s="93">
        <v>85.196428571428569</v>
      </c>
      <c r="H109" s="61" t="str">
        <f t="shared" si="2"/>
        <v>(80, 90]</v>
      </c>
      <c r="I109" s="62">
        <v>1</v>
      </c>
      <c r="J109" s="59">
        <v>1.7879948914431672E-2</v>
      </c>
      <c r="K109" s="59">
        <v>7.3684210526315783E-2</v>
      </c>
      <c r="L109" s="128">
        <v>73684210</v>
      </c>
      <c r="M109" s="59">
        <v>7.368421E-2</v>
      </c>
      <c r="N109" s="59">
        <v>6.2776315341071429</v>
      </c>
      <c r="O109" s="130">
        <v>1.1000000000000001</v>
      </c>
      <c r="P109" s="59">
        <v>7.368421E-2</v>
      </c>
      <c r="Q109" s="59">
        <v>3.9823511398235117E-2</v>
      </c>
      <c r="R109" s="83">
        <v>0.54</v>
      </c>
      <c r="S109" s="109"/>
      <c r="T109" s="61" t="str">
        <f t="shared" si="3"/>
        <v>(80, 90]</v>
      </c>
      <c r="U109" s="59">
        <v>0</v>
      </c>
      <c r="V109" s="59">
        <v>3.9823511398235117E-2</v>
      </c>
      <c r="W109" s="59"/>
    </row>
    <row r="110" spans="1:23">
      <c r="A110" s="58">
        <v>90</v>
      </c>
      <c r="B110" s="58">
        <v>100</v>
      </c>
      <c r="C110" s="72">
        <v>47</v>
      </c>
      <c r="D110" s="72">
        <v>443795</v>
      </c>
      <c r="E110" s="59">
        <v>1.5006385696040868E-2</v>
      </c>
      <c r="F110" s="93">
        <v>94.424468085106383</v>
      </c>
      <c r="G110" s="108"/>
      <c r="H110" s="61" t="str">
        <f t="shared" si="2"/>
        <v>(90, 100]</v>
      </c>
      <c r="I110" s="126">
        <v>1</v>
      </c>
      <c r="J110" s="127">
        <v>1.5006385696040868E-2</v>
      </c>
      <c r="K110" s="127">
        <v>6.1842105263157893E-2</v>
      </c>
      <c r="L110" s="128">
        <v>61842105</v>
      </c>
      <c r="M110" s="127">
        <v>6.1842105000000001E-2</v>
      </c>
      <c r="N110" s="127">
        <v>5.8394078698882979</v>
      </c>
      <c r="O110" s="130">
        <v>1.1000000000000001</v>
      </c>
      <c r="P110" s="59">
        <v>6.1842105000000001E-2</v>
      </c>
      <c r="Q110" s="59">
        <v>3.3762229337622296E-2</v>
      </c>
      <c r="R110" s="83">
        <v>0.55000000000000004</v>
      </c>
      <c r="S110" s="109"/>
      <c r="T110" s="61" t="str">
        <f t="shared" si="3"/>
        <v>(90, 100]</v>
      </c>
      <c r="U110" s="59">
        <v>5.5865921787709499E-3</v>
      </c>
      <c r="V110" s="59">
        <v>3.3762229337622296E-2</v>
      </c>
      <c r="W110" s="59"/>
    </row>
    <row r="111" spans="1:23">
      <c r="A111" s="58">
        <v>100</v>
      </c>
      <c r="B111" s="58">
        <v>120</v>
      </c>
      <c r="C111" s="72">
        <v>106</v>
      </c>
      <c r="D111" s="72">
        <v>1163150</v>
      </c>
      <c r="E111" s="59">
        <v>3.3844189016602813E-2</v>
      </c>
      <c r="F111" s="93">
        <v>109.73113207547171</v>
      </c>
      <c r="G111" s="108"/>
      <c r="H111" s="61" t="str">
        <f t="shared" si="2"/>
        <v>(100, 120]</v>
      </c>
      <c r="I111" s="126">
        <v>1</v>
      </c>
      <c r="J111" s="127">
        <v>3.3844189016602813E-2</v>
      </c>
      <c r="K111" s="127">
        <v>0.13947368421052633</v>
      </c>
      <c r="L111" s="128">
        <v>139473684</v>
      </c>
      <c r="M111" s="127">
        <v>0.13947368399999999</v>
      </c>
      <c r="N111" s="127">
        <v>15.304605240056603</v>
      </c>
      <c r="O111" s="130">
        <v>1.1000000000000001</v>
      </c>
      <c r="P111" s="59">
        <v>0.13947368399999999</v>
      </c>
      <c r="Q111" s="59">
        <v>5.2066327520663272E-2</v>
      </c>
      <c r="R111" s="83">
        <v>0.37</v>
      </c>
      <c r="S111" s="109"/>
      <c r="T111" s="61" t="str">
        <f t="shared" si="3"/>
        <v>(100, 120]</v>
      </c>
      <c r="U111" s="59">
        <v>0</v>
      </c>
      <c r="V111" s="59">
        <v>5.2066327520663272E-2</v>
      </c>
      <c r="W111" s="59"/>
    </row>
    <row r="112" spans="1:23">
      <c r="A112" s="58">
        <v>120</v>
      </c>
      <c r="B112" s="58">
        <v>140</v>
      </c>
      <c r="C112" s="72">
        <v>104</v>
      </c>
      <c r="D112" s="72">
        <v>1344540</v>
      </c>
      <c r="E112" s="59">
        <v>3.3205619412515965E-2</v>
      </c>
      <c r="F112" s="93">
        <v>129.28269230769232</v>
      </c>
      <c r="G112" s="108"/>
      <c r="H112" s="61" t="str">
        <f t="shared" si="2"/>
        <v>(120, 140]</v>
      </c>
      <c r="I112" s="126">
        <v>1</v>
      </c>
      <c r="J112" s="127">
        <v>3.3205619412515965E-2</v>
      </c>
      <c r="K112" s="127">
        <v>0.1368421052631579</v>
      </c>
      <c r="L112" s="128">
        <v>136842105</v>
      </c>
      <c r="M112" s="127">
        <v>0.13684210499999999</v>
      </c>
      <c r="N112" s="127">
        <v>17.691315755451924</v>
      </c>
      <c r="O112" s="130">
        <v>1.1000000000000001</v>
      </c>
      <c r="P112" s="59">
        <v>0.13684210499999999</v>
      </c>
      <c r="Q112" s="59">
        <v>3.8549410385494101E-2</v>
      </c>
      <c r="R112" s="83">
        <v>0.28000000000000003</v>
      </c>
      <c r="S112" s="109"/>
      <c r="T112" s="61" t="str">
        <f t="shared" si="3"/>
        <v>(120, 140]</v>
      </c>
      <c r="U112" s="59">
        <v>0</v>
      </c>
      <c r="V112" s="59">
        <v>3.8549410385494101E-2</v>
      </c>
      <c r="W112" s="59"/>
    </row>
    <row r="113" spans="1:23">
      <c r="A113" s="58">
        <v>140</v>
      </c>
      <c r="B113" s="58">
        <v>160</v>
      </c>
      <c r="C113" s="72">
        <v>103</v>
      </c>
      <c r="D113" s="72">
        <v>1540590</v>
      </c>
      <c r="E113" s="59">
        <v>3.2886334610472544E-2</v>
      </c>
      <c r="F113" s="93">
        <v>149.57184466019419</v>
      </c>
      <c r="G113" s="108"/>
      <c r="H113" s="61" t="str">
        <f t="shared" si="2"/>
        <v>(140, 160]</v>
      </c>
      <c r="I113" s="126">
        <v>1</v>
      </c>
      <c r="J113" s="127">
        <v>3.2886334610472544E-2</v>
      </c>
      <c r="K113" s="127">
        <v>0.13552631578947369</v>
      </c>
      <c r="L113" s="128">
        <v>135526315</v>
      </c>
      <c r="M113" s="127">
        <v>0.13552631500000001</v>
      </c>
      <c r="N113" s="127">
        <v>20.270920934548545</v>
      </c>
      <c r="O113" s="130">
        <v>1.1000000000000001</v>
      </c>
      <c r="P113" s="59">
        <v>0.13552631500000001</v>
      </c>
      <c r="Q113" s="59">
        <v>2.8302207283022074E-2</v>
      </c>
      <c r="R113" s="83">
        <v>0.21</v>
      </c>
      <c r="S113" s="109"/>
      <c r="T113" s="61" t="str">
        <f t="shared" si="3"/>
        <v>(140, 160]</v>
      </c>
      <c r="U113" s="59">
        <v>0</v>
      </c>
      <c r="V113" s="59">
        <v>2.8302207283022074E-2</v>
      </c>
      <c r="W113" s="59"/>
    </row>
    <row r="114" spans="1:23">
      <c r="A114" s="58">
        <v>160</v>
      </c>
      <c r="B114" s="58">
        <v>180</v>
      </c>
      <c r="C114" s="72">
        <v>104</v>
      </c>
      <c r="D114" s="72">
        <v>1765260</v>
      </c>
      <c r="E114" s="59">
        <v>3.3205619412515965E-2</v>
      </c>
      <c r="F114" s="93">
        <v>169.73653846153849</v>
      </c>
      <c r="G114" s="108"/>
      <c r="H114" s="61" t="str">
        <f t="shared" si="2"/>
        <v>(160, 180]</v>
      </c>
      <c r="I114" s="126">
        <v>1</v>
      </c>
      <c r="J114" s="127">
        <v>3.3205619412515965E-2</v>
      </c>
      <c r="K114" s="127">
        <v>0.1368421052631579</v>
      </c>
      <c r="L114" s="128">
        <v>136842105</v>
      </c>
      <c r="M114" s="127">
        <v>0.13684210499999999</v>
      </c>
      <c r="N114" s="127">
        <v>23.227105218490387</v>
      </c>
      <c r="O114" s="130">
        <v>1.1000000000000001</v>
      </c>
      <c r="P114" s="59">
        <v>0.13684210499999999</v>
      </c>
      <c r="Q114" s="59">
        <v>2.0817941208179411E-2</v>
      </c>
      <c r="R114" s="83">
        <v>0.15</v>
      </c>
      <c r="S114" s="109"/>
      <c r="T114" s="61" t="str">
        <f t="shared" si="3"/>
        <v>(160, 180]</v>
      </c>
      <c r="U114" s="59">
        <v>2.7932960893854749E-3</v>
      </c>
      <c r="V114" s="59">
        <v>2.0817941208179411E-2</v>
      </c>
      <c r="W114" s="59"/>
    </row>
    <row r="115" spans="1:23">
      <c r="A115" s="58">
        <v>180</v>
      </c>
      <c r="B115" s="58">
        <v>200</v>
      </c>
      <c r="C115" s="72">
        <v>83</v>
      </c>
      <c r="D115" s="72">
        <v>1574245</v>
      </c>
      <c r="E115" s="59">
        <v>2.6500638569604086E-2</v>
      </c>
      <c r="F115" s="93">
        <v>189.66807228915661</v>
      </c>
      <c r="G115" s="108"/>
      <c r="H115" s="61" t="str">
        <f t="shared" si="2"/>
        <v>(180, 200]</v>
      </c>
      <c r="I115" s="126">
        <v>1</v>
      </c>
      <c r="J115" s="127">
        <v>2.6500638569604086E-2</v>
      </c>
      <c r="K115" s="127">
        <v>0.10921052631578947</v>
      </c>
      <c r="L115" s="128">
        <v>109210526</v>
      </c>
      <c r="M115" s="127">
        <v>0.109210526</v>
      </c>
      <c r="N115" s="127">
        <v>20.713749940104819</v>
      </c>
      <c r="O115" s="130">
        <v>1.1000000000000001</v>
      </c>
      <c r="P115" s="59">
        <v>0.109210526</v>
      </c>
      <c r="Q115" s="59">
        <v>2.4458433244584334E-2</v>
      </c>
      <c r="R115" s="83">
        <v>0.22</v>
      </c>
      <c r="S115" s="109"/>
      <c r="T115" s="61" t="str">
        <f t="shared" si="3"/>
        <v>(180, 200]</v>
      </c>
      <c r="U115" s="59">
        <v>0</v>
      </c>
      <c r="V115" s="59">
        <v>2.4458433244584334E-2</v>
      </c>
      <c r="W115" s="59"/>
    </row>
    <row r="116" spans="1:23">
      <c r="A116" s="58">
        <v>200</v>
      </c>
      <c r="B116" s="58">
        <v>250</v>
      </c>
      <c r="C116" s="72">
        <v>231</v>
      </c>
      <c r="D116" s="72">
        <v>5199690</v>
      </c>
      <c r="E116" s="59">
        <v>7.3754789272030649E-2</v>
      </c>
      <c r="F116" s="93">
        <v>225.09480519480519</v>
      </c>
      <c r="G116" s="108"/>
      <c r="H116" s="61" t="str">
        <f t="shared" si="2"/>
        <v>(200, 250]</v>
      </c>
      <c r="I116" s="126">
        <v>0</v>
      </c>
      <c r="J116" s="127">
        <v>0</v>
      </c>
      <c r="K116" s="127">
        <v>0</v>
      </c>
      <c r="L116" s="128">
        <v>0</v>
      </c>
      <c r="M116" s="127">
        <v>0</v>
      </c>
      <c r="N116" s="127">
        <v>0</v>
      </c>
      <c r="O116" s="130">
        <v>0</v>
      </c>
      <c r="P116" s="59">
        <v>0</v>
      </c>
      <c r="Q116" s="59">
        <v>3.3126381331263811E-2</v>
      </c>
      <c r="R116" s="83">
        <v>0</v>
      </c>
      <c r="S116" s="109"/>
      <c r="T116" s="61" t="str">
        <f t="shared" si="3"/>
        <v>(200, 250]</v>
      </c>
      <c r="U116" s="59">
        <v>0</v>
      </c>
      <c r="V116" s="59">
        <v>3.3126381331263811E-2</v>
      </c>
      <c r="W116" s="59"/>
    </row>
    <row r="117" spans="1:23">
      <c r="A117" s="58">
        <v>250</v>
      </c>
      <c r="B117" s="58">
        <v>300</v>
      </c>
      <c r="C117" s="72">
        <v>219</v>
      </c>
      <c r="D117" s="72">
        <v>6001540</v>
      </c>
      <c r="E117" s="59">
        <v>6.9923371647509572E-2</v>
      </c>
      <c r="F117" s="93">
        <v>274.04292237442922</v>
      </c>
      <c r="G117" s="108"/>
      <c r="H117" s="61" t="str">
        <f t="shared" si="2"/>
        <v>(250, 300]</v>
      </c>
      <c r="I117" s="126">
        <v>0</v>
      </c>
      <c r="J117" s="127">
        <v>0</v>
      </c>
      <c r="K117" s="127">
        <v>0</v>
      </c>
      <c r="L117" s="128">
        <v>0</v>
      </c>
      <c r="M117" s="127">
        <v>0</v>
      </c>
      <c r="N117" s="127">
        <v>0</v>
      </c>
      <c r="O117" s="130">
        <v>0</v>
      </c>
      <c r="P117" s="59">
        <v>0</v>
      </c>
      <c r="Q117" s="59">
        <v>1.7490249174902491E-2</v>
      </c>
      <c r="R117" s="83">
        <v>0</v>
      </c>
      <c r="S117" s="109"/>
      <c r="T117" s="61" t="str">
        <f t="shared" si="3"/>
        <v>(250, 300]</v>
      </c>
      <c r="U117" s="59">
        <v>0</v>
      </c>
      <c r="V117" s="59">
        <v>1.7490249174902491E-2</v>
      </c>
      <c r="W117" s="59"/>
    </row>
    <row r="118" spans="1:23">
      <c r="A118" s="58">
        <v>300</v>
      </c>
      <c r="B118" s="58">
        <v>350</v>
      </c>
      <c r="C118" s="72">
        <v>210</v>
      </c>
      <c r="D118" s="72">
        <v>6772635</v>
      </c>
      <c r="E118" s="59">
        <v>6.7049808429118771E-2</v>
      </c>
      <c r="F118" s="93">
        <v>322.50642857142861</v>
      </c>
      <c r="G118" s="108"/>
      <c r="H118" s="61" t="str">
        <f t="shared" si="2"/>
        <v>(300, 350]</v>
      </c>
      <c r="I118" s="126">
        <v>0</v>
      </c>
      <c r="J118" s="127">
        <v>0</v>
      </c>
      <c r="K118" s="127">
        <v>0</v>
      </c>
      <c r="L118" s="128">
        <v>0</v>
      </c>
      <c r="M118" s="127">
        <v>0</v>
      </c>
      <c r="N118" s="127">
        <v>0</v>
      </c>
      <c r="O118" s="130">
        <v>0</v>
      </c>
      <c r="P118" s="59">
        <v>0</v>
      </c>
      <c r="Q118" s="59">
        <v>1.4174724141747242E-2</v>
      </c>
      <c r="R118" s="83">
        <v>0</v>
      </c>
      <c r="S118" s="109"/>
      <c r="T118" s="61" t="str">
        <f t="shared" si="3"/>
        <v>(300, 350]</v>
      </c>
      <c r="U118" s="59">
        <v>0</v>
      </c>
      <c r="V118" s="59">
        <v>1.4174724141747242E-2</v>
      </c>
      <c r="W118" s="59"/>
    </row>
    <row r="119" spans="1:23">
      <c r="A119" s="58">
        <v>350</v>
      </c>
      <c r="B119" s="58">
        <v>400</v>
      </c>
      <c r="C119" s="72">
        <v>173</v>
      </c>
      <c r="D119" s="72">
        <v>6486070</v>
      </c>
      <c r="E119" s="59">
        <v>5.5236270753512132E-2</v>
      </c>
      <c r="F119" s="93">
        <v>374.91734104046242</v>
      </c>
      <c r="G119" s="108"/>
      <c r="H119" s="61" t="str">
        <f t="shared" si="2"/>
        <v>(350, 400]</v>
      </c>
      <c r="I119" s="126">
        <v>0</v>
      </c>
      <c r="J119" s="127">
        <v>0</v>
      </c>
      <c r="K119" s="127">
        <v>0</v>
      </c>
      <c r="L119" s="128">
        <v>0</v>
      </c>
      <c r="M119" s="127">
        <v>0</v>
      </c>
      <c r="N119" s="127">
        <v>0</v>
      </c>
      <c r="O119" s="130">
        <v>0</v>
      </c>
      <c r="P119" s="59">
        <v>0</v>
      </c>
      <c r="Q119" s="59">
        <v>1.2146901121469012E-2</v>
      </c>
      <c r="R119" s="83">
        <v>0</v>
      </c>
      <c r="S119" s="109"/>
      <c r="T119" s="61" t="str">
        <f t="shared" si="3"/>
        <v>(350, 400]</v>
      </c>
      <c r="U119" s="59">
        <v>2.7932960893854749E-3</v>
      </c>
      <c r="V119" s="59">
        <v>1.2146901121469012E-2</v>
      </c>
      <c r="W119" s="59"/>
    </row>
    <row r="120" spans="1:23">
      <c r="A120" s="58">
        <v>400</v>
      </c>
      <c r="B120" s="58">
        <v>450</v>
      </c>
      <c r="C120" s="72">
        <v>177</v>
      </c>
      <c r="D120" s="72">
        <v>7505655</v>
      </c>
      <c r="E120" s="59">
        <v>5.6513409961685822E-2</v>
      </c>
      <c r="F120" s="93">
        <v>424.04830508474572</v>
      </c>
      <c r="G120" s="108"/>
      <c r="H120" s="61" t="str">
        <f t="shared" si="2"/>
        <v>(400, 450]</v>
      </c>
      <c r="I120" s="126">
        <v>0</v>
      </c>
      <c r="J120" s="127">
        <v>0</v>
      </c>
      <c r="K120" s="127">
        <v>0</v>
      </c>
      <c r="L120" s="128">
        <v>0</v>
      </c>
      <c r="M120" s="127">
        <v>0</v>
      </c>
      <c r="N120" s="127">
        <v>0</v>
      </c>
      <c r="O120" s="130">
        <v>0</v>
      </c>
      <c r="P120" s="59">
        <v>0</v>
      </c>
      <c r="Q120" s="59">
        <v>8.0168110801681104E-3</v>
      </c>
      <c r="R120" s="83">
        <v>0</v>
      </c>
      <c r="S120" s="109"/>
      <c r="T120" s="61" t="str">
        <f t="shared" si="3"/>
        <v>(400, 450]</v>
      </c>
      <c r="U120" s="59">
        <v>0</v>
      </c>
      <c r="V120" s="59">
        <v>8.0168110801681104E-3</v>
      </c>
      <c r="W120" s="59"/>
    </row>
    <row r="121" spans="1:23">
      <c r="A121" s="58">
        <v>450</v>
      </c>
      <c r="B121" s="58">
        <v>500</v>
      </c>
      <c r="C121" s="72">
        <v>152</v>
      </c>
      <c r="D121" s="72">
        <v>7215225</v>
      </c>
      <c r="E121" s="59">
        <v>4.8531289910600253E-2</v>
      </c>
      <c r="F121" s="93">
        <v>474.68585526315786</v>
      </c>
      <c r="G121" s="108"/>
      <c r="H121" s="61" t="str">
        <f t="shared" si="2"/>
        <v>(450, 500]</v>
      </c>
      <c r="I121" s="126">
        <v>0</v>
      </c>
      <c r="J121" s="127">
        <v>0</v>
      </c>
      <c r="K121" s="127">
        <v>0</v>
      </c>
      <c r="L121" s="128">
        <v>0</v>
      </c>
      <c r="M121" s="127">
        <v>0</v>
      </c>
      <c r="N121" s="127">
        <v>0</v>
      </c>
      <c r="O121" s="130">
        <v>0</v>
      </c>
      <c r="P121" s="59">
        <v>0</v>
      </c>
      <c r="Q121" s="59">
        <v>5.2324010523240108E-3</v>
      </c>
      <c r="R121" s="83">
        <v>0</v>
      </c>
      <c r="S121" s="109"/>
      <c r="T121" s="61" t="str">
        <f t="shared" si="3"/>
        <v>(450, 500]</v>
      </c>
      <c r="U121" s="59">
        <v>0</v>
      </c>
      <c r="V121" s="59">
        <v>5.2324010523240108E-3</v>
      </c>
      <c r="W121" s="59"/>
    </row>
    <row r="122" spans="1:23">
      <c r="A122" s="58">
        <v>500</v>
      </c>
      <c r="B122" s="58">
        <v>550</v>
      </c>
      <c r="C122" s="72">
        <v>101</v>
      </c>
      <c r="D122" s="72">
        <v>5282130</v>
      </c>
      <c r="E122" s="59">
        <v>3.2247765006385695E-2</v>
      </c>
      <c r="F122" s="93">
        <v>522.98316831683167</v>
      </c>
      <c r="G122" s="108"/>
      <c r="H122" s="61" t="str">
        <f t="shared" si="2"/>
        <v>(500, 550]</v>
      </c>
      <c r="I122" s="126">
        <v>0</v>
      </c>
      <c r="J122" s="127">
        <v>0</v>
      </c>
      <c r="K122" s="127">
        <v>0</v>
      </c>
      <c r="L122" s="128">
        <v>0</v>
      </c>
      <c r="M122" s="127">
        <v>0</v>
      </c>
      <c r="N122" s="127">
        <v>0</v>
      </c>
      <c r="O122" s="130">
        <v>0</v>
      </c>
      <c r="P122" s="59">
        <v>0</v>
      </c>
      <c r="Q122" s="59">
        <v>3.1279880312798801E-3</v>
      </c>
      <c r="R122" s="83">
        <v>0</v>
      </c>
      <c r="S122" s="109"/>
      <c r="T122" s="61" t="str">
        <f t="shared" si="3"/>
        <v>(500, 550]</v>
      </c>
      <c r="U122" s="59">
        <v>0</v>
      </c>
      <c r="V122" s="59">
        <v>3.1279880312798801E-3</v>
      </c>
      <c r="W122" s="59"/>
    </row>
    <row r="123" spans="1:23">
      <c r="A123" s="58">
        <v>550</v>
      </c>
      <c r="B123" s="58">
        <v>600</v>
      </c>
      <c r="C123" s="72">
        <v>105</v>
      </c>
      <c r="D123" s="72">
        <v>6017150</v>
      </c>
      <c r="E123" s="59">
        <v>3.3524904214559385E-2</v>
      </c>
      <c r="F123" s="93">
        <v>573.06190476190477</v>
      </c>
      <c r="G123" s="108"/>
      <c r="H123" s="61" t="str">
        <f t="shared" si="2"/>
        <v>(550, 600]</v>
      </c>
      <c r="I123" s="62">
        <v>0</v>
      </c>
      <c r="J123" s="59">
        <v>0</v>
      </c>
      <c r="K123" s="59">
        <v>0</v>
      </c>
      <c r="L123" s="128">
        <v>0</v>
      </c>
      <c r="M123" s="59">
        <v>0</v>
      </c>
      <c r="N123" s="59">
        <v>0</v>
      </c>
      <c r="O123" s="130">
        <v>0</v>
      </c>
      <c r="P123" s="59">
        <v>0</v>
      </c>
      <c r="Q123" s="59">
        <v>2.4837800248378003E-3</v>
      </c>
      <c r="R123" s="83">
        <v>0</v>
      </c>
      <c r="S123" s="109"/>
      <c r="T123" s="61" t="str">
        <f t="shared" si="3"/>
        <v>(550, 600]</v>
      </c>
      <c r="U123" s="59">
        <v>0</v>
      </c>
      <c r="V123" s="59">
        <v>2.4837800248378003E-3</v>
      </c>
      <c r="W123" s="59"/>
    </row>
    <row r="124" spans="1:23">
      <c r="A124" s="58">
        <v>600</v>
      </c>
      <c r="B124" s="58">
        <v>650</v>
      </c>
      <c r="C124" s="72">
        <v>94</v>
      </c>
      <c r="D124" s="72">
        <v>5863630</v>
      </c>
      <c r="E124" s="59">
        <v>3.0012771392081736E-2</v>
      </c>
      <c r="F124" s="93">
        <v>623.79042553191493</v>
      </c>
      <c r="G124" s="108"/>
      <c r="H124" s="61" t="str">
        <f t="shared" si="2"/>
        <v>(600, 650]</v>
      </c>
      <c r="I124" s="62">
        <v>0</v>
      </c>
      <c r="J124" s="59">
        <v>0</v>
      </c>
      <c r="K124" s="59">
        <v>0</v>
      </c>
      <c r="L124" s="128">
        <v>0</v>
      </c>
      <c r="M124" s="59">
        <v>0</v>
      </c>
      <c r="N124" s="59">
        <v>0</v>
      </c>
      <c r="O124" s="130">
        <v>0</v>
      </c>
      <c r="P124" s="59">
        <v>0</v>
      </c>
      <c r="Q124" s="59">
        <v>1.9344810193448101E-3</v>
      </c>
      <c r="R124" s="83">
        <v>0</v>
      </c>
      <c r="S124" s="109"/>
      <c r="T124" s="61" t="str">
        <f t="shared" si="3"/>
        <v>(600, 650]</v>
      </c>
      <c r="U124" s="59">
        <v>0</v>
      </c>
      <c r="V124" s="59">
        <v>1.9344810193448101E-3</v>
      </c>
      <c r="W124" s="59"/>
    </row>
    <row r="125" spans="1:23">
      <c r="A125" s="58">
        <v>650</v>
      </c>
      <c r="B125" s="58">
        <v>700</v>
      </c>
      <c r="C125" s="72">
        <v>95</v>
      </c>
      <c r="D125" s="72">
        <v>6409735</v>
      </c>
      <c r="E125" s="59">
        <v>3.033205619412516E-2</v>
      </c>
      <c r="F125" s="93">
        <v>674.70894736842104</v>
      </c>
      <c r="G125" s="108"/>
      <c r="H125" s="61" t="str">
        <f t="shared" si="2"/>
        <v>(650, 700]</v>
      </c>
      <c r="I125" s="62">
        <v>0</v>
      </c>
      <c r="J125" s="59">
        <v>0</v>
      </c>
      <c r="K125" s="59">
        <v>0</v>
      </c>
      <c r="L125" s="128">
        <v>0</v>
      </c>
      <c r="M125" s="59">
        <v>0</v>
      </c>
      <c r="N125" s="59">
        <v>0</v>
      </c>
      <c r="O125" s="130">
        <v>0</v>
      </c>
      <c r="P125" s="59">
        <v>0</v>
      </c>
      <c r="Q125" s="59">
        <v>1.4038810140388101E-3</v>
      </c>
      <c r="R125" s="83">
        <v>0</v>
      </c>
      <c r="S125" s="109"/>
      <c r="T125" s="61" t="str">
        <f t="shared" si="3"/>
        <v>(650, 700]</v>
      </c>
      <c r="U125" s="59">
        <v>0</v>
      </c>
      <c r="V125" s="59">
        <v>1.4038810140388101E-3</v>
      </c>
      <c r="W125" s="59"/>
    </row>
    <row r="126" spans="1:23">
      <c r="A126" s="58">
        <v>700</v>
      </c>
      <c r="B126" s="58">
        <v>750</v>
      </c>
      <c r="C126" s="72">
        <v>66</v>
      </c>
      <c r="D126" s="72">
        <v>4795575</v>
      </c>
      <c r="E126" s="59">
        <v>2.1072796934865901E-2</v>
      </c>
      <c r="F126" s="93">
        <v>726.60227272727275</v>
      </c>
      <c r="G126" s="107"/>
      <c r="H126" s="61" t="str">
        <f t="shared" si="2"/>
        <v>(700, 750]</v>
      </c>
      <c r="I126" s="62">
        <v>0</v>
      </c>
      <c r="J126" s="59">
        <v>0</v>
      </c>
      <c r="K126" s="59">
        <v>0</v>
      </c>
      <c r="L126" s="128">
        <v>0</v>
      </c>
      <c r="M126" s="59">
        <v>0</v>
      </c>
      <c r="N126" s="59">
        <v>0</v>
      </c>
      <c r="O126" s="130">
        <v>0</v>
      </c>
      <c r="P126" s="59">
        <v>0</v>
      </c>
      <c r="Q126" s="59">
        <v>0</v>
      </c>
      <c r="R126" s="83">
        <v>0</v>
      </c>
      <c r="S126" s="109"/>
      <c r="T126" s="61" t="str">
        <f t="shared" si="3"/>
        <v>(700, 750]</v>
      </c>
      <c r="U126" s="59">
        <v>0</v>
      </c>
      <c r="V126" s="59">
        <v>0</v>
      </c>
      <c r="W126" s="59"/>
    </row>
    <row r="127" spans="1:23">
      <c r="A127" s="58">
        <v>750</v>
      </c>
      <c r="B127" s="58">
        <v>800</v>
      </c>
      <c r="C127" s="72">
        <v>69</v>
      </c>
      <c r="D127" s="72">
        <v>5339105</v>
      </c>
      <c r="E127" s="59">
        <v>2.2030651340996167E-2</v>
      </c>
      <c r="F127" s="93">
        <v>773.7833333333333</v>
      </c>
      <c r="G127" s="107"/>
      <c r="H127" s="61" t="str">
        <f t="shared" si="2"/>
        <v>(750, 800]</v>
      </c>
      <c r="I127" s="62">
        <v>0</v>
      </c>
      <c r="J127" s="59">
        <v>0</v>
      </c>
      <c r="K127" s="59">
        <v>0</v>
      </c>
      <c r="L127" s="128">
        <v>0</v>
      </c>
      <c r="M127" s="59">
        <v>0</v>
      </c>
      <c r="N127" s="59">
        <v>0</v>
      </c>
      <c r="O127" s="130">
        <v>0</v>
      </c>
      <c r="P127" s="59">
        <v>0</v>
      </c>
      <c r="Q127" s="59">
        <v>0</v>
      </c>
      <c r="R127" s="83">
        <v>0</v>
      </c>
      <c r="S127" s="109"/>
      <c r="T127" s="61" t="str">
        <f t="shared" si="3"/>
        <v>(750, 800]</v>
      </c>
      <c r="U127" s="59">
        <v>0</v>
      </c>
      <c r="V127" s="59">
        <v>0</v>
      </c>
      <c r="W127" s="59"/>
    </row>
    <row r="128" spans="1:23">
      <c r="A128" s="58">
        <v>800</v>
      </c>
      <c r="B128" s="58">
        <v>850</v>
      </c>
      <c r="C128" s="72">
        <v>47</v>
      </c>
      <c r="D128" s="72">
        <v>3894050</v>
      </c>
      <c r="E128" s="59">
        <v>1.5006385696040868E-2</v>
      </c>
      <c r="F128" s="93">
        <v>828.52127659574467</v>
      </c>
      <c r="G128" s="107"/>
      <c r="H128" s="61" t="str">
        <f t="shared" si="2"/>
        <v>(800, 850]</v>
      </c>
      <c r="I128" s="62">
        <v>0</v>
      </c>
      <c r="J128" s="59">
        <v>0</v>
      </c>
      <c r="K128" s="59">
        <v>0</v>
      </c>
      <c r="L128" s="128">
        <v>0</v>
      </c>
      <c r="M128" s="59">
        <v>0</v>
      </c>
      <c r="N128" s="59">
        <v>0</v>
      </c>
      <c r="O128" s="130">
        <v>0</v>
      </c>
      <c r="P128" s="59">
        <v>0</v>
      </c>
      <c r="Q128" s="59">
        <v>0</v>
      </c>
      <c r="R128" s="83">
        <v>0</v>
      </c>
      <c r="S128" s="109"/>
      <c r="T128" s="61" t="str">
        <f t="shared" si="3"/>
        <v>(800, 850]</v>
      </c>
      <c r="U128" s="59">
        <v>0</v>
      </c>
      <c r="V128" s="59">
        <v>0</v>
      </c>
      <c r="W128" s="59"/>
    </row>
    <row r="129" spans="1:23">
      <c r="A129" s="58">
        <v>850</v>
      </c>
      <c r="B129" s="58">
        <v>900</v>
      </c>
      <c r="C129" s="72">
        <v>56</v>
      </c>
      <c r="D129" s="72">
        <v>4891760</v>
      </c>
      <c r="E129" s="59">
        <v>1.7879948914431672E-2</v>
      </c>
      <c r="F129" s="93">
        <v>873.52857142857147</v>
      </c>
      <c r="G129" s="107"/>
      <c r="H129" s="61" t="str">
        <f t="shared" si="2"/>
        <v>(850, 900]</v>
      </c>
      <c r="I129" s="62">
        <v>0</v>
      </c>
      <c r="J129" s="59">
        <v>0</v>
      </c>
      <c r="K129" s="59">
        <v>0</v>
      </c>
      <c r="L129" s="84">
        <v>0</v>
      </c>
      <c r="M129" s="59">
        <v>0</v>
      </c>
      <c r="N129" s="59">
        <v>0</v>
      </c>
      <c r="O129" s="130">
        <v>0</v>
      </c>
      <c r="P129" s="59">
        <v>0</v>
      </c>
      <c r="Q129" s="59">
        <v>0</v>
      </c>
      <c r="R129" s="83">
        <v>0</v>
      </c>
      <c r="S129" s="109"/>
      <c r="T129" s="61" t="str">
        <f t="shared" si="3"/>
        <v>(850, 900]</v>
      </c>
      <c r="U129" s="59">
        <v>0</v>
      </c>
      <c r="V129" s="59">
        <v>0</v>
      </c>
      <c r="W129" s="59"/>
    </row>
    <row r="130" spans="1:23">
      <c r="A130" s="58">
        <v>900</v>
      </c>
      <c r="B130" s="58">
        <v>950</v>
      </c>
      <c r="C130" s="72">
        <v>42</v>
      </c>
      <c r="D130" s="72">
        <v>3883580</v>
      </c>
      <c r="E130" s="59">
        <v>1.3409961685823755E-2</v>
      </c>
      <c r="F130" s="93">
        <v>924.66190476190468</v>
      </c>
      <c r="G130" s="107"/>
      <c r="H130" s="61" t="str">
        <f t="shared" si="2"/>
        <v>(900, 950]</v>
      </c>
      <c r="I130" s="62">
        <v>0</v>
      </c>
      <c r="J130" s="59">
        <v>0</v>
      </c>
      <c r="K130" s="59">
        <v>0</v>
      </c>
      <c r="L130" s="84">
        <v>0</v>
      </c>
      <c r="M130" s="59">
        <v>0</v>
      </c>
      <c r="N130" s="59">
        <v>0</v>
      </c>
      <c r="O130" s="130">
        <v>0</v>
      </c>
      <c r="P130" s="59">
        <v>0</v>
      </c>
      <c r="Q130" s="59">
        <v>0</v>
      </c>
      <c r="R130" s="83">
        <v>0</v>
      </c>
      <c r="S130" s="109"/>
      <c r="T130" s="61" t="str">
        <f t="shared" si="3"/>
        <v>(900, 950]</v>
      </c>
      <c r="U130" s="59">
        <v>0</v>
      </c>
      <c r="V130" s="59">
        <v>0</v>
      </c>
      <c r="W130" s="59"/>
    </row>
    <row r="131" spans="1:23">
      <c r="A131" s="58">
        <v>950</v>
      </c>
      <c r="B131" s="58">
        <v>1000</v>
      </c>
      <c r="C131" s="72">
        <v>31</v>
      </c>
      <c r="D131" s="72">
        <v>3019765</v>
      </c>
      <c r="E131" s="59">
        <v>9.8978288633461056E-3</v>
      </c>
      <c r="F131" s="93">
        <v>974.11774193548399</v>
      </c>
      <c r="G131" s="107"/>
      <c r="H131" s="61" t="str">
        <f t="shared" si="2"/>
        <v>(950, 1000]</v>
      </c>
      <c r="I131" s="62">
        <v>0</v>
      </c>
      <c r="J131" s="59">
        <v>0</v>
      </c>
      <c r="K131" s="59">
        <v>0</v>
      </c>
      <c r="L131" s="84">
        <v>0</v>
      </c>
      <c r="M131" s="59">
        <v>0</v>
      </c>
      <c r="N131" s="59">
        <v>0</v>
      </c>
      <c r="O131" s="130">
        <v>0</v>
      </c>
      <c r="P131" s="59">
        <v>0</v>
      </c>
      <c r="Q131" s="59">
        <v>0</v>
      </c>
      <c r="R131" s="83">
        <v>0</v>
      </c>
      <c r="S131" s="109"/>
      <c r="T131" s="61" t="str">
        <f t="shared" si="3"/>
        <v>(950, 1000]</v>
      </c>
      <c r="U131" s="59">
        <v>0</v>
      </c>
      <c r="V131" s="59">
        <v>0</v>
      </c>
      <c r="W131" s="59"/>
    </row>
    <row r="132" spans="1:23">
      <c r="A132" s="58">
        <v>1000</v>
      </c>
      <c r="B132" s="58">
        <v>2000</v>
      </c>
      <c r="C132" s="72">
        <v>298</v>
      </c>
      <c r="D132" s="72">
        <v>39841460</v>
      </c>
      <c r="E132" s="59">
        <v>9.5146871008939968E-2</v>
      </c>
      <c r="F132" s="93">
        <v>1336.9617449664429</v>
      </c>
      <c r="G132" s="107"/>
      <c r="H132" s="61" t="str">
        <f t="shared" si="2"/>
        <v>(1000, 2000]</v>
      </c>
      <c r="I132" s="62">
        <v>0</v>
      </c>
      <c r="J132" s="59">
        <v>0</v>
      </c>
      <c r="K132" s="59">
        <v>0</v>
      </c>
      <c r="L132" s="84">
        <v>0</v>
      </c>
      <c r="M132" s="59">
        <v>0</v>
      </c>
      <c r="N132" s="59">
        <v>0</v>
      </c>
      <c r="O132" s="130">
        <v>0</v>
      </c>
      <c r="P132" s="59">
        <v>0</v>
      </c>
      <c r="Q132" s="59">
        <v>2.6603730266037302E-3</v>
      </c>
      <c r="R132" s="83">
        <v>0</v>
      </c>
      <c r="S132" s="109"/>
      <c r="T132" s="61" t="str">
        <f t="shared" si="3"/>
        <v>(1000, 2000]</v>
      </c>
      <c r="U132" s="59">
        <v>0</v>
      </c>
      <c r="V132" s="59">
        <v>2.6603730266037302E-3</v>
      </c>
      <c r="W132" s="59"/>
    </row>
    <row r="133" spans="1:23">
      <c r="A133" s="58">
        <v>2000</v>
      </c>
      <c r="B133" s="58">
        <v>3000</v>
      </c>
      <c r="C133" s="72">
        <v>49</v>
      </c>
      <c r="D133" s="72">
        <v>11665770</v>
      </c>
      <c r="E133" s="59">
        <v>1.5644955300127713E-2</v>
      </c>
      <c r="F133" s="93">
        <v>2380.7693877551019</v>
      </c>
      <c r="G133" s="107"/>
      <c r="H133" s="61" t="str">
        <f t="shared" si="2"/>
        <v>(2000, 3000]</v>
      </c>
      <c r="I133" s="62">
        <v>0</v>
      </c>
      <c r="J133" s="59">
        <v>0</v>
      </c>
      <c r="K133" s="59">
        <v>0</v>
      </c>
      <c r="L133" s="84">
        <v>0</v>
      </c>
      <c r="M133" s="59">
        <v>0</v>
      </c>
      <c r="N133" s="59">
        <v>0</v>
      </c>
      <c r="O133" s="130">
        <v>0</v>
      </c>
      <c r="P133" s="59">
        <v>0</v>
      </c>
      <c r="Q133" s="59">
        <v>0</v>
      </c>
      <c r="R133" s="83">
        <v>0</v>
      </c>
      <c r="S133" s="109"/>
      <c r="T133" s="61" t="str">
        <f t="shared" si="3"/>
        <v>(2000, 3000]</v>
      </c>
      <c r="U133" s="59">
        <v>0</v>
      </c>
      <c r="V133" s="59">
        <v>0</v>
      </c>
      <c r="W133" s="59"/>
    </row>
    <row r="134" spans="1:23">
      <c r="A134" s="58">
        <v>3000</v>
      </c>
      <c r="B134" s="58">
        <v>4000</v>
      </c>
      <c r="C134" s="72">
        <v>10</v>
      </c>
      <c r="D134" s="72">
        <v>3387590</v>
      </c>
      <c r="E134" s="59">
        <v>3.1928480204342275E-3</v>
      </c>
      <c r="F134" s="93">
        <v>3387.59</v>
      </c>
      <c r="G134" s="107"/>
      <c r="H134" s="61" t="str">
        <f t="shared" si="2"/>
        <v>(3000, 4000]</v>
      </c>
      <c r="I134" s="62">
        <v>0</v>
      </c>
      <c r="J134" s="59">
        <v>0</v>
      </c>
      <c r="K134" s="59">
        <v>0</v>
      </c>
      <c r="L134" s="84">
        <v>0</v>
      </c>
      <c r="M134" s="59">
        <v>0</v>
      </c>
      <c r="N134" s="59">
        <v>0</v>
      </c>
      <c r="O134" s="130">
        <v>0</v>
      </c>
      <c r="P134" s="59">
        <v>0</v>
      </c>
      <c r="Q134" s="59">
        <v>0</v>
      </c>
      <c r="R134" s="83">
        <v>0</v>
      </c>
      <c r="T134" s="61" t="str">
        <f t="shared" si="3"/>
        <v>(3000, 4000]</v>
      </c>
      <c r="U134" s="59">
        <v>0</v>
      </c>
      <c r="V134" s="59">
        <v>0</v>
      </c>
      <c r="W134" s="59"/>
    </row>
    <row r="135" spans="1:23">
      <c r="A135" s="58">
        <v>4000</v>
      </c>
      <c r="B135" s="58">
        <v>5000</v>
      </c>
      <c r="C135" s="72">
        <v>2</v>
      </c>
      <c r="D135" s="72">
        <v>923840</v>
      </c>
      <c r="E135" s="59">
        <v>6.3856960408684551E-4</v>
      </c>
      <c r="F135" s="93">
        <v>4619.2</v>
      </c>
      <c r="G135" s="107" t="e">
        <f>1/SUM(M135:M141)</f>
        <v>#DIV/0!</v>
      </c>
      <c r="H135" s="61" t="str">
        <f t="shared" si="2"/>
        <v>(4000, 5000]</v>
      </c>
      <c r="I135" s="62">
        <v>0</v>
      </c>
      <c r="J135" s="59">
        <v>0</v>
      </c>
      <c r="K135" s="59">
        <v>0</v>
      </c>
      <c r="L135" s="84">
        <v>0</v>
      </c>
      <c r="M135" s="59">
        <v>0</v>
      </c>
      <c r="N135" s="59">
        <v>0</v>
      </c>
      <c r="O135" s="130">
        <v>0</v>
      </c>
      <c r="P135" s="59">
        <v>0</v>
      </c>
      <c r="Q135" s="59">
        <v>0</v>
      </c>
      <c r="R135" s="83">
        <v>0</v>
      </c>
      <c r="T135" s="61" t="str">
        <f t="shared" si="3"/>
        <v>(4000, 5000]</v>
      </c>
      <c r="U135" s="59">
        <v>0</v>
      </c>
      <c r="V135" s="59">
        <v>0</v>
      </c>
      <c r="W135" s="59"/>
    </row>
    <row r="136" spans="1:23">
      <c r="A136" s="58">
        <v>5000</v>
      </c>
      <c r="B136" s="58">
        <v>6000</v>
      </c>
      <c r="C136" s="72">
        <v>0</v>
      </c>
      <c r="D136" s="72">
        <v>0</v>
      </c>
      <c r="E136" s="59">
        <v>0</v>
      </c>
      <c r="F136" s="93">
        <v>0</v>
      </c>
      <c r="G136" s="107" t="e">
        <f>G135/E79</f>
        <v>#DIV/0!</v>
      </c>
      <c r="H136" s="61" t="str">
        <f t="shared" si="2"/>
        <v>(5000, 6000]</v>
      </c>
      <c r="I136" s="62">
        <v>0</v>
      </c>
      <c r="J136" s="59">
        <v>0</v>
      </c>
      <c r="K136" s="59">
        <v>0</v>
      </c>
      <c r="L136" s="84">
        <v>0</v>
      </c>
      <c r="M136" s="59">
        <v>0</v>
      </c>
      <c r="N136" s="59">
        <v>0</v>
      </c>
      <c r="O136" s="130">
        <v>0</v>
      </c>
      <c r="P136" s="59">
        <v>0</v>
      </c>
      <c r="Q136" s="59">
        <v>0</v>
      </c>
      <c r="R136" s="83">
        <v>0</v>
      </c>
      <c r="T136" s="61" t="str">
        <f t="shared" si="3"/>
        <v>(5000, 6000]</v>
      </c>
      <c r="U136" s="59">
        <v>0</v>
      </c>
      <c r="V136" s="59">
        <v>0</v>
      </c>
      <c r="W136" s="59"/>
    </row>
    <row r="137" spans="1:23">
      <c r="A137" s="58">
        <v>6000</v>
      </c>
      <c r="B137" s="58">
        <v>7000</v>
      </c>
      <c r="C137" s="72">
        <v>2</v>
      </c>
      <c r="D137" s="72">
        <v>1308005</v>
      </c>
      <c r="E137" s="59">
        <v>6.3856960408684551E-4</v>
      </c>
      <c r="F137" s="93">
        <v>6540.0249999999996</v>
      </c>
      <c r="G137" s="107"/>
      <c r="H137" s="61" t="str">
        <f t="shared" si="2"/>
        <v>(6000, 7000]</v>
      </c>
      <c r="I137" s="62">
        <v>0</v>
      </c>
      <c r="J137" s="59">
        <v>0</v>
      </c>
      <c r="K137" s="59">
        <v>0</v>
      </c>
      <c r="L137" s="84">
        <v>0</v>
      </c>
      <c r="M137" s="59">
        <v>0</v>
      </c>
      <c r="N137" s="59">
        <v>0</v>
      </c>
      <c r="O137" s="130">
        <v>0</v>
      </c>
      <c r="P137" s="59">
        <v>0</v>
      </c>
      <c r="Q137" s="59">
        <v>0</v>
      </c>
      <c r="R137" s="83">
        <v>0</v>
      </c>
      <c r="T137" s="61" t="str">
        <f t="shared" si="3"/>
        <v>(6000, 7000]</v>
      </c>
      <c r="U137" s="59">
        <v>0</v>
      </c>
      <c r="V137" s="59">
        <v>0</v>
      </c>
      <c r="W137" s="59"/>
    </row>
    <row r="138" spans="1:23">
      <c r="A138" s="58">
        <v>7000</v>
      </c>
      <c r="B138" s="58">
        <v>8000</v>
      </c>
      <c r="C138" s="72">
        <v>1</v>
      </c>
      <c r="D138" s="72">
        <v>709965</v>
      </c>
      <c r="E138" s="59">
        <v>3.1928480204342275E-4</v>
      </c>
      <c r="F138" s="93">
        <v>7099.65</v>
      </c>
      <c r="G138" s="107"/>
      <c r="H138" s="61" t="str">
        <f t="shared" si="2"/>
        <v>(7000, 8000]</v>
      </c>
      <c r="I138" s="62">
        <v>0</v>
      </c>
      <c r="J138" s="59">
        <v>0</v>
      </c>
      <c r="K138" s="59">
        <v>0</v>
      </c>
      <c r="L138" s="84">
        <v>0</v>
      </c>
      <c r="M138" s="59">
        <v>0</v>
      </c>
      <c r="N138" s="59">
        <v>0</v>
      </c>
      <c r="O138" s="130">
        <v>0</v>
      </c>
      <c r="P138" s="59">
        <v>0</v>
      </c>
      <c r="Q138" s="59">
        <v>0</v>
      </c>
      <c r="R138" s="83">
        <v>0</v>
      </c>
      <c r="T138" s="61" t="str">
        <f t="shared" si="3"/>
        <v>(7000, 8000]</v>
      </c>
      <c r="U138" s="59">
        <v>0</v>
      </c>
      <c r="V138" s="59">
        <v>0</v>
      </c>
      <c r="W138" s="59"/>
    </row>
    <row r="139" spans="1:23">
      <c r="A139" s="58">
        <v>8000</v>
      </c>
      <c r="B139" s="58">
        <v>9000</v>
      </c>
      <c r="C139" s="72">
        <v>0</v>
      </c>
      <c r="D139" s="72">
        <v>0</v>
      </c>
      <c r="E139" s="59">
        <v>0</v>
      </c>
      <c r="F139" s="93">
        <v>0</v>
      </c>
      <c r="G139" s="107">
        <f>SUM(M134:M148)</f>
        <v>0</v>
      </c>
      <c r="H139" s="61" t="str">
        <f t="shared" si="2"/>
        <v>(8000, 9000]</v>
      </c>
      <c r="I139" s="62">
        <v>0</v>
      </c>
      <c r="J139" s="59">
        <v>0</v>
      </c>
      <c r="K139" s="59">
        <v>0</v>
      </c>
      <c r="L139" s="84">
        <v>0</v>
      </c>
      <c r="M139" s="59">
        <v>0</v>
      </c>
      <c r="N139" s="59">
        <v>0</v>
      </c>
      <c r="O139" s="130">
        <v>0</v>
      </c>
      <c r="P139" s="59">
        <v>0</v>
      </c>
      <c r="Q139" s="59">
        <v>0</v>
      </c>
      <c r="R139" s="83">
        <v>0</v>
      </c>
      <c r="T139" s="61" t="str">
        <f t="shared" si="3"/>
        <v>(8000, 9000]</v>
      </c>
      <c r="U139" s="59">
        <v>0</v>
      </c>
      <c r="V139" s="59">
        <v>0</v>
      </c>
      <c r="W139" s="59"/>
    </row>
    <row r="140" spans="1:23">
      <c r="A140" s="58">
        <v>9000</v>
      </c>
      <c r="B140" s="58">
        <v>10000</v>
      </c>
      <c r="C140" s="72">
        <v>0</v>
      </c>
      <c r="D140" s="72">
        <v>0</v>
      </c>
      <c r="E140" s="59">
        <v>0</v>
      </c>
      <c r="F140" s="93">
        <v>0</v>
      </c>
      <c r="G140" s="107" t="e">
        <f>1/G139/E79</f>
        <v>#DIV/0!</v>
      </c>
      <c r="H140" s="61" t="str">
        <f t="shared" si="2"/>
        <v>(9000, 10000]</v>
      </c>
      <c r="I140" s="62">
        <v>0</v>
      </c>
      <c r="J140" s="59">
        <v>0</v>
      </c>
      <c r="K140" s="59">
        <v>0</v>
      </c>
      <c r="L140" s="84">
        <v>0</v>
      </c>
      <c r="M140" s="59">
        <v>0</v>
      </c>
      <c r="N140" s="59">
        <v>0</v>
      </c>
      <c r="O140" s="130">
        <v>0</v>
      </c>
      <c r="P140" s="59">
        <v>0</v>
      </c>
      <c r="Q140" s="59">
        <v>0</v>
      </c>
      <c r="R140" s="83">
        <v>0</v>
      </c>
      <c r="T140" s="61" t="str">
        <f t="shared" si="3"/>
        <v>(9000, 10000]</v>
      </c>
      <c r="U140" s="59">
        <v>0</v>
      </c>
      <c r="V140" s="59">
        <v>0</v>
      </c>
      <c r="W140" s="59"/>
    </row>
    <row r="141" spans="1:23">
      <c r="A141" s="58">
        <v>10000</v>
      </c>
      <c r="B141" s="58">
        <v>20000</v>
      </c>
      <c r="C141" s="72">
        <v>0</v>
      </c>
      <c r="D141" s="72">
        <v>0</v>
      </c>
      <c r="E141" s="59">
        <v>0</v>
      </c>
      <c r="F141" s="93">
        <v>0</v>
      </c>
      <c r="G141" s="107"/>
      <c r="H141" s="61" t="str">
        <f t="shared" si="2"/>
        <v>(10000, 20000]</v>
      </c>
      <c r="I141" s="62">
        <v>0</v>
      </c>
      <c r="J141" s="59">
        <v>0</v>
      </c>
      <c r="K141" s="59">
        <v>0</v>
      </c>
      <c r="L141" s="84">
        <v>0</v>
      </c>
      <c r="M141" s="59">
        <v>0</v>
      </c>
      <c r="N141" s="59">
        <v>0</v>
      </c>
      <c r="O141" s="130">
        <v>0</v>
      </c>
      <c r="P141" s="59">
        <v>0</v>
      </c>
      <c r="Q141" s="59">
        <v>0</v>
      </c>
      <c r="R141" s="83">
        <v>0</v>
      </c>
      <c r="T141" s="61" t="str">
        <f t="shared" si="3"/>
        <v>(10000, 20000]</v>
      </c>
      <c r="U141" s="59">
        <v>0</v>
      </c>
      <c r="V141" s="59">
        <v>0</v>
      </c>
      <c r="W141" s="59"/>
    </row>
    <row r="142" spans="1:23">
      <c r="A142" s="58">
        <v>20000</v>
      </c>
      <c r="B142" s="58">
        <v>30000</v>
      </c>
      <c r="C142" s="72">
        <v>0</v>
      </c>
      <c r="D142" s="72">
        <v>0</v>
      </c>
      <c r="E142" s="59">
        <v>0</v>
      </c>
      <c r="F142" s="93">
        <v>0</v>
      </c>
      <c r="G142" s="107"/>
      <c r="H142" s="61" t="str">
        <f t="shared" si="2"/>
        <v>(20000, 30000]</v>
      </c>
      <c r="I142" s="62">
        <v>0</v>
      </c>
      <c r="J142" s="59">
        <v>0</v>
      </c>
      <c r="K142" s="59">
        <v>0</v>
      </c>
      <c r="L142" s="84">
        <v>0</v>
      </c>
      <c r="M142" s="59">
        <v>0</v>
      </c>
      <c r="N142" s="59">
        <v>0</v>
      </c>
      <c r="O142" s="130">
        <v>0</v>
      </c>
      <c r="P142" s="59">
        <v>0</v>
      </c>
      <c r="Q142" s="59">
        <v>0</v>
      </c>
      <c r="R142" s="83">
        <v>0</v>
      </c>
      <c r="T142" s="61" t="str">
        <f t="shared" si="3"/>
        <v>(20000, 30000]</v>
      </c>
      <c r="U142" s="59">
        <v>0</v>
      </c>
      <c r="V142" s="59">
        <v>0</v>
      </c>
      <c r="W142" s="59"/>
    </row>
    <row r="143" spans="1:23">
      <c r="A143" s="58">
        <v>30000</v>
      </c>
      <c r="B143" s="58">
        <v>40000</v>
      </c>
      <c r="C143" s="72">
        <v>0</v>
      </c>
      <c r="D143" s="72">
        <v>0</v>
      </c>
      <c r="E143" s="59">
        <v>0</v>
      </c>
      <c r="F143" s="93">
        <v>0</v>
      </c>
      <c r="G143" s="107"/>
      <c r="H143" s="61" t="str">
        <f t="shared" si="2"/>
        <v>(30000, 40000]</v>
      </c>
      <c r="I143" s="62">
        <v>0</v>
      </c>
      <c r="J143" s="59">
        <v>0</v>
      </c>
      <c r="K143" s="59">
        <v>0</v>
      </c>
      <c r="L143" s="84">
        <v>0</v>
      </c>
      <c r="M143" s="59">
        <v>0</v>
      </c>
      <c r="N143" s="59">
        <v>0</v>
      </c>
      <c r="O143" s="130">
        <v>0</v>
      </c>
      <c r="P143" s="59">
        <v>0</v>
      </c>
      <c r="Q143" s="59">
        <v>0</v>
      </c>
      <c r="R143" s="83">
        <v>0</v>
      </c>
      <c r="T143" s="61" t="str">
        <f t="shared" si="3"/>
        <v>(30000, 40000]</v>
      </c>
      <c r="U143" s="59">
        <v>0</v>
      </c>
      <c r="V143" s="59">
        <v>0</v>
      </c>
      <c r="W143" s="59"/>
    </row>
    <row r="144" spans="1:23">
      <c r="A144" s="58">
        <v>40000</v>
      </c>
      <c r="B144" s="58">
        <v>50000</v>
      </c>
      <c r="C144" s="72">
        <v>0</v>
      </c>
      <c r="D144" s="72">
        <v>0</v>
      </c>
      <c r="E144" s="59">
        <v>0</v>
      </c>
      <c r="F144" s="93">
        <v>0</v>
      </c>
      <c r="G144" s="130"/>
      <c r="H144" s="61" t="str">
        <f t="shared" si="2"/>
        <v>(40000, 50000]</v>
      </c>
      <c r="I144" s="62">
        <v>0</v>
      </c>
      <c r="J144" s="59">
        <v>0</v>
      </c>
      <c r="K144" s="59">
        <v>0</v>
      </c>
      <c r="L144" s="84">
        <v>0</v>
      </c>
      <c r="M144" s="59">
        <v>0</v>
      </c>
      <c r="N144" s="59">
        <v>0</v>
      </c>
      <c r="O144" s="130">
        <v>0</v>
      </c>
      <c r="P144" s="59">
        <v>0</v>
      </c>
      <c r="Q144" s="59">
        <v>0</v>
      </c>
      <c r="R144" s="83">
        <v>0</v>
      </c>
      <c r="T144" s="61" t="str">
        <f t="shared" si="3"/>
        <v>(40000, 50000]</v>
      </c>
      <c r="U144" s="59">
        <v>0</v>
      </c>
      <c r="V144" s="59">
        <v>0</v>
      </c>
      <c r="W144" s="59"/>
    </row>
    <row r="145" spans="1:23">
      <c r="A145" s="58">
        <v>50000</v>
      </c>
      <c r="B145" s="58">
        <v>60000</v>
      </c>
      <c r="C145" s="72">
        <v>0</v>
      </c>
      <c r="D145" s="72">
        <v>0</v>
      </c>
      <c r="E145" s="59">
        <v>0</v>
      </c>
      <c r="F145" s="93">
        <v>0</v>
      </c>
      <c r="G145" s="107"/>
      <c r="H145" s="61" t="str">
        <f t="shared" si="2"/>
        <v>(50000, 60000]</v>
      </c>
      <c r="I145" s="62">
        <v>0</v>
      </c>
      <c r="J145" s="59">
        <v>0</v>
      </c>
      <c r="K145" s="59">
        <v>0</v>
      </c>
      <c r="L145" s="84">
        <v>0</v>
      </c>
      <c r="M145" s="59">
        <v>0</v>
      </c>
      <c r="N145" s="59">
        <v>0</v>
      </c>
      <c r="O145" s="130">
        <v>0</v>
      </c>
      <c r="P145" s="59">
        <v>0</v>
      </c>
      <c r="Q145" s="59">
        <v>0</v>
      </c>
      <c r="R145" s="83">
        <v>0</v>
      </c>
      <c r="T145" s="61" t="str">
        <f t="shared" si="3"/>
        <v>(50000, 60000]</v>
      </c>
      <c r="U145" s="59">
        <v>0</v>
      </c>
      <c r="V145" s="59">
        <v>0</v>
      </c>
      <c r="W145" s="59"/>
    </row>
    <row r="146" spans="1:23">
      <c r="A146" s="58">
        <v>60000</v>
      </c>
      <c r="B146" s="58">
        <v>70000</v>
      </c>
      <c r="C146" s="72">
        <v>0</v>
      </c>
      <c r="D146" s="72">
        <v>0</v>
      </c>
      <c r="E146" s="59">
        <v>0</v>
      </c>
      <c r="F146" s="93">
        <v>0</v>
      </c>
      <c r="G146" s="107"/>
      <c r="H146" s="61" t="str">
        <f t="shared" si="2"/>
        <v>(60000, 70000]</v>
      </c>
      <c r="I146" s="62">
        <v>0</v>
      </c>
      <c r="J146" s="59">
        <v>0</v>
      </c>
      <c r="K146" s="59">
        <v>0</v>
      </c>
      <c r="L146" s="84">
        <v>0</v>
      </c>
      <c r="M146" s="59">
        <v>0</v>
      </c>
      <c r="N146" s="59">
        <v>0</v>
      </c>
      <c r="O146" s="130">
        <v>0</v>
      </c>
      <c r="P146" s="59">
        <v>0</v>
      </c>
      <c r="Q146" s="59">
        <v>0</v>
      </c>
      <c r="R146" s="83">
        <v>0</v>
      </c>
      <c r="T146" s="61" t="str">
        <f t="shared" si="3"/>
        <v>(60000, 70000]</v>
      </c>
      <c r="U146" s="59">
        <v>0</v>
      </c>
      <c r="V146" s="59">
        <v>0</v>
      </c>
      <c r="W146" s="59"/>
    </row>
    <row r="147" spans="1:23">
      <c r="A147" s="58">
        <v>70000</v>
      </c>
      <c r="B147" s="58">
        <v>80000</v>
      </c>
      <c r="C147" s="72">
        <v>0</v>
      </c>
      <c r="D147" s="72">
        <v>0</v>
      </c>
      <c r="E147" s="59">
        <v>0</v>
      </c>
      <c r="F147" s="93">
        <v>0</v>
      </c>
      <c r="G147" s="107"/>
      <c r="H147" s="61" t="str">
        <f t="shared" si="2"/>
        <v>(70000, 80000]</v>
      </c>
      <c r="I147" s="62">
        <v>0</v>
      </c>
      <c r="J147" s="59">
        <v>0</v>
      </c>
      <c r="K147" s="59">
        <v>0</v>
      </c>
      <c r="L147" s="84">
        <v>0</v>
      </c>
      <c r="M147" s="59">
        <v>0</v>
      </c>
      <c r="N147" s="59">
        <v>0</v>
      </c>
      <c r="O147" s="130">
        <v>0</v>
      </c>
      <c r="P147" s="59">
        <v>0</v>
      </c>
      <c r="Q147" s="59">
        <v>0</v>
      </c>
      <c r="R147" s="83">
        <v>0</v>
      </c>
      <c r="T147" s="61" t="str">
        <f t="shared" si="3"/>
        <v>(70000, 80000]</v>
      </c>
      <c r="U147" s="59">
        <v>0</v>
      </c>
      <c r="V147" s="59">
        <v>0</v>
      </c>
      <c r="W147" s="59"/>
    </row>
    <row r="148" spans="1:23">
      <c r="A148" s="58">
        <v>80000</v>
      </c>
      <c r="B148" s="58">
        <v>90000</v>
      </c>
      <c r="C148" s="72">
        <v>0</v>
      </c>
      <c r="D148" s="72">
        <v>0</v>
      </c>
      <c r="E148" s="59">
        <v>0</v>
      </c>
      <c r="F148" s="93">
        <v>0</v>
      </c>
      <c r="G148" s="107"/>
      <c r="H148" s="61" t="str">
        <f t="shared" si="2"/>
        <v>(80000, 90000]</v>
      </c>
      <c r="I148" s="62">
        <v>0</v>
      </c>
      <c r="J148" s="59">
        <v>0</v>
      </c>
      <c r="K148" s="59">
        <v>0</v>
      </c>
      <c r="L148" s="84">
        <v>0</v>
      </c>
      <c r="M148" s="59">
        <v>0</v>
      </c>
      <c r="N148" s="59">
        <v>0</v>
      </c>
      <c r="O148" s="130">
        <v>0</v>
      </c>
      <c r="P148" s="59">
        <v>0</v>
      </c>
      <c r="Q148" s="59">
        <v>0</v>
      </c>
      <c r="R148" s="83">
        <v>0</v>
      </c>
      <c r="T148" s="61" t="str">
        <f t="shared" si="3"/>
        <v>(80000, 90000]</v>
      </c>
      <c r="U148" s="59">
        <v>0</v>
      </c>
      <c r="V148" s="59">
        <v>0</v>
      </c>
      <c r="W148" s="59"/>
    </row>
    <row r="149" spans="1:23">
      <c r="A149" s="58">
        <v>90000</v>
      </c>
      <c r="B149" s="58">
        <v>100000</v>
      </c>
      <c r="C149" s="72">
        <v>0</v>
      </c>
      <c r="D149" s="72">
        <v>0</v>
      </c>
      <c r="E149" s="59">
        <v>0</v>
      </c>
      <c r="F149" s="93">
        <v>0</v>
      </c>
      <c r="G149" s="107"/>
      <c r="H149" s="61" t="str">
        <f t="shared" si="2"/>
        <v>(90000, 100000]</v>
      </c>
      <c r="I149" s="62">
        <v>0</v>
      </c>
      <c r="J149" s="59">
        <v>0</v>
      </c>
      <c r="K149" s="59">
        <v>0</v>
      </c>
      <c r="L149" s="84">
        <v>0</v>
      </c>
      <c r="M149" s="59">
        <v>0</v>
      </c>
      <c r="N149" s="59">
        <v>0</v>
      </c>
      <c r="O149" s="130">
        <v>0</v>
      </c>
      <c r="P149" s="59">
        <v>0</v>
      </c>
      <c r="Q149" s="59">
        <v>0</v>
      </c>
      <c r="R149" s="83">
        <v>0</v>
      </c>
      <c r="T149" s="61" t="str">
        <f t="shared" si="3"/>
        <v>(90000, 100000]</v>
      </c>
      <c r="U149" s="59">
        <v>0</v>
      </c>
      <c r="V149" s="59">
        <v>0</v>
      </c>
      <c r="W149" s="59"/>
    </row>
    <row r="150" spans="1:23">
      <c r="A150" s="58">
        <v>100000</v>
      </c>
      <c r="B150" s="58">
        <v>9999999</v>
      </c>
      <c r="C150" s="72">
        <v>0</v>
      </c>
      <c r="D150" s="72">
        <v>0</v>
      </c>
      <c r="E150" s="59">
        <v>0</v>
      </c>
      <c r="F150" s="93">
        <v>0</v>
      </c>
      <c r="G150" s="107"/>
      <c r="H150" s="61" t="str">
        <f t="shared" si="2"/>
        <v>(100000, 9999999]</v>
      </c>
      <c r="I150" s="62">
        <v>0</v>
      </c>
      <c r="J150" s="59">
        <v>0</v>
      </c>
      <c r="K150" s="59">
        <v>0</v>
      </c>
      <c r="L150" s="84">
        <v>0</v>
      </c>
      <c r="M150" s="59">
        <v>0</v>
      </c>
      <c r="N150" s="59">
        <v>0</v>
      </c>
      <c r="O150" s="130">
        <v>0</v>
      </c>
      <c r="P150" s="59">
        <v>0</v>
      </c>
      <c r="Q150" s="59">
        <v>0</v>
      </c>
      <c r="R150" s="83">
        <v>0</v>
      </c>
      <c r="T150" s="61" t="str">
        <f t="shared" si="3"/>
        <v>(100000, 9999999]</v>
      </c>
      <c r="U150" s="59">
        <v>0</v>
      </c>
      <c r="V150" s="59">
        <v>0</v>
      </c>
      <c r="W150" s="59"/>
    </row>
    <row r="153" spans="1:23" s="103" customFormat="1">
      <c r="A153" s="195" t="s">
        <v>55</v>
      </c>
      <c r="B153" s="195"/>
      <c r="C153" s="195"/>
      <c r="D153" s="195"/>
      <c r="E153" s="98"/>
      <c r="F153" s="98"/>
      <c r="G153" s="99"/>
      <c r="H153" s="100"/>
      <c r="I153" s="101"/>
      <c r="J153" s="102"/>
      <c r="K153" s="102"/>
      <c r="L153" s="102"/>
      <c r="M153" s="102"/>
      <c r="N153" s="102"/>
      <c r="O153" s="99"/>
    </row>
    <row r="154" spans="1:23">
      <c r="A154" s="52"/>
      <c r="B154" s="52"/>
      <c r="C154" s="1"/>
      <c r="D154" s="1"/>
      <c r="E154" s="1"/>
      <c r="F154" s="1"/>
      <c r="H154" s="13"/>
      <c r="I154" s="52"/>
      <c r="J154" s="52"/>
      <c r="K154" s="52"/>
      <c r="L154" s="52"/>
      <c r="M154" s="52"/>
      <c r="N154" s="52"/>
    </row>
    <row r="155" spans="1:23">
      <c r="A155" s="70" t="s">
        <v>75</v>
      </c>
      <c r="B155" s="68">
        <v>10000000</v>
      </c>
      <c r="C155" s="1"/>
      <c r="D155" s="1"/>
      <c r="E155" s="1"/>
      <c r="F155" s="1"/>
      <c r="H155" s="70" t="s">
        <v>76</v>
      </c>
      <c r="I155" s="52"/>
      <c r="J155" s="52"/>
      <c r="K155" s="52"/>
      <c r="M155" s="52"/>
      <c r="N155" s="52"/>
      <c r="P155" s="24" t="s">
        <v>81</v>
      </c>
    </row>
    <row r="156" spans="1:23">
      <c r="A156" s="20" t="s">
        <v>58</v>
      </c>
      <c r="B156" s="20" t="s">
        <v>59</v>
      </c>
      <c r="C156" s="20" t="s">
        <v>71</v>
      </c>
      <c r="D156" s="20" t="s">
        <v>72</v>
      </c>
      <c r="E156" s="20" t="s">
        <v>73</v>
      </c>
      <c r="F156" s="20" t="s">
        <v>85</v>
      </c>
      <c r="H156" s="20" t="s">
        <v>61</v>
      </c>
      <c r="I156" s="20" t="s">
        <v>63</v>
      </c>
      <c r="J156" s="20" t="s">
        <v>64</v>
      </c>
      <c r="K156" s="20" t="s">
        <v>65</v>
      </c>
      <c r="L156" s="20" t="s">
        <v>66</v>
      </c>
      <c r="M156" s="20" t="s">
        <v>67</v>
      </c>
      <c r="N156" s="20" t="s">
        <v>60</v>
      </c>
      <c r="O156" s="51">
        <v>1.05</v>
      </c>
      <c r="P156" s="86" t="s">
        <v>84</v>
      </c>
      <c r="Q156" s="86" t="s">
        <v>120</v>
      </c>
      <c r="R156" s="86" t="s">
        <v>80</v>
      </c>
      <c r="T156" s="20" t="str" cm="1">
        <f t="array" ref="T156:W156">_xlfn.LET(_xlpm.x, $T$14:$W$14, IF(_xlpm.x="", "", _xlpm.x))</f>
        <v>Range</v>
      </c>
      <c r="U156" s="86" t="str">
        <v>賞金大對決</v>
      </c>
      <c r="V156" s="86" t="str">
        <v>糖果</v>
      </c>
      <c r="W156" s="86" t="str">
        <v/>
      </c>
    </row>
    <row r="157" spans="1:23">
      <c r="A157" s="64">
        <v>-1</v>
      </c>
      <c r="B157" s="64">
        <v>0</v>
      </c>
      <c r="C157" s="96" cm="1">
        <f t="array" ref="C157:D220">C87:D150</f>
        <v>0</v>
      </c>
      <c r="D157" s="96">
        <v>0</v>
      </c>
      <c r="E157" s="59" cm="1">
        <f t="array" ref="E157:E220">_xlfn.LET(_xlpm.x, C157:C220, _xlpm.x/SUM(_xlpm.x))</f>
        <v>0</v>
      </c>
      <c r="F157" s="92" cm="1">
        <f t="array" ref="F157:F220">_xlfn.LET(_xlpm.x, D157:D220/C157:C220/B3, IF(ISERR(_xlpm.x), 0, _xlpm.x))</f>
        <v>0</v>
      </c>
      <c r="H157" s="61" t="str">
        <f>"("&amp;$A157&amp;", "&amp;$B157&amp;"]"</f>
        <v>(-1, 0]</v>
      </c>
      <c r="I157" s="62">
        <v>1</v>
      </c>
      <c r="J157" s="59" cm="1">
        <f t="array" ref="J157:J220">_xlfn.ANCHORARRAY(E157)*I157:I220</f>
        <v>0</v>
      </c>
      <c r="K157" s="59" cm="1">
        <f t="array" ref="K157:K220">J157:J220/SUM(_xlfn.ANCHORARRAY(J157))</f>
        <v>0</v>
      </c>
      <c r="L157" s="128">
        <v>0</v>
      </c>
      <c r="M157" s="59" cm="1">
        <f t="array" ref="M157:M220">_xlfn.LET(_xlpm.x, L157:L220, _xlpm.x/SUM(_xlpm.x))</f>
        <v>0</v>
      </c>
      <c r="N157" s="60" cm="1">
        <f t="array" ref="N157:N220">M157:M220*_xlfn.ANCHORARRAY(F157)</f>
        <v>0</v>
      </c>
      <c r="O157" s="130" cm="1">
        <f t="array" ref="O157:O220">I157:I220*O156</f>
        <v>1.05</v>
      </c>
      <c r="P157" s="59" cm="1">
        <f t="array" ref="P157:P220">_xlfn.ANCHORARRAY(M157)</f>
        <v>0</v>
      </c>
      <c r="Q157" s="59" cm="1">
        <f t="array" ref="Q157:Q220">_xlfn.XLOOKUP(Q156,U156:W156,U157:W220)</f>
        <v>0</v>
      </c>
      <c r="R157" s="83" cm="1">
        <f t="array" ref="R157:R220">_xlfn.LET(_xlpm.x, Q157:Q220/M157:M220, IF(ISERR(_xlpm.x), 0, ROUND(_xlpm.x,2)))</f>
        <v>0</v>
      </c>
      <c r="T157" s="61" t="str">
        <f>"("&amp;$A157&amp;", "&amp;$B157&amp;"]"</f>
        <v>(-1, 0]</v>
      </c>
      <c r="U157" s="59"/>
      <c r="V157" s="59"/>
      <c r="W157" s="59"/>
    </row>
    <row r="158" spans="1:23">
      <c r="A158" s="58">
        <v>0</v>
      </c>
      <c r="B158" s="58">
        <v>1</v>
      </c>
      <c r="C158" s="94">
        <v>2</v>
      </c>
      <c r="D158" s="94">
        <v>150</v>
      </c>
      <c r="E158" s="59">
        <v>6.3856960408684551E-4</v>
      </c>
      <c r="F158" s="93">
        <v>0.75</v>
      </c>
      <c r="H158" s="61" t="str">
        <f t="shared" ref="H158:H220" si="4">"("&amp;$A158&amp;", "&amp;$B158&amp;"]"</f>
        <v>(0, 1]</v>
      </c>
      <c r="I158" s="62">
        <v>1</v>
      </c>
      <c r="J158" s="59">
        <v>6.3856960408684551E-4</v>
      </c>
      <c r="K158" s="59">
        <v>6.3856960408684561E-4</v>
      </c>
      <c r="L158" s="128">
        <v>0</v>
      </c>
      <c r="M158" s="59">
        <v>0</v>
      </c>
      <c r="N158" s="59">
        <v>0</v>
      </c>
      <c r="O158" s="130">
        <v>1.05</v>
      </c>
      <c r="P158" s="59">
        <v>0</v>
      </c>
      <c r="Q158" s="59">
        <v>0</v>
      </c>
      <c r="R158" s="83">
        <v>0</v>
      </c>
      <c r="T158" s="61" t="str">
        <f t="shared" ref="T158:T220" si="5">"("&amp;$A158&amp;", "&amp;$B158&amp;"]"</f>
        <v>(0, 1]</v>
      </c>
      <c r="U158" s="59"/>
      <c r="V158" s="59"/>
      <c r="W158" s="59"/>
    </row>
    <row r="159" spans="1:23">
      <c r="A159" s="58">
        <v>1</v>
      </c>
      <c r="B159" s="58">
        <v>2</v>
      </c>
      <c r="C159" s="94">
        <v>1</v>
      </c>
      <c r="D159" s="94">
        <v>120</v>
      </c>
      <c r="E159" s="59">
        <v>3.1928480204342275E-4</v>
      </c>
      <c r="F159" s="93">
        <v>1.2</v>
      </c>
      <c r="H159" s="61" t="str">
        <f t="shared" si="4"/>
        <v>(1, 2]</v>
      </c>
      <c r="I159" s="62">
        <v>1</v>
      </c>
      <c r="J159" s="59">
        <v>3.1928480204342275E-4</v>
      </c>
      <c r="K159" s="59">
        <v>3.1928480204342281E-4</v>
      </c>
      <c r="L159" s="128">
        <v>0</v>
      </c>
      <c r="M159" s="59">
        <v>0</v>
      </c>
      <c r="N159" s="59">
        <v>0</v>
      </c>
      <c r="O159" s="130">
        <v>1.05</v>
      </c>
      <c r="P159" s="59">
        <v>0</v>
      </c>
      <c r="Q159" s="59">
        <v>0</v>
      </c>
      <c r="R159" s="83">
        <v>0</v>
      </c>
      <c r="T159" s="61" t="str">
        <f t="shared" si="5"/>
        <v>(1, 2]</v>
      </c>
      <c r="U159" s="59"/>
      <c r="V159" s="59"/>
      <c r="W159" s="59"/>
    </row>
    <row r="160" spans="1:23">
      <c r="A160" s="58">
        <v>2</v>
      </c>
      <c r="B160" s="58">
        <v>3</v>
      </c>
      <c r="C160" s="94">
        <v>4</v>
      </c>
      <c r="D160" s="94">
        <v>1065</v>
      </c>
      <c r="E160" s="59">
        <v>1.277139208173691E-3</v>
      </c>
      <c r="F160" s="93">
        <v>2.6625000000000001</v>
      </c>
      <c r="H160" s="61" t="str">
        <f t="shared" si="4"/>
        <v>(2, 3]</v>
      </c>
      <c r="I160" s="62">
        <v>1</v>
      </c>
      <c r="J160" s="59">
        <v>1.277139208173691E-3</v>
      </c>
      <c r="K160" s="59">
        <v>1.2771392081736912E-3</v>
      </c>
      <c r="L160" s="128">
        <v>0</v>
      </c>
      <c r="M160" s="59">
        <v>0</v>
      </c>
      <c r="N160" s="59">
        <v>0</v>
      </c>
      <c r="O160" s="130">
        <v>1.05</v>
      </c>
      <c r="P160" s="59">
        <v>0</v>
      </c>
      <c r="Q160" s="59">
        <v>0</v>
      </c>
      <c r="R160" s="83">
        <v>0</v>
      </c>
      <c r="T160" s="61" t="str">
        <f t="shared" si="5"/>
        <v>(2, 3]</v>
      </c>
      <c r="U160" s="59"/>
      <c r="V160" s="59"/>
      <c r="W160" s="59"/>
    </row>
    <row r="161" spans="1:23">
      <c r="A161" s="58">
        <v>3</v>
      </c>
      <c r="B161" s="58">
        <v>4</v>
      </c>
      <c r="C161" s="94">
        <v>3</v>
      </c>
      <c r="D161" s="94">
        <v>1090</v>
      </c>
      <c r="E161" s="59">
        <v>9.5785440613026815E-4</v>
      </c>
      <c r="F161" s="93">
        <v>3.6333333333333333</v>
      </c>
      <c r="H161" s="61" t="str">
        <f t="shared" si="4"/>
        <v>(3, 4]</v>
      </c>
      <c r="I161" s="62">
        <v>1</v>
      </c>
      <c r="J161" s="59">
        <v>9.5785440613026815E-4</v>
      </c>
      <c r="K161" s="59">
        <v>9.5785440613026837E-4</v>
      </c>
      <c r="L161" s="128">
        <v>0</v>
      </c>
      <c r="M161" s="59">
        <v>0</v>
      </c>
      <c r="N161" s="59">
        <v>0</v>
      </c>
      <c r="O161" s="130">
        <v>1.05</v>
      </c>
      <c r="P161" s="59">
        <v>0</v>
      </c>
      <c r="Q161" s="59">
        <v>0</v>
      </c>
      <c r="R161" s="83">
        <v>0</v>
      </c>
      <c r="T161" s="61" t="str">
        <f t="shared" si="5"/>
        <v>(3, 4]</v>
      </c>
      <c r="U161" s="59"/>
      <c r="V161" s="59"/>
      <c r="W161" s="59"/>
    </row>
    <row r="162" spans="1:23">
      <c r="A162" s="58">
        <v>4</v>
      </c>
      <c r="B162" s="58">
        <v>5</v>
      </c>
      <c r="C162" s="94">
        <v>1</v>
      </c>
      <c r="D162" s="94">
        <v>420</v>
      </c>
      <c r="E162" s="59">
        <v>3.1928480204342275E-4</v>
      </c>
      <c r="F162" s="93">
        <v>4.2</v>
      </c>
      <c r="H162" s="61" t="str">
        <f t="shared" si="4"/>
        <v>(4, 5]</v>
      </c>
      <c r="I162" s="62">
        <v>1</v>
      </c>
      <c r="J162" s="59">
        <v>3.1928480204342275E-4</v>
      </c>
      <c r="K162" s="59">
        <v>3.1928480204342281E-4</v>
      </c>
      <c r="L162" s="128">
        <v>0</v>
      </c>
      <c r="M162" s="59">
        <v>0</v>
      </c>
      <c r="N162" s="59">
        <v>0</v>
      </c>
      <c r="O162" s="130">
        <v>1.05</v>
      </c>
      <c r="P162" s="59">
        <v>0</v>
      </c>
      <c r="Q162" s="59">
        <v>0</v>
      </c>
      <c r="R162" s="83">
        <v>0</v>
      </c>
      <c r="T162" s="61" t="str">
        <f t="shared" si="5"/>
        <v>(4, 5]</v>
      </c>
      <c r="U162" s="59"/>
      <c r="V162" s="59"/>
      <c r="W162" s="59"/>
    </row>
    <row r="163" spans="1:23">
      <c r="A163" s="58">
        <v>5</v>
      </c>
      <c r="B163" s="58">
        <v>6</v>
      </c>
      <c r="C163" s="94">
        <v>2</v>
      </c>
      <c r="D163" s="94">
        <v>1155</v>
      </c>
      <c r="E163" s="59">
        <v>6.3856960408684551E-4</v>
      </c>
      <c r="F163" s="93">
        <v>5.7750000000000004</v>
      </c>
      <c r="H163" s="61" t="str">
        <f t="shared" si="4"/>
        <v>(5, 6]</v>
      </c>
      <c r="I163" s="62">
        <v>1</v>
      </c>
      <c r="J163" s="59">
        <v>6.3856960408684551E-4</v>
      </c>
      <c r="K163" s="59">
        <v>6.3856960408684561E-4</v>
      </c>
      <c r="L163" s="128">
        <v>0</v>
      </c>
      <c r="M163" s="59">
        <v>0</v>
      </c>
      <c r="N163" s="59">
        <v>0</v>
      </c>
      <c r="O163" s="130">
        <v>1.05</v>
      </c>
      <c r="P163" s="59">
        <v>0</v>
      </c>
      <c r="Q163" s="59">
        <v>0</v>
      </c>
      <c r="R163" s="83">
        <v>0</v>
      </c>
      <c r="T163" s="61" t="str">
        <f t="shared" si="5"/>
        <v>(5, 6]</v>
      </c>
      <c r="U163" s="59"/>
      <c r="V163" s="59"/>
      <c r="W163" s="59"/>
    </row>
    <row r="164" spans="1:23">
      <c r="A164" s="58">
        <v>6</v>
      </c>
      <c r="B164" s="58">
        <v>7</v>
      </c>
      <c r="C164" s="94">
        <v>2</v>
      </c>
      <c r="D164" s="94">
        <v>1355</v>
      </c>
      <c r="E164" s="59">
        <v>6.3856960408684551E-4</v>
      </c>
      <c r="F164" s="93">
        <v>6.7750000000000004</v>
      </c>
      <c r="H164" s="61" t="str">
        <f t="shared" si="4"/>
        <v>(6, 7]</v>
      </c>
      <c r="I164" s="62">
        <v>1</v>
      </c>
      <c r="J164" s="59">
        <v>6.3856960408684551E-4</v>
      </c>
      <c r="K164" s="59">
        <v>6.3856960408684561E-4</v>
      </c>
      <c r="L164" s="128">
        <v>0</v>
      </c>
      <c r="M164" s="59">
        <v>0</v>
      </c>
      <c r="N164" s="59">
        <v>0</v>
      </c>
      <c r="O164" s="130">
        <v>1.05</v>
      </c>
      <c r="P164" s="59">
        <v>0</v>
      </c>
      <c r="Q164" s="59">
        <v>0</v>
      </c>
      <c r="R164" s="83">
        <v>0</v>
      </c>
      <c r="T164" s="61" t="str">
        <f t="shared" si="5"/>
        <v>(6, 7]</v>
      </c>
      <c r="U164" s="59"/>
      <c r="V164" s="59"/>
      <c r="W164" s="59"/>
    </row>
    <row r="165" spans="1:23">
      <c r="A165" s="58">
        <v>7</v>
      </c>
      <c r="B165" s="58">
        <v>8</v>
      </c>
      <c r="C165" s="94">
        <v>1</v>
      </c>
      <c r="D165" s="94">
        <v>725</v>
      </c>
      <c r="E165" s="59">
        <v>3.1928480204342275E-4</v>
      </c>
      <c r="F165" s="93">
        <v>7.25</v>
      </c>
      <c r="H165" s="61" t="str">
        <f t="shared" si="4"/>
        <v>(7, 8]</v>
      </c>
      <c r="I165" s="62">
        <v>1</v>
      </c>
      <c r="J165" s="59">
        <v>3.1928480204342275E-4</v>
      </c>
      <c r="K165" s="59">
        <v>3.1928480204342281E-4</v>
      </c>
      <c r="L165" s="128">
        <v>0</v>
      </c>
      <c r="M165" s="59">
        <v>0</v>
      </c>
      <c r="N165" s="59">
        <v>0</v>
      </c>
      <c r="O165" s="130">
        <v>1.05</v>
      </c>
      <c r="P165" s="59">
        <v>0</v>
      </c>
      <c r="Q165" s="59">
        <v>0</v>
      </c>
      <c r="R165" s="83">
        <v>0</v>
      </c>
      <c r="T165" s="61" t="str">
        <f t="shared" si="5"/>
        <v>(7, 8]</v>
      </c>
      <c r="U165" s="59"/>
      <c r="V165" s="59"/>
      <c r="W165" s="59"/>
    </row>
    <row r="166" spans="1:23">
      <c r="A166" s="58">
        <v>8</v>
      </c>
      <c r="B166" s="58">
        <v>9</v>
      </c>
      <c r="C166" s="94">
        <v>2</v>
      </c>
      <c r="D166" s="94">
        <v>1710</v>
      </c>
      <c r="E166" s="59">
        <v>6.3856960408684551E-4</v>
      </c>
      <c r="F166" s="93">
        <v>8.5500000000000007</v>
      </c>
      <c r="H166" s="61" t="str">
        <f t="shared" si="4"/>
        <v>(8, 9]</v>
      </c>
      <c r="I166" s="62">
        <v>1</v>
      </c>
      <c r="J166" s="59">
        <v>6.3856960408684551E-4</v>
      </c>
      <c r="K166" s="59">
        <v>6.3856960408684561E-4</v>
      </c>
      <c r="L166" s="128">
        <v>0</v>
      </c>
      <c r="M166" s="59">
        <v>0</v>
      </c>
      <c r="N166" s="59">
        <v>0</v>
      </c>
      <c r="O166" s="130">
        <v>1.05</v>
      </c>
      <c r="P166" s="59">
        <v>0</v>
      </c>
      <c r="Q166" s="59">
        <v>0</v>
      </c>
      <c r="R166" s="83">
        <v>0</v>
      </c>
      <c r="T166" s="61" t="str">
        <f t="shared" si="5"/>
        <v>(8, 9]</v>
      </c>
      <c r="U166" s="59"/>
      <c r="V166" s="59"/>
      <c r="W166" s="59"/>
    </row>
    <row r="167" spans="1:23">
      <c r="A167" s="58">
        <v>9</v>
      </c>
      <c r="B167" s="58">
        <v>10</v>
      </c>
      <c r="C167" s="94">
        <v>4</v>
      </c>
      <c r="D167" s="94">
        <v>3825</v>
      </c>
      <c r="E167" s="59">
        <v>1.277139208173691E-3</v>
      </c>
      <c r="F167" s="93">
        <v>9.5625</v>
      </c>
      <c r="H167" s="61" t="str">
        <f t="shared" si="4"/>
        <v>(9, 10]</v>
      </c>
      <c r="I167" s="62">
        <v>1</v>
      </c>
      <c r="J167" s="59">
        <v>1.277139208173691E-3</v>
      </c>
      <c r="K167" s="59">
        <v>1.2771392081736912E-3</v>
      </c>
      <c r="L167" s="128">
        <v>0</v>
      </c>
      <c r="M167" s="59">
        <v>0</v>
      </c>
      <c r="N167" s="59">
        <v>0</v>
      </c>
      <c r="O167" s="130">
        <v>1.05</v>
      </c>
      <c r="P167" s="59">
        <v>0</v>
      </c>
      <c r="Q167" s="59">
        <v>0</v>
      </c>
      <c r="R167" s="83">
        <v>0</v>
      </c>
      <c r="T167" s="61" t="str">
        <f t="shared" si="5"/>
        <v>(9, 10]</v>
      </c>
      <c r="U167" s="59"/>
      <c r="V167" s="59"/>
      <c r="W167" s="59"/>
    </row>
    <row r="168" spans="1:23">
      <c r="A168" s="58">
        <v>10</v>
      </c>
      <c r="B168" s="58">
        <v>15</v>
      </c>
      <c r="C168" s="94">
        <v>10</v>
      </c>
      <c r="D168" s="94">
        <v>12065</v>
      </c>
      <c r="E168" s="59">
        <v>3.1928480204342275E-3</v>
      </c>
      <c r="F168" s="93">
        <v>12.065</v>
      </c>
      <c r="H168" s="61" t="str">
        <f t="shared" si="4"/>
        <v>(10, 15]</v>
      </c>
      <c r="I168" s="62">
        <v>1</v>
      </c>
      <c r="J168" s="59">
        <v>3.1928480204342275E-3</v>
      </c>
      <c r="K168" s="59">
        <v>3.1928480204342284E-3</v>
      </c>
      <c r="L168" s="128">
        <f>$B$2-SUM(_xlfn.ANCHORARRAY(L169))</f>
        <v>10217133</v>
      </c>
      <c r="M168" s="59">
        <v>1.0217133E-2</v>
      </c>
      <c r="N168" s="59">
        <v>0.12326970964499999</v>
      </c>
      <c r="O168" s="130">
        <v>1.05</v>
      </c>
      <c r="P168" s="59">
        <v>1.0217133E-2</v>
      </c>
      <c r="Q168" s="59">
        <v>0</v>
      </c>
      <c r="R168" s="83">
        <v>0</v>
      </c>
      <c r="S168" s="110"/>
      <c r="T168" s="61" t="str">
        <f t="shared" si="5"/>
        <v>(10, 15]</v>
      </c>
      <c r="U168" s="59"/>
      <c r="V168" s="59"/>
      <c r="W168" s="59"/>
    </row>
    <row r="169" spans="1:23">
      <c r="A169" s="58">
        <v>15</v>
      </c>
      <c r="B169" s="58">
        <v>20</v>
      </c>
      <c r="C169" s="94">
        <v>18</v>
      </c>
      <c r="D169" s="94">
        <v>32170</v>
      </c>
      <c r="E169" s="59">
        <v>5.7471264367816091E-3</v>
      </c>
      <c r="F169" s="93">
        <v>17.87222222222222</v>
      </c>
      <c r="H169" s="124" t="str">
        <f t="shared" si="4"/>
        <v>(15, 20]</v>
      </c>
      <c r="I169" s="62">
        <v>1</v>
      </c>
      <c r="J169" s="59">
        <v>5.7471264367816091E-3</v>
      </c>
      <c r="K169" s="59">
        <v>5.74712643678161E-3</v>
      </c>
      <c r="L169" s="128" cm="1">
        <f t="array" ref="L169:L220">INT(K169:K220*$B$2)</f>
        <v>5747126</v>
      </c>
      <c r="M169" s="59">
        <v>5.747126E-3</v>
      </c>
      <c r="N169" s="59">
        <v>0.1027139130111111</v>
      </c>
      <c r="O169" s="130">
        <v>1.05</v>
      </c>
      <c r="P169" s="59">
        <v>5.747126E-3</v>
      </c>
      <c r="Q169" s="59">
        <v>0</v>
      </c>
      <c r="R169" s="83">
        <v>0</v>
      </c>
      <c r="S169" s="110"/>
      <c r="T169" s="61" t="str">
        <f t="shared" si="5"/>
        <v>(15, 20]</v>
      </c>
      <c r="U169" s="59"/>
      <c r="V169" s="59"/>
      <c r="W169" s="59"/>
    </row>
    <row r="170" spans="1:23">
      <c r="A170" s="58">
        <v>20</v>
      </c>
      <c r="B170" s="58">
        <v>25</v>
      </c>
      <c r="C170" s="94">
        <v>16</v>
      </c>
      <c r="D170" s="94">
        <v>36110</v>
      </c>
      <c r="E170" s="59">
        <v>5.108556832694764E-3</v>
      </c>
      <c r="F170" s="93">
        <v>22.568750000000001</v>
      </c>
      <c r="H170" s="61" t="str">
        <f t="shared" si="4"/>
        <v>(20, 25]</v>
      </c>
      <c r="I170" s="62">
        <v>1</v>
      </c>
      <c r="J170" s="59">
        <v>5.108556832694764E-3</v>
      </c>
      <c r="K170" s="59">
        <v>5.1085568326947649E-3</v>
      </c>
      <c r="L170" s="128">
        <v>5108556</v>
      </c>
      <c r="M170" s="59">
        <v>5.1085560000000002E-3</v>
      </c>
      <c r="N170" s="59">
        <v>0.11529372322500001</v>
      </c>
      <c r="O170" s="130">
        <v>1.05</v>
      </c>
      <c r="P170" s="59">
        <v>5.1085560000000002E-3</v>
      </c>
      <c r="Q170" s="59">
        <v>0</v>
      </c>
      <c r="R170" s="83">
        <v>0</v>
      </c>
      <c r="S170" s="110"/>
      <c r="T170" s="61" t="str">
        <f t="shared" si="5"/>
        <v>(20, 25]</v>
      </c>
      <c r="U170" s="59"/>
      <c r="V170" s="59"/>
      <c r="W170" s="59"/>
    </row>
    <row r="171" spans="1:23">
      <c r="A171" s="58">
        <v>25</v>
      </c>
      <c r="B171" s="58">
        <v>30</v>
      </c>
      <c r="C171" s="94">
        <v>30</v>
      </c>
      <c r="D171" s="94">
        <v>82580</v>
      </c>
      <c r="E171" s="59">
        <v>9.5785440613026813E-3</v>
      </c>
      <c r="F171" s="93">
        <v>27.526666666666664</v>
      </c>
      <c r="H171" s="61" t="str">
        <f t="shared" si="4"/>
        <v>(25, 30]</v>
      </c>
      <c r="I171" s="62">
        <v>1</v>
      </c>
      <c r="J171" s="59">
        <v>9.5785440613026813E-3</v>
      </c>
      <c r="K171" s="59">
        <v>9.578544061302683E-3</v>
      </c>
      <c r="L171" s="128">
        <v>9578544</v>
      </c>
      <c r="M171" s="59">
        <v>9.5785439999999996E-3</v>
      </c>
      <c r="N171" s="59">
        <v>0.26366538783999999</v>
      </c>
      <c r="O171" s="130">
        <v>1.05</v>
      </c>
      <c r="P171" s="59">
        <v>9.5785439999999996E-3</v>
      </c>
      <c r="Q171" s="59">
        <v>0</v>
      </c>
      <c r="R171" s="83">
        <v>0</v>
      </c>
      <c r="S171" s="110"/>
      <c r="T171" s="61" t="str">
        <f t="shared" si="5"/>
        <v>(25, 30]</v>
      </c>
      <c r="U171" s="59"/>
      <c r="V171" s="59"/>
      <c r="W171" s="59"/>
    </row>
    <row r="172" spans="1:23">
      <c r="A172" s="58">
        <v>30</v>
      </c>
      <c r="B172" s="58">
        <v>35</v>
      </c>
      <c r="C172" s="94">
        <v>15</v>
      </c>
      <c r="D172" s="94">
        <v>49635</v>
      </c>
      <c r="E172" s="59">
        <v>4.7892720306513406E-3</v>
      </c>
      <c r="F172" s="93">
        <v>33.090000000000003</v>
      </c>
      <c r="H172" s="61" t="str">
        <f t="shared" si="4"/>
        <v>(30, 35]</v>
      </c>
      <c r="I172" s="62">
        <v>1</v>
      </c>
      <c r="J172" s="59">
        <v>4.7892720306513406E-3</v>
      </c>
      <c r="K172" s="59">
        <v>4.7892720306513415E-3</v>
      </c>
      <c r="L172" s="128">
        <v>4789272</v>
      </c>
      <c r="M172" s="59">
        <v>4.7892719999999998E-3</v>
      </c>
      <c r="N172" s="59">
        <v>0.15847701048000001</v>
      </c>
      <c r="O172" s="130">
        <v>1.05</v>
      </c>
      <c r="P172" s="59">
        <v>4.7892719999999998E-3</v>
      </c>
      <c r="Q172" s="59">
        <v>0</v>
      </c>
      <c r="R172" s="83">
        <v>0</v>
      </c>
      <c r="S172" s="110"/>
      <c r="T172" s="61" t="str">
        <f t="shared" si="5"/>
        <v>(30, 35]</v>
      </c>
      <c r="U172" s="59"/>
      <c r="V172" s="59"/>
      <c r="W172" s="59"/>
    </row>
    <row r="173" spans="1:23">
      <c r="A173" s="58">
        <v>35</v>
      </c>
      <c r="B173" s="58">
        <v>40</v>
      </c>
      <c r="C173" s="94">
        <v>18</v>
      </c>
      <c r="D173" s="94">
        <v>67930</v>
      </c>
      <c r="E173" s="59">
        <v>5.7471264367816091E-3</v>
      </c>
      <c r="F173" s="93">
        <v>37.738888888888887</v>
      </c>
      <c r="H173" s="124" t="str">
        <f t="shared" si="4"/>
        <v>(35, 40]</v>
      </c>
      <c r="I173" s="62">
        <v>1</v>
      </c>
      <c r="J173" s="59">
        <v>5.7471264367816091E-3</v>
      </c>
      <c r="K173" s="59">
        <v>5.74712643678161E-3</v>
      </c>
      <c r="L173" s="128">
        <v>5747126</v>
      </c>
      <c r="M173" s="59">
        <v>5.747126E-3</v>
      </c>
      <c r="N173" s="59">
        <v>0.21689014954444444</v>
      </c>
      <c r="O173" s="130">
        <v>1.05</v>
      </c>
      <c r="P173" s="59">
        <v>5.747126E-3</v>
      </c>
      <c r="Q173" s="59">
        <v>0</v>
      </c>
      <c r="R173" s="83">
        <v>0</v>
      </c>
      <c r="S173" s="110"/>
      <c r="T173" s="61" t="str">
        <f t="shared" si="5"/>
        <v>(35, 40]</v>
      </c>
      <c r="U173" s="59"/>
      <c r="V173" s="59"/>
      <c r="W173" s="59"/>
    </row>
    <row r="174" spans="1:23">
      <c r="A174" s="58">
        <v>40</v>
      </c>
      <c r="B174" s="58">
        <v>45</v>
      </c>
      <c r="C174" s="94">
        <v>13</v>
      </c>
      <c r="D174" s="94">
        <v>54945</v>
      </c>
      <c r="E174" s="59">
        <v>4.1507024265644956E-3</v>
      </c>
      <c r="F174" s="93">
        <v>42.265384615384619</v>
      </c>
      <c r="H174" s="61" t="str">
        <f t="shared" si="4"/>
        <v>(40, 45]</v>
      </c>
      <c r="I174" s="62">
        <v>1</v>
      </c>
      <c r="J174" s="59">
        <v>4.1507024265644956E-3</v>
      </c>
      <c r="K174" s="59">
        <v>4.1507024265644964E-3</v>
      </c>
      <c r="L174" s="128">
        <v>4150702</v>
      </c>
      <c r="M174" s="59">
        <v>4.150702E-3</v>
      </c>
      <c r="N174" s="59">
        <v>0.17543101645384618</v>
      </c>
      <c r="O174" s="130">
        <v>1.05</v>
      </c>
      <c r="P174" s="59">
        <v>4.150702E-3</v>
      </c>
      <c r="Q174" s="59">
        <v>0</v>
      </c>
      <c r="R174" s="83">
        <v>0</v>
      </c>
      <c r="S174" s="110"/>
      <c r="T174" s="61" t="str">
        <f t="shared" si="5"/>
        <v>(40, 45]</v>
      </c>
      <c r="U174" s="59"/>
      <c r="V174" s="59"/>
      <c r="W174" s="59"/>
    </row>
    <row r="175" spans="1:23">
      <c r="A175" s="58">
        <v>45</v>
      </c>
      <c r="B175" s="58">
        <v>50</v>
      </c>
      <c r="C175" s="94">
        <v>18</v>
      </c>
      <c r="D175" s="94">
        <v>83990</v>
      </c>
      <c r="E175" s="59">
        <v>5.7471264367816091E-3</v>
      </c>
      <c r="F175" s="93">
        <v>46.661111111111111</v>
      </c>
      <c r="H175" s="61" t="str">
        <f t="shared" si="4"/>
        <v>(45, 50]</v>
      </c>
      <c r="I175" s="62">
        <v>1</v>
      </c>
      <c r="J175" s="59">
        <v>5.7471264367816091E-3</v>
      </c>
      <c r="K175" s="59">
        <v>5.74712643678161E-3</v>
      </c>
      <c r="L175" s="128">
        <v>5747126</v>
      </c>
      <c r="M175" s="59">
        <v>5.747126E-3</v>
      </c>
      <c r="N175" s="59">
        <v>0.26816728485555558</v>
      </c>
      <c r="O175" s="130">
        <v>1.05</v>
      </c>
      <c r="P175" s="59">
        <v>5.747126E-3</v>
      </c>
      <c r="Q175" s="59">
        <v>0</v>
      </c>
      <c r="R175" s="83">
        <v>0</v>
      </c>
      <c r="S175" s="110"/>
      <c r="T175" s="61" t="str">
        <f t="shared" si="5"/>
        <v>(45, 50]</v>
      </c>
      <c r="U175" s="59"/>
      <c r="V175" s="59"/>
      <c r="W175" s="59"/>
    </row>
    <row r="176" spans="1:23">
      <c r="A176" s="58">
        <v>50</v>
      </c>
      <c r="B176" s="58">
        <v>60</v>
      </c>
      <c r="C176" s="94">
        <v>42</v>
      </c>
      <c r="D176" s="94">
        <v>230855</v>
      </c>
      <c r="E176" s="59">
        <v>1.3409961685823755E-2</v>
      </c>
      <c r="F176" s="93">
        <v>54.965476190476195</v>
      </c>
      <c r="H176" s="124" t="str">
        <f t="shared" si="4"/>
        <v>(50, 60]</v>
      </c>
      <c r="I176" s="62">
        <v>1</v>
      </c>
      <c r="J176" s="59">
        <v>1.3409961685823755E-2</v>
      </c>
      <c r="K176" s="59">
        <v>1.3409961685823759E-2</v>
      </c>
      <c r="L176" s="128">
        <v>13409961</v>
      </c>
      <c r="M176" s="59">
        <v>1.3409961E-2</v>
      </c>
      <c r="N176" s="59">
        <v>0.73708489206071437</v>
      </c>
      <c r="O176" s="130">
        <v>1.05</v>
      </c>
      <c r="P176" s="59">
        <v>1.3409961E-2</v>
      </c>
      <c r="Q176" s="59">
        <v>0</v>
      </c>
      <c r="R176" s="83">
        <v>0</v>
      </c>
      <c r="S176" s="110"/>
      <c r="T176" s="61" t="str">
        <f t="shared" si="5"/>
        <v>(50, 60]</v>
      </c>
      <c r="U176" s="59"/>
      <c r="V176" s="59"/>
      <c r="W176" s="59"/>
    </row>
    <row r="177" spans="1:23">
      <c r="A177" s="58">
        <v>60</v>
      </c>
      <c r="B177" s="58">
        <v>70</v>
      </c>
      <c r="C177" s="94">
        <v>45</v>
      </c>
      <c r="D177" s="94">
        <v>294970</v>
      </c>
      <c r="E177" s="59">
        <v>1.4367816091954023E-2</v>
      </c>
      <c r="F177" s="93">
        <v>65.548888888888882</v>
      </c>
      <c r="H177" s="61" t="str">
        <f t="shared" si="4"/>
        <v>(60, 70]</v>
      </c>
      <c r="I177" s="62">
        <v>1</v>
      </c>
      <c r="J177" s="59">
        <v>1.4367816091954023E-2</v>
      </c>
      <c r="K177" s="59">
        <v>1.4367816091954026E-2</v>
      </c>
      <c r="L177" s="128">
        <v>14367816</v>
      </c>
      <c r="M177" s="59">
        <v>1.4367816E-2</v>
      </c>
      <c r="N177" s="59">
        <v>0.94179437455999993</v>
      </c>
      <c r="O177" s="130">
        <v>1.05</v>
      </c>
      <c r="P177" s="59">
        <v>1.4367816E-2</v>
      </c>
      <c r="Q177" s="59">
        <v>0</v>
      </c>
      <c r="R177" s="83">
        <v>0</v>
      </c>
      <c r="S177" s="110"/>
      <c r="T177" s="61" t="str">
        <f t="shared" si="5"/>
        <v>(60, 70]</v>
      </c>
      <c r="U177" s="59"/>
      <c r="V177" s="59"/>
      <c r="W177" s="59"/>
    </row>
    <row r="178" spans="1:23">
      <c r="A178" s="58">
        <v>70</v>
      </c>
      <c r="B178" s="58">
        <v>80</v>
      </c>
      <c r="C178" s="94">
        <v>52</v>
      </c>
      <c r="D178" s="94">
        <v>386290</v>
      </c>
      <c r="E178" s="59">
        <v>1.6602809706257982E-2</v>
      </c>
      <c r="F178" s="93">
        <v>74.286538461538456</v>
      </c>
      <c r="H178" s="61" t="str">
        <f t="shared" si="4"/>
        <v>(70, 80]</v>
      </c>
      <c r="I178" s="62">
        <v>1</v>
      </c>
      <c r="J178" s="59">
        <v>1.6602809706257982E-2</v>
      </c>
      <c r="K178" s="59">
        <v>1.6602809706257986E-2</v>
      </c>
      <c r="L178" s="128">
        <v>16602809</v>
      </c>
      <c r="M178" s="59">
        <v>1.6602809E-2</v>
      </c>
      <c r="N178" s="59">
        <v>1.2333652093480767</v>
      </c>
      <c r="O178" s="130">
        <v>1.05</v>
      </c>
      <c r="P178" s="59">
        <v>1.6602809E-2</v>
      </c>
      <c r="Q178" s="59">
        <v>0</v>
      </c>
      <c r="R178" s="83">
        <v>0</v>
      </c>
      <c r="S178" s="110"/>
      <c r="T178" s="61" t="str">
        <f t="shared" si="5"/>
        <v>(70, 80]</v>
      </c>
      <c r="U178" s="59"/>
      <c r="V178" s="59"/>
      <c r="W178" s="59"/>
    </row>
    <row r="179" spans="1:23">
      <c r="A179" s="58">
        <v>80</v>
      </c>
      <c r="B179" s="58">
        <v>90</v>
      </c>
      <c r="C179" s="94">
        <v>56</v>
      </c>
      <c r="D179" s="94">
        <v>477100</v>
      </c>
      <c r="E179" s="59">
        <v>1.7879948914431672E-2</v>
      </c>
      <c r="F179" s="93">
        <v>85.196428571428569</v>
      </c>
      <c r="H179" s="61" t="str">
        <f t="shared" si="4"/>
        <v>(80, 90]</v>
      </c>
      <c r="I179" s="62">
        <v>1</v>
      </c>
      <c r="J179" s="59">
        <v>1.7879948914431672E-2</v>
      </c>
      <c r="K179" s="59">
        <v>1.7879948914431676E-2</v>
      </c>
      <c r="L179" s="128">
        <v>17879948</v>
      </c>
      <c r="M179" s="59">
        <v>1.7879948E-2</v>
      </c>
      <c r="N179" s="59">
        <v>1.5233077126428571</v>
      </c>
      <c r="O179" s="130">
        <v>1.05</v>
      </c>
      <c r="P179" s="59">
        <v>1.7879948E-2</v>
      </c>
      <c r="Q179" s="59">
        <v>0</v>
      </c>
      <c r="R179" s="83">
        <v>0</v>
      </c>
      <c r="S179" s="110"/>
      <c r="T179" s="61" t="str">
        <f t="shared" si="5"/>
        <v>(80, 90]</v>
      </c>
      <c r="U179" s="59"/>
      <c r="V179" s="59"/>
      <c r="W179" s="59"/>
    </row>
    <row r="180" spans="1:23">
      <c r="A180" s="58">
        <v>90</v>
      </c>
      <c r="B180" s="58">
        <v>100</v>
      </c>
      <c r="C180" s="94">
        <v>47</v>
      </c>
      <c r="D180" s="94">
        <v>443795</v>
      </c>
      <c r="E180" s="59">
        <v>1.5006385696040868E-2</v>
      </c>
      <c r="F180" s="93">
        <v>94.424468085106383</v>
      </c>
      <c r="H180" s="61" t="str">
        <f t="shared" si="4"/>
        <v>(90, 100]</v>
      </c>
      <c r="I180" s="126">
        <v>1</v>
      </c>
      <c r="J180" s="59">
        <v>1.5006385696040868E-2</v>
      </c>
      <c r="K180" s="59">
        <v>1.5006385696040871E-2</v>
      </c>
      <c r="L180" s="128">
        <v>15006385</v>
      </c>
      <c r="M180" s="59">
        <v>1.5006385000000001E-2</v>
      </c>
      <c r="N180" s="59">
        <v>1.4169699215053193</v>
      </c>
      <c r="O180" s="130">
        <v>1.05</v>
      </c>
      <c r="P180" s="59">
        <v>1.5006385000000001E-2</v>
      </c>
      <c r="Q180" s="59">
        <v>0</v>
      </c>
      <c r="R180" s="83">
        <v>0</v>
      </c>
      <c r="S180" s="110"/>
      <c r="T180" s="61" t="str">
        <f t="shared" si="5"/>
        <v>(90, 100]</v>
      </c>
      <c r="U180" s="59"/>
      <c r="V180" s="59"/>
      <c r="W180" s="59"/>
    </row>
    <row r="181" spans="1:23">
      <c r="A181" s="58">
        <v>100</v>
      </c>
      <c r="B181" s="58">
        <v>120</v>
      </c>
      <c r="C181" s="94">
        <v>106</v>
      </c>
      <c r="D181" s="94">
        <v>1163150</v>
      </c>
      <c r="E181" s="59">
        <v>3.3844189016602813E-2</v>
      </c>
      <c r="F181" s="93">
        <v>109.73113207547171</v>
      </c>
      <c r="H181" s="61" t="str">
        <f t="shared" si="4"/>
        <v>(100, 120]</v>
      </c>
      <c r="I181" s="126">
        <v>1</v>
      </c>
      <c r="J181" s="59">
        <v>3.3844189016602813E-2</v>
      </c>
      <c r="K181" s="59">
        <v>3.384418901660282E-2</v>
      </c>
      <c r="L181" s="128">
        <v>33844189</v>
      </c>
      <c r="M181" s="59">
        <v>3.3844188999999997E-2</v>
      </c>
      <c r="N181" s="59">
        <v>3.7137611731462261</v>
      </c>
      <c r="O181" s="130">
        <v>1.05</v>
      </c>
      <c r="P181" s="59">
        <v>3.3844188999999997E-2</v>
      </c>
      <c r="Q181" s="59">
        <v>0</v>
      </c>
      <c r="R181" s="83">
        <v>0</v>
      </c>
      <c r="S181" s="110"/>
      <c r="T181" s="61" t="str">
        <f t="shared" si="5"/>
        <v>(100, 120]</v>
      </c>
      <c r="U181" s="59"/>
      <c r="V181" s="59"/>
      <c r="W181" s="59"/>
    </row>
    <row r="182" spans="1:23">
      <c r="A182" s="58">
        <v>120</v>
      </c>
      <c r="B182" s="58">
        <v>140</v>
      </c>
      <c r="C182" s="94">
        <v>104</v>
      </c>
      <c r="D182" s="94">
        <v>1344540</v>
      </c>
      <c r="E182" s="59">
        <v>3.3205619412515965E-2</v>
      </c>
      <c r="F182" s="93">
        <v>129.28269230769232</v>
      </c>
      <c r="G182" s="90"/>
      <c r="H182" s="61" t="str">
        <f t="shared" si="4"/>
        <v>(120, 140]</v>
      </c>
      <c r="I182" s="126">
        <v>1</v>
      </c>
      <c r="J182" s="59">
        <v>3.3205619412515965E-2</v>
      </c>
      <c r="K182" s="59">
        <v>3.3205619412515971E-2</v>
      </c>
      <c r="L182" s="128">
        <v>33205619</v>
      </c>
      <c r="M182" s="59">
        <v>3.3205618999999999E-2</v>
      </c>
      <c r="N182" s="59">
        <v>4.2929118240634621</v>
      </c>
      <c r="O182" s="130">
        <v>1.05</v>
      </c>
      <c r="P182" s="59">
        <v>3.3205618999999999E-2</v>
      </c>
      <c r="Q182" s="59">
        <v>0</v>
      </c>
      <c r="R182" s="83">
        <v>0</v>
      </c>
      <c r="S182" s="110"/>
      <c r="T182" s="61" t="str">
        <f t="shared" si="5"/>
        <v>(120, 140]</v>
      </c>
      <c r="U182" s="59"/>
      <c r="V182" s="59"/>
      <c r="W182" s="59"/>
    </row>
    <row r="183" spans="1:23">
      <c r="A183" s="58">
        <v>140</v>
      </c>
      <c r="B183" s="58">
        <v>160</v>
      </c>
      <c r="C183" s="94">
        <v>103</v>
      </c>
      <c r="D183" s="94">
        <v>1540590</v>
      </c>
      <c r="E183" s="59">
        <v>3.2886334610472544E-2</v>
      </c>
      <c r="F183" s="93">
        <v>149.57184466019419</v>
      </c>
      <c r="G183" s="90"/>
      <c r="H183" s="61" t="str">
        <f t="shared" si="4"/>
        <v>(140, 160]</v>
      </c>
      <c r="I183" s="126">
        <v>1</v>
      </c>
      <c r="J183" s="59">
        <v>3.2886334610472544E-2</v>
      </c>
      <c r="K183" s="59">
        <v>3.2886334610472551E-2</v>
      </c>
      <c r="L183" s="128">
        <v>32886334</v>
      </c>
      <c r="M183" s="59">
        <v>3.2886334000000003E-2</v>
      </c>
      <c r="N183" s="59">
        <v>4.9188696404912626</v>
      </c>
      <c r="O183" s="130">
        <v>1.05</v>
      </c>
      <c r="P183" s="59">
        <v>3.2886334000000003E-2</v>
      </c>
      <c r="Q183" s="59">
        <v>0</v>
      </c>
      <c r="R183" s="83">
        <v>0</v>
      </c>
      <c r="S183" s="110"/>
      <c r="T183" s="61" t="str">
        <f t="shared" si="5"/>
        <v>(140, 160]</v>
      </c>
      <c r="U183" s="59"/>
      <c r="V183" s="59"/>
      <c r="W183" s="59"/>
    </row>
    <row r="184" spans="1:23">
      <c r="A184" s="58">
        <v>160</v>
      </c>
      <c r="B184" s="58">
        <v>180</v>
      </c>
      <c r="C184" s="94">
        <v>104</v>
      </c>
      <c r="D184" s="94">
        <v>1765260</v>
      </c>
      <c r="E184" s="59">
        <v>3.3205619412515965E-2</v>
      </c>
      <c r="F184" s="93">
        <v>169.73653846153849</v>
      </c>
      <c r="G184" s="90"/>
      <c r="H184" s="61" t="str">
        <f t="shared" si="4"/>
        <v>(160, 180]</v>
      </c>
      <c r="I184" s="126">
        <v>1</v>
      </c>
      <c r="J184" s="59">
        <v>3.3205619412515965E-2</v>
      </c>
      <c r="K184" s="59">
        <v>3.3205619412515971E-2</v>
      </c>
      <c r="L184" s="128">
        <v>33205619</v>
      </c>
      <c r="M184" s="59">
        <v>3.3205618999999999E-2</v>
      </c>
      <c r="N184" s="59">
        <v>5.6362068265326926</v>
      </c>
      <c r="O184" s="130">
        <v>1.05</v>
      </c>
      <c r="P184" s="59">
        <v>3.3205618999999999E-2</v>
      </c>
      <c r="Q184" s="59">
        <v>0</v>
      </c>
      <c r="R184" s="83">
        <v>0</v>
      </c>
      <c r="S184" s="110"/>
      <c r="T184" s="61" t="str">
        <f t="shared" si="5"/>
        <v>(160, 180]</v>
      </c>
      <c r="U184" s="59"/>
      <c r="V184" s="59"/>
      <c r="W184" s="59"/>
    </row>
    <row r="185" spans="1:23">
      <c r="A185" s="58">
        <v>180</v>
      </c>
      <c r="B185" s="58">
        <v>200</v>
      </c>
      <c r="C185" s="94">
        <v>83</v>
      </c>
      <c r="D185" s="94">
        <v>1574245</v>
      </c>
      <c r="E185" s="59">
        <v>2.6500638569604086E-2</v>
      </c>
      <c r="F185" s="93">
        <v>189.66807228915661</v>
      </c>
      <c r="G185" s="106"/>
      <c r="H185" s="61" t="str">
        <f t="shared" si="4"/>
        <v>(180, 200]</v>
      </c>
      <c r="I185" s="126">
        <v>1</v>
      </c>
      <c r="J185" s="59">
        <v>2.6500638569604086E-2</v>
      </c>
      <c r="K185" s="59">
        <v>2.6500638569604093E-2</v>
      </c>
      <c r="L185" s="128">
        <v>26500638</v>
      </c>
      <c r="M185" s="59">
        <v>2.6500638E-2</v>
      </c>
      <c r="N185" s="59">
        <v>5.026324923892771</v>
      </c>
      <c r="O185" s="130">
        <v>1.05</v>
      </c>
      <c r="P185" s="59">
        <v>2.6500638E-2</v>
      </c>
      <c r="Q185" s="59">
        <v>0</v>
      </c>
      <c r="R185" s="83">
        <v>0</v>
      </c>
      <c r="S185" s="110"/>
      <c r="T185" s="61" t="str">
        <f t="shared" si="5"/>
        <v>(180, 200]</v>
      </c>
      <c r="U185" s="59"/>
      <c r="V185" s="59"/>
      <c r="W185" s="59"/>
    </row>
    <row r="186" spans="1:23">
      <c r="A186" s="58">
        <v>200</v>
      </c>
      <c r="B186" s="58">
        <v>250</v>
      </c>
      <c r="C186" s="94">
        <v>231</v>
      </c>
      <c r="D186" s="94">
        <v>5199690</v>
      </c>
      <c r="E186" s="59">
        <v>7.3754789272030649E-2</v>
      </c>
      <c r="F186" s="93">
        <v>225.09480519480519</v>
      </c>
      <c r="G186" s="106"/>
      <c r="H186" s="61" t="str">
        <f t="shared" si="4"/>
        <v>(200, 250]</v>
      </c>
      <c r="I186" s="126">
        <v>1</v>
      </c>
      <c r="J186" s="59">
        <v>7.3754789272030649E-2</v>
      </c>
      <c r="K186" s="59">
        <v>7.3754789272030663E-2</v>
      </c>
      <c r="L186" s="128">
        <v>73754789</v>
      </c>
      <c r="M186" s="59">
        <v>7.3754789000000001E-2</v>
      </c>
      <c r="N186" s="59">
        <v>16.60181986213896</v>
      </c>
      <c r="O186" s="130">
        <v>1.05</v>
      </c>
      <c r="P186" s="59">
        <v>7.3754789000000001E-2</v>
      </c>
      <c r="Q186" s="59">
        <v>0</v>
      </c>
      <c r="R186" s="83">
        <v>0</v>
      </c>
      <c r="S186" s="110"/>
      <c r="T186" s="61" t="str">
        <f t="shared" si="5"/>
        <v>(200, 250]</v>
      </c>
      <c r="U186" s="59"/>
      <c r="V186" s="59"/>
      <c r="W186" s="59"/>
    </row>
    <row r="187" spans="1:23">
      <c r="A187" s="58">
        <v>250</v>
      </c>
      <c r="B187" s="58">
        <v>300</v>
      </c>
      <c r="C187" s="94">
        <v>219</v>
      </c>
      <c r="D187" s="94">
        <v>6001540</v>
      </c>
      <c r="E187" s="59">
        <v>6.9923371647509572E-2</v>
      </c>
      <c r="F187" s="93">
        <v>274.04292237442922</v>
      </c>
      <c r="G187" s="106"/>
      <c r="H187" s="61" t="str">
        <f t="shared" si="4"/>
        <v>(250, 300]</v>
      </c>
      <c r="I187" s="126">
        <v>1</v>
      </c>
      <c r="J187" s="59">
        <v>6.9923371647509572E-2</v>
      </c>
      <c r="K187" s="59">
        <v>6.9923371647509586E-2</v>
      </c>
      <c r="L187" s="128">
        <v>69923371</v>
      </c>
      <c r="M187" s="59">
        <v>6.9923370999999998E-2</v>
      </c>
      <c r="N187" s="59">
        <v>19.162004931111415</v>
      </c>
      <c r="O187" s="130">
        <v>1.05</v>
      </c>
      <c r="P187" s="59">
        <v>6.9923370999999998E-2</v>
      </c>
      <c r="Q187" s="59">
        <v>0</v>
      </c>
      <c r="R187" s="83">
        <v>0</v>
      </c>
      <c r="S187" s="110"/>
      <c r="T187" s="61" t="str">
        <f t="shared" si="5"/>
        <v>(250, 300]</v>
      </c>
      <c r="U187" s="59"/>
      <c r="V187" s="59"/>
      <c r="W187" s="59"/>
    </row>
    <row r="188" spans="1:23">
      <c r="A188" s="58">
        <v>300</v>
      </c>
      <c r="B188" s="58">
        <v>350</v>
      </c>
      <c r="C188" s="94">
        <v>210</v>
      </c>
      <c r="D188" s="94">
        <v>6772635</v>
      </c>
      <c r="E188" s="59">
        <v>6.7049808429118771E-2</v>
      </c>
      <c r="F188" s="93">
        <v>322.50642857142861</v>
      </c>
      <c r="G188" s="106"/>
      <c r="H188" s="61" t="str">
        <f t="shared" si="4"/>
        <v>(300, 350]</v>
      </c>
      <c r="I188" s="126">
        <v>1</v>
      </c>
      <c r="J188" s="59">
        <v>6.7049808429118771E-2</v>
      </c>
      <c r="K188" s="59">
        <v>6.7049808429118785E-2</v>
      </c>
      <c r="L188" s="128">
        <v>67049808</v>
      </c>
      <c r="M188" s="59">
        <v>6.7049808000000002E-2</v>
      </c>
      <c r="N188" s="59">
        <v>21.623994114480002</v>
      </c>
      <c r="O188" s="130">
        <v>1.05</v>
      </c>
      <c r="P188" s="59">
        <v>6.7049808000000002E-2</v>
      </c>
      <c r="Q188" s="59">
        <v>0</v>
      </c>
      <c r="R188" s="83">
        <v>0</v>
      </c>
      <c r="S188" s="110"/>
      <c r="T188" s="61" t="str">
        <f t="shared" si="5"/>
        <v>(300, 350]</v>
      </c>
      <c r="U188" s="59"/>
      <c r="V188" s="59"/>
      <c r="W188" s="59"/>
    </row>
    <row r="189" spans="1:23">
      <c r="A189" s="58">
        <v>350</v>
      </c>
      <c r="B189" s="58">
        <v>400</v>
      </c>
      <c r="C189" s="94">
        <v>173</v>
      </c>
      <c r="D189" s="94">
        <v>6486070</v>
      </c>
      <c r="E189" s="59">
        <v>5.5236270753512132E-2</v>
      </c>
      <c r="F189" s="93">
        <v>374.91734104046242</v>
      </c>
      <c r="G189" s="106"/>
      <c r="H189" s="61" t="str">
        <f t="shared" si="4"/>
        <v>(350, 400]</v>
      </c>
      <c r="I189" s="126">
        <v>1</v>
      </c>
      <c r="J189" s="59">
        <v>5.5236270753512132E-2</v>
      </c>
      <c r="K189" s="59">
        <v>5.5236270753512146E-2</v>
      </c>
      <c r="L189" s="128">
        <v>55236270</v>
      </c>
      <c r="M189" s="59">
        <v>5.5236269999999997E-2</v>
      </c>
      <c r="N189" s="59">
        <v>20.709035477393062</v>
      </c>
      <c r="O189" s="130">
        <v>1.05</v>
      </c>
      <c r="P189" s="59">
        <v>5.5236269999999997E-2</v>
      </c>
      <c r="Q189" s="59">
        <v>0</v>
      </c>
      <c r="R189" s="83">
        <v>0</v>
      </c>
      <c r="S189" s="110"/>
      <c r="T189" s="61" t="str">
        <f t="shared" si="5"/>
        <v>(350, 400]</v>
      </c>
      <c r="U189" s="59"/>
      <c r="V189" s="59"/>
      <c r="W189" s="59"/>
    </row>
    <row r="190" spans="1:23">
      <c r="A190" s="58">
        <v>400</v>
      </c>
      <c r="B190" s="58">
        <v>450</v>
      </c>
      <c r="C190" s="94">
        <v>177</v>
      </c>
      <c r="D190" s="94">
        <v>7505655</v>
      </c>
      <c r="E190" s="59">
        <v>5.6513409961685822E-2</v>
      </c>
      <c r="F190" s="93">
        <v>424.04830508474572</v>
      </c>
      <c r="G190" s="106"/>
      <c r="H190" s="61" t="str">
        <f t="shared" si="4"/>
        <v>(400, 450]</v>
      </c>
      <c r="I190" s="126">
        <v>1</v>
      </c>
      <c r="J190" s="59">
        <v>5.6513409961685822E-2</v>
      </c>
      <c r="K190" s="59">
        <v>5.6513409961685836E-2</v>
      </c>
      <c r="L190" s="128">
        <v>56513409</v>
      </c>
      <c r="M190" s="59">
        <v>5.6513409000000001E-2</v>
      </c>
      <c r="N190" s="59">
        <v>23.964415301011016</v>
      </c>
      <c r="O190" s="130">
        <v>1.05</v>
      </c>
      <c r="P190" s="59">
        <v>5.6513409000000001E-2</v>
      </c>
      <c r="Q190" s="59">
        <v>0</v>
      </c>
      <c r="R190" s="83">
        <v>0</v>
      </c>
      <c r="S190" s="110"/>
      <c r="T190" s="61" t="str">
        <f t="shared" si="5"/>
        <v>(400, 450]</v>
      </c>
      <c r="U190" s="59"/>
      <c r="V190" s="59"/>
      <c r="W190" s="59"/>
    </row>
    <row r="191" spans="1:23">
      <c r="A191" s="58">
        <v>450</v>
      </c>
      <c r="B191" s="58">
        <v>500</v>
      </c>
      <c r="C191" s="94">
        <v>152</v>
      </c>
      <c r="D191" s="94">
        <v>7215225</v>
      </c>
      <c r="E191" s="59">
        <v>4.8531289910600253E-2</v>
      </c>
      <c r="F191" s="93">
        <v>474.68585526315786</v>
      </c>
      <c r="G191" s="106"/>
      <c r="H191" s="61" t="str">
        <f t="shared" si="4"/>
        <v>(450, 500]</v>
      </c>
      <c r="I191" s="126">
        <v>1</v>
      </c>
      <c r="J191" s="59">
        <v>4.8531289910600253E-2</v>
      </c>
      <c r="K191" s="59">
        <v>4.8531289910600267E-2</v>
      </c>
      <c r="L191" s="128">
        <v>48531289</v>
      </c>
      <c r="M191" s="59">
        <v>4.8531288999999998E-2</v>
      </c>
      <c r="N191" s="59">
        <v>23.037116425988483</v>
      </c>
      <c r="O191" s="130">
        <v>1.05</v>
      </c>
      <c r="P191" s="59">
        <v>4.8531288999999998E-2</v>
      </c>
      <c r="Q191" s="59">
        <v>0</v>
      </c>
      <c r="R191" s="83">
        <v>0</v>
      </c>
      <c r="S191" s="110"/>
      <c r="T191" s="61" t="str">
        <f t="shared" si="5"/>
        <v>(450, 500]</v>
      </c>
      <c r="U191" s="59"/>
      <c r="V191" s="59"/>
      <c r="W191" s="59"/>
    </row>
    <row r="192" spans="1:23">
      <c r="A192" s="58">
        <v>500</v>
      </c>
      <c r="B192" s="58">
        <v>550</v>
      </c>
      <c r="C192" s="94">
        <v>101</v>
      </c>
      <c r="D192" s="94">
        <v>5282130</v>
      </c>
      <c r="E192" s="59">
        <v>3.2247765006385695E-2</v>
      </c>
      <c r="F192" s="93">
        <v>522.98316831683167</v>
      </c>
      <c r="G192" s="106"/>
      <c r="H192" s="61" t="str">
        <f t="shared" si="4"/>
        <v>(500, 550]</v>
      </c>
      <c r="I192" s="126">
        <v>1</v>
      </c>
      <c r="J192" s="59">
        <v>3.2247765006385695E-2</v>
      </c>
      <c r="K192" s="59">
        <v>3.2247765006385702E-2</v>
      </c>
      <c r="L192" s="128">
        <v>32247765</v>
      </c>
      <c r="M192" s="59">
        <v>3.2247764999999998E-2</v>
      </c>
      <c r="N192" s="59">
        <v>16.865038310836631</v>
      </c>
      <c r="O192" s="130">
        <v>1.05</v>
      </c>
      <c r="P192" s="59">
        <v>3.2247764999999998E-2</v>
      </c>
      <c r="Q192" s="59">
        <v>0</v>
      </c>
      <c r="R192" s="83">
        <v>0</v>
      </c>
      <c r="S192" s="110"/>
      <c r="T192" s="61" t="str">
        <f t="shared" si="5"/>
        <v>(500, 550]</v>
      </c>
      <c r="U192" s="59"/>
      <c r="V192" s="59"/>
      <c r="W192" s="59"/>
    </row>
    <row r="193" spans="1:23">
      <c r="A193" s="58">
        <v>550</v>
      </c>
      <c r="B193" s="58">
        <v>600</v>
      </c>
      <c r="C193" s="94">
        <v>105</v>
      </c>
      <c r="D193" s="94">
        <v>6017150</v>
      </c>
      <c r="E193" s="59">
        <v>3.3524904214559385E-2</v>
      </c>
      <c r="F193" s="93">
        <v>573.06190476190477</v>
      </c>
      <c r="G193" s="106"/>
      <c r="H193" s="61" t="str">
        <f t="shared" si="4"/>
        <v>(550, 600]</v>
      </c>
      <c r="I193" s="62">
        <v>1</v>
      </c>
      <c r="J193" s="59">
        <v>3.3524904214559385E-2</v>
      </c>
      <c r="K193" s="59">
        <v>3.3524904214559392E-2</v>
      </c>
      <c r="L193" s="128">
        <v>33524904</v>
      </c>
      <c r="M193" s="59">
        <v>3.3524904000000001E-2</v>
      </c>
      <c r="N193" s="59">
        <v>19.2118453432</v>
      </c>
      <c r="O193" s="130">
        <v>1.05</v>
      </c>
      <c r="P193" s="59">
        <v>3.3524904000000001E-2</v>
      </c>
      <c r="Q193" s="59">
        <v>0</v>
      </c>
      <c r="R193" s="83">
        <v>0</v>
      </c>
      <c r="S193" s="110"/>
      <c r="T193" s="61" t="str">
        <f t="shared" si="5"/>
        <v>(550, 600]</v>
      </c>
      <c r="U193" s="59"/>
      <c r="V193" s="59"/>
      <c r="W193" s="59"/>
    </row>
    <row r="194" spans="1:23">
      <c r="A194" s="58">
        <v>600</v>
      </c>
      <c r="B194" s="58">
        <v>650</v>
      </c>
      <c r="C194" s="94">
        <v>94</v>
      </c>
      <c r="D194" s="94">
        <v>5863630</v>
      </c>
      <c r="E194" s="59">
        <v>3.0012771392081736E-2</v>
      </c>
      <c r="F194" s="93">
        <v>623.79042553191493</v>
      </c>
      <c r="G194" s="106"/>
      <c r="H194" s="61" t="str">
        <f t="shared" si="4"/>
        <v>(600, 650]</v>
      </c>
      <c r="I194" s="62">
        <v>1</v>
      </c>
      <c r="J194" s="59">
        <v>3.0012771392081736E-2</v>
      </c>
      <c r="K194" s="59">
        <v>3.0012771392081743E-2</v>
      </c>
      <c r="L194" s="128">
        <v>30012771</v>
      </c>
      <c r="M194" s="59">
        <v>3.0012771000000001E-2</v>
      </c>
      <c r="N194" s="59">
        <v>18.721679193481915</v>
      </c>
      <c r="O194" s="130">
        <v>1.05</v>
      </c>
      <c r="P194" s="59">
        <v>3.0012771000000001E-2</v>
      </c>
      <c r="Q194" s="59">
        <v>0</v>
      </c>
      <c r="R194" s="83">
        <v>0</v>
      </c>
      <c r="S194" s="110"/>
      <c r="T194" s="61" t="str">
        <f t="shared" si="5"/>
        <v>(600, 650]</v>
      </c>
      <c r="U194" s="59"/>
      <c r="V194" s="59"/>
      <c r="W194" s="59"/>
    </row>
    <row r="195" spans="1:23">
      <c r="A195" s="58">
        <v>650</v>
      </c>
      <c r="B195" s="58">
        <v>700</v>
      </c>
      <c r="C195" s="94">
        <v>95</v>
      </c>
      <c r="D195" s="94">
        <v>6409735</v>
      </c>
      <c r="E195" s="59">
        <v>3.033205619412516E-2</v>
      </c>
      <c r="F195" s="93">
        <v>674.70894736842104</v>
      </c>
      <c r="G195" s="106"/>
      <c r="H195" s="61" t="str">
        <f t="shared" si="4"/>
        <v>(650, 700]</v>
      </c>
      <c r="I195" s="62">
        <v>1</v>
      </c>
      <c r="J195" s="59">
        <v>3.033205619412516E-2</v>
      </c>
      <c r="K195" s="59">
        <v>3.0332056194125167E-2</v>
      </c>
      <c r="L195" s="128">
        <v>30332056</v>
      </c>
      <c r="M195" s="59">
        <v>3.0332056E-2</v>
      </c>
      <c r="N195" s="59">
        <v>20.465309575279999</v>
      </c>
      <c r="O195" s="130">
        <v>1.05</v>
      </c>
      <c r="P195" s="59">
        <v>3.0332056E-2</v>
      </c>
      <c r="Q195" s="59">
        <v>0</v>
      </c>
      <c r="R195" s="83">
        <v>0</v>
      </c>
      <c r="S195" s="110"/>
      <c r="T195" s="61" t="str">
        <f t="shared" si="5"/>
        <v>(650, 700]</v>
      </c>
      <c r="U195" s="59"/>
      <c r="V195" s="59"/>
      <c r="W195" s="59"/>
    </row>
    <row r="196" spans="1:23">
      <c r="A196" s="58">
        <v>700</v>
      </c>
      <c r="B196" s="58">
        <v>750</v>
      </c>
      <c r="C196" s="94">
        <v>66</v>
      </c>
      <c r="D196" s="94">
        <v>4795575</v>
      </c>
      <c r="E196" s="59">
        <v>2.1072796934865901E-2</v>
      </c>
      <c r="F196" s="93">
        <v>726.60227272727275</v>
      </c>
      <c r="G196" s="106"/>
      <c r="H196" s="61" t="str">
        <f t="shared" si="4"/>
        <v>(700, 750]</v>
      </c>
      <c r="I196" s="62">
        <v>1</v>
      </c>
      <c r="J196" s="59">
        <v>2.1072796934865901E-2</v>
      </c>
      <c r="K196" s="59">
        <v>2.1072796934865905E-2</v>
      </c>
      <c r="L196" s="128">
        <v>21072796</v>
      </c>
      <c r="M196" s="59">
        <v>2.1072796000000001E-2</v>
      </c>
      <c r="N196" s="59">
        <v>15.311541466318182</v>
      </c>
      <c r="O196" s="130">
        <v>1.05</v>
      </c>
      <c r="P196" s="59">
        <v>2.1072796000000001E-2</v>
      </c>
      <c r="Q196" s="59">
        <v>0</v>
      </c>
      <c r="R196" s="83">
        <v>0</v>
      </c>
      <c r="S196" s="110"/>
      <c r="T196" s="61" t="str">
        <f t="shared" si="5"/>
        <v>(700, 750]</v>
      </c>
      <c r="U196" s="59"/>
      <c r="V196" s="59"/>
      <c r="W196" s="59"/>
    </row>
    <row r="197" spans="1:23">
      <c r="A197" s="58">
        <v>750</v>
      </c>
      <c r="B197" s="58">
        <v>800</v>
      </c>
      <c r="C197" s="94">
        <v>69</v>
      </c>
      <c r="D197" s="94">
        <v>5339105</v>
      </c>
      <c r="E197" s="59">
        <v>2.2030651340996167E-2</v>
      </c>
      <c r="F197" s="93">
        <v>773.7833333333333</v>
      </c>
      <c r="G197" s="106"/>
      <c r="H197" s="61" t="str">
        <f t="shared" si="4"/>
        <v>(750, 800]</v>
      </c>
      <c r="I197" s="62">
        <v>1</v>
      </c>
      <c r="J197" s="59">
        <v>2.2030651340996167E-2</v>
      </c>
      <c r="K197" s="59">
        <v>2.2030651340996171E-2</v>
      </c>
      <c r="L197" s="128">
        <v>22030651</v>
      </c>
      <c r="M197" s="59">
        <v>2.2030650999999998E-2</v>
      </c>
      <c r="N197" s="59">
        <v>17.046950566283332</v>
      </c>
      <c r="O197" s="130">
        <v>1.05</v>
      </c>
      <c r="P197" s="59">
        <v>2.2030650999999998E-2</v>
      </c>
      <c r="Q197" s="59">
        <v>0</v>
      </c>
      <c r="R197" s="83">
        <v>0</v>
      </c>
      <c r="S197" s="110"/>
      <c r="T197" s="61" t="str">
        <f t="shared" si="5"/>
        <v>(750, 800]</v>
      </c>
      <c r="U197" s="59"/>
      <c r="V197" s="59"/>
      <c r="W197" s="59"/>
    </row>
    <row r="198" spans="1:23">
      <c r="A198" s="58">
        <v>800</v>
      </c>
      <c r="B198" s="58">
        <v>850</v>
      </c>
      <c r="C198" s="94">
        <v>47</v>
      </c>
      <c r="D198" s="94">
        <v>3894050</v>
      </c>
      <c r="E198" s="59">
        <v>1.5006385696040868E-2</v>
      </c>
      <c r="F198" s="93">
        <v>828.52127659574467</v>
      </c>
      <c r="G198" s="106"/>
      <c r="H198" s="61" t="str">
        <f t="shared" si="4"/>
        <v>(800, 850]</v>
      </c>
      <c r="I198" s="62">
        <v>1</v>
      </c>
      <c r="J198" s="59">
        <v>1.5006385696040868E-2</v>
      </c>
      <c r="K198" s="59">
        <v>1.5006385696040871E-2</v>
      </c>
      <c r="L198" s="128">
        <v>15006385</v>
      </c>
      <c r="M198" s="59">
        <v>1.5006385000000001E-2</v>
      </c>
      <c r="N198" s="59">
        <v>12.433109257287235</v>
      </c>
      <c r="O198" s="130">
        <v>1.05</v>
      </c>
      <c r="P198" s="59">
        <v>1.5006385000000001E-2</v>
      </c>
      <c r="Q198" s="59">
        <v>0</v>
      </c>
      <c r="R198" s="83">
        <v>0</v>
      </c>
      <c r="S198" s="110"/>
      <c r="T198" s="61" t="str">
        <f t="shared" si="5"/>
        <v>(800, 850]</v>
      </c>
      <c r="U198" s="59"/>
      <c r="V198" s="59"/>
      <c r="W198" s="59"/>
    </row>
    <row r="199" spans="1:23">
      <c r="A199" s="58">
        <v>850</v>
      </c>
      <c r="B199" s="58">
        <v>900</v>
      </c>
      <c r="C199" s="94">
        <v>56</v>
      </c>
      <c r="D199" s="94">
        <v>4891760</v>
      </c>
      <c r="E199" s="59">
        <v>1.7879948914431672E-2</v>
      </c>
      <c r="F199" s="93">
        <v>873.52857142857147</v>
      </c>
      <c r="G199" s="106"/>
      <c r="H199" s="61" t="str">
        <f t="shared" si="4"/>
        <v>(850, 900]</v>
      </c>
      <c r="I199" s="62">
        <v>1</v>
      </c>
      <c r="J199" s="59">
        <v>1.7879948914431672E-2</v>
      </c>
      <c r="K199" s="59">
        <v>1.7879948914431676E-2</v>
      </c>
      <c r="L199" s="84">
        <v>17879948</v>
      </c>
      <c r="M199" s="59">
        <v>1.7879948E-2</v>
      </c>
      <c r="N199" s="59">
        <v>15.618645433657143</v>
      </c>
      <c r="O199" s="130">
        <v>1.05</v>
      </c>
      <c r="P199" s="59">
        <v>1.7879948E-2</v>
      </c>
      <c r="Q199" s="59">
        <v>0</v>
      </c>
      <c r="R199" s="83">
        <v>0</v>
      </c>
      <c r="S199" s="110"/>
      <c r="T199" s="61" t="str">
        <f t="shared" si="5"/>
        <v>(850, 900]</v>
      </c>
      <c r="U199" s="59"/>
      <c r="V199" s="59"/>
      <c r="W199" s="59"/>
    </row>
    <row r="200" spans="1:23">
      <c r="A200" s="58">
        <v>900</v>
      </c>
      <c r="B200" s="58">
        <v>950</v>
      </c>
      <c r="C200" s="94">
        <v>42</v>
      </c>
      <c r="D200" s="94">
        <v>3883580</v>
      </c>
      <c r="E200" s="59">
        <v>1.3409961685823755E-2</v>
      </c>
      <c r="F200" s="93">
        <v>924.66190476190468</v>
      </c>
      <c r="G200" s="106"/>
      <c r="H200" s="61" t="str">
        <f t="shared" si="4"/>
        <v>(900, 950]</v>
      </c>
      <c r="I200" s="62">
        <v>1</v>
      </c>
      <c r="J200" s="59">
        <v>1.3409961685823755E-2</v>
      </c>
      <c r="K200" s="59">
        <v>1.3409961685823759E-2</v>
      </c>
      <c r="L200" s="84">
        <v>13409961</v>
      </c>
      <c r="M200" s="59">
        <v>1.3409961E-2</v>
      </c>
      <c r="N200" s="59">
        <v>12.399680081042856</v>
      </c>
      <c r="O200" s="130">
        <v>1.05</v>
      </c>
      <c r="P200" s="59">
        <v>1.3409961E-2</v>
      </c>
      <c r="Q200" s="59">
        <v>0</v>
      </c>
      <c r="R200" s="83">
        <v>0</v>
      </c>
      <c r="S200" s="110"/>
      <c r="T200" s="61" t="str">
        <f t="shared" si="5"/>
        <v>(900, 950]</v>
      </c>
      <c r="U200" s="59"/>
      <c r="V200" s="59"/>
      <c r="W200" s="59"/>
    </row>
    <row r="201" spans="1:23">
      <c r="A201" s="58">
        <v>950</v>
      </c>
      <c r="B201" s="58">
        <v>1000</v>
      </c>
      <c r="C201" s="94">
        <v>31</v>
      </c>
      <c r="D201" s="94">
        <v>3019765</v>
      </c>
      <c r="E201" s="59">
        <v>9.8978288633461056E-3</v>
      </c>
      <c r="F201" s="93">
        <v>974.11774193548399</v>
      </c>
      <c r="G201" s="106"/>
      <c r="H201" s="61" t="str">
        <f t="shared" si="4"/>
        <v>(950, 1000]</v>
      </c>
      <c r="I201" s="62">
        <v>1</v>
      </c>
      <c r="J201" s="59">
        <v>9.8978288633461056E-3</v>
      </c>
      <c r="K201" s="59">
        <v>9.8978288633461073E-3</v>
      </c>
      <c r="L201" s="84">
        <v>9897828</v>
      </c>
      <c r="M201" s="59">
        <v>9.8978279999999991E-3</v>
      </c>
      <c r="N201" s="59">
        <v>9.6416498614258064</v>
      </c>
      <c r="O201" s="130">
        <v>1.05</v>
      </c>
      <c r="P201" s="59">
        <v>9.8978279999999991E-3</v>
      </c>
      <c r="Q201" s="59">
        <v>0</v>
      </c>
      <c r="R201" s="83">
        <v>0</v>
      </c>
      <c r="S201" s="110"/>
      <c r="T201" s="61" t="str">
        <f t="shared" si="5"/>
        <v>(950, 1000]</v>
      </c>
      <c r="U201" s="59"/>
      <c r="V201" s="59"/>
      <c r="W201" s="59"/>
    </row>
    <row r="202" spans="1:23">
      <c r="A202" s="58">
        <v>1000</v>
      </c>
      <c r="B202" s="58">
        <v>2000</v>
      </c>
      <c r="C202" s="94">
        <v>298</v>
      </c>
      <c r="D202" s="94">
        <v>39841460</v>
      </c>
      <c r="E202" s="59">
        <v>9.5146871008939968E-2</v>
      </c>
      <c r="F202" s="93">
        <v>1336.9617449664429</v>
      </c>
      <c r="G202" s="106"/>
      <c r="H202" s="61" t="str">
        <f t="shared" si="4"/>
        <v>(1000, 2000]</v>
      </c>
      <c r="I202" s="62">
        <v>1</v>
      </c>
      <c r="J202" s="59">
        <v>9.5146871008939968E-2</v>
      </c>
      <c r="K202" s="59">
        <v>9.5146871008939995E-2</v>
      </c>
      <c r="L202" s="84">
        <v>95146871</v>
      </c>
      <c r="M202" s="59">
        <v>9.5146870999999994E-2</v>
      </c>
      <c r="N202" s="59">
        <v>127.20772668025704</v>
      </c>
      <c r="O202" s="130">
        <v>1.05</v>
      </c>
      <c r="P202" s="59">
        <v>9.5146870999999994E-2</v>
      </c>
      <c r="Q202" s="59">
        <v>0</v>
      </c>
      <c r="R202" s="83">
        <v>0</v>
      </c>
      <c r="S202" s="110"/>
      <c r="T202" s="61" t="str">
        <f t="shared" si="5"/>
        <v>(1000, 2000]</v>
      </c>
      <c r="U202" s="59"/>
      <c r="V202" s="59"/>
      <c r="W202" s="59"/>
    </row>
    <row r="203" spans="1:23">
      <c r="A203" s="58">
        <v>2000</v>
      </c>
      <c r="B203" s="58">
        <v>3000</v>
      </c>
      <c r="C203" s="94">
        <v>49</v>
      </c>
      <c r="D203" s="94">
        <v>11665770</v>
      </c>
      <c r="E203" s="59">
        <v>1.5644955300127713E-2</v>
      </c>
      <c r="F203" s="93">
        <v>2380.7693877551019</v>
      </c>
      <c r="H203" s="61" t="str">
        <f t="shared" si="4"/>
        <v>(2000, 3000]</v>
      </c>
      <c r="I203" s="62">
        <v>1</v>
      </c>
      <c r="J203" s="59">
        <v>1.5644955300127713E-2</v>
      </c>
      <c r="K203" s="59">
        <v>1.5644955300127716E-2</v>
      </c>
      <c r="L203" s="84">
        <v>15644955</v>
      </c>
      <c r="M203" s="59">
        <v>1.5644954999999999E-2</v>
      </c>
      <c r="N203" s="59">
        <v>37.247029936806115</v>
      </c>
      <c r="O203" s="130">
        <v>1.05</v>
      </c>
      <c r="P203" s="59">
        <v>1.5644954999999999E-2</v>
      </c>
      <c r="Q203" s="59">
        <v>0</v>
      </c>
      <c r="R203" s="83">
        <v>0</v>
      </c>
      <c r="T203" s="61" t="str">
        <f t="shared" si="5"/>
        <v>(2000, 3000]</v>
      </c>
      <c r="U203" s="59"/>
      <c r="V203" s="59"/>
      <c r="W203" s="59"/>
    </row>
    <row r="204" spans="1:23">
      <c r="A204" s="58">
        <v>3000</v>
      </c>
      <c r="B204" s="58">
        <v>4000</v>
      </c>
      <c r="C204" s="94">
        <v>10</v>
      </c>
      <c r="D204" s="94">
        <v>3387590</v>
      </c>
      <c r="E204" s="59">
        <v>3.1928480204342275E-3</v>
      </c>
      <c r="F204" s="93">
        <v>3387.59</v>
      </c>
      <c r="H204" s="61" t="str">
        <f t="shared" si="4"/>
        <v>(3000, 4000]</v>
      </c>
      <c r="I204" s="62">
        <v>1</v>
      </c>
      <c r="J204" s="59">
        <v>3.1928480204342275E-3</v>
      </c>
      <c r="K204" s="59">
        <v>3.1928480204342284E-3</v>
      </c>
      <c r="L204" s="84">
        <v>3192848</v>
      </c>
      <c r="M204" s="59">
        <v>3.1928479999999999E-3</v>
      </c>
      <c r="N204" s="59">
        <v>10.81605995632</v>
      </c>
      <c r="O204" s="130">
        <v>1.05</v>
      </c>
      <c r="P204" s="59">
        <v>3.1928479999999999E-3</v>
      </c>
      <c r="Q204" s="59">
        <v>0</v>
      </c>
      <c r="R204" s="83">
        <v>0</v>
      </c>
      <c r="T204" s="61" t="str">
        <f t="shared" si="5"/>
        <v>(3000, 4000]</v>
      </c>
      <c r="U204" s="59"/>
      <c r="V204" s="59"/>
      <c r="W204" s="59"/>
    </row>
    <row r="205" spans="1:23">
      <c r="A205" s="58">
        <v>4000</v>
      </c>
      <c r="B205" s="58">
        <v>5000</v>
      </c>
      <c r="C205" s="94">
        <v>2</v>
      </c>
      <c r="D205" s="94">
        <v>923840</v>
      </c>
      <c r="E205" s="59">
        <v>6.3856960408684551E-4</v>
      </c>
      <c r="F205" s="93">
        <v>4619.2</v>
      </c>
      <c r="H205" s="61" t="str">
        <f t="shared" si="4"/>
        <v>(4000, 5000]</v>
      </c>
      <c r="I205" s="62">
        <v>1</v>
      </c>
      <c r="J205" s="59">
        <v>6.3856960408684551E-4</v>
      </c>
      <c r="K205" s="59">
        <v>6.3856960408684561E-4</v>
      </c>
      <c r="L205" s="84">
        <v>638569</v>
      </c>
      <c r="M205" s="59">
        <v>6.3856899999999996E-4</v>
      </c>
      <c r="N205" s="59">
        <v>2.9496779247999996</v>
      </c>
      <c r="O205" s="130">
        <v>1.05</v>
      </c>
      <c r="P205" s="59">
        <v>6.3856899999999996E-4</v>
      </c>
      <c r="Q205" s="59">
        <v>0</v>
      </c>
      <c r="R205" s="83">
        <v>0</v>
      </c>
      <c r="T205" s="61" t="str">
        <f t="shared" si="5"/>
        <v>(4000, 5000]</v>
      </c>
      <c r="U205" s="59"/>
      <c r="V205" s="59"/>
      <c r="W205" s="59"/>
    </row>
    <row r="206" spans="1:23">
      <c r="A206" s="58">
        <v>5000</v>
      </c>
      <c r="B206" s="58">
        <v>6000</v>
      </c>
      <c r="C206" s="94">
        <v>0</v>
      </c>
      <c r="D206" s="94">
        <v>0</v>
      </c>
      <c r="E206" s="59">
        <v>0</v>
      </c>
      <c r="F206" s="93">
        <v>0</v>
      </c>
      <c r="H206" s="61" t="str">
        <f t="shared" si="4"/>
        <v>(5000, 6000]</v>
      </c>
      <c r="I206" s="62">
        <v>1</v>
      </c>
      <c r="J206" s="59">
        <v>0</v>
      </c>
      <c r="K206" s="59">
        <v>0</v>
      </c>
      <c r="L206" s="84">
        <v>0</v>
      </c>
      <c r="M206" s="59">
        <v>0</v>
      </c>
      <c r="N206" s="59">
        <v>0</v>
      </c>
      <c r="O206" s="130">
        <v>1.05</v>
      </c>
      <c r="P206" s="59">
        <v>0</v>
      </c>
      <c r="Q206" s="59">
        <v>0</v>
      </c>
      <c r="R206" s="83">
        <v>0</v>
      </c>
      <c r="T206" s="61" t="str">
        <f t="shared" si="5"/>
        <v>(5000, 6000]</v>
      </c>
      <c r="U206" s="59"/>
      <c r="V206" s="59"/>
      <c r="W206" s="59"/>
    </row>
    <row r="207" spans="1:23">
      <c r="A207" s="58">
        <v>6000</v>
      </c>
      <c r="B207" s="58">
        <v>7000</v>
      </c>
      <c r="C207" s="94">
        <v>2</v>
      </c>
      <c r="D207" s="94">
        <v>1308005</v>
      </c>
      <c r="E207" s="59">
        <v>6.3856960408684551E-4</v>
      </c>
      <c r="F207" s="93">
        <v>6540.0249999999996</v>
      </c>
      <c r="H207" s="61" t="str">
        <f t="shared" si="4"/>
        <v>(6000, 7000]</v>
      </c>
      <c r="I207" s="62">
        <v>1</v>
      </c>
      <c r="J207" s="59">
        <v>6.3856960408684551E-4</v>
      </c>
      <c r="K207" s="59">
        <v>6.3856960408684561E-4</v>
      </c>
      <c r="L207" s="84">
        <v>638569</v>
      </c>
      <c r="M207" s="59">
        <v>6.3856899999999996E-4</v>
      </c>
      <c r="N207" s="59">
        <v>4.1762572242249991</v>
      </c>
      <c r="O207" s="130">
        <v>1.05</v>
      </c>
      <c r="P207" s="59">
        <v>6.3856899999999996E-4</v>
      </c>
      <c r="Q207" s="59">
        <v>0</v>
      </c>
      <c r="R207" s="83">
        <v>0</v>
      </c>
      <c r="T207" s="61" t="str">
        <f t="shared" si="5"/>
        <v>(6000, 7000]</v>
      </c>
      <c r="U207" s="59"/>
      <c r="V207" s="59"/>
      <c r="W207" s="59"/>
    </row>
    <row r="208" spans="1:23">
      <c r="A208" s="58">
        <v>7000</v>
      </c>
      <c r="B208" s="58">
        <v>8000</v>
      </c>
      <c r="C208" s="94">
        <v>1</v>
      </c>
      <c r="D208" s="94">
        <v>709965</v>
      </c>
      <c r="E208" s="59">
        <v>3.1928480204342275E-4</v>
      </c>
      <c r="F208" s="93">
        <v>7099.65</v>
      </c>
      <c r="H208" s="61" t="str">
        <f t="shared" si="4"/>
        <v>(7000, 8000]</v>
      </c>
      <c r="I208" s="62">
        <v>1</v>
      </c>
      <c r="J208" s="59">
        <v>3.1928480204342275E-4</v>
      </c>
      <c r="K208" s="59">
        <v>3.1928480204342281E-4</v>
      </c>
      <c r="L208" s="84">
        <v>319284</v>
      </c>
      <c r="M208" s="59">
        <v>3.1928399999999997E-4</v>
      </c>
      <c r="N208" s="59">
        <v>2.2668046505999997</v>
      </c>
      <c r="O208" s="130">
        <v>1.05</v>
      </c>
      <c r="P208" s="59">
        <v>3.1928399999999997E-4</v>
      </c>
      <c r="Q208" s="59">
        <v>0</v>
      </c>
      <c r="R208" s="83">
        <v>0</v>
      </c>
      <c r="T208" s="61" t="str">
        <f t="shared" si="5"/>
        <v>(7000, 8000]</v>
      </c>
      <c r="U208" s="59"/>
      <c r="V208" s="59"/>
      <c r="W208" s="59"/>
    </row>
    <row r="209" spans="1:23">
      <c r="A209" s="58">
        <v>8000</v>
      </c>
      <c r="B209" s="58">
        <v>9000</v>
      </c>
      <c r="C209" s="94">
        <v>0</v>
      </c>
      <c r="D209" s="94">
        <v>0</v>
      </c>
      <c r="E209" s="59">
        <v>0</v>
      </c>
      <c r="F209" s="93">
        <v>0</v>
      </c>
      <c r="H209" s="61" t="str">
        <f t="shared" si="4"/>
        <v>(8000, 9000]</v>
      </c>
      <c r="I209" s="62">
        <v>1</v>
      </c>
      <c r="J209" s="59">
        <v>0</v>
      </c>
      <c r="K209" s="59">
        <v>0</v>
      </c>
      <c r="L209" s="84">
        <v>0</v>
      </c>
      <c r="M209" s="59">
        <v>0</v>
      </c>
      <c r="N209" s="59">
        <v>0</v>
      </c>
      <c r="O209" s="130">
        <v>1.05</v>
      </c>
      <c r="P209" s="59">
        <v>0</v>
      </c>
      <c r="Q209" s="59">
        <v>0</v>
      </c>
      <c r="R209" s="83">
        <v>0</v>
      </c>
      <c r="T209" s="61" t="str">
        <f t="shared" si="5"/>
        <v>(8000, 9000]</v>
      </c>
      <c r="U209" s="59"/>
      <c r="V209" s="59"/>
      <c r="W209" s="59"/>
    </row>
    <row r="210" spans="1:23">
      <c r="A210" s="58">
        <v>9000</v>
      </c>
      <c r="B210" s="58">
        <v>10000</v>
      </c>
      <c r="C210" s="94">
        <v>0</v>
      </c>
      <c r="D210" s="94">
        <v>0</v>
      </c>
      <c r="E210" s="59">
        <v>0</v>
      </c>
      <c r="F210" s="93">
        <v>0</v>
      </c>
      <c r="H210" s="61" t="str">
        <f t="shared" si="4"/>
        <v>(9000, 10000]</v>
      </c>
      <c r="I210" s="62">
        <v>1</v>
      </c>
      <c r="J210" s="59">
        <v>0</v>
      </c>
      <c r="K210" s="59">
        <v>0</v>
      </c>
      <c r="L210" s="84">
        <v>0</v>
      </c>
      <c r="M210" s="59">
        <v>0</v>
      </c>
      <c r="N210" s="59">
        <v>0</v>
      </c>
      <c r="O210" s="130">
        <v>1.05</v>
      </c>
      <c r="P210" s="59">
        <v>0</v>
      </c>
      <c r="Q210" s="59">
        <v>0</v>
      </c>
      <c r="R210" s="83">
        <v>0</v>
      </c>
      <c r="T210" s="61" t="str">
        <f t="shared" si="5"/>
        <v>(9000, 10000]</v>
      </c>
      <c r="U210" s="59"/>
      <c r="V210" s="59"/>
      <c r="W210" s="59"/>
    </row>
    <row r="211" spans="1:23">
      <c r="A211" s="58">
        <v>10000</v>
      </c>
      <c r="B211" s="58">
        <v>20000</v>
      </c>
      <c r="C211" s="94">
        <v>0</v>
      </c>
      <c r="D211" s="94">
        <v>0</v>
      </c>
      <c r="E211" s="59">
        <v>0</v>
      </c>
      <c r="F211" s="93">
        <v>0</v>
      </c>
      <c r="G211" s="51">
        <f>1/SUM(M205:M211)</f>
        <v>626.40078876387327</v>
      </c>
      <c r="H211" s="61" t="str">
        <f t="shared" si="4"/>
        <v>(10000, 20000]</v>
      </c>
      <c r="I211" s="62">
        <v>1</v>
      </c>
      <c r="J211" s="59">
        <v>0</v>
      </c>
      <c r="K211" s="59">
        <v>0</v>
      </c>
      <c r="L211" s="84">
        <v>0</v>
      </c>
      <c r="M211" s="59">
        <v>0</v>
      </c>
      <c r="N211" s="59">
        <v>0</v>
      </c>
      <c r="O211" s="130">
        <v>1.05</v>
      </c>
      <c r="P211" s="59">
        <v>0</v>
      </c>
      <c r="Q211" s="59">
        <v>0</v>
      </c>
      <c r="R211" s="83">
        <v>0</v>
      </c>
      <c r="T211" s="61" t="str">
        <f t="shared" si="5"/>
        <v>(10000, 20000]</v>
      </c>
      <c r="U211" s="59"/>
      <c r="V211" s="59"/>
      <c r="W211" s="59"/>
    </row>
    <row r="212" spans="1:23">
      <c r="A212" s="58">
        <v>20000</v>
      </c>
      <c r="B212" s="58">
        <v>30000</v>
      </c>
      <c r="C212" s="94">
        <v>0</v>
      </c>
      <c r="D212" s="94">
        <v>0</v>
      </c>
      <c r="E212" s="59">
        <v>0</v>
      </c>
      <c r="F212" s="93">
        <v>0</v>
      </c>
      <c r="H212" s="61" t="str">
        <f t="shared" si="4"/>
        <v>(20000, 30000]</v>
      </c>
      <c r="I212" s="62">
        <v>1</v>
      </c>
      <c r="J212" s="59">
        <v>0</v>
      </c>
      <c r="K212" s="59">
        <v>0</v>
      </c>
      <c r="L212" s="84">
        <v>0</v>
      </c>
      <c r="M212" s="59">
        <v>0</v>
      </c>
      <c r="N212" s="59">
        <v>0</v>
      </c>
      <c r="O212" s="130">
        <v>1.05</v>
      </c>
      <c r="P212" s="59">
        <v>0</v>
      </c>
      <c r="Q212" s="59">
        <v>0</v>
      </c>
      <c r="R212" s="83">
        <v>0</v>
      </c>
      <c r="T212" s="61" t="str">
        <f t="shared" si="5"/>
        <v>(20000, 30000]</v>
      </c>
      <c r="U212" s="59"/>
      <c r="V212" s="59"/>
      <c r="W212" s="59"/>
    </row>
    <row r="213" spans="1:23">
      <c r="A213" s="58">
        <v>30000</v>
      </c>
      <c r="B213" s="58">
        <v>40000</v>
      </c>
      <c r="C213" s="94">
        <v>0</v>
      </c>
      <c r="D213" s="94">
        <v>0</v>
      </c>
      <c r="E213" s="59">
        <v>0</v>
      </c>
      <c r="F213" s="93">
        <v>0</v>
      </c>
      <c r="H213" s="61" t="str">
        <f t="shared" si="4"/>
        <v>(30000, 40000]</v>
      </c>
      <c r="I213" s="62">
        <v>1</v>
      </c>
      <c r="J213" s="59">
        <v>0</v>
      </c>
      <c r="K213" s="59">
        <v>0</v>
      </c>
      <c r="L213" s="84">
        <v>0</v>
      </c>
      <c r="M213" s="59">
        <v>0</v>
      </c>
      <c r="N213" s="59">
        <v>0</v>
      </c>
      <c r="O213" s="130">
        <v>1.05</v>
      </c>
      <c r="P213" s="59">
        <v>0</v>
      </c>
      <c r="Q213" s="59">
        <v>0</v>
      </c>
      <c r="R213" s="83">
        <v>0</v>
      </c>
      <c r="T213" s="61" t="str">
        <f t="shared" si="5"/>
        <v>(30000, 40000]</v>
      </c>
      <c r="U213" s="59"/>
      <c r="V213" s="59"/>
      <c r="W213" s="59"/>
    </row>
    <row r="214" spans="1:23">
      <c r="A214" s="58">
        <v>40000</v>
      </c>
      <c r="B214" s="58">
        <v>50000</v>
      </c>
      <c r="C214" s="94">
        <v>0</v>
      </c>
      <c r="D214" s="94">
        <v>0</v>
      </c>
      <c r="E214" s="59">
        <v>0</v>
      </c>
      <c r="F214" s="93">
        <v>0</v>
      </c>
      <c r="H214" s="61" t="str">
        <f t="shared" si="4"/>
        <v>(40000, 50000]</v>
      </c>
      <c r="I214" s="62">
        <v>1</v>
      </c>
      <c r="J214" s="59">
        <v>0</v>
      </c>
      <c r="K214" s="59">
        <v>0</v>
      </c>
      <c r="L214" s="84">
        <v>0</v>
      </c>
      <c r="M214" s="59">
        <v>0</v>
      </c>
      <c r="N214" s="59">
        <v>0</v>
      </c>
      <c r="O214" s="130">
        <v>1.05</v>
      </c>
      <c r="P214" s="59">
        <v>0</v>
      </c>
      <c r="Q214" s="59">
        <v>0</v>
      </c>
      <c r="R214" s="83">
        <v>0</v>
      </c>
      <c r="T214" s="61" t="str">
        <f t="shared" si="5"/>
        <v>(40000, 50000]</v>
      </c>
      <c r="U214" s="59"/>
      <c r="V214" s="59"/>
      <c r="W214" s="59"/>
    </row>
    <row r="215" spans="1:23">
      <c r="A215" s="58">
        <v>50000</v>
      </c>
      <c r="B215" s="58">
        <v>60000</v>
      </c>
      <c r="C215" s="94">
        <v>0</v>
      </c>
      <c r="D215" s="94">
        <v>0</v>
      </c>
      <c r="E215" s="59">
        <v>0</v>
      </c>
      <c r="F215" s="93">
        <v>0</v>
      </c>
      <c r="H215" s="61" t="str">
        <f t="shared" si="4"/>
        <v>(50000, 60000]</v>
      </c>
      <c r="I215" s="62">
        <v>1</v>
      </c>
      <c r="J215" s="59">
        <v>0</v>
      </c>
      <c r="K215" s="59">
        <v>0</v>
      </c>
      <c r="L215" s="84">
        <v>0</v>
      </c>
      <c r="M215" s="59">
        <v>0</v>
      </c>
      <c r="N215" s="59">
        <v>0</v>
      </c>
      <c r="O215" s="130">
        <v>1.05</v>
      </c>
      <c r="P215" s="59">
        <v>0</v>
      </c>
      <c r="Q215" s="59">
        <v>0</v>
      </c>
      <c r="R215" s="83">
        <v>0</v>
      </c>
      <c r="T215" s="61" t="str">
        <f t="shared" si="5"/>
        <v>(50000, 60000]</v>
      </c>
      <c r="U215" s="59"/>
      <c r="V215" s="59"/>
      <c r="W215" s="59"/>
    </row>
    <row r="216" spans="1:23">
      <c r="A216" s="58">
        <v>60000</v>
      </c>
      <c r="B216" s="58">
        <v>70000</v>
      </c>
      <c r="C216" s="94">
        <v>0</v>
      </c>
      <c r="D216" s="94">
        <v>0</v>
      </c>
      <c r="E216" s="59">
        <v>0</v>
      </c>
      <c r="F216" s="93">
        <v>0</v>
      </c>
      <c r="H216" s="61" t="str">
        <f t="shared" si="4"/>
        <v>(60000, 70000]</v>
      </c>
      <c r="I216" s="62">
        <v>1</v>
      </c>
      <c r="J216" s="59">
        <v>0</v>
      </c>
      <c r="K216" s="59">
        <v>0</v>
      </c>
      <c r="L216" s="84">
        <v>0</v>
      </c>
      <c r="M216" s="59">
        <v>0</v>
      </c>
      <c r="N216" s="59">
        <v>0</v>
      </c>
      <c r="O216" s="130">
        <v>1.05</v>
      </c>
      <c r="P216" s="59">
        <v>0</v>
      </c>
      <c r="Q216" s="59">
        <v>0</v>
      </c>
      <c r="R216" s="83">
        <v>0</v>
      </c>
      <c r="T216" s="61" t="str">
        <f t="shared" si="5"/>
        <v>(60000, 70000]</v>
      </c>
      <c r="U216" s="59"/>
      <c r="V216" s="59"/>
      <c r="W216" s="59"/>
    </row>
    <row r="217" spans="1:23">
      <c r="A217" s="58">
        <v>70000</v>
      </c>
      <c r="B217" s="58">
        <v>80000</v>
      </c>
      <c r="C217" s="94">
        <v>0</v>
      </c>
      <c r="D217" s="94">
        <v>0</v>
      </c>
      <c r="E217" s="59">
        <v>0</v>
      </c>
      <c r="F217" s="93">
        <v>0</v>
      </c>
      <c r="H217" s="61" t="str">
        <f t="shared" si="4"/>
        <v>(70000, 80000]</v>
      </c>
      <c r="I217" s="62">
        <v>1</v>
      </c>
      <c r="J217" s="59">
        <v>0</v>
      </c>
      <c r="K217" s="59">
        <v>0</v>
      </c>
      <c r="L217" s="84">
        <v>0</v>
      </c>
      <c r="M217" s="59">
        <v>0</v>
      </c>
      <c r="N217" s="59">
        <v>0</v>
      </c>
      <c r="O217" s="130">
        <v>1.05</v>
      </c>
      <c r="P217" s="59">
        <v>0</v>
      </c>
      <c r="Q217" s="59">
        <v>0</v>
      </c>
      <c r="R217" s="83">
        <v>0</v>
      </c>
      <c r="T217" s="61" t="str">
        <f t="shared" si="5"/>
        <v>(70000, 80000]</v>
      </c>
      <c r="U217" s="59"/>
      <c r="V217" s="59"/>
      <c r="W217" s="59"/>
    </row>
    <row r="218" spans="1:23">
      <c r="A218" s="58">
        <v>80000</v>
      </c>
      <c r="B218" s="58">
        <v>90000</v>
      </c>
      <c r="C218" s="94">
        <v>0</v>
      </c>
      <c r="D218" s="94">
        <v>0</v>
      </c>
      <c r="E218" s="59">
        <v>0</v>
      </c>
      <c r="F218" s="93">
        <v>0</v>
      </c>
      <c r="H218" s="61" t="str">
        <f t="shared" si="4"/>
        <v>(80000, 90000]</v>
      </c>
      <c r="I218" s="62">
        <v>1</v>
      </c>
      <c r="J218" s="59">
        <v>0</v>
      </c>
      <c r="K218" s="59">
        <v>0</v>
      </c>
      <c r="L218" s="84">
        <v>0</v>
      </c>
      <c r="M218" s="59">
        <v>0</v>
      </c>
      <c r="N218" s="59">
        <v>0</v>
      </c>
      <c r="O218" s="130">
        <v>1.05</v>
      </c>
      <c r="P218" s="59">
        <v>0</v>
      </c>
      <c r="Q218" s="59">
        <v>0</v>
      </c>
      <c r="R218" s="83">
        <v>0</v>
      </c>
      <c r="T218" s="61" t="str">
        <f t="shared" si="5"/>
        <v>(80000, 90000]</v>
      </c>
      <c r="U218" s="59"/>
      <c r="V218" s="59"/>
      <c r="W218" s="59"/>
    </row>
    <row r="219" spans="1:23">
      <c r="A219" s="58">
        <v>90000</v>
      </c>
      <c r="B219" s="58">
        <v>100000</v>
      </c>
      <c r="C219" s="94">
        <v>0</v>
      </c>
      <c r="D219" s="94">
        <v>0</v>
      </c>
      <c r="E219" s="59">
        <v>0</v>
      </c>
      <c r="F219" s="93">
        <v>0</v>
      </c>
      <c r="H219" s="61" t="str">
        <f t="shared" si="4"/>
        <v>(90000, 100000]</v>
      </c>
      <c r="I219" s="62">
        <v>1</v>
      </c>
      <c r="J219" s="59">
        <v>0</v>
      </c>
      <c r="K219" s="59">
        <v>0</v>
      </c>
      <c r="L219" s="84">
        <v>0</v>
      </c>
      <c r="M219" s="59">
        <v>0</v>
      </c>
      <c r="N219" s="59">
        <v>0</v>
      </c>
      <c r="O219" s="130">
        <v>1.05</v>
      </c>
      <c r="P219" s="59">
        <v>0</v>
      </c>
      <c r="Q219" s="59">
        <v>0</v>
      </c>
      <c r="R219" s="83">
        <v>0</v>
      </c>
      <c r="T219" s="61" t="str">
        <f t="shared" si="5"/>
        <v>(90000, 100000]</v>
      </c>
      <c r="U219" s="59"/>
      <c r="V219" s="59"/>
      <c r="W219" s="59"/>
    </row>
    <row r="220" spans="1:23">
      <c r="A220" s="58">
        <v>100000</v>
      </c>
      <c r="B220" s="58">
        <v>9999999</v>
      </c>
      <c r="C220" s="94">
        <v>0</v>
      </c>
      <c r="D220" s="94">
        <v>0</v>
      </c>
      <c r="E220" s="59">
        <v>0</v>
      </c>
      <c r="F220" s="93">
        <v>0</v>
      </c>
      <c r="H220" s="61" t="str">
        <f t="shared" si="4"/>
        <v>(100000, 9999999]</v>
      </c>
      <c r="I220" s="62">
        <v>1</v>
      </c>
      <c r="J220" s="59">
        <v>0</v>
      </c>
      <c r="K220" s="59">
        <v>0</v>
      </c>
      <c r="L220" s="84">
        <v>0</v>
      </c>
      <c r="M220" s="59">
        <v>0</v>
      </c>
      <c r="N220" s="59">
        <v>0</v>
      </c>
      <c r="O220" s="130">
        <v>1.05</v>
      </c>
      <c r="P220" s="59">
        <v>0</v>
      </c>
      <c r="Q220" s="59">
        <v>0</v>
      </c>
      <c r="R220" s="83">
        <v>0</v>
      </c>
      <c r="T220" s="61" t="str">
        <f t="shared" si="5"/>
        <v>(100000, 9999999]</v>
      </c>
      <c r="U220" s="59"/>
      <c r="V220" s="59"/>
      <c r="W220" s="59"/>
    </row>
  </sheetData>
  <mergeCells count="5">
    <mergeCell ref="A11:D11"/>
    <mergeCell ref="A80:B80"/>
    <mergeCell ref="A83:D83"/>
    <mergeCell ref="A79:B79"/>
    <mergeCell ref="A153:D153"/>
  </mergeCells>
  <phoneticPr fontId="20" type="noConversion"/>
  <conditionalFormatting sqref="M17:M78">
    <cfRule type="dataBar" priority="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{C3348251-F879-4FA2-855C-01FC17F26BC8}</x14:id>
        </ext>
      </extLst>
    </cfRule>
  </conditionalFormatting>
  <conditionalFormatting sqref="M87:M150">
    <cfRule type="dataBar" priority="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{B9D4AAFA-E67C-46F1-9FD3-F83CD5F16145}</x14:id>
        </ext>
      </extLst>
    </cfRule>
  </conditionalFormatting>
  <conditionalFormatting sqref="P17:P78">
    <cfRule type="dataBar" priority="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{97CA0ECF-77D9-49DF-A5FB-B15A3E3500EC}</x14:id>
        </ext>
      </extLst>
    </cfRule>
  </conditionalFormatting>
  <conditionalFormatting sqref="P89:P150">
    <cfRule type="dataBar" priority="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{A53702D9-5261-4673-80D8-2B1594BF805F}</x14:id>
        </ext>
      </extLst>
    </cfRule>
  </conditionalFormatting>
  <conditionalFormatting sqref="Q89:Q150">
    <cfRule type="dataBar" priority="1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{33A53229-D91F-4FEF-BEAB-262D4A068092}</x14:id>
        </ext>
      </extLst>
    </cfRule>
  </conditionalFormatting>
  <conditionalFormatting sqref="E15:E78">
    <cfRule type="cellIs" dxfId="56" priority="84" operator="lessThan">
      <formula>0.001</formula>
    </cfRule>
  </conditionalFormatting>
  <conditionalFormatting sqref="E87:E150">
    <cfRule type="cellIs" dxfId="55" priority="82" operator="lessThan">
      <formula>0.001</formula>
    </cfRule>
  </conditionalFormatting>
  <conditionalFormatting sqref="Q17:Q78">
    <cfRule type="dataBar" priority="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{26540530-354F-4C90-8F97-659C1BB30D5F}</x14:id>
        </ext>
      </extLst>
    </cfRule>
  </conditionalFormatting>
  <conditionalFormatting sqref="M157:M220">
    <cfRule type="dataBar" priority="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{1DD29FBC-AB46-40D3-B19B-17676D27AAD4}</x14:id>
        </ext>
      </extLst>
    </cfRule>
  </conditionalFormatting>
  <conditionalFormatting sqref="N157:N220">
    <cfRule type="dataBar" priority="5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{B3B3081D-A1DE-4432-A25A-4E80CA073958}</x14:id>
        </ext>
      </extLst>
    </cfRule>
  </conditionalFormatting>
  <conditionalFormatting sqref="P159:P220">
    <cfRule type="dataBar" priority="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{41D4FBBA-6340-4047-89B0-17AE0D66A99D}</x14:id>
        </ext>
      </extLst>
    </cfRule>
  </conditionalFormatting>
  <conditionalFormatting sqref="Q159:Q220">
    <cfRule type="dataBar" priority="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{B97FBDA4-E448-4C79-9745-3B45D680D6C6}</x14:id>
        </ext>
      </extLst>
    </cfRule>
  </conditionalFormatting>
  <conditionalFormatting sqref="E157:E220">
    <cfRule type="cellIs" dxfId="54" priority="56" operator="lessThan">
      <formula>0.001</formula>
    </cfRule>
  </conditionalFormatting>
  <conditionalFormatting sqref="U89:W150">
    <cfRule type="dataBar" priority="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{A132ED77-908F-4208-B1D2-DC99C7F22984}</x14:id>
        </ext>
      </extLst>
    </cfRule>
  </conditionalFormatting>
  <conditionalFormatting sqref="U17:W78">
    <cfRule type="dataBar" priority="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{0A1046A5-66AD-4D81-96F2-EB9FB0ED1CDC}</x14:id>
        </ext>
      </extLst>
    </cfRule>
  </conditionalFormatting>
  <conditionalFormatting sqref="U159:W220">
    <cfRule type="dataBar" priority="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{4F80582F-A99B-4FB6-B29D-7CFE1247AD40}</x14:id>
        </ext>
      </extLst>
    </cfRule>
  </conditionalFormatting>
  <conditionalFormatting sqref="X98:X126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{1071E693-6420-4053-AEBA-581A906D4A73}</x14:id>
        </ext>
      </extLst>
    </cfRule>
  </conditionalFormatting>
  <conditionalFormatting sqref="N15:N79">
    <cfRule type="dataBar" priority="12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{AAB533B8-3805-4237-9CEF-5CFBF42C6FDB}</x14:id>
        </ext>
      </extLst>
    </cfRule>
  </conditionalFormatting>
  <conditionalFormatting sqref="N87:N150">
    <cfRule type="dataBar" priority="1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{E2E159E4-A7FF-4391-86CD-FE1C37AD416F}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348251-F879-4FA2-855C-01FC17F26B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M17:M78</xm:sqref>
        </x14:conditionalFormatting>
        <x14:conditionalFormatting xmlns:xm="http://schemas.microsoft.com/office/excel/2006/main">
          <x14:cfRule type="dataBar" id="{B9D4AAFA-E67C-46F1-9FD3-F83CD5F161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M87:M150</xm:sqref>
        </x14:conditionalFormatting>
        <x14:conditionalFormatting xmlns:xm="http://schemas.microsoft.com/office/excel/2006/main">
          <x14:cfRule type="dataBar" id="{97CA0ECF-77D9-49DF-A5FB-B15A3E3500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P17:P78</xm:sqref>
        </x14:conditionalFormatting>
        <x14:conditionalFormatting xmlns:xm="http://schemas.microsoft.com/office/excel/2006/main">
          <x14:cfRule type="dataBar" id="{A53702D9-5261-4673-80D8-2B1594BF80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P89:P150</xm:sqref>
        </x14:conditionalFormatting>
        <x14:conditionalFormatting xmlns:xm="http://schemas.microsoft.com/office/excel/2006/main">
          <x14:cfRule type="dataBar" id="{33A53229-D91F-4FEF-BEAB-262D4A0680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Q89:Q150</xm:sqref>
        </x14:conditionalFormatting>
        <x14:conditionalFormatting xmlns:xm="http://schemas.microsoft.com/office/excel/2006/main">
          <x14:cfRule type="dataBar" id="{26540530-354F-4C90-8F97-659C1BB30D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Q17:Q78</xm:sqref>
        </x14:conditionalFormatting>
        <x14:conditionalFormatting xmlns:xm="http://schemas.microsoft.com/office/excel/2006/main">
          <x14:cfRule type="dataBar" id="{1DD29FBC-AB46-40D3-B19B-17676D27AA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M157:M220</xm:sqref>
        </x14:conditionalFormatting>
        <x14:conditionalFormatting xmlns:xm="http://schemas.microsoft.com/office/excel/2006/main">
          <x14:cfRule type="dataBar" id="{B3B3081D-A1DE-4432-A25A-4E80CA0739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N157:N220</xm:sqref>
        </x14:conditionalFormatting>
        <x14:conditionalFormatting xmlns:xm="http://schemas.microsoft.com/office/excel/2006/main">
          <x14:cfRule type="dataBar" id="{41D4FBBA-6340-4047-89B0-17AE0D66A9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P159:P220</xm:sqref>
        </x14:conditionalFormatting>
        <x14:conditionalFormatting xmlns:xm="http://schemas.microsoft.com/office/excel/2006/main">
          <x14:cfRule type="dataBar" id="{B97FBDA4-E448-4C79-9745-3B45D680D6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Q159:Q220</xm:sqref>
        </x14:conditionalFormatting>
        <x14:conditionalFormatting xmlns:xm="http://schemas.microsoft.com/office/excel/2006/main">
          <x14:cfRule type="dataBar" id="{A132ED77-908F-4208-B1D2-DC99C7F229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U89:W150</xm:sqref>
        </x14:conditionalFormatting>
        <x14:conditionalFormatting xmlns:xm="http://schemas.microsoft.com/office/excel/2006/main">
          <x14:cfRule type="dataBar" id="{0A1046A5-66AD-4D81-96F2-EB9FB0ED1C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U17:W78</xm:sqref>
        </x14:conditionalFormatting>
        <x14:conditionalFormatting xmlns:xm="http://schemas.microsoft.com/office/excel/2006/main">
          <x14:cfRule type="dataBar" id="{4F80582F-A99B-4FB6-B29D-7CFE1247AD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U159:W220</xm:sqref>
        </x14:conditionalFormatting>
        <x14:conditionalFormatting xmlns:xm="http://schemas.microsoft.com/office/excel/2006/main">
          <x14:cfRule type="dataBar" id="{1071E693-6420-4053-AEBA-581A906D4A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X98:X126</xm:sqref>
        </x14:conditionalFormatting>
        <x14:conditionalFormatting xmlns:xm="http://schemas.microsoft.com/office/excel/2006/main">
          <x14:cfRule type="dataBar" id="{AAB533B8-3805-4237-9CEF-5CFBF42C6F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N15:N79</xm:sqref>
        </x14:conditionalFormatting>
        <x14:conditionalFormatting xmlns:xm="http://schemas.microsoft.com/office/excel/2006/main">
          <x14:cfRule type="dataBar" id="{E2E159E4-A7FF-4391-86CD-FE1C37AD4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N87:N150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40796-5405-4C25-AE70-08EF1A591504}">
  <sheetPr codeName="工作表3"/>
  <dimension ref="A2:BH62"/>
  <sheetViews>
    <sheetView workbookViewId="0"/>
  </sheetViews>
  <sheetFormatPr defaultRowHeight="15.6"/>
  <cols>
    <col min="1" max="1" width="8.88671875" style="24"/>
    <col min="2" max="7" width="8.21875" style="24" customWidth="1"/>
    <col min="8" max="8" width="8.88671875" style="24"/>
    <col min="9" max="14" width="7.21875" style="24" customWidth="1"/>
    <col min="15" max="15" width="8.88671875" style="24"/>
    <col min="16" max="21" width="6.33203125" style="24" customWidth="1"/>
    <col min="22" max="22" width="8.88671875" style="24"/>
    <col min="23" max="28" width="6.33203125" style="24" customWidth="1"/>
    <col min="29" max="29" width="8.88671875" style="24"/>
    <col min="30" max="35" width="6.33203125" style="24" customWidth="1"/>
    <col min="36" max="36" width="8.88671875" style="24"/>
    <col min="37" max="42" width="6.33203125" style="24" customWidth="1"/>
    <col min="43" max="43" width="8.88671875" style="24"/>
    <col min="44" max="49" width="7.109375" style="24" customWidth="1"/>
    <col min="50" max="50" width="8.88671875" style="24"/>
    <col min="51" max="56" width="7.109375" style="24" customWidth="1"/>
    <col min="57" max="16384" width="8.88671875" style="24"/>
  </cols>
  <sheetData>
    <row r="2" spans="1:60">
      <c r="B2" s="121" t="s">
        <v>111</v>
      </c>
      <c r="AQ2" s="121" t="s">
        <v>117</v>
      </c>
    </row>
    <row r="3" spans="1:60">
      <c r="I3" s="24" t="s">
        <v>112</v>
      </c>
    </row>
    <row r="4" spans="1:60">
      <c r="I4" s="24" t="s">
        <v>113</v>
      </c>
      <c r="AR4" s="24" t="s">
        <v>118</v>
      </c>
      <c r="AS4" s="24">
        <v>0.3</v>
      </c>
    </row>
    <row r="5" spans="1:60">
      <c r="AK5" s="24">
        <v>200</v>
      </c>
      <c r="AL5" s="24">
        <v>200</v>
      </c>
      <c r="AM5" s="24">
        <v>200</v>
      </c>
      <c r="AN5" s="24">
        <v>200</v>
      </c>
      <c r="AO5" s="24">
        <v>200</v>
      </c>
      <c r="AP5" s="24">
        <v>200</v>
      </c>
    </row>
    <row r="6" spans="1:60">
      <c r="B6" s="20" t="s">
        <v>6</v>
      </c>
      <c r="C6" s="20" t="s">
        <v>7</v>
      </c>
      <c r="D6" s="20" t="s">
        <v>8</v>
      </c>
      <c r="E6" s="20" t="s">
        <v>9</v>
      </c>
      <c r="F6" s="20" t="s">
        <v>10</v>
      </c>
      <c r="G6" s="20" t="s">
        <v>108</v>
      </c>
      <c r="I6" s="20" t="s">
        <v>6</v>
      </c>
      <c r="J6" s="20" t="s">
        <v>7</v>
      </c>
      <c r="K6" s="20" t="s">
        <v>8</v>
      </c>
      <c r="L6" s="20" t="s">
        <v>9</v>
      </c>
      <c r="M6" s="20" t="s">
        <v>10</v>
      </c>
      <c r="N6" s="20" t="s">
        <v>108</v>
      </c>
      <c r="P6" s="20" t="s">
        <v>6</v>
      </c>
      <c r="Q6" s="20" t="s">
        <v>7</v>
      </c>
      <c r="R6" s="20" t="s">
        <v>8</v>
      </c>
      <c r="S6" s="20" t="s">
        <v>9</v>
      </c>
      <c r="T6" s="20" t="s">
        <v>10</v>
      </c>
      <c r="U6" s="20" t="s">
        <v>108</v>
      </c>
      <c r="W6" s="20" t="s">
        <v>6</v>
      </c>
      <c r="X6" s="20" t="s">
        <v>7</v>
      </c>
      <c r="Y6" s="20" t="s">
        <v>8</v>
      </c>
      <c r="Z6" s="20" t="s">
        <v>9</v>
      </c>
      <c r="AA6" s="20" t="s">
        <v>10</v>
      </c>
      <c r="AB6" s="20" t="s">
        <v>108</v>
      </c>
      <c r="AD6" s="20" t="s">
        <v>6</v>
      </c>
      <c r="AE6" s="20" t="s">
        <v>7</v>
      </c>
      <c r="AF6" s="20" t="s">
        <v>8</v>
      </c>
      <c r="AG6" s="20" t="s">
        <v>9</v>
      </c>
      <c r="AH6" s="20" t="s">
        <v>10</v>
      </c>
      <c r="AI6" s="20" t="s">
        <v>108</v>
      </c>
      <c r="AK6" s="20" t="s">
        <v>6</v>
      </c>
      <c r="AL6" s="20" t="s">
        <v>7</v>
      </c>
      <c r="AM6" s="20" t="s">
        <v>8</v>
      </c>
      <c r="AN6" s="20" t="s">
        <v>9</v>
      </c>
      <c r="AO6" s="20" t="s">
        <v>10</v>
      </c>
      <c r="AP6" s="20" t="s">
        <v>108</v>
      </c>
      <c r="AR6" s="20" t="s">
        <v>6</v>
      </c>
      <c r="AS6" s="20" t="s">
        <v>7</v>
      </c>
      <c r="AT6" s="20" t="s">
        <v>8</v>
      </c>
      <c r="AU6" s="20" t="s">
        <v>9</v>
      </c>
      <c r="AV6" s="20" t="s">
        <v>10</v>
      </c>
      <c r="AW6" s="20" t="s">
        <v>108</v>
      </c>
    </row>
    <row r="7" spans="1:60">
      <c r="A7" s="123" t="s">
        <v>21</v>
      </c>
      <c r="B7" s="49">
        <v>2</v>
      </c>
      <c r="C7" s="49">
        <v>31</v>
      </c>
      <c r="D7" s="49">
        <v>6</v>
      </c>
      <c r="E7" s="49">
        <v>38</v>
      </c>
      <c r="F7" s="49">
        <v>38</v>
      </c>
      <c r="G7" s="49">
        <v>1</v>
      </c>
      <c r="I7" s="49">
        <v>-0.5</v>
      </c>
      <c r="J7" s="49">
        <v>-0.5</v>
      </c>
      <c r="K7" s="49">
        <v>-0.5</v>
      </c>
      <c r="L7" s="49">
        <v>-0.5</v>
      </c>
      <c r="M7" s="49">
        <v>-0.5</v>
      </c>
      <c r="N7" s="49">
        <v>-0.5</v>
      </c>
      <c r="P7" s="49" cm="1">
        <f t="array" ref="P7:U7">_xlfn.LET(_xlpm.x, B7:G7, _xlpm.val, INT(_xlpm.x+(_xlpm.x-AVERAGE(_xlpm.x))*I7:N7), IF(_xlpm.val&lt;0, 0, _xlpm.val))</f>
        <v>10</v>
      </c>
      <c r="Q7" s="49">
        <v>25</v>
      </c>
      <c r="R7" s="49">
        <v>12</v>
      </c>
      <c r="S7" s="49">
        <v>28</v>
      </c>
      <c r="T7" s="49">
        <v>28</v>
      </c>
      <c r="U7" s="49">
        <v>10</v>
      </c>
      <c r="W7" s="49">
        <v>1</v>
      </c>
      <c r="X7" s="49">
        <v>1</v>
      </c>
      <c r="Y7" s="49">
        <v>1</v>
      </c>
      <c r="Z7" s="49">
        <v>1</v>
      </c>
      <c r="AA7" s="49">
        <v>1</v>
      </c>
      <c r="AB7" s="49">
        <v>1</v>
      </c>
      <c r="AD7" s="49" cm="1">
        <f t="array" ref="AD7:AI14">P7:U14*W7:AB14</f>
        <v>10</v>
      </c>
      <c r="AE7" s="49">
        <v>25</v>
      </c>
      <c r="AF7" s="49">
        <v>12</v>
      </c>
      <c r="AG7" s="49">
        <v>28</v>
      </c>
      <c r="AH7" s="49">
        <v>28</v>
      </c>
      <c r="AI7" s="49">
        <v>10</v>
      </c>
      <c r="AK7" s="49" cm="1">
        <f t="array" ref="AK7:AK14">_xlfn.LET(_xlpm.x, AD7:AD14, INT(_xlpm.x/SUM(_xlpm.x)*200))</f>
        <v>10</v>
      </c>
      <c r="AL7" s="49" cm="1">
        <f t="array" ref="AL7:AL14">_xlfn.LET(_xlpm.x, AE7:AE14, INT(_xlpm.x/SUM(_xlpm.x)*200))</f>
        <v>26</v>
      </c>
      <c r="AM7" s="49" cm="1">
        <f t="array" ref="AM7:AM14">_xlfn.LET(_xlpm.x, AF7:AF14, INT(_xlpm.x/SUM(_xlpm.x)*200))</f>
        <v>12</v>
      </c>
      <c r="AN7" s="49" cm="1">
        <f t="array" ref="AN7:AN14">_xlfn.LET(_xlpm.x, AG7:AG14, INT(_xlpm.x/SUM(_xlpm.x)*200))</f>
        <v>29</v>
      </c>
      <c r="AO7" s="49" cm="1">
        <f t="array" ref="AO7:AO14">_xlfn.LET(_xlpm.x, AH7:AH14, INT(_xlpm.x/SUM(_xlpm.x)*200))</f>
        <v>29</v>
      </c>
      <c r="AP7" s="49" cm="1">
        <f t="array" ref="AP7:AP14">_xlfn.LET(_xlpm.x, AI7:AI14, INT(_xlpm.x/SUM(_xlpm.x)*200))</f>
        <v>10</v>
      </c>
      <c r="AR7" s="49" cm="1">
        <f t="array" ref="AR7:AS14">P7:Q14</f>
        <v>10</v>
      </c>
      <c r="AS7" s="49">
        <v>25</v>
      </c>
      <c r="AT7" s="49" cm="1">
        <f t="array" ref="AT7:AU14">R7:S14-_xlfn.ANCHORARRAY(AT15)</f>
        <v>9</v>
      </c>
      <c r="AU7" s="49">
        <v>20</v>
      </c>
      <c r="AV7" s="49" cm="1">
        <f t="array" ref="AV7:AW14">T7:U14</f>
        <v>28</v>
      </c>
      <c r="AW7" s="49">
        <v>10</v>
      </c>
      <c r="AY7" s="24" cm="1">
        <f t="array" ref="AY7:BD14">AR7:AW14+AR15:AW22</f>
        <v>10</v>
      </c>
      <c r="AZ7" s="24">
        <v>25</v>
      </c>
      <c r="BA7" s="24">
        <v>12</v>
      </c>
      <c r="BB7" s="24">
        <v>28</v>
      </c>
      <c r="BC7" s="24">
        <v>28</v>
      </c>
      <c r="BD7" s="24">
        <v>10</v>
      </c>
      <c r="BG7" s="24">
        <v>16</v>
      </c>
      <c r="BH7" s="24" cm="1">
        <f t="array" ref="BH7:BH14">BG7:BG14-_xlfn.ANCHORARRAY(BH15)</f>
        <v>12</v>
      </c>
    </row>
    <row r="8" spans="1:60">
      <c r="A8" s="123" t="s">
        <v>22</v>
      </c>
      <c r="B8" s="49">
        <v>34</v>
      </c>
      <c r="C8" s="49">
        <v>4</v>
      </c>
      <c r="D8" s="49">
        <v>35</v>
      </c>
      <c r="E8" s="49">
        <v>8</v>
      </c>
      <c r="F8" s="49">
        <v>3</v>
      </c>
      <c r="G8" s="49">
        <v>33</v>
      </c>
      <c r="I8" s="49">
        <v>-0.5</v>
      </c>
      <c r="J8" s="49">
        <v>-0.5</v>
      </c>
      <c r="K8" s="49">
        <v>-0.5</v>
      </c>
      <c r="L8" s="49">
        <v>-0.5</v>
      </c>
      <c r="M8" s="49">
        <v>-0.5</v>
      </c>
      <c r="N8" s="49">
        <v>-0.5</v>
      </c>
      <c r="P8" s="49" cm="1">
        <f t="array" ref="P8:U8">_xlfn.LET(_xlpm.x, B8:G8, _xlpm.val, INT(_xlpm.x+(_xlpm.x-AVERAGE(_xlpm.x))*I8:N8), IF(_xlpm.val&lt;0, 0, _xlpm.val))</f>
        <v>26</v>
      </c>
      <c r="Q8" s="49">
        <v>11</v>
      </c>
      <c r="R8" s="49">
        <v>27</v>
      </c>
      <c r="S8" s="49">
        <v>13</v>
      </c>
      <c r="T8" s="49">
        <v>11</v>
      </c>
      <c r="U8" s="49">
        <v>26</v>
      </c>
      <c r="W8" s="49">
        <v>1</v>
      </c>
      <c r="X8" s="49">
        <v>1</v>
      </c>
      <c r="Y8" s="49">
        <v>1</v>
      </c>
      <c r="Z8" s="49">
        <v>1</v>
      </c>
      <c r="AA8" s="49">
        <v>1</v>
      </c>
      <c r="AB8" s="49">
        <v>1</v>
      </c>
      <c r="AD8" s="49">
        <v>26</v>
      </c>
      <c r="AE8" s="49">
        <v>11</v>
      </c>
      <c r="AF8" s="49">
        <v>27</v>
      </c>
      <c r="AG8" s="49">
        <v>13</v>
      </c>
      <c r="AH8" s="49">
        <v>11</v>
      </c>
      <c r="AI8" s="49">
        <v>26</v>
      </c>
      <c r="AK8" s="49">
        <v>27</v>
      </c>
      <c r="AL8" s="49">
        <v>11</v>
      </c>
      <c r="AM8" s="49">
        <v>27</v>
      </c>
      <c r="AN8" s="49">
        <v>13</v>
      </c>
      <c r="AO8" s="49">
        <v>11</v>
      </c>
      <c r="AP8" s="49">
        <v>26</v>
      </c>
      <c r="AR8" s="49">
        <v>26</v>
      </c>
      <c r="AS8" s="49">
        <v>11</v>
      </c>
      <c r="AT8" s="49">
        <v>19</v>
      </c>
      <c r="AU8" s="49">
        <v>10</v>
      </c>
      <c r="AV8" s="49">
        <v>11</v>
      </c>
      <c r="AW8" s="49">
        <v>26</v>
      </c>
      <c r="AY8" s="24">
        <v>26</v>
      </c>
      <c r="AZ8" s="24">
        <v>11</v>
      </c>
      <c r="BA8" s="24">
        <v>27</v>
      </c>
      <c r="BB8" s="24">
        <v>13</v>
      </c>
      <c r="BC8" s="24">
        <v>11</v>
      </c>
      <c r="BD8" s="24">
        <v>26</v>
      </c>
      <c r="BG8" s="24">
        <v>16</v>
      </c>
      <c r="BH8" s="24">
        <v>12</v>
      </c>
    </row>
    <row r="9" spans="1:60">
      <c r="A9" s="123" t="s">
        <v>18</v>
      </c>
      <c r="B9" s="49">
        <v>10</v>
      </c>
      <c r="C9" s="49">
        <v>46</v>
      </c>
      <c r="D9" s="49">
        <v>6</v>
      </c>
      <c r="E9" s="49">
        <v>44</v>
      </c>
      <c r="F9" s="49">
        <v>45</v>
      </c>
      <c r="G9" s="49">
        <v>4</v>
      </c>
      <c r="I9" s="49">
        <v>-0.5</v>
      </c>
      <c r="J9" s="49">
        <v>-0.5</v>
      </c>
      <c r="K9" s="49">
        <v>-0.5</v>
      </c>
      <c r="L9" s="49">
        <v>-0.5</v>
      </c>
      <c r="M9" s="49">
        <v>-0.5</v>
      </c>
      <c r="N9" s="49">
        <v>-0.5</v>
      </c>
      <c r="P9" s="49" cm="1">
        <f t="array" ref="P9:U9">_xlfn.LET(_xlpm.x, B9:G9, _xlpm.val, INT(_xlpm.x+(_xlpm.x-AVERAGE(_xlpm.x))*I9:N9), IF(_xlpm.val&lt;0, 0, _xlpm.val))</f>
        <v>17</v>
      </c>
      <c r="Q9" s="49">
        <v>35</v>
      </c>
      <c r="R9" s="49">
        <v>15</v>
      </c>
      <c r="S9" s="49">
        <v>34</v>
      </c>
      <c r="T9" s="49">
        <v>35</v>
      </c>
      <c r="U9" s="49">
        <v>14</v>
      </c>
      <c r="W9" s="49">
        <v>1</v>
      </c>
      <c r="X9" s="49">
        <v>1</v>
      </c>
      <c r="Y9" s="49">
        <v>1</v>
      </c>
      <c r="Z9" s="49">
        <v>1</v>
      </c>
      <c r="AA9" s="49">
        <v>1</v>
      </c>
      <c r="AB9" s="49">
        <v>1</v>
      </c>
      <c r="AD9" s="49">
        <v>17</v>
      </c>
      <c r="AE9" s="49">
        <v>35</v>
      </c>
      <c r="AF9" s="49">
        <v>15</v>
      </c>
      <c r="AG9" s="49">
        <v>34</v>
      </c>
      <c r="AH9" s="49">
        <v>35</v>
      </c>
      <c r="AI9" s="49">
        <v>14</v>
      </c>
      <c r="AK9" s="49">
        <v>17</v>
      </c>
      <c r="AL9" s="49">
        <v>36</v>
      </c>
      <c r="AM9" s="49">
        <v>15</v>
      </c>
      <c r="AN9" s="49">
        <v>35</v>
      </c>
      <c r="AO9" s="49">
        <v>36</v>
      </c>
      <c r="AP9" s="49">
        <v>14</v>
      </c>
      <c r="AR9" s="49">
        <v>17</v>
      </c>
      <c r="AS9" s="49">
        <v>35</v>
      </c>
      <c r="AT9" s="49">
        <v>11</v>
      </c>
      <c r="AU9" s="49">
        <v>24</v>
      </c>
      <c r="AV9" s="49">
        <v>35</v>
      </c>
      <c r="AW9" s="49">
        <v>14</v>
      </c>
      <c r="AY9" s="24">
        <v>17</v>
      </c>
      <c r="AZ9" s="24">
        <v>35</v>
      </c>
      <c r="BA9" s="24">
        <v>15</v>
      </c>
      <c r="BB9" s="24">
        <v>34</v>
      </c>
      <c r="BC9" s="24">
        <v>35</v>
      </c>
      <c r="BD9" s="24">
        <v>14</v>
      </c>
      <c r="BG9" s="24">
        <v>16</v>
      </c>
      <c r="BH9" s="24">
        <v>12</v>
      </c>
    </row>
    <row r="10" spans="1:60">
      <c r="A10" s="123" t="s">
        <v>19</v>
      </c>
      <c r="B10" s="49">
        <v>48</v>
      </c>
      <c r="C10" s="49">
        <v>13</v>
      </c>
      <c r="D10" s="49">
        <v>44</v>
      </c>
      <c r="E10" s="49">
        <v>7</v>
      </c>
      <c r="F10" s="49">
        <v>3</v>
      </c>
      <c r="G10" s="49">
        <v>45</v>
      </c>
      <c r="I10" s="49">
        <v>-0.5</v>
      </c>
      <c r="J10" s="49">
        <v>-0.5</v>
      </c>
      <c r="K10" s="49">
        <v>-0.5</v>
      </c>
      <c r="L10" s="49">
        <v>-0.5</v>
      </c>
      <c r="M10" s="49">
        <v>-0.5</v>
      </c>
      <c r="N10" s="49">
        <v>-0.5</v>
      </c>
      <c r="P10" s="49" cm="1">
        <f t="array" ref="P10:U10">_xlfn.LET(_xlpm.x, B10:G10, _xlpm.val, INT(_xlpm.x+(_xlpm.x-AVERAGE(_xlpm.x))*I10:N10), IF(_xlpm.val&lt;0, 0, _xlpm.val))</f>
        <v>37</v>
      </c>
      <c r="Q10" s="49">
        <v>19</v>
      </c>
      <c r="R10" s="49">
        <v>35</v>
      </c>
      <c r="S10" s="49">
        <v>16</v>
      </c>
      <c r="T10" s="49">
        <v>14</v>
      </c>
      <c r="U10" s="49">
        <v>35</v>
      </c>
      <c r="W10" s="49">
        <v>1</v>
      </c>
      <c r="X10" s="49">
        <v>1</v>
      </c>
      <c r="Y10" s="49">
        <v>1</v>
      </c>
      <c r="Z10" s="49">
        <v>1</v>
      </c>
      <c r="AA10" s="49">
        <v>1</v>
      </c>
      <c r="AB10" s="49">
        <v>1</v>
      </c>
      <c r="AD10" s="49">
        <v>37</v>
      </c>
      <c r="AE10" s="49">
        <v>19</v>
      </c>
      <c r="AF10" s="49">
        <v>35</v>
      </c>
      <c r="AG10" s="49">
        <v>16</v>
      </c>
      <c r="AH10" s="49">
        <v>14</v>
      </c>
      <c r="AI10" s="49">
        <v>35</v>
      </c>
      <c r="AK10" s="49">
        <v>38</v>
      </c>
      <c r="AL10" s="49">
        <v>19</v>
      </c>
      <c r="AM10" s="49">
        <v>36</v>
      </c>
      <c r="AN10" s="49">
        <v>16</v>
      </c>
      <c r="AO10" s="49">
        <v>14</v>
      </c>
      <c r="AP10" s="49">
        <v>36</v>
      </c>
      <c r="AR10" s="49">
        <v>37</v>
      </c>
      <c r="AS10" s="49">
        <v>19</v>
      </c>
      <c r="AT10" s="49">
        <v>25</v>
      </c>
      <c r="AU10" s="49">
        <v>12</v>
      </c>
      <c r="AV10" s="49">
        <v>14</v>
      </c>
      <c r="AW10" s="49">
        <v>35</v>
      </c>
      <c r="AY10" s="24">
        <v>37</v>
      </c>
      <c r="AZ10" s="24">
        <v>19</v>
      </c>
      <c r="BA10" s="24">
        <v>35</v>
      </c>
      <c r="BB10" s="24">
        <v>16</v>
      </c>
      <c r="BC10" s="24">
        <v>14</v>
      </c>
      <c r="BD10" s="24">
        <v>35</v>
      </c>
      <c r="BG10" s="24">
        <v>30</v>
      </c>
      <c r="BH10" s="24">
        <v>22</v>
      </c>
    </row>
    <row r="11" spans="1:60">
      <c r="A11" s="123" t="s">
        <v>37</v>
      </c>
      <c r="B11" s="49">
        <v>23</v>
      </c>
      <c r="C11" s="49">
        <v>50</v>
      </c>
      <c r="D11" s="49">
        <v>6</v>
      </c>
      <c r="E11" s="49">
        <v>48</v>
      </c>
      <c r="F11" s="49">
        <v>54</v>
      </c>
      <c r="G11" s="49">
        <v>9</v>
      </c>
      <c r="I11" s="49">
        <v>-0.5</v>
      </c>
      <c r="J11" s="49">
        <v>-0.5</v>
      </c>
      <c r="K11" s="49">
        <v>-0.5</v>
      </c>
      <c r="L11" s="49">
        <v>-0.5</v>
      </c>
      <c r="M11" s="49">
        <v>-0.5</v>
      </c>
      <c r="N11" s="49">
        <v>-0.5</v>
      </c>
      <c r="P11" s="49" cm="1">
        <f t="array" ref="P11:U11">_xlfn.LET(_xlpm.x, B11:G11, _xlpm.val, INT(_xlpm.x+(_xlpm.x-AVERAGE(_xlpm.x))*I11:N11), IF(_xlpm.val&lt;0, 0, _xlpm.val))</f>
        <v>27</v>
      </c>
      <c r="Q11" s="49">
        <v>40</v>
      </c>
      <c r="R11" s="49">
        <v>18</v>
      </c>
      <c r="S11" s="49">
        <v>39</v>
      </c>
      <c r="T11" s="49">
        <v>42</v>
      </c>
      <c r="U11" s="49">
        <v>20</v>
      </c>
      <c r="W11" s="49">
        <v>1</v>
      </c>
      <c r="X11" s="49">
        <v>1</v>
      </c>
      <c r="Y11" s="49">
        <v>1</v>
      </c>
      <c r="Z11" s="49">
        <v>1</v>
      </c>
      <c r="AA11" s="49">
        <v>1</v>
      </c>
      <c r="AB11" s="49">
        <v>1</v>
      </c>
      <c r="AD11" s="49">
        <v>27</v>
      </c>
      <c r="AE11" s="49">
        <v>40</v>
      </c>
      <c r="AF11" s="49">
        <v>18</v>
      </c>
      <c r="AG11" s="49">
        <v>39</v>
      </c>
      <c r="AH11" s="49">
        <v>42</v>
      </c>
      <c r="AI11" s="49">
        <v>20</v>
      </c>
      <c r="AK11" s="49">
        <v>28</v>
      </c>
      <c r="AL11" s="49">
        <v>41</v>
      </c>
      <c r="AM11" s="49">
        <v>18</v>
      </c>
      <c r="AN11" s="49">
        <v>40</v>
      </c>
      <c r="AO11" s="49">
        <v>43</v>
      </c>
      <c r="AP11" s="49">
        <v>20</v>
      </c>
      <c r="AR11" s="49">
        <v>27</v>
      </c>
      <c r="AS11" s="49">
        <v>40</v>
      </c>
      <c r="AT11" s="49">
        <v>13</v>
      </c>
      <c r="AU11" s="49">
        <v>28</v>
      </c>
      <c r="AV11" s="49">
        <v>42</v>
      </c>
      <c r="AW11" s="49">
        <v>20</v>
      </c>
      <c r="AY11" s="24">
        <v>27</v>
      </c>
      <c r="AZ11" s="24">
        <v>40</v>
      </c>
      <c r="BA11" s="24">
        <v>18</v>
      </c>
      <c r="BB11" s="24">
        <v>39</v>
      </c>
      <c r="BC11" s="24">
        <v>42</v>
      </c>
      <c r="BD11" s="24">
        <v>20</v>
      </c>
      <c r="BG11" s="24">
        <v>24</v>
      </c>
      <c r="BH11" s="24">
        <v>18</v>
      </c>
    </row>
    <row r="12" spans="1:60">
      <c r="A12" s="123" t="s">
        <v>35</v>
      </c>
      <c r="B12" s="49">
        <v>16</v>
      </c>
      <c r="C12" s="49">
        <v>40</v>
      </c>
      <c r="D12" s="49">
        <v>7</v>
      </c>
      <c r="E12" s="49">
        <v>39</v>
      </c>
      <c r="F12" s="49">
        <v>45</v>
      </c>
      <c r="G12" s="49">
        <v>6</v>
      </c>
      <c r="I12" s="49">
        <v>-0.5</v>
      </c>
      <c r="J12" s="49">
        <v>-0.5</v>
      </c>
      <c r="K12" s="49">
        <v>-0.5</v>
      </c>
      <c r="L12" s="49">
        <v>-0.5</v>
      </c>
      <c r="M12" s="49">
        <v>-0.5</v>
      </c>
      <c r="N12" s="49">
        <v>-0.5</v>
      </c>
      <c r="P12" s="49" cm="1">
        <f t="array" ref="P12:U12">_xlfn.LET(_xlpm.x, B12:G12, _xlpm.val, INT(_xlpm.x+(_xlpm.x-AVERAGE(_xlpm.x))*I12:N12), IF(_xlpm.val&lt;0, 0, _xlpm.val))</f>
        <v>20</v>
      </c>
      <c r="Q12" s="49">
        <v>32</v>
      </c>
      <c r="R12" s="49">
        <v>16</v>
      </c>
      <c r="S12" s="49">
        <v>32</v>
      </c>
      <c r="T12" s="49">
        <v>35</v>
      </c>
      <c r="U12" s="49">
        <v>15</v>
      </c>
      <c r="W12" s="49">
        <v>1</v>
      </c>
      <c r="X12" s="49">
        <v>1</v>
      </c>
      <c r="Y12" s="49">
        <v>1</v>
      </c>
      <c r="Z12" s="49">
        <v>1</v>
      </c>
      <c r="AA12" s="49">
        <v>1</v>
      </c>
      <c r="AB12" s="49">
        <v>1</v>
      </c>
      <c r="AD12" s="49">
        <v>20</v>
      </c>
      <c r="AE12" s="49">
        <v>32</v>
      </c>
      <c r="AF12" s="49">
        <v>16</v>
      </c>
      <c r="AG12" s="49">
        <v>32</v>
      </c>
      <c r="AH12" s="49">
        <v>35</v>
      </c>
      <c r="AI12" s="49">
        <v>15</v>
      </c>
      <c r="AK12" s="49">
        <v>20</v>
      </c>
      <c r="AL12" s="49">
        <v>33</v>
      </c>
      <c r="AM12" s="49">
        <v>16</v>
      </c>
      <c r="AN12" s="49">
        <v>33</v>
      </c>
      <c r="AO12" s="49">
        <v>36</v>
      </c>
      <c r="AP12" s="49">
        <v>15</v>
      </c>
      <c r="AR12" s="49">
        <v>20</v>
      </c>
      <c r="AS12" s="49">
        <v>32</v>
      </c>
      <c r="AT12" s="49">
        <v>12</v>
      </c>
      <c r="AU12" s="49">
        <v>23</v>
      </c>
      <c r="AV12" s="49">
        <v>35</v>
      </c>
      <c r="AW12" s="49">
        <v>15</v>
      </c>
      <c r="AY12" s="24">
        <v>20</v>
      </c>
      <c r="AZ12" s="24">
        <v>32</v>
      </c>
      <c r="BA12" s="24">
        <v>16</v>
      </c>
      <c r="BB12" s="24">
        <v>32</v>
      </c>
      <c r="BC12" s="24">
        <v>35</v>
      </c>
      <c r="BD12" s="24">
        <v>15</v>
      </c>
      <c r="BG12" s="24">
        <v>30</v>
      </c>
      <c r="BH12" s="24">
        <v>22</v>
      </c>
    </row>
    <row r="13" spans="1:60">
      <c r="A13" s="123" t="s">
        <v>34</v>
      </c>
      <c r="B13" s="49">
        <v>32</v>
      </c>
      <c r="C13" s="49">
        <v>9</v>
      </c>
      <c r="D13" s="49">
        <v>45</v>
      </c>
      <c r="E13" s="49">
        <v>6</v>
      </c>
      <c r="F13" s="49">
        <v>3</v>
      </c>
      <c r="G13" s="49">
        <v>47</v>
      </c>
      <c r="I13" s="49">
        <v>-0.5</v>
      </c>
      <c r="J13" s="49">
        <v>-0.5</v>
      </c>
      <c r="K13" s="49">
        <v>-0.5</v>
      </c>
      <c r="L13" s="49">
        <v>-0.5</v>
      </c>
      <c r="M13" s="49">
        <v>-0.5</v>
      </c>
      <c r="N13" s="49">
        <v>-0.5</v>
      </c>
      <c r="P13" s="49" cm="1">
        <f t="array" ref="P13:U13">_xlfn.LET(_xlpm.x, B13:G13, _xlpm.val, INT(_xlpm.x+(_xlpm.x-AVERAGE(_xlpm.x))*I13:N13), IF(_xlpm.val&lt;0, 0, _xlpm.val))</f>
        <v>27</v>
      </c>
      <c r="Q13" s="49">
        <v>16</v>
      </c>
      <c r="R13" s="49">
        <v>34</v>
      </c>
      <c r="S13" s="49">
        <v>14</v>
      </c>
      <c r="T13" s="49">
        <v>13</v>
      </c>
      <c r="U13" s="49">
        <v>35</v>
      </c>
      <c r="W13" s="49">
        <v>1</v>
      </c>
      <c r="X13" s="49">
        <v>1</v>
      </c>
      <c r="Y13" s="49">
        <v>1</v>
      </c>
      <c r="Z13" s="49">
        <v>1</v>
      </c>
      <c r="AA13" s="49">
        <v>1</v>
      </c>
      <c r="AB13" s="49">
        <v>1</v>
      </c>
      <c r="AD13" s="49">
        <v>27</v>
      </c>
      <c r="AE13" s="49">
        <v>16</v>
      </c>
      <c r="AF13" s="49">
        <v>34</v>
      </c>
      <c r="AG13" s="49">
        <v>14</v>
      </c>
      <c r="AH13" s="49">
        <v>13</v>
      </c>
      <c r="AI13" s="49">
        <v>35</v>
      </c>
      <c r="AK13" s="49">
        <v>28</v>
      </c>
      <c r="AL13" s="49">
        <v>16</v>
      </c>
      <c r="AM13" s="49">
        <v>35</v>
      </c>
      <c r="AN13" s="49">
        <v>14</v>
      </c>
      <c r="AO13" s="49">
        <v>13</v>
      </c>
      <c r="AP13" s="49">
        <v>36</v>
      </c>
      <c r="AR13" s="49">
        <v>27</v>
      </c>
      <c r="AS13" s="49">
        <v>16</v>
      </c>
      <c r="AT13" s="49">
        <v>24</v>
      </c>
      <c r="AU13" s="49">
        <v>10</v>
      </c>
      <c r="AV13" s="49">
        <v>13</v>
      </c>
      <c r="AW13" s="49">
        <v>35</v>
      </c>
      <c r="AY13" s="24">
        <v>27</v>
      </c>
      <c r="AZ13" s="24">
        <v>16</v>
      </c>
      <c r="BA13" s="24">
        <v>34</v>
      </c>
      <c r="BB13" s="24">
        <v>14</v>
      </c>
      <c r="BC13" s="24">
        <v>13</v>
      </c>
      <c r="BD13" s="24">
        <v>35</v>
      </c>
      <c r="BG13" s="24">
        <v>30</v>
      </c>
      <c r="BH13" s="24">
        <v>22</v>
      </c>
    </row>
    <row r="14" spans="1:60">
      <c r="A14" s="123" t="s">
        <v>36</v>
      </c>
      <c r="B14" s="49">
        <v>32</v>
      </c>
      <c r="C14" s="49">
        <v>4</v>
      </c>
      <c r="D14" s="49">
        <v>48</v>
      </c>
      <c r="E14" s="49">
        <v>7</v>
      </c>
      <c r="F14" s="49">
        <v>6</v>
      </c>
      <c r="G14" s="49">
        <v>52</v>
      </c>
      <c r="I14" s="49">
        <v>-0.5</v>
      </c>
      <c r="J14" s="49">
        <v>-0.5</v>
      </c>
      <c r="K14" s="49">
        <v>-0.5</v>
      </c>
      <c r="L14" s="49">
        <v>-0.5</v>
      </c>
      <c r="M14" s="49">
        <v>-0.5</v>
      </c>
      <c r="N14" s="49">
        <v>-0.5</v>
      </c>
      <c r="P14" s="49" cm="1">
        <f t="array" ref="P14:U14">_xlfn.LET(_xlpm.x, B14:G14, _xlpm.val, INT(_xlpm.x+(_xlpm.x-AVERAGE(_xlpm.x))*I14:N14), IF(_xlpm.val&lt;0, 0, _xlpm.val))</f>
        <v>28</v>
      </c>
      <c r="Q14" s="49">
        <v>14</v>
      </c>
      <c r="R14" s="49">
        <v>36</v>
      </c>
      <c r="S14" s="49">
        <v>15</v>
      </c>
      <c r="T14" s="49">
        <v>15</v>
      </c>
      <c r="U14" s="49">
        <v>38</v>
      </c>
      <c r="W14" s="49">
        <v>1</v>
      </c>
      <c r="X14" s="49">
        <v>1</v>
      </c>
      <c r="Y14" s="49">
        <v>1</v>
      </c>
      <c r="Z14" s="49">
        <v>1</v>
      </c>
      <c r="AA14" s="49">
        <v>1</v>
      </c>
      <c r="AB14" s="49">
        <v>1</v>
      </c>
      <c r="AD14" s="49">
        <v>28</v>
      </c>
      <c r="AE14" s="49">
        <v>14</v>
      </c>
      <c r="AF14" s="49">
        <v>36</v>
      </c>
      <c r="AG14" s="49">
        <v>15</v>
      </c>
      <c r="AH14" s="49">
        <v>15</v>
      </c>
      <c r="AI14" s="49">
        <v>38</v>
      </c>
      <c r="AK14" s="49">
        <v>29</v>
      </c>
      <c r="AL14" s="49">
        <v>14</v>
      </c>
      <c r="AM14" s="49">
        <v>37</v>
      </c>
      <c r="AN14" s="49">
        <v>15</v>
      </c>
      <c r="AO14" s="49">
        <v>15</v>
      </c>
      <c r="AP14" s="49">
        <v>39</v>
      </c>
      <c r="AR14" s="49">
        <v>28</v>
      </c>
      <c r="AS14" s="49">
        <v>14</v>
      </c>
      <c r="AT14" s="49">
        <v>26</v>
      </c>
      <c r="AU14" s="49">
        <v>11</v>
      </c>
      <c r="AV14" s="49">
        <v>15</v>
      </c>
      <c r="AW14" s="49">
        <v>38</v>
      </c>
      <c r="AY14" s="24">
        <v>28</v>
      </c>
      <c r="AZ14" s="24">
        <v>14</v>
      </c>
      <c r="BA14" s="24">
        <v>36</v>
      </c>
      <c r="BB14" s="24">
        <v>15</v>
      </c>
      <c r="BC14" s="24">
        <v>15</v>
      </c>
      <c r="BD14" s="24">
        <v>38</v>
      </c>
      <c r="BG14" s="24">
        <v>24</v>
      </c>
      <c r="BH14" s="24">
        <v>18</v>
      </c>
    </row>
    <row r="15" spans="1:60">
      <c r="B15" s="24">
        <f t="shared" ref="B15:G15" si="0">SUM(B7:B14)</f>
        <v>197</v>
      </c>
      <c r="C15" s="24">
        <f t="shared" si="0"/>
        <v>197</v>
      </c>
      <c r="D15" s="24">
        <f t="shared" si="0"/>
        <v>197</v>
      </c>
      <c r="E15" s="24">
        <f t="shared" si="0"/>
        <v>197</v>
      </c>
      <c r="F15" s="24">
        <f t="shared" si="0"/>
        <v>197</v>
      </c>
      <c r="G15" s="24">
        <f t="shared" si="0"/>
        <v>197</v>
      </c>
      <c r="P15" s="24">
        <f t="shared" ref="P15:U15" si="1">SUM(P7:P14)</f>
        <v>192</v>
      </c>
      <c r="Q15" s="24">
        <f t="shared" si="1"/>
        <v>192</v>
      </c>
      <c r="R15" s="24">
        <f t="shared" si="1"/>
        <v>193</v>
      </c>
      <c r="S15" s="24">
        <f t="shared" si="1"/>
        <v>191</v>
      </c>
      <c r="T15" s="24">
        <f t="shared" si="1"/>
        <v>193</v>
      </c>
      <c r="U15" s="24">
        <f t="shared" si="1"/>
        <v>193</v>
      </c>
      <c r="AD15" s="24">
        <f t="shared" ref="AD15:AI15" si="2">SUM(AD7:AD14)</f>
        <v>192</v>
      </c>
      <c r="AE15" s="24">
        <f t="shared" si="2"/>
        <v>192</v>
      </c>
      <c r="AF15" s="24">
        <f t="shared" si="2"/>
        <v>193</v>
      </c>
      <c r="AG15" s="24">
        <f t="shared" si="2"/>
        <v>191</v>
      </c>
      <c r="AH15" s="24">
        <f t="shared" si="2"/>
        <v>193</v>
      </c>
      <c r="AI15" s="24">
        <f t="shared" si="2"/>
        <v>193</v>
      </c>
      <c r="AK15" s="24">
        <f t="shared" ref="AK15:AP15" si="3">SUM(AK7:AK14)</f>
        <v>197</v>
      </c>
      <c r="AL15" s="24">
        <f t="shared" si="3"/>
        <v>196</v>
      </c>
      <c r="AM15" s="24">
        <f t="shared" si="3"/>
        <v>196</v>
      </c>
      <c r="AN15" s="24">
        <f t="shared" si="3"/>
        <v>195</v>
      </c>
      <c r="AO15" s="24">
        <f t="shared" si="3"/>
        <v>197</v>
      </c>
      <c r="AP15" s="24">
        <f t="shared" si="3"/>
        <v>196</v>
      </c>
      <c r="AR15" s="49">
        <v>0</v>
      </c>
      <c r="AS15" s="49">
        <v>0</v>
      </c>
      <c r="AT15" s="49" cm="1">
        <f t="array" ref="AT15:AU22">INT(AS4*R7:S14)</f>
        <v>3</v>
      </c>
      <c r="AU15" s="49">
        <v>8</v>
      </c>
      <c r="AV15" s="49">
        <v>0</v>
      </c>
      <c r="AW15" s="49">
        <v>0</v>
      </c>
      <c r="BH15" s="24" cm="1">
        <f t="array" ref="BH15:BH22">INT(BG7:BG14*0.27)</f>
        <v>4</v>
      </c>
    </row>
    <row r="16" spans="1:60">
      <c r="AR16" s="49">
        <v>0</v>
      </c>
      <c r="AS16" s="49">
        <v>0</v>
      </c>
      <c r="AT16" s="49">
        <v>8</v>
      </c>
      <c r="AU16" s="49">
        <v>3</v>
      </c>
      <c r="AV16" s="49">
        <v>0</v>
      </c>
      <c r="AW16" s="49">
        <v>0</v>
      </c>
      <c r="BH16" s="24">
        <v>4</v>
      </c>
    </row>
    <row r="17" spans="2:60">
      <c r="I17" s="20" t="s">
        <v>6</v>
      </c>
      <c r="J17" s="20" t="s">
        <v>7</v>
      </c>
      <c r="K17" s="20" t="s">
        <v>8</v>
      </c>
      <c r="L17" s="20" t="s">
        <v>9</v>
      </c>
      <c r="M17" s="20" t="s">
        <v>10</v>
      </c>
      <c r="N17" s="20" t="s">
        <v>108</v>
      </c>
      <c r="AR17" s="49">
        <v>0</v>
      </c>
      <c r="AS17" s="49">
        <v>0</v>
      </c>
      <c r="AT17" s="49">
        <v>4</v>
      </c>
      <c r="AU17" s="49">
        <v>10</v>
      </c>
      <c r="AV17" s="49">
        <v>0</v>
      </c>
      <c r="AW17" s="49">
        <v>0</v>
      </c>
      <c r="BH17" s="24">
        <v>4</v>
      </c>
    </row>
    <row r="18" spans="2:60">
      <c r="B18" s="24" cm="1">
        <f t="array" ref="B18:F25">BG_Symbol!C7:G14+BG_Symbol!C15:G22</f>
        <v>4</v>
      </c>
      <c r="C18" s="24">
        <v>15</v>
      </c>
      <c r="D18" s="24">
        <v>5</v>
      </c>
      <c r="E18" s="24">
        <v>25</v>
      </c>
      <c r="F18" s="24">
        <v>23</v>
      </c>
      <c r="I18" s="61" t="str" cm="1">
        <f t="array" ref="I18:N25">_xlfn.LET(_xlpm.x, I7:N14, _xlfn.IFS(_xlpm.x&lt;0, "平均", _xlpm.x&lt;1, "斷", TRUE, "斷爛"))</f>
        <v>平均</v>
      </c>
      <c r="J18" s="61" t="str">
        <v>平均</v>
      </c>
      <c r="K18" s="61" t="str">
        <v>平均</v>
      </c>
      <c r="L18" s="61" t="str">
        <v>平均</v>
      </c>
      <c r="M18" s="61" t="str">
        <v>平均</v>
      </c>
      <c r="N18" s="61" t="str">
        <v>平均</v>
      </c>
      <c r="AR18" s="49">
        <v>0</v>
      </c>
      <c r="AS18" s="49">
        <v>0</v>
      </c>
      <c r="AT18" s="49">
        <v>10</v>
      </c>
      <c r="AU18" s="49">
        <v>4</v>
      </c>
      <c r="AV18" s="49">
        <v>0</v>
      </c>
      <c r="AW18" s="49">
        <v>0</v>
      </c>
      <c r="BH18" s="24">
        <v>8</v>
      </c>
    </row>
    <row r="19" spans="2:60">
      <c r="B19" s="24">
        <v>4</v>
      </c>
      <c r="C19" s="24">
        <v>16</v>
      </c>
      <c r="D19" s="24">
        <v>5</v>
      </c>
      <c r="E19" s="24">
        <v>25</v>
      </c>
      <c r="F19" s="24">
        <v>22</v>
      </c>
      <c r="I19" s="61" t="str">
        <v>平均</v>
      </c>
      <c r="J19" s="61" t="str">
        <v>平均</v>
      </c>
      <c r="K19" s="61" t="str">
        <v>平均</v>
      </c>
      <c r="L19" s="61" t="str">
        <v>平均</v>
      </c>
      <c r="M19" s="61" t="str">
        <v>平均</v>
      </c>
      <c r="N19" s="61" t="str">
        <v>平均</v>
      </c>
      <c r="AR19" s="49">
        <v>0</v>
      </c>
      <c r="AS19" s="49">
        <v>0</v>
      </c>
      <c r="AT19" s="49">
        <v>5</v>
      </c>
      <c r="AU19" s="49">
        <v>11</v>
      </c>
      <c r="AV19" s="49">
        <v>0</v>
      </c>
      <c r="AW19" s="49">
        <v>0</v>
      </c>
      <c r="BH19" s="24">
        <v>6</v>
      </c>
    </row>
    <row r="20" spans="2:60">
      <c r="B20" s="24">
        <v>43</v>
      </c>
      <c r="C20" s="24">
        <v>25</v>
      </c>
      <c r="D20" s="24">
        <v>41</v>
      </c>
      <c r="E20" s="24">
        <v>18</v>
      </c>
      <c r="F20" s="24">
        <v>22</v>
      </c>
      <c r="I20" s="61" t="str">
        <v>平均</v>
      </c>
      <c r="J20" s="61" t="str">
        <v>平均</v>
      </c>
      <c r="K20" s="61" t="str">
        <v>平均</v>
      </c>
      <c r="L20" s="61" t="str">
        <v>平均</v>
      </c>
      <c r="M20" s="61" t="str">
        <v>平均</v>
      </c>
      <c r="N20" s="61" t="str">
        <v>平均</v>
      </c>
      <c r="AR20" s="49">
        <v>0</v>
      </c>
      <c r="AS20" s="49">
        <v>0</v>
      </c>
      <c r="AT20" s="49">
        <v>4</v>
      </c>
      <c r="AU20" s="49">
        <v>9</v>
      </c>
      <c r="AV20" s="49">
        <v>0</v>
      </c>
      <c r="AW20" s="49">
        <v>0</v>
      </c>
      <c r="BH20" s="24">
        <v>8</v>
      </c>
    </row>
    <row r="21" spans="2:60">
      <c r="B21" s="24">
        <v>43</v>
      </c>
      <c r="C21" s="24">
        <v>29</v>
      </c>
      <c r="D21" s="24">
        <v>44</v>
      </c>
      <c r="E21" s="24">
        <v>17</v>
      </c>
      <c r="F21" s="24">
        <v>22</v>
      </c>
      <c r="I21" s="61" t="str">
        <v>平均</v>
      </c>
      <c r="J21" s="61" t="str">
        <v>平均</v>
      </c>
      <c r="K21" s="61" t="str">
        <v>平均</v>
      </c>
      <c r="L21" s="61" t="str">
        <v>平均</v>
      </c>
      <c r="M21" s="61" t="str">
        <v>平均</v>
      </c>
      <c r="N21" s="61" t="str">
        <v>平均</v>
      </c>
      <c r="AR21" s="49">
        <v>0</v>
      </c>
      <c r="AS21" s="49">
        <v>0</v>
      </c>
      <c r="AT21" s="49">
        <v>10</v>
      </c>
      <c r="AU21" s="49">
        <v>4</v>
      </c>
      <c r="AV21" s="49">
        <v>0</v>
      </c>
      <c r="AW21" s="49">
        <v>0</v>
      </c>
      <c r="BH21" s="24">
        <v>8</v>
      </c>
    </row>
    <row r="22" spans="2:60">
      <c r="B22" s="24">
        <v>47</v>
      </c>
      <c r="C22" s="24">
        <v>29</v>
      </c>
      <c r="D22" s="24">
        <v>44</v>
      </c>
      <c r="E22" s="24">
        <v>17</v>
      </c>
      <c r="F22" s="24">
        <v>22</v>
      </c>
      <c r="I22" s="61" t="str">
        <v>平均</v>
      </c>
      <c r="J22" s="61" t="str">
        <v>平均</v>
      </c>
      <c r="K22" s="61" t="str">
        <v>平均</v>
      </c>
      <c r="L22" s="61" t="str">
        <v>平均</v>
      </c>
      <c r="M22" s="61" t="str">
        <v>平均</v>
      </c>
      <c r="N22" s="61" t="str">
        <v>平均</v>
      </c>
      <c r="AR22" s="49">
        <v>0</v>
      </c>
      <c r="AS22" s="49">
        <v>0</v>
      </c>
      <c r="AT22" s="49">
        <v>10</v>
      </c>
      <c r="AU22" s="49">
        <v>4</v>
      </c>
      <c r="AV22" s="49">
        <v>0</v>
      </c>
      <c r="AW22" s="49">
        <v>0</v>
      </c>
      <c r="BH22" s="24">
        <v>6</v>
      </c>
    </row>
    <row r="23" spans="2:60">
      <c r="B23" s="24">
        <v>47</v>
      </c>
      <c r="C23" s="24">
        <v>29</v>
      </c>
      <c r="D23" s="24">
        <v>44</v>
      </c>
      <c r="E23" s="24">
        <v>17</v>
      </c>
      <c r="F23" s="24">
        <v>22</v>
      </c>
      <c r="I23" s="61" t="str">
        <v>平均</v>
      </c>
      <c r="J23" s="61" t="str">
        <v>平均</v>
      </c>
      <c r="K23" s="61" t="str">
        <v>平均</v>
      </c>
      <c r="L23" s="61" t="str">
        <v>平均</v>
      </c>
      <c r="M23" s="61" t="str">
        <v>平均</v>
      </c>
      <c r="N23" s="61" t="str">
        <v>平均</v>
      </c>
    </row>
    <row r="24" spans="2:60">
      <c r="B24" s="24">
        <v>4</v>
      </c>
      <c r="C24" s="24">
        <v>19</v>
      </c>
      <c r="D24" s="24">
        <v>8</v>
      </c>
      <c r="E24" s="24">
        <v>23</v>
      </c>
      <c r="F24" s="24">
        <v>22</v>
      </c>
      <c r="I24" s="61" t="str">
        <v>平均</v>
      </c>
      <c r="J24" s="61" t="str">
        <v>平均</v>
      </c>
      <c r="K24" s="61" t="str">
        <v>平均</v>
      </c>
      <c r="L24" s="61" t="str">
        <v>平均</v>
      </c>
      <c r="M24" s="61" t="str">
        <v>平均</v>
      </c>
      <c r="N24" s="61" t="str">
        <v>平均</v>
      </c>
    </row>
    <row r="25" spans="2:60">
      <c r="B25" s="24">
        <v>4</v>
      </c>
      <c r="C25" s="24">
        <v>16</v>
      </c>
      <c r="D25" s="24">
        <v>4</v>
      </c>
      <c r="E25" s="24">
        <v>24</v>
      </c>
      <c r="F25" s="24">
        <v>22</v>
      </c>
      <c r="I25" s="61" t="str">
        <v>平均</v>
      </c>
      <c r="J25" s="61" t="str">
        <v>平均</v>
      </c>
      <c r="K25" s="61" t="str">
        <v>平均</v>
      </c>
      <c r="L25" s="61" t="str">
        <v>平均</v>
      </c>
      <c r="M25" s="61" t="str">
        <v>平均</v>
      </c>
      <c r="N25" s="61" t="str">
        <v>平均</v>
      </c>
    </row>
    <row r="29" spans="2:60">
      <c r="B29" s="121" t="s">
        <v>114</v>
      </c>
    </row>
    <row r="30" spans="2:60">
      <c r="P30" s="24" t="s">
        <v>115</v>
      </c>
      <c r="Q30" s="24">
        <v>50</v>
      </c>
    </row>
    <row r="31" spans="2:60">
      <c r="P31" s="24" t="s">
        <v>116</v>
      </c>
      <c r="Q31" s="24">
        <v>1.2</v>
      </c>
      <c r="AR31" s="24" t="s">
        <v>118</v>
      </c>
      <c r="AS31" s="24">
        <v>0.3</v>
      </c>
    </row>
    <row r="32" spans="2:60">
      <c r="AK32" s="24">
        <v>200</v>
      </c>
      <c r="AL32" s="24">
        <v>200</v>
      </c>
      <c r="AM32" s="24">
        <v>200</v>
      </c>
      <c r="AN32" s="24">
        <v>200</v>
      </c>
      <c r="AO32" s="24">
        <v>200</v>
      </c>
      <c r="AP32" s="24">
        <v>200</v>
      </c>
    </row>
    <row r="33" spans="1:56">
      <c r="B33" s="20" t="s">
        <v>6</v>
      </c>
      <c r="C33" s="20" t="s">
        <v>7</v>
      </c>
      <c r="D33" s="20" t="s">
        <v>8</v>
      </c>
      <c r="E33" s="20" t="s">
        <v>9</v>
      </c>
      <c r="F33" s="20" t="s">
        <v>10</v>
      </c>
      <c r="G33" s="20" t="s">
        <v>108</v>
      </c>
      <c r="P33" s="20" t="s">
        <v>6</v>
      </c>
      <c r="Q33" s="20" t="s">
        <v>7</v>
      </c>
      <c r="R33" s="20" t="s">
        <v>8</v>
      </c>
      <c r="S33" s="20" t="s">
        <v>9</v>
      </c>
      <c r="T33" s="20" t="s">
        <v>10</v>
      </c>
      <c r="U33" s="20" t="s">
        <v>108</v>
      </c>
      <c r="W33" s="20" t="s">
        <v>6</v>
      </c>
      <c r="X33" s="20" t="s">
        <v>7</v>
      </c>
      <c r="Y33" s="20" t="s">
        <v>8</v>
      </c>
      <c r="Z33" s="20" t="s">
        <v>9</v>
      </c>
      <c r="AA33" s="20" t="s">
        <v>10</v>
      </c>
      <c r="AB33" s="20" t="s">
        <v>108</v>
      </c>
      <c r="AD33" s="20" t="s">
        <v>6</v>
      </c>
      <c r="AE33" s="20" t="s">
        <v>7</v>
      </c>
      <c r="AF33" s="20" t="s">
        <v>8</v>
      </c>
      <c r="AG33" s="20" t="s">
        <v>9</v>
      </c>
      <c r="AH33" s="20" t="s">
        <v>10</v>
      </c>
      <c r="AI33" s="20" t="s">
        <v>108</v>
      </c>
      <c r="AK33" s="20" t="s">
        <v>6</v>
      </c>
      <c r="AL33" s="20" t="s">
        <v>7</v>
      </c>
      <c r="AM33" s="20" t="s">
        <v>8</v>
      </c>
      <c r="AN33" s="20" t="s">
        <v>9</v>
      </c>
      <c r="AO33" s="20" t="s">
        <v>10</v>
      </c>
      <c r="AP33" s="20" t="s">
        <v>108</v>
      </c>
      <c r="AR33" s="20" t="s">
        <v>6</v>
      </c>
      <c r="AS33" s="20" t="s">
        <v>7</v>
      </c>
      <c r="AT33" s="20" t="s">
        <v>8</v>
      </c>
      <c r="AU33" s="20" t="s">
        <v>9</v>
      </c>
      <c r="AV33" s="20" t="s">
        <v>10</v>
      </c>
      <c r="AW33" s="20" t="s">
        <v>108</v>
      </c>
    </row>
    <row r="34" spans="1:56">
      <c r="A34" s="123" t="s">
        <v>21</v>
      </c>
      <c r="B34" s="49">
        <v>2</v>
      </c>
      <c r="C34" s="49">
        <v>31</v>
      </c>
      <c r="D34" s="49">
        <v>6</v>
      </c>
      <c r="E34" s="49">
        <v>38</v>
      </c>
      <c r="F34" s="49">
        <v>38</v>
      </c>
      <c r="G34" s="49">
        <v>1</v>
      </c>
      <c r="P34" s="49" cm="1">
        <f t="array" ref="P34:U41">_xlfn.LET(_xlpm.x, INT($Q$30-B34:G41*Q31), IF(_xlpm.x&lt;0, 0, _xlpm.x))</f>
        <v>47</v>
      </c>
      <c r="Q34" s="49">
        <v>12</v>
      </c>
      <c r="R34" s="49">
        <v>42</v>
      </c>
      <c r="S34" s="49">
        <v>4</v>
      </c>
      <c r="T34" s="49">
        <v>4</v>
      </c>
      <c r="U34" s="49">
        <v>48</v>
      </c>
      <c r="W34" s="49">
        <v>1</v>
      </c>
      <c r="X34" s="49">
        <v>1</v>
      </c>
      <c r="Y34" s="49">
        <v>1</v>
      </c>
      <c r="Z34" s="49">
        <v>1</v>
      </c>
      <c r="AA34" s="49">
        <v>1</v>
      </c>
      <c r="AB34" s="49">
        <v>1</v>
      </c>
      <c r="AD34" s="49" cm="1">
        <f t="array" ref="AD34:AI41">P34:U41*W34:AB41</f>
        <v>47</v>
      </c>
      <c r="AE34" s="49">
        <v>12</v>
      </c>
      <c r="AF34" s="49">
        <v>42</v>
      </c>
      <c r="AG34" s="49">
        <v>4</v>
      </c>
      <c r="AH34" s="49">
        <v>4</v>
      </c>
      <c r="AI34" s="49">
        <v>48</v>
      </c>
      <c r="AK34" s="49" cm="1">
        <f t="array" ref="AK34:AK41">_xlfn.LET(_xlpm.x, AD34:AD41, INT(_xlpm.x/SUM(_xlpm.x)*200))</f>
        <v>55</v>
      </c>
      <c r="AL34" s="49" cm="1">
        <f t="array" ref="AL34:AL41">_xlfn.LET(_xlpm.x, AE34:AE41, INT(_xlpm.x/SUM(_xlpm.x)*200))</f>
        <v>13</v>
      </c>
      <c r="AM34" s="49" cm="1">
        <f t="array" ref="AM34:AM41">_xlfn.LET(_xlpm.x, AF34:AF41, INT(_xlpm.x/SUM(_xlpm.x)*200))</f>
        <v>48</v>
      </c>
      <c r="AN34" s="49" cm="1">
        <f t="array" ref="AN34:AN41">_xlfn.LET(_xlpm.x, AG34:AG41, INT(_xlpm.x/SUM(_xlpm.x)*200))</f>
        <v>4</v>
      </c>
      <c r="AO34" s="49" cm="1">
        <f t="array" ref="AO34:AO41">_xlfn.LET(_xlpm.x, AH34:AH41, INT(_xlpm.x/SUM(_xlpm.x)*200))</f>
        <v>4</v>
      </c>
      <c r="AP34" s="49" cm="1">
        <f t="array" ref="AP34:AP41">_xlfn.LET(_xlpm.x, AI34:AI41, INT(_xlpm.x/SUM(_xlpm.x)*200))</f>
        <v>52</v>
      </c>
      <c r="AR34" s="49" cm="1">
        <f t="array" ref="AR34:AS41">AK34:AL41</f>
        <v>55</v>
      </c>
      <c r="AS34" s="49">
        <v>13</v>
      </c>
      <c r="AT34" s="49" cm="1">
        <f t="array" ref="AT34:AU41">AM34:AN41-_xlfn.ANCHORARRAY(AT42)</f>
        <v>36</v>
      </c>
      <c r="AU34" s="49">
        <v>3</v>
      </c>
      <c r="AV34" s="49" cm="1">
        <f t="array" ref="AV34:AW41">AO34:AP41</f>
        <v>4</v>
      </c>
      <c r="AW34" s="49">
        <v>52</v>
      </c>
      <c r="AY34" s="24" cm="1">
        <f t="array" ref="AY34:BD41">AR34:AW41+AR42:AW49</f>
        <v>55</v>
      </c>
      <c r="AZ34" s="24">
        <v>13</v>
      </c>
      <c r="BA34" s="24">
        <v>48</v>
      </c>
      <c r="BB34" s="24">
        <v>4</v>
      </c>
      <c r="BC34" s="24">
        <v>4</v>
      </c>
      <c r="BD34" s="24">
        <v>52</v>
      </c>
    </row>
    <row r="35" spans="1:56">
      <c r="A35" s="123" t="s">
        <v>22</v>
      </c>
      <c r="B35" s="49">
        <v>34</v>
      </c>
      <c r="C35" s="49">
        <v>4</v>
      </c>
      <c r="D35" s="49">
        <v>35</v>
      </c>
      <c r="E35" s="49">
        <v>8</v>
      </c>
      <c r="F35" s="49">
        <v>3</v>
      </c>
      <c r="G35" s="49">
        <v>33</v>
      </c>
      <c r="P35" s="49">
        <v>9</v>
      </c>
      <c r="Q35" s="49">
        <v>45</v>
      </c>
      <c r="R35" s="49">
        <v>8</v>
      </c>
      <c r="S35" s="49">
        <v>40</v>
      </c>
      <c r="T35" s="49">
        <v>46</v>
      </c>
      <c r="U35" s="49">
        <v>10</v>
      </c>
      <c r="W35" s="49">
        <v>1</v>
      </c>
      <c r="X35" s="49">
        <v>1</v>
      </c>
      <c r="Y35" s="49">
        <v>1</v>
      </c>
      <c r="Z35" s="49">
        <v>1</v>
      </c>
      <c r="AA35" s="49">
        <v>1</v>
      </c>
      <c r="AB35" s="49">
        <v>1</v>
      </c>
      <c r="AD35" s="49">
        <v>9</v>
      </c>
      <c r="AE35" s="49">
        <v>45</v>
      </c>
      <c r="AF35" s="49">
        <v>8</v>
      </c>
      <c r="AG35" s="49">
        <v>40</v>
      </c>
      <c r="AH35" s="49">
        <v>46</v>
      </c>
      <c r="AI35" s="49">
        <v>10</v>
      </c>
      <c r="AK35" s="49">
        <v>10</v>
      </c>
      <c r="AL35" s="49">
        <v>50</v>
      </c>
      <c r="AM35" s="49">
        <v>9</v>
      </c>
      <c r="AN35" s="49">
        <v>46</v>
      </c>
      <c r="AO35" s="49">
        <v>50</v>
      </c>
      <c r="AP35" s="49">
        <v>10</v>
      </c>
      <c r="AR35" s="49">
        <v>10</v>
      </c>
      <c r="AS35" s="49">
        <v>50</v>
      </c>
      <c r="AT35" s="49">
        <v>7</v>
      </c>
      <c r="AU35" s="49">
        <v>34</v>
      </c>
      <c r="AV35" s="49">
        <v>50</v>
      </c>
      <c r="AW35" s="49">
        <v>10</v>
      </c>
      <c r="AY35" s="24">
        <v>10</v>
      </c>
      <c r="AZ35" s="24">
        <v>50</v>
      </c>
      <c r="BA35" s="24">
        <v>9</v>
      </c>
      <c r="BB35" s="24">
        <v>46</v>
      </c>
      <c r="BC35" s="24">
        <v>50</v>
      </c>
      <c r="BD35" s="24">
        <v>10</v>
      </c>
    </row>
    <row r="36" spans="1:56">
      <c r="A36" s="123" t="s">
        <v>18</v>
      </c>
      <c r="B36" s="49">
        <v>10</v>
      </c>
      <c r="C36" s="49">
        <v>46</v>
      </c>
      <c r="D36" s="49">
        <v>6</v>
      </c>
      <c r="E36" s="49">
        <v>44</v>
      </c>
      <c r="F36" s="49">
        <v>45</v>
      </c>
      <c r="G36" s="49">
        <v>4</v>
      </c>
      <c r="P36" s="49">
        <v>38</v>
      </c>
      <c r="Q36" s="49">
        <v>0</v>
      </c>
      <c r="R36" s="49">
        <v>42</v>
      </c>
      <c r="S36" s="49">
        <v>0</v>
      </c>
      <c r="T36" s="49">
        <v>0</v>
      </c>
      <c r="U36" s="49">
        <v>45</v>
      </c>
      <c r="W36" s="49">
        <v>1</v>
      </c>
      <c r="X36" s="49">
        <v>1</v>
      </c>
      <c r="Y36" s="49">
        <v>1</v>
      </c>
      <c r="Z36" s="49">
        <v>1</v>
      </c>
      <c r="AA36" s="49">
        <v>1</v>
      </c>
      <c r="AB36" s="49">
        <v>1</v>
      </c>
      <c r="AD36" s="49">
        <v>38</v>
      </c>
      <c r="AE36" s="49">
        <v>0</v>
      </c>
      <c r="AF36" s="49">
        <v>42</v>
      </c>
      <c r="AG36" s="49">
        <v>0</v>
      </c>
      <c r="AH36" s="49">
        <v>0</v>
      </c>
      <c r="AI36" s="49">
        <v>45</v>
      </c>
      <c r="AK36" s="49">
        <v>45</v>
      </c>
      <c r="AL36" s="49">
        <v>0</v>
      </c>
      <c r="AM36" s="49">
        <v>48</v>
      </c>
      <c r="AN36" s="49">
        <v>0</v>
      </c>
      <c r="AO36" s="49">
        <v>0</v>
      </c>
      <c r="AP36" s="49">
        <v>48</v>
      </c>
      <c r="AR36" s="49">
        <v>45</v>
      </c>
      <c r="AS36" s="49">
        <v>0</v>
      </c>
      <c r="AT36" s="49">
        <v>36</v>
      </c>
      <c r="AU36" s="49">
        <v>0</v>
      </c>
      <c r="AV36" s="49">
        <v>0</v>
      </c>
      <c r="AW36" s="49">
        <v>48</v>
      </c>
      <c r="AY36" s="24">
        <v>45</v>
      </c>
      <c r="AZ36" s="24">
        <v>0</v>
      </c>
      <c r="BA36" s="24">
        <v>48</v>
      </c>
      <c r="BB36" s="24">
        <v>0</v>
      </c>
      <c r="BC36" s="24">
        <v>0</v>
      </c>
      <c r="BD36" s="24">
        <v>48</v>
      </c>
    </row>
    <row r="37" spans="1:56">
      <c r="A37" s="123" t="s">
        <v>19</v>
      </c>
      <c r="B37" s="49">
        <v>48</v>
      </c>
      <c r="C37" s="49">
        <v>13</v>
      </c>
      <c r="D37" s="49">
        <v>44</v>
      </c>
      <c r="E37" s="49">
        <v>7</v>
      </c>
      <c r="F37" s="49">
        <v>3</v>
      </c>
      <c r="G37" s="49">
        <v>45</v>
      </c>
      <c r="P37" s="49">
        <v>0</v>
      </c>
      <c r="Q37" s="49">
        <v>34</v>
      </c>
      <c r="R37" s="49">
        <v>0</v>
      </c>
      <c r="S37" s="49">
        <v>41</v>
      </c>
      <c r="T37" s="49">
        <v>46</v>
      </c>
      <c r="U37" s="49">
        <v>0</v>
      </c>
      <c r="W37" s="49">
        <v>1</v>
      </c>
      <c r="X37" s="49">
        <v>1</v>
      </c>
      <c r="Y37" s="49">
        <v>1</v>
      </c>
      <c r="Z37" s="49">
        <v>1</v>
      </c>
      <c r="AA37" s="49">
        <v>1</v>
      </c>
      <c r="AB37" s="49">
        <v>1</v>
      </c>
      <c r="AD37" s="49">
        <v>0</v>
      </c>
      <c r="AE37" s="49">
        <v>34</v>
      </c>
      <c r="AF37" s="49">
        <v>0</v>
      </c>
      <c r="AG37" s="49">
        <v>41</v>
      </c>
      <c r="AH37" s="49">
        <v>46</v>
      </c>
      <c r="AI37" s="49">
        <v>0</v>
      </c>
      <c r="AK37" s="49">
        <v>0</v>
      </c>
      <c r="AL37" s="49">
        <v>38</v>
      </c>
      <c r="AM37" s="49">
        <v>0</v>
      </c>
      <c r="AN37" s="49">
        <v>47</v>
      </c>
      <c r="AO37" s="49">
        <v>50</v>
      </c>
      <c r="AP37" s="49">
        <v>0</v>
      </c>
      <c r="AR37" s="49">
        <v>0</v>
      </c>
      <c r="AS37" s="49">
        <v>38</v>
      </c>
      <c r="AT37" s="49">
        <v>0</v>
      </c>
      <c r="AU37" s="49">
        <v>35</v>
      </c>
      <c r="AV37" s="49">
        <v>50</v>
      </c>
      <c r="AW37" s="49">
        <v>0</v>
      </c>
      <c r="AY37" s="24">
        <v>0</v>
      </c>
      <c r="AZ37" s="24">
        <v>38</v>
      </c>
      <c r="BA37" s="24">
        <v>0</v>
      </c>
      <c r="BB37" s="24">
        <v>47</v>
      </c>
      <c r="BC37" s="24">
        <v>50</v>
      </c>
      <c r="BD37" s="24">
        <v>0</v>
      </c>
    </row>
    <row r="38" spans="1:56">
      <c r="A38" s="123" t="s">
        <v>37</v>
      </c>
      <c r="B38" s="49">
        <v>23</v>
      </c>
      <c r="C38" s="49">
        <v>50</v>
      </c>
      <c r="D38" s="49">
        <v>6</v>
      </c>
      <c r="E38" s="49">
        <v>48</v>
      </c>
      <c r="F38" s="49">
        <v>54</v>
      </c>
      <c r="G38" s="49">
        <v>9</v>
      </c>
      <c r="P38" s="49">
        <v>22</v>
      </c>
      <c r="Q38" s="49">
        <v>0</v>
      </c>
      <c r="R38" s="49">
        <v>42</v>
      </c>
      <c r="S38" s="49">
        <v>0</v>
      </c>
      <c r="T38" s="49">
        <v>0</v>
      </c>
      <c r="U38" s="49">
        <v>39</v>
      </c>
      <c r="W38" s="49">
        <v>1</v>
      </c>
      <c r="X38" s="49">
        <v>1</v>
      </c>
      <c r="Y38" s="49">
        <v>1</v>
      </c>
      <c r="Z38" s="49">
        <v>1</v>
      </c>
      <c r="AA38" s="49">
        <v>1</v>
      </c>
      <c r="AB38" s="49">
        <v>1</v>
      </c>
      <c r="AD38" s="49">
        <v>22</v>
      </c>
      <c r="AE38" s="49">
        <v>0</v>
      </c>
      <c r="AF38" s="49">
        <v>42</v>
      </c>
      <c r="AG38" s="49">
        <v>0</v>
      </c>
      <c r="AH38" s="49">
        <v>0</v>
      </c>
      <c r="AI38" s="49">
        <v>39</v>
      </c>
      <c r="AK38" s="49">
        <v>26</v>
      </c>
      <c r="AL38" s="49">
        <v>0</v>
      </c>
      <c r="AM38" s="49">
        <v>48</v>
      </c>
      <c r="AN38" s="49">
        <v>0</v>
      </c>
      <c r="AO38" s="49">
        <v>0</v>
      </c>
      <c r="AP38" s="49">
        <v>42</v>
      </c>
      <c r="AR38" s="49">
        <v>26</v>
      </c>
      <c r="AS38" s="49">
        <v>0</v>
      </c>
      <c r="AT38" s="49">
        <v>36</v>
      </c>
      <c r="AU38" s="49">
        <v>0</v>
      </c>
      <c r="AV38" s="49">
        <v>0</v>
      </c>
      <c r="AW38" s="49">
        <v>42</v>
      </c>
      <c r="AY38" s="24">
        <v>26</v>
      </c>
      <c r="AZ38" s="24">
        <v>0</v>
      </c>
      <c r="BA38" s="24">
        <v>48</v>
      </c>
      <c r="BB38" s="24">
        <v>0</v>
      </c>
      <c r="BC38" s="24">
        <v>0</v>
      </c>
      <c r="BD38" s="24">
        <v>42</v>
      </c>
    </row>
    <row r="39" spans="1:56">
      <c r="A39" s="123" t="s">
        <v>35</v>
      </c>
      <c r="B39" s="49">
        <v>16</v>
      </c>
      <c r="C39" s="49">
        <v>40</v>
      </c>
      <c r="D39" s="49">
        <v>7</v>
      </c>
      <c r="E39" s="49">
        <v>39</v>
      </c>
      <c r="F39" s="49">
        <v>45</v>
      </c>
      <c r="G39" s="49">
        <v>6</v>
      </c>
      <c r="P39" s="49">
        <v>30</v>
      </c>
      <c r="Q39" s="49">
        <v>2</v>
      </c>
      <c r="R39" s="49">
        <v>41</v>
      </c>
      <c r="S39" s="49">
        <v>3</v>
      </c>
      <c r="T39" s="49">
        <v>0</v>
      </c>
      <c r="U39" s="49">
        <v>42</v>
      </c>
      <c r="W39" s="49">
        <v>1</v>
      </c>
      <c r="X39" s="49">
        <v>1</v>
      </c>
      <c r="Y39" s="49">
        <v>1</v>
      </c>
      <c r="Z39" s="49">
        <v>1</v>
      </c>
      <c r="AA39" s="49">
        <v>1</v>
      </c>
      <c r="AB39" s="49">
        <v>1</v>
      </c>
      <c r="AD39" s="49">
        <v>30</v>
      </c>
      <c r="AE39" s="49">
        <v>2</v>
      </c>
      <c r="AF39" s="49">
        <v>41</v>
      </c>
      <c r="AG39" s="49">
        <v>3</v>
      </c>
      <c r="AH39" s="49">
        <v>0</v>
      </c>
      <c r="AI39" s="49">
        <v>42</v>
      </c>
      <c r="AK39" s="49">
        <v>35</v>
      </c>
      <c r="AL39" s="49">
        <v>2</v>
      </c>
      <c r="AM39" s="49">
        <v>46</v>
      </c>
      <c r="AN39" s="49">
        <v>3</v>
      </c>
      <c r="AO39" s="49">
        <v>0</v>
      </c>
      <c r="AP39" s="49">
        <v>45</v>
      </c>
      <c r="AR39" s="49">
        <v>35</v>
      </c>
      <c r="AS39" s="49">
        <v>2</v>
      </c>
      <c r="AT39" s="49">
        <v>34</v>
      </c>
      <c r="AU39" s="49">
        <v>3</v>
      </c>
      <c r="AV39" s="49">
        <v>0</v>
      </c>
      <c r="AW39" s="49">
        <v>45</v>
      </c>
      <c r="AY39" s="24">
        <v>35</v>
      </c>
      <c r="AZ39" s="24">
        <v>2</v>
      </c>
      <c r="BA39" s="24">
        <v>46</v>
      </c>
      <c r="BB39" s="24">
        <v>3</v>
      </c>
      <c r="BC39" s="24">
        <v>0</v>
      </c>
      <c r="BD39" s="24">
        <v>45</v>
      </c>
    </row>
    <row r="40" spans="1:56">
      <c r="A40" s="123" t="s">
        <v>34</v>
      </c>
      <c r="B40" s="49">
        <v>32</v>
      </c>
      <c r="C40" s="49">
        <v>9</v>
      </c>
      <c r="D40" s="49">
        <v>45</v>
      </c>
      <c r="E40" s="49">
        <v>6</v>
      </c>
      <c r="F40" s="49">
        <v>3</v>
      </c>
      <c r="G40" s="49">
        <v>47</v>
      </c>
      <c r="P40" s="49">
        <v>11</v>
      </c>
      <c r="Q40" s="49">
        <v>39</v>
      </c>
      <c r="R40" s="49">
        <v>0</v>
      </c>
      <c r="S40" s="49">
        <v>42</v>
      </c>
      <c r="T40" s="49">
        <v>46</v>
      </c>
      <c r="U40" s="49">
        <v>0</v>
      </c>
      <c r="W40" s="49">
        <v>1</v>
      </c>
      <c r="X40" s="49">
        <v>1</v>
      </c>
      <c r="Y40" s="49">
        <v>1</v>
      </c>
      <c r="Z40" s="49">
        <v>1</v>
      </c>
      <c r="AA40" s="49">
        <v>1</v>
      </c>
      <c r="AB40" s="49">
        <v>1</v>
      </c>
      <c r="AD40" s="49">
        <v>11</v>
      </c>
      <c r="AE40" s="49">
        <v>39</v>
      </c>
      <c r="AF40" s="49">
        <v>0</v>
      </c>
      <c r="AG40" s="49">
        <v>42</v>
      </c>
      <c r="AH40" s="49">
        <v>46</v>
      </c>
      <c r="AI40" s="49">
        <v>0</v>
      </c>
      <c r="AK40" s="49">
        <v>13</v>
      </c>
      <c r="AL40" s="49">
        <v>44</v>
      </c>
      <c r="AM40" s="49">
        <v>0</v>
      </c>
      <c r="AN40" s="49">
        <v>49</v>
      </c>
      <c r="AO40" s="49">
        <v>50</v>
      </c>
      <c r="AP40" s="49">
        <v>0</v>
      </c>
      <c r="AR40" s="49">
        <v>13</v>
      </c>
      <c r="AS40" s="49">
        <v>44</v>
      </c>
      <c r="AT40" s="49">
        <v>0</v>
      </c>
      <c r="AU40" s="49">
        <v>37</v>
      </c>
      <c r="AV40" s="49">
        <v>50</v>
      </c>
      <c r="AW40" s="49">
        <v>0</v>
      </c>
      <c r="AY40" s="24">
        <v>13</v>
      </c>
      <c r="AZ40" s="24">
        <v>44</v>
      </c>
      <c r="BA40" s="24">
        <v>0</v>
      </c>
      <c r="BB40" s="24">
        <v>49</v>
      </c>
      <c r="BC40" s="24">
        <v>50</v>
      </c>
      <c r="BD40" s="24">
        <v>0</v>
      </c>
    </row>
    <row r="41" spans="1:56">
      <c r="A41" s="123" t="s">
        <v>36</v>
      </c>
      <c r="B41" s="49">
        <v>32</v>
      </c>
      <c r="C41" s="49">
        <v>4</v>
      </c>
      <c r="D41" s="49">
        <v>48</v>
      </c>
      <c r="E41" s="49">
        <v>7</v>
      </c>
      <c r="F41" s="49">
        <v>6</v>
      </c>
      <c r="G41" s="49">
        <v>52</v>
      </c>
      <c r="P41" s="49">
        <v>11</v>
      </c>
      <c r="Q41" s="49">
        <v>45</v>
      </c>
      <c r="R41" s="49">
        <v>0</v>
      </c>
      <c r="S41" s="49">
        <v>41</v>
      </c>
      <c r="T41" s="49">
        <v>42</v>
      </c>
      <c r="U41" s="49">
        <v>0</v>
      </c>
      <c r="W41" s="49">
        <v>1</v>
      </c>
      <c r="X41" s="49">
        <v>1</v>
      </c>
      <c r="Y41" s="49">
        <v>1</v>
      </c>
      <c r="Z41" s="49">
        <v>1</v>
      </c>
      <c r="AA41" s="49">
        <v>1</v>
      </c>
      <c r="AB41" s="49">
        <v>1</v>
      </c>
      <c r="AD41" s="49">
        <v>11</v>
      </c>
      <c r="AE41" s="49">
        <v>45</v>
      </c>
      <c r="AF41" s="49">
        <v>0</v>
      </c>
      <c r="AG41" s="49">
        <v>41</v>
      </c>
      <c r="AH41" s="49">
        <v>42</v>
      </c>
      <c r="AI41" s="49">
        <v>0</v>
      </c>
      <c r="AK41" s="49">
        <v>13</v>
      </c>
      <c r="AL41" s="49">
        <v>50</v>
      </c>
      <c r="AM41" s="49">
        <v>0</v>
      </c>
      <c r="AN41" s="49">
        <v>47</v>
      </c>
      <c r="AO41" s="49">
        <v>45</v>
      </c>
      <c r="AP41" s="49">
        <v>0</v>
      </c>
      <c r="AR41" s="49">
        <v>13</v>
      </c>
      <c r="AS41" s="49">
        <v>50</v>
      </c>
      <c r="AT41" s="49">
        <v>0</v>
      </c>
      <c r="AU41" s="49">
        <v>35</v>
      </c>
      <c r="AV41" s="49">
        <v>45</v>
      </c>
      <c r="AW41" s="49">
        <v>0</v>
      </c>
      <c r="AY41" s="24">
        <v>13</v>
      </c>
      <c r="AZ41" s="24">
        <v>50</v>
      </c>
      <c r="BA41" s="24">
        <v>0</v>
      </c>
      <c r="BB41" s="24">
        <v>47</v>
      </c>
      <c r="BC41" s="24">
        <v>45</v>
      </c>
      <c r="BD41" s="24">
        <v>0</v>
      </c>
    </row>
    <row r="42" spans="1:56">
      <c r="B42" s="24">
        <f t="shared" ref="B42:G42" si="4">SUM(B34:B41)</f>
        <v>197</v>
      </c>
      <c r="C42" s="24">
        <f t="shared" si="4"/>
        <v>197</v>
      </c>
      <c r="D42" s="24">
        <f t="shared" si="4"/>
        <v>197</v>
      </c>
      <c r="E42" s="24">
        <f t="shared" si="4"/>
        <v>197</v>
      </c>
      <c r="F42" s="24">
        <f t="shared" si="4"/>
        <v>197</v>
      </c>
      <c r="G42" s="24">
        <f t="shared" si="4"/>
        <v>197</v>
      </c>
      <c r="P42" s="24">
        <f t="shared" ref="P42:U42" si="5">SUM(P34:P41)</f>
        <v>168</v>
      </c>
      <c r="Q42" s="24">
        <f t="shared" si="5"/>
        <v>177</v>
      </c>
      <c r="R42" s="24">
        <f t="shared" si="5"/>
        <v>175</v>
      </c>
      <c r="S42" s="24">
        <f t="shared" si="5"/>
        <v>171</v>
      </c>
      <c r="T42" s="24">
        <f t="shared" si="5"/>
        <v>184</v>
      </c>
      <c r="U42" s="24">
        <f t="shared" si="5"/>
        <v>184</v>
      </c>
      <c r="AD42" s="24">
        <f t="shared" ref="AD42:AI42" si="6">SUM(AD34:AD41)</f>
        <v>168</v>
      </c>
      <c r="AE42" s="24">
        <f t="shared" si="6"/>
        <v>177</v>
      </c>
      <c r="AF42" s="24">
        <f t="shared" si="6"/>
        <v>175</v>
      </c>
      <c r="AG42" s="24">
        <f t="shared" si="6"/>
        <v>171</v>
      </c>
      <c r="AH42" s="24">
        <f t="shared" si="6"/>
        <v>184</v>
      </c>
      <c r="AI42" s="24">
        <f t="shared" si="6"/>
        <v>184</v>
      </c>
      <c r="AK42" s="24">
        <f t="shared" ref="AK42:AP42" si="7">SUM(AK34:AK41)</f>
        <v>197</v>
      </c>
      <c r="AL42" s="24">
        <f t="shared" si="7"/>
        <v>197</v>
      </c>
      <c r="AM42" s="24">
        <f t="shared" si="7"/>
        <v>199</v>
      </c>
      <c r="AN42" s="24">
        <f t="shared" si="7"/>
        <v>196</v>
      </c>
      <c r="AO42" s="24">
        <f t="shared" si="7"/>
        <v>199</v>
      </c>
      <c r="AP42" s="24">
        <f t="shared" si="7"/>
        <v>197</v>
      </c>
      <c r="AR42" s="122">
        <v>0</v>
      </c>
      <c r="AS42" s="122">
        <v>0</v>
      </c>
      <c r="AT42" s="49" cm="1">
        <f t="array" ref="AT42:AU49">INT(AS31*R34:S41)</f>
        <v>12</v>
      </c>
      <c r="AU42" s="49">
        <v>1</v>
      </c>
      <c r="AV42" s="122">
        <v>0</v>
      </c>
      <c r="AW42" s="122">
        <v>0</v>
      </c>
    </row>
    <row r="43" spans="1:56">
      <c r="AR43" s="122">
        <v>0</v>
      </c>
      <c r="AS43" s="122">
        <v>0</v>
      </c>
      <c r="AT43" s="49">
        <v>2</v>
      </c>
      <c r="AU43" s="49">
        <v>12</v>
      </c>
      <c r="AV43" s="122">
        <v>0</v>
      </c>
      <c r="AW43" s="122">
        <v>0</v>
      </c>
    </row>
    <row r="44" spans="1:56">
      <c r="AR44" s="122">
        <v>0</v>
      </c>
      <c r="AS44" s="122">
        <v>0</v>
      </c>
      <c r="AT44" s="49">
        <v>12</v>
      </c>
      <c r="AU44" s="49">
        <v>0</v>
      </c>
      <c r="AV44" s="122">
        <v>0</v>
      </c>
      <c r="AW44" s="122">
        <v>0</v>
      </c>
    </row>
    <row r="45" spans="1:56">
      <c r="AR45" s="122">
        <v>0</v>
      </c>
      <c r="AS45" s="122">
        <v>0</v>
      </c>
      <c r="AT45" s="49">
        <v>0</v>
      </c>
      <c r="AU45" s="49">
        <v>12</v>
      </c>
      <c r="AV45" s="122">
        <v>0</v>
      </c>
      <c r="AW45" s="122">
        <v>0</v>
      </c>
    </row>
    <row r="46" spans="1:56">
      <c r="AR46" s="122">
        <v>0</v>
      </c>
      <c r="AS46" s="122">
        <v>0</v>
      </c>
      <c r="AT46" s="49">
        <v>12</v>
      </c>
      <c r="AU46" s="49">
        <v>0</v>
      </c>
      <c r="AV46" s="122">
        <v>0</v>
      </c>
      <c r="AW46" s="122">
        <v>0</v>
      </c>
    </row>
    <row r="47" spans="1:56">
      <c r="B47" s="123" t="s">
        <v>21</v>
      </c>
      <c r="C47" s="24" t="e" cm="1">
        <f t="array" ref="C47">#REF!+#REF!</f>
        <v>#REF!</v>
      </c>
      <c r="D47" s="24" t="e" cm="1">
        <f t="array" ref="D47">INT(_xlfn.ANCHORARRAY(C47)/10)</f>
        <v>#REF!</v>
      </c>
      <c r="E47" s="24">
        <v>9</v>
      </c>
      <c r="F47" s="24" cm="1">
        <f t="array" ref="F47:F54">E47:E54-_xlfn.ANCHORARRAY(F55)</f>
        <v>7</v>
      </c>
      <c r="AR47" s="122">
        <v>0</v>
      </c>
      <c r="AS47" s="122">
        <v>0</v>
      </c>
      <c r="AT47" s="49">
        <v>12</v>
      </c>
      <c r="AU47" s="49">
        <v>0</v>
      </c>
      <c r="AV47" s="122">
        <v>0</v>
      </c>
      <c r="AW47" s="122">
        <v>0</v>
      </c>
    </row>
    <row r="48" spans="1:56">
      <c r="B48" s="123" t="s">
        <v>22</v>
      </c>
      <c r="E48" s="24">
        <v>9</v>
      </c>
      <c r="F48" s="24">
        <v>7</v>
      </c>
      <c r="AR48" s="122">
        <v>0</v>
      </c>
      <c r="AS48" s="122">
        <v>0</v>
      </c>
      <c r="AT48" s="49">
        <v>0</v>
      </c>
      <c r="AU48" s="49">
        <v>12</v>
      </c>
      <c r="AV48" s="122">
        <v>0</v>
      </c>
      <c r="AW48" s="122">
        <v>0</v>
      </c>
    </row>
    <row r="49" spans="2:49">
      <c r="B49" s="123" t="s">
        <v>18</v>
      </c>
      <c r="E49" s="24">
        <v>14</v>
      </c>
      <c r="F49" s="24">
        <v>11</v>
      </c>
      <c r="AR49" s="122">
        <v>0</v>
      </c>
      <c r="AS49" s="122">
        <v>0</v>
      </c>
      <c r="AT49" s="49">
        <v>0</v>
      </c>
      <c r="AU49" s="49">
        <v>12</v>
      </c>
      <c r="AV49" s="122">
        <v>0</v>
      </c>
      <c r="AW49" s="122">
        <v>0</v>
      </c>
    </row>
    <row r="50" spans="2:49">
      <c r="B50" s="123" t="s">
        <v>19</v>
      </c>
      <c r="E50" s="24">
        <v>15</v>
      </c>
      <c r="F50" s="24">
        <v>11</v>
      </c>
    </row>
    <row r="51" spans="2:49">
      <c r="B51" s="123" t="s">
        <v>37</v>
      </c>
      <c r="E51" s="24">
        <v>21</v>
      </c>
      <c r="F51" s="24">
        <v>16</v>
      </c>
    </row>
    <row r="52" spans="2:49">
      <c r="B52" s="123" t="s">
        <v>35</v>
      </c>
      <c r="E52" s="24">
        <v>17</v>
      </c>
      <c r="F52" s="24">
        <v>13</v>
      </c>
    </row>
    <row r="53" spans="2:49">
      <c r="B53" s="123" t="s">
        <v>34</v>
      </c>
      <c r="E53" s="24">
        <v>15</v>
      </c>
      <c r="F53" s="24">
        <v>11</v>
      </c>
    </row>
    <row r="54" spans="2:49">
      <c r="B54" s="123" t="s">
        <v>36</v>
      </c>
      <c r="E54" s="24">
        <v>15</v>
      </c>
      <c r="F54" s="24">
        <v>11</v>
      </c>
    </row>
    <row r="55" spans="2:49">
      <c r="F55" s="24" cm="1">
        <f t="array" ref="F55:F62">INT(E47:E54*0.27)</f>
        <v>2</v>
      </c>
    </row>
    <row r="56" spans="2:49">
      <c r="F56" s="24">
        <v>2</v>
      </c>
    </row>
    <row r="57" spans="2:49">
      <c r="F57" s="24">
        <v>3</v>
      </c>
    </row>
    <row r="58" spans="2:49">
      <c r="F58" s="24">
        <v>4</v>
      </c>
    </row>
    <row r="59" spans="2:49">
      <c r="F59" s="24">
        <v>5</v>
      </c>
    </row>
    <row r="60" spans="2:49">
      <c r="F60" s="24">
        <v>4</v>
      </c>
    </row>
    <row r="61" spans="2:49">
      <c r="F61" s="24">
        <v>4</v>
      </c>
    </row>
    <row r="62" spans="2:49">
      <c r="F62" s="24">
        <v>4</v>
      </c>
    </row>
  </sheetData>
  <phoneticPr fontId="20" type="noConversion"/>
  <conditionalFormatting sqref="B7:G1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{B20615CA-5F49-4593-A9CD-218BD6AA183D}</x14:id>
        </ext>
      </extLst>
    </cfRule>
  </conditionalFormatting>
  <conditionalFormatting sqref="B19:G2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{7A8204A3-8CAD-4726-9F03-9E4273FF0097}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0615CA-5F49-4593-A9CD-218BD6AA18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B7:G14</xm:sqref>
        </x14:conditionalFormatting>
        <x14:conditionalFormatting xmlns:xm="http://schemas.microsoft.com/office/excel/2006/main">
          <x14:cfRule type="dataBar" id="{7A8204A3-8CAD-4726-9F03-9E4273FF00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B19:G26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B3:E55"/>
  <sheetViews>
    <sheetView workbookViewId="0"/>
  </sheetViews>
  <sheetFormatPr defaultRowHeight="15.6"/>
  <cols>
    <col min="1" max="1" width="8.88671875" style="24"/>
    <col min="2" max="2" width="20.33203125" style="17" customWidth="1"/>
    <col min="3" max="3" width="24.109375" style="24" bestFit="1" customWidth="1"/>
    <col min="4" max="5" width="20.5546875" style="24" customWidth="1"/>
    <col min="6" max="9" width="16.5546875" style="24" customWidth="1"/>
    <col min="10" max="10" width="8.88671875" style="24"/>
    <col min="11" max="11" width="12.44140625" style="24" bestFit="1" customWidth="1"/>
    <col min="12" max="12" width="11" style="24" bestFit="1" customWidth="1"/>
    <col min="13" max="16384" width="8.88671875" style="24"/>
  </cols>
  <sheetData>
    <row r="3" spans="2:5">
      <c r="B3" s="17" t="s">
        <v>124</v>
      </c>
    </row>
    <row r="4" spans="2:5">
      <c r="B4" s="97" t="s">
        <v>87</v>
      </c>
      <c r="C4" s="115"/>
      <c r="D4" s="115"/>
      <c r="E4" s="24" t="e">
        <f>SUM(D4:D5)/C4</f>
        <v>#DIV/0!</v>
      </c>
    </row>
    <row r="5" spans="2:5">
      <c r="B5" s="97" t="s">
        <v>86</v>
      </c>
      <c r="C5" s="49"/>
      <c r="D5" s="115"/>
    </row>
    <row r="7" spans="2:5">
      <c r="B7" s="17" t="s">
        <v>126</v>
      </c>
    </row>
    <row r="8" spans="2:5">
      <c r="B8" s="97" t="s">
        <v>87</v>
      </c>
      <c r="C8" s="134"/>
      <c r="D8" s="134"/>
      <c r="E8" s="24" t="e">
        <f>SUM(D8:D9)/C8</f>
        <v>#DIV/0!</v>
      </c>
    </row>
    <row r="9" spans="2:5">
      <c r="B9" s="97" t="s">
        <v>86</v>
      </c>
      <c r="C9" s="135"/>
      <c r="D9" s="134"/>
    </row>
    <row r="11" spans="2:5">
      <c r="B11" s="17" t="s">
        <v>130</v>
      </c>
    </row>
    <row r="12" spans="2:5">
      <c r="B12" s="97" t="s">
        <v>87</v>
      </c>
      <c r="C12" s="115"/>
      <c r="D12" s="115"/>
      <c r="E12" s="24" t="e">
        <f>SUM(D12:D13)/C12</f>
        <v>#DIV/0!</v>
      </c>
    </row>
    <row r="13" spans="2:5">
      <c r="B13" s="97" t="s">
        <v>86</v>
      </c>
      <c r="C13" s="49"/>
      <c r="D13" s="115"/>
    </row>
    <row r="15" spans="2:5">
      <c r="B15" s="17" t="s">
        <v>128</v>
      </c>
    </row>
    <row r="16" spans="2:5">
      <c r="B16" s="97" t="s">
        <v>87</v>
      </c>
      <c r="C16" s="115"/>
      <c r="D16" s="115"/>
      <c r="E16" s="24" t="e">
        <f>SUM(D16:D17)/C16</f>
        <v>#DIV/0!</v>
      </c>
    </row>
    <row r="17" spans="2:5">
      <c r="B17" s="97" t="s">
        <v>86</v>
      </c>
      <c r="C17" s="49"/>
      <c r="D17" s="115"/>
    </row>
    <row r="19" spans="2:5">
      <c r="B19" s="17" t="s">
        <v>132</v>
      </c>
    </row>
    <row r="20" spans="2:5">
      <c r="B20" s="97" t="s">
        <v>87</v>
      </c>
      <c r="C20" s="115"/>
      <c r="D20" s="115"/>
      <c r="E20" s="24" t="e">
        <f>SUM(D20:D21)/C20</f>
        <v>#DIV/0!</v>
      </c>
    </row>
    <row r="21" spans="2:5">
      <c r="B21" s="97" t="s">
        <v>86</v>
      </c>
      <c r="C21" s="49"/>
      <c r="D21" s="115"/>
    </row>
    <row r="23" spans="2:5">
      <c r="B23" s="17" t="s">
        <v>134</v>
      </c>
    </row>
    <row r="24" spans="2:5">
      <c r="B24" s="97" t="s">
        <v>87</v>
      </c>
      <c r="C24" s="115"/>
      <c r="D24" s="115"/>
      <c r="E24" s="24" t="e">
        <f>SUM(D24:D25)/C24</f>
        <v>#DIV/0!</v>
      </c>
    </row>
    <row r="25" spans="2:5">
      <c r="B25" s="97" t="s">
        <v>86</v>
      </c>
      <c r="C25" s="49"/>
      <c r="D25" s="115"/>
    </row>
    <row r="28" spans="2:5">
      <c r="B28" s="97" t="s">
        <v>62</v>
      </c>
      <c r="C28" s="132">
        <v>10000000000</v>
      </c>
    </row>
    <row r="30" spans="2:5">
      <c r="B30" s="133" t="s">
        <v>123</v>
      </c>
      <c r="C30" s="116" t="e">
        <f>ROUND(E4*$C$28, 0)</f>
        <v>#DIV/0!</v>
      </c>
    </row>
    <row r="31" spans="2:5">
      <c r="B31" s="133" t="s">
        <v>125</v>
      </c>
      <c r="C31" s="116" t="e">
        <f>ROUND(E8*$C$28, 0)</f>
        <v>#DIV/0!</v>
      </c>
    </row>
    <row r="32" spans="2:5">
      <c r="B32" s="133" t="s">
        <v>129</v>
      </c>
      <c r="C32" s="116" t="e">
        <f>ROUND(E12*$C$28, 0)</f>
        <v>#DIV/0!</v>
      </c>
    </row>
    <row r="33" spans="2:3">
      <c r="B33" s="133" t="s">
        <v>127</v>
      </c>
      <c r="C33" s="116" t="e">
        <f>ROUND(E16*$C$28, 0)</f>
        <v>#DIV/0!</v>
      </c>
    </row>
    <row r="34" spans="2:3">
      <c r="B34" s="133" t="s">
        <v>131</v>
      </c>
      <c r="C34" s="116" t="e">
        <f>ROUND(E20*$C$28, 0)</f>
        <v>#DIV/0!</v>
      </c>
    </row>
    <row r="35" spans="2:3">
      <c r="B35" s="133" t="s">
        <v>133</v>
      </c>
      <c r="C35" s="116" t="e">
        <f>ROUND(E24*$C$28, 0)</f>
        <v>#DIV/0!</v>
      </c>
    </row>
    <row r="38" spans="2:3">
      <c r="B38" s="24"/>
    </row>
    <row r="39" spans="2:3">
      <c r="B39" s="24"/>
    </row>
    <row r="40" spans="2:3">
      <c r="B40" s="24"/>
    </row>
    <row r="41" spans="2:3">
      <c r="B41" s="24"/>
    </row>
    <row r="42" spans="2:3">
      <c r="B42" s="24"/>
    </row>
    <row r="43" spans="2:3">
      <c r="B43" s="24"/>
    </row>
    <row r="44" spans="2:3">
      <c r="B44" s="24"/>
    </row>
    <row r="45" spans="2:3">
      <c r="B45" s="24"/>
    </row>
    <row r="46" spans="2:3">
      <c r="B46" s="24"/>
    </row>
    <row r="47" spans="2:3">
      <c r="B47" s="24"/>
    </row>
    <row r="48" spans="2:3">
      <c r="B48" s="24"/>
    </row>
    <row r="49" spans="2:2">
      <c r="B49" s="24"/>
    </row>
    <row r="50" spans="2:2">
      <c r="B50" s="24"/>
    </row>
    <row r="51" spans="2:2">
      <c r="B51" s="24"/>
    </row>
    <row r="52" spans="2:2">
      <c r="B52" s="24"/>
    </row>
    <row r="53" spans="2:2">
      <c r="B53" s="24"/>
    </row>
    <row r="54" spans="2:2">
      <c r="B54" s="24"/>
    </row>
    <row r="55" spans="2:2">
      <c r="B55" s="24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workbookViewId="0">
      <selection activeCell="I24" sqref="I24"/>
    </sheetView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7" width="9.5546875" style="5" bestFit="1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>
      <c r="I2" s="15"/>
      <c r="J2" s="27" t="s">
        <v>144</v>
      </c>
      <c r="Q2" s="27" t="s">
        <v>145</v>
      </c>
      <c r="W2" s="27" t="s">
        <v>146</v>
      </c>
      <c r="AC2" s="27" t="s">
        <v>158</v>
      </c>
      <c r="AH2" s="5"/>
      <c r="AI2" s="5"/>
      <c r="AJ2" s="27" t="s">
        <v>110</v>
      </c>
      <c r="AO2" s="5"/>
    </row>
    <row r="3" spans="1:41" ht="15.9" customHeight="1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>
      <c r="A4" s="29" t="str" cm="1">
        <f t="array" ref="A4:B23">Overview!A38:B57</f>
        <v>WW</v>
      </c>
      <c r="B4" s="8" t="str">
        <v>Wild</v>
      </c>
      <c r="C4" s="105">
        <f t="shared" ref="C4:C23" si="0">COUNTIF(K:K, $A4)</f>
        <v>0</v>
      </c>
      <c r="D4" s="105">
        <f t="shared" ref="D4:D23" si="1">COUNTIF(L:L, $A4)</f>
        <v>0</v>
      </c>
      <c r="E4" s="105">
        <f t="shared" ref="E4:E23" si="2">COUNTIF(M:M, $A4)</f>
        <v>0</v>
      </c>
      <c r="F4" s="105">
        <f t="shared" ref="F4:F23" si="3">COUNTIF(N:N, $A4)</f>
        <v>0</v>
      </c>
      <c r="G4" s="105">
        <f t="shared" ref="G4:G23" si="4">COUNTIF(O:O, $A4)</f>
        <v>0</v>
      </c>
      <c r="H4" s="8" cm="1">
        <f t="array" ref="H4:H23">Overview!F38:F57</f>
        <v>0</v>
      </c>
      <c r="I4" s="87"/>
      <c r="J4" s="25" cm="1">
        <f t="array" ref="J4:J203">_xlfn.SEQUENCE(MAX(COUNTA(K:K), COUNTA(L:L), COUNTA(M:M), COUNTA(N:N), COUNTA(O:O))-1,,0)</f>
        <v>0</v>
      </c>
      <c r="K4" s="26" t="s">
        <v>136</v>
      </c>
      <c r="L4" s="26" t="s">
        <v>136</v>
      </c>
      <c r="M4" s="26" t="s">
        <v>136</v>
      </c>
      <c r="N4" s="26" t="s">
        <v>119</v>
      </c>
      <c r="O4" s="26" t="s">
        <v>19</v>
      </c>
      <c r="Q4" s="25" cm="1">
        <f t="array" ref="Q4:U304">_xlfn.LET(_xlpm.x, K4:O304, IF(_xlpm.x="", "", _xlfn.XLOOKUP(_xlpm.x, $A$4:$A$23,_xlfn.ANCHORARRAY( H4))))</f>
        <v>6</v>
      </c>
      <c r="R4" s="25">
        <v>6</v>
      </c>
      <c r="S4" s="25">
        <v>6</v>
      </c>
      <c r="T4" s="25">
        <v>17</v>
      </c>
      <c r="U4" s="25">
        <v>5</v>
      </c>
      <c r="W4" s="25">
        <v>1</v>
      </c>
      <c r="X4" s="25">
        <v>1</v>
      </c>
      <c r="Y4" s="25">
        <v>1</v>
      </c>
      <c r="Z4" s="25">
        <v>1</v>
      </c>
      <c r="AA4" s="25">
        <v>1</v>
      </c>
      <c r="AB4" s="43"/>
      <c r="AC4" s="27" t="s">
        <v>142</v>
      </c>
      <c r="AH4" s="5"/>
      <c r="AI4" s="5"/>
      <c r="AJ4" s="27" t="s">
        <v>142</v>
      </c>
      <c r="AO4" s="5"/>
    </row>
    <row r="5" spans="1:41" ht="15.9" customHeight="1">
      <c r="A5" s="29" t="str">
        <v>C1</v>
      </c>
      <c r="B5" s="8" t="str">
        <v>Scatter</v>
      </c>
      <c r="C5" s="105">
        <f t="shared" si="0"/>
        <v>0</v>
      </c>
      <c r="D5" s="105">
        <f t="shared" si="1"/>
        <v>6</v>
      </c>
      <c r="E5" s="105">
        <f t="shared" si="2"/>
        <v>0</v>
      </c>
      <c r="F5" s="105">
        <f t="shared" si="3"/>
        <v>9</v>
      </c>
      <c r="G5" s="105">
        <f t="shared" si="4"/>
        <v>0</v>
      </c>
      <c r="H5" s="8">
        <v>1</v>
      </c>
      <c r="I5" s="87"/>
      <c r="J5" s="9">
        <v>1</v>
      </c>
      <c r="K5" s="16" t="s">
        <v>35</v>
      </c>
      <c r="L5" s="16" t="s">
        <v>21</v>
      </c>
      <c r="M5" s="16" t="s">
        <v>35</v>
      </c>
      <c r="N5" s="16" t="s">
        <v>34</v>
      </c>
      <c r="O5" s="16" t="s">
        <v>22</v>
      </c>
      <c r="Q5" s="9">
        <v>8</v>
      </c>
      <c r="R5" s="9">
        <v>2</v>
      </c>
      <c r="S5" s="9">
        <v>8</v>
      </c>
      <c r="T5" s="9">
        <v>9</v>
      </c>
      <c r="U5" s="9">
        <v>3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C5" s="146" t="s">
        <v>42</v>
      </c>
      <c r="AD5" s="146" t="s">
        <v>13</v>
      </c>
      <c r="AE5" s="146" t="s">
        <v>14</v>
      </c>
      <c r="AF5" s="146" t="s">
        <v>15</v>
      </c>
      <c r="AG5" s="146" t="s">
        <v>16</v>
      </c>
      <c r="AH5" s="146" t="s">
        <v>17</v>
      </c>
      <c r="AI5" s="5"/>
      <c r="AJ5" s="146" t="s">
        <v>42</v>
      </c>
      <c r="AK5" s="146" t="s">
        <v>13</v>
      </c>
      <c r="AL5" s="146" t="s">
        <v>14</v>
      </c>
      <c r="AM5" s="146" t="s">
        <v>15</v>
      </c>
      <c r="AN5" s="146" t="s">
        <v>16</v>
      </c>
      <c r="AO5" s="146" t="s">
        <v>17</v>
      </c>
    </row>
    <row r="6" spans="1:41" ht="15.9" customHeight="1">
      <c r="A6" s="144" t="str">
        <v>M1</v>
      </c>
      <c r="B6" s="118" t="str">
        <v>M1</v>
      </c>
      <c r="C6" s="144">
        <f t="shared" si="0"/>
        <v>4</v>
      </c>
      <c r="D6" s="144">
        <f t="shared" si="1"/>
        <v>11</v>
      </c>
      <c r="E6" s="144">
        <f t="shared" si="2"/>
        <v>5</v>
      </c>
      <c r="F6" s="144">
        <f t="shared" si="3"/>
        <v>21</v>
      </c>
      <c r="G6" s="144">
        <f t="shared" si="4"/>
        <v>23</v>
      </c>
      <c r="H6" s="118">
        <v>2</v>
      </c>
      <c r="I6" s="87"/>
      <c r="J6" s="25">
        <v>2</v>
      </c>
      <c r="K6" s="16" t="s">
        <v>19</v>
      </c>
      <c r="L6" s="16" t="s">
        <v>91</v>
      </c>
      <c r="M6" s="16" t="s">
        <v>119</v>
      </c>
      <c r="N6" s="16" t="s">
        <v>18</v>
      </c>
      <c r="O6" s="16" t="s">
        <v>22</v>
      </c>
      <c r="Q6" s="9">
        <v>5</v>
      </c>
      <c r="R6" s="9">
        <v>14</v>
      </c>
      <c r="S6" s="9">
        <v>17</v>
      </c>
      <c r="T6" s="9">
        <v>4</v>
      </c>
      <c r="U6" s="9">
        <v>3</v>
      </c>
      <c r="W6" s="25">
        <v>1</v>
      </c>
      <c r="X6" s="25">
        <v>1</v>
      </c>
      <c r="Y6" s="25">
        <v>1</v>
      </c>
      <c r="Z6" s="25">
        <v>1</v>
      </c>
      <c r="AA6" s="25">
        <v>1</v>
      </c>
      <c r="AC6" s="149" t="str" cm="1">
        <f t="array" ref="AC6:AC25">$A$4:$A$23</f>
        <v>WW</v>
      </c>
      <c r="AD6" s="150">
        <v>0</v>
      </c>
      <c r="AE6" s="150">
        <v>0</v>
      </c>
      <c r="AF6" s="150">
        <v>0</v>
      </c>
      <c r="AG6" s="150">
        <v>0</v>
      </c>
      <c r="AH6" s="150">
        <v>0</v>
      </c>
      <c r="AI6" s="5"/>
      <c r="AJ6" s="149" t="str" cm="1">
        <f t="array" ref="AJ6:AJ25">$A$4:$A$23</f>
        <v>WW</v>
      </c>
      <c r="AK6" s="150">
        <v>0</v>
      </c>
      <c r="AL6" s="150">
        <v>0</v>
      </c>
      <c r="AM6" s="150">
        <v>0</v>
      </c>
      <c r="AN6" s="150">
        <v>0</v>
      </c>
      <c r="AO6" s="150">
        <v>0</v>
      </c>
    </row>
    <row r="7" spans="1:41" ht="15.9" customHeight="1">
      <c r="A7" s="144" t="str">
        <v>M2</v>
      </c>
      <c r="B7" s="118" t="str">
        <v>M2</v>
      </c>
      <c r="C7" s="144">
        <f t="shared" si="0"/>
        <v>4</v>
      </c>
      <c r="D7" s="144">
        <f t="shared" si="1"/>
        <v>11</v>
      </c>
      <c r="E7" s="144">
        <f t="shared" si="2"/>
        <v>5</v>
      </c>
      <c r="F7" s="144">
        <f t="shared" si="3"/>
        <v>21</v>
      </c>
      <c r="G7" s="144">
        <f t="shared" si="4"/>
        <v>23</v>
      </c>
      <c r="H7" s="118">
        <v>3</v>
      </c>
      <c r="I7" s="87"/>
      <c r="J7" s="9">
        <v>3</v>
      </c>
      <c r="K7" s="16" t="s">
        <v>37</v>
      </c>
      <c r="L7" s="26" t="s">
        <v>37</v>
      </c>
      <c r="M7" s="16" t="s">
        <v>19</v>
      </c>
      <c r="N7" s="16" t="s">
        <v>18</v>
      </c>
      <c r="O7" s="16" t="s">
        <v>36</v>
      </c>
      <c r="Q7" s="9">
        <v>7</v>
      </c>
      <c r="R7" s="9">
        <v>7</v>
      </c>
      <c r="S7" s="9">
        <v>5</v>
      </c>
      <c r="T7" s="9">
        <v>4</v>
      </c>
      <c r="U7" s="9">
        <v>10</v>
      </c>
      <c r="W7" s="25">
        <v>1</v>
      </c>
      <c r="X7" s="25">
        <v>1</v>
      </c>
      <c r="Y7" s="25">
        <v>1</v>
      </c>
      <c r="Z7" s="25">
        <v>1</v>
      </c>
      <c r="AA7" s="25">
        <v>1</v>
      </c>
      <c r="AC7" s="149" t="str">
        <v>C1</v>
      </c>
      <c r="AD7" s="149">
        <v>0</v>
      </c>
      <c r="AE7" s="149">
        <v>6</v>
      </c>
      <c r="AF7" s="149">
        <v>0</v>
      </c>
      <c r="AG7" s="149">
        <v>9</v>
      </c>
      <c r="AH7" s="149">
        <v>0</v>
      </c>
      <c r="AI7" s="5"/>
      <c r="AJ7" s="149" t="str">
        <v>C1</v>
      </c>
      <c r="AK7" s="149">
        <v>0</v>
      </c>
      <c r="AL7" s="149">
        <v>6</v>
      </c>
      <c r="AM7" s="149">
        <v>0</v>
      </c>
      <c r="AN7" s="149">
        <v>9</v>
      </c>
      <c r="AO7" s="149">
        <v>0</v>
      </c>
    </row>
    <row r="8" spans="1:41" ht="15.9" customHeight="1">
      <c r="A8" s="144" t="str">
        <v>M3</v>
      </c>
      <c r="B8" s="118" t="str">
        <v>M3</v>
      </c>
      <c r="C8" s="144">
        <f t="shared" si="0"/>
        <v>4</v>
      </c>
      <c r="D8" s="144">
        <f t="shared" si="1"/>
        <v>11</v>
      </c>
      <c r="E8" s="144">
        <f t="shared" si="2"/>
        <v>5</v>
      </c>
      <c r="F8" s="144">
        <f t="shared" si="3"/>
        <v>21</v>
      </c>
      <c r="G8" s="144">
        <f t="shared" si="4"/>
        <v>22</v>
      </c>
      <c r="H8" s="118">
        <v>4</v>
      </c>
      <c r="I8" s="87"/>
      <c r="J8" s="25">
        <v>4</v>
      </c>
      <c r="K8" s="16" t="s">
        <v>35</v>
      </c>
      <c r="L8" s="16" t="s">
        <v>136</v>
      </c>
      <c r="M8" s="16" t="s">
        <v>22</v>
      </c>
      <c r="N8" s="16" t="s">
        <v>119</v>
      </c>
      <c r="O8" s="16" t="s">
        <v>35</v>
      </c>
      <c r="Q8" s="9">
        <v>8</v>
      </c>
      <c r="R8" s="9">
        <v>6</v>
      </c>
      <c r="S8" s="9">
        <v>3</v>
      </c>
      <c r="T8" s="9">
        <v>17</v>
      </c>
      <c r="U8" s="9">
        <v>8</v>
      </c>
      <c r="W8" s="25">
        <v>1</v>
      </c>
      <c r="X8" s="25">
        <v>1</v>
      </c>
      <c r="Y8" s="25">
        <v>1</v>
      </c>
      <c r="Z8" s="25">
        <v>1</v>
      </c>
      <c r="AA8" s="25">
        <v>1</v>
      </c>
      <c r="AC8" s="166" t="str">
        <v>M1</v>
      </c>
      <c r="AD8" s="144">
        <v>4</v>
      </c>
      <c r="AE8" s="144">
        <v>11</v>
      </c>
      <c r="AF8" s="144">
        <v>5</v>
      </c>
      <c r="AG8" s="144">
        <v>21</v>
      </c>
      <c r="AH8" s="144">
        <v>23</v>
      </c>
      <c r="AI8" s="5"/>
      <c r="AJ8" s="166" t="str">
        <v>M1</v>
      </c>
      <c r="AK8" s="144">
        <v>4</v>
      </c>
      <c r="AL8" s="144">
        <v>11</v>
      </c>
      <c r="AM8" s="144">
        <v>5</v>
      </c>
      <c r="AN8" s="144">
        <v>21</v>
      </c>
      <c r="AO8" s="144">
        <v>23</v>
      </c>
    </row>
    <row r="9" spans="1:41" ht="15.9" customHeight="1">
      <c r="A9" s="144" t="str">
        <v>M4</v>
      </c>
      <c r="B9" s="118" t="str">
        <v>M4</v>
      </c>
      <c r="C9" s="144">
        <f t="shared" si="0"/>
        <v>43</v>
      </c>
      <c r="D9" s="144">
        <f t="shared" si="1"/>
        <v>20</v>
      </c>
      <c r="E9" s="144">
        <f t="shared" si="2"/>
        <v>41</v>
      </c>
      <c r="F9" s="144">
        <f t="shared" si="3"/>
        <v>14</v>
      </c>
      <c r="G9" s="144">
        <f t="shared" si="4"/>
        <v>22</v>
      </c>
      <c r="H9" s="118">
        <v>5</v>
      </c>
      <c r="I9" s="87"/>
      <c r="J9" s="9">
        <v>5</v>
      </c>
      <c r="K9" s="16" t="s">
        <v>37</v>
      </c>
      <c r="L9" s="16" t="s">
        <v>89</v>
      </c>
      <c r="M9" s="16" t="s">
        <v>37</v>
      </c>
      <c r="N9" s="16" t="s">
        <v>95</v>
      </c>
      <c r="O9" s="16" t="s">
        <v>36</v>
      </c>
      <c r="Q9" s="9">
        <v>7</v>
      </c>
      <c r="R9" s="9">
        <v>12</v>
      </c>
      <c r="S9" s="9">
        <v>7</v>
      </c>
      <c r="T9" s="9">
        <v>18</v>
      </c>
      <c r="U9" s="9">
        <v>10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C9" s="166" t="str">
        <v>M2</v>
      </c>
      <c r="AD9" s="144">
        <v>4</v>
      </c>
      <c r="AE9" s="144">
        <v>11</v>
      </c>
      <c r="AF9" s="144">
        <v>5</v>
      </c>
      <c r="AG9" s="144">
        <v>21</v>
      </c>
      <c r="AH9" s="144">
        <v>23</v>
      </c>
      <c r="AI9" s="5"/>
      <c r="AJ9" s="166" t="str">
        <v>M2</v>
      </c>
      <c r="AK9" s="144">
        <v>4</v>
      </c>
      <c r="AL9" s="144">
        <v>11</v>
      </c>
      <c r="AM9" s="144">
        <v>5</v>
      </c>
      <c r="AN9" s="144">
        <v>21</v>
      </c>
      <c r="AO9" s="144">
        <v>23</v>
      </c>
    </row>
    <row r="10" spans="1:41" ht="15.9" customHeight="1">
      <c r="A10" s="144" t="str">
        <v>M5</v>
      </c>
      <c r="B10" s="118" t="str">
        <v>M5</v>
      </c>
      <c r="C10" s="144">
        <f t="shared" si="0"/>
        <v>43</v>
      </c>
      <c r="D10" s="144">
        <f t="shared" si="1"/>
        <v>21</v>
      </c>
      <c r="E10" s="144">
        <f t="shared" si="2"/>
        <v>41</v>
      </c>
      <c r="F10" s="144">
        <f t="shared" si="3"/>
        <v>14</v>
      </c>
      <c r="G10" s="144">
        <f t="shared" si="4"/>
        <v>22</v>
      </c>
      <c r="H10" s="118">
        <v>6</v>
      </c>
      <c r="I10" s="87"/>
      <c r="J10" s="25">
        <v>6</v>
      </c>
      <c r="K10" s="16" t="s">
        <v>35</v>
      </c>
      <c r="L10" s="16" t="s">
        <v>37</v>
      </c>
      <c r="M10" s="16" t="s">
        <v>137</v>
      </c>
      <c r="N10" s="16" t="s">
        <v>136</v>
      </c>
      <c r="O10" s="16" t="s">
        <v>37</v>
      </c>
      <c r="Q10" s="9">
        <v>8</v>
      </c>
      <c r="R10" s="9">
        <v>7</v>
      </c>
      <c r="S10" s="9">
        <v>15</v>
      </c>
      <c r="T10" s="9">
        <v>6</v>
      </c>
      <c r="U10" s="9">
        <v>7</v>
      </c>
      <c r="W10" s="25">
        <v>1</v>
      </c>
      <c r="X10" s="25">
        <v>1</v>
      </c>
      <c r="Y10" s="25">
        <v>1</v>
      </c>
      <c r="Z10" s="25">
        <v>1</v>
      </c>
      <c r="AA10" s="25">
        <v>1</v>
      </c>
      <c r="AC10" s="166" t="str">
        <v>M3</v>
      </c>
      <c r="AD10" s="144">
        <v>4</v>
      </c>
      <c r="AE10" s="144">
        <v>11</v>
      </c>
      <c r="AF10" s="144">
        <v>5</v>
      </c>
      <c r="AG10" s="144">
        <v>21</v>
      </c>
      <c r="AH10" s="144">
        <v>22</v>
      </c>
      <c r="AI10" s="5"/>
      <c r="AJ10" s="166" t="str">
        <v>M3</v>
      </c>
      <c r="AK10" s="144">
        <v>4</v>
      </c>
      <c r="AL10" s="144">
        <v>11</v>
      </c>
      <c r="AM10" s="144">
        <v>5</v>
      </c>
      <c r="AN10" s="144">
        <v>21</v>
      </c>
      <c r="AO10" s="144">
        <v>22</v>
      </c>
    </row>
    <row r="11" spans="1:41" ht="15.9" customHeight="1">
      <c r="A11" s="144" t="str">
        <v>A</v>
      </c>
      <c r="B11" s="118" t="str">
        <v>A</v>
      </c>
      <c r="C11" s="144">
        <f t="shared" si="0"/>
        <v>47</v>
      </c>
      <c r="D11" s="144">
        <f t="shared" si="1"/>
        <v>21</v>
      </c>
      <c r="E11" s="144">
        <f t="shared" si="2"/>
        <v>41</v>
      </c>
      <c r="F11" s="144">
        <f t="shared" si="3"/>
        <v>14</v>
      </c>
      <c r="G11" s="144">
        <f t="shared" si="4"/>
        <v>22</v>
      </c>
      <c r="H11" s="118">
        <v>7</v>
      </c>
      <c r="I11" s="87"/>
      <c r="J11" s="9">
        <v>7</v>
      </c>
      <c r="K11" s="16" t="s">
        <v>35</v>
      </c>
      <c r="L11" s="16" t="s">
        <v>37</v>
      </c>
      <c r="M11" s="16" t="s">
        <v>34</v>
      </c>
      <c r="N11" s="16" t="s">
        <v>21</v>
      </c>
      <c r="O11" s="16" t="s">
        <v>37</v>
      </c>
      <c r="Q11" s="9">
        <v>8</v>
      </c>
      <c r="R11" s="9">
        <v>7</v>
      </c>
      <c r="S11" s="9">
        <v>9</v>
      </c>
      <c r="T11" s="9">
        <v>2</v>
      </c>
      <c r="U11" s="9">
        <v>7</v>
      </c>
      <c r="W11" s="25">
        <v>1</v>
      </c>
      <c r="X11" s="25">
        <v>1</v>
      </c>
      <c r="Y11" s="25">
        <v>1</v>
      </c>
      <c r="Z11" s="25">
        <v>1</v>
      </c>
      <c r="AA11" s="25">
        <v>1</v>
      </c>
      <c r="AC11" s="166" t="str">
        <v>M4</v>
      </c>
      <c r="AD11" s="144">
        <v>43</v>
      </c>
      <c r="AE11" s="144">
        <v>20</v>
      </c>
      <c r="AF11" s="144">
        <v>41</v>
      </c>
      <c r="AG11" s="144">
        <v>14</v>
      </c>
      <c r="AH11" s="144">
        <v>22</v>
      </c>
      <c r="AI11" s="5"/>
      <c r="AJ11" s="166" t="str">
        <v>M4</v>
      </c>
      <c r="AK11" s="144">
        <v>43</v>
      </c>
      <c r="AL11" s="144">
        <v>20</v>
      </c>
      <c r="AM11" s="144">
        <v>41</v>
      </c>
      <c r="AN11" s="144">
        <v>14</v>
      </c>
      <c r="AO11" s="144">
        <v>22</v>
      </c>
    </row>
    <row r="12" spans="1:41" ht="15.9" customHeight="1">
      <c r="A12" s="144" t="str">
        <v>K</v>
      </c>
      <c r="B12" s="118" t="str">
        <v>K</v>
      </c>
      <c r="C12" s="144">
        <f t="shared" si="0"/>
        <v>47</v>
      </c>
      <c r="D12" s="144">
        <f t="shared" si="1"/>
        <v>21</v>
      </c>
      <c r="E12" s="144">
        <f t="shared" si="2"/>
        <v>41</v>
      </c>
      <c r="F12" s="144">
        <f t="shared" si="3"/>
        <v>14</v>
      </c>
      <c r="G12" s="144">
        <f t="shared" si="4"/>
        <v>22</v>
      </c>
      <c r="H12" s="118">
        <v>8</v>
      </c>
      <c r="I12" s="87"/>
      <c r="J12" s="25">
        <v>8</v>
      </c>
      <c r="K12" s="16" t="s">
        <v>37</v>
      </c>
      <c r="L12" s="16" t="s">
        <v>37</v>
      </c>
      <c r="M12" s="16" t="s">
        <v>35</v>
      </c>
      <c r="N12" s="16" t="s">
        <v>89</v>
      </c>
      <c r="O12" s="16" t="s">
        <v>19</v>
      </c>
      <c r="Q12" s="9">
        <v>7</v>
      </c>
      <c r="R12" s="9">
        <v>7</v>
      </c>
      <c r="S12" s="9">
        <v>8</v>
      </c>
      <c r="T12" s="9">
        <v>12</v>
      </c>
      <c r="U12" s="9">
        <v>5</v>
      </c>
      <c r="W12" s="25">
        <v>1</v>
      </c>
      <c r="X12" s="25">
        <v>1</v>
      </c>
      <c r="Y12" s="25">
        <v>1</v>
      </c>
      <c r="Z12" s="25">
        <v>1</v>
      </c>
      <c r="AA12" s="25">
        <v>1</v>
      </c>
      <c r="AC12" s="166" t="str">
        <v>M5</v>
      </c>
      <c r="AD12" s="144">
        <v>43</v>
      </c>
      <c r="AE12" s="144">
        <v>21</v>
      </c>
      <c r="AF12" s="144">
        <v>41</v>
      </c>
      <c r="AG12" s="144">
        <v>14</v>
      </c>
      <c r="AH12" s="144">
        <v>22</v>
      </c>
      <c r="AI12" s="5"/>
      <c r="AJ12" s="166" t="str">
        <v>M5</v>
      </c>
      <c r="AK12" s="144">
        <v>43</v>
      </c>
      <c r="AL12" s="144">
        <v>21</v>
      </c>
      <c r="AM12" s="144">
        <v>41</v>
      </c>
      <c r="AN12" s="144">
        <v>14</v>
      </c>
      <c r="AO12" s="144">
        <v>22</v>
      </c>
    </row>
    <row r="13" spans="1:41" ht="15.9" customHeight="1">
      <c r="A13" s="144" t="str">
        <v>Q</v>
      </c>
      <c r="B13" s="118" t="str">
        <v>Q</v>
      </c>
      <c r="C13" s="144">
        <f t="shared" si="0"/>
        <v>4</v>
      </c>
      <c r="D13" s="144">
        <f t="shared" si="1"/>
        <v>11</v>
      </c>
      <c r="E13" s="144">
        <f t="shared" si="2"/>
        <v>5</v>
      </c>
      <c r="F13" s="144">
        <f t="shared" si="3"/>
        <v>20</v>
      </c>
      <c r="G13" s="144">
        <f t="shared" si="4"/>
        <v>22</v>
      </c>
      <c r="H13" s="118">
        <v>9</v>
      </c>
      <c r="I13" s="87"/>
      <c r="J13" s="9">
        <v>9</v>
      </c>
      <c r="K13" s="16" t="s">
        <v>136</v>
      </c>
      <c r="L13" s="16" t="s">
        <v>19</v>
      </c>
      <c r="M13" s="16" t="s">
        <v>35</v>
      </c>
      <c r="N13" s="16" t="s">
        <v>37</v>
      </c>
      <c r="O13" s="16" t="s">
        <v>34</v>
      </c>
      <c r="Q13" s="9">
        <v>6</v>
      </c>
      <c r="R13" s="9">
        <v>5</v>
      </c>
      <c r="S13" s="9">
        <v>8</v>
      </c>
      <c r="T13" s="9">
        <v>7</v>
      </c>
      <c r="U13" s="9">
        <v>9</v>
      </c>
      <c r="W13" s="25">
        <v>1</v>
      </c>
      <c r="X13" s="25">
        <v>1</v>
      </c>
      <c r="Y13" s="25">
        <v>1</v>
      </c>
      <c r="Z13" s="25">
        <v>1</v>
      </c>
      <c r="AA13" s="25">
        <v>1</v>
      </c>
      <c r="AC13" s="166" t="str">
        <v>A</v>
      </c>
      <c r="AD13" s="144">
        <v>47</v>
      </c>
      <c r="AE13" s="144">
        <v>21</v>
      </c>
      <c r="AF13" s="144">
        <v>41</v>
      </c>
      <c r="AG13" s="144">
        <v>14</v>
      </c>
      <c r="AH13" s="144">
        <v>22</v>
      </c>
      <c r="AI13" s="5"/>
      <c r="AJ13" s="166" t="str">
        <v>A</v>
      </c>
      <c r="AK13" s="144">
        <v>47</v>
      </c>
      <c r="AL13" s="144">
        <v>21</v>
      </c>
      <c r="AM13" s="144">
        <v>41</v>
      </c>
      <c r="AN13" s="144">
        <v>14</v>
      </c>
      <c r="AO13" s="144">
        <v>22</v>
      </c>
    </row>
    <row r="14" spans="1:41" ht="15.9" customHeight="1">
      <c r="A14" s="144" t="str">
        <v>J</v>
      </c>
      <c r="B14" s="118" t="str">
        <v>J</v>
      </c>
      <c r="C14" s="144">
        <f t="shared" si="0"/>
        <v>4</v>
      </c>
      <c r="D14" s="144">
        <f t="shared" si="1"/>
        <v>11</v>
      </c>
      <c r="E14" s="144">
        <f t="shared" si="2"/>
        <v>4</v>
      </c>
      <c r="F14" s="144">
        <f t="shared" si="3"/>
        <v>20</v>
      </c>
      <c r="G14" s="144">
        <f t="shared" si="4"/>
        <v>22</v>
      </c>
      <c r="H14" s="118">
        <v>10</v>
      </c>
      <c r="I14" s="87"/>
      <c r="J14" s="25">
        <v>10</v>
      </c>
      <c r="K14" s="16" t="s">
        <v>37</v>
      </c>
      <c r="L14" s="16" t="s">
        <v>36</v>
      </c>
      <c r="M14" s="16" t="s">
        <v>136</v>
      </c>
      <c r="N14" s="16" t="s">
        <v>137</v>
      </c>
      <c r="O14" s="16" t="s">
        <v>35</v>
      </c>
      <c r="Q14" s="9">
        <v>7</v>
      </c>
      <c r="R14" s="9">
        <v>10</v>
      </c>
      <c r="S14" s="9">
        <v>6</v>
      </c>
      <c r="T14" s="9">
        <v>15</v>
      </c>
      <c r="U14" s="9">
        <v>8</v>
      </c>
      <c r="W14" s="25">
        <v>1</v>
      </c>
      <c r="X14" s="25">
        <v>1</v>
      </c>
      <c r="Y14" s="25">
        <v>1</v>
      </c>
      <c r="Z14" s="25">
        <v>1</v>
      </c>
      <c r="AA14" s="25">
        <v>1</v>
      </c>
      <c r="AC14" s="166" t="str">
        <v>K</v>
      </c>
      <c r="AD14" s="144">
        <v>47</v>
      </c>
      <c r="AE14" s="144">
        <v>21</v>
      </c>
      <c r="AF14" s="144">
        <v>41</v>
      </c>
      <c r="AG14" s="144">
        <v>14</v>
      </c>
      <c r="AH14" s="144">
        <v>22</v>
      </c>
      <c r="AI14" s="5"/>
      <c r="AJ14" s="166" t="str">
        <v>K</v>
      </c>
      <c r="AK14" s="144">
        <v>47</v>
      </c>
      <c r="AL14" s="144">
        <v>21</v>
      </c>
      <c r="AM14" s="144">
        <v>41</v>
      </c>
      <c r="AN14" s="144">
        <v>14</v>
      </c>
      <c r="AO14" s="144">
        <v>22</v>
      </c>
    </row>
    <row r="15" spans="1:41" ht="15.9" customHeight="1">
      <c r="A15" s="29" t="str">
        <v>G1</v>
      </c>
      <c r="B15" s="8" t="str">
        <v>Gold M1</v>
      </c>
      <c r="C15" s="105">
        <f t="shared" si="0"/>
        <v>0</v>
      </c>
      <c r="D15" s="105">
        <f t="shared" si="1"/>
        <v>4</v>
      </c>
      <c r="E15" s="105">
        <f t="shared" si="2"/>
        <v>0</v>
      </c>
      <c r="F15" s="105">
        <f t="shared" si="3"/>
        <v>4</v>
      </c>
      <c r="G15" s="105">
        <f t="shared" si="4"/>
        <v>0</v>
      </c>
      <c r="H15" s="8">
        <v>11</v>
      </c>
      <c r="I15" s="87"/>
      <c r="J15" s="9">
        <v>11</v>
      </c>
      <c r="K15" s="16" t="s">
        <v>136</v>
      </c>
      <c r="L15" s="16" t="s">
        <v>37</v>
      </c>
      <c r="M15" s="16" t="s">
        <v>37</v>
      </c>
      <c r="N15" s="16" t="s">
        <v>35</v>
      </c>
      <c r="O15" s="16" t="s">
        <v>21</v>
      </c>
      <c r="Q15" s="9">
        <v>6</v>
      </c>
      <c r="R15" s="9">
        <v>7</v>
      </c>
      <c r="S15" s="9">
        <v>7</v>
      </c>
      <c r="T15" s="9">
        <v>8</v>
      </c>
      <c r="U15" s="9">
        <v>2</v>
      </c>
      <c r="W15" s="25">
        <v>1</v>
      </c>
      <c r="X15" s="25">
        <v>1</v>
      </c>
      <c r="Y15" s="25">
        <v>1</v>
      </c>
      <c r="Z15" s="25">
        <v>1</v>
      </c>
      <c r="AA15" s="25">
        <v>1</v>
      </c>
      <c r="AC15" s="166" t="str">
        <v>Q</v>
      </c>
      <c r="AD15" s="144">
        <v>4</v>
      </c>
      <c r="AE15" s="144">
        <v>11</v>
      </c>
      <c r="AF15" s="144">
        <v>5</v>
      </c>
      <c r="AG15" s="144">
        <v>20</v>
      </c>
      <c r="AH15" s="144">
        <v>22</v>
      </c>
      <c r="AI15" s="5"/>
      <c r="AJ15" s="166" t="str">
        <v>Q</v>
      </c>
      <c r="AK15" s="144">
        <v>4</v>
      </c>
      <c r="AL15" s="144">
        <v>11</v>
      </c>
      <c r="AM15" s="144">
        <v>5</v>
      </c>
      <c r="AN15" s="144">
        <v>20</v>
      </c>
      <c r="AO15" s="144">
        <v>22</v>
      </c>
    </row>
    <row r="16" spans="1:41" ht="15.9" customHeight="1">
      <c r="A16" s="29" t="str">
        <v>G2</v>
      </c>
      <c r="B16" s="8" t="str">
        <v>Gold M2</v>
      </c>
      <c r="C16" s="105">
        <f t="shared" si="0"/>
        <v>0</v>
      </c>
      <c r="D16" s="105">
        <f t="shared" si="1"/>
        <v>5</v>
      </c>
      <c r="E16" s="105">
        <f t="shared" si="2"/>
        <v>0</v>
      </c>
      <c r="F16" s="105">
        <f t="shared" si="3"/>
        <v>4</v>
      </c>
      <c r="G16" s="105">
        <f t="shared" si="4"/>
        <v>0</v>
      </c>
      <c r="H16" s="8">
        <v>12</v>
      </c>
      <c r="I16" s="87"/>
      <c r="J16" s="25">
        <v>12</v>
      </c>
      <c r="K16" s="16" t="s">
        <v>37</v>
      </c>
      <c r="L16" s="16" t="s">
        <v>88</v>
      </c>
      <c r="M16" s="16" t="s">
        <v>37</v>
      </c>
      <c r="N16" s="16" t="s">
        <v>35</v>
      </c>
      <c r="O16" s="16" t="s">
        <v>22</v>
      </c>
      <c r="Q16" s="9">
        <v>7</v>
      </c>
      <c r="R16" s="9">
        <v>11</v>
      </c>
      <c r="S16" s="9">
        <v>7</v>
      </c>
      <c r="T16" s="9">
        <v>8</v>
      </c>
      <c r="U16" s="9">
        <v>3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C16" s="166" t="str">
        <v>J</v>
      </c>
      <c r="AD16" s="144">
        <v>4</v>
      </c>
      <c r="AE16" s="144">
        <v>11</v>
      </c>
      <c r="AF16" s="144">
        <v>4</v>
      </c>
      <c r="AG16" s="144">
        <v>20</v>
      </c>
      <c r="AH16" s="144">
        <v>22</v>
      </c>
      <c r="AI16" s="5"/>
      <c r="AJ16" s="166" t="str">
        <v>J</v>
      </c>
      <c r="AK16" s="144">
        <v>4</v>
      </c>
      <c r="AL16" s="144">
        <v>11</v>
      </c>
      <c r="AM16" s="144">
        <v>4</v>
      </c>
      <c r="AN16" s="144">
        <v>20</v>
      </c>
      <c r="AO16" s="144">
        <v>22</v>
      </c>
    </row>
    <row r="17" spans="1:41" ht="15.9" customHeight="1">
      <c r="A17" s="29" t="str">
        <v>G3</v>
      </c>
      <c r="B17" s="8" t="str">
        <v>Gold M3</v>
      </c>
      <c r="C17" s="105">
        <f t="shared" si="0"/>
        <v>0</v>
      </c>
      <c r="D17" s="105">
        <f t="shared" si="1"/>
        <v>5</v>
      </c>
      <c r="E17" s="105">
        <f t="shared" si="2"/>
        <v>0</v>
      </c>
      <c r="F17" s="105">
        <f t="shared" si="3"/>
        <v>4</v>
      </c>
      <c r="G17" s="105">
        <f t="shared" si="4"/>
        <v>0</v>
      </c>
      <c r="H17" s="8">
        <v>13</v>
      </c>
      <c r="I17" s="87"/>
      <c r="J17" s="9">
        <v>13</v>
      </c>
      <c r="K17" s="16" t="s">
        <v>35</v>
      </c>
      <c r="L17" s="16" t="s">
        <v>21</v>
      </c>
      <c r="M17" s="16" t="s">
        <v>37</v>
      </c>
      <c r="N17" s="16" t="s">
        <v>18</v>
      </c>
      <c r="O17" s="16" t="s">
        <v>34</v>
      </c>
      <c r="Q17" s="9">
        <v>8</v>
      </c>
      <c r="R17" s="9">
        <v>2</v>
      </c>
      <c r="S17" s="9">
        <v>7</v>
      </c>
      <c r="T17" s="9">
        <v>4</v>
      </c>
      <c r="U17" s="9">
        <v>9</v>
      </c>
      <c r="W17" s="25">
        <v>1</v>
      </c>
      <c r="X17" s="25">
        <v>1</v>
      </c>
      <c r="Y17" s="25">
        <v>1</v>
      </c>
      <c r="Z17" s="25">
        <v>1</v>
      </c>
      <c r="AA17" s="25">
        <v>1</v>
      </c>
      <c r="AC17" s="149" t="str">
        <v>G1</v>
      </c>
      <c r="AD17" s="105">
        <v>0</v>
      </c>
      <c r="AE17" s="105">
        <v>4</v>
      </c>
      <c r="AF17" s="105">
        <v>0</v>
      </c>
      <c r="AG17" s="105">
        <v>4</v>
      </c>
      <c r="AH17" s="105">
        <v>0</v>
      </c>
      <c r="AI17" s="5"/>
      <c r="AJ17" s="149" t="str">
        <v>G1</v>
      </c>
      <c r="AK17" s="105">
        <v>0</v>
      </c>
      <c r="AL17" s="105">
        <v>4</v>
      </c>
      <c r="AM17" s="105">
        <v>0</v>
      </c>
      <c r="AN17" s="105">
        <v>4</v>
      </c>
      <c r="AO17" s="105">
        <v>0</v>
      </c>
    </row>
    <row r="18" spans="1:41" ht="15.9" customHeight="1">
      <c r="A18" s="29" t="str">
        <v>G4</v>
      </c>
      <c r="B18" s="8" t="str">
        <v>Gold M4</v>
      </c>
      <c r="C18" s="105">
        <f t="shared" si="0"/>
        <v>0</v>
      </c>
      <c r="D18" s="105">
        <f t="shared" si="1"/>
        <v>8</v>
      </c>
      <c r="E18" s="105">
        <f t="shared" si="2"/>
        <v>3</v>
      </c>
      <c r="F18" s="105">
        <f t="shared" si="3"/>
        <v>3</v>
      </c>
      <c r="G18" s="105">
        <f t="shared" si="4"/>
        <v>0</v>
      </c>
      <c r="H18" s="8">
        <v>14</v>
      </c>
      <c r="I18" s="87"/>
      <c r="J18" s="25">
        <v>14</v>
      </c>
      <c r="K18" s="16" t="s">
        <v>136</v>
      </c>
      <c r="L18" s="16" t="s">
        <v>37</v>
      </c>
      <c r="M18" s="16" t="s">
        <v>91</v>
      </c>
      <c r="N18" s="16" t="s">
        <v>35</v>
      </c>
      <c r="O18" s="16" t="s">
        <v>34</v>
      </c>
      <c r="Q18" s="9">
        <v>6</v>
      </c>
      <c r="R18" s="9">
        <v>7</v>
      </c>
      <c r="S18" s="9">
        <v>14</v>
      </c>
      <c r="T18" s="9">
        <v>8</v>
      </c>
      <c r="U18" s="9">
        <v>9</v>
      </c>
      <c r="W18" s="25">
        <v>1</v>
      </c>
      <c r="X18" s="25">
        <v>1</v>
      </c>
      <c r="Y18" s="25">
        <v>1</v>
      </c>
      <c r="Z18" s="25">
        <v>1</v>
      </c>
      <c r="AA18" s="25">
        <v>1</v>
      </c>
      <c r="AC18" s="149" t="str">
        <v>G2</v>
      </c>
      <c r="AD18" s="105">
        <v>0</v>
      </c>
      <c r="AE18" s="105">
        <v>5</v>
      </c>
      <c r="AF18" s="105">
        <v>0</v>
      </c>
      <c r="AG18" s="105">
        <v>4</v>
      </c>
      <c r="AH18" s="105">
        <v>0</v>
      </c>
      <c r="AI18" s="5"/>
      <c r="AJ18" s="149" t="str">
        <v>G2</v>
      </c>
      <c r="AK18" s="105">
        <v>0</v>
      </c>
      <c r="AL18" s="105">
        <v>5</v>
      </c>
      <c r="AM18" s="105">
        <v>0</v>
      </c>
      <c r="AN18" s="105">
        <v>4</v>
      </c>
      <c r="AO18" s="105">
        <v>0</v>
      </c>
    </row>
    <row r="19" spans="1:41" ht="15.9" customHeight="1">
      <c r="A19" s="29" t="str">
        <v>G5</v>
      </c>
      <c r="B19" s="8" t="str">
        <v>Gold M5</v>
      </c>
      <c r="C19" s="105">
        <f t="shared" si="0"/>
        <v>0</v>
      </c>
      <c r="D19" s="105">
        <f t="shared" si="1"/>
        <v>8</v>
      </c>
      <c r="E19" s="105">
        <f t="shared" si="2"/>
        <v>3</v>
      </c>
      <c r="F19" s="105">
        <f t="shared" si="3"/>
        <v>3</v>
      </c>
      <c r="G19" s="105">
        <f t="shared" si="4"/>
        <v>0</v>
      </c>
      <c r="H19" s="8">
        <v>15</v>
      </c>
      <c r="I19" s="87"/>
      <c r="J19" s="9">
        <v>15</v>
      </c>
      <c r="K19" s="16" t="s">
        <v>35</v>
      </c>
      <c r="L19" s="16" t="s">
        <v>37</v>
      </c>
      <c r="M19" s="16" t="s">
        <v>35</v>
      </c>
      <c r="N19" s="16" t="s">
        <v>37</v>
      </c>
      <c r="O19" s="16" t="s">
        <v>22</v>
      </c>
      <c r="Q19" s="9">
        <v>8</v>
      </c>
      <c r="R19" s="9">
        <v>7</v>
      </c>
      <c r="S19" s="9">
        <v>8</v>
      </c>
      <c r="T19" s="9">
        <v>7</v>
      </c>
      <c r="U19" s="9">
        <v>3</v>
      </c>
      <c r="W19" s="25">
        <v>1</v>
      </c>
      <c r="X19" s="25">
        <v>1</v>
      </c>
      <c r="Y19" s="25">
        <v>1</v>
      </c>
      <c r="Z19" s="25">
        <v>1</v>
      </c>
      <c r="AA19" s="25">
        <v>1</v>
      </c>
      <c r="AC19" s="149" t="str">
        <v>G3</v>
      </c>
      <c r="AD19" s="105">
        <v>0</v>
      </c>
      <c r="AE19" s="105">
        <v>5</v>
      </c>
      <c r="AF19" s="105">
        <v>0</v>
      </c>
      <c r="AG19" s="105">
        <v>4</v>
      </c>
      <c r="AH19" s="105">
        <v>0</v>
      </c>
      <c r="AI19" s="5"/>
      <c r="AJ19" s="149" t="str">
        <v>G3</v>
      </c>
      <c r="AK19" s="105">
        <v>0</v>
      </c>
      <c r="AL19" s="105">
        <v>5</v>
      </c>
      <c r="AM19" s="105">
        <v>0</v>
      </c>
      <c r="AN19" s="105">
        <v>4</v>
      </c>
      <c r="AO19" s="105">
        <v>0</v>
      </c>
    </row>
    <row r="20" spans="1:41" ht="15.9" customHeight="1">
      <c r="A20" s="29" t="str">
        <v>GA</v>
      </c>
      <c r="B20" s="8" t="str">
        <v>Gold A</v>
      </c>
      <c r="C20" s="105">
        <f t="shared" si="0"/>
        <v>0</v>
      </c>
      <c r="D20" s="105">
        <f t="shared" si="1"/>
        <v>8</v>
      </c>
      <c r="E20" s="105">
        <f t="shared" si="2"/>
        <v>3</v>
      </c>
      <c r="F20" s="105">
        <f t="shared" si="3"/>
        <v>3</v>
      </c>
      <c r="G20" s="105">
        <f t="shared" si="4"/>
        <v>0</v>
      </c>
      <c r="H20" s="8">
        <v>16</v>
      </c>
      <c r="I20" s="87"/>
      <c r="J20" s="25">
        <v>16</v>
      </c>
      <c r="K20" s="16" t="s">
        <v>34</v>
      </c>
      <c r="L20" s="16" t="s">
        <v>34</v>
      </c>
      <c r="M20" s="16" t="s">
        <v>136</v>
      </c>
      <c r="N20" s="16" t="s">
        <v>21</v>
      </c>
      <c r="O20" s="16" t="s">
        <v>136</v>
      </c>
      <c r="Q20" s="9">
        <v>9</v>
      </c>
      <c r="R20" s="9">
        <v>9</v>
      </c>
      <c r="S20" s="9">
        <v>6</v>
      </c>
      <c r="T20" s="9">
        <v>2</v>
      </c>
      <c r="U20" s="9">
        <v>6</v>
      </c>
      <c r="W20" s="25">
        <v>1</v>
      </c>
      <c r="X20" s="25">
        <v>1</v>
      </c>
      <c r="Y20" s="25">
        <v>1</v>
      </c>
      <c r="Z20" s="25">
        <v>1</v>
      </c>
      <c r="AA20" s="25">
        <v>1</v>
      </c>
      <c r="AC20" s="149" t="str">
        <v>G4</v>
      </c>
      <c r="AD20" s="105">
        <v>0</v>
      </c>
      <c r="AE20" s="105">
        <v>8</v>
      </c>
      <c r="AF20" s="105">
        <v>3</v>
      </c>
      <c r="AG20" s="105">
        <v>3</v>
      </c>
      <c r="AH20" s="105">
        <v>0</v>
      </c>
      <c r="AI20" s="5"/>
      <c r="AJ20" s="149" t="str">
        <v>G4</v>
      </c>
      <c r="AK20" s="105">
        <v>0</v>
      </c>
      <c r="AL20" s="105">
        <v>8</v>
      </c>
      <c r="AM20" s="105">
        <v>3</v>
      </c>
      <c r="AN20" s="105">
        <v>3</v>
      </c>
      <c r="AO20" s="105">
        <v>0</v>
      </c>
    </row>
    <row r="21" spans="1:41" ht="15.9" customHeight="1">
      <c r="A21" s="29" t="str">
        <v>GK</v>
      </c>
      <c r="B21" s="8" t="str">
        <v>Gold K</v>
      </c>
      <c r="C21" s="105">
        <f t="shared" si="0"/>
        <v>0</v>
      </c>
      <c r="D21" s="105">
        <f t="shared" si="1"/>
        <v>8</v>
      </c>
      <c r="E21" s="105">
        <f t="shared" si="2"/>
        <v>3</v>
      </c>
      <c r="F21" s="105">
        <f t="shared" si="3"/>
        <v>3</v>
      </c>
      <c r="G21" s="105">
        <f t="shared" si="4"/>
        <v>0</v>
      </c>
      <c r="H21" s="8">
        <v>17</v>
      </c>
      <c r="I21" s="87"/>
      <c r="J21" s="9">
        <v>17</v>
      </c>
      <c r="K21" s="16" t="s">
        <v>19</v>
      </c>
      <c r="L21" s="16" t="s">
        <v>119</v>
      </c>
      <c r="M21" s="16" t="s">
        <v>35</v>
      </c>
      <c r="N21" s="16" t="s">
        <v>34</v>
      </c>
      <c r="O21" s="16" t="s">
        <v>36</v>
      </c>
      <c r="Q21" s="9">
        <v>5</v>
      </c>
      <c r="R21" s="9">
        <v>17</v>
      </c>
      <c r="S21" s="9">
        <v>8</v>
      </c>
      <c r="T21" s="9">
        <v>9</v>
      </c>
      <c r="U21" s="9">
        <v>10</v>
      </c>
      <c r="W21" s="25">
        <v>1</v>
      </c>
      <c r="X21" s="25">
        <v>1</v>
      </c>
      <c r="Y21" s="25">
        <v>1</v>
      </c>
      <c r="Z21" s="25">
        <v>1</v>
      </c>
      <c r="AA21" s="25">
        <v>1</v>
      </c>
      <c r="AC21" s="149" t="str">
        <v>G5</v>
      </c>
      <c r="AD21" s="105">
        <v>0</v>
      </c>
      <c r="AE21" s="105">
        <v>8</v>
      </c>
      <c r="AF21" s="105">
        <v>3</v>
      </c>
      <c r="AG21" s="105">
        <v>3</v>
      </c>
      <c r="AH21" s="105">
        <v>0</v>
      </c>
      <c r="AI21" s="5"/>
      <c r="AJ21" s="149" t="str">
        <v>G5</v>
      </c>
      <c r="AK21" s="105">
        <v>0</v>
      </c>
      <c r="AL21" s="105">
        <v>8</v>
      </c>
      <c r="AM21" s="105">
        <v>3</v>
      </c>
      <c r="AN21" s="105">
        <v>3</v>
      </c>
      <c r="AO21" s="105">
        <v>0</v>
      </c>
    </row>
    <row r="22" spans="1:41" ht="15.9" customHeight="1">
      <c r="A22" s="29" t="str">
        <v>GQ</v>
      </c>
      <c r="B22" s="8" t="str">
        <v>Gold Q</v>
      </c>
      <c r="C22" s="105">
        <f t="shared" si="0"/>
        <v>0</v>
      </c>
      <c r="D22" s="105">
        <f t="shared" si="1"/>
        <v>5</v>
      </c>
      <c r="E22" s="105">
        <f t="shared" si="2"/>
        <v>0</v>
      </c>
      <c r="F22" s="105">
        <f t="shared" si="3"/>
        <v>4</v>
      </c>
      <c r="G22" s="105">
        <f t="shared" si="4"/>
        <v>0</v>
      </c>
      <c r="H22" s="8">
        <v>18</v>
      </c>
      <c r="I22" s="87"/>
      <c r="J22" s="25">
        <v>18</v>
      </c>
      <c r="K22" s="16" t="s">
        <v>37</v>
      </c>
      <c r="L22" s="16" t="s">
        <v>90</v>
      </c>
      <c r="M22" s="16" t="s">
        <v>37</v>
      </c>
      <c r="N22" s="16" t="s">
        <v>19</v>
      </c>
      <c r="O22" s="16" t="s">
        <v>34</v>
      </c>
      <c r="Q22" s="9">
        <v>7</v>
      </c>
      <c r="R22" s="9">
        <v>13</v>
      </c>
      <c r="S22" s="9">
        <v>7</v>
      </c>
      <c r="T22" s="9">
        <v>5</v>
      </c>
      <c r="U22" s="9">
        <v>9</v>
      </c>
      <c r="W22" s="25">
        <v>1</v>
      </c>
      <c r="X22" s="25">
        <v>1</v>
      </c>
      <c r="Y22" s="25">
        <v>1</v>
      </c>
      <c r="Z22" s="25">
        <v>1</v>
      </c>
      <c r="AA22" s="25">
        <v>1</v>
      </c>
      <c r="AC22" s="149" t="str">
        <v>GA</v>
      </c>
      <c r="AD22" s="105">
        <v>0</v>
      </c>
      <c r="AE22" s="105">
        <v>8</v>
      </c>
      <c r="AF22" s="105">
        <v>3</v>
      </c>
      <c r="AG22" s="105">
        <v>3</v>
      </c>
      <c r="AH22" s="105">
        <v>0</v>
      </c>
      <c r="AI22" s="5"/>
      <c r="AJ22" s="149" t="str">
        <v>GA</v>
      </c>
      <c r="AK22" s="105">
        <v>0</v>
      </c>
      <c r="AL22" s="105">
        <v>8</v>
      </c>
      <c r="AM22" s="105">
        <v>3</v>
      </c>
      <c r="AN22" s="105">
        <v>3</v>
      </c>
      <c r="AO22" s="105">
        <v>0</v>
      </c>
    </row>
    <row r="23" spans="1:41" ht="15.9" customHeight="1">
      <c r="A23" s="29" t="str">
        <v>GJ</v>
      </c>
      <c r="B23" s="8" t="str">
        <v>Gold J</v>
      </c>
      <c r="C23" s="105">
        <f t="shared" si="0"/>
        <v>0</v>
      </c>
      <c r="D23" s="105">
        <f t="shared" si="1"/>
        <v>5</v>
      </c>
      <c r="E23" s="105">
        <f t="shared" si="2"/>
        <v>0</v>
      </c>
      <c r="F23" s="105">
        <f t="shared" si="3"/>
        <v>4</v>
      </c>
      <c r="G23" s="105">
        <f t="shared" si="4"/>
        <v>0</v>
      </c>
      <c r="H23" s="8">
        <v>19</v>
      </c>
      <c r="I23" s="87"/>
      <c r="J23" s="9">
        <v>19</v>
      </c>
      <c r="K23" s="16" t="s">
        <v>19</v>
      </c>
      <c r="L23" s="16" t="s">
        <v>136</v>
      </c>
      <c r="M23" s="16" t="s">
        <v>92</v>
      </c>
      <c r="N23" s="16" t="s">
        <v>91</v>
      </c>
      <c r="O23" s="16" t="s">
        <v>21</v>
      </c>
      <c r="Q23" s="9">
        <v>5</v>
      </c>
      <c r="R23" s="9">
        <v>6</v>
      </c>
      <c r="S23" s="9">
        <v>16</v>
      </c>
      <c r="T23" s="9">
        <v>14</v>
      </c>
      <c r="U23" s="9">
        <v>2</v>
      </c>
      <c r="W23" s="25">
        <v>1</v>
      </c>
      <c r="X23" s="25">
        <v>1</v>
      </c>
      <c r="Y23" s="25">
        <v>1</v>
      </c>
      <c r="Z23" s="25">
        <v>1</v>
      </c>
      <c r="AA23" s="25">
        <v>1</v>
      </c>
      <c r="AC23" s="149" t="str">
        <v>GK</v>
      </c>
      <c r="AD23" s="105">
        <v>0</v>
      </c>
      <c r="AE23" s="105">
        <v>8</v>
      </c>
      <c r="AF23" s="105">
        <v>3</v>
      </c>
      <c r="AG23" s="105">
        <v>3</v>
      </c>
      <c r="AH23" s="105">
        <v>0</v>
      </c>
      <c r="AI23" s="5"/>
      <c r="AJ23" s="149" t="str">
        <v>GK</v>
      </c>
      <c r="AK23" s="105">
        <v>0</v>
      </c>
      <c r="AL23" s="105">
        <v>8</v>
      </c>
      <c r="AM23" s="105">
        <v>3</v>
      </c>
      <c r="AN23" s="105">
        <v>3</v>
      </c>
      <c r="AO23" s="105">
        <v>0</v>
      </c>
    </row>
    <row r="24" spans="1:41" ht="15.9" customHeight="1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7"/>
      <c r="J24" s="25">
        <v>20</v>
      </c>
      <c r="K24" s="16" t="s">
        <v>37</v>
      </c>
      <c r="L24" s="16" t="s">
        <v>35</v>
      </c>
      <c r="M24" s="16" t="s">
        <v>37</v>
      </c>
      <c r="N24" s="16" t="s">
        <v>19</v>
      </c>
      <c r="O24" s="16" t="s">
        <v>34</v>
      </c>
      <c r="Q24" s="9">
        <v>7</v>
      </c>
      <c r="R24" s="9">
        <v>8</v>
      </c>
      <c r="S24" s="9">
        <v>7</v>
      </c>
      <c r="T24" s="9">
        <v>5</v>
      </c>
      <c r="U24" s="9">
        <v>9</v>
      </c>
      <c r="W24" s="25">
        <v>1</v>
      </c>
      <c r="X24" s="25">
        <v>1</v>
      </c>
      <c r="Y24" s="25">
        <v>1</v>
      </c>
      <c r="Z24" s="25">
        <v>1</v>
      </c>
      <c r="AA24" s="25">
        <v>1</v>
      </c>
      <c r="AC24" s="149" t="str">
        <v>GQ</v>
      </c>
      <c r="AD24" s="105">
        <v>0</v>
      </c>
      <c r="AE24" s="105">
        <v>5</v>
      </c>
      <c r="AF24" s="105">
        <v>0</v>
      </c>
      <c r="AG24" s="105">
        <v>4</v>
      </c>
      <c r="AH24" s="105">
        <v>0</v>
      </c>
      <c r="AI24" s="5"/>
      <c r="AJ24" s="149" t="str">
        <v>GQ</v>
      </c>
      <c r="AK24" s="105">
        <v>0</v>
      </c>
      <c r="AL24" s="105">
        <v>5</v>
      </c>
      <c r="AM24" s="105">
        <v>0</v>
      </c>
      <c r="AN24" s="105">
        <v>4</v>
      </c>
      <c r="AO24" s="105">
        <v>0</v>
      </c>
    </row>
    <row r="25" spans="1:41" ht="16.5" customHeight="1">
      <c r="I25" s="87"/>
      <c r="J25" s="9">
        <v>21</v>
      </c>
      <c r="K25" s="16" t="s">
        <v>19</v>
      </c>
      <c r="L25" s="16" t="s">
        <v>37</v>
      </c>
      <c r="M25" s="16" t="s">
        <v>34</v>
      </c>
      <c r="N25" s="16" t="s">
        <v>19</v>
      </c>
      <c r="O25" s="16" t="s">
        <v>36</v>
      </c>
      <c r="Q25" s="9">
        <v>5</v>
      </c>
      <c r="R25" s="9">
        <v>7</v>
      </c>
      <c r="S25" s="9">
        <v>9</v>
      </c>
      <c r="T25" s="9">
        <v>5</v>
      </c>
      <c r="U25" s="9">
        <v>10</v>
      </c>
      <c r="W25" s="25">
        <v>1</v>
      </c>
      <c r="X25" s="25">
        <v>1</v>
      </c>
      <c r="Y25" s="25">
        <v>1</v>
      </c>
      <c r="Z25" s="25">
        <v>1</v>
      </c>
      <c r="AA25" s="25">
        <v>1</v>
      </c>
      <c r="AC25" s="149" t="str">
        <v>GJ</v>
      </c>
      <c r="AD25" s="105">
        <v>0</v>
      </c>
      <c r="AE25" s="105">
        <v>5</v>
      </c>
      <c r="AF25" s="105">
        <v>0</v>
      </c>
      <c r="AG25" s="105">
        <v>4</v>
      </c>
      <c r="AH25" s="105">
        <v>0</v>
      </c>
      <c r="AI25" s="5"/>
      <c r="AJ25" s="149" t="str">
        <v>GJ</v>
      </c>
      <c r="AK25" s="105">
        <v>0</v>
      </c>
      <c r="AL25" s="105">
        <v>5</v>
      </c>
      <c r="AM25" s="105">
        <v>0</v>
      </c>
      <c r="AN25" s="105">
        <v>4</v>
      </c>
      <c r="AO25" s="105">
        <v>0</v>
      </c>
    </row>
    <row r="26" spans="1:41" ht="16.5" customHeight="1">
      <c r="A26" s="20" t="s">
        <v>5</v>
      </c>
      <c r="B26" s="20" t="s">
        <v>12</v>
      </c>
      <c r="C26" s="20" t="s">
        <v>6</v>
      </c>
      <c r="D26" s="20" t="s">
        <v>7</v>
      </c>
      <c r="E26" s="20" t="s">
        <v>8</v>
      </c>
      <c r="F26" s="20" t="s">
        <v>9</v>
      </c>
      <c r="G26" s="20" t="s">
        <v>10</v>
      </c>
      <c r="H26" s="20" t="s">
        <v>11</v>
      </c>
      <c r="I26" s="87"/>
      <c r="J26" s="25">
        <v>22</v>
      </c>
      <c r="K26" s="16" t="s">
        <v>34</v>
      </c>
      <c r="L26" s="16" t="s">
        <v>34</v>
      </c>
      <c r="M26" s="16" t="s">
        <v>19</v>
      </c>
      <c r="N26" s="16" t="s">
        <v>34</v>
      </c>
      <c r="O26" s="16" t="s">
        <v>35</v>
      </c>
      <c r="Q26" s="9">
        <v>9</v>
      </c>
      <c r="R26" s="9">
        <v>9</v>
      </c>
      <c r="S26" s="9">
        <v>5</v>
      </c>
      <c r="T26" s="9">
        <v>9</v>
      </c>
      <c r="U26" s="9">
        <v>8</v>
      </c>
      <c r="W26" s="25">
        <v>1</v>
      </c>
      <c r="X26" s="25">
        <v>1</v>
      </c>
      <c r="Y26" s="25">
        <v>1</v>
      </c>
      <c r="Z26" s="25">
        <v>1</v>
      </c>
      <c r="AA26" s="25">
        <v>1</v>
      </c>
      <c r="AD26" s="119">
        <f>SUM(AD6:AD25)</f>
        <v>200</v>
      </c>
      <c r="AE26" s="119">
        <f>SUM(AE6:AE25)</f>
        <v>200</v>
      </c>
      <c r="AF26" s="119">
        <f>SUM(AF6:AF25)</f>
        <v>200</v>
      </c>
      <c r="AG26" s="119">
        <f>SUM(AG6:AG25)</f>
        <v>200</v>
      </c>
      <c r="AH26" s="119">
        <f>SUM(AH6:AH25)</f>
        <v>200</v>
      </c>
      <c r="AI26" s="5"/>
      <c r="AK26" s="119">
        <f>SUM(AK6:AK25)</f>
        <v>200</v>
      </c>
      <c r="AL26" s="119">
        <f>SUM(AL6:AL25)</f>
        <v>200</v>
      </c>
      <c r="AM26" s="119">
        <f>SUM(AM6:AM25)</f>
        <v>200</v>
      </c>
      <c r="AN26" s="119">
        <f>SUM(AN6:AN25)</f>
        <v>200</v>
      </c>
      <c r="AO26" s="119">
        <f>SUM(AO6:AO25)</f>
        <v>200</v>
      </c>
    </row>
    <row r="27" spans="1:41" ht="16.5" customHeight="1">
      <c r="A27" s="29" t="str" cm="1">
        <f t="array" ref="A27:B46">_xlfn.ANCHORARRAY(A4)</f>
        <v>WW</v>
      </c>
      <c r="B27" s="8" t="str">
        <v>Wild</v>
      </c>
      <c r="C27" s="141" cm="1">
        <f t="array" ref="C27:G46">C4:G23/C24:G24</f>
        <v>0</v>
      </c>
      <c r="D27" s="141">
        <v>0</v>
      </c>
      <c r="E27" s="141">
        <v>0</v>
      </c>
      <c r="F27" s="141">
        <v>0</v>
      </c>
      <c r="G27" s="141">
        <v>0</v>
      </c>
      <c r="H27" s="8" cm="1">
        <f t="array" ref="H27:H46">_xlfn.ANCHORARRAY(H4)</f>
        <v>0</v>
      </c>
      <c r="I27" s="87"/>
      <c r="J27" s="9">
        <v>23</v>
      </c>
      <c r="K27" s="16" t="s">
        <v>19</v>
      </c>
      <c r="L27" s="16" t="s">
        <v>136</v>
      </c>
      <c r="M27" s="16" t="s">
        <v>35</v>
      </c>
      <c r="N27" s="16" t="s">
        <v>21</v>
      </c>
      <c r="O27" s="16" t="s">
        <v>22</v>
      </c>
      <c r="Q27" s="9">
        <v>5</v>
      </c>
      <c r="R27" s="9">
        <v>6</v>
      </c>
      <c r="S27" s="9">
        <v>8</v>
      </c>
      <c r="T27" s="9">
        <v>2</v>
      </c>
      <c r="U27" s="9">
        <v>3</v>
      </c>
      <c r="W27" s="25">
        <v>1</v>
      </c>
      <c r="X27" s="25">
        <v>1</v>
      </c>
      <c r="Y27" s="25">
        <v>1</v>
      </c>
      <c r="Z27" s="25">
        <v>1</v>
      </c>
      <c r="AA27" s="25">
        <v>1</v>
      </c>
      <c r="AH27" s="5"/>
      <c r="AI27" s="5"/>
      <c r="AO27" s="5"/>
    </row>
    <row r="28" spans="1:41" ht="16.5" customHeight="1">
      <c r="A28" s="29" t="str">
        <v>C1</v>
      </c>
      <c r="B28" s="8" t="str">
        <v>Scatter</v>
      </c>
      <c r="C28" s="141">
        <v>0</v>
      </c>
      <c r="D28" s="141">
        <v>0.03</v>
      </c>
      <c r="E28" s="141">
        <v>0</v>
      </c>
      <c r="F28" s="141">
        <v>4.4999999999999998E-2</v>
      </c>
      <c r="G28" s="141">
        <v>0</v>
      </c>
      <c r="H28" s="8">
        <v>1</v>
      </c>
      <c r="I28" s="87"/>
      <c r="J28" s="25">
        <v>24</v>
      </c>
      <c r="K28" s="16" t="s">
        <v>35</v>
      </c>
      <c r="L28" s="16" t="s">
        <v>35</v>
      </c>
      <c r="M28" s="16" t="s">
        <v>19</v>
      </c>
      <c r="N28" s="16" t="s">
        <v>34</v>
      </c>
      <c r="O28" s="16" t="s">
        <v>21</v>
      </c>
      <c r="Q28" s="9">
        <v>8</v>
      </c>
      <c r="R28" s="9">
        <v>8</v>
      </c>
      <c r="S28" s="9">
        <v>5</v>
      </c>
      <c r="T28" s="9">
        <v>9</v>
      </c>
      <c r="U28" s="9">
        <v>2</v>
      </c>
      <c r="W28" s="25">
        <v>1</v>
      </c>
      <c r="X28" s="25">
        <v>1</v>
      </c>
      <c r="Y28" s="25">
        <v>1</v>
      </c>
      <c r="Z28" s="25">
        <v>1</v>
      </c>
      <c r="AA28" s="25">
        <v>1</v>
      </c>
      <c r="AC28" s="27" t="s">
        <v>143</v>
      </c>
      <c r="AH28" s="5"/>
      <c r="AI28" s="5"/>
      <c r="AJ28" s="27" t="s">
        <v>143</v>
      </c>
      <c r="AO28" s="5"/>
    </row>
    <row r="29" spans="1:41" ht="16.5" customHeight="1">
      <c r="A29" s="29" t="str">
        <v>M1</v>
      </c>
      <c r="B29" s="8" t="str">
        <v>M1</v>
      </c>
      <c r="C29" s="141">
        <v>0.02</v>
      </c>
      <c r="D29" s="141">
        <v>5.5E-2</v>
      </c>
      <c r="E29" s="141">
        <v>2.5000000000000001E-2</v>
      </c>
      <c r="F29" s="141">
        <v>0.105</v>
      </c>
      <c r="G29" s="141">
        <v>0.115</v>
      </c>
      <c r="H29" s="8">
        <v>2</v>
      </c>
      <c r="I29" s="87"/>
      <c r="J29" s="9">
        <v>25</v>
      </c>
      <c r="K29" s="16" t="s">
        <v>19</v>
      </c>
      <c r="L29" s="16" t="s">
        <v>97</v>
      </c>
      <c r="M29" s="16" t="s">
        <v>37</v>
      </c>
      <c r="N29" s="16" t="s">
        <v>34</v>
      </c>
      <c r="O29" s="16" t="s">
        <v>37</v>
      </c>
      <c r="Q29" s="9">
        <v>5</v>
      </c>
      <c r="R29" s="9">
        <v>19</v>
      </c>
      <c r="S29" s="9">
        <v>7</v>
      </c>
      <c r="T29" s="9">
        <v>9</v>
      </c>
      <c r="U29" s="9">
        <v>7</v>
      </c>
      <c r="W29" s="25">
        <v>1</v>
      </c>
      <c r="X29" s="25">
        <v>1</v>
      </c>
      <c r="Y29" s="25">
        <v>1</v>
      </c>
      <c r="Z29" s="25">
        <v>1</v>
      </c>
      <c r="AA29" s="25">
        <v>1</v>
      </c>
      <c r="AC29" s="146" t="s">
        <v>42</v>
      </c>
      <c r="AD29" s="146" t="s">
        <v>13</v>
      </c>
      <c r="AE29" s="146" t="s">
        <v>14</v>
      </c>
      <c r="AF29" s="146" t="s">
        <v>15</v>
      </c>
      <c r="AG29" s="146" t="s">
        <v>16</v>
      </c>
      <c r="AH29" s="146" t="s">
        <v>17</v>
      </c>
      <c r="AI29" s="5"/>
      <c r="AJ29" s="146" t="s">
        <v>42</v>
      </c>
      <c r="AK29" s="146" t="s">
        <v>13</v>
      </c>
      <c r="AL29" s="146" t="s">
        <v>14</v>
      </c>
      <c r="AM29" s="146" t="s">
        <v>15</v>
      </c>
      <c r="AN29" s="146" t="s">
        <v>16</v>
      </c>
      <c r="AO29" s="146" t="s">
        <v>17</v>
      </c>
    </row>
    <row r="30" spans="1:41" ht="16.5" customHeight="1">
      <c r="A30" s="29" t="str">
        <v>M2</v>
      </c>
      <c r="B30" s="8" t="str">
        <v>M2</v>
      </c>
      <c r="C30" s="141">
        <v>0.02</v>
      </c>
      <c r="D30" s="141">
        <v>5.5E-2</v>
      </c>
      <c r="E30" s="141">
        <v>2.5000000000000001E-2</v>
      </c>
      <c r="F30" s="141">
        <v>0.105</v>
      </c>
      <c r="G30" s="141">
        <v>0.115</v>
      </c>
      <c r="H30" s="8">
        <v>3</v>
      </c>
      <c r="I30" s="87"/>
      <c r="J30" s="25">
        <v>26</v>
      </c>
      <c r="K30" s="16" t="s">
        <v>22</v>
      </c>
      <c r="L30" s="16" t="s">
        <v>137</v>
      </c>
      <c r="M30" s="16" t="s">
        <v>19</v>
      </c>
      <c r="N30" s="16" t="s">
        <v>34</v>
      </c>
      <c r="O30" s="16" t="s">
        <v>19</v>
      </c>
      <c r="Q30" s="9">
        <v>3</v>
      </c>
      <c r="R30" s="9">
        <v>15</v>
      </c>
      <c r="S30" s="9">
        <v>5</v>
      </c>
      <c r="T30" s="9">
        <v>9</v>
      </c>
      <c r="U30" s="9">
        <v>5</v>
      </c>
      <c r="W30" s="25">
        <v>1</v>
      </c>
      <c r="X30" s="25">
        <v>1</v>
      </c>
      <c r="Y30" s="25">
        <v>1</v>
      </c>
      <c r="Z30" s="25">
        <v>1</v>
      </c>
      <c r="AA30" s="25">
        <v>1</v>
      </c>
      <c r="AC30" s="149" t="str" cm="1">
        <f t="array" ref="AC30:AC49">$A$4:$A$23</f>
        <v>WW</v>
      </c>
      <c r="AD30" s="150">
        <v>0</v>
      </c>
      <c r="AE30" s="150">
        <v>0</v>
      </c>
      <c r="AF30" s="150">
        <v>0</v>
      </c>
      <c r="AG30" s="150">
        <v>0</v>
      </c>
      <c r="AH30" s="150">
        <v>0</v>
      </c>
      <c r="AI30" s="5"/>
      <c r="AJ30" s="149" t="str" cm="1">
        <f t="array" ref="AJ30:AJ49">$A$4:$A$23</f>
        <v>WW</v>
      </c>
      <c r="AK30" s="150">
        <v>0</v>
      </c>
      <c r="AL30" s="150">
        <v>0</v>
      </c>
      <c r="AM30" s="150">
        <v>0</v>
      </c>
      <c r="AN30" s="150">
        <v>0</v>
      </c>
      <c r="AO30" s="150">
        <v>0</v>
      </c>
    </row>
    <row r="31" spans="1:41" ht="16.5" customHeight="1">
      <c r="A31" s="29" t="str">
        <v>M3</v>
      </c>
      <c r="B31" s="8" t="str">
        <v>M3</v>
      </c>
      <c r="C31" s="141">
        <v>0.02</v>
      </c>
      <c r="D31" s="141">
        <v>5.5E-2</v>
      </c>
      <c r="E31" s="141">
        <v>2.5000000000000001E-2</v>
      </c>
      <c r="F31" s="141">
        <v>0.105</v>
      </c>
      <c r="G31" s="141">
        <v>0.11</v>
      </c>
      <c r="H31" s="8">
        <v>4</v>
      </c>
      <c r="I31" s="87"/>
      <c r="J31" s="9">
        <v>27</v>
      </c>
      <c r="K31" s="16" t="s">
        <v>19</v>
      </c>
      <c r="L31" s="16" t="s">
        <v>37</v>
      </c>
      <c r="M31" s="16" t="s">
        <v>35</v>
      </c>
      <c r="N31" s="16" t="s">
        <v>36</v>
      </c>
      <c r="O31" s="16" t="s">
        <v>21</v>
      </c>
      <c r="Q31" s="9">
        <v>5</v>
      </c>
      <c r="R31" s="9">
        <v>7</v>
      </c>
      <c r="S31" s="9">
        <v>8</v>
      </c>
      <c r="T31" s="9">
        <v>10</v>
      </c>
      <c r="U31" s="9">
        <v>2</v>
      </c>
      <c r="W31" s="25">
        <v>1</v>
      </c>
      <c r="X31" s="25">
        <v>1</v>
      </c>
      <c r="Y31" s="25">
        <v>1</v>
      </c>
      <c r="Z31" s="25">
        <v>1</v>
      </c>
      <c r="AA31" s="25">
        <v>1</v>
      </c>
      <c r="AC31" s="149" t="str">
        <v>C1</v>
      </c>
      <c r="AD31" s="149">
        <v>0</v>
      </c>
      <c r="AE31" s="149">
        <v>6</v>
      </c>
      <c r="AF31" s="149">
        <v>0</v>
      </c>
      <c r="AG31" s="149">
        <v>9</v>
      </c>
      <c r="AH31" s="149">
        <v>0</v>
      </c>
      <c r="AI31" s="5"/>
      <c r="AJ31" s="149" t="str">
        <v>C1</v>
      </c>
      <c r="AK31" s="149">
        <v>0</v>
      </c>
      <c r="AL31" s="149">
        <v>6</v>
      </c>
      <c r="AM31" s="149">
        <v>0</v>
      </c>
      <c r="AN31" s="149">
        <v>9</v>
      </c>
      <c r="AO31" s="149">
        <v>0</v>
      </c>
    </row>
    <row r="32" spans="1:41" ht="16.5" customHeight="1">
      <c r="A32" s="29" t="str">
        <v>M4</v>
      </c>
      <c r="B32" s="8" t="str">
        <v>M4</v>
      </c>
      <c r="C32" s="141">
        <v>0.215</v>
      </c>
      <c r="D32" s="141">
        <v>0.1</v>
      </c>
      <c r="E32" s="141">
        <v>0.20499999999999999</v>
      </c>
      <c r="F32" s="141">
        <v>7.0000000000000007E-2</v>
      </c>
      <c r="G32" s="141">
        <v>0.11</v>
      </c>
      <c r="H32" s="8">
        <v>5</v>
      </c>
      <c r="J32" s="25">
        <v>28</v>
      </c>
      <c r="K32" s="16" t="s">
        <v>37</v>
      </c>
      <c r="L32" s="16" t="s">
        <v>36</v>
      </c>
      <c r="M32" s="16" t="s">
        <v>19</v>
      </c>
      <c r="N32" s="16" t="s">
        <v>91</v>
      </c>
      <c r="O32" s="16" t="s">
        <v>136</v>
      </c>
      <c r="Q32" s="9">
        <v>7</v>
      </c>
      <c r="R32" s="9">
        <v>10</v>
      </c>
      <c r="S32" s="9">
        <v>5</v>
      </c>
      <c r="T32" s="9">
        <v>14</v>
      </c>
      <c r="U32" s="9">
        <v>6</v>
      </c>
      <c r="W32" s="25">
        <v>1</v>
      </c>
      <c r="X32" s="25">
        <v>1</v>
      </c>
      <c r="Y32" s="25">
        <v>1</v>
      </c>
      <c r="Z32" s="25">
        <v>1</v>
      </c>
      <c r="AA32" s="25">
        <v>1</v>
      </c>
      <c r="AC32" s="166" t="str">
        <v>M1</v>
      </c>
      <c r="AD32" s="144">
        <v>4</v>
      </c>
      <c r="AE32" s="144">
        <v>11</v>
      </c>
      <c r="AF32" s="144">
        <v>5</v>
      </c>
      <c r="AG32" s="144">
        <v>21</v>
      </c>
      <c r="AH32" s="144">
        <v>23</v>
      </c>
      <c r="AI32" s="5"/>
      <c r="AJ32" s="166" t="str">
        <v>M1</v>
      </c>
      <c r="AK32" s="144">
        <v>4</v>
      </c>
      <c r="AL32" s="144">
        <v>11</v>
      </c>
      <c r="AM32" s="144">
        <v>5</v>
      </c>
      <c r="AN32" s="144">
        <v>21</v>
      </c>
      <c r="AO32" s="144">
        <v>23</v>
      </c>
    </row>
    <row r="33" spans="1:41" ht="16.5" customHeight="1">
      <c r="A33" s="29" t="str">
        <v>M5</v>
      </c>
      <c r="B33" s="8" t="str">
        <v>M5</v>
      </c>
      <c r="C33" s="141">
        <v>0.215</v>
      </c>
      <c r="D33" s="141">
        <v>0.105</v>
      </c>
      <c r="E33" s="141">
        <v>0.20499999999999999</v>
      </c>
      <c r="F33" s="141">
        <v>7.0000000000000007E-2</v>
      </c>
      <c r="G33" s="141">
        <v>0.11</v>
      </c>
      <c r="H33" s="8">
        <v>6</v>
      </c>
      <c r="J33" s="9">
        <v>29</v>
      </c>
      <c r="K33" s="16" t="s">
        <v>19</v>
      </c>
      <c r="L33" s="16" t="s">
        <v>136</v>
      </c>
      <c r="M33" s="16" t="s">
        <v>35</v>
      </c>
      <c r="N33" s="16" t="s">
        <v>35</v>
      </c>
      <c r="O33" s="16" t="s">
        <v>22</v>
      </c>
      <c r="Q33" s="9">
        <v>5</v>
      </c>
      <c r="R33" s="9">
        <v>6</v>
      </c>
      <c r="S33" s="9">
        <v>8</v>
      </c>
      <c r="T33" s="9">
        <v>8</v>
      </c>
      <c r="U33" s="9">
        <v>3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C33" s="166" t="str">
        <v>M2</v>
      </c>
      <c r="AD33" s="144">
        <v>4</v>
      </c>
      <c r="AE33" s="144">
        <v>11</v>
      </c>
      <c r="AF33" s="144">
        <v>5</v>
      </c>
      <c r="AG33" s="144">
        <v>21</v>
      </c>
      <c r="AH33" s="144">
        <v>23</v>
      </c>
      <c r="AI33" s="5"/>
      <c r="AJ33" s="166" t="str">
        <v>M2</v>
      </c>
      <c r="AK33" s="144">
        <v>4</v>
      </c>
      <c r="AL33" s="144">
        <v>11</v>
      </c>
      <c r="AM33" s="144">
        <v>5</v>
      </c>
      <c r="AN33" s="144">
        <v>21</v>
      </c>
      <c r="AO33" s="144">
        <v>23</v>
      </c>
    </row>
    <row r="34" spans="1:41" ht="16.5" customHeight="1">
      <c r="A34" s="29" t="str">
        <v>A</v>
      </c>
      <c r="B34" s="8" t="str">
        <v>A</v>
      </c>
      <c r="C34" s="141">
        <v>0.23499999999999999</v>
      </c>
      <c r="D34" s="141">
        <v>0.105</v>
      </c>
      <c r="E34" s="141">
        <v>0.20499999999999999</v>
      </c>
      <c r="F34" s="141">
        <v>7.0000000000000007E-2</v>
      </c>
      <c r="G34" s="141">
        <v>0.11</v>
      </c>
      <c r="H34" s="8">
        <v>7</v>
      </c>
      <c r="J34" s="25">
        <v>30</v>
      </c>
      <c r="K34" s="16" t="s">
        <v>136</v>
      </c>
      <c r="L34" s="16" t="s">
        <v>95</v>
      </c>
      <c r="M34" s="16" t="s">
        <v>37</v>
      </c>
      <c r="N34" s="16" t="s">
        <v>21</v>
      </c>
      <c r="O34" s="16" t="s">
        <v>34</v>
      </c>
      <c r="Q34" s="9">
        <v>6</v>
      </c>
      <c r="R34" s="9">
        <v>18</v>
      </c>
      <c r="S34" s="9">
        <v>7</v>
      </c>
      <c r="T34" s="9">
        <v>2</v>
      </c>
      <c r="U34" s="9">
        <v>9</v>
      </c>
      <c r="W34" s="25">
        <v>1</v>
      </c>
      <c r="X34" s="25">
        <v>1</v>
      </c>
      <c r="Y34" s="25">
        <v>1</v>
      </c>
      <c r="Z34" s="25">
        <v>1</v>
      </c>
      <c r="AA34" s="25">
        <v>1</v>
      </c>
      <c r="AC34" s="166" t="str">
        <v>M3</v>
      </c>
      <c r="AD34" s="144">
        <v>4</v>
      </c>
      <c r="AE34" s="144">
        <v>11</v>
      </c>
      <c r="AF34" s="144">
        <v>5</v>
      </c>
      <c r="AG34" s="144">
        <v>21</v>
      </c>
      <c r="AH34" s="144">
        <v>22</v>
      </c>
      <c r="AI34" s="5"/>
      <c r="AJ34" s="166" t="str">
        <v>M3</v>
      </c>
      <c r="AK34" s="144">
        <v>4</v>
      </c>
      <c r="AL34" s="144">
        <v>11</v>
      </c>
      <c r="AM34" s="144">
        <v>5</v>
      </c>
      <c r="AN34" s="144">
        <v>21</v>
      </c>
      <c r="AO34" s="144">
        <v>22</v>
      </c>
    </row>
    <row r="35" spans="1:41" ht="16.5" customHeight="1">
      <c r="A35" s="29" t="str">
        <v>K</v>
      </c>
      <c r="B35" s="8" t="str">
        <v>K</v>
      </c>
      <c r="C35" s="141">
        <v>0.23499999999999999</v>
      </c>
      <c r="D35" s="141">
        <v>0.105</v>
      </c>
      <c r="E35" s="141">
        <v>0.20499999999999999</v>
      </c>
      <c r="F35" s="141">
        <v>7.0000000000000007E-2</v>
      </c>
      <c r="G35" s="141">
        <v>0.11</v>
      </c>
      <c r="H35" s="8">
        <v>8</v>
      </c>
      <c r="J35" s="9">
        <v>31</v>
      </c>
      <c r="K35" s="16" t="s">
        <v>19</v>
      </c>
      <c r="L35" s="16" t="s">
        <v>37</v>
      </c>
      <c r="M35" s="16" t="s">
        <v>35</v>
      </c>
      <c r="N35" s="16" t="s">
        <v>22</v>
      </c>
      <c r="O35" s="16" t="s">
        <v>36</v>
      </c>
      <c r="Q35" s="9">
        <v>5</v>
      </c>
      <c r="R35" s="9">
        <v>7</v>
      </c>
      <c r="S35" s="9">
        <v>8</v>
      </c>
      <c r="T35" s="9">
        <v>3</v>
      </c>
      <c r="U35" s="9">
        <v>10</v>
      </c>
      <c r="W35" s="25">
        <v>1</v>
      </c>
      <c r="X35" s="25">
        <v>1</v>
      </c>
      <c r="Y35" s="25">
        <v>1</v>
      </c>
      <c r="Z35" s="25">
        <v>1</v>
      </c>
      <c r="AA35" s="25">
        <v>1</v>
      </c>
      <c r="AC35" s="166" t="str">
        <v>M4</v>
      </c>
      <c r="AD35" s="144">
        <v>43</v>
      </c>
      <c r="AE35" s="144">
        <v>20</v>
      </c>
      <c r="AF35" s="144">
        <v>41</v>
      </c>
      <c r="AG35" s="144">
        <v>14</v>
      </c>
      <c r="AH35" s="144">
        <v>22</v>
      </c>
      <c r="AI35" s="5"/>
      <c r="AJ35" s="166" t="str">
        <v>M4</v>
      </c>
      <c r="AK35" s="144">
        <v>43</v>
      </c>
      <c r="AL35" s="144">
        <v>20</v>
      </c>
      <c r="AM35" s="144">
        <v>41</v>
      </c>
      <c r="AN35" s="144">
        <v>14</v>
      </c>
      <c r="AO35" s="144">
        <v>22</v>
      </c>
    </row>
    <row r="36" spans="1:41" ht="16.5" customHeight="1">
      <c r="A36" s="29" t="str">
        <v>Q</v>
      </c>
      <c r="B36" s="8" t="str">
        <v>Q</v>
      </c>
      <c r="C36" s="141">
        <v>0.02</v>
      </c>
      <c r="D36" s="141">
        <v>5.5E-2</v>
      </c>
      <c r="E36" s="141">
        <v>2.5000000000000001E-2</v>
      </c>
      <c r="F36" s="141">
        <v>0.1</v>
      </c>
      <c r="G36" s="141">
        <v>0.11</v>
      </c>
      <c r="H36" s="8">
        <v>9</v>
      </c>
      <c r="J36" s="25">
        <v>32</v>
      </c>
      <c r="K36" s="16" t="s">
        <v>37</v>
      </c>
      <c r="L36" s="16" t="s">
        <v>21</v>
      </c>
      <c r="M36" s="16" t="s">
        <v>35</v>
      </c>
      <c r="N36" s="16" t="s">
        <v>22</v>
      </c>
      <c r="O36" s="16" t="s">
        <v>19</v>
      </c>
      <c r="Q36" s="9">
        <v>7</v>
      </c>
      <c r="R36" s="9">
        <v>2</v>
      </c>
      <c r="S36" s="9">
        <v>8</v>
      </c>
      <c r="T36" s="9">
        <v>3</v>
      </c>
      <c r="U36" s="9">
        <v>5</v>
      </c>
      <c r="W36" s="25">
        <v>1</v>
      </c>
      <c r="X36" s="25">
        <v>1</v>
      </c>
      <c r="Y36" s="25">
        <v>1</v>
      </c>
      <c r="Z36" s="25">
        <v>1</v>
      </c>
      <c r="AA36" s="25">
        <v>1</v>
      </c>
      <c r="AC36" s="166" t="str">
        <v>M5</v>
      </c>
      <c r="AD36" s="144">
        <v>43</v>
      </c>
      <c r="AE36" s="144">
        <v>21</v>
      </c>
      <c r="AF36" s="144">
        <v>41</v>
      </c>
      <c r="AG36" s="144">
        <v>14</v>
      </c>
      <c r="AH36" s="144">
        <v>22</v>
      </c>
      <c r="AI36" s="5"/>
      <c r="AJ36" s="166" t="str">
        <v>M5</v>
      </c>
      <c r="AK36" s="144">
        <v>43</v>
      </c>
      <c r="AL36" s="144">
        <v>21</v>
      </c>
      <c r="AM36" s="144">
        <v>41</v>
      </c>
      <c r="AN36" s="144">
        <v>14</v>
      </c>
      <c r="AO36" s="144">
        <v>22</v>
      </c>
    </row>
    <row r="37" spans="1:41" ht="16.5" customHeight="1">
      <c r="A37" s="29" t="str">
        <v>J</v>
      </c>
      <c r="B37" s="8" t="str">
        <v>J</v>
      </c>
      <c r="C37" s="141">
        <v>0.02</v>
      </c>
      <c r="D37" s="141">
        <v>5.5E-2</v>
      </c>
      <c r="E37" s="141">
        <v>0.02</v>
      </c>
      <c r="F37" s="141">
        <v>0.1</v>
      </c>
      <c r="G37" s="141">
        <v>0.11</v>
      </c>
      <c r="H37" s="8">
        <v>10</v>
      </c>
      <c r="J37" s="9">
        <v>33</v>
      </c>
      <c r="K37" s="16" t="s">
        <v>136</v>
      </c>
      <c r="L37" s="16" t="s">
        <v>37</v>
      </c>
      <c r="M37" s="16" t="s">
        <v>35</v>
      </c>
      <c r="N37" s="16" t="s">
        <v>22</v>
      </c>
      <c r="O37" s="16" t="s">
        <v>136</v>
      </c>
      <c r="Q37" s="9">
        <v>6</v>
      </c>
      <c r="R37" s="9">
        <v>7</v>
      </c>
      <c r="S37" s="9">
        <v>8</v>
      </c>
      <c r="T37" s="9">
        <v>3</v>
      </c>
      <c r="U37" s="9">
        <v>6</v>
      </c>
      <c r="W37" s="25">
        <v>1</v>
      </c>
      <c r="X37" s="25">
        <v>1</v>
      </c>
      <c r="Y37" s="25">
        <v>1</v>
      </c>
      <c r="Z37" s="25">
        <v>1</v>
      </c>
      <c r="AA37" s="25">
        <v>1</v>
      </c>
      <c r="AC37" s="166" t="str">
        <v>A</v>
      </c>
      <c r="AD37" s="144">
        <v>47</v>
      </c>
      <c r="AE37" s="144">
        <v>21</v>
      </c>
      <c r="AF37" s="144">
        <v>41</v>
      </c>
      <c r="AG37" s="144">
        <v>14</v>
      </c>
      <c r="AH37" s="144">
        <v>22</v>
      </c>
      <c r="AI37" s="5"/>
      <c r="AJ37" s="166" t="str">
        <v>A</v>
      </c>
      <c r="AK37" s="144">
        <v>47</v>
      </c>
      <c r="AL37" s="144">
        <v>21</v>
      </c>
      <c r="AM37" s="144">
        <v>41</v>
      </c>
      <c r="AN37" s="144">
        <v>14</v>
      </c>
      <c r="AO37" s="144">
        <v>22</v>
      </c>
    </row>
    <row r="38" spans="1:41" ht="16.5" customHeight="1">
      <c r="A38" s="29" t="str">
        <v>G1</v>
      </c>
      <c r="B38" s="8" t="str">
        <v>Gold M1</v>
      </c>
      <c r="C38" s="141">
        <v>0</v>
      </c>
      <c r="D38" s="141">
        <v>0.02</v>
      </c>
      <c r="E38" s="141">
        <v>0</v>
      </c>
      <c r="F38" s="141">
        <v>0.02</v>
      </c>
      <c r="G38" s="141">
        <v>0</v>
      </c>
      <c r="H38" s="8">
        <v>11</v>
      </c>
      <c r="J38" s="25">
        <v>34</v>
      </c>
      <c r="K38" s="16" t="s">
        <v>35</v>
      </c>
      <c r="L38" s="16" t="s">
        <v>136</v>
      </c>
      <c r="M38" s="16" t="s">
        <v>37</v>
      </c>
      <c r="N38" s="16" t="s">
        <v>34</v>
      </c>
      <c r="O38" s="16" t="s">
        <v>18</v>
      </c>
      <c r="Q38" s="9">
        <v>8</v>
      </c>
      <c r="R38" s="9">
        <v>6</v>
      </c>
      <c r="S38" s="9">
        <v>7</v>
      </c>
      <c r="T38" s="9">
        <v>9</v>
      </c>
      <c r="U38" s="9">
        <v>4</v>
      </c>
      <c r="W38" s="25">
        <v>1</v>
      </c>
      <c r="X38" s="25">
        <v>1</v>
      </c>
      <c r="Y38" s="25">
        <v>1</v>
      </c>
      <c r="Z38" s="25">
        <v>1</v>
      </c>
      <c r="AA38" s="25">
        <v>1</v>
      </c>
      <c r="AC38" s="166" t="str">
        <v>K</v>
      </c>
      <c r="AD38" s="144">
        <v>47</v>
      </c>
      <c r="AE38" s="144">
        <v>21</v>
      </c>
      <c r="AF38" s="144">
        <v>41</v>
      </c>
      <c r="AG38" s="144">
        <v>14</v>
      </c>
      <c r="AH38" s="144">
        <v>22</v>
      </c>
      <c r="AI38" s="5"/>
      <c r="AJ38" s="166" t="str">
        <v>K</v>
      </c>
      <c r="AK38" s="144">
        <v>47</v>
      </c>
      <c r="AL38" s="144">
        <v>21</v>
      </c>
      <c r="AM38" s="144">
        <v>41</v>
      </c>
      <c r="AN38" s="144">
        <v>14</v>
      </c>
      <c r="AO38" s="144">
        <v>22</v>
      </c>
    </row>
    <row r="39" spans="1:41" ht="16.5" customHeight="1">
      <c r="A39" s="29" t="str">
        <v>G2</v>
      </c>
      <c r="B39" s="8" t="str">
        <v>Gold M2</v>
      </c>
      <c r="C39" s="141">
        <v>0</v>
      </c>
      <c r="D39" s="141">
        <v>2.5000000000000001E-2</v>
      </c>
      <c r="E39" s="141">
        <v>0</v>
      </c>
      <c r="F39" s="141">
        <v>0.02</v>
      </c>
      <c r="G39" s="141">
        <v>0</v>
      </c>
      <c r="H39" s="8">
        <v>12</v>
      </c>
      <c r="J39" s="9">
        <v>35</v>
      </c>
      <c r="K39" s="16" t="s">
        <v>37</v>
      </c>
      <c r="L39" s="16" t="s">
        <v>34</v>
      </c>
      <c r="M39" s="16" t="s">
        <v>37</v>
      </c>
      <c r="N39" s="16" t="s">
        <v>19</v>
      </c>
      <c r="O39" s="16" t="s">
        <v>18</v>
      </c>
      <c r="Q39" s="9">
        <v>7</v>
      </c>
      <c r="R39" s="9">
        <v>9</v>
      </c>
      <c r="S39" s="9">
        <v>7</v>
      </c>
      <c r="T39" s="9">
        <v>5</v>
      </c>
      <c r="U39" s="9">
        <v>4</v>
      </c>
      <c r="W39" s="25">
        <v>1</v>
      </c>
      <c r="X39" s="25">
        <v>1</v>
      </c>
      <c r="Y39" s="25">
        <v>1</v>
      </c>
      <c r="Z39" s="25">
        <v>1</v>
      </c>
      <c r="AA39" s="25">
        <v>1</v>
      </c>
      <c r="AC39" s="166" t="str">
        <v>Q</v>
      </c>
      <c r="AD39" s="144">
        <v>4</v>
      </c>
      <c r="AE39" s="144">
        <v>11</v>
      </c>
      <c r="AF39" s="144">
        <v>5</v>
      </c>
      <c r="AG39" s="144">
        <v>20</v>
      </c>
      <c r="AH39" s="144">
        <v>22</v>
      </c>
      <c r="AI39" s="5"/>
      <c r="AJ39" s="166" t="str">
        <v>Q</v>
      </c>
      <c r="AK39" s="144">
        <v>4</v>
      </c>
      <c r="AL39" s="144">
        <v>11</v>
      </c>
      <c r="AM39" s="144">
        <v>5</v>
      </c>
      <c r="AN39" s="144">
        <v>20</v>
      </c>
      <c r="AO39" s="144">
        <v>22</v>
      </c>
    </row>
    <row r="40" spans="1:41" ht="16.5" customHeight="1">
      <c r="A40" s="29" t="str">
        <v>G3</v>
      </c>
      <c r="B40" s="8" t="str">
        <v>Gold M3</v>
      </c>
      <c r="C40" s="141">
        <v>0</v>
      </c>
      <c r="D40" s="141">
        <v>2.5000000000000001E-2</v>
      </c>
      <c r="E40" s="141">
        <v>0</v>
      </c>
      <c r="F40" s="141">
        <v>0.02</v>
      </c>
      <c r="G40" s="141">
        <v>0</v>
      </c>
      <c r="H40" s="8">
        <v>13</v>
      </c>
      <c r="J40" s="25">
        <v>36</v>
      </c>
      <c r="K40" s="16" t="s">
        <v>136</v>
      </c>
      <c r="L40" s="16" t="s">
        <v>36</v>
      </c>
      <c r="M40" s="16" t="s">
        <v>136</v>
      </c>
      <c r="N40" s="16" t="s">
        <v>19</v>
      </c>
      <c r="O40" s="16" t="s">
        <v>36</v>
      </c>
      <c r="Q40" s="9">
        <v>6</v>
      </c>
      <c r="R40" s="9">
        <v>10</v>
      </c>
      <c r="S40" s="9">
        <v>6</v>
      </c>
      <c r="T40" s="9">
        <v>5</v>
      </c>
      <c r="U40" s="9">
        <v>10</v>
      </c>
      <c r="W40" s="25">
        <v>1</v>
      </c>
      <c r="X40" s="25">
        <v>1</v>
      </c>
      <c r="Y40" s="25">
        <v>1</v>
      </c>
      <c r="Z40" s="25">
        <v>1</v>
      </c>
      <c r="AA40" s="25">
        <v>1</v>
      </c>
      <c r="AC40" s="166" t="str">
        <v>J</v>
      </c>
      <c r="AD40" s="144">
        <v>4</v>
      </c>
      <c r="AE40" s="144">
        <v>11</v>
      </c>
      <c r="AF40" s="144">
        <v>4</v>
      </c>
      <c r="AG40" s="144">
        <v>20</v>
      </c>
      <c r="AH40" s="144">
        <v>22</v>
      </c>
      <c r="AI40" s="5"/>
      <c r="AJ40" s="166" t="str">
        <v>J</v>
      </c>
      <c r="AK40" s="144">
        <v>4</v>
      </c>
      <c r="AL40" s="144">
        <v>11</v>
      </c>
      <c r="AM40" s="144">
        <v>4</v>
      </c>
      <c r="AN40" s="144">
        <v>20</v>
      </c>
      <c r="AO40" s="144">
        <v>22</v>
      </c>
    </row>
    <row r="41" spans="1:41" ht="16.5" customHeight="1">
      <c r="A41" s="29" t="str">
        <v>G4</v>
      </c>
      <c r="B41" s="8" t="str">
        <v>Gold M4</v>
      </c>
      <c r="C41" s="141">
        <v>0</v>
      </c>
      <c r="D41" s="141">
        <v>0.04</v>
      </c>
      <c r="E41" s="141">
        <v>1.4999999999999999E-2</v>
      </c>
      <c r="F41" s="141">
        <v>1.4999999999999999E-2</v>
      </c>
      <c r="G41" s="141">
        <v>0</v>
      </c>
      <c r="H41" s="8">
        <v>14</v>
      </c>
      <c r="J41" s="9">
        <v>37</v>
      </c>
      <c r="K41" s="16" t="s">
        <v>136</v>
      </c>
      <c r="L41" s="16" t="s">
        <v>36</v>
      </c>
      <c r="M41" s="16" t="s">
        <v>35</v>
      </c>
      <c r="N41" s="16" t="s">
        <v>18</v>
      </c>
      <c r="O41" s="16" t="s">
        <v>36</v>
      </c>
      <c r="Q41" s="9">
        <v>6</v>
      </c>
      <c r="R41" s="9">
        <v>10</v>
      </c>
      <c r="S41" s="9">
        <v>8</v>
      </c>
      <c r="T41" s="9">
        <v>4</v>
      </c>
      <c r="U41" s="9">
        <v>10</v>
      </c>
      <c r="W41" s="25">
        <v>1</v>
      </c>
      <c r="X41" s="25">
        <v>1</v>
      </c>
      <c r="Y41" s="25">
        <v>1</v>
      </c>
      <c r="Z41" s="25">
        <v>1</v>
      </c>
      <c r="AA41" s="25">
        <v>1</v>
      </c>
      <c r="AC41" s="149" t="str">
        <v>G1</v>
      </c>
      <c r="AD41" s="105">
        <v>0</v>
      </c>
      <c r="AE41" s="105">
        <v>4</v>
      </c>
      <c r="AF41" s="105">
        <v>0</v>
      </c>
      <c r="AG41" s="105">
        <v>4</v>
      </c>
      <c r="AH41" s="105">
        <v>0</v>
      </c>
      <c r="AI41" s="5"/>
      <c r="AJ41" s="149" t="str">
        <v>G1</v>
      </c>
      <c r="AK41" s="105">
        <v>0</v>
      </c>
      <c r="AL41" s="105">
        <v>4</v>
      </c>
      <c r="AM41" s="105">
        <v>0</v>
      </c>
      <c r="AN41" s="105">
        <v>4</v>
      </c>
      <c r="AO41" s="105">
        <v>0</v>
      </c>
    </row>
    <row r="42" spans="1:41" ht="16.5" customHeight="1">
      <c r="A42" s="29" t="str">
        <v>G5</v>
      </c>
      <c r="B42" s="8" t="str">
        <v>Gold M5</v>
      </c>
      <c r="C42" s="141">
        <v>0</v>
      </c>
      <c r="D42" s="141">
        <v>0.04</v>
      </c>
      <c r="E42" s="141">
        <v>1.4999999999999999E-2</v>
      </c>
      <c r="F42" s="141">
        <v>1.4999999999999999E-2</v>
      </c>
      <c r="G42" s="141">
        <v>0</v>
      </c>
      <c r="H42" s="8">
        <v>15</v>
      </c>
      <c r="J42" s="25">
        <v>38</v>
      </c>
      <c r="K42" s="16" t="s">
        <v>136</v>
      </c>
      <c r="L42" s="16" t="s">
        <v>136</v>
      </c>
      <c r="M42" s="16" t="s">
        <v>35</v>
      </c>
      <c r="N42" s="16" t="s">
        <v>97</v>
      </c>
      <c r="O42" s="16" t="s">
        <v>18</v>
      </c>
      <c r="Q42" s="9">
        <v>6</v>
      </c>
      <c r="R42" s="9">
        <v>6</v>
      </c>
      <c r="S42" s="9">
        <v>8</v>
      </c>
      <c r="T42" s="9">
        <v>19</v>
      </c>
      <c r="U42" s="9">
        <v>4</v>
      </c>
      <c r="W42" s="25">
        <v>1</v>
      </c>
      <c r="X42" s="25">
        <v>1</v>
      </c>
      <c r="Y42" s="25">
        <v>1</v>
      </c>
      <c r="Z42" s="25">
        <v>1</v>
      </c>
      <c r="AA42" s="25">
        <v>1</v>
      </c>
      <c r="AC42" s="149" t="str">
        <v>G2</v>
      </c>
      <c r="AD42" s="105">
        <v>0</v>
      </c>
      <c r="AE42" s="105">
        <v>5</v>
      </c>
      <c r="AF42" s="105">
        <v>0</v>
      </c>
      <c r="AG42" s="105">
        <v>4</v>
      </c>
      <c r="AH42" s="105">
        <v>0</v>
      </c>
      <c r="AI42" s="5"/>
      <c r="AJ42" s="149" t="str">
        <v>G2</v>
      </c>
      <c r="AK42" s="105">
        <v>0</v>
      </c>
      <c r="AL42" s="105">
        <v>5</v>
      </c>
      <c r="AM42" s="105">
        <v>0</v>
      </c>
      <c r="AN42" s="105">
        <v>4</v>
      </c>
      <c r="AO42" s="105">
        <v>0</v>
      </c>
    </row>
    <row r="43" spans="1:41" ht="16.5" customHeight="1">
      <c r="A43" s="29" t="str">
        <v>GA</v>
      </c>
      <c r="B43" s="8" t="str">
        <v>Gold A</v>
      </c>
      <c r="C43" s="141">
        <v>0</v>
      </c>
      <c r="D43" s="141">
        <v>0.04</v>
      </c>
      <c r="E43" s="141">
        <v>1.4999999999999999E-2</v>
      </c>
      <c r="F43" s="141">
        <v>1.4999999999999999E-2</v>
      </c>
      <c r="G43" s="141">
        <v>0</v>
      </c>
      <c r="H43" s="8">
        <v>16</v>
      </c>
      <c r="J43" s="9">
        <v>39</v>
      </c>
      <c r="K43" s="16" t="s">
        <v>36</v>
      </c>
      <c r="L43" s="16" t="s">
        <v>136</v>
      </c>
      <c r="M43" s="16" t="s">
        <v>37</v>
      </c>
      <c r="N43" s="16" t="s">
        <v>36</v>
      </c>
      <c r="O43" s="16" t="s">
        <v>136</v>
      </c>
      <c r="Q43" s="9">
        <v>10</v>
      </c>
      <c r="R43" s="9">
        <v>6</v>
      </c>
      <c r="S43" s="9">
        <v>7</v>
      </c>
      <c r="T43" s="9">
        <v>10</v>
      </c>
      <c r="U43" s="9">
        <v>6</v>
      </c>
      <c r="W43" s="25">
        <v>1</v>
      </c>
      <c r="X43" s="25">
        <v>1</v>
      </c>
      <c r="Y43" s="25">
        <v>1</v>
      </c>
      <c r="Z43" s="25">
        <v>1</v>
      </c>
      <c r="AA43" s="25">
        <v>1</v>
      </c>
      <c r="AC43" s="149" t="str">
        <v>G3</v>
      </c>
      <c r="AD43" s="105">
        <v>0</v>
      </c>
      <c r="AE43" s="105">
        <v>5</v>
      </c>
      <c r="AF43" s="105">
        <v>0</v>
      </c>
      <c r="AG43" s="105">
        <v>4</v>
      </c>
      <c r="AH43" s="105">
        <v>0</v>
      </c>
      <c r="AI43" s="5"/>
      <c r="AJ43" s="149" t="str">
        <v>G3</v>
      </c>
      <c r="AK43" s="105">
        <v>0</v>
      </c>
      <c r="AL43" s="105">
        <v>5</v>
      </c>
      <c r="AM43" s="105">
        <v>0</v>
      </c>
      <c r="AN43" s="105">
        <v>4</v>
      </c>
      <c r="AO43" s="105">
        <v>0</v>
      </c>
    </row>
    <row r="44" spans="1:41" ht="16.5" customHeight="1">
      <c r="A44" s="29" t="str">
        <v>GK</v>
      </c>
      <c r="B44" s="8" t="str">
        <v>Gold K</v>
      </c>
      <c r="C44" s="141">
        <v>0</v>
      </c>
      <c r="D44" s="141">
        <v>0.04</v>
      </c>
      <c r="E44" s="141">
        <v>1.4999999999999999E-2</v>
      </c>
      <c r="F44" s="141">
        <v>1.4999999999999999E-2</v>
      </c>
      <c r="G44" s="141">
        <v>0</v>
      </c>
      <c r="H44" s="8">
        <v>17</v>
      </c>
      <c r="J44" s="25">
        <v>40</v>
      </c>
      <c r="K44" s="16" t="s">
        <v>37</v>
      </c>
      <c r="L44" s="16" t="s">
        <v>89</v>
      </c>
      <c r="M44" s="16" t="s">
        <v>19</v>
      </c>
      <c r="N44" s="16" t="s">
        <v>18</v>
      </c>
      <c r="O44" s="16" t="s">
        <v>37</v>
      </c>
      <c r="Q44" s="9">
        <v>7</v>
      </c>
      <c r="R44" s="9">
        <v>12</v>
      </c>
      <c r="S44" s="9">
        <v>5</v>
      </c>
      <c r="T44" s="9">
        <v>4</v>
      </c>
      <c r="U44" s="9">
        <v>7</v>
      </c>
      <c r="W44" s="25">
        <v>1</v>
      </c>
      <c r="X44" s="25">
        <v>1</v>
      </c>
      <c r="Y44" s="25">
        <v>1</v>
      </c>
      <c r="Z44" s="25">
        <v>1</v>
      </c>
      <c r="AA44" s="25">
        <v>1</v>
      </c>
      <c r="AC44" s="149" t="str">
        <v>G4</v>
      </c>
      <c r="AD44" s="105">
        <v>0</v>
      </c>
      <c r="AE44" s="105">
        <v>8</v>
      </c>
      <c r="AF44" s="105">
        <v>3</v>
      </c>
      <c r="AG44" s="105">
        <v>3</v>
      </c>
      <c r="AH44" s="105">
        <v>0</v>
      </c>
      <c r="AI44" s="5"/>
      <c r="AJ44" s="149" t="str">
        <v>G4</v>
      </c>
      <c r="AK44" s="105">
        <v>0</v>
      </c>
      <c r="AL44" s="105">
        <v>8</v>
      </c>
      <c r="AM44" s="105">
        <v>3</v>
      </c>
      <c r="AN44" s="105">
        <v>3</v>
      </c>
      <c r="AO44" s="105">
        <v>0</v>
      </c>
    </row>
    <row r="45" spans="1:41" ht="16.5" customHeight="1">
      <c r="A45" s="29" t="str">
        <v>GQ</v>
      </c>
      <c r="B45" s="8" t="str">
        <v>Gold Q</v>
      </c>
      <c r="C45" s="141">
        <v>0</v>
      </c>
      <c r="D45" s="141">
        <v>2.5000000000000001E-2</v>
      </c>
      <c r="E45" s="141">
        <v>0</v>
      </c>
      <c r="F45" s="141">
        <v>0.02</v>
      </c>
      <c r="G45" s="141">
        <v>0</v>
      </c>
      <c r="H45" s="8">
        <v>18</v>
      </c>
      <c r="J45" s="9">
        <v>41</v>
      </c>
      <c r="K45" s="16" t="s">
        <v>18</v>
      </c>
      <c r="L45" s="16" t="s">
        <v>19</v>
      </c>
      <c r="M45" s="16" t="s">
        <v>34</v>
      </c>
      <c r="N45" s="16" t="s">
        <v>136</v>
      </c>
      <c r="O45" s="16" t="s">
        <v>19</v>
      </c>
      <c r="Q45" s="9">
        <v>4</v>
      </c>
      <c r="R45" s="9">
        <v>5</v>
      </c>
      <c r="S45" s="9">
        <v>9</v>
      </c>
      <c r="T45" s="9">
        <v>6</v>
      </c>
      <c r="U45" s="9">
        <v>5</v>
      </c>
      <c r="W45" s="25">
        <v>1</v>
      </c>
      <c r="X45" s="25">
        <v>1</v>
      </c>
      <c r="Y45" s="25">
        <v>1</v>
      </c>
      <c r="Z45" s="25">
        <v>1</v>
      </c>
      <c r="AA45" s="25">
        <v>1</v>
      </c>
      <c r="AC45" s="149" t="str">
        <v>G5</v>
      </c>
      <c r="AD45" s="105">
        <v>0</v>
      </c>
      <c r="AE45" s="105">
        <v>8</v>
      </c>
      <c r="AF45" s="105">
        <v>3</v>
      </c>
      <c r="AG45" s="105">
        <v>3</v>
      </c>
      <c r="AH45" s="105">
        <v>0</v>
      </c>
      <c r="AI45" s="5"/>
      <c r="AJ45" s="149" t="str">
        <v>G5</v>
      </c>
      <c r="AK45" s="105">
        <v>0</v>
      </c>
      <c r="AL45" s="105">
        <v>8</v>
      </c>
      <c r="AM45" s="105">
        <v>3</v>
      </c>
      <c r="AN45" s="105">
        <v>3</v>
      </c>
      <c r="AO45" s="105">
        <v>0</v>
      </c>
    </row>
    <row r="46" spans="1:41" ht="16.5" customHeight="1">
      <c r="A46" s="29" t="str">
        <v>GJ</v>
      </c>
      <c r="B46" s="8" t="str">
        <v>Gold J</v>
      </c>
      <c r="C46" s="141">
        <v>0</v>
      </c>
      <c r="D46" s="141">
        <v>2.5000000000000001E-2</v>
      </c>
      <c r="E46" s="141">
        <v>0</v>
      </c>
      <c r="F46" s="141">
        <v>0.02</v>
      </c>
      <c r="G46" s="141">
        <v>0</v>
      </c>
      <c r="H46" s="8">
        <v>19</v>
      </c>
      <c r="J46" s="25">
        <v>42</v>
      </c>
      <c r="K46" s="16" t="s">
        <v>136</v>
      </c>
      <c r="L46" s="16" t="s">
        <v>19</v>
      </c>
      <c r="M46" s="16" t="s">
        <v>37</v>
      </c>
      <c r="N46" s="16" t="s">
        <v>21</v>
      </c>
      <c r="O46" s="16" t="s">
        <v>18</v>
      </c>
      <c r="Q46" s="9">
        <v>6</v>
      </c>
      <c r="R46" s="9">
        <v>5</v>
      </c>
      <c r="S46" s="9">
        <v>7</v>
      </c>
      <c r="T46" s="9">
        <v>2</v>
      </c>
      <c r="U46" s="9">
        <v>4</v>
      </c>
      <c r="W46" s="25">
        <v>1</v>
      </c>
      <c r="X46" s="25">
        <v>1</v>
      </c>
      <c r="Y46" s="25">
        <v>1</v>
      </c>
      <c r="Z46" s="25">
        <v>1</v>
      </c>
      <c r="AA46" s="25">
        <v>1</v>
      </c>
      <c r="AC46" s="149" t="str">
        <v>GA</v>
      </c>
      <c r="AD46" s="105">
        <v>0</v>
      </c>
      <c r="AE46" s="105">
        <v>8</v>
      </c>
      <c r="AF46" s="105">
        <v>3</v>
      </c>
      <c r="AG46" s="105">
        <v>3</v>
      </c>
      <c r="AH46" s="105">
        <v>0</v>
      </c>
      <c r="AI46" s="5"/>
      <c r="AJ46" s="149" t="str">
        <v>GA</v>
      </c>
      <c r="AK46" s="105">
        <v>0</v>
      </c>
      <c r="AL46" s="105">
        <v>8</v>
      </c>
      <c r="AM46" s="105">
        <v>3</v>
      </c>
      <c r="AN46" s="105">
        <v>3</v>
      </c>
      <c r="AO46" s="105">
        <v>0</v>
      </c>
    </row>
    <row r="47" spans="1:41" ht="16.5" customHeight="1">
      <c r="J47" s="9">
        <v>43</v>
      </c>
      <c r="K47" s="16" t="s">
        <v>35</v>
      </c>
      <c r="L47" s="16" t="s">
        <v>92</v>
      </c>
      <c r="M47" s="16" t="s">
        <v>22</v>
      </c>
      <c r="N47" s="16" t="s">
        <v>20</v>
      </c>
      <c r="O47" s="16" t="s">
        <v>34</v>
      </c>
      <c r="Q47" s="9">
        <v>8</v>
      </c>
      <c r="R47" s="9">
        <v>16</v>
      </c>
      <c r="S47" s="9">
        <v>3</v>
      </c>
      <c r="T47" s="9">
        <v>1</v>
      </c>
      <c r="U47" s="9">
        <v>9</v>
      </c>
      <c r="W47" s="25">
        <v>1</v>
      </c>
      <c r="X47" s="25">
        <v>1</v>
      </c>
      <c r="Y47" s="25">
        <v>1</v>
      </c>
      <c r="Z47" s="25">
        <v>1</v>
      </c>
      <c r="AA47" s="25">
        <v>1</v>
      </c>
      <c r="AC47" s="149" t="str">
        <v>GK</v>
      </c>
      <c r="AD47" s="105">
        <v>0</v>
      </c>
      <c r="AE47" s="105">
        <v>8</v>
      </c>
      <c r="AF47" s="105">
        <v>3</v>
      </c>
      <c r="AG47" s="105">
        <v>3</v>
      </c>
      <c r="AH47" s="105">
        <v>0</v>
      </c>
      <c r="AI47" s="5"/>
      <c r="AJ47" s="149" t="str">
        <v>GK</v>
      </c>
      <c r="AK47" s="105">
        <v>0</v>
      </c>
      <c r="AL47" s="105">
        <v>8</v>
      </c>
      <c r="AM47" s="105">
        <v>3</v>
      </c>
      <c r="AN47" s="105">
        <v>3</v>
      </c>
      <c r="AO47" s="105">
        <v>0</v>
      </c>
    </row>
    <row r="48" spans="1:41" ht="16.5" customHeight="1">
      <c r="J48" s="25">
        <v>44</v>
      </c>
      <c r="K48" s="16" t="s">
        <v>37</v>
      </c>
      <c r="L48" s="16" t="s">
        <v>19</v>
      </c>
      <c r="M48" s="16" t="s">
        <v>21</v>
      </c>
      <c r="N48" s="16" t="s">
        <v>37</v>
      </c>
      <c r="O48" s="16" t="s">
        <v>22</v>
      </c>
      <c r="Q48" s="9">
        <v>7</v>
      </c>
      <c r="R48" s="9">
        <v>5</v>
      </c>
      <c r="S48" s="9">
        <v>2</v>
      </c>
      <c r="T48" s="9">
        <v>7</v>
      </c>
      <c r="U48" s="9">
        <v>3</v>
      </c>
      <c r="W48" s="25">
        <v>1</v>
      </c>
      <c r="X48" s="25">
        <v>1</v>
      </c>
      <c r="Y48" s="25">
        <v>1</v>
      </c>
      <c r="Z48" s="25">
        <v>1</v>
      </c>
      <c r="AA48" s="25">
        <v>1</v>
      </c>
      <c r="AC48" s="149" t="str">
        <v>GQ</v>
      </c>
      <c r="AD48" s="105">
        <v>0</v>
      </c>
      <c r="AE48" s="105">
        <v>5</v>
      </c>
      <c r="AF48" s="105">
        <v>0</v>
      </c>
      <c r="AG48" s="105">
        <v>4</v>
      </c>
      <c r="AH48" s="105">
        <v>0</v>
      </c>
      <c r="AI48" s="5"/>
      <c r="AJ48" s="149" t="str">
        <v>GQ</v>
      </c>
      <c r="AK48" s="105">
        <v>0</v>
      </c>
      <c r="AL48" s="105">
        <v>5</v>
      </c>
      <c r="AM48" s="105">
        <v>0</v>
      </c>
      <c r="AN48" s="105">
        <v>4</v>
      </c>
      <c r="AO48" s="105">
        <v>0</v>
      </c>
    </row>
    <row r="49" spans="3:41" ht="16.5" customHeight="1">
      <c r="J49" s="9">
        <v>45</v>
      </c>
      <c r="K49" s="16" t="s">
        <v>37</v>
      </c>
      <c r="L49" s="16" t="s">
        <v>35</v>
      </c>
      <c r="M49" s="16" t="s">
        <v>21</v>
      </c>
      <c r="N49" s="16" t="s">
        <v>88</v>
      </c>
      <c r="O49" s="16" t="s">
        <v>37</v>
      </c>
      <c r="Q49" s="9">
        <v>7</v>
      </c>
      <c r="R49" s="9">
        <v>8</v>
      </c>
      <c r="S49" s="9">
        <v>2</v>
      </c>
      <c r="T49" s="9">
        <v>11</v>
      </c>
      <c r="U49" s="9">
        <v>7</v>
      </c>
      <c r="W49" s="25">
        <v>1</v>
      </c>
      <c r="X49" s="25">
        <v>1</v>
      </c>
      <c r="Y49" s="25">
        <v>1</v>
      </c>
      <c r="Z49" s="25">
        <v>1</v>
      </c>
      <c r="AA49" s="25">
        <v>1</v>
      </c>
      <c r="AC49" s="149" t="str">
        <v>GJ</v>
      </c>
      <c r="AD49" s="105">
        <v>0</v>
      </c>
      <c r="AE49" s="105">
        <v>5</v>
      </c>
      <c r="AF49" s="105">
        <v>0</v>
      </c>
      <c r="AG49" s="105">
        <v>4</v>
      </c>
      <c r="AH49" s="105">
        <v>0</v>
      </c>
      <c r="AI49" s="5"/>
      <c r="AJ49" s="149" t="str">
        <v>GJ</v>
      </c>
      <c r="AK49" s="105">
        <v>0</v>
      </c>
      <c r="AL49" s="105">
        <v>5</v>
      </c>
      <c r="AM49" s="105">
        <v>0</v>
      </c>
      <c r="AN49" s="105">
        <v>4</v>
      </c>
      <c r="AO49" s="105">
        <v>0</v>
      </c>
    </row>
    <row r="50" spans="3:41" ht="16.5" customHeight="1">
      <c r="J50" s="25">
        <v>46</v>
      </c>
      <c r="K50" s="16" t="s">
        <v>35</v>
      </c>
      <c r="L50" s="16" t="s">
        <v>22</v>
      </c>
      <c r="M50" s="16" t="s">
        <v>136</v>
      </c>
      <c r="N50" s="16" t="s">
        <v>18</v>
      </c>
      <c r="O50" s="16" t="s">
        <v>19</v>
      </c>
      <c r="Q50" s="9">
        <v>8</v>
      </c>
      <c r="R50" s="9">
        <v>3</v>
      </c>
      <c r="S50" s="9">
        <v>6</v>
      </c>
      <c r="T50" s="9">
        <v>4</v>
      </c>
      <c r="U50" s="9">
        <v>5</v>
      </c>
      <c r="W50" s="25">
        <v>1</v>
      </c>
      <c r="X50" s="25">
        <v>1</v>
      </c>
      <c r="Y50" s="25">
        <v>1</v>
      </c>
      <c r="Z50" s="25">
        <v>1</v>
      </c>
      <c r="AA50" s="25">
        <v>1</v>
      </c>
      <c r="AD50" s="119">
        <f>SUM(AD30:AD49)</f>
        <v>200</v>
      </c>
      <c r="AE50" s="119">
        <f>SUM(AE30:AE49)</f>
        <v>200</v>
      </c>
      <c r="AF50" s="119">
        <f>SUM(AF30:AF49)</f>
        <v>200</v>
      </c>
      <c r="AG50" s="119">
        <f>SUM(AG30:AG49)</f>
        <v>200</v>
      </c>
      <c r="AH50" s="119">
        <f>SUM(AH30:AH49)</f>
        <v>200</v>
      </c>
      <c r="AI50" s="5"/>
      <c r="AK50" s="119">
        <f>SUM(AK30:AK49)</f>
        <v>200</v>
      </c>
      <c r="AL50" s="119">
        <f>SUM(AL30:AL49)</f>
        <v>200</v>
      </c>
      <c r="AM50" s="119">
        <f>SUM(AM30:AM49)</f>
        <v>200</v>
      </c>
      <c r="AN50" s="119">
        <f>SUM(AN30:AN49)</f>
        <v>200</v>
      </c>
      <c r="AO50" s="119">
        <f>SUM(AO30:AO49)</f>
        <v>200</v>
      </c>
    </row>
    <row r="51" spans="3:41" ht="16.5" customHeight="1">
      <c r="J51" s="9">
        <v>47</v>
      </c>
      <c r="K51" s="16" t="s">
        <v>35</v>
      </c>
      <c r="L51" s="16" t="s">
        <v>37</v>
      </c>
      <c r="M51" s="16" t="s">
        <v>136</v>
      </c>
      <c r="N51" s="16" t="s">
        <v>89</v>
      </c>
      <c r="O51" s="16" t="s">
        <v>35</v>
      </c>
      <c r="Q51" s="9">
        <v>8</v>
      </c>
      <c r="R51" s="9">
        <v>7</v>
      </c>
      <c r="S51" s="9">
        <v>6</v>
      </c>
      <c r="T51" s="9">
        <v>12</v>
      </c>
      <c r="U51" s="9">
        <v>8</v>
      </c>
      <c r="W51" s="25">
        <v>1</v>
      </c>
      <c r="X51" s="25">
        <v>1</v>
      </c>
      <c r="Y51" s="25">
        <v>1</v>
      </c>
      <c r="Z51" s="25">
        <v>1</v>
      </c>
      <c r="AA51" s="25">
        <v>1</v>
      </c>
      <c r="AH51" s="5"/>
      <c r="AI51" s="5"/>
      <c r="AO51" s="5"/>
    </row>
    <row r="52" spans="3:41" ht="16.5" customHeight="1">
      <c r="C52" s="5" t="s">
        <v>19</v>
      </c>
      <c r="D52" s="16" t="s">
        <v>35</v>
      </c>
      <c r="E52" s="16" t="s">
        <v>22</v>
      </c>
      <c r="F52" s="16" t="s">
        <v>18</v>
      </c>
      <c r="J52" s="25">
        <v>48</v>
      </c>
      <c r="K52" s="16" t="s">
        <v>136</v>
      </c>
      <c r="L52" s="16" t="s">
        <v>19</v>
      </c>
      <c r="M52" s="16" t="s">
        <v>91</v>
      </c>
      <c r="N52" s="16" t="s">
        <v>18</v>
      </c>
      <c r="O52" s="16" t="s">
        <v>34</v>
      </c>
      <c r="Q52" s="9">
        <v>6</v>
      </c>
      <c r="R52" s="9">
        <v>5</v>
      </c>
      <c r="S52" s="9">
        <v>14</v>
      </c>
      <c r="T52" s="9">
        <v>4</v>
      </c>
      <c r="U52" s="9">
        <v>9</v>
      </c>
      <c r="W52" s="25">
        <v>1</v>
      </c>
      <c r="X52" s="25">
        <v>1</v>
      </c>
      <c r="Y52" s="25">
        <v>1</v>
      </c>
      <c r="Z52" s="25">
        <v>1</v>
      </c>
      <c r="AA52" s="25">
        <v>1</v>
      </c>
      <c r="AC52" s="27" t="s">
        <v>141</v>
      </c>
      <c r="AH52" s="5"/>
      <c r="AI52" s="5"/>
      <c r="AJ52" s="27" t="s">
        <v>141</v>
      </c>
      <c r="AO52" s="5"/>
    </row>
    <row r="53" spans="3:41" ht="16.5" customHeight="1">
      <c r="C53" s="5" t="s">
        <v>18</v>
      </c>
      <c r="D53" s="16" t="s">
        <v>19</v>
      </c>
      <c r="E53" s="16" t="s">
        <v>34</v>
      </c>
      <c r="F53" s="16" t="s">
        <v>34</v>
      </c>
      <c r="J53" s="9">
        <v>49</v>
      </c>
      <c r="K53" s="16" t="s">
        <v>37</v>
      </c>
      <c r="L53" s="16" t="s">
        <v>35</v>
      </c>
      <c r="M53" s="16" t="s">
        <v>19</v>
      </c>
      <c r="N53" s="16" t="s">
        <v>34</v>
      </c>
      <c r="O53" s="16" t="s">
        <v>35</v>
      </c>
      <c r="Q53" s="9">
        <v>7</v>
      </c>
      <c r="R53" s="9">
        <v>8</v>
      </c>
      <c r="S53" s="9">
        <v>5</v>
      </c>
      <c r="T53" s="9">
        <v>9</v>
      </c>
      <c r="U53" s="9">
        <v>8</v>
      </c>
      <c r="W53" s="25">
        <v>1</v>
      </c>
      <c r="X53" s="25">
        <v>1</v>
      </c>
      <c r="Y53" s="25">
        <v>1</v>
      </c>
      <c r="Z53" s="25">
        <v>1</v>
      </c>
      <c r="AA53" s="25">
        <v>1</v>
      </c>
      <c r="AC53" s="146" t="s">
        <v>42</v>
      </c>
      <c r="AD53" s="146" t="s">
        <v>13</v>
      </c>
      <c r="AE53" s="146" t="s">
        <v>14</v>
      </c>
      <c r="AF53" s="146" t="s">
        <v>15</v>
      </c>
      <c r="AG53" s="146" t="s">
        <v>16</v>
      </c>
      <c r="AH53" s="146" t="s">
        <v>17</v>
      </c>
      <c r="AI53" s="5"/>
      <c r="AJ53" s="146" t="s">
        <v>42</v>
      </c>
      <c r="AK53" s="146" t="s">
        <v>13</v>
      </c>
      <c r="AL53" s="146" t="s">
        <v>14</v>
      </c>
      <c r="AM53" s="146" t="s">
        <v>15</v>
      </c>
      <c r="AN53" s="146" t="s">
        <v>16</v>
      </c>
      <c r="AO53" s="146" t="s">
        <v>17</v>
      </c>
    </row>
    <row r="54" spans="3:41" ht="16.5" customHeight="1">
      <c r="C54" s="5" t="s">
        <v>22</v>
      </c>
      <c r="D54" s="16" t="s">
        <v>21</v>
      </c>
      <c r="E54" s="16" t="s">
        <v>19</v>
      </c>
      <c r="F54" s="16" t="s">
        <v>119</v>
      </c>
      <c r="J54" s="25">
        <v>50</v>
      </c>
      <c r="K54" s="16" t="s">
        <v>35</v>
      </c>
      <c r="L54" s="16" t="s">
        <v>91</v>
      </c>
      <c r="M54" s="16" t="s">
        <v>18</v>
      </c>
      <c r="N54" s="16" t="s">
        <v>34</v>
      </c>
      <c r="O54" s="16" t="s">
        <v>36</v>
      </c>
      <c r="Q54" s="9">
        <v>8</v>
      </c>
      <c r="R54" s="9">
        <v>14</v>
      </c>
      <c r="S54" s="9">
        <v>4</v>
      </c>
      <c r="T54" s="9">
        <v>9</v>
      </c>
      <c r="U54" s="9">
        <v>10</v>
      </c>
      <c r="W54" s="25">
        <v>1</v>
      </c>
      <c r="X54" s="25">
        <v>1</v>
      </c>
      <c r="Y54" s="25">
        <v>1</v>
      </c>
      <c r="Z54" s="25">
        <v>1</v>
      </c>
      <c r="AA54" s="25">
        <v>1</v>
      </c>
      <c r="AC54" s="149" t="str" cm="1">
        <f t="array" ref="AC54:AC73">$A$4:$A$23</f>
        <v>WW</v>
      </c>
      <c r="AD54" s="150">
        <v>0</v>
      </c>
      <c r="AE54" s="150">
        <v>0</v>
      </c>
      <c r="AF54" s="150">
        <v>0</v>
      </c>
      <c r="AG54" s="150">
        <v>0</v>
      </c>
      <c r="AH54" s="150">
        <v>0</v>
      </c>
      <c r="AI54" s="5"/>
      <c r="AJ54" s="149" t="str" cm="1">
        <f t="array" ref="AJ54:AJ73">$A$4:$A$23</f>
        <v>WW</v>
      </c>
      <c r="AK54" s="150">
        <v>0</v>
      </c>
      <c r="AL54" s="150">
        <v>0</v>
      </c>
      <c r="AM54" s="150">
        <v>0</v>
      </c>
      <c r="AN54" s="150">
        <v>0</v>
      </c>
      <c r="AO54" s="150">
        <v>0</v>
      </c>
    </row>
    <row r="55" spans="3:41" ht="16.5" customHeight="1">
      <c r="J55" s="9">
        <v>51</v>
      </c>
      <c r="K55" s="16" t="s">
        <v>136</v>
      </c>
      <c r="L55" s="16" t="s">
        <v>119</v>
      </c>
      <c r="M55" s="16" t="s">
        <v>37</v>
      </c>
      <c r="N55" s="16" t="s">
        <v>90</v>
      </c>
      <c r="O55" s="16" t="s">
        <v>136</v>
      </c>
      <c r="Q55" s="9">
        <v>6</v>
      </c>
      <c r="R55" s="9">
        <v>17</v>
      </c>
      <c r="S55" s="9">
        <v>7</v>
      </c>
      <c r="T55" s="9">
        <v>13</v>
      </c>
      <c r="U55" s="9">
        <v>6</v>
      </c>
      <c r="W55" s="25">
        <v>1</v>
      </c>
      <c r="X55" s="25">
        <v>1</v>
      </c>
      <c r="Y55" s="25">
        <v>1</v>
      </c>
      <c r="Z55" s="25">
        <v>1</v>
      </c>
      <c r="AA55" s="25">
        <v>1</v>
      </c>
      <c r="AC55" s="149" t="str">
        <v>C1</v>
      </c>
      <c r="AD55" s="149">
        <v>0</v>
      </c>
      <c r="AE55" s="149">
        <v>6</v>
      </c>
      <c r="AF55" s="149">
        <v>0</v>
      </c>
      <c r="AG55" s="149">
        <v>9</v>
      </c>
      <c r="AH55" s="149">
        <v>0</v>
      </c>
      <c r="AI55" s="5"/>
      <c r="AJ55" s="149" t="str">
        <v>C1</v>
      </c>
      <c r="AK55" s="149">
        <v>0</v>
      </c>
      <c r="AL55" s="149">
        <v>6</v>
      </c>
      <c r="AM55" s="149">
        <v>0</v>
      </c>
      <c r="AN55" s="149">
        <v>9</v>
      </c>
      <c r="AO55" s="149">
        <v>0</v>
      </c>
    </row>
    <row r="56" spans="3:41" ht="16.5" customHeight="1">
      <c r="J56" s="25">
        <v>52</v>
      </c>
      <c r="K56" s="16" t="s">
        <v>37</v>
      </c>
      <c r="L56" s="16" t="s">
        <v>37</v>
      </c>
      <c r="M56" s="16" t="s">
        <v>36</v>
      </c>
      <c r="N56" s="16" t="s">
        <v>22</v>
      </c>
      <c r="O56" s="16" t="s">
        <v>37</v>
      </c>
      <c r="Q56" s="9">
        <v>7</v>
      </c>
      <c r="R56" s="9">
        <v>7</v>
      </c>
      <c r="S56" s="9">
        <v>10</v>
      </c>
      <c r="T56" s="9">
        <v>3</v>
      </c>
      <c r="U56" s="9">
        <v>7</v>
      </c>
      <c r="W56" s="25">
        <v>1</v>
      </c>
      <c r="X56" s="25">
        <v>1</v>
      </c>
      <c r="Y56" s="25">
        <v>1</v>
      </c>
      <c r="Z56" s="25">
        <v>1</v>
      </c>
      <c r="AA56" s="25">
        <v>1</v>
      </c>
      <c r="AC56" s="166" t="str">
        <v>M1</v>
      </c>
      <c r="AD56" s="144">
        <v>4</v>
      </c>
      <c r="AE56" s="144">
        <v>11</v>
      </c>
      <c r="AF56" s="144">
        <v>5</v>
      </c>
      <c r="AG56" s="144">
        <v>21</v>
      </c>
      <c r="AH56" s="144">
        <v>23</v>
      </c>
      <c r="AI56" s="5"/>
      <c r="AJ56" s="166" t="str">
        <v>M1</v>
      </c>
      <c r="AK56" s="144">
        <v>4</v>
      </c>
      <c r="AL56" s="144">
        <v>11</v>
      </c>
      <c r="AM56" s="144">
        <v>5</v>
      </c>
      <c r="AN56" s="144">
        <v>21</v>
      </c>
      <c r="AO56" s="144">
        <v>23</v>
      </c>
    </row>
    <row r="57" spans="3:41" ht="16.5" customHeight="1">
      <c r="J57" s="9">
        <v>53</v>
      </c>
      <c r="K57" s="16" t="s">
        <v>19</v>
      </c>
      <c r="L57" s="16" t="s">
        <v>89</v>
      </c>
      <c r="M57" s="16" t="s">
        <v>37</v>
      </c>
      <c r="N57" s="16" t="s">
        <v>89</v>
      </c>
      <c r="O57" s="16" t="s">
        <v>37</v>
      </c>
      <c r="Q57" s="9">
        <v>5</v>
      </c>
      <c r="R57" s="9">
        <v>12</v>
      </c>
      <c r="S57" s="9">
        <v>7</v>
      </c>
      <c r="T57" s="9">
        <v>12</v>
      </c>
      <c r="U57" s="9">
        <v>7</v>
      </c>
      <c r="W57" s="25">
        <v>1</v>
      </c>
      <c r="X57" s="25">
        <v>1</v>
      </c>
      <c r="Y57" s="25">
        <v>1</v>
      </c>
      <c r="Z57" s="25">
        <v>1</v>
      </c>
      <c r="AA57" s="25">
        <v>1</v>
      </c>
      <c r="AC57" s="166" t="str">
        <v>M2</v>
      </c>
      <c r="AD57" s="144">
        <v>4</v>
      </c>
      <c r="AE57" s="144">
        <v>11</v>
      </c>
      <c r="AF57" s="144">
        <v>5</v>
      </c>
      <c r="AG57" s="144">
        <v>21</v>
      </c>
      <c r="AH57" s="144">
        <v>23</v>
      </c>
      <c r="AI57" s="5"/>
      <c r="AJ57" s="166" t="str">
        <v>M2</v>
      </c>
      <c r="AK57" s="144">
        <v>4</v>
      </c>
      <c r="AL57" s="144">
        <v>11</v>
      </c>
      <c r="AM57" s="144">
        <v>5</v>
      </c>
      <c r="AN57" s="144">
        <v>21</v>
      </c>
      <c r="AO57" s="144">
        <v>23</v>
      </c>
    </row>
    <row r="58" spans="3:41" ht="16.5" customHeight="1">
      <c r="J58" s="25">
        <v>54</v>
      </c>
      <c r="K58" s="16" t="s">
        <v>19</v>
      </c>
      <c r="L58" s="16" t="s">
        <v>97</v>
      </c>
      <c r="M58" s="16" t="s">
        <v>136</v>
      </c>
      <c r="N58" s="16" t="s">
        <v>35</v>
      </c>
      <c r="O58" s="16" t="s">
        <v>22</v>
      </c>
      <c r="Q58" s="9">
        <v>5</v>
      </c>
      <c r="R58" s="9">
        <v>19</v>
      </c>
      <c r="S58" s="9">
        <v>6</v>
      </c>
      <c r="T58" s="9">
        <v>8</v>
      </c>
      <c r="U58" s="9">
        <v>3</v>
      </c>
      <c r="W58" s="25">
        <v>1</v>
      </c>
      <c r="X58" s="25">
        <v>1</v>
      </c>
      <c r="Y58" s="25">
        <v>1</v>
      </c>
      <c r="Z58" s="25">
        <v>1</v>
      </c>
      <c r="AA58" s="25">
        <v>1</v>
      </c>
      <c r="AC58" s="166" t="str">
        <v>M3</v>
      </c>
      <c r="AD58" s="144">
        <v>4</v>
      </c>
      <c r="AE58" s="144">
        <v>11</v>
      </c>
      <c r="AF58" s="144">
        <v>5</v>
      </c>
      <c r="AG58" s="144">
        <v>21</v>
      </c>
      <c r="AH58" s="144">
        <v>22</v>
      </c>
      <c r="AI58" s="5"/>
      <c r="AJ58" s="166" t="str">
        <v>M3</v>
      </c>
      <c r="AK58" s="144">
        <v>4</v>
      </c>
      <c r="AL58" s="144">
        <v>11</v>
      </c>
      <c r="AM58" s="144">
        <v>5</v>
      </c>
      <c r="AN58" s="144">
        <v>21</v>
      </c>
      <c r="AO58" s="144">
        <v>22</v>
      </c>
    </row>
    <row r="59" spans="3:41" ht="16.5" customHeight="1">
      <c r="J59" s="9">
        <v>55</v>
      </c>
      <c r="K59" s="16" t="s">
        <v>19</v>
      </c>
      <c r="L59" s="16" t="s">
        <v>136</v>
      </c>
      <c r="M59" s="16" t="s">
        <v>92</v>
      </c>
      <c r="N59" s="16" t="s">
        <v>36</v>
      </c>
      <c r="O59" s="16" t="s">
        <v>34</v>
      </c>
      <c r="Q59" s="9">
        <v>5</v>
      </c>
      <c r="R59" s="9">
        <v>6</v>
      </c>
      <c r="S59" s="9">
        <v>16</v>
      </c>
      <c r="T59" s="9">
        <v>10</v>
      </c>
      <c r="U59" s="9">
        <v>9</v>
      </c>
      <c r="W59" s="25">
        <v>1</v>
      </c>
      <c r="X59" s="25">
        <v>1</v>
      </c>
      <c r="Y59" s="25">
        <v>1</v>
      </c>
      <c r="Z59" s="25">
        <v>1</v>
      </c>
      <c r="AA59" s="25">
        <v>1</v>
      </c>
      <c r="AC59" s="166" t="str">
        <v>M4</v>
      </c>
      <c r="AD59" s="144">
        <v>43</v>
      </c>
      <c r="AE59" s="144">
        <v>20</v>
      </c>
      <c r="AF59" s="144">
        <v>41</v>
      </c>
      <c r="AG59" s="144">
        <v>14</v>
      </c>
      <c r="AH59" s="144">
        <v>22</v>
      </c>
      <c r="AI59" s="5"/>
      <c r="AJ59" s="166" t="str">
        <v>M4</v>
      </c>
      <c r="AK59" s="144">
        <v>43</v>
      </c>
      <c r="AL59" s="144">
        <v>20</v>
      </c>
      <c r="AM59" s="144">
        <v>41</v>
      </c>
      <c r="AN59" s="144">
        <v>14</v>
      </c>
      <c r="AO59" s="144">
        <v>22</v>
      </c>
    </row>
    <row r="60" spans="3:41" ht="16.5" customHeight="1">
      <c r="J60" s="25">
        <v>56</v>
      </c>
      <c r="K60" s="16" t="s">
        <v>22</v>
      </c>
      <c r="L60" s="16" t="s">
        <v>21</v>
      </c>
      <c r="M60" s="16" t="s">
        <v>35</v>
      </c>
      <c r="N60" s="16" t="s">
        <v>22</v>
      </c>
      <c r="O60" s="16" t="s">
        <v>22</v>
      </c>
      <c r="Q60" s="9">
        <v>3</v>
      </c>
      <c r="R60" s="9">
        <v>2</v>
      </c>
      <c r="S60" s="9">
        <v>8</v>
      </c>
      <c r="T60" s="9">
        <v>3</v>
      </c>
      <c r="U60" s="9">
        <v>3</v>
      </c>
      <c r="W60" s="25">
        <v>1</v>
      </c>
      <c r="X60" s="25">
        <v>1</v>
      </c>
      <c r="Y60" s="25">
        <v>1</v>
      </c>
      <c r="Z60" s="25">
        <v>1</v>
      </c>
      <c r="AA60" s="25">
        <v>1</v>
      </c>
      <c r="AC60" s="166" t="str">
        <v>M5</v>
      </c>
      <c r="AD60" s="144">
        <v>43</v>
      </c>
      <c r="AE60" s="144">
        <v>21</v>
      </c>
      <c r="AF60" s="144">
        <v>41</v>
      </c>
      <c r="AG60" s="144">
        <v>14</v>
      </c>
      <c r="AH60" s="144">
        <v>22</v>
      </c>
      <c r="AI60" s="5"/>
      <c r="AJ60" s="166" t="str">
        <v>M5</v>
      </c>
      <c r="AK60" s="144">
        <v>43</v>
      </c>
      <c r="AL60" s="144">
        <v>21</v>
      </c>
      <c r="AM60" s="144">
        <v>41</v>
      </c>
      <c r="AN60" s="144">
        <v>14</v>
      </c>
      <c r="AO60" s="144">
        <v>22</v>
      </c>
    </row>
    <row r="61" spans="3:41">
      <c r="J61" s="9">
        <v>57</v>
      </c>
      <c r="K61" s="16" t="s">
        <v>21</v>
      </c>
      <c r="L61" s="16" t="s">
        <v>34</v>
      </c>
      <c r="M61" s="16" t="s">
        <v>21</v>
      </c>
      <c r="N61" s="16" t="s">
        <v>21</v>
      </c>
      <c r="O61" s="16" t="s">
        <v>36</v>
      </c>
      <c r="Q61" s="9">
        <v>2</v>
      </c>
      <c r="R61" s="9">
        <v>9</v>
      </c>
      <c r="S61" s="9">
        <v>2</v>
      </c>
      <c r="T61" s="9">
        <v>2</v>
      </c>
      <c r="U61" s="9">
        <v>10</v>
      </c>
      <c r="W61" s="25">
        <v>1</v>
      </c>
      <c r="X61" s="25">
        <v>1</v>
      </c>
      <c r="Y61" s="25">
        <v>1</v>
      </c>
      <c r="Z61" s="25">
        <v>1</v>
      </c>
      <c r="AA61" s="25">
        <v>1</v>
      </c>
      <c r="AC61" s="166" t="str">
        <v>A</v>
      </c>
      <c r="AD61" s="144">
        <v>47</v>
      </c>
      <c r="AE61" s="144">
        <v>21</v>
      </c>
      <c r="AF61" s="144">
        <v>41</v>
      </c>
      <c r="AG61" s="144">
        <v>14</v>
      </c>
      <c r="AH61" s="144">
        <v>22</v>
      </c>
      <c r="AI61" s="5"/>
      <c r="AJ61" s="166" t="str">
        <v>A</v>
      </c>
      <c r="AK61" s="144">
        <v>47</v>
      </c>
      <c r="AL61" s="144">
        <v>21</v>
      </c>
      <c r="AM61" s="144">
        <v>41</v>
      </c>
      <c r="AN61" s="144">
        <v>14</v>
      </c>
      <c r="AO61" s="144">
        <v>22</v>
      </c>
    </row>
    <row r="62" spans="3:41">
      <c r="J62" s="25">
        <v>58</v>
      </c>
      <c r="K62" s="16" t="s">
        <v>136</v>
      </c>
      <c r="L62" s="16" t="s">
        <v>34</v>
      </c>
      <c r="M62" s="16" t="s">
        <v>19</v>
      </c>
      <c r="N62" s="16" t="s">
        <v>21</v>
      </c>
      <c r="O62" s="16" t="s">
        <v>19</v>
      </c>
      <c r="Q62" s="9">
        <v>6</v>
      </c>
      <c r="R62" s="9">
        <v>9</v>
      </c>
      <c r="S62" s="9">
        <v>5</v>
      </c>
      <c r="T62" s="9">
        <v>2</v>
      </c>
      <c r="U62" s="9">
        <v>5</v>
      </c>
      <c r="W62" s="25">
        <v>1</v>
      </c>
      <c r="X62" s="25">
        <v>1</v>
      </c>
      <c r="Y62" s="25">
        <v>1</v>
      </c>
      <c r="Z62" s="25">
        <v>1</v>
      </c>
      <c r="AA62" s="25">
        <v>1</v>
      </c>
      <c r="AC62" s="166" t="str">
        <v>K</v>
      </c>
      <c r="AD62" s="144">
        <v>47</v>
      </c>
      <c r="AE62" s="144">
        <v>21</v>
      </c>
      <c r="AF62" s="144">
        <v>41</v>
      </c>
      <c r="AG62" s="144">
        <v>14</v>
      </c>
      <c r="AH62" s="144">
        <v>22</v>
      </c>
      <c r="AI62" s="5"/>
      <c r="AJ62" s="166" t="str">
        <v>K</v>
      </c>
      <c r="AK62" s="144">
        <v>47</v>
      </c>
      <c r="AL62" s="144">
        <v>21</v>
      </c>
      <c r="AM62" s="144">
        <v>41</v>
      </c>
      <c r="AN62" s="144">
        <v>14</v>
      </c>
      <c r="AO62" s="144">
        <v>22</v>
      </c>
    </row>
    <row r="63" spans="3:41" ht="16.5" customHeight="1">
      <c r="J63" s="9">
        <v>59</v>
      </c>
      <c r="K63" s="16" t="s">
        <v>35</v>
      </c>
      <c r="L63" s="16" t="s">
        <v>137</v>
      </c>
      <c r="M63" s="16" t="s">
        <v>19</v>
      </c>
      <c r="N63" s="16" t="s">
        <v>35</v>
      </c>
      <c r="O63" s="16" t="s">
        <v>19</v>
      </c>
      <c r="Q63" s="9">
        <v>8</v>
      </c>
      <c r="R63" s="9">
        <v>15</v>
      </c>
      <c r="S63" s="9">
        <v>5</v>
      </c>
      <c r="T63" s="9">
        <v>8</v>
      </c>
      <c r="U63" s="9">
        <v>5</v>
      </c>
      <c r="W63" s="25">
        <v>1</v>
      </c>
      <c r="X63" s="25">
        <v>1</v>
      </c>
      <c r="Y63" s="25">
        <v>1</v>
      </c>
      <c r="Z63" s="25">
        <v>1</v>
      </c>
      <c r="AA63" s="25">
        <v>1</v>
      </c>
      <c r="AC63" s="166" t="str">
        <v>Q</v>
      </c>
      <c r="AD63" s="144">
        <v>4</v>
      </c>
      <c r="AE63" s="144">
        <v>11</v>
      </c>
      <c r="AF63" s="144">
        <v>5</v>
      </c>
      <c r="AG63" s="144">
        <v>20</v>
      </c>
      <c r="AH63" s="144">
        <v>22</v>
      </c>
      <c r="AI63" s="5"/>
      <c r="AJ63" s="166" t="str">
        <v>Q</v>
      </c>
      <c r="AK63" s="144">
        <v>4</v>
      </c>
      <c r="AL63" s="144">
        <v>11</v>
      </c>
      <c r="AM63" s="144">
        <v>5</v>
      </c>
      <c r="AN63" s="144">
        <v>20</v>
      </c>
      <c r="AO63" s="144">
        <v>22</v>
      </c>
    </row>
    <row r="64" spans="3:41" ht="16.5" customHeight="1">
      <c r="J64" s="25">
        <v>60</v>
      </c>
      <c r="K64" s="16" t="s">
        <v>19</v>
      </c>
      <c r="L64" s="16" t="s">
        <v>19</v>
      </c>
      <c r="M64" s="16" t="s">
        <v>19</v>
      </c>
      <c r="N64" s="16" t="s">
        <v>35</v>
      </c>
      <c r="O64" s="16" t="s">
        <v>35</v>
      </c>
      <c r="Q64" s="9">
        <v>5</v>
      </c>
      <c r="R64" s="9">
        <v>5</v>
      </c>
      <c r="S64" s="9">
        <v>5</v>
      </c>
      <c r="T64" s="9">
        <v>8</v>
      </c>
      <c r="U64" s="9">
        <v>8</v>
      </c>
      <c r="W64" s="25">
        <v>1</v>
      </c>
      <c r="X64" s="25">
        <v>1</v>
      </c>
      <c r="Y64" s="25">
        <v>1</v>
      </c>
      <c r="Z64" s="25">
        <v>1</v>
      </c>
      <c r="AA64" s="25">
        <v>1</v>
      </c>
      <c r="AC64" s="166" t="str">
        <v>J</v>
      </c>
      <c r="AD64" s="144">
        <v>4</v>
      </c>
      <c r="AE64" s="144">
        <v>11</v>
      </c>
      <c r="AF64" s="144">
        <v>4</v>
      </c>
      <c r="AG64" s="144">
        <v>20</v>
      </c>
      <c r="AH64" s="144">
        <v>22</v>
      </c>
      <c r="AI64" s="5"/>
      <c r="AJ64" s="166" t="str">
        <v>J</v>
      </c>
      <c r="AK64" s="144">
        <v>4</v>
      </c>
      <c r="AL64" s="144">
        <v>11</v>
      </c>
      <c r="AM64" s="144">
        <v>4</v>
      </c>
      <c r="AN64" s="144">
        <v>20</v>
      </c>
      <c r="AO64" s="144">
        <v>22</v>
      </c>
    </row>
    <row r="65" spans="10:41" ht="16.5" customHeight="1">
      <c r="J65" s="9">
        <v>61</v>
      </c>
      <c r="K65" s="16" t="s">
        <v>19</v>
      </c>
      <c r="L65" s="16" t="s">
        <v>37</v>
      </c>
      <c r="M65" s="16" t="s">
        <v>37</v>
      </c>
      <c r="N65" s="16" t="s">
        <v>22</v>
      </c>
      <c r="O65" s="16" t="s">
        <v>22</v>
      </c>
      <c r="Q65" s="9">
        <v>5</v>
      </c>
      <c r="R65" s="9">
        <v>7</v>
      </c>
      <c r="S65" s="9">
        <v>7</v>
      </c>
      <c r="T65" s="9">
        <v>3</v>
      </c>
      <c r="U65" s="9">
        <v>3</v>
      </c>
      <c r="W65" s="25">
        <v>1</v>
      </c>
      <c r="X65" s="25">
        <v>1</v>
      </c>
      <c r="Y65" s="25">
        <v>1</v>
      </c>
      <c r="Z65" s="25">
        <v>1</v>
      </c>
      <c r="AA65" s="25">
        <v>1</v>
      </c>
      <c r="AC65" s="149" t="str">
        <v>G1</v>
      </c>
      <c r="AD65" s="105">
        <v>0</v>
      </c>
      <c r="AE65" s="105">
        <v>4</v>
      </c>
      <c r="AF65" s="105">
        <v>0</v>
      </c>
      <c r="AG65" s="105">
        <v>4</v>
      </c>
      <c r="AH65" s="105">
        <v>0</v>
      </c>
      <c r="AI65" s="5"/>
      <c r="AJ65" s="149" t="str">
        <v>G1</v>
      </c>
      <c r="AK65" s="105">
        <v>0</v>
      </c>
      <c r="AL65" s="105">
        <v>4</v>
      </c>
      <c r="AM65" s="105">
        <v>0</v>
      </c>
      <c r="AN65" s="105">
        <v>4</v>
      </c>
      <c r="AO65" s="105">
        <v>0</v>
      </c>
    </row>
    <row r="66" spans="10:41" ht="16.5" customHeight="1">
      <c r="J66" s="25">
        <v>62</v>
      </c>
      <c r="K66" s="16" t="s">
        <v>21</v>
      </c>
      <c r="L66" s="16" t="s">
        <v>22</v>
      </c>
      <c r="M66" s="16" t="s">
        <v>22</v>
      </c>
      <c r="N66" s="16" t="s">
        <v>36</v>
      </c>
      <c r="O66" s="16" t="s">
        <v>136</v>
      </c>
      <c r="Q66" s="9">
        <v>2</v>
      </c>
      <c r="R66" s="9">
        <v>3</v>
      </c>
      <c r="S66" s="9">
        <v>3</v>
      </c>
      <c r="T66" s="9">
        <v>10</v>
      </c>
      <c r="U66" s="9">
        <v>6</v>
      </c>
      <c r="W66" s="25">
        <v>1</v>
      </c>
      <c r="X66" s="25">
        <v>1</v>
      </c>
      <c r="Y66" s="25">
        <v>1</v>
      </c>
      <c r="Z66" s="25">
        <v>1</v>
      </c>
      <c r="AA66" s="25">
        <v>1</v>
      </c>
      <c r="AC66" s="149" t="str">
        <v>G2</v>
      </c>
      <c r="AD66" s="105">
        <v>0</v>
      </c>
      <c r="AE66" s="105">
        <v>5</v>
      </c>
      <c r="AF66" s="105">
        <v>0</v>
      </c>
      <c r="AG66" s="105">
        <v>4</v>
      </c>
      <c r="AH66" s="105">
        <v>0</v>
      </c>
      <c r="AI66" s="5"/>
      <c r="AJ66" s="149" t="str">
        <v>G2</v>
      </c>
      <c r="AK66" s="105">
        <v>0</v>
      </c>
      <c r="AL66" s="105">
        <v>5</v>
      </c>
      <c r="AM66" s="105">
        <v>0</v>
      </c>
      <c r="AN66" s="105">
        <v>4</v>
      </c>
      <c r="AO66" s="105">
        <v>0</v>
      </c>
    </row>
    <row r="67" spans="10:41" ht="16.5" customHeight="1">
      <c r="J67" s="9">
        <v>63</v>
      </c>
      <c r="K67" s="16" t="s">
        <v>136</v>
      </c>
      <c r="L67" s="16" t="s">
        <v>92</v>
      </c>
      <c r="M67" s="16" t="s">
        <v>136</v>
      </c>
      <c r="N67" s="16" t="s">
        <v>18</v>
      </c>
      <c r="O67" s="16" t="s">
        <v>35</v>
      </c>
      <c r="Q67" s="9">
        <v>6</v>
      </c>
      <c r="R67" s="9">
        <v>16</v>
      </c>
      <c r="S67" s="9">
        <v>6</v>
      </c>
      <c r="T67" s="9">
        <v>4</v>
      </c>
      <c r="U67" s="9">
        <v>8</v>
      </c>
      <c r="W67" s="25">
        <v>1</v>
      </c>
      <c r="X67" s="25">
        <v>1</v>
      </c>
      <c r="Y67" s="25">
        <v>1</v>
      </c>
      <c r="Z67" s="25">
        <v>1</v>
      </c>
      <c r="AA67" s="25">
        <v>1</v>
      </c>
      <c r="AC67" s="149" t="str">
        <v>G3</v>
      </c>
      <c r="AD67" s="105">
        <v>0</v>
      </c>
      <c r="AE67" s="105">
        <v>5</v>
      </c>
      <c r="AF67" s="105">
        <v>0</v>
      </c>
      <c r="AG67" s="105">
        <v>4</v>
      </c>
      <c r="AH67" s="105">
        <v>0</v>
      </c>
      <c r="AI67" s="5"/>
      <c r="AJ67" s="149" t="str">
        <v>G3</v>
      </c>
      <c r="AK67" s="105">
        <v>0</v>
      </c>
      <c r="AL67" s="105">
        <v>5</v>
      </c>
      <c r="AM67" s="105">
        <v>0</v>
      </c>
      <c r="AN67" s="105">
        <v>4</v>
      </c>
      <c r="AO67" s="105">
        <v>0</v>
      </c>
    </row>
    <row r="68" spans="10:41" ht="16.5" customHeight="1">
      <c r="J68" s="25">
        <v>64</v>
      </c>
      <c r="K68" s="16" t="s">
        <v>19</v>
      </c>
      <c r="L68" s="16" t="s">
        <v>19</v>
      </c>
      <c r="M68" s="16" t="s">
        <v>19</v>
      </c>
      <c r="N68" s="16" t="s">
        <v>22</v>
      </c>
      <c r="O68" s="16" t="s">
        <v>18</v>
      </c>
      <c r="Q68" s="9">
        <v>5</v>
      </c>
      <c r="R68" s="9">
        <v>5</v>
      </c>
      <c r="S68" s="9">
        <v>5</v>
      </c>
      <c r="T68" s="9">
        <v>3</v>
      </c>
      <c r="U68" s="9">
        <v>4</v>
      </c>
      <c r="W68" s="25">
        <v>1</v>
      </c>
      <c r="X68" s="25">
        <v>1</v>
      </c>
      <c r="Y68" s="25">
        <v>1</v>
      </c>
      <c r="Z68" s="25">
        <v>1</v>
      </c>
      <c r="AA68" s="25">
        <v>1</v>
      </c>
      <c r="AC68" s="149" t="str">
        <v>G4</v>
      </c>
      <c r="AD68" s="105">
        <v>0</v>
      </c>
      <c r="AE68" s="105">
        <v>8</v>
      </c>
      <c r="AF68" s="105">
        <v>3</v>
      </c>
      <c r="AG68" s="105">
        <v>3</v>
      </c>
      <c r="AH68" s="105">
        <v>0</v>
      </c>
      <c r="AI68" s="5"/>
      <c r="AJ68" s="149" t="str">
        <v>G4</v>
      </c>
      <c r="AK68" s="105">
        <v>0</v>
      </c>
      <c r="AL68" s="105">
        <v>8</v>
      </c>
      <c r="AM68" s="105">
        <v>3</v>
      </c>
      <c r="AN68" s="105">
        <v>3</v>
      </c>
      <c r="AO68" s="105">
        <v>0</v>
      </c>
    </row>
    <row r="69" spans="10:41" ht="16.5" customHeight="1">
      <c r="J69" s="9">
        <v>65</v>
      </c>
      <c r="K69" s="16" t="s">
        <v>37</v>
      </c>
      <c r="L69" s="16" t="s">
        <v>136</v>
      </c>
      <c r="M69" s="16" t="s">
        <v>136</v>
      </c>
      <c r="N69" s="16" t="s">
        <v>34</v>
      </c>
      <c r="O69" s="16" t="s">
        <v>36</v>
      </c>
      <c r="Q69" s="9">
        <v>7</v>
      </c>
      <c r="R69" s="9">
        <v>6</v>
      </c>
      <c r="S69" s="9">
        <v>6</v>
      </c>
      <c r="T69" s="9">
        <v>9</v>
      </c>
      <c r="U69" s="9">
        <v>10</v>
      </c>
      <c r="W69" s="25">
        <v>1</v>
      </c>
      <c r="X69" s="25">
        <v>1</v>
      </c>
      <c r="Y69" s="25">
        <v>1</v>
      </c>
      <c r="Z69" s="25">
        <v>1</v>
      </c>
      <c r="AA69" s="25">
        <v>1</v>
      </c>
      <c r="AC69" s="149" t="str">
        <v>G5</v>
      </c>
      <c r="AD69" s="105">
        <v>0</v>
      </c>
      <c r="AE69" s="105">
        <v>8</v>
      </c>
      <c r="AF69" s="105">
        <v>3</v>
      </c>
      <c r="AG69" s="105">
        <v>3</v>
      </c>
      <c r="AH69" s="105">
        <v>0</v>
      </c>
      <c r="AI69" s="5"/>
      <c r="AJ69" s="149" t="str">
        <v>G5</v>
      </c>
      <c r="AK69" s="105">
        <v>0</v>
      </c>
      <c r="AL69" s="105">
        <v>8</v>
      </c>
      <c r="AM69" s="105">
        <v>3</v>
      </c>
      <c r="AN69" s="105">
        <v>3</v>
      </c>
      <c r="AO69" s="105">
        <v>0</v>
      </c>
    </row>
    <row r="70" spans="10:41" ht="16.5" customHeight="1">
      <c r="J70" s="25">
        <v>66</v>
      </c>
      <c r="K70" s="16" t="s">
        <v>136</v>
      </c>
      <c r="L70" s="16" t="s">
        <v>36</v>
      </c>
      <c r="M70" s="16" t="s">
        <v>19</v>
      </c>
      <c r="N70" s="16" t="s">
        <v>36</v>
      </c>
      <c r="O70" s="16" t="s">
        <v>34</v>
      </c>
      <c r="Q70" s="9">
        <v>6</v>
      </c>
      <c r="R70" s="9">
        <v>10</v>
      </c>
      <c r="S70" s="9">
        <v>5</v>
      </c>
      <c r="T70" s="9">
        <v>10</v>
      </c>
      <c r="U70" s="9">
        <v>9</v>
      </c>
      <c r="W70" s="25">
        <v>1</v>
      </c>
      <c r="X70" s="25">
        <v>1</v>
      </c>
      <c r="Y70" s="25">
        <v>1</v>
      </c>
      <c r="Z70" s="25">
        <v>1</v>
      </c>
      <c r="AA70" s="25">
        <v>1</v>
      </c>
      <c r="AC70" s="149" t="str">
        <v>GA</v>
      </c>
      <c r="AD70" s="105">
        <v>0</v>
      </c>
      <c r="AE70" s="105">
        <v>8</v>
      </c>
      <c r="AF70" s="105">
        <v>3</v>
      </c>
      <c r="AG70" s="105">
        <v>3</v>
      </c>
      <c r="AH70" s="105">
        <v>0</v>
      </c>
      <c r="AI70" s="5"/>
      <c r="AJ70" s="149" t="str">
        <v>GA</v>
      </c>
      <c r="AK70" s="105">
        <v>0</v>
      </c>
      <c r="AL70" s="105">
        <v>8</v>
      </c>
      <c r="AM70" s="105">
        <v>3</v>
      </c>
      <c r="AN70" s="105">
        <v>3</v>
      </c>
      <c r="AO70" s="105">
        <v>0</v>
      </c>
    </row>
    <row r="71" spans="10:41" ht="16.5" customHeight="1">
      <c r="J71" s="9">
        <v>67</v>
      </c>
      <c r="K71" s="16" t="s">
        <v>19</v>
      </c>
      <c r="L71" s="16" t="s">
        <v>137</v>
      </c>
      <c r="M71" s="16" t="s">
        <v>136</v>
      </c>
      <c r="N71" s="16" t="s">
        <v>36</v>
      </c>
      <c r="O71" s="16" t="s">
        <v>37</v>
      </c>
      <c r="Q71" s="9">
        <v>5</v>
      </c>
      <c r="R71" s="9">
        <v>15</v>
      </c>
      <c r="S71" s="9">
        <v>6</v>
      </c>
      <c r="T71" s="9">
        <v>10</v>
      </c>
      <c r="U71" s="9">
        <v>7</v>
      </c>
      <c r="W71" s="25">
        <v>1</v>
      </c>
      <c r="X71" s="25">
        <v>1</v>
      </c>
      <c r="Y71" s="25">
        <v>1</v>
      </c>
      <c r="Z71" s="25">
        <v>1</v>
      </c>
      <c r="AA71" s="25">
        <v>1</v>
      </c>
      <c r="AC71" s="149" t="str">
        <v>GK</v>
      </c>
      <c r="AD71" s="105">
        <v>0</v>
      </c>
      <c r="AE71" s="105">
        <v>8</v>
      </c>
      <c r="AF71" s="105">
        <v>3</v>
      </c>
      <c r="AG71" s="105">
        <v>3</v>
      </c>
      <c r="AH71" s="105">
        <v>0</v>
      </c>
      <c r="AI71" s="5"/>
      <c r="AJ71" s="149" t="str">
        <v>GK</v>
      </c>
      <c r="AK71" s="105">
        <v>0</v>
      </c>
      <c r="AL71" s="105">
        <v>8</v>
      </c>
      <c r="AM71" s="105">
        <v>3</v>
      </c>
      <c r="AN71" s="105">
        <v>3</v>
      </c>
      <c r="AO71" s="105">
        <v>0</v>
      </c>
    </row>
    <row r="72" spans="10:41" ht="16.5" customHeight="1">
      <c r="J72" s="25">
        <v>68</v>
      </c>
      <c r="K72" s="16" t="s">
        <v>136</v>
      </c>
      <c r="L72" s="16" t="s">
        <v>119</v>
      </c>
      <c r="M72" s="16" t="s">
        <v>19</v>
      </c>
      <c r="N72" s="16" t="s">
        <v>36</v>
      </c>
      <c r="O72" s="16" t="s">
        <v>18</v>
      </c>
      <c r="Q72" s="9">
        <v>6</v>
      </c>
      <c r="R72" s="9">
        <v>17</v>
      </c>
      <c r="S72" s="9">
        <v>5</v>
      </c>
      <c r="T72" s="9">
        <v>10</v>
      </c>
      <c r="U72" s="9">
        <v>4</v>
      </c>
      <c r="W72" s="25">
        <v>1</v>
      </c>
      <c r="X72" s="25">
        <v>1</v>
      </c>
      <c r="Y72" s="25">
        <v>1</v>
      </c>
      <c r="Z72" s="25">
        <v>1</v>
      </c>
      <c r="AA72" s="25">
        <v>1</v>
      </c>
      <c r="AC72" s="149" t="str">
        <v>GQ</v>
      </c>
      <c r="AD72" s="105">
        <v>0</v>
      </c>
      <c r="AE72" s="105">
        <v>5</v>
      </c>
      <c r="AF72" s="105">
        <v>0</v>
      </c>
      <c r="AG72" s="105">
        <v>4</v>
      </c>
      <c r="AH72" s="105">
        <v>0</v>
      </c>
      <c r="AI72" s="5"/>
      <c r="AJ72" s="149" t="str">
        <v>GQ</v>
      </c>
      <c r="AK72" s="105">
        <v>0</v>
      </c>
      <c r="AL72" s="105">
        <v>5</v>
      </c>
      <c r="AM72" s="105">
        <v>0</v>
      </c>
      <c r="AN72" s="105">
        <v>4</v>
      </c>
      <c r="AO72" s="105">
        <v>0</v>
      </c>
    </row>
    <row r="73" spans="10:41" ht="16.5" customHeight="1">
      <c r="J73" s="9">
        <v>69</v>
      </c>
      <c r="K73" s="16" t="s">
        <v>36</v>
      </c>
      <c r="L73" s="16" t="s">
        <v>20</v>
      </c>
      <c r="M73" s="16" t="s">
        <v>35</v>
      </c>
      <c r="N73" s="16" t="s">
        <v>97</v>
      </c>
      <c r="O73" s="16" t="s">
        <v>21</v>
      </c>
      <c r="Q73" s="9">
        <v>10</v>
      </c>
      <c r="R73" s="9">
        <v>1</v>
      </c>
      <c r="S73" s="9">
        <v>8</v>
      </c>
      <c r="T73" s="9">
        <v>19</v>
      </c>
      <c r="U73" s="9">
        <v>2</v>
      </c>
      <c r="W73" s="25">
        <v>1</v>
      </c>
      <c r="X73" s="25">
        <v>1</v>
      </c>
      <c r="Y73" s="25">
        <v>1</v>
      </c>
      <c r="Z73" s="25">
        <v>1</v>
      </c>
      <c r="AA73" s="25">
        <v>1</v>
      </c>
      <c r="AC73" s="149" t="str">
        <v>GJ</v>
      </c>
      <c r="AD73" s="105">
        <v>0</v>
      </c>
      <c r="AE73" s="105">
        <v>5</v>
      </c>
      <c r="AF73" s="105">
        <v>0</v>
      </c>
      <c r="AG73" s="105">
        <v>4</v>
      </c>
      <c r="AH73" s="105">
        <v>0</v>
      </c>
      <c r="AI73" s="5"/>
      <c r="AJ73" s="149" t="str">
        <v>GJ</v>
      </c>
      <c r="AK73" s="105">
        <v>0</v>
      </c>
      <c r="AL73" s="105">
        <v>5</v>
      </c>
      <c r="AM73" s="105">
        <v>0</v>
      </c>
      <c r="AN73" s="105">
        <v>4</v>
      </c>
      <c r="AO73" s="105">
        <v>0</v>
      </c>
    </row>
    <row r="74" spans="10:41" ht="16.5" customHeight="1">
      <c r="J74" s="25">
        <v>70</v>
      </c>
      <c r="K74" s="16" t="s">
        <v>37</v>
      </c>
      <c r="L74" s="16" t="s">
        <v>36</v>
      </c>
      <c r="M74" s="16" t="s">
        <v>19</v>
      </c>
      <c r="N74" s="16" t="s">
        <v>21</v>
      </c>
      <c r="O74" s="16" t="s">
        <v>19</v>
      </c>
      <c r="Q74" s="9">
        <v>7</v>
      </c>
      <c r="R74" s="9">
        <v>10</v>
      </c>
      <c r="S74" s="9">
        <v>5</v>
      </c>
      <c r="T74" s="9">
        <v>2</v>
      </c>
      <c r="U74" s="9">
        <v>5</v>
      </c>
      <c r="W74" s="25">
        <v>1</v>
      </c>
      <c r="X74" s="25">
        <v>1</v>
      </c>
      <c r="Y74" s="25">
        <v>1</v>
      </c>
      <c r="Z74" s="25">
        <v>1</v>
      </c>
      <c r="AA74" s="25">
        <v>1</v>
      </c>
      <c r="AD74" s="119">
        <f>SUM(AD54:AD73)</f>
        <v>200</v>
      </c>
      <c r="AE74" s="119">
        <f>SUM(AE54:AE73)</f>
        <v>200</v>
      </c>
      <c r="AF74" s="119">
        <f>SUM(AF54:AF73)</f>
        <v>200</v>
      </c>
      <c r="AG74" s="119">
        <f>SUM(AG54:AG73)</f>
        <v>200</v>
      </c>
      <c r="AH74" s="119">
        <f>SUM(AH54:AH73)</f>
        <v>200</v>
      </c>
      <c r="AI74" s="5"/>
      <c r="AK74" s="119">
        <f>SUM(AK54:AK73)</f>
        <v>200</v>
      </c>
      <c r="AL74" s="119">
        <f>SUM(AL54:AL73)</f>
        <v>200</v>
      </c>
      <c r="AM74" s="119">
        <f>SUM(AM54:AM73)</f>
        <v>200</v>
      </c>
      <c r="AN74" s="119">
        <f>SUM(AN54:AN73)</f>
        <v>200</v>
      </c>
      <c r="AO74" s="119">
        <f>SUM(AO54:AO73)</f>
        <v>200</v>
      </c>
    </row>
    <row r="75" spans="10:41" ht="16.5" customHeight="1">
      <c r="J75" s="9">
        <v>71</v>
      </c>
      <c r="K75" s="16" t="s">
        <v>136</v>
      </c>
      <c r="L75" s="16" t="s">
        <v>35</v>
      </c>
      <c r="M75" s="16" t="s">
        <v>18</v>
      </c>
      <c r="N75" s="16" t="s">
        <v>89</v>
      </c>
      <c r="O75" s="16" t="s">
        <v>37</v>
      </c>
      <c r="Q75" s="9">
        <v>6</v>
      </c>
      <c r="R75" s="9">
        <v>8</v>
      </c>
      <c r="S75" s="9">
        <v>4</v>
      </c>
      <c r="T75" s="9">
        <v>12</v>
      </c>
      <c r="U75" s="9">
        <v>7</v>
      </c>
      <c r="W75" s="25">
        <v>1</v>
      </c>
      <c r="X75" s="25">
        <v>1</v>
      </c>
      <c r="Y75" s="25">
        <v>1</v>
      </c>
      <c r="Z75" s="25">
        <v>1</v>
      </c>
      <c r="AA75" s="25">
        <v>1</v>
      </c>
      <c r="AH75" s="5"/>
      <c r="AI75" s="5"/>
      <c r="AO75" s="5"/>
    </row>
    <row r="76" spans="10:41" ht="16.5" customHeight="1">
      <c r="J76" s="25">
        <v>72</v>
      </c>
      <c r="K76" s="16" t="s">
        <v>35</v>
      </c>
      <c r="L76" s="16" t="s">
        <v>35</v>
      </c>
      <c r="M76" s="16" t="s">
        <v>19</v>
      </c>
      <c r="N76" s="16" t="s">
        <v>21</v>
      </c>
      <c r="O76" s="16" t="s">
        <v>35</v>
      </c>
      <c r="Q76" s="9">
        <v>8</v>
      </c>
      <c r="R76" s="9">
        <v>8</v>
      </c>
      <c r="S76" s="9">
        <v>5</v>
      </c>
      <c r="T76" s="9">
        <v>2</v>
      </c>
      <c r="U76" s="9">
        <v>8</v>
      </c>
      <c r="W76" s="25">
        <v>1</v>
      </c>
      <c r="X76" s="25">
        <v>1</v>
      </c>
      <c r="Y76" s="25">
        <v>1</v>
      </c>
      <c r="Z76" s="25">
        <v>1</v>
      </c>
      <c r="AA76" s="25">
        <v>1</v>
      </c>
      <c r="AH76" s="5"/>
      <c r="AI76" s="5"/>
      <c r="AO76" s="5"/>
    </row>
    <row r="77" spans="10:41" ht="16.5" customHeight="1">
      <c r="J77" s="9">
        <v>73</v>
      </c>
      <c r="K77" s="16" t="s">
        <v>136</v>
      </c>
      <c r="L77" s="16" t="s">
        <v>19</v>
      </c>
      <c r="M77" s="16" t="s">
        <v>37</v>
      </c>
      <c r="N77" s="16" t="s">
        <v>19</v>
      </c>
      <c r="O77" s="16" t="s">
        <v>37</v>
      </c>
      <c r="Q77" s="9">
        <v>6</v>
      </c>
      <c r="R77" s="9">
        <v>5</v>
      </c>
      <c r="S77" s="9">
        <v>7</v>
      </c>
      <c r="T77" s="9">
        <v>5</v>
      </c>
      <c r="U77" s="9">
        <v>7</v>
      </c>
      <c r="W77" s="25">
        <v>1</v>
      </c>
      <c r="X77" s="25">
        <v>1</v>
      </c>
      <c r="Y77" s="25">
        <v>1</v>
      </c>
      <c r="Z77" s="25">
        <v>1</v>
      </c>
      <c r="AA77" s="25">
        <v>1</v>
      </c>
      <c r="AH77" s="5"/>
      <c r="AI77" s="5"/>
      <c r="AO77" s="5"/>
    </row>
    <row r="78" spans="10:41" ht="16.5" customHeight="1">
      <c r="J78" s="25">
        <v>74</v>
      </c>
      <c r="K78" s="16" t="s">
        <v>35</v>
      </c>
      <c r="L78" s="16" t="s">
        <v>19</v>
      </c>
      <c r="M78" s="16" t="s">
        <v>19</v>
      </c>
      <c r="N78" s="16" t="s">
        <v>20</v>
      </c>
      <c r="O78" s="16" t="s">
        <v>37</v>
      </c>
      <c r="Q78" s="9">
        <v>8</v>
      </c>
      <c r="R78" s="9">
        <v>5</v>
      </c>
      <c r="S78" s="9">
        <v>5</v>
      </c>
      <c r="T78" s="9">
        <v>1</v>
      </c>
      <c r="U78" s="9">
        <v>7</v>
      </c>
      <c r="W78" s="25">
        <v>1</v>
      </c>
      <c r="X78" s="25">
        <v>1</v>
      </c>
      <c r="Y78" s="25">
        <v>1</v>
      </c>
      <c r="Z78" s="25">
        <v>1</v>
      </c>
      <c r="AA78" s="25">
        <v>1</v>
      </c>
      <c r="AH78" s="5"/>
      <c r="AI78" s="5"/>
      <c r="AO78" s="5"/>
    </row>
    <row r="79" spans="10:41" ht="16.5" customHeight="1">
      <c r="J79" s="9">
        <v>75</v>
      </c>
      <c r="K79" s="16" t="s">
        <v>136</v>
      </c>
      <c r="L79" s="16" t="s">
        <v>36</v>
      </c>
      <c r="M79" s="16" t="s">
        <v>136</v>
      </c>
      <c r="N79" s="16" t="s">
        <v>34</v>
      </c>
      <c r="O79" s="16" t="s">
        <v>18</v>
      </c>
      <c r="Q79" s="9">
        <v>6</v>
      </c>
      <c r="R79" s="9">
        <v>10</v>
      </c>
      <c r="S79" s="9">
        <v>6</v>
      </c>
      <c r="T79" s="9">
        <v>9</v>
      </c>
      <c r="U79" s="9">
        <v>4</v>
      </c>
      <c r="W79" s="25">
        <v>1</v>
      </c>
      <c r="X79" s="25">
        <v>1</v>
      </c>
      <c r="Y79" s="25">
        <v>1</v>
      </c>
      <c r="Z79" s="25">
        <v>1</v>
      </c>
      <c r="AA79" s="25">
        <v>1</v>
      </c>
      <c r="AH79" s="5"/>
      <c r="AI79" s="5"/>
      <c r="AO79" s="5"/>
    </row>
    <row r="80" spans="10:41">
      <c r="J80" s="25">
        <v>76</v>
      </c>
      <c r="K80" s="16" t="s">
        <v>35</v>
      </c>
      <c r="L80" s="16" t="s">
        <v>18</v>
      </c>
      <c r="M80" s="16" t="s">
        <v>34</v>
      </c>
      <c r="N80" s="16" t="s">
        <v>34</v>
      </c>
      <c r="O80" s="16" t="s">
        <v>136</v>
      </c>
      <c r="Q80" s="9">
        <v>8</v>
      </c>
      <c r="R80" s="9">
        <v>4</v>
      </c>
      <c r="S80" s="9">
        <v>9</v>
      </c>
      <c r="T80" s="9">
        <v>9</v>
      </c>
      <c r="U80" s="9">
        <v>6</v>
      </c>
      <c r="W80" s="25">
        <v>1</v>
      </c>
      <c r="X80" s="25">
        <v>1</v>
      </c>
      <c r="Y80" s="25">
        <v>1</v>
      </c>
      <c r="Z80" s="25">
        <v>1</v>
      </c>
      <c r="AA80" s="25">
        <v>1</v>
      </c>
      <c r="AH80" s="5"/>
      <c r="AI80" s="5"/>
      <c r="AO80" s="5"/>
    </row>
    <row r="81" spans="10:41">
      <c r="J81" s="9">
        <v>77</v>
      </c>
      <c r="K81" s="16" t="s">
        <v>136</v>
      </c>
      <c r="L81" s="16" t="s">
        <v>37</v>
      </c>
      <c r="M81" s="16" t="s">
        <v>136</v>
      </c>
      <c r="N81" s="16" t="s">
        <v>36</v>
      </c>
      <c r="O81" s="16" t="s">
        <v>34</v>
      </c>
      <c r="Q81" s="9">
        <v>6</v>
      </c>
      <c r="R81" s="9">
        <v>7</v>
      </c>
      <c r="S81" s="9">
        <v>6</v>
      </c>
      <c r="T81" s="9">
        <v>10</v>
      </c>
      <c r="U81" s="9">
        <v>9</v>
      </c>
      <c r="W81" s="25">
        <v>1</v>
      </c>
      <c r="X81" s="25">
        <v>1</v>
      </c>
      <c r="Y81" s="25">
        <v>1</v>
      </c>
      <c r="Z81" s="25">
        <v>1</v>
      </c>
      <c r="AA81" s="25">
        <v>1</v>
      </c>
      <c r="AH81" s="5"/>
      <c r="AI81" s="5"/>
      <c r="AO81" s="5"/>
    </row>
    <row r="82" spans="10:41">
      <c r="J82" s="25">
        <v>78</v>
      </c>
      <c r="K82" s="16" t="s">
        <v>136</v>
      </c>
      <c r="L82" s="16" t="s">
        <v>34</v>
      </c>
      <c r="M82" s="16" t="s">
        <v>35</v>
      </c>
      <c r="N82" s="16" t="s">
        <v>22</v>
      </c>
      <c r="O82" s="16" t="s">
        <v>35</v>
      </c>
      <c r="Q82" s="9">
        <v>6</v>
      </c>
      <c r="R82" s="9">
        <v>9</v>
      </c>
      <c r="S82" s="9">
        <v>8</v>
      </c>
      <c r="T82" s="9">
        <v>3</v>
      </c>
      <c r="U82" s="9">
        <v>8</v>
      </c>
      <c r="W82" s="25">
        <v>1</v>
      </c>
      <c r="X82" s="25">
        <v>1</v>
      </c>
      <c r="Y82" s="25">
        <v>1</v>
      </c>
      <c r="Z82" s="25">
        <v>1</v>
      </c>
      <c r="AA82" s="25">
        <v>1</v>
      </c>
      <c r="AH82" s="5"/>
      <c r="AI82" s="5"/>
      <c r="AO82" s="5"/>
    </row>
    <row r="83" spans="10:41">
      <c r="J83" s="9">
        <v>79</v>
      </c>
      <c r="K83" s="16" t="s">
        <v>136</v>
      </c>
      <c r="L83" s="16" t="s">
        <v>19</v>
      </c>
      <c r="M83" s="16" t="s">
        <v>136</v>
      </c>
      <c r="N83" s="16" t="s">
        <v>37</v>
      </c>
      <c r="O83" s="16" t="s">
        <v>35</v>
      </c>
      <c r="Q83" s="9">
        <v>6</v>
      </c>
      <c r="R83" s="9">
        <v>5</v>
      </c>
      <c r="S83" s="9">
        <v>6</v>
      </c>
      <c r="T83" s="9">
        <v>7</v>
      </c>
      <c r="U83" s="9">
        <v>8</v>
      </c>
      <c r="W83" s="25">
        <v>1</v>
      </c>
      <c r="X83" s="25">
        <v>1</v>
      </c>
      <c r="Y83" s="25">
        <v>1</v>
      </c>
      <c r="Z83" s="25">
        <v>1</v>
      </c>
      <c r="AA83" s="25">
        <v>1</v>
      </c>
      <c r="AH83" s="5"/>
      <c r="AI83" s="5"/>
      <c r="AO83" s="5"/>
    </row>
    <row r="84" spans="10:41">
      <c r="J84" s="25">
        <v>80</v>
      </c>
      <c r="K84" s="16" t="s">
        <v>35</v>
      </c>
      <c r="L84" s="16" t="s">
        <v>92</v>
      </c>
      <c r="M84" s="16" t="s">
        <v>35</v>
      </c>
      <c r="N84" s="16" t="s">
        <v>19</v>
      </c>
      <c r="O84" s="16" t="s">
        <v>18</v>
      </c>
      <c r="Q84" s="9">
        <v>8</v>
      </c>
      <c r="R84" s="9">
        <v>16</v>
      </c>
      <c r="S84" s="9">
        <v>8</v>
      </c>
      <c r="T84" s="9">
        <v>5</v>
      </c>
      <c r="U84" s="9">
        <v>4</v>
      </c>
      <c r="W84" s="25">
        <v>1</v>
      </c>
      <c r="X84" s="25">
        <v>1</v>
      </c>
      <c r="Y84" s="25">
        <v>1</v>
      </c>
      <c r="Z84" s="25">
        <v>1</v>
      </c>
      <c r="AA84" s="25">
        <v>1</v>
      </c>
      <c r="AH84" s="5"/>
      <c r="AI84" s="5"/>
      <c r="AO84" s="5"/>
    </row>
    <row r="85" spans="10:41">
      <c r="J85" s="9">
        <v>81</v>
      </c>
      <c r="K85" s="16" t="s">
        <v>37</v>
      </c>
      <c r="L85" s="16" t="s">
        <v>18</v>
      </c>
      <c r="M85" s="16" t="s">
        <v>18</v>
      </c>
      <c r="N85" s="16" t="s">
        <v>20</v>
      </c>
      <c r="O85" s="16" t="s">
        <v>36</v>
      </c>
      <c r="Q85" s="9">
        <v>7</v>
      </c>
      <c r="R85" s="9">
        <v>4</v>
      </c>
      <c r="S85" s="9">
        <v>4</v>
      </c>
      <c r="T85" s="9">
        <v>1</v>
      </c>
      <c r="U85" s="9">
        <v>10</v>
      </c>
      <c r="W85" s="25">
        <v>1</v>
      </c>
      <c r="X85" s="25">
        <v>1</v>
      </c>
      <c r="Y85" s="25">
        <v>1</v>
      </c>
      <c r="Z85" s="25">
        <v>1</v>
      </c>
      <c r="AA85" s="25">
        <v>1</v>
      </c>
      <c r="AH85" s="5"/>
      <c r="AI85" s="5"/>
      <c r="AO85" s="5"/>
    </row>
    <row r="86" spans="10:41">
      <c r="J86" s="25">
        <v>82</v>
      </c>
      <c r="K86" s="16" t="s">
        <v>21</v>
      </c>
      <c r="L86" s="16" t="s">
        <v>136</v>
      </c>
      <c r="M86" s="16" t="s">
        <v>35</v>
      </c>
      <c r="N86" s="16" t="s">
        <v>36</v>
      </c>
      <c r="O86" s="16" t="s">
        <v>37</v>
      </c>
      <c r="Q86" s="9">
        <v>2</v>
      </c>
      <c r="R86" s="9">
        <v>6</v>
      </c>
      <c r="S86" s="9">
        <v>8</v>
      </c>
      <c r="T86" s="9">
        <v>10</v>
      </c>
      <c r="U86" s="9">
        <v>7</v>
      </c>
      <c r="W86" s="25">
        <v>1</v>
      </c>
      <c r="X86" s="25">
        <v>1</v>
      </c>
      <c r="Y86" s="25">
        <v>1</v>
      </c>
      <c r="Z86" s="25">
        <v>1</v>
      </c>
      <c r="AA86" s="25">
        <v>1</v>
      </c>
      <c r="AH86" s="5"/>
      <c r="AI86" s="5"/>
      <c r="AO86" s="5"/>
    </row>
    <row r="87" spans="10:41">
      <c r="J87" s="9">
        <v>83</v>
      </c>
      <c r="K87" s="16" t="s">
        <v>18</v>
      </c>
      <c r="L87" s="16" t="s">
        <v>136</v>
      </c>
      <c r="M87" s="16" t="s">
        <v>19</v>
      </c>
      <c r="N87" s="16" t="s">
        <v>21</v>
      </c>
      <c r="O87" s="16" t="s">
        <v>21</v>
      </c>
      <c r="Q87" s="9">
        <v>4</v>
      </c>
      <c r="R87" s="9">
        <v>6</v>
      </c>
      <c r="S87" s="9">
        <v>5</v>
      </c>
      <c r="T87" s="9">
        <v>2</v>
      </c>
      <c r="U87" s="9">
        <v>2</v>
      </c>
      <c r="W87" s="25">
        <v>1</v>
      </c>
      <c r="X87" s="25">
        <v>1</v>
      </c>
      <c r="Y87" s="25">
        <v>1</v>
      </c>
      <c r="Z87" s="25">
        <v>1</v>
      </c>
      <c r="AA87" s="25">
        <v>1</v>
      </c>
      <c r="AH87" s="5"/>
      <c r="AI87" s="5"/>
      <c r="AO87" s="5"/>
    </row>
    <row r="88" spans="10:41">
      <c r="J88" s="25">
        <v>84</v>
      </c>
      <c r="K88" s="16" t="s">
        <v>19</v>
      </c>
      <c r="L88" s="16" t="s">
        <v>136</v>
      </c>
      <c r="M88" s="16" t="s">
        <v>37</v>
      </c>
      <c r="N88" s="16" t="s">
        <v>18</v>
      </c>
      <c r="O88" s="16" t="s">
        <v>18</v>
      </c>
      <c r="Q88" s="9">
        <v>5</v>
      </c>
      <c r="R88" s="9">
        <v>6</v>
      </c>
      <c r="S88" s="9">
        <v>7</v>
      </c>
      <c r="T88" s="9">
        <v>4</v>
      </c>
      <c r="U88" s="9">
        <v>4</v>
      </c>
      <c r="W88" s="25">
        <v>1</v>
      </c>
      <c r="X88" s="25">
        <v>1</v>
      </c>
      <c r="Y88" s="25">
        <v>1</v>
      </c>
      <c r="Z88" s="25">
        <v>1</v>
      </c>
      <c r="AA88" s="25">
        <v>1</v>
      </c>
      <c r="AH88" s="5"/>
      <c r="AI88" s="5"/>
      <c r="AO88" s="5"/>
    </row>
    <row r="89" spans="10:41">
      <c r="J89" s="9">
        <v>85</v>
      </c>
      <c r="K89" s="16" t="s">
        <v>19</v>
      </c>
      <c r="L89" s="16" t="s">
        <v>18</v>
      </c>
      <c r="M89" s="16" t="s">
        <v>19</v>
      </c>
      <c r="N89" s="16" t="s">
        <v>36</v>
      </c>
      <c r="O89" s="16" t="s">
        <v>18</v>
      </c>
      <c r="Q89" s="9">
        <v>5</v>
      </c>
      <c r="R89" s="9">
        <v>4</v>
      </c>
      <c r="S89" s="9">
        <v>5</v>
      </c>
      <c r="T89" s="9">
        <v>10</v>
      </c>
      <c r="U89" s="9">
        <v>4</v>
      </c>
      <c r="W89" s="25">
        <v>1</v>
      </c>
      <c r="X89" s="25">
        <v>1</v>
      </c>
      <c r="Y89" s="25">
        <v>1</v>
      </c>
      <c r="Z89" s="25">
        <v>1</v>
      </c>
      <c r="AA89" s="25">
        <v>1</v>
      </c>
      <c r="AH89" s="5"/>
      <c r="AI89" s="5"/>
      <c r="AO89" s="5"/>
    </row>
    <row r="90" spans="10:41">
      <c r="J90" s="25">
        <v>86</v>
      </c>
      <c r="K90" s="16" t="s">
        <v>35</v>
      </c>
      <c r="L90" s="16" t="s">
        <v>92</v>
      </c>
      <c r="M90" s="16" t="s">
        <v>37</v>
      </c>
      <c r="N90" s="16" t="s">
        <v>34</v>
      </c>
      <c r="O90" s="16" t="s">
        <v>22</v>
      </c>
      <c r="Q90" s="9">
        <v>8</v>
      </c>
      <c r="R90" s="9">
        <v>16</v>
      </c>
      <c r="S90" s="9">
        <v>7</v>
      </c>
      <c r="T90" s="9">
        <v>9</v>
      </c>
      <c r="U90" s="9">
        <v>3</v>
      </c>
      <c r="W90" s="25">
        <v>1</v>
      </c>
      <c r="X90" s="25">
        <v>1</v>
      </c>
      <c r="Y90" s="25">
        <v>1</v>
      </c>
      <c r="Z90" s="25">
        <v>1</v>
      </c>
      <c r="AA90" s="25">
        <v>1</v>
      </c>
      <c r="AH90" s="5"/>
      <c r="AI90" s="5"/>
      <c r="AO90" s="5"/>
    </row>
    <row r="91" spans="10:41">
      <c r="J91" s="9">
        <v>87</v>
      </c>
      <c r="K91" s="16" t="s">
        <v>37</v>
      </c>
      <c r="L91" s="16" t="s">
        <v>37</v>
      </c>
      <c r="M91" s="16" t="s">
        <v>19</v>
      </c>
      <c r="N91" s="16" t="s">
        <v>119</v>
      </c>
      <c r="O91" s="16" t="s">
        <v>37</v>
      </c>
      <c r="Q91" s="9">
        <v>7</v>
      </c>
      <c r="R91" s="9">
        <v>7</v>
      </c>
      <c r="S91" s="9">
        <v>5</v>
      </c>
      <c r="T91" s="9">
        <v>17</v>
      </c>
      <c r="U91" s="9">
        <v>7</v>
      </c>
      <c r="W91" s="25">
        <v>1</v>
      </c>
      <c r="X91" s="25">
        <v>1</v>
      </c>
      <c r="Y91" s="25">
        <v>1</v>
      </c>
      <c r="Z91" s="25">
        <v>1</v>
      </c>
      <c r="AA91" s="25">
        <v>1</v>
      </c>
      <c r="AH91" s="5"/>
      <c r="AI91" s="5"/>
      <c r="AO91" s="5"/>
    </row>
    <row r="92" spans="10:41">
      <c r="J92" s="25">
        <v>88</v>
      </c>
      <c r="K92" s="16" t="s">
        <v>19</v>
      </c>
      <c r="L92" s="16" t="s">
        <v>35</v>
      </c>
      <c r="M92" s="16" t="s">
        <v>19</v>
      </c>
      <c r="N92" s="16" t="s">
        <v>21</v>
      </c>
      <c r="O92" s="16" t="s">
        <v>22</v>
      </c>
      <c r="Q92" s="9">
        <v>5</v>
      </c>
      <c r="R92" s="9">
        <v>8</v>
      </c>
      <c r="S92" s="9">
        <v>5</v>
      </c>
      <c r="T92" s="9">
        <v>2</v>
      </c>
      <c r="U92" s="9">
        <v>3</v>
      </c>
      <c r="W92" s="25">
        <v>1</v>
      </c>
      <c r="X92" s="25">
        <v>1</v>
      </c>
      <c r="Y92" s="25">
        <v>1</v>
      </c>
      <c r="Z92" s="25">
        <v>1</v>
      </c>
      <c r="AA92" s="25">
        <v>1</v>
      </c>
      <c r="AH92" s="5"/>
      <c r="AI92" s="5"/>
      <c r="AO92" s="5"/>
    </row>
    <row r="93" spans="10:41">
      <c r="J93" s="9">
        <v>89</v>
      </c>
      <c r="K93" s="16" t="s">
        <v>34</v>
      </c>
      <c r="L93" s="16" t="s">
        <v>91</v>
      </c>
      <c r="M93" s="16" t="s">
        <v>19</v>
      </c>
      <c r="N93" s="16" t="s">
        <v>21</v>
      </c>
      <c r="O93" s="16" t="s">
        <v>21</v>
      </c>
      <c r="Q93" s="9">
        <v>9</v>
      </c>
      <c r="R93" s="9">
        <v>14</v>
      </c>
      <c r="S93" s="9">
        <v>5</v>
      </c>
      <c r="T93" s="9">
        <v>2</v>
      </c>
      <c r="U93" s="9">
        <v>2</v>
      </c>
      <c r="W93" s="25">
        <v>1</v>
      </c>
      <c r="X93" s="25">
        <v>1</v>
      </c>
      <c r="Y93" s="25">
        <v>1</v>
      </c>
      <c r="Z93" s="25">
        <v>1</v>
      </c>
      <c r="AA93" s="25">
        <v>1</v>
      </c>
      <c r="AH93" s="5"/>
      <c r="AI93" s="5"/>
      <c r="AO93" s="5"/>
    </row>
    <row r="94" spans="10:41">
      <c r="J94" s="25">
        <v>90</v>
      </c>
      <c r="K94" s="16" t="s">
        <v>37</v>
      </c>
      <c r="L94" s="16" t="s">
        <v>136</v>
      </c>
      <c r="M94" s="16" t="s">
        <v>136</v>
      </c>
      <c r="N94" s="16" t="s">
        <v>37</v>
      </c>
      <c r="O94" s="16" t="s">
        <v>21</v>
      </c>
      <c r="Q94" s="9">
        <v>7</v>
      </c>
      <c r="R94" s="9">
        <v>6</v>
      </c>
      <c r="S94" s="9">
        <v>6</v>
      </c>
      <c r="T94" s="9">
        <v>7</v>
      </c>
      <c r="U94" s="9">
        <v>2</v>
      </c>
      <c r="W94" s="25">
        <v>1</v>
      </c>
      <c r="X94" s="25">
        <v>1</v>
      </c>
      <c r="Y94" s="25">
        <v>1</v>
      </c>
      <c r="Z94" s="25">
        <v>1</v>
      </c>
      <c r="AA94" s="25">
        <v>1</v>
      </c>
      <c r="AH94" s="5"/>
      <c r="AI94" s="5"/>
      <c r="AO94" s="5"/>
    </row>
    <row r="95" spans="10:41">
      <c r="J95" s="9">
        <v>91</v>
      </c>
      <c r="K95" s="16" t="s">
        <v>35</v>
      </c>
      <c r="L95" s="16" t="s">
        <v>91</v>
      </c>
      <c r="M95" s="16" t="s">
        <v>37</v>
      </c>
      <c r="N95" s="16" t="s">
        <v>19</v>
      </c>
      <c r="O95" s="16" t="s">
        <v>36</v>
      </c>
      <c r="Q95" s="9">
        <v>8</v>
      </c>
      <c r="R95" s="9">
        <v>14</v>
      </c>
      <c r="S95" s="9">
        <v>7</v>
      </c>
      <c r="T95" s="9">
        <v>5</v>
      </c>
      <c r="U95" s="9">
        <v>10</v>
      </c>
      <c r="W95" s="25">
        <v>1</v>
      </c>
      <c r="X95" s="25">
        <v>1</v>
      </c>
      <c r="Y95" s="25">
        <v>1</v>
      </c>
      <c r="Z95" s="25">
        <v>1</v>
      </c>
      <c r="AA95" s="25">
        <v>1</v>
      </c>
      <c r="AH95" s="5"/>
      <c r="AI95" s="5"/>
      <c r="AO95" s="5"/>
    </row>
    <row r="96" spans="10:41">
      <c r="J96" s="25">
        <v>92</v>
      </c>
      <c r="K96" s="16" t="s">
        <v>19</v>
      </c>
      <c r="L96" s="16" t="s">
        <v>95</v>
      </c>
      <c r="M96" s="16" t="s">
        <v>35</v>
      </c>
      <c r="N96" s="16" t="s">
        <v>34</v>
      </c>
      <c r="O96" s="16" t="s">
        <v>35</v>
      </c>
      <c r="Q96" s="9">
        <v>5</v>
      </c>
      <c r="R96" s="9">
        <v>18</v>
      </c>
      <c r="S96" s="9">
        <v>8</v>
      </c>
      <c r="T96" s="9">
        <v>9</v>
      </c>
      <c r="U96" s="9">
        <v>8</v>
      </c>
      <c r="W96" s="25">
        <v>1</v>
      </c>
      <c r="X96" s="25">
        <v>1</v>
      </c>
      <c r="Y96" s="25">
        <v>1</v>
      </c>
      <c r="Z96" s="25">
        <v>1</v>
      </c>
      <c r="AA96" s="25">
        <v>1</v>
      </c>
      <c r="AH96" s="5"/>
      <c r="AI96" s="5"/>
      <c r="AO96" s="5"/>
    </row>
    <row r="97" spans="10:41">
      <c r="J97" s="9">
        <v>93</v>
      </c>
      <c r="K97" s="16" t="s">
        <v>37</v>
      </c>
      <c r="L97" s="16" t="s">
        <v>91</v>
      </c>
      <c r="M97" s="16" t="s">
        <v>37</v>
      </c>
      <c r="N97" s="16" t="s">
        <v>22</v>
      </c>
      <c r="O97" s="16" t="s">
        <v>22</v>
      </c>
      <c r="Q97" s="9">
        <v>7</v>
      </c>
      <c r="R97" s="9">
        <v>14</v>
      </c>
      <c r="S97" s="9">
        <v>7</v>
      </c>
      <c r="T97" s="9">
        <v>3</v>
      </c>
      <c r="U97" s="9">
        <v>3</v>
      </c>
      <c r="W97" s="25">
        <v>1</v>
      </c>
      <c r="X97" s="25">
        <v>1</v>
      </c>
      <c r="Y97" s="25">
        <v>1</v>
      </c>
      <c r="Z97" s="25">
        <v>1</v>
      </c>
      <c r="AA97" s="25">
        <v>1</v>
      </c>
      <c r="AH97" s="5"/>
      <c r="AI97" s="5"/>
      <c r="AO97" s="5"/>
    </row>
    <row r="98" spans="10:41">
      <c r="J98" s="25">
        <v>94</v>
      </c>
      <c r="K98" s="16" t="s">
        <v>35</v>
      </c>
      <c r="L98" s="16" t="s">
        <v>35</v>
      </c>
      <c r="M98" s="16" t="s">
        <v>37</v>
      </c>
      <c r="N98" s="16" t="s">
        <v>37</v>
      </c>
      <c r="O98" s="16" t="s">
        <v>18</v>
      </c>
      <c r="Q98" s="9">
        <v>8</v>
      </c>
      <c r="R98" s="9">
        <v>8</v>
      </c>
      <c r="S98" s="9">
        <v>7</v>
      </c>
      <c r="T98" s="9">
        <v>7</v>
      </c>
      <c r="U98" s="9">
        <v>4</v>
      </c>
      <c r="W98" s="25">
        <v>1</v>
      </c>
      <c r="X98" s="25">
        <v>1</v>
      </c>
      <c r="Y98" s="25">
        <v>1</v>
      </c>
      <c r="Z98" s="25">
        <v>1</v>
      </c>
      <c r="AA98" s="25">
        <v>1</v>
      </c>
      <c r="AH98" s="5"/>
      <c r="AI98" s="5"/>
      <c r="AO98" s="5"/>
    </row>
    <row r="99" spans="10:41">
      <c r="J99" s="9">
        <v>95</v>
      </c>
      <c r="K99" s="16" t="s">
        <v>19</v>
      </c>
      <c r="L99" s="16" t="s">
        <v>22</v>
      </c>
      <c r="M99" s="16" t="s">
        <v>136</v>
      </c>
      <c r="N99" s="16" t="s">
        <v>22</v>
      </c>
      <c r="O99" s="16" t="s">
        <v>136</v>
      </c>
      <c r="Q99" s="9">
        <v>5</v>
      </c>
      <c r="R99" s="9">
        <v>3</v>
      </c>
      <c r="S99" s="9">
        <v>6</v>
      </c>
      <c r="T99" s="9">
        <v>3</v>
      </c>
      <c r="U99" s="9">
        <v>6</v>
      </c>
      <c r="W99" s="25">
        <v>1</v>
      </c>
      <c r="X99" s="25">
        <v>1</v>
      </c>
      <c r="Y99" s="25">
        <v>1</v>
      </c>
      <c r="Z99" s="25">
        <v>1</v>
      </c>
      <c r="AA99" s="25">
        <v>1</v>
      </c>
      <c r="AH99" s="5"/>
      <c r="AI99" s="5"/>
      <c r="AO99" s="5"/>
    </row>
    <row r="100" spans="10:41">
      <c r="J100" s="25">
        <v>96</v>
      </c>
      <c r="K100" s="16" t="s">
        <v>34</v>
      </c>
      <c r="L100" s="16" t="s">
        <v>136</v>
      </c>
      <c r="M100" s="16" t="s">
        <v>119</v>
      </c>
      <c r="N100" s="16" t="s">
        <v>22</v>
      </c>
      <c r="O100" s="16" t="s">
        <v>34</v>
      </c>
      <c r="Q100" s="9">
        <v>9</v>
      </c>
      <c r="R100" s="9">
        <v>6</v>
      </c>
      <c r="S100" s="9">
        <v>17</v>
      </c>
      <c r="T100" s="9">
        <v>3</v>
      </c>
      <c r="U100" s="9">
        <v>9</v>
      </c>
      <c r="W100" s="25">
        <v>1</v>
      </c>
      <c r="X100" s="25">
        <v>1</v>
      </c>
      <c r="Y100" s="25">
        <v>1</v>
      </c>
      <c r="Z100" s="25">
        <v>1</v>
      </c>
      <c r="AA100" s="25">
        <v>1</v>
      </c>
      <c r="AH100" s="5"/>
      <c r="AI100" s="5"/>
      <c r="AO100" s="5"/>
    </row>
    <row r="101" spans="10:41">
      <c r="J101" s="9">
        <v>97</v>
      </c>
      <c r="K101" s="16" t="s">
        <v>19</v>
      </c>
      <c r="L101" s="16" t="s">
        <v>137</v>
      </c>
      <c r="M101" s="16" t="s">
        <v>19</v>
      </c>
      <c r="N101" s="16" t="s">
        <v>18</v>
      </c>
      <c r="O101" s="16" t="s">
        <v>21</v>
      </c>
      <c r="Q101" s="9">
        <v>5</v>
      </c>
      <c r="R101" s="9">
        <v>15</v>
      </c>
      <c r="S101" s="9">
        <v>5</v>
      </c>
      <c r="T101" s="9">
        <v>4</v>
      </c>
      <c r="U101" s="9">
        <v>2</v>
      </c>
      <c r="W101" s="25">
        <v>1</v>
      </c>
      <c r="X101" s="25">
        <v>1</v>
      </c>
      <c r="Y101" s="25">
        <v>1</v>
      </c>
      <c r="Z101" s="25">
        <v>1</v>
      </c>
      <c r="AA101" s="25">
        <v>1</v>
      </c>
      <c r="AH101" s="5"/>
      <c r="AI101" s="5"/>
      <c r="AO101" s="5"/>
    </row>
    <row r="102" spans="10:41">
      <c r="J102" s="25">
        <v>98</v>
      </c>
      <c r="K102" s="16" t="s">
        <v>19</v>
      </c>
      <c r="L102" s="16" t="s">
        <v>18</v>
      </c>
      <c r="M102" s="16" t="s">
        <v>36</v>
      </c>
      <c r="N102" s="16" t="s">
        <v>36</v>
      </c>
      <c r="O102" s="16" t="s">
        <v>21</v>
      </c>
      <c r="Q102" s="9">
        <v>5</v>
      </c>
      <c r="R102" s="9">
        <v>4</v>
      </c>
      <c r="S102" s="9">
        <v>10</v>
      </c>
      <c r="T102" s="9">
        <v>10</v>
      </c>
      <c r="U102" s="9">
        <v>2</v>
      </c>
      <c r="W102" s="25">
        <v>1</v>
      </c>
      <c r="X102" s="25">
        <v>1</v>
      </c>
      <c r="Y102" s="25">
        <v>1</v>
      </c>
      <c r="Z102" s="25">
        <v>1</v>
      </c>
      <c r="AA102" s="25">
        <v>1</v>
      </c>
      <c r="AH102" s="5"/>
      <c r="AI102" s="5"/>
      <c r="AO102" s="5"/>
    </row>
    <row r="103" spans="10:41">
      <c r="J103" s="9">
        <v>99</v>
      </c>
      <c r="K103" s="16" t="s">
        <v>19</v>
      </c>
      <c r="L103" s="16" t="s">
        <v>18</v>
      </c>
      <c r="M103" s="16" t="s">
        <v>35</v>
      </c>
      <c r="N103" s="16" t="s">
        <v>36</v>
      </c>
      <c r="O103" s="16" t="s">
        <v>18</v>
      </c>
      <c r="Q103" s="9">
        <v>5</v>
      </c>
      <c r="R103" s="9">
        <v>4</v>
      </c>
      <c r="S103" s="9">
        <v>8</v>
      </c>
      <c r="T103" s="9">
        <v>10</v>
      </c>
      <c r="U103" s="9">
        <v>4</v>
      </c>
      <c r="W103" s="25">
        <v>1</v>
      </c>
      <c r="X103" s="25">
        <v>1</v>
      </c>
      <c r="Y103" s="25">
        <v>1</v>
      </c>
      <c r="Z103" s="25">
        <v>1</v>
      </c>
      <c r="AA103" s="25">
        <v>1</v>
      </c>
      <c r="AH103" s="5"/>
      <c r="AI103" s="5"/>
      <c r="AO103" s="5"/>
    </row>
    <row r="104" spans="10:41">
      <c r="J104" s="25">
        <v>100</v>
      </c>
      <c r="K104" s="16" t="s">
        <v>136</v>
      </c>
      <c r="L104" s="16" t="s">
        <v>19</v>
      </c>
      <c r="M104" s="16" t="s">
        <v>137</v>
      </c>
      <c r="N104" s="16" t="s">
        <v>37</v>
      </c>
      <c r="O104" s="16" t="s">
        <v>18</v>
      </c>
      <c r="Q104" s="9">
        <v>6</v>
      </c>
      <c r="R104" s="9">
        <v>5</v>
      </c>
      <c r="S104" s="9">
        <v>15</v>
      </c>
      <c r="T104" s="9">
        <v>7</v>
      </c>
      <c r="U104" s="9">
        <v>4</v>
      </c>
      <c r="W104" s="25">
        <v>1</v>
      </c>
      <c r="X104" s="25">
        <v>1</v>
      </c>
      <c r="Y104" s="25">
        <v>1</v>
      </c>
      <c r="Z104" s="25">
        <v>1</v>
      </c>
      <c r="AA104" s="25">
        <v>1</v>
      </c>
      <c r="AH104" s="5"/>
      <c r="AI104" s="5"/>
      <c r="AO104" s="5"/>
    </row>
    <row r="105" spans="10:41">
      <c r="J105" s="25">
        <v>101</v>
      </c>
      <c r="K105" s="16" t="s">
        <v>35</v>
      </c>
      <c r="L105" s="16" t="s">
        <v>34</v>
      </c>
      <c r="M105" s="16" t="s">
        <v>19</v>
      </c>
      <c r="N105" s="16" t="s">
        <v>37</v>
      </c>
      <c r="O105" s="16" t="s">
        <v>22</v>
      </c>
      <c r="Q105" s="9">
        <v>8</v>
      </c>
      <c r="R105" s="9">
        <v>9</v>
      </c>
      <c r="S105" s="9">
        <v>5</v>
      </c>
      <c r="T105" s="9">
        <v>7</v>
      </c>
      <c r="U105" s="9">
        <v>3</v>
      </c>
      <c r="W105" s="25">
        <v>1</v>
      </c>
      <c r="X105" s="25">
        <v>1</v>
      </c>
      <c r="Y105" s="25">
        <v>1</v>
      </c>
      <c r="Z105" s="25">
        <v>1</v>
      </c>
      <c r="AA105" s="25">
        <v>1</v>
      </c>
      <c r="AH105" s="5"/>
      <c r="AI105" s="5"/>
      <c r="AO105" s="5"/>
    </row>
    <row r="106" spans="10:41">
      <c r="J106" s="9">
        <v>102</v>
      </c>
      <c r="K106" s="16" t="s">
        <v>37</v>
      </c>
      <c r="L106" s="16" t="s">
        <v>137</v>
      </c>
      <c r="M106" s="16" t="s">
        <v>19</v>
      </c>
      <c r="N106" s="16" t="s">
        <v>136</v>
      </c>
      <c r="O106" s="16" t="s">
        <v>34</v>
      </c>
      <c r="Q106" s="9">
        <v>7</v>
      </c>
      <c r="R106" s="9">
        <v>15</v>
      </c>
      <c r="S106" s="9">
        <v>5</v>
      </c>
      <c r="T106" s="9">
        <v>6</v>
      </c>
      <c r="U106" s="9">
        <v>9</v>
      </c>
      <c r="W106" s="25">
        <v>1</v>
      </c>
      <c r="X106" s="25">
        <v>1</v>
      </c>
      <c r="Y106" s="25">
        <v>1</v>
      </c>
      <c r="Z106" s="25">
        <v>1</v>
      </c>
      <c r="AA106" s="25">
        <v>1</v>
      </c>
      <c r="AH106" s="5"/>
      <c r="AI106" s="5"/>
      <c r="AO106" s="5"/>
    </row>
    <row r="107" spans="10:41">
      <c r="J107" s="25">
        <v>103</v>
      </c>
      <c r="K107" s="16" t="s">
        <v>136</v>
      </c>
      <c r="L107" s="16" t="s">
        <v>136</v>
      </c>
      <c r="M107" s="16" t="s">
        <v>36</v>
      </c>
      <c r="N107" s="16" t="s">
        <v>90</v>
      </c>
      <c r="O107" s="16" t="s">
        <v>35</v>
      </c>
      <c r="Q107" s="9">
        <v>6</v>
      </c>
      <c r="R107" s="9">
        <v>6</v>
      </c>
      <c r="S107" s="9">
        <v>10</v>
      </c>
      <c r="T107" s="9">
        <v>13</v>
      </c>
      <c r="U107" s="9">
        <v>8</v>
      </c>
      <c r="W107" s="25">
        <v>1</v>
      </c>
      <c r="X107" s="25">
        <v>1</v>
      </c>
      <c r="Y107" s="25">
        <v>1</v>
      </c>
      <c r="Z107" s="25">
        <v>1</v>
      </c>
      <c r="AA107" s="25">
        <v>1</v>
      </c>
      <c r="AH107" s="5"/>
      <c r="AI107" s="5"/>
      <c r="AO107" s="5"/>
    </row>
    <row r="108" spans="10:41">
      <c r="J108" s="9">
        <v>104</v>
      </c>
      <c r="K108" s="16" t="s">
        <v>37</v>
      </c>
      <c r="L108" s="16" t="s">
        <v>19</v>
      </c>
      <c r="M108" s="16" t="s">
        <v>136</v>
      </c>
      <c r="N108" s="16" t="s">
        <v>18</v>
      </c>
      <c r="O108" s="16" t="s">
        <v>35</v>
      </c>
      <c r="Q108" s="9">
        <v>7</v>
      </c>
      <c r="R108" s="9">
        <v>5</v>
      </c>
      <c r="S108" s="9">
        <v>6</v>
      </c>
      <c r="T108" s="9">
        <v>4</v>
      </c>
      <c r="U108" s="9">
        <v>8</v>
      </c>
      <c r="W108" s="25">
        <v>1</v>
      </c>
      <c r="X108" s="25">
        <v>1</v>
      </c>
      <c r="Y108" s="25">
        <v>1</v>
      </c>
      <c r="Z108" s="25">
        <v>1</v>
      </c>
      <c r="AA108" s="25">
        <v>1</v>
      </c>
      <c r="AH108" s="5"/>
      <c r="AI108" s="5"/>
      <c r="AO108" s="5"/>
    </row>
    <row r="109" spans="10:41">
      <c r="J109" s="25">
        <v>105</v>
      </c>
      <c r="K109" s="16" t="s">
        <v>136</v>
      </c>
      <c r="L109" s="16" t="s">
        <v>18</v>
      </c>
      <c r="M109" s="16" t="s">
        <v>18</v>
      </c>
      <c r="N109" s="16" t="s">
        <v>136</v>
      </c>
      <c r="O109" s="16" t="s">
        <v>19</v>
      </c>
      <c r="Q109" s="9">
        <v>6</v>
      </c>
      <c r="R109" s="9">
        <v>4</v>
      </c>
      <c r="S109" s="9">
        <v>4</v>
      </c>
      <c r="T109" s="9">
        <v>6</v>
      </c>
      <c r="U109" s="9">
        <v>5</v>
      </c>
      <c r="W109" s="25">
        <v>1</v>
      </c>
      <c r="X109" s="25">
        <v>1</v>
      </c>
      <c r="Y109" s="25">
        <v>1</v>
      </c>
      <c r="Z109" s="25">
        <v>1</v>
      </c>
      <c r="AA109" s="25">
        <v>1</v>
      </c>
      <c r="AH109" s="5"/>
      <c r="AI109" s="5"/>
      <c r="AO109" s="5"/>
    </row>
    <row r="110" spans="10:41">
      <c r="J110" s="9">
        <v>106</v>
      </c>
      <c r="K110" s="16" t="s">
        <v>19</v>
      </c>
      <c r="L110" s="16" t="s">
        <v>90</v>
      </c>
      <c r="M110" s="16" t="s">
        <v>136</v>
      </c>
      <c r="N110" s="16" t="s">
        <v>136</v>
      </c>
      <c r="O110" s="16" t="s">
        <v>19</v>
      </c>
      <c r="Q110" s="9">
        <v>5</v>
      </c>
      <c r="R110" s="9">
        <v>13</v>
      </c>
      <c r="S110" s="9">
        <v>6</v>
      </c>
      <c r="T110" s="9">
        <v>6</v>
      </c>
      <c r="U110" s="9">
        <v>5</v>
      </c>
      <c r="W110" s="25">
        <v>1</v>
      </c>
      <c r="X110" s="25">
        <v>1</v>
      </c>
      <c r="Y110" s="25">
        <v>1</v>
      </c>
      <c r="Z110" s="25">
        <v>1</v>
      </c>
      <c r="AA110" s="25">
        <v>1</v>
      </c>
      <c r="AH110" s="5"/>
      <c r="AI110" s="5"/>
      <c r="AO110" s="5"/>
    </row>
    <row r="111" spans="10:41">
      <c r="J111" s="25">
        <v>107</v>
      </c>
      <c r="K111" s="16" t="s">
        <v>37</v>
      </c>
      <c r="L111" s="16" t="s">
        <v>35</v>
      </c>
      <c r="M111" s="16" t="s">
        <v>35</v>
      </c>
      <c r="N111" s="16" t="s">
        <v>22</v>
      </c>
      <c r="O111" s="16" t="s">
        <v>136</v>
      </c>
      <c r="Q111" s="9">
        <v>7</v>
      </c>
      <c r="R111" s="9">
        <v>8</v>
      </c>
      <c r="S111" s="9">
        <v>8</v>
      </c>
      <c r="T111" s="9">
        <v>3</v>
      </c>
      <c r="U111" s="9">
        <v>6</v>
      </c>
      <c r="W111" s="25">
        <v>1</v>
      </c>
      <c r="X111" s="25">
        <v>1</v>
      </c>
      <c r="Y111" s="25">
        <v>1</v>
      </c>
      <c r="Z111" s="25">
        <v>1</v>
      </c>
      <c r="AA111" s="25">
        <v>1</v>
      </c>
      <c r="AH111" s="5"/>
      <c r="AI111" s="5"/>
      <c r="AO111" s="5"/>
    </row>
    <row r="112" spans="10:41">
      <c r="J112" s="9">
        <v>108</v>
      </c>
      <c r="K112" s="16" t="s">
        <v>136</v>
      </c>
      <c r="L112" s="16" t="s">
        <v>37</v>
      </c>
      <c r="M112" s="16" t="s">
        <v>35</v>
      </c>
      <c r="N112" s="16" t="s">
        <v>18</v>
      </c>
      <c r="O112" s="16" t="s">
        <v>136</v>
      </c>
      <c r="Q112" s="9">
        <v>6</v>
      </c>
      <c r="R112" s="9">
        <v>7</v>
      </c>
      <c r="S112" s="9">
        <v>8</v>
      </c>
      <c r="T112" s="9">
        <v>4</v>
      </c>
      <c r="U112" s="9">
        <v>6</v>
      </c>
      <c r="W112" s="25">
        <v>1</v>
      </c>
      <c r="X112" s="25">
        <v>1</v>
      </c>
      <c r="Y112" s="25">
        <v>1</v>
      </c>
      <c r="Z112" s="25">
        <v>1</v>
      </c>
      <c r="AA112" s="25">
        <v>1</v>
      </c>
      <c r="AH112" s="5"/>
      <c r="AI112" s="5"/>
      <c r="AO112" s="5"/>
    </row>
    <row r="113" spans="10:41">
      <c r="J113" s="25">
        <v>109</v>
      </c>
      <c r="K113" s="16" t="s">
        <v>136</v>
      </c>
      <c r="L113" s="16" t="s">
        <v>136</v>
      </c>
      <c r="M113" s="16" t="s">
        <v>37</v>
      </c>
      <c r="N113" s="16" t="s">
        <v>20</v>
      </c>
      <c r="O113" s="16" t="s">
        <v>18</v>
      </c>
      <c r="Q113" s="9">
        <v>6</v>
      </c>
      <c r="R113" s="9">
        <v>6</v>
      </c>
      <c r="S113" s="9">
        <v>7</v>
      </c>
      <c r="T113" s="9">
        <v>1</v>
      </c>
      <c r="U113" s="9">
        <v>4</v>
      </c>
      <c r="W113" s="25">
        <v>1</v>
      </c>
      <c r="X113" s="25">
        <v>1</v>
      </c>
      <c r="Y113" s="25">
        <v>1</v>
      </c>
      <c r="Z113" s="25">
        <v>1</v>
      </c>
      <c r="AA113" s="25">
        <v>1</v>
      </c>
      <c r="AH113" s="5"/>
      <c r="AI113" s="5"/>
      <c r="AO113" s="5"/>
    </row>
    <row r="114" spans="10:41">
      <c r="J114" s="9">
        <v>110</v>
      </c>
      <c r="K114" s="16" t="s">
        <v>37</v>
      </c>
      <c r="L114" s="16" t="s">
        <v>22</v>
      </c>
      <c r="M114" s="16" t="s">
        <v>136</v>
      </c>
      <c r="N114" s="16" t="s">
        <v>19</v>
      </c>
      <c r="O114" s="16" t="s">
        <v>35</v>
      </c>
      <c r="Q114" s="9">
        <v>7</v>
      </c>
      <c r="R114" s="9">
        <v>3</v>
      </c>
      <c r="S114" s="9">
        <v>6</v>
      </c>
      <c r="T114" s="9">
        <v>5</v>
      </c>
      <c r="U114" s="9">
        <v>8</v>
      </c>
      <c r="W114" s="25">
        <v>1</v>
      </c>
      <c r="X114" s="25">
        <v>1</v>
      </c>
      <c r="Y114" s="25">
        <v>1</v>
      </c>
      <c r="Z114" s="25">
        <v>1</v>
      </c>
      <c r="AA114" s="25">
        <v>1</v>
      </c>
      <c r="AH114" s="5"/>
      <c r="AI114" s="5"/>
      <c r="AO114" s="5"/>
    </row>
    <row r="115" spans="10:41">
      <c r="J115" s="25">
        <v>111</v>
      </c>
      <c r="K115" s="16" t="s">
        <v>19</v>
      </c>
      <c r="L115" s="16" t="s">
        <v>92</v>
      </c>
      <c r="M115" s="16" t="s">
        <v>37</v>
      </c>
      <c r="N115" s="16" t="s">
        <v>35</v>
      </c>
      <c r="O115" s="16" t="s">
        <v>35</v>
      </c>
      <c r="Q115" s="9">
        <v>5</v>
      </c>
      <c r="R115" s="9">
        <v>16</v>
      </c>
      <c r="S115" s="9">
        <v>7</v>
      </c>
      <c r="T115" s="9">
        <v>8</v>
      </c>
      <c r="U115" s="9">
        <v>8</v>
      </c>
      <c r="W115" s="25">
        <v>1</v>
      </c>
      <c r="X115" s="25">
        <v>1</v>
      </c>
      <c r="Y115" s="25">
        <v>1</v>
      </c>
      <c r="Z115" s="25">
        <v>1</v>
      </c>
      <c r="AA115" s="25">
        <v>1</v>
      </c>
      <c r="AH115" s="5"/>
      <c r="AI115" s="5"/>
      <c r="AO115" s="5"/>
    </row>
    <row r="116" spans="10:41">
      <c r="J116" s="9">
        <v>112</v>
      </c>
      <c r="K116" s="16" t="s">
        <v>19</v>
      </c>
      <c r="L116" s="16" t="s">
        <v>119</v>
      </c>
      <c r="M116" s="16" t="s">
        <v>136</v>
      </c>
      <c r="N116" s="16" t="s">
        <v>18</v>
      </c>
      <c r="O116" s="16" t="s">
        <v>136</v>
      </c>
      <c r="Q116" s="9">
        <v>5</v>
      </c>
      <c r="R116" s="9">
        <v>17</v>
      </c>
      <c r="S116" s="9">
        <v>6</v>
      </c>
      <c r="T116" s="9">
        <v>4</v>
      </c>
      <c r="U116" s="9">
        <v>6</v>
      </c>
      <c r="W116" s="25">
        <v>1</v>
      </c>
      <c r="X116" s="25">
        <v>1</v>
      </c>
      <c r="Y116" s="25">
        <v>1</v>
      </c>
      <c r="Z116" s="25">
        <v>1</v>
      </c>
      <c r="AA116" s="25">
        <v>1</v>
      </c>
      <c r="AH116" s="5"/>
      <c r="AI116" s="5"/>
      <c r="AO116" s="5"/>
    </row>
    <row r="117" spans="10:41">
      <c r="J117" s="25">
        <v>113</v>
      </c>
      <c r="K117" s="16" t="s">
        <v>18</v>
      </c>
      <c r="L117" s="16" t="s">
        <v>119</v>
      </c>
      <c r="M117" s="16" t="s">
        <v>35</v>
      </c>
      <c r="N117" s="16" t="s">
        <v>34</v>
      </c>
      <c r="O117" s="16" t="s">
        <v>21</v>
      </c>
      <c r="Q117" s="9">
        <v>4</v>
      </c>
      <c r="R117" s="9">
        <v>17</v>
      </c>
      <c r="S117" s="9">
        <v>8</v>
      </c>
      <c r="T117" s="9">
        <v>9</v>
      </c>
      <c r="U117" s="9">
        <v>2</v>
      </c>
      <c r="W117" s="25">
        <v>1</v>
      </c>
      <c r="X117" s="25">
        <v>1</v>
      </c>
      <c r="Y117" s="25">
        <v>1</v>
      </c>
      <c r="Z117" s="25">
        <v>1</v>
      </c>
      <c r="AA117" s="25">
        <v>1</v>
      </c>
      <c r="AH117" s="5"/>
      <c r="AI117" s="5"/>
      <c r="AO117" s="5"/>
    </row>
    <row r="118" spans="10:41">
      <c r="J118" s="9">
        <v>114</v>
      </c>
      <c r="K118" s="16" t="s">
        <v>21</v>
      </c>
      <c r="L118" s="16" t="s">
        <v>35</v>
      </c>
      <c r="M118" s="16" t="s">
        <v>19</v>
      </c>
      <c r="N118" s="16" t="s">
        <v>88</v>
      </c>
      <c r="O118" s="16" t="s">
        <v>136</v>
      </c>
      <c r="Q118" s="9">
        <v>2</v>
      </c>
      <c r="R118" s="9">
        <v>8</v>
      </c>
      <c r="S118" s="9">
        <v>5</v>
      </c>
      <c r="T118" s="9">
        <v>11</v>
      </c>
      <c r="U118" s="9">
        <v>6</v>
      </c>
      <c r="W118" s="25">
        <v>1</v>
      </c>
      <c r="X118" s="25">
        <v>1</v>
      </c>
      <c r="Y118" s="25">
        <v>1</v>
      </c>
      <c r="Z118" s="25">
        <v>1</v>
      </c>
      <c r="AA118" s="25">
        <v>1</v>
      </c>
      <c r="AH118" s="5"/>
      <c r="AI118" s="5"/>
      <c r="AO118" s="5"/>
    </row>
    <row r="119" spans="10:41">
      <c r="J119" s="25">
        <v>115</v>
      </c>
      <c r="K119" s="16" t="s">
        <v>37</v>
      </c>
      <c r="L119" s="16" t="s">
        <v>19</v>
      </c>
      <c r="M119" s="16" t="s">
        <v>37</v>
      </c>
      <c r="N119" s="16" t="s">
        <v>34</v>
      </c>
      <c r="O119" s="16" t="s">
        <v>136</v>
      </c>
      <c r="Q119" s="9">
        <v>7</v>
      </c>
      <c r="R119" s="9">
        <v>5</v>
      </c>
      <c r="S119" s="9">
        <v>7</v>
      </c>
      <c r="T119" s="9">
        <v>9</v>
      </c>
      <c r="U119" s="9">
        <v>6</v>
      </c>
      <c r="W119" s="25">
        <v>1</v>
      </c>
      <c r="X119" s="25">
        <v>1</v>
      </c>
      <c r="Y119" s="25">
        <v>1</v>
      </c>
      <c r="Z119" s="25">
        <v>1</v>
      </c>
      <c r="AA119" s="25">
        <v>1</v>
      </c>
      <c r="AH119" s="5"/>
      <c r="AI119" s="5"/>
      <c r="AO119" s="5"/>
    </row>
    <row r="120" spans="10:41">
      <c r="J120" s="9">
        <v>116</v>
      </c>
      <c r="K120" s="16" t="s">
        <v>19</v>
      </c>
      <c r="L120" s="16" t="s">
        <v>95</v>
      </c>
      <c r="M120" s="16" t="s">
        <v>19</v>
      </c>
      <c r="N120" s="16" t="s">
        <v>35</v>
      </c>
      <c r="O120" s="16" t="s">
        <v>19</v>
      </c>
      <c r="Q120" s="9">
        <v>5</v>
      </c>
      <c r="R120" s="9">
        <v>18</v>
      </c>
      <c r="S120" s="9">
        <v>5</v>
      </c>
      <c r="T120" s="9">
        <v>8</v>
      </c>
      <c r="U120" s="9">
        <v>5</v>
      </c>
      <c r="W120" s="25">
        <v>1</v>
      </c>
      <c r="X120" s="25">
        <v>1</v>
      </c>
      <c r="Y120" s="25">
        <v>1</v>
      </c>
      <c r="Z120" s="25">
        <v>1</v>
      </c>
      <c r="AA120" s="25">
        <v>1</v>
      </c>
      <c r="AH120" s="5"/>
      <c r="AI120" s="5"/>
      <c r="AO120" s="5"/>
    </row>
    <row r="121" spans="10:41">
      <c r="J121" s="25">
        <v>117</v>
      </c>
      <c r="K121" s="16" t="s">
        <v>37</v>
      </c>
      <c r="L121" s="16" t="s">
        <v>92</v>
      </c>
      <c r="M121" s="16" t="s">
        <v>136</v>
      </c>
      <c r="N121" s="16" t="s">
        <v>19</v>
      </c>
      <c r="O121" s="16" t="s">
        <v>19</v>
      </c>
      <c r="Q121" s="9">
        <v>7</v>
      </c>
      <c r="R121" s="9">
        <v>16</v>
      </c>
      <c r="S121" s="9">
        <v>6</v>
      </c>
      <c r="T121" s="9">
        <v>5</v>
      </c>
      <c r="U121" s="9">
        <v>5</v>
      </c>
      <c r="W121" s="25">
        <v>1</v>
      </c>
      <c r="X121" s="25">
        <v>1</v>
      </c>
      <c r="Y121" s="25">
        <v>1</v>
      </c>
      <c r="Z121" s="25">
        <v>1</v>
      </c>
      <c r="AA121" s="25">
        <v>1</v>
      </c>
      <c r="AH121" s="5"/>
      <c r="AI121" s="5"/>
      <c r="AO121" s="5"/>
    </row>
    <row r="122" spans="10:41">
      <c r="J122" s="9">
        <v>118</v>
      </c>
      <c r="K122" s="16" t="s">
        <v>136</v>
      </c>
      <c r="L122" s="16" t="s">
        <v>92</v>
      </c>
      <c r="M122" s="16" t="s">
        <v>35</v>
      </c>
      <c r="N122" s="16" t="s">
        <v>22</v>
      </c>
      <c r="O122" s="16" t="s">
        <v>36</v>
      </c>
      <c r="Q122" s="9">
        <v>6</v>
      </c>
      <c r="R122" s="9">
        <v>16</v>
      </c>
      <c r="S122" s="9">
        <v>8</v>
      </c>
      <c r="T122" s="9">
        <v>3</v>
      </c>
      <c r="U122" s="9">
        <v>10</v>
      </c>
      <c r="W122" s="25">
        <v>1</v>
      </c>
      <c r="X122" s="25">
        <v>1</v>
      </c>
      <c r="Y122" s="25">
        <v>1</v>
      </c>
      <c r="Z122" s="25">
        <v>1</v>
      </c>
      <c r="AA122" s="25">
        <v>1</v>
      </c>
      <c r="AH122" s="5"/>
      <c r="AI122" s="5"/>
      <c r="AO122" s="5"/>
    </row>
    <row r="123" spans="10:41">
      <c r="J123" s="25">
        <v>119</v>
      </c>
      <c r="K123" s="16" t="s">
        <v>35</v>
      </c>
      <c r="L123" s="16" t="s">
        <v>19</v>
      </c>
      <c r="M123" s="16" t="s">
        <v>18</v>
      </c>
      <c r="N123" s="16" t="s">
        <v>19</v>
      </c>
      <c r="O123" s="16" t="s">
        <v>36</v>
      </c>
      <c r="Q123" s="9">
        <v>8</v>
      </c>
      <c r="R123" s="9">
        <v>5</v>
      </c>
      <c r="S123" s="9">
        <v>4</v>
      </c>
      <c r="T123" s="9">
        <v>5</v>
      </c>
      <c r="U123" s="9">
        <v>10</v>
      </c>
      <c r="W123" s="25">
        <v>1</v>
      </c>
      <c r="X123" s="25">
        <v>1</v>
      </c>
      <c r="Y123" s="25">
        <v>1</v>
      </c>
      <c r="Z123" s="25">
        <v>1</v>
      </c>
      <c r="AA123" s="25">
        <v>1</v>
      </c>
      <c r="AH123" s="5"/>
      <c r="AI123" s="5"/>
      <c r="AO123" s="5"/>
    </row>
    <row r="124" spans="10:41">
      <c r="J124" s="9">
        <v>120</v>
      </c>
      <c r="K124" s="16" t="s">
        <v>136</v>
      </c>
      <c r="L124" s="16" t="s">
        <v>90</v>
      </c>
      <c r="M124" s="16" t="s">
        <v>37</v>
      </c>
      <c r="N124" s="16" t="s">
        <v>34</v>
      </c>
      <c r="O124" s="16" t="s">
        <v>37</v>
      </c>
      <c r="Q124" s="9">
        <v>6</v>
      </c>
      <c r="R124" s="9">
        <v>13</v>
      </c>
      <c r="S124" s="9">
        <v>7</v>
      </c>
      <c r="T124" s="9">
        <v>9</v>
      </c>
      <c r="U124" s="9">
        <v>7</v>
      </c>
      <c r="W124" s="25">
        <v>1</v>
      </c>
      <c r="X124" s="25">
        <v>1</v>
      </c>
      <c r="Y124" s="25">
        <v>1</v>
      </c>
      <c r="Z124" s="25">
        <v>1</v>
      </c>
      <c r="AA124" s="25">
        <v>1</v>
      </c>
      <c r="AH124" s="5"/>
      <c r="AI124" s="5"/>
      <c r="AO124" s="5"/>
    </row>
    <row r="125" spans="10:41">
      <c r="J125" s="25">
        <v>121</v>
      </c>
      <c r="K125" s="16" t="s">
        <v>35</v>
      </c>
      <c r="L125" s="16" t="s">
        <v>88</v>
      </c>
      <c r="M125" s="16" t="s">
        <v>19</v>
      </c>
      <c r="N125" s="16" t="s">
        <v>21</v>
      </c>
      <c r="O125" s="16" t="s">
        <v>19</v>
      </c>
      <c r="Q125" s="9">
        <v>8</v>
      </c>
      <c r="R125" s="9">
        <v>11</v>
      </c>
      <c r="S125" s="9">
        <v>5</v>
      </c>
      <c r="T125" s="9">
        <v>2</v>
      </c>
      <c r="U125" s="9">
        <v>5</v>
      </c>
      <c r="W125" s="25">
        <v>1</v>
      </c>
      <c r="X125" s="25">
        <v>1</v>
      </c>
      <c r="Y125" s="25">
        <v>1</v>
      </c>
      <c r="Z125" s="25">
        <v>1</v>
      </c>
      <c r="AA125" s="25">
        <v>1</v>
      </c>
      <c r="AH125" s="5"/>
      <c r="AI125" s="5"/>
      <c r="AO125" s="5"/>
    </row>
    <row r="126" spans="10:41">
      <c r="J126" s="9">
        <v>122</v>
      </c>
      <c r="K126" s="16" t="s">
        <v>35</v>
      </c>
      <c r="L126" s="16" t="s">
        <v>35</v>
      </c>
      <c r="M126" s="16" t="s">
        <v>35</v>
      </c>
      <c r="N126" s="16" t="s">
        <v>95</v>
      </c>
      <c r="O126" s="16" t="s">
        <v>18</v>
      </c>
      <c r="Q126" s="9">
        <v>8</v>
      </c>
      <c r="R126" s="9">
        <v>8</v>
      </c>
      <c r="S126" s="9">
        <v>8</v>
      </c>
      <c r="T126" s="9">
        <v>18</v>
      </c>
      <c r="U126" s="9">
        <v>4</v>
      </c>
      <c r="W126" s="25">
        <v>1</v>
      </c>
      <c r="X126" s="25">
        <v>1</v>
      </c>
      <c r="Y126" s="25">
        <v>1</v>
      </c>
      <c r="Z126" s="25">
        <v>1</v>
      </c>
      <c r="AA126" s="25">
        <v>1</v>
      </c>
      <c r="AH126" s="5"/>
      <c r="AI126" s="5"/>
      <c r="AO126" s="5"/>
    </row>
    <row r="127" spans="10:41">
      <c r="J127" s="25">
        <v>123</v>
      </c>
      <c r="K127" s="16" t="s">
        <v>19</v>
      </c>
      <c r="L127" s="16" t="s">
        <v>37</v>
      </c>
      <c r="M127" s="16" t="s">
        <v>37</v>
      </c>
      <c r="N127" s="16" t="s">
        <v>36</v>
      </c>
      <c r="O127" s="16" t="s">
        <v>34</v>
      </c>
      <c r="Q127" s="9">
        <v>5</v>
      </c>
      <c r="R127" s="9">
        <v>7</v>
      </c>
      <c r="S127" s="9">
        <v>7</v>
      </c>
      <c r="T127" s="9">
        <v>10</v>
      </c>
      <c r="U127" s="9">
        <v>9</v>
      </c>
      <c r="W127" s="25">
        <v>1</v>
      </c>
      <c r="X127" s="25">
        <v>1</v>
      </c>
      <c r="Y127" s="25">
        <v>1</v>
      </c>
      <c r="Z127" s="25">
        <v>1</v>
      </c>
      <c r="AA127" s="25">
        <v>1</v>
      </c>
      <c r="AH127" s="5"/>
      <c r="AI127" s="5"/>
      <c r="AO127" s="5"/>
    </row>
    <row r="128" spans="10:41">
      <c r="J128" s="9">
        <v>124</v>
      </c>
      <c r="K128" s="16" t="s">
        <v>35</v>
      </c>
      <c r="L128" s="16" t="s">
        <v>20</v>
      </c>
      <c r="M128" s="16" t="s">
        <v>35</v>
      </c>
      <c r="N128" s="16" t="s">
        <v>19</v>
      </c>
      <c r="O128" s="16" t="s">
        <v>22</v>
      </c>
      <c r="Q128" s="9">
        <v>8</v>
      </c>
      <c r="R128" s="9">
        <v>1</v>
      </c>
      <c r="S128" s="9">
        <v>8</v>
      </c>
      <c r="T128" s="9">
        <v>5</v>
      </c>
      <c r="U128" s="9">
        <v>3</v>
      </c>
      <c r="W128" s="25">
        <v>1</v>
      </c>
      <c r="X128" s="25">
        <v>1</v>
      </c>
      <c r="Y128" s="25">
        <v>1</v>
      </c>
      <c r="Z128" s="25">
        <v>1</v>
      </c>
      <c r="AA128" s="25">
        <v>1</v>
      </c>
      <c r="AH128" s="5"/>
      <c r="AI128" s="5"/>
      <c r="AO128" s="5"/>
    </row>
    <row r="129" spans="10:41">
      <c r="J129" s="25">
        <v>125</v>
      </c>
      <c r="K129" s="16" t="s">
        <v>136</v>
      </c>
      <c r="L129" s="16" t="s">
        <v>35</v>
      </c>
      <c r="M129" s="16" t="s">
        <v>37</v>
      </c>
      <c r="N129" s="16" t="s">
        <v>92</v>
      </c>
      <c r="O129" s="16" t="s">
        <v>18</v>
      </c>
      <c r="Q129" s="9">
        <v>6</v>
      </c>
      <c r="R129" s="9">
        <v>8</v>
      </c>
      <c r="S129" s="9">
        <v>7</v>
      </c>
      <c r="T129" s="9">
        <v>16</v>
      </c>
      <c r="U129" s="9">
        <v>4</v>
      </c>
      <c r="W129" s="25">
        <v>1</v>
      </c>
      <c r="X129" s="25">
        <v>1</v>
      </c>
      <c r="Y129" s="25">
        <v>1</v>
      </c>
      <c r="Z129" s="25">
        <v>1</v>
      </c>
      <c r="AA129" s="25">
        <v>1</v>
      </c>
      <c r="AH129" s="5"/>
      <c r="AI129" s="5"/>
      <c r="AO129" s="5"/>
    </row>
    <row r="130" spans="10:41">
      <c r="J130" s="9">
        <v>126</v>
      </c>
      <c r="K130" s="16" t="s">
        <v>37</v>
      </c>
      <c r="L130" s="16" t="s">
        <v>136</v>
      </c>
      <c r="M130" s="16" t="s">
        <v>22</v>
      </c>
      <c r="N130" s="16" t="s">
        <v>95</v>
      </c>
      <c r="O130" s="16" t="s">
        <v>37</v>
      </c>
      <c r="Q130" s="9">
        <v>7</v>
      </c>
      <c r="R130" s="9">
        <v>6</v>
      </c>
      <c r="S130" s="9">
        <v>3</v>
      </c>
      <c r="T130" s="9">
        <v>18</v>
      </c>
      <c r="U130" s="9">
        <v>7</v>
      </c>
      <c r="W130" s="25">
        <v>1</v>
      </c>
      <c r="X130" s="25">
        <v>1</v>
      </c>
      <c r="Y130" s="25">
        <v>1</v>
      </c>
      <c r="Z130" s="25">
        <v>1</v>
      </c>
      <c r="AA130" s="25">
        <v>1</v>
      </c>
      <c r="AH130" s="5"/>
      <c r="AI130" s="5"/>
      <c r="AO130" s="5"/>
    </row>
    <row r="131" spans="10:41">
      <c r="J131" s="25">
        <v>127</v>
      </c>
      <c r="K131" s="16" t="s">
        <v>19</v>
      </c>
      <c r="L131" s="16" t="s">
        <v>90</v>
      </c>
      <c r="M131" s="16" t="s">
        <v>35</v>
      </c>
      <c r="N131" s="16" t="s">
        <v>35</v>
      </c>
      <c r="O131" s="16" t="s">
        <v>18</v>
      </c>
      <c r="Q131" s="9">
        <v>5</v>
      </c>
      <c r="R131" s="9">
        <v>13</v>
      </c>
      <c r="S131" s="9">
        <v>8</v>
      </c>
      <c r="T131" s="9">
        <v>8</v>
      </c>
      <c r="U131" s="9">
        <v>4</v>
      </c>
      <c r="W131" s="25">
        <v>1</v>
      </c>
      <c r="X131" s="25">
        <v>1</v>
      </c>
      <c r="Y131" s="25">
        <v>1</v>
      </c>
      <c r="Z131" s="25">
        <v>1</v>
      </c>
      <c r="AA131" s="25">
        <v>1</v>
      </c>
      <c r="AH131" s="5"/>
      <c r="AI131" s="5"/>
      <c r="AO131" s="5"/>
    </row>
    <row r="132" spans="10:41">
      <c r="J132" s="9">
        <v>128</v>
      </c>
      <c r="K132" s="16" t="s">
        <v>35</v>
      </c>
      <c r="L132" s="16" t="s">
        <v>136</v>
      </c>
      <c r="M132" s="16" t="s">
        <v>19</v>
      </c>
      <c r="N132" s="16" t="s">
        <v>22</v>
      </c>
      <c r="O132" s="16" t="s">
        <v>136</v>
      </c>
      <c r="Q132" s="9">
        <v>8</v>
      </c>
      <c r="R132" s="9">
        <v>6</v>
      </c>
      <c r="S132" s="9">
        <v>5</v>
      </c>
      <c r="T132" s="9">
        <v>3</v>
      </c>
      <c r="U132" s="9">
        <v>6</v>
      </c>
      <c r="W132" s="25">
        <v>1</v>
      </c>
      <c r="X132" s="25">
        <v>1</v>
      </c>
      <c r="Y132" s="25">
        <v>1</v>
      </c>
      <c r="Z132" s="25">
        <v>1</v>
      </c>
      <c r="AA132" s="25">
        <v>1</v>
      </c>
      <c r="AH132" s="5"/>
      <c r="AI132" s="5"/>
      <c r="AO132" s="5"/>
    </row>
    <row r="133" spans="10:41">
      <c r="J133" s="25">
        <v>129</v>
      </c>
      <c r="K133" s="16" t="s">
        <v>37</v>
      </c>
      <c r="L133" s="16" t="s">
        <v>34</v>
      </c>
      <c r="M133" s="16" t="s">
        <v>19</v>
      </c>
      <c r="N133" s="16" t="s">
        <v>36</v>
      </c>
      <c r="O133" s="16" t="s">
        <v>36</v>
      </c>
      <c r="Q133" s="9">
        <v>7</v>
      </c>
      <c r="R133" s="9">
        <v>9</v>
      </c>
      <c r="S133" s="9">
        <v>5</v>
      </c>
      <c r="T133" s="9">
        <v>10</v>
      </c>
      <c r="U133" s="9">
        <v>10</v>
      </c>
      <c r="W133" s="25">
        <v>1</v>
      </c>
      <c r="X133" s="25">
        <v>1</v>
      </c>
      <c r="Y133" s="25">
        <v>1</v>
      </c>
      <c r="Z133" s="25">
        <v>1</v>
      </c>
      <c r="AA133" s="25">
        <v>1</v>
      </c>
      <c r="AH133" s="5"/>
      <c r="AI133" s="5"/>
      <c r="AO133" s="5"/>
    </row>
    <row r="134" spans="10:41">
      <c r="J134" s="9">
        <v>130</v>
      </c>
      <c r="K134" s="16" t="s">
        <v>136</v>
      </c>
      <c r="L134" s="16" t="s">
        <v>137</v>
      </c>
      <c r="M134" s="16" t="s">
        <v>35</v>
      </c>
      <c r="N134" s="16" t="s">
        <v>20</v>
      </c>
      <c r="O134" s="16" t="s">
        <v>37</v>
      </c>
      <c r="Q134" s="9">
        <v>6</v>
      </c>
      <c r="R134" s="9">
        <v>15</v>
      </c>
      <c r="S134" s="9">
        <v>8</v>
      </c>
      <c r="T134" s="9">
        <v>1</v>
      </c>
      <c r="U134" s="9">
        <v>7</v>
      </c>
      <c r="W134" s="25">
        <v>1</v>
      </c>
      <c r="X134" s="25">
        <v>1</v>
      </c>
      <c r="Y134" s="25">
        <v>1</v>
      </c>
      <c r="Z134" s="25">
        <v>1</v>
      </c>
      <c r="AA134" s="25">
        <v>1</v>
      </c>
      <c r="AH134" s="5"/>
      <c r="AI134" s="5"/>
      <c r="AO134" s="5"/>
    </row>
    <row r="135" spans="10:41">
      <c r="J135" s="25">
        <v>131</v>
      </c>
      <c r="K135" s="16" t="s">
        <v>19</v>
      </c>
      <c r="L135" s="16" t="s">
        <v>89</v>
      </c>
      <c r="M135" s="16" t="s">
        <v>119</v>
      </c>
      <c r="N135" s="16" t="s">
        <v>21</v>
      </c>
      <c r="O135" s="16" t="s">
        <v>136</v>
      </c>
      <c r="Q135" s="9">
        <v>5</v>
      </c>
      <c r="R135" s="9">
        <v>12</v>
      </c>
      <c r="S135" s="9">
        <v>17</v>
      </c>
      <c r="T135" s="9">
        <v>2</v>
      </c>
      <c r="U135" s="9">
        <v>6</v>
      </c>
      <c r="W135" s="25">
        <v>1</v>
      </c>
      <c r="X135" s="25">
        <v>1</v>
      </c>
      <c r="Y135" s="25">
        <v>1</v>
      </c>
      <c r="Z135" s="25">
        <v>1</v>
      </c>
      <c r="AA135" s="25">
        <v>1</v>
      </c>
      <c r="AH135" s="5"/>
      <c r="AI135" s="5"/>
      <c r="AO135" s="5"/>
    </row>
    <row r="136" spans="10:41">
      <c r="J136" s="9">
        <v>132</v>
      </c>
      <c r="K136" s="16" t="s">
        <v>35</v>
      </c>
      <c r="L136" s="16" t="s">
        <v>20</v>
      </c>
      <c r="M136" s="16" t="s">
        <v>136</v>
      </c>
      <c r="N136" s="16" t="s">
        <v>37</v>
      </c>
      <c r="O136" s="16" t="s">
        <v>18</v>
      </c>
      <c r="Q136" s="9">
        <v>8</v>
      </c>
      <c r="R136" s="9">
        <v>1</v>
      </c>
      <c r="S136" s="9">
        <v>6</v>
      </c>
      <c r="T136" s="9">
        <v>7</v>
      </c>
      <c r="U136" s="9">
        <v>4</v>
      </c>
      <c r="W136" s="25">
        <v>1</v>
      </c>
      <c r="X136" s="25">
        <v>1</v>
      </c>
      <c r="Y136" s="25">
        <v>1</v>
      </c>
      <c r="Z136" s="25">
        <v>1</v>
      </c>
      <c r="AA136" s="25">
        <v>1</v>
      </c>
      <c r="AH136" s="5"/>
      <c r="AI136" s="5"/>
      <c r="AO136" s="5"/>
    </row>
    <row r="137" spans="10:41">
      <c r="J137" s="25">
        <v>133</v>
      </c>
      <c r="K137" s="16" t="s">
        <v>35</v>
      </c>
      <c r="L137" s="16" t="s">
        <v>136</v>
      </c>
      <c r="M137" s="16" t="s">
        <v>19</v>
      </c>
      <c r="N137" s="16" t="s">
        <v>37</v>
      </c>
      <c r="O137" s="16" t="s">
        <v>136</v>
      </c>
      <c r="Q137" s="9">
        <v>8</v>
      </c>
      <c r="R137" s="9">
        <v>6</v>
      </c>
      <c r="S137" s="9">
        <v>5</v>
      </c>
      <c r="T137" s="9">
        <v>7</v>
      </c>
      <c r="U137" s="9">
        <v>6</v>
      </c>
      <c r="W137" s="25">
        <v>1</v>
      </c>
      <c r="X137" s="25">
        <v>1</v>
      </c>
      <c r="Y137" s="25">
        <v>1</v>
      </c>
      <c r="Z137" s="25">
        <v>1</v>
      </c>
      <c r="AA137" s="25">
        <v>1</v>
      </c>
      <c r="AH137" s="5"/>
      <c r="AI137" s="5"/>
      <c r="AO137" s="5"/>
    </row>
    <row r="138" spans="10:41">
      <c r="J138" s="9">
        <v>134</v>
      </c>
      <c r="K138" s="16" t="s">
        <v>19</v>
      </c>
      <c r="L138" s="16" t="s">
        <v>136</v>
      </c>
      <c r="M138" s="16" t="s">
        <v>34</v>
      </c>
      <c r="N138" s="16" t="s">
        <v>92</v>
      </c>
      <c r="O138" s="16" t="s">
        <v>36</v>
      </c>
      <c r="Q138" s="9">
        <v>5</v>
      </c>
      <c r="R138" s="9">
        <v>6</v>
      </c>
      <c r="S138" s="9">
        <v>9</v>
      </c>
      <c r="T138" s="9">
        <v>16</v>
      </c>
      <c r="U138" s="9">
        <v>10</v>
      </c>
      <c r="W138" s="25">
        <v>1</v>
      </c>
      <c r="X138" s="25">
        <v>1</v>
      </c>
      <c r="Y138" s="25">
        <v>1</v>
      </c>
      <c r="Z138" s="25">
        <v>1</v>
      </c>
      <c r="AA138" s="25">
        <v>1</v>
      </c>
      <c r="AH138" s="5"/>
      <c r="AI138" s="5"/>
      <c r="AO138" s="5"/>
    </row>
    <row r="139" spans="10:41">
      <c r="J139" s="25">
        <v>135</v>
      </c>
      <c r="K139" s="16" t="s">
        <v>36</v>
      </c>
      <c r="L139" s="16" t="s">
        <v>88</v>
      </c>
      <c r="M139" s="16" t="s">
        <v>136</v>
      </c>
      <c r="N139" s="16" t="s">
        <v>22</v>
      </c>
      <c r="O139" s="16" t="s">
        <v>34</v>
      </c>
      <c r="Q139" s="9">
        <v>10</v>
      </c>
      <c r="R139" s="9">
        <v>11</v>
      </c>
      <c r="S139" s="9">
        <v>6</v>
      </c>
      <c r="T139" s="9">
        <v>3</v>
      </c>
      <c r="U139" s="9">
        <v>9</v>
      </c>
      <c r="W139" s="25">
        <v>1</v>
      </c>
      <c r="X139" s="25">
        <v>1</v>
      </c>
      <c r="Y139" s="25">
        <v>1</v>
      </c>
      <c r="Z139" s="25">
        <v>1</v>
      </c>
      <c r="AA139" s="25">
        <v>1</v>
      </c>
      <c r="AH139" s="5"/>
      <c r="AI139" s="5"/>
      <c r="AO139" s="5"/>
    </row>
    <row r="140" spans="10:41">
      <c r="J140" s="9">
        <v>136</v>
      </c>
      <c r="K140" s="16" t="s">
        <v>19</v>
      </c>
      <c r="L140" s="16" t="s">
        <v>18</v>
      </c>
      <c r="M140" s="16" t="s">
        <v>136</v>
      </c>
      <c r="N140" s="16" t="s">
        <v>18</v>
      </c>
      <c r="O140" s="16" t="s">
        <v>18</v>
      </c>
      <c r="Q140" s="9">
        <v>5</v>
      </c>
      <c r="R140" s="9">
        <v>4</v>
      </c>
      <c r="S140" s="9">
        <v>6</v>
      </c>
      <c r="T140" s="9">
        <v>4</v>
      </c>
      <c r="U140" s="9">
        <v>4</v>
      </c>
      <c r="W140" s="25">
        <v>1</v>
      </c>
      <c r="X140" s="25">
        <v>1</v>
      </c>
      <c r="Y140" s="25">
        <v>1</v>
      </c>
      <c r="Z140" s="25">
        <v>1</v>
      </c>
      <c r="AA140" s="25">
        <v>1</v>
      </c>
      <c r="AH140" s="5"/>
      <c r="AI140" s="5"/>
      <c r="AO140" s="5"/>
    </row>
    <row r="141" spans="10:41">
      <c r="J141" s="25">
        <v>137</v>
      </c>
      <c r="K141" s="16" t="s">
        <v>35</v>
      </c>
      <c r="L141" s="16" t="s">
        <v>35</v>
      </c>
      <c r="M141" s="16" t="s">
        <v>35</v>
      </c>
      <c r="N141" s="16" t="s">
        <v>34</v>
      </c>
      <c r="O141" s="16" t="s">
        <v>136</v>
      </c>
      <c r="Q141" s="9">
        <v>8</v>
      </c>
      <c r="R141" s="9">
        <v>8</v>
      </c>
      <c r="S141" s="9">
        <v>8</v>
      </c>
      <c r="T141" s="9">
        <v>9</v>
      </c>
      <c r="U141" s="9">
        <v>6</v>
      </c>
      <c r="W141" s="25">
        <v>1</v>
      </c>
      <c r="X141" s="25">
        <v>1</v>
      </c>
      <c r="Y141" s="25">
        <v>1</v>
      </c>
      <c r="Z141" s="25">
        <v>1</v>
      </c>
      <c r="AA141" s="25">
        <v>1</v>
      </c>
      <c r="AH141" s="5"/>
      <c r="AI141" s="5"/>
      <c r="AO141" s="5"/>
    </row>
    <row r="142" spans="10:41">
      <c r="J142" s="9">
        <v>138</v>
      </c>
      <c r="K142" s="16" t="s">
        <v>18</v>
      </c>
      <c r="L142" s="16" t="s">
        <v>35</v>
      </c>
      <c r="M142" s="16" t="s">
        <v>136</v>
      </c>
      <c r="N142" s="16" t="s">
        <v>136</v>
      </c>
      <c r="O142" s="16" t="s">
        <v>21</v>
      </c>
      <c r="Q142" s="9">
        <v>4</v>
      </c>
      <c r="R142" s="9">
        <v>8</v>
      </c>
      <c r="S142" s="9">
        <v>6</v>
      </c>
      <c r="T142" s="9">
        <v>6</v>
      </c>
      <c r="U142" s="9">
        <v>2</v>
      </c>
      <c r="W142" s="25">
        <v>1</v>
      </c>
      <c r="X142" s="25">
        <v>1</v>
      </c>
      <c r="Y142" s="25">
        <v>1</v>
      </c>
      <c r="Z142" s="25">
        <v>1</v>
      </c>
      <c r="AA142" s="25">
        <v>1</v>
      </c>
      <c r="AH142" s="5"/>
      <c r="AI142" s="5"/>
      <c r="AO142" s="5"/>
    </row>
    <row r="143" spans="10:41">
      <c r="J143" s="25">
        <v>139</v>
      </c>
      <c r="K143" s="16" t="s">
        <v>22</v>
      </c>
      <c r="L143" s="16" t="s">
        <v>36</v>
      </c>
      <c r="M143" s="16" t="s">
        <v>19</v>
      </c>
      <c r="N143" s="16" t="s">
        <v>20</v>
      </c>
      <c r="O143" s="16" t="s">
        <v>37</v>
      </c>
      <c r="Q143" s="9">
        <v>3</v>
      </c>
      <c r="R143" s="9">
        <v>10</v>
      </c>
      <c r="S143" s="9">
        <v>5</v>
      </c>
      <c r="T143" s="9">
        <v>1</v>
      </c>
      <c r="U143" s="9">
        <v>7</v>
      </c>
      <c r="W143" s="25">
        <v>1</v>
      </c>
      <c r="X143" s="25">
        <v>1</v>
      </c>
      <c r="Y143" s="25">
        <v>1</v>
      </c>
      <c r="Z143" s="25">
        <v>1</v>
      </c>
      <c r="AA143" s="25">
        <v>1</v>
      </c>
      <c r="AH143" s="5"/>
      <c r="AI143" s="5"/>
      <c r="AO143" s="5"/>
    </row>
    <row r="144" spans="10:41">
      <c r="J144" s="9">
        <v>140</v>
      </c>
      <c r="K144" s="16" t="s">
        <v>19</v>
      </c>
      <c r="L144" s="16" t="s">
        <v>36</v>
      </c>
      <c r="M144" s="16" t="s">
        <v>35</v>
      </c>
      <c r="N144" s="16" t="s">
        <v>34</v>
      </c>
      <c r="O144" s="16" t="s">
        <v>136</v>
      </c>
      <c r="Q144" s="9">
        <v>5</v>
      </c>
      <c r="R144" s="9">
        <v>10</v>
      </c>
      <c r="S144" s="9">
        <v>8</v>
      </c>
      <c r="T144" s="9">
        <v>9</v>
      </c>
      <c r="U144" s="9">
        <v>6</v>
      </c>
      <c r="W144" s="25">
        <v>1</v>
      </c>
      <c r="X144" s="25">
        <v>1</v>
      </c>
      <c r="Y144" s="25">
        <v>1</v>
      </c>
      <c r="Z144" s="25">
        <v>1</v>
      </c>
      <c r="AA144" s="25">
        <v>1</v>
      </c>
      <c r="AH144" s="5"/>
      <c r="AI144" s="5"/>
      <c r="AO144" s="5"/>
    </row>
    <row r="145" spans="10:41">
      <c r="J145" s="25">
        <v>141</v>
      </c>
      <c r="K145" s="16" t="s">
        <v>35</v>
      </c>
      <c r="L145" s="16" t="s">
        <v>21</v>
      </c>
      <c r="M145" s="16" t="s">
        <v>136</v>
      </c>
      <c r="N145" s="16" t="s">
        <v>22</v>
      </c>
      <c r="O145" s="16" t="s">
        <v>22</v>
      </c>
      <c r="Q145" s="9">
        <v>8</v>
      </c>
      <c r="R145" s="9">
        <v>2</v>
      </c>
      <c r="S145" s="9">
        <v>6</v>
      </c>
      <c r="T145" s="9">
        <v>3</v>
      </c>
      <c r="U145" s="9">
        <v>3</v>
      </c>
      <c r="W145" s="25">
        <v>1</v>
      </c>
      <c r="X145" s="25">
        <v>1</v>
      </c>
      <c r="Y145" s="25">
        <v>1</v>
      </c>
      <c r="Z145" s="25">
        <v>1</v>
      </c>
      <c r="AA145" s="25">
        <v>1</v>
      </c>
      <c r="AH145" s="5"/>
      <c r="AI145" s="5"/>
      <c r="AO145" s="5"/>
    </row>
    <row r="146" spans="10:41">
      <c r="J146" s="9">
        <v>142</v>
      </c>
      <c r="K146" s="16" t="s">
        <v>136</v>
      </c>
      <c r="L146" s="16" t="s">
        <v>21</v>
      </c>
      <c r="M146" s="16" t="s">
        <v>136</v>
      </c>
      <c r="N146" s="16" t="s">
        <v>136</v>
      </c>
      <c r="O146" s="16" t="s">
        <v>22</v>
      </c>
      <c r="Q146" s="9">
        <v>6</v>
      </c>
      <c r="R146" s="9">
        <v>2</v>
      </c>
      <c r="S146" s="9">
        <v>6</v>
      </c>
      <c r="T146" s="9">
        <v>6</v>
      </c>
      <c r="U146" s="9">
        <v>3</v>
      </c>
      <c r="W146" s="25">
        <v>1</v>
      </c>
      <c r="X146" s="25">
        <v>1</v>
      </c>
      <c r="Y146" s="25">
        <v>1</v>
      </c>
      <c r="Z146" s="25">
        <v>1</v>
      </c>
      <c r="AA146" s="25">
        <v>1</v>
      </c>
      <c r="AH146" s="5"/>
      <c r="AI146" s="5"/>
      <c r="AO146" s="5"/>
    </row>
    <row r="147" spans="10:41">
      <c r="J147" s="25">
        <v>143</v>
      </c>
      <c r="K147" s="16" t="s">
        <v>37</v>
      </c>
      <c r="L147" s="16" t="s">
        <v>34</v>
      </c>
      <c r="M147" s="16" t="s">
        <v>137</v>
      </c>
      <c r="N147" s="16" t="s">
        <v>19</v>
      </c>
      <c r="O147" s="16" t="s">
        <v>19</v>
      </c>
      <c r="Q147" s="9">
        <v>7</v>
      </c>
      <c r="R147" s="9">
        <v>9</v>
      </c>
      <c r="S147" s="9">
        <v>15</v>
      </c>
      <c r="T147" s="9">
        <v>5</v>
      </c>
      <c r="U147" s="9">
        <v>5</v>
      </c>
      <c r="W147" s="25">
        <v>1</v>
      </c>
      <c r="X147" s="25">
        <v>1</v>
      </c>
      <c r="Y147" s="25">
        <v>1</v>
      </c>
      <c r="Z147" s="25">
        <v>1</v>
      </c>
      <c r="AA147" s="25">
        <v>1</v>
      </c>
      <c r="AH147" s="5"/>
      <c r="AI147" s="5"/>
      <c r="AO147" s="5"/>
    </row>
    <row r="148" spans="10:41">
      <c r="J148" s="9">
        <v>144</v>
      </c>
      <c r="K148" s="16" t="s">
        <v>37</v>
      </c>
      <c r="L148" s="16" t="s">
        <v>34</v>
      </c>
      <c r="M148" s="16" t="s">
        <v>35</v>
      </c>
      <c r="N148" s="16" t="s">
        <v>21</v>
      </c>
      <c r="O148" s="16" t="s">
        <v>37</v>
      </c>
      <c r="Q148" s="9">
        <v>7</v>
      </c>
      <c r="R148" s="9">
        <v>9</v>
      </c>
      <c r="S148" s="9">
        <v>8</v>
      </c>
      <c r="T148" s="9">
        <v>2</v>
      </c>
      <c r="U148" s="9">
        <v>7</v>
      </c>
      <c r="W148" s="25">
        <v>1</v>
      </c>
      <c r="X148" s="25">
        <v>1</v>
      </c>
      <c r="Y148" s="25">
        <v>1</v>
      </c>
      <c r="Z148" s="25">
        <v>1</v>
      </c>
      <c r="AA148" s="25">
        <v>1</v>
      </c>
      <c r="AH148" s="5"/>
      <c r="AI148" s="5"/>
      <c r="AO148" s="5"/>
    </row>
    <row r="149" spans="10:41">
      <c r="J149" s="25">
        <v>145</v>
      </c>
      <c r="K149" s="16" t="s">
        <v>136</v>
      </c>
      <c r="L149" s="16" t="s">
        <v>21</v>
      </c>
      <c r="M149" s="16" t="s">
        <v>136</v>
      </c>
      <c r="N149" s="16" t="s">
        <v>18</v>
      </c>
      <c r="O149" s="16" t="s">
        <v>21</v>
      </c>
      <c r="Q149" s="9">
        <v>6</v>
      </c>
      <c r="R149" s="9">
        <v>2</v>
      </c>
      <c r="S149" s="9">
        <v>6</v>
      </c>
      <c r="T149" s="9">
        <v>4</v>
      </c>
      <c r="U149" s="9">
        <v>2</v>
      </c>
      <c r="W149" s="25">
        <v>1</v>
      </c>
      <c r="X149" s="25">
        <v>1</v>
      </c>
      <c r="Y149" s="25">
        <v>1</v>
      </c>
      <c r="Z149" s="25">
        <v>1</v>
      </c>
      <c r="AA149" s="25">
        <v>1</v>
      </c>
      <c r="AH149" s="5"/>
      <c r="AI149" s="5"/>
      <c r="AO149" s="5"/>
    </row>
    <row r="150" spans="10:41">
      <c r="J150" s="9">
        <v>146</v>
      </c>
      <c r="K150" s="16" t="s">
        <v>37</v>
      </c>
      <c r="L150" s="16" t="s">
        <v>119</v>
      </c>
      <c r="M150" s="16" t="s">
        <v>35</v>
      </c>
      <c r="N150" s="16" t="s">
        <v>18</v>
      </c>
      <c r="O150" s="16" t="s">
        <v>37</v>
      </c>
      <c r="Q150" s="9">
        <v>7</v>
      </c>
      <c r="R150" s="9">
        <v>17</v>
      </c>
      <c r="S150" s="9">
        <v>8</v>
      </c>
      <c r="T150" s="9">
        <v>4</v>
      </c>
      <c r="U150" s="9">
        <v>7</v>
      </c>
      <c r="W150" s="25">
        <v>1</v>
      </c>
      <c r="X150" s="25">
        <v>1</v>
      </c>
      <c r="Y150" s="25">
        <v>1</v>
      </c>
      <c r="Z150" s="25">
        <v>1</v>
      </c>
      <c r="AA150" s="25">
        <v>1</v>
      </c>
      <c r="AH150" s="5"/>
      <c r="AI150" s="5"/>
      <c r="AO150" s="5"/>
    </row>
    <row r="151" spans="10:41">
      <c r="J151" s="25">
        <v>147</v>
      </c>
      <c r="K151" s="16" t="s">
        <v>19</v>
      </c>
      <c r="L151" s="16" t="s">
        <v>19</v>
      </c>
      <c r="M151" s="16" t="s">
        <v>37</v>
      </c>
      <c r="N151" s="16" t="s">
        <v>18</v>
      </c>
      <c r="O151" s="16" t="s">
        <v>21</v>
      </c>
      <c r="Q151" s="9">
        <v>5</v>
      </c>
      <c r="R151" s="9">
        <v>5</v>
      </c>
      <c r="S151" s="9">
        <v>7</v>
      </c>
      <c r="T151" s="9">
        <v>4</v>
      </c>
      <c r="U151" s="9">
        <v>2</v>
      </c>
      <c r="W151" s="25">
        <v>1</v>
      </c>
      <c r="X151" s="25">
        <v>1</v>
      </c>
      <c r="Y151" s="25">
        <v>1</v>
      </c>
      <c r="Z151" s="25">
        <v>1</v>
      </c>
      <c r="AA151" s="25">
        <v>1</v>
      </c>
      <c r="AH151" s="5"/>
      <c r="AI151" s="5"/>
      <c r="AO151" s="5"/>
    </row>
    <row r="152" spans="10:41">
      <c r="J152" s="9">
        <v>148</v>
      </c>
      <c r="K152" s="16" t="s">
        <v>19</v>
      </c>
      <c r="L152" s="16" t="s">
        <v>90</v>
      </c>
      <c r="M152" s="16" t="s">
        <v>37</v>
      </c>
      <c r="N152" s="16" t="s">
        <v>37</v>
      </c>
      <c r="O152" s="16" t="s">
        <v>36</v>
      </c>
      <c r="Q152" s="9">
        <v>5</v>
      </c>
      <c r="R152" s="9">
        <v>13</v>
      </c>
      <c r="S152" s="9">
        <v>7</v>
      </c>
      <c r="T152" s="9">
        <v>7</v>
      </c>
      <c r="U152" s="9">
        <v>10</v>
      </c>
      <c r="W152" s="25">
        <v>1</v>
      </c>
      <c r="X152" s="25">
        <v>1</v>
      </c>
      <c r="Y152" s="25">
        <v>1</v>
      </c>
      <c r="Z152" s="25">
        <v>1</v>
      </c>
      <c r="AA152" s="25">
        <v>1</v>
      </c>
      <c r="AH152" s="5"/>
      <c r="AI152" s="5"/>
      <c r="AO152" s="5"/>
    </row>
    <row r="153" spans="10:41">
      <c r="J153" s="25">
        <v>149</v>
      </c>
      <c r="K153" s="16" t="s">
        <v>35</v>
      </c>
      <c r="L153" s="16" t="s">
        <v>137</v>
      </c>
      <c r="M153" s="16" t="s">
        <v>35</v>
      </c>
      <c r="N153" s="16" t="s">
        <v>35</v>
      </c>
      <c r="O153" s="16" t="s">
        <v>22</v>
      </c>
      <c r="Q153" s="9">
        <v>8</v>
      </c>
      <c r="R153" s="9">
        <v>15</v>
      </c>
      <c r="S153" s="9">
        <v>8</v>
      </c>
      <c r="T153" s="9">
        <v>8</v>
      </c>
      <c r="U153" s="9">
        <v>3</v>
      </c>
      <c r="W153" s="25">
        <v>1</v>
      </c>
      <c r="X153" s="25">
        <v>1</v>
      </c>
      <c r="Y153" s="25">
        <v>1</v>
      </c>
      <c r="Z153" s="25">
        <v>1</v>
      </c>
      <c r="AA153" s="25">
        <v>1</v>
      </c>
      <c r="AH153" s="5"/>
      <c r="AI153" s="5"/>
      <c r="AO153" s="5"/>
    </row>
    <row r="154" spans="10:41">
      <c r="J154" s="9">
        <v>150</v>
      </c>
      <c r="K154" s="16" t="s">
        <v>19</v>
      </c>
      <c r="L154" s="16" t="s">
        <v>137</v>
      </c>
      <c r="M154" s="16" t="s">
        <v>19</v>
      </c>
      <c r="N154" s="16" t="s">
        <v>36</v>
      </c>
      <c r="O154" s="16" t="s">
        <v>35</v>
      </c>
      <c r="Q154" s="9">
        <v>5</v>
      </c>
      <c r="R154" s="9">
        <v>15</v>
      </c>
      <c r="S154" s="9">
        <v>5</v>
      </c>
      <c r="T154" s="9">
        <v>10</v>
      </c>
      <c r="U154" s="9">
        <v>8</v>
      </c>
      <c r="W154" s="25">
        <v>1</v>
      </c>
      <c r="X154" s="25">
        <v>1</v>
      </c>
      <c r="Y154" s="25">
        <v>1</v>
      </c>
      <c r="Z154" s="25">
        <v>1</v>
      </c>
      <c r="AA154" s="25">
        <v>1</v>
      </c>
      <c r="AH154" s="5"/>
      <c r="AI154" s="5"/>
      <c r="AO154" s="5"/>
    </row>
    <row r="155" spans="10:41">
      <c r="J155" s="25">
        <v>151</v>
      </c>
      <c r="K155" s="16" t="s">
        <v>35</v>
      </c>
      <c r="L155" s="16" t="s">
        <v>36</v>
      </c>
      <c r="M155" s="16" t="s">
        <v>22</v>
      </c>
      <c r="N155" s="16" t="s">
        <v>36</v>
      </c>
      <c r="O155" s="16" t="s">
        <v>21</v>
      </c>
      <c r="Q155" s="9">
        <v>8</v>
      </c>
      <c r="R155" s="9">
        <v>10</v>
      </c>
      <c r="S155" s="9">
        <v>3</v>
      </c>
      <c r="T155" s="9">
        <v>10</v>
      </c>
      <c r="U155" s="9">
        <v>2</v>
      </c>
      <c r="W155" s="25">
        <v>1</v>
      </c>
      <c r="X155" s="25">
        <v>1</v>
      </c>
      <c r="Y155" s="25">
        <v>1</v>
      </c>
      <c r="Z155" s="25">
        <v>1</v>
      </c>
      <c r="AA155" s="25">
        <v>1</v>
      </c>
      <c r="AH155" s="5"/>
      <c r="AI155" s="5"/>
      <c r="AO155" s="5"/>
    </row>
    <row r="156" spans="10:41">
      <c r="J156" s="9">
        <v>152</v>
      </c>
      <c r="K156" s="16" t="s">
        <v>136</v>
      </c>
      <c r="L156" s="16" t="s">
        <v>18</v>
      </c>
      <c r="M156" s="16" t="s">
        <v>92</v>
      </c>
      <c r="N156" s="16" t="s">
        <v>35</v>
      </c>
      <c r="O156" s="16" t="s">
        <v>19</v>
      </c>
      <c r="Q156" s="9">
        <v>6</v>
      </c>
      <c r="R156" s="9">
        <v>4</v>
      </c>
      <c r="S156" s="9">
        <v>16</v>
      </c>
      <c r="T156" s="9">
        <v>8</v>
      </c>
      <c r="U156" s="9">
        <v>5</v>
      </c>
      <c r="W156" s="25">
        <v>1</v>
      </c>
      <c r="X156" s="25">
        <v>1</v>
      </c>
      <c r="Y156" s="25">
        <v>1</v>
      </c>
      <c r="Z156" s="25">
        <v>1</v>
      </c>
      <c r="AA156" s="25">
        <v>1</v>
      </c>
      <c r="AH156" s="5"/>
      <c r="AI156" s="5"/>
      <c r="AO156" s="5"/>
    </row>
    <row r="157" spans="10:41">
      <c r="J157" s="25">
        <v>153</v>
      </c>
      <c r="K157" s="16" t="s">
        <v>136</v>
      </c>
      <c r="L157" s="16" t="s">
        <v>18</v>
      </c>
      <c r="M157" s="16" t="s">
        <v>19</v>
      </c>
      <c r="N157" s="16" t="s">
        <v>95</v>
      </c>
      <c r="O157" s="16" t="s">
        <v>21</v>
      </c>
      <c r="Q157" s="9">
        <v>6</v>
      </c>
      <c r="R157" s="9">
        <v>4</v>
      </c>
      <c r="S157" s="9">
        <v>5</v>
      </c>
      <c r="T157" s="9">
        <v>18</v>
      </c>
      <c r="U157" s="9">
        <v>2</v>
      </c>
      <c r="W157" s="25">
        <v>1</v>
      </c>
      <c r="X157" s="25">
        <v>1</v>
      </c>
      <c r="Y157" s="25">
        <v>1</v>
      </c>
      <c r="Z157" s="25">
        <v>1</v>
      </c>
      <c r="AA157" s="25">
        <v>1</v>
      </c>
      <c r="AH157" s="5"/>
      <c r="AI157" s="5"/>
      <c r="AO157" s="5"/>
    </row>
    <row r="158" spans="10:41">
      <c r="J158" s="9">
        <v>154</v>
      </c>
      <c r="K158" s="16" t="s">
        <v>35</v>
      </c>
      <c r="L158" s="16" t="s">
        <v>97</v>
      </c>
      <c r="M158" s="16" t="s">
        <v>37</v>
      </c>
      <c r="N158" s="16" t="s">
        <v>136</v>
      </c>
      <c r="O158" s="16" t="s">
        <v>21</v>
      </c>
      <c r="Q158" s="9">
        <v>8</v>
      </c>
      <c r="R158" s="9">
        <v>19</v>
      </c>
      <c r="S158" s="9">
        <v>7</v>
      </c>
      <c r="T158" s="9">
        <v>6</v>
      </c>
      <c r="U158" s="9">
        <v>2</v>
      </c>
      <c r="W158" s="25">
        <v>1</v>
      </c>
      <c r="X158" s="25">
        <v>1</v>
      </c>
      <c r="Y158" s="25">
        <v>1</v>
      </c>
      <c r="Z158" s="25">
        <v>1</v>
      </c>
      <c r="AA158" s="25">
        <v>1</v>
      </c>
      <c r="AH158" s="5"/>
      <c r="AI158" s="5"/>
      <c r="AO158" s="5"/>
    </row>
    <row r="159" spans="10:41">
      <c r="J159" s="25">
        <v>155</v>
      </c>
      <c r="K159" s="16" t="s">
        <v>136</v>
      </c>
      <c r="L159" s="16" t="s">
        <v>91</v>
      </c>
      <c r="M159" s="16" t="s">
        <v>136</v>
      </c>
      <c r="N159" s="16" t="s">
        <v>136</v>
      </c>
      <c r="O159" s="16" t="s">
        <v>22</v>
      </c>
      <c r="Q159" s="9">
        <v>6</v>
      </c>
      <c r="R159" s="9">
        <v>14</v>
      </c>
      <c r="S159" s="9">
        <v>6</v>
      </c>
      <c r="T159" s="9">
        <v>6</v>
      </c>
      <c r="U159" s="9">
        <v>3</v>
      </c>
      <c r="W159" s="25">
        <v>1</v>
      </c>
      <c r="X159" s="25">
        <v>1</v>
      </c>
      <c r="Y159" s="25">
        <v>1</v>
      </c>
      <c r="Z159" s="25">
        <v>1</v>
      </c>
      <c r="AA159" s="25">
        <v>1</v>
      </c>
      <c r="AH159" s="5"/>
      <c r="AI159" s="5"/>
      <c r="AO159" s="5"/>
    </row>
    <row r="160" spans="10:41">
      <c r="J160" s="9">
        <v>156</v>
      </c>
      <c r="K160" s="16" t="s">
        <v>37</v>
      </c>
      <c r="L160" s="16" t="s">
        <v>22</v>
      </c>
      <c r="M160" s="16" t="s">
        <v>91</v>
      </c>
      <c r="N160" s="16" t="s">
        <v>88</v>
      </c>
      <c r="O160" s="16" t="s">
        <v>19</v>
      </c>
      <c r="Q160" s="9">
        <v>7</v>
      </c>
      <c r="R160" s="9">
        <v>3</v>
      </c>
      <c r="S160" s="9">
        <v>14</v>
      </c>
      <c r="T160" s="9">
        <v>11</v>
      </c>
      <c r="U160" s="9">
        <v>5</v>
      </c>
      <c r="W160" s="25">
        <v>1</v>
      </c>
      <c r="X160" s="25">
        <v>1</v>
      </c>
      <c r="Y160" s="25">
        <v>1</v>
      </c>
      <c r="Z160" s="25">
        <v>1</v>
      </c>
      <c r="AA160" s="25">
        <v>1</v>
      </c>
      <c r="AH160" s="5"/>
      <c r="AI160" s="5"/>
      <c r="AO160" s="5"/>
    </row>
    <row r="161" spans="10:41">
      <c r="J161" s="25">
        <v>157</v>
      </c>
      <c r="K161" s="16" t="s">
        <v>35</v>
      </c>
      <c r="L161" s="16" t="s">
        <v>22</v>
      </c>
      <c r="M161" s="16" t="s">
        <v>35</v>
      </c>
      <c r="N161" s="16" t="s">
        <v>136</v>
      </c>
      <c r="O161" s="16" t="s">
        <v>37</v>
      </c>
      <c r="Q161" s="9">
        <v>8</v>
      </c>
      <c r="R161" s="9">
        <v>3</v>
      </c>
      <c r="S161" s="9">
        <v>8</v>
      </c>
      <c r="T161" s="9">
        <v>6</v>
      </c>
      <c r="U161" s="9">
        <v>7</v>
      </c>
      <c r="W161" s="25">
        <v>1</v>
      </c>
      <c r="X161" s="25">
        <v>1</v>
      </c>
      <c r="Y161" s="25">
        <v>1</v>
      </c>
      <c r="Z161" s="25">
        <v>1</v>
      </c>
      <c r="AA161" s="25">
        <v>1</v>
      </c>
      <c r="AH161" s="5"/>
      <c r="AI161" s="5"/>
      <c r="AO161" s="5"/>
    </row>
    <row r="162" spans="10:41">
      <c r="J162" s="9">
        <v>158</v>
      </c>
      <c r="K162" s="16" t="s">
        <v>35</v>
      </c>
      <c r="L162" s="16" t="s">
        <v>37</v>
      </c>
      <c r="M162" s="16" t="s">
        <v>35</v>
      </c>
      <c r="N162" s="16" t="s">
        <v>91</v>
      </c>
      <c r="O162" s="16" t="s">
        <v>36</v>
      </c>
      <c r="Q162" s="9">
        <v>8</v>
      </c>
      <c r="R162" s="9">
        <v>7</v>
      </c>
      <c r="S162" s="9">
        <v>8</v>
      </c>
      <c r="T162" s="9">
        <v>14</v>
      </c>
      <c r="U162" s="9">
        <v>10</v>
      </c>
      <c r="W162" s="25">
        <v>1</v>
      </c>
      <c r="X162" s="25">
        <v>1</v>
      </c>
      <c r="Y162" s="25">
        <v>1</v>
      </c>
      <c r="Z162" s="25">
        <v>1</v>
      </c>
      <c r="AA162" s="25">
        <v>1</v>
      </c>
      <c r="AH162" s="5"/>
      <c r="AI162" s="5"/>
      <c r="AO162" s="5"/>
    </row>
    <row r="163" spans="10:41">
      <c r="J163" s="25">
        <v>159</v>
      </c>
      <c r="K163" s="16" t="s">
        <v>35</v>
      </c>
      <c r="L163" s="16" t="s">
        <v>37</v>
      </c>
      <c r="M163" s="16" t="s">
        <v>35</v>
      </c>
      <c r="N163" s="16" t="s">
        <v>22</v>
      </c>
      <c r="O163" s="16" t="s">
        <v>136</v>
      </c>
      <c r="Q163" s="9">
        <v>8</v>
      </c>
      <c r="R163" s="9">
        <v>7</v>
      </c>
      <c r="S163" s="9">
        <v>8</v>
      </c>
      <c r="T163" s="9">
        <v>3</v>
      </c>
      <c r="U163" s="9">
        <v>6</v>
      </c>
      <c r="W163" s="25">
        <v>1</v>
      </c>
      <c r="X163" s="25">
        <v>1</v>
      </c>
      <c r="Y163" s="25">
        <v>1</v>
      </c>
      <c r="Z163" s="25">
        <v>1</v>
      </c>
      <c r="AA163" s="25">
        <v>1</v>
      </c>
      <c r="AH163" s="5"/>
      <c r="AI163" s="5"/>
      <c r="AO163" s="5"/>
    </row>
    <row r="164" spans="10:41">
      <c r="J164" s="9">
        <v>160</v>
      </c>
      <c r="K164" s="16" t="s">
        <v>136</v>
      </c>
      <c r="L164" s="16" t="s">
        <v>95</v>
      </c>
      <c r="M164" s="16" t="s">
        <v>37</v>
      </c>
      <c r="N164" s="16" t="s">
        <v>18</v>
      </c>
      <c r="O164" s="16" t="s">
        <v>136</v>
      </c>
      <c r="Q164" s="9">
        <v>6</v>
      </c>
      <c r="R164" s="9">
        <v>18</v>
      </c>
      <c r="S164" s="9">
        <v>7</v>
      </c>
      <c r="T164" s="9">
        <v>4</v>
      </c>
      <c r="U164" s="9">
        <v>6</v>
      </c>
      <c r="W164" s="25">
        <v>1</v>
      </c>
      <c r="X164" s="25">
        <v>1</v>
      </c>
      <c r="Y164" s="25">
        <v>1</v>
      </c>
      <c r="Z164" s="25">
        <v>1</v>
      </c>
      <c r="AA164" s="25">
        <v>1</v>
      </c>
      <c r="AH164" s="5"/>
      <c r="AI164" s="5"/>
      <c r="AO164" s="5"/>
    </row>
    <row r="165" spans="10:41">
      <c r="J165" s="25">
        <v>161</v>
      </c>
      <c r="K165" s="16" t="s">
        <v>35</v>
      </c>
      <c r="L165" s="16" t="s">
        <v>36</v>
      </c>
      <c r="M165" s="16" t="s">
        <v>136</v>
      </c>
      <c r="N165" s="16" t="s">
        <v>18</v>
      </c>
      <c r="O165" s="16" t="s">
        <v>21</v>
      </c>
      <c r="Q165" s="9">
        <v>8</v>
      </c>
      <c r="R165" s="9">
        <v>10</v>
      </c>
      <c r="S165" s="9">
        <v>6</v>
      </c>
      <c r="T165" s="9">
        <v>4</v>
      </c>
      <c r="U165" s="9">
        <v>2</v>
      </c>
      <c r="W165" s="25">
        <v>1</v>
      </c>
      <c r="X165" s="25">
        <v>1</v>
      </c>
      <c r="Y165" s="25">
        <v>1</v>
      </c>
      <c r="Z165" s="25">
        <v>1</v>
      </c>
      <c r="AA165" s="25">
        <v>1</v>
      </c>
      <c r="AH165" s="5"/>
      <c r="AI165" s="5"/>
      <c r="AO165" s="5"/>
    </row>
    <row r="166" spans="10:41">
      <c r="J166" s="9">
        <v>162</v>
      </c>
      <c r="K166" s="16" t="s">
        <v>36</v>
      </c>
      <c r="L166" s="16" t="s">
        <v>89</v>
      </c>
      <c r="M166" s="16" t="s">
        <v>37</v>
      </c>
      <c r="N166" s="16" t="s">
        <v>21</v>
      </c>
      <c r="O166" s="16" t="s">
        <v>19</v>
      </c>
      <c r="Q166" s="9">
        <v>10</v>
      </c>
      <c r="R166" s="9">
        <v>12</v>
      </c>
      <c r="S166" s="9">
        <v>7</v>
      </c>
      <c r="T166" s="9">
        <v>2</v>
      </c>
      <c r="U166" s="9">
        <v>5</v>
      </c>
      <c r="W166" s="25">
        <v>1</v>
      </c>
      <c r="X166" s="25">
        <v>1</v>
      </c>
      <c r="Y166" s="25">
        <v>1</v>
      </c>
      <c r="Z166" s="25">
        <v>1</v>
      </c>
      <c r="AA166" s="25">
        <v>1</v>
      </c>
      <c r="AH166" s="5"/>
      <c r="AI166" s="5"/>
      <c r="AO166" s="5"/>
    </row>
    <row r="167" spans="10:41">
      <c r="J167" s="25">
        <v>163</v>
      </c>
      <c r="K167" s="16" t="s">
        <v>19</v>
      </c>
      <c r="L167" s="16" t="s">
        <v>35</v>
      </c>
      <c r="M167" s="16" t="s">
        <v>21</v>
      </c>
      <c r="N167" s="16" t="s">
        <v>21</v>
      </c>
      <c r="O167" s="16" t="s">
        <v>34</v>
      </c>
      <c r="Q167" s="9">
        <v>5</v>
      </c>
      <c r="R167" s="9">
        <v>8</v>
      </c>
      <c r="S167" s="9">
        <v>2</v>
      </c>
      <c r="T167" s="9">
        <v>2</v>
      </c>
      <c r="U167" s="9">
        <v>9</v>
      </c>
      <c r="W167" s="25">
        <v>1</v>
      </c>
      <c r="X167" s="25">
        <v>1</v>
      </c>
      <c r="Y167" s="25">
        <v>1</v>
      </c>
      <c r="Z167" s="25">
        <v>1</v>
      </c>
      <c r="AA167" s="25">
        <v>1</v>
      </c>
      <c r="AH167" s="5"/>
      <c r="AI167" s="5"/>
      <c r="AO167" s="5"/>
    </row>
    <row r="168" spans="10:41">
      <c r="J168" s="9">
        <v>164</v>
      </c>
      <c r="K168" s="16" t="s">
        <v>35</v>
      </c>
      <c r="L168" s="16" t="s">
        <v>34</v>
      </c>
      <c r="M168" s="16" t="s">
        <v>19</v>
      </c>
      <c r="N168" s="16" t="s">
        <v>21</v>
      </c>
      <c r="O168" s="16" t="s">
        <v>36</v>
      </c>
      <c r="Q168" s="9">
        <v>8</v>
      </c>
      <c r="R168" s="9">
        <v>9</v>
      </c>
      <c r="S168" s="9">
        <v>5</v>
      </c>
      <c r="T168" s="9">
        <v>2</v>
      </c>
      <c r="U168" s="9">
        <v>10</v>
      </c>
      <c r="W168" s="25">
        <v>1</v>
      </c>
      <c r="X168" s="25">
        <v>1</v>
      </c>
      <c r="Y168" s="25">
        <v>1</v>
      </c>
      <c r="Z168" s="25">
        <v>1</v>
      </c>
      <c r="AA168" s="25">
        <v>1</v>
      </c>
      <c r="AH168" s="5"/>
      <c r="AI168" s="5"/>
      <c r="AO168" s="5"/>
    </row>
    <row r="169" spans="10:41">
      <c r="J169" s="25">
        <v>165</v>
      </c>
      <c r="K169" s="16" t="s">
        <v>37</v>
      </c>
      <c r="L169" s="16" t="s">
        <v>22</v>
      </c>
      <c r="M169" s="16" t="s">
        <v>35</v>
      </c>
      <c r="N169" s="16" t="s">
        <v>136</v>
      </c>
      <c r="O169" s="16" t="s">
        <v>34</v>
      </c>
      <c r="Q169" s="9">
        <v>7</v>
      </c>
      <c r="R169" s="9">
        <v>3</v>
      </c>
      <c r="S169" s="9">
        <v>8</v>
      </c>
      <c r="T169" s="9">
        <v>6</v>
      </c>
      <c r="U169" s="9">
        <v>9</v>
      </c>
      <c r="W169" s="25">
        <v>1</v>
      </c>
      <c r="X169" s="25">
        <v>1</v>
      </c>
      <c r="Y169" s="25">
        <v>1</v>
      </c>
      <c r="Z169" s="25">
        <v>1</v>
      </c>
      <c r="AA169" s="25">
        <v>1</v>
      </c>
      <c r="AH169" s="5"/>
      <c r="AI169" s="5"/>
      <c r="AO169" s="5"/>
    </row>
    <row r="170" spans="10:41">
      <c r="J170" s="9">
        <v>166</v>
      </c>
      <c r="K170" s="16" t="s">
        <v>37</v>
      </c>
      <c r="L170" s="16" t="s">
        <v>20</v>
      </c>
      <c r="M170" s="16" t="s">
        <v>136</v>
      </c>
      <c r="N170" s="16" t="s">
        <v>37</v>
      </c>
      <c r="O170" s="16" t="s">
        <v>22</v>
      </c>
      <c r="Q170" s="9">
        <v>7</v>
      </c>
      <c r="R170" s="9">
        <v>1</v>
      </c>
      <c r="S170" s="9">
        <v>6</v>
      </c>
      <c r="T170" s="9">
        <v>7</v>
      </c>
      <c r="U170" s="9">
        <v>3</v>
      </c>
      <c r="W170" s="25">
        <v>1</v>
      </c>
      <c r="X170" s="25">
        <v>1</v>
      </c>
      <c r="Y170" s="25">
        <v>1</v>
      </c>
      <c r="Z170" s="25">
        <v>1</v>
      </c>
      <c r="AA170" s="25">
        <v>1</v>
      </c>
      <c r="AH170" s="5"/>
      <c r="AI170" s="5"/>
      <c r="AO170" s="5"/>
    </row>
    <row r="171" spans="10:41">
      <c r="J171" s="25">
        <v>167</v>
      </c>
      <c r="K171" s="16" t="s">
        <v>37</v>
      </c>
      <c r="L171" s="16" t="s">
        <v>19</v>
      </c>
      <c r="M171" s="16" t="s">
        <v>136</v>
      </c>
      <c r="N171" s="16" t="s">
        <v>136</v>
      </c>
      <c r="O171" s="16" t="s">
        <v>19</v>
      </c>
      <c r="Q171" s="9">
        <v>7</v>
      </c>
      <c r="R171" s="9">
        <v>5</v>
      </c>
      <c r="S171" s="9">
        <v>6</v>
      </c>
      <c r="T171" s="9">
        <v>6</v>
      </c>
      <c r="U171" s="9">
        <v>5</v>
      </c>
      <c r="W171" s="25">
        <v>1</v>
      </c>
      <c r="X171" s="25">
        <v>1</v>
      </c>
      <c r="Y171" s="25">
        <v>1</v>
      </c>
      <c r="Z171" s="25">
        <v>1</v>
      </c>
      <c r="AA171" s="25">
        <v>1</v>
      </c>
      <c r="AH171" s="5"/>
      <c r="AI171" s="5"/>
      <c r="AO171" s="5"/>
    </row>
    <row r="172" spans="10:41">
      <c r="J172" s="9">
        <v>168</v>
      </c>
      <c r="K172" s="16" t="s">
        <v>136</v>
      </c>
      <c r="L172" s="16" t="s">
        <v>19</v>
      </c>
      <c r="M172" s="16" t="s">
        <v>136</v>
      </c>
      <c r="N172" s="16" t="s">
        <v>90</v>
      </c>
      <c r="O172" s="16" t="s">
        <v>136</v>
      </c>
      <c r="Q172" s="9">
        <v>6</v>
      </c>
      <c r="R172" s="9">
        <v>5</v>
      </c>
      <c r="S172" s="9">
        <v>6</v>
      </c>
      <c r="T172" s="9">
        <v>13</v>
      </c>
      <c r="U172" s="9">
        <v>6</v>
      </c>
      <c r="W172" s="25">
        <v>1</v>
      </c>
      <c r="X172" s="25">
        <v>1</v>
      </c>
      <c r="Y172" s="25">
        <v>1</v>
      </c>
      <c r="Z172" s="25">
        <v>1</v>
      </c>
      <c r="AA172" s="25">
        <v>1</v>
      </c>
      <c r="AH172" s="5"/>
      <c r="AI172" s="5"/>
      <c r="AO172" s="5"/>
    </row>
    <row r="173" spans="10:41">
      <c r="J173" s="25">
        <v>169</v>
      </c>
      <c r="K173" s="16" t="s">
        <v>136</v>
      </c>
      <c r="L173" s="16" t="s">
        <v>19</v>
      </c>
      <c r="M173" s="16" t="s">
        <v>35</v>
      </c>
      <c r="N173" s="16" t="s">
        <v>36</v>
      </c>
      <c r="O173" s="16" t="s">
        <v>35</v>
      </c>
      <c r="Q173" s="9">
        <v>6</v>
      </c>
      <c r="R173" s="9">
        <v>5</v>
      </c>
      <c r="S173" s="9">
        <v>8</v>
      </c>
      <c r="T173" s="9">
        <v>10</v>
      </c>
      <c r="U173" s="9">
        <v>8</v>
      </c>
      <c r="W173" s="25">
        <v>1</v>
      </c>
      <c r="X173" s="25">
        <v>1</v>
      </c>
      <c r="Y173" s="25">
        <v>1</v>
      </c>
      <c r="Z173" s="25">
        <v>1</v>
      </c>
      <c r="AA173" s="25">
        <v>1</v>
      </c>
      <c r="AH173" s="5"/>
      <c r="AI173" s="5"/>
      <c r="AO173" s="5"/>
    </row>
    <row r="174" spans="10:41">
      <c r="J174" s="9">
        <v>170</v>
      </c>
      <c r="K174" s="16" t="s">
        <v>35</v>
      </c>
      <c r="L174" s="16" t="s">
        <v>18</v>
      </c>
      <c r="M174" s="16" t="s">
        <v>37</v>
      </c>
      <c r="N174" s="16" t="s">
        <v>19</v>
      </c>
      <c r="O174" s="16" t="s">
        <v>18</v>
      </c>
      <c r="Q174" s="9">
        <v>8</v>
      </c>
      <c r="R174" s="9">
        <v>4</v>
      </c>
      <c r="S174" s="9">
        <v>7</v>
      </c>
      <c r="T174" s="9">
        <v>5</v>
      </c>
      <c r="U174" s="9">
        <v>4</v>
      </c>
      <c r="W174" s="25">
        <v>1</v>
      </c>
      <c r="X174" s="25">
        <v>1</v>
      </c>
      <c r="Y174" s="25">
        <v>1</v>
      </c>
      <c r="Z174" s="25">
        <v>1</v>
      </c>
      <c r="AA174" s="25">
        <v>1</v>
      </c>
      <c r="AH174" s="5"/>
      <c r="AI174" s="5"/>
      <c r="AO174" s="5"/>
    </row>
    <row r="175" spans="10:41">
      <c r="J175" s="25">
        <v>171</v>
      </c>
      <c r="K175" s="16" t="s">
        <v>19</v>
      </c>
      <c r="L175" s="16" t="s">
        <v>119</v>
      </c>
      <c r="M175" s="16" t="s">
        <v>136</v>
      </c>
      <c r="N175" s="16" t="s">
        <v>136</v>
      </c>
      <c r="O175" s="16" t="s">
        <v>22</v>
      </c>
      <c r="Q175" s="9">
        <v>5</v>
      </c>
      <c r="R175" s="9">
        <v>17</v>
      </c>
      <c r="S175" s="9">
        <v>6</v>
      </c>
      <c r="T175" s="9">
        <v>6</v>
      </c>
      <c r="U175" s="9">
        <v>3</v>
      </c>
      <c r="W175" s="25">
        <v>1</v>
      </c>
      <c r="X175" s="25">
        <v>1</v>
      </c>
      <c r="Y175" s="25">
        <v>1</v>
      </c>
      <c r="Z175" s="25">
        <v>1</v>
      </c>
      <c r="AA175" s="25">
        <v>1</v>
      </c>
      <c r="AH175" s="5"/>
      <c r="AI175" s="5"/>
      <c r="AO175" s="5"/>
    </row>
    <row r="176" spans="10:41">
      <c r="J176" s="9">
        <v>172</v>
      </c>
      <c r="K176" s="16" t="s">
        <v>136</v>
      </c>
      <c r="L176" s="16" t="s">
        <v>22</v>
      </c>
      <c r="M176" s="16" t="s">
        <v>35</v>
      </c>
      <c r="N176" s="16" t="s">
        <v>36</v>
      </c>
      <c r="O176" s="16" t="s">
        <v>22</v>
      </c>
      <c r="Q176" s="9">
        <v>6</v>
      </c>
      <c r="R176" s="9">
        <v>3</v>
      </c>
      <c r="S176" s="9">
        <v>8</v>
      </c>
      <c r="T176" s="9">
        <v>10</v>
      </c>
      <c r="U176" s="9">
        <v>3</v>
      </c>
      <c r="W176" s="25">
        <v>1</v>
      </c>
      <c r="X176" s="25">
        <v>1</v>
      </c>
      <c r="Y176" s="25">
        <v>1</v>
      </c>
      <c r="Z176" s="25">
        <v>1</v>
      </c>
      <c r="AA176" s="25">
        <v>1</v>
      </c>
      <c r="AH176" s="5"/>
      <c r="AI176" s="5"/>
      <c r="AO176" s="5"/>
    </row>
    <row r="177" spans="10:41">
      <c r="J177" s="25">
        <v>173</v>
      </c>
      <c r="K177" s="16" t="s">
        <v>35</v>
      </c>
      <c r="L177" s="16" t="s">
        <v>35</v>
      </c>
      <c r="M177" s="16" t="s">
        <v>35</v>
      </c>
      <c r="N177" s="16" t="s">
        <v>20</v>
      </c>
      <c r="O177" s="16" t="s">
        <v>35</v>
      </c>
      <c r="Q177" s="9">
        <v>8</v>
      </c>
      <c r="R177" s="9">
        <v>8</v>
      </c>
      <c r="S177" s="9">
        <v>8</v>
      </c>
      <c r="T177" s="9">
        <v>1</v>
      </c>
      <c r="U177" s="9">
        <v>8</v>
      </c>
      <c r="W177" s="25">
        <v>1</v>
      </c>
      <c r="X177" s="25">
        <v>1</v>
      </c>
      <c r="Y177" s="25">
        <v>1</v>
      </c>
      <c r="Z177" s="25">
        <v>1</v>
      </c>
      <c r="AA177" s="25">
        <v>1</v>
      </c>
      <c r="AH177" s="5"/>
      <c r="AI177" s="5"/>
      <c r="AO177" s="5"/>
    </row>
    <row r="178" spans="10:41">
      <c r="J178" s="9">
        <v>174</v>
      </c>
      <c r="K178" s="16" t="s">
        <v>22</v>
      </c>
      <c r="L178" s="16" t="s">
        <v>18</v>
      </c>
      <c r="M178" s="16" t="s">
        <v>37</v>
      </c>
      <c r="N178" s="16" t="s">
        <v>22</v>
      </c>
      <c r="O178" s="16" t="s">
        <v>34</v>
      </c>
      <c r="Q178" s="9">
        <v>3</v>
      </c>
      <c r="R178" s="9">
        <v>4</v>
      </c>
      <c r="S178" s="9">
        <v>7</v>
      </c>
      <c r="T178" s="9">
        <v>3</v>
      </c>
      <c r="U178" s="9">
        <v>9</v>
      </c>
      <c r="W178" s="25">
        <v>1</v>
      </c>
      <c r="X178" s="25">
        <v>1</v>
      </c>
      <c r="Y178" s="25">
        <v>1</v>
      </c>
      <c r="Z178" s="25">
        <v>1</v>
      </c>
      <c r="AA178" s="25">
        <v>1</v>
      </c>
      <c r="AH178" s="5"/>
      <c r="AI178" s="5"/>
      <c r="AO178" s="5"/>
    </row>
    <row r="179" spans="10:41">
      <c r="J179" s="25">
        <v>175</v>
      </c>
      <c r="K179" s="16" t="s">
        <v>37</v>
      </c>
      <c r="L179" s="16" t="s">
        <v>37</v>
      </c>
      <c r="M179" s="16" t="s">
        <v>37</v>
      </c>
      <c r="N179" s="16" t="s">
        <v>137</v>
      </c>
      <c r="O179" s="16" t="s">
        <v>34</v>
      </c>
      <c r="Q179" s="9">
        <v>7</v>
      </c>
      <c r="R179" s="9">
        <v>7</v>
      </c>
      <c r="S179" s="9">
        <v>7</v>
      </c>
      <c r="T179" s="9">
        <v>15</v>
      </c>
      <c r="U179" s="9">
        <v>9</v>
      </c>
      <c r="W179" s="25">
        <v>1</v>
      </c>
      <c r="X179" s="25">
        <v>1</v>
      </c>
      <c r="Y179" s="25">
        <v>1</v>
      </c>
      <c r="Z179" s="25">
        <v>1</v>
      </c>
      <c r="AA179" s="25">
        <v>1</v>
      </c>
      <c r="AH179" s="5"/>
      <c r="AI179" s="5"/>
      <c r="AO179" s="5"/>
    </row>
    <row r="180" spans="10:41">
      <c r="J180" s="9">
        <v>176</v>
      </c>
      <c r="K180" s="16" t="s">
        <v>37</v>
      </c>
      <c r="L180" s="16" t="s">
        <v>19</v>
      </c>
      <c r="M180" s="16" t="s">
        <v>136</v>
      </c>
      <c r="N180" s="16" t="s">
        <v>18</v>
      </c>
      <c r="O180" s="16" t="s">
        <v>36</v>
      </c>
      <c r="Q180" s="9">
        <v>7</v>
      </c>
      <c r="R180" s="9">
        <v>5</v>
      </c>
      <c r="S180" s="9">
        <v>6</v>
      </c>
      <c r="T180" s="9">
        <v>4</v>
      </c>
      <c r="U180" s="9">
        <v>10</v>
      </c>
      <c r="W180" s="25">
        <v>1</v>
      </c>
      <c r="X180" s="25">
        <v>1</v>
      </c>
      <c r="Y180" s="25">
        <v>1</v>
      </c>
      <c r="Z180" s="25">
        <v>1</v>
      </c>
      <c r="AA180" s="25">
        <v>1</v>
      </c>
      <c r="AH180" s="5"/>
      <c r="AI180" s="5"/>
      <c r="AO180" s="5"/>
    </row>
    <row r="181" spans="10:41">
      <c r="J181" s="25">
        <v>177</v>
      </c>
      <c r="K181" s="16" t="s">
        <v>37</v>
      </c>
      <c r="L181" s="16" t="s">
        <v>91</v>
      </c>
      <c r="M181" s="16" t="s">
        <v>19</v>
      </c>
      <c r="N181" s="16" t="s">
        <v>35</v>
      </c>
      <c r="O181" s="16" t="s">
        <v>36</v>
      </c>
      <c r="Q181" s="9">
        <v>7</v>
      </c>
      <c r="R181" s="9">
        <v>14</v>
      </c>
      <c r="S181" s="9">
        <v>5</v>
      </c>
      <c r="T181" s="9">
        <v>8</v>
      </c>
      <c r="U181" s="9">
        <v>10</v>
      </c>
      <c r="W181" s="25">
        <v>1</v>
      </c>
      <c r="X181" s="25">
        <v>1</v>
      </c>
      <c r="Y181" s="25">
        <v>1</v>
      </c>
      <c r="Z181" s="25">
        <v>1</v>
      </c>
      <c r="AA181" s="25">
        <v>1</v>
      </c>
      <c r="AH181" s="5"/>
      <c r="AI181" s="5"/>
      <c r="AO181" s="5"/>
    </row>
    <row r="182" spans="10:41">
      <c r="J182" s="9">
        <v>178</v>
      </c>
      <c r="K182" s="16" t="s">
        <v>136</v>
      </c>
      <c r="L182" s="16" t="s">
        <v>91</v>
      </c>
      <c r="M182" s="16" t="s">
        <v>19</v>
      </c>
      <c r="N182" s="16" t="s">
        <v>21</v>
      </c>
      <c r="O182" s="16" t="s">
        <v>19</v>
      </c>
      <c r="Q182" s="9">
        <v>6</v>
      </c>
      <c r="R182" s="9">
        <v>14</v>
      </c>
      <c r="S182" s="9">
        <v>5</v>
      </c>
      <c r="T182" s="9">
        <v>2</v>
      </c>
      <c r="U182" s="9">
        <v>5</v>
      </c>
      <c r="W182" s="25">
        <v>1</v>
      </c>
      <c r="X182" s="25">
        <v>1</v>
      </c>
      <c r="Y182" s="25">
        <v>1</v>
      </c>
      <c r="Z182" s="25">
        <v>1</v>
      </c>
      <c r="AA182" s="25">
        <v>1</v>
      </c>
      <c r="AH182" s="5"/>
      <c r="AI182" s="5"/>
      <c r="AO182" s="5"/>
    </row>
    <row r="183" spans="10:41">
      <c r="J183" s="25">
        <v>179</v>
      </c>
      <c r="K183" s="16" t="s">
        <v>19</v>
      </c>
      <c r="L183" s="16" t="s">
        <v>21</v>
      </c>
      <c r="M183" s="16" t="s">
        <v>37</v>
      </c>
      <c r="N183" s="16" t="s">
        <v>97</v>
      </c>
      <c r="O183" s="16" t="s">
        <v>35</v>
      </c>
      <c r="Q183" s="9">
        <v>5</v>
      </c>
      <c r="R183" s="9">
        <v>2</v>
      </c>
      <c r="S183" s="9">
        <v>7</v>
      </c>
      <c r="T183" s="9">
        <v>19</v>
      </c>
      <c r="U183" s="9">
        <v>8</v>
      </c>
      <c r="W183" s="25">
        <v>1</v>
      </c>
      <c r="X183" s="25">
        <v>1</v>
      </c>
      <c r="Y183" s="25">
        <v>1</v>
      </c>
      <c r="Z183" s="25">
        <v>1</v>
      </c>
      <c r="AA183" s="25">
        <v>1</v>
      </c>
      <c r="AH183" s="5"/>
      <c r="AI183" s="5"/>
      <c r="AO183" s="5"/>
    </row>
    <row r="184" spans="10:41">
      <c r="J184" s="9">
        <v>180</v>
      </c>
      <c r="K184" s="16" t="s">
        <v>37</v>
      </c>
      <c r="L184" s="16" t="s">
        <v>21</v>
      </c>
      <c r="M184" s="16" t="s">
        <v>19</v>
      </c>
      <c r="N184" s="16" t="s">
        <v>36</v>
      </c>
      <c r="O184" s="16" t="s">
        <v>21</v>
      </c>
      <c r="Q184" s="9">
        <v>7</v>
      </c>
      <c r="R184" s="9">
        <v>2</v>
      </c>
      <c r="S184" s="9">
        <v>5</v>
      </c>
      <c r="T184" s="9">
        <v>10</v>
      </c>
      <c r="U184" s="9">
        <v>2</v>
      </c>
      <c r="W184" s="25">
        <v>1</v>
      </c>
      <c r="X184" s="25">
        <v>1</v>
      </c>
      <c r="Y184" s="25">
        <v>1</v>
      </c>
      <c r="Z184" s="25">
        <v>1</v>
      </c>
      <c r="AA184" s="25">
        <v>1</v>
      </c>
      <c r="AH184" s="5"/>
      <c r="AI184" s="5"/>
      <c r="AO184" s="5"/>
    </row>
    <row r="185" spans="10:41">
      <c r="J185" s="25">
        <v>181</v>
      </c>
      <c r="K185" s="16" t="s">
        <v>35</v>
      </c>
      <c r="L185" s="16" t="s">
        <v>97</v>
      </c>
      <c r="M185" s="16" t="s">
        <v>36</v>
      </c>
      <c r="N185" s="16" t="s">
        <v>22</v>
      </c>
      <c r="O185" s="16" t="s">
        <v>36</v>
      </c>
      <c r="Q185" s="9">
        <v>8</v>
      </c>
      <c r="R185" s="9">
        <v>19</v>
      </c>
      <c r="S185" s="9">
        <v>10</v>
      </c>
      <c r="T185" s="9">
        <v>3</v>
      </c>
      <c r="U185" s="9">
        <v>10</v>
      </c>
      <c r="W185" s="25">
        <v>1</v>
      </c>
      <c r="X185" s="25">
        <v>1</v>
      </c>
      <c r="Y185" s="25">
        <v>1</v>
      </c>
      <c r="Z185" s="25">
        <v>1</v>
      </c>
      <c r="AA185" s="25">
        <v>1</v>
      </c>
      <c r="AH185" s="5"/>
      <c r="AI185" s="5"/>
      <c r="AO185" s="5"/>
    </row>
    <row r="186" spans="10:41">
      <c r="J186" s="9">
        <v>182</v>
      </c>
      <c r="K186" s="16" t="s">
        <v>35</v>
      </c>
      <c r="L186" s="16" t="s">
        <v>95</v>
      </c>
      <c r="M186" s="16" t="s">
        <v>136</v>
      </c>
      <c r="N186" s="16" t="s">
        <v>22</v>
      </c>
      <c r="O186" s="16" t="s">
        <v>19</v>
      </c>
      <c r="Q186" s="9">
        <v>8</v>
      </c>
      <c r="R186" s="9">
        <v>18</v>
      </c>
      <c r="S186" s="9">
        <v>6</v>
      </c>
      <c r="T186" s="9">
        <v>3</v>
      </c>
      <c r="U186" s="9">
        <v>5</v>
      </c>
      <c r="W186" s="25">
        <v>1</v>
      </c>
      <c r="X186" s="25">
        <v>1</v>
      </c>
      <c r="Y186" s="25">
        <v>1</v>
      </c>
      <c r="Z186" s="25">
        <v>1</v>
      </c>
      <c r="AA186" s="25">
        <v>1</v>
      </c>
      <c r="AH186" s="5"/>
      <c r="AI186" s="5"/>
      <c r="AO186" s="5"/>
    </row>
    <row r="187" spans="10:41">
      <c r="J187" s="25">
        <v>183</v>
      </c>
      <c r="K187" s="16" t="s">
        <v>35</v>
      </c>
      <c r="L187" s="16" t="s">
        <v>35</v>
      </c>
      <c r="M187" s="16" t="s">
        <v>21</v>
      </c>
      <c r="N187" s="16" t="s">
        <v>88</v>
      </c>
      <c r="O187" s="16" t="s">
        <v>37</v>
      </c>
      <c r="Q187" s="9">
        <v>8</v>
      </c>
      <c r="R187" s="9">
        <v>8</v>
      </c>
      <c r="S187" s="9">
        <v>2</v>
      </c>
      <c r="T187" s="9">
        <v>11</v>
      </c>
      <c r="U187" s="9">
        <v>7</v>
      </c>
      <c r="W187" s="25">
        <v>1</v>
      </c>
      <c r="X187" s="25">
        <v>1</v>
      </c>
      <c r="Y187" s="25">
        <v>1</v>
      </c>
      <c r="Z187" s="25">
        <v>1</v>
      </c>
      <c r="AA187" s="25">
        <v>1</v>
      </c>
      <c r="AH187" s="5"/>
      <c r="AI187" s="5"/>
      <c r="AO187" s="5"/>
    </row>
    <row r="188" spans="10:41">
      <c r="J188" s="9">
        <v>184</v>
      </c>
      <c r="K188" s="16" t="s">
        <v>37</v>
      </c>
      <c r="L188" s="16" t="s">
        <v>88</v>
      </c>
      <c r="M188" s="16" t="s">
        <v>19</v>
      </c>
      <c r="N188" s="16" t="s">
        <v>20</v>
      </c>
      <c r="O188" s="16" t="s">
        <v>21</v>
      </c>
      <c r="Q188" s="9">
        <v>7</v>
      </c>
      <c r="R188" s="9">
        <v>11</v>
      </c>
      <c r="S188" s="9">
        <v>5</v>
      </c>
      <c r="T188" s="9">
        <v>1</v>
      </c>
      <c r="U188" s="9">
        <v>2</v>
      </c>
      <c r="W188" s="25">
        <v>1</v>
      </c>
      <c r="X188" s="25">
        <v>1</v>
      </c>
      <c r="Y188" s="25">
        <v>1</v>
      </c>
      <c r="Z188" s="25">
        <v>1</v>
      </c>
      <c r="AA188" s="25">
        <v>1</v>
      </c>
      <c r="AH188" s="5"/>
      <c r="AI188" s="5"/>
      <c r="AO188" s="5"/>
    </row>
    <row r="189" spans="10:41">
      <c r="J189" s="25">
        <v>185</v>
      </c>
      <c r="K189" s="16" t="s">
        <v>136</v>
      </c>
      <c r="L189" s="16" t="s">
        <v>35</v>
      </c>
      <c r="M189" s="16" t="s">
        <v>136</v>
      </c>
      <c r="N189" s="16" t="s">
        <v>34</v>
      </c>
      <c r="O189" s="16" t="s">
        <v>18</v>
      </c>
      <c r="Q189" s="9">
        <v>6</v>
      </c>
      <c r="R189" s="9">
        <v>8</v>
      </c>
      <c r="S189" s="9">
        <v>6</v>
      </c>
      <c r="T189" s="9">
        <v>9</v>
      </c>
      <c r="U189" s="9">
        <v>4</v>
      </c>
      <c r="W189" s="25">
        <v>1</v>
      </c>
      <c r="X189" s="25">
        <v>1</v>
      </c>
      <c r="Y189" s="25">
        <v>1</v>
      </c>
      <c r="Z189" s="25">
        <v>1</v>
      </c>
      <c r="AA189" s="25">
        <v>1</v>
      </c>
      <c r="AH189" s="5"/>
      <c r="AI189" s="5"/>
      <c r="AO189" s="5"/>
    </row>
    <row r="190" spans="10:41">
      <c r="J190" s="9">
        <v>186</v>
      </c>
      <c r="K190" s="16" t="s">
        <v>136</v>
      </c>
      <c r="L190" s="16" t="s">
        <v>20</v>
      </c>
      <c r="M190" s="16" t="s">
        <v>136</v>
      </c>
      <c r="N190" s="16" t="s">
        <v>35</v>
      </c>
      <c r="O190" s="16" t="s">
        <v>22</v>
      </c>
      <c r="Q190" s="9">
        <v>6</v>
      </c>
      <c r="R190" s="9">
        <v>1</v>
      </c>
      <c r="S190" s="9">
        <v>6</v>
      </c>
      <c r="T190" s="9">
        <v>8</v>
      </c>
      <c r="U190" s="9">
        <v>3</v>
      </c>
      <c r="W190" s="25">
        <v>1</v>
      </c>
      <c r="X190" s="25">
        <v>1</v>
      </c>
      <c r="Y190" s="25">
        <v>1</v>
      </c>
      <c r="Z190" s="25">
        <v>1</v>
      </c>
      <c r="AA190" s="25">
        <v>1</v>
      </c>
      <c r="AH190" s="5"/>
      <c r="AI190" s="5"/>
      <c r="AO190" s="5"/>
    </row>
    <row r="191" spans="10:41">
      <c r="J191" s="25">
        <v>187</v>
      </c>
      <c r="K191" s="16" t="s">
        <v>35</v>
      </c>
      <c r="L191" s="16" t="s">
        <v>21</v>
      </c>
      <c r="M191" s="16" t="s">
        <v>37</v>
      </c>
      <c r="N191" s="16" t="s">
        <v>18</v>
      </c>
      <c r="O191" s="16" t="s">
        <v>19</v>
      </c>
      <c r="Q191" s="9">
        <v>8</v>
      </c>
      <c r="R191" s="9">
        <v>2</v>
      </c>
      <c r="S191" s="9">
        <v>7</v>
      </c>
      <c r="T191" s="9">
        <v>4</v>
      </c>
      <c r="U191" s="9">
        <v>5</v>
      </c>
      <c r="W191" s="25">
        <v>1</v>
      </c>
      <c r="X191" s="25">
        <v>1</v>
      </c>
      <c r="Y191" s="25">
        <v>1</v>
      </c>
      <c r="Z191" s="25">
        <v>1</v>
      </c>
      <c r="AA191" s="25">
        <v>1</v>
      </c>
      <c r="AH191" s="5"/>
      <c r="AI191" s="5"/>
      <c r="AO191" s="5"/>
    </row>
    <row r="192" spans="10:41">
      <c r="J192" s="9">
        <v>188</v>
      </c>
      <c r="K192" s="16" t="s">
        <v>37</v>
      </c>
      <c r="L192" s="16" t="s">
        <v>19</v>
      </c>
      <c r="M192" s="16" t="s">
        <v>19</v>
      </c>
      <c r="N192" s="16" t="s">
        <v>97</v>
      </c>
      <c r="O192" s="16" t="s">
        <v>35</v>
      </c>
      <c r="Q192" s="9">
        <v>7</v>
      </c>
      <c r="R192" s="9">
        <v>5</v>
      </c>
      <c r="S192" s="9">
        <v>5</v>
      </c>
      <c r="T192" s="9">
        <v>19</v>
      </c>
      <c r="U192" s="9">
        <v>8</v>
      </c>
      <c r="W192" s="25">
        <v>1</v>
      </c>
      <c r="X192" s="25">
        <v>1</v>
      </c>
      <c r="Y192" s="25">
        <v>1</v>
      </c>
      <c r="Z192" s="25">
        <v>1</v>
      </c>
      <c r="AA192" s="25">
        <v>1</v>
      </c>
      <c r="AH192" s="5"/>
      <c r="AI192" s="5"/>
      <c r="AO192" s="5"/>
    </row>
    <row r="193" spans="10:41">
      <c r="J193" s="25">
        <v>189</v>
      </c>
      <c r="K193" s="16" t="s">
        <v>37</v>
      </c>
      <c r="L193" s="16" t="s">
        <v>21</v>
      </c>
      <c r="M193" s="16" t="s">
        <v>37</v>
      </c>
      <c r="N193" s="16" t="s">
        <v>137</v>
      </c>
      <c r="O193" s="16" t="s">
        <v>18</v>
      </c>
      <c r="Q193" s="9">
        <v>7</v>
      </c>
      <c r="R193" s="9">
        <v>2</v>
      </c>
      <c r="S193" s="9">
        <v>7</v>
      </c>
      <c r="T193" s="9">
        <v>15</v>
      </c>
      <c r="U193" s="9">
        <v>4</v>
      </c>
      <c r="W193" s="25">
        <v>1</v>
      </c>
      <c r="X193" s="25">
        <v>1</v>
      </c>
      <c r="Y193" s="25">
        <v>1</v>
      </c>
      <c r="Z193" s="25">
        <v>1</v>
      </c>
      <c r="AA193" s="25">
        <v>1</v>
      </c>
      <c r="AH193" s="5"/>
      <c r="AI193" s="5"/>
      <c r="AO193" s="5"/>
    </row>
    <row r="194" spans="10:41">
      <c r="J194" s="9">
        <v>190</v>
      </c>
      <c r="K194" s="16" t="s">
        <v>35</v>
      </c>
      <c r="L194" s="16" t="s">
        <v>119</v>
      </c>
      <c r="M194" s="16" t="s">
        <v>35</v>
      </c>
      <c r="N194" s="16" t="s">
        <v>22</v>
      </c>
      <c r="O194" s="16" t="s">
        <v>21</v>
      </c>
      <c r="Q194" s="9">
        <v>8</v>
      </c>
      <c r="R194" s="9">
        <v>17</v>
      </c>
      <c r="S194" s="9">
        <v>8</v>
      </c>
      <c r="T194" s="9">
        <v>3</v>
      </c>
      <c r="U194" s="9">
        <v>2</v>
      </c>
      <c r="W194" s="25">
        <v>1</v>
      </c>
      <c r="X194" s="25">
        <v>1</v>
      </c>
      <c r="Y194" s="25">
        <v>1</v>
      </c>
      <c r="Z194" s="25">
        <v>1</v>
      </c>
      <c r="AA194" s="25">
        <v>1</v>
      </c>
      <c r="AH194" s="5"/>
      <c r="AI194" s="5"/>
      <c r="AO194" s="5"/>
    </row>
    <row r="195" spans="10:41">
      <c r="J195" s="25">
        <v>191</v>
      </c>
      <c r="K195" s="16" t="s">
        <v>19</v>
      </c>
      <c r="L195" s="16" t="s">
        <v>22</v>
      </c>
      <c r="M195" s="16" t="s">
        <v>19</v>
      </c>
      <c r="N195" s="16" t="s">
        <v>37</v>
      </c>
      <c r="O195" s="16" t="s">
        <v>21</v>
      </c>
      <c r="Q195" s="9">
        <v>5</v>
      </c>
      <c r="R195" s="9">
        <v>3</v>
      </c>
      <c r="S195" s="9">
        <v>5</v>
      </c>
      <c r="T195" s="9">
        <v>7</v>
      </c>
      <c r="U195" s="9">
        <v>2</v>
      </c>
      <c r="W195" s="25">
        <v>1</v>
      </c>
      <c r="X195" s="25">
        <v>1</v>
      </c>
      <c r="Y195" s="25">
        <v>1</v>
      </c>
      <c r="Z195" s="25">
        <v>1</v>
      </c>
      <c r="AA195" s="25">
        <v>1</v>
      </c>
      <c r="AH195" s="5"/>
      <c r="AI195" s="5"/>
      <c r="AO195" s="5"/>
    </row>
    <row r="196" spans="10:41">
      <c r="J196" s="9">
        <v>192</v>
      </c>
      <c r="K196" s="16" t="s">
        <v>35</v>
      </c>
      <c r="L196" s="16" t="s">
        <v>92</v>
      </c>
      <c r="M196" s="16" t="s">
        <v>19</v>
      </c>
      <c r="N196" s="16" t="s">
        <v>136</v>
      </c>
      <c r="O196" s="16" t="s">
        <v>37</v>
      </c>
      <c r="Q196" s="9">
        <v>8</v>
      </c>
      <c r="R196" s="9">
        <v>16</v>
      </c>
      <c r="S196" s="9">
        <v>5</v>
      </c>
      <c r="T196" s="9">
        <v>6</v>
      </c>
      <c r="U196" s="9">
        <v>7</v>
      </c>
      <c r="W196" s="25">
        <v>1</v>
      </c>
      <c r="X196" s="25">
        <v>1</v>
      </c>
      <c r="Y196" s="25">
        <v>1</v>
      </c>
      <c r="Z196" s="25">
        <v>1</v>
      </c>
      <c r="AA196" s="25">
        <v>1</v>
      </c>
      <c r="AH196" s="5"/>
      <c r="AI196" s="5"/>
      <c r="AO196" s="5"/>
    </row>
    <row r="197" spans="10:41">
      <c r="J197" s="25">
        <v>193</v>
      </c>
      <c r="K197" s="16" t="s">
        <v>37</v>
      </c>
      <c r="L197" s="16" t="s">
        <v>35</v>
      </c>
      <c r="M197" s="16" t="s">
        <v>136</v>
      </c>
      <c r="N197" s="16" t="s">
        <v>37</v>
      </c>
      <c r="O197" s="16" t="s">
        <v>34</v>
      </c>
      <c r="Q197" s="9">
        <v>7</v>
      </c>
      <c r="R197" s="9">
        <v>8</v>
      </c>
      <c r="S197" s="9">
        <v>6</v>
      </c>
      <c r="T197" s="9">
        <v>7</v>
      </c>
      <c r="U197" s="9">
        <v>9</v>
      </c>
      <c r="W197" s="25">
        <v>1</v>
      </c>
      <c r="X197" s="25">
        <v>1</v>
      </c>
      <c r="Y197" s="25">
        <v>1</v>
      </c>
      <c r="Z197" s="25">
        <v>1</v>
      </c>
      <c r="AA197" s="25">
        <v>1</v>
      </c>
      <c r="AH197" s="5"/>
      <c r="AI197" s="5"/>
      <c r="AO197" s="5"/>
    </row>
    <row r="198" spans="10:41">
      <c r="J198" s="9">
        <v>194</v>
      </c>
      <c r="K198" s="16" t="s">
        <v>19</v>
      </c>
      <c r="L198" s="16" t="s">
        <v>35</v>
      </c>
      <c r="M198" s="16" t="s">
        <v>37</v>
      </c>
      <c r="N198" s="16" t="s">
        <v>36</v>
      </c>
      <c r="O198" s="16" t="s">
        <v>34</v>
      </c>
      <c r="Q198" s="9">
        <v>5</v>
      </c>
      <c r="R198" s="9">
        <v>8</v>
      </c>
      <c r="S198" s="9">
        <v>7</v>
      </c>
      <c r="T198" s="9">
        <v>10</v>
      </c>
      <c r="U198" s="9">
        <v>9</v>
      </c>
      <c r="W198" s="25">
        <v>1</v>
      </c>
      <c r="X198" s="25">
        <v>1</v>
      </c>
      <c r="Y198" s="25">
        <v>1</v>
      </c>
      <c r="Z198" s="25">
        <v>1</v>
      </c>
      <c r="AA198" s="25">
        <v>1</v>
      </c>
      <c r="AH198" s="5"/>
      <c r="AI198" s="5"/>
      <c r="AO198" s="5"/>
    </row>
    <row r="199" spans="10:41">
      <c r="J199" s="25">
        <v>195</v>
      </c>
      <c r="K199" s="16" t="s">
        <v>37</v>
      </c>
      <c r="L199" s="16" t="s">
        <v>35</v>
      </c>
      <c r="M199" s="16" t="s">
        <v>37</v>
      </c>
      <c r="N199" s="16" t="s">
        <v>90</v>
      </c>
      <c r="O199" s="16" t="s">
        <v>35</v>
      </c>
      <c r="Q199" s="9">
        <v>7</v>
      </c>
      <c r="R199" s="9">
        <v>8</v>
      </c>
      <c r="S199" s="9">
        <v>7</v>
      </c>
      <c r="T199" s="9">
        <v>13</v>
      </c>
      <c r="U199" s="9">
        <v>8</v>
      </c>
      <c r="W199" s="25">
        <v>1</v>
      </c>
      <c r="X199" s="25">
        <v>1</v>
      </c>
      <c r="Y199" s="25">
        <v>1</v>
      </c>
      <c r="Z199" s="25">
        <v>1</v>
      </c>
      <c r="AA199" s="25">
        <v>1</v>
      </c>
      <c r="AH199" s="5"/>
      <c r="AI199" s="5"/>
      <c r="AO199" s="5"/>
    </row>
    <row r="200" spans="10:41">
      <c r="J200" s="9">
        <v>196</v>
      </c>
      <c r="K200" s="16" t="s">
        <v>19</v>
      </c>
      <c r="L200" s="16" t="s">
        <v>22</v>
      </c>
      <c r="M200" s="16" t="s">
        <v>37</v>
      </c>
      <c r="N200" s="16" t="s">
        <v>20</v>
      </c>
      <c r="O200" s="16" t="s">
        <v>136</v>
      </c>
      <c r="Q200" s="9">
        <v>5</v>
      </c>
      <c r="R200" s="9">
        <v>3</v>
      </c>
      <c r="S200" s="9">
        <v>7</v>
      </c>
      <c r="T200" s="9">
        <v>1</v>
      </c>
      <c r="U200" s="9">
        <v>6</v>
      </c>
      <c r="W200" s="25">
        <v>1</v>
      </c>
      <c r="X200" s="25">
        <v>1</v>
      </c>
      <c r="Y200" s="25">
        <v>1</v>
      </c>
      <c r="Z200" s="25">
        <v>1</v>
      </c>
      <c r="AA200" s="25">
        <v>1</v>
      </c>
      <c r="AH200" s="5"/>
      <c r="AI200" s="5"/>
      <c r="AO200" s="5"/>
    </row>
    <row r="201" spans="10:41">
      <c r="J201" s="25">
        <v>197</v>
      </c>
      <c r="K201" s="16" t="s">
        <v>37</v>
      </c>
      <c r="L201" s="16" t="s">
        <v>22</v>
      </c>
      <c r="M201" s="16" t="s">
        <v>136</v>
      </c>
      <c r="N201" s="16" t="s">
        <v>21</v>
      </c>
      <c r="O201" s="16" t="s">
        <v>35</v>
      </c>
      <c r="Q201" s="9">
        <v>7</v>
      </c>
      <c r="R201" s="9">
        <v>3</v>
      </c>
      <c r="S201" s="9">
        <v>6</v>
      </c>
      <c r="T201" s="9">
        <v>2</v>
      </c>
      <c r="U201" s="9">
        <v>8</v>
      </c>
      <c r="W201" s="25">
        <v>1</v>
      </c>
      <c r="X201" s="25">
        <v>1</v>
      </c>
      <c r="Y201" s="25">
        <v>1</v>
      </c>
      <c r="Z201" s="25">
        <v>1</v>
      </c>
      <c r="AA201" s="25">
        <v>1</v>
      </c>
      <c r="AH201" s="5"/>
      <c r="AI201" s="5"/>
      <c r="AO201" s="5"/>
    </row>
    <row r="202" spans="10:41">
      <c r="J202" s="9">
        <v>198</v>
      </c>
      <c r="K202" s="16" t="s">
        <v>37</v>
      </c>
      <c r="L202" s="16" t="s">
        <v>97</v>
      </c>
      <c r="M202" s="16" t="s">
        <v>136</v>
      </c>
      <c r="N202" s="16" t="s">
        <v>21</v>
      </c>
      <c r="O202" s="16" t="s">
        <v>21</v>
      </c>
      <c r="Q202" s="9">
        <v>7</v>
      </c>
      <c r="R202" s="9">
        <v>19</v>
      </c>
      <c r="S202" s="9">
        <v>6</v>
      </c>
      <c r="T202" s="9">
        <v>2</v>
      </c>
      <c r="U202" s="9">
        <v>2</v>
      </c>
      <c r="W202" s="25">
        <v>1</v>
      </c>
      <c r="X202" s="25">
        <v>1</v>
      </c>
      <c r="Y202" s="25">
        <v>1</v>
      </c>
      <c r="Z202" s="25">
        <v>1</v>
      </c>
      <c r="AA202" s="25">
        <v>1</v>
      </c>
      <c r="AH202" s="5"/>
      <c r="AI202" s="5"/>
      <c r="AO202" s="5"/>
    </row>
    <row r="203" spans="10:41">
      <c r="J203" s="25">
        <v>199</v>
      </c>
      <c r="K203" s="16" t="s">
        <v>35</v>
      </c>
      <c r="L203" s="16" t="s">
        <v>20</v>
      </c>
      <c r="M203" s="16" t="s">
        <v>136</v>
      </c>
      <c r="N203" s="16" t="s">
        <v>92</v>
      </c>
      <c r="O203" s="16" t="s">
        <v>34</v>
      </c>
      <c r="Q203" s="9">
        <v>8</v>
      </c>
      <c r="R203" s="9">
        <v>1</v>
      </c>
      <c r="S203" s="9">
        <v>6</v>
      </c>
      <c r="T203" s="9">
        <v>16</v>
      </c>
      <c r="U203" s="9">
        <v>9</v>
      </c>
      <c r="W203" s="25">
        <v>1</v>
      </c>
      <c r="X203" s="25">
        <v>1</v>
      </c>
      <c r="Y203" s="25">
        <v>1</v>
      </c>
      <c r="Z203" s="25">
        <v>1</v>
      </c>
      <c r="AA203" s="25">
        <v>1</v>
      </c>
      <c r="AH203" s="5"/>
      <c r="AI203" s="5"/>
      <c r="AO203" s="5"/>
    </row>
    <row r="204" spans="10:41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>
      <c r="AH305" s="5"/>
    </row>
  </sheetData>
  <phoneticPr fontId="20" type="noConversion"/>
  <conditionalFormatting sqref="K1:O1048576">
    <cfRule type="cellIs" dxfId="53" priority="14" operator="equal">
      <formula>"C1"</formula>
    </cfRule>
    <cfRule type="cellIs" dxfId="52" priority="15" operator="between">
      <formula>"G1"</formula>
      <formula>"G5"</formula>
    </cfRule>
    <cfRule type="cellIs" dxfId="51" priority="17" operator="between">
      <formula>"M1"</formula>
      <formula>"M5"</formula>
    </cfRule>
  </conditionalFormatting>
  <conditionalFormatting sqref="W5:AA304 X4:AA4">
    <cfRule type="expression" dxfId="50" priority="18">
      <formula>_xlfn.LET(_xlpm.x, W4, AND(NOT(_xlfn.ISFORMULA(_xlpm.x)), _xlpm.x&lt;&gt;""))</formula>
    </cfRule>
  </conditionalFormatting>
  <conditionalFormatting sqref="W4:AA203">
    <cfRule type="expression" dxfId="49" priority="13">
      <formula>_xlfn.LET(_xlpm.x, W4, AND(NOT(_xlfn.ISFORMULA(_xlpm.x)), _xlpm.x&lt;&gt;""))</formula>
    </cfRule>
  </conditionalFormatting>
  <conditionalFormatting sqref="C27:G46">
    <cfRule type="dataBar" priority="1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{5F12016C-3BAE-444D-B78B-6CB855B07C82}</x14:id>
        </ext>
      </extLst>
    </cfRule>
  </conditionalFormatting>
  <conditionalFormatting sqref="D52:D54">
    <cfRule type="cellIs" dxfId="48" priority="9" operator="equal">
      <formula>"C1"</formula>
    </cfRule>
    <cfRule type="cellIs" dxfId="47" priority="10" operator="between">
      <formula>"G1"</formula>
      <formula>"G4"</formula>
    </cfRule>
    <cfRule type="cellIs" dxfId="46" priority="11" operator="between">
      <formula>"GA"</formula>
      <formula>"GQ"</formula>
    </cfRule>
    <cfRule type="cellIs" dxfId="45" priority="12" operator="between">
      <formula>"M1"</formula>
      <formula>"M4"</formula>
    </cfRule>
  </conditionalFormatting>
  <conditionalFormatting sqref="E52:E54">
    <cfRule type="cellIs" dxfId="44" priority="5" operator="equal">
      <formula>"C1"</formula>
    </cfRule>
    <cfRule type="cellIs" dxfId="43" priority="6" operator="between">
      <formula>"G1"</formula>
      <formula>"G4"</formula>
    </cfRule>
    <cfRule type="cellIs" dxfId="42" priority="7" operator="between">
      <formula>"GA"</formula>
      <formula>"GQ"</formula>
    </cfRule>
    <cfRule type="cellIs" dxfId="41" priority="8" operator="between">
      <formula>"M1"</formula>
      <formula>"M4"</formula>
    </cfRule>
  </conditionalFormatting>
  <conditionalFormatting sqref="F52:F54">
    <cfRule type="cellIs" dxfId="40" priority="1" operator="equal">
      <formula>"C1"</formula>
    </cfRule>
    <cfRule type="cellIs" dxfId="39" priority="2" operator="between">
      <formula>"G1"</formula>
      <formula>"G4"</formula>
    </cfRule>
    <cfRule type="cellIs" dxfId="38" priority="3" operator="between">
      <formula>"GA"</formula>
      <formula>"GQ"</formula>
    </cfRule>
    <cfRule type="cellIs" dxfId="37" priority="4" operator="between">
      <formula>"M1"</formula>
      <formula>"M4"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12016C-3BAE-444D-B78B-6CB855B07C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C27:G46</xm:sqref>
        </x14:conditionalFormatting>
        <x14:conditionalFormatting xmlns:xm="http://schemas.microsoft.com/office/excel/2006/main">
          <x14:cfRule type="containsText" priority="16" operator="containsText" id="{45217A0C-0F0E-4E95-968A-57B035B268B9}">
            <xm:f>NOT(ISERROR(SEARCH("G",K1)))</xm:f>
            <xm:f>"G"</xm:f>
            <x14:dxf>
              <fill>
                <patternFill>
                  <bgColor rgb="FFFFFFCC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7" width="9.5546875" style="5" bestFit="1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>
      <c r="I2" s="15"/>
      <c r="J2" s="27" t="s">
        <v>144</v>
      </c>
      <c r="Q2" s="27" t="s">
        <v>145</v>
      </c>
      <c r="W2" s="27" t="s">
        <v>146</v>
      </c>
      <c r="AC2" s="27" t="s">
        <v>158</v>
      </c>
      <c r="AH2" s="5"/>
      <c r="AI2" s="5"/>
      <c r="AJ2" s="27" t="s">
        <v>110</v>
      </c>
      <c r="AO2" s="5"/>
    </row>
    <row r="3" spans="1:41" ht="15.9" customHeight="1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>
      <c r="A4" s="29" t="str" cm="1">
        <f t="array" ref="A4:B23">Overview!A38:B57</f>
        <v>WW</v>
      </c>
      <c r="B4" s="8" t="str">
        <v>Wild</v>
      </c>
      <c r="C4" s="105">
        <f t="shared" ref="C4:G23" si="0">COUNTIF(K:K, $A4)</f>
        <v>0</v>
      </c>
      <c r="D4" s="105">
        <f t="shared" si="0"/>
        <v>0</v>
      </c>
      <c r="E4" s="105">
        <f t="shared" si="0"/>
        <v>0</v>
      </c>
      <c r="F4" s="105">
        <f t="shared" si="0"/>
        <v>0</v>
      </c>
      <c r="G4" s="105">
        <f t="shared" si="0"/>
        <v>0</v>
      </c>
      <c r="H4" s="8" cm="1">
        <f t="array" ref="H4:H23">Overview!F38:F57</f>
        <v>0</v>
      </c>
      <c r="I4" s="87"/>
      <c r="J4" s="25" cm="1">
        <f t="array" ref="J4:J203">_xlfn.SEQUENCE(MAX(COUNTA(K:K), COUNTA(L:L), COUNTA(M:M), COUNTA(N:N), COUNTA(O:O))-1,,0)</f>
        <v>0</v>
      </c>
      <c r="K4" s="26" t="s">
        <v>35</v>
      </c>
      <c r="L4" s="26" t="s">
        <v>34</v>
      </c>
      <c r="M4" s="26" t="s">
        <v>92</v>
      </c>
      <c r="N4" s="26" t="s">
        <v>36</v>
      </c>
      <c r="O4" s="26" t="s">
        <v>21</v>
      </c>
      <c r="Q4" s="25" cm="1">
        <f t="array" ref="Q4:U304">_xlfn.LET(_xlpm.x, K4:O304, IF(_xlpm.x="", "", _xlfn.XLOOKUP(_xlpm.x, $A$4:$A$23,_xlfn.ANCHORARRAY( H4))))</f>
        <v>8</v>
      </c>
      <c r="R4" s="25">
        <v>9</v>
      </c>
      <c r="S4" s="25">
        <v>16</v>
      </c>
      <c r="T4" s="25">
        <v>10</v>
      </c>
      <c r="U4" s="25">
        <v>2</v>
      </c>
      <c r="W4" s="25">
        <v>1</v>
      </c>
      <c r="X4" s="25">
        <v>1</v>
      </c>
      <c r="Y4" s="25">
        <v>1</v>
      </c>
      <c r="Z4" s="25">
        <v>1</v>
      </c>
      <c r="AA4" s="25">
        <v>1</v>
      </c>
      <c r="AB4" s="43"/>
      <c r="AC4" s="27" t="s">
        <v>142</v>
      </c>
      <c r="AH4" s="5"/>
      <c r="AI4" s="5"/>
      <c r="AJ4" s="27" t="s">
        <v>142</v>
      </c>
      <c r="AO4" s="5"/>
    </row>
    <row r="5" spans="1:41" ht="15.9" customHeight="1">
      <c r="A5" s="29" t="str">
        <v>C1</v>
      </c>
      <c r="B5" s="8" t="str">
        <v>Scatter</v>
      </c>
      <c r="C5" s="105">
        <f t="shared" si="0"/>
        <v>0</v>
      </c>
      <c r="D5" s="105">
        <f t="shared" si="0"/>
        <v>6</v>
      </c>
      <c r="E5" s="105">
        <f t="shared" si="0"/>
        <v>0</v>
      </c>
      <c r="F5" s="105">
        <f t="shared" si="0"/>
        <v>9</v>
      </c>
      <c r="G5" s="105">
        <f t="shared" si="0"/>
        <v>0</v>
      </c>
      <c r="H5" s="8">
        <v>1</v>
      </c>
      <c r="I5" s="87"/>
      <c r="J5" s="9">
        <v>1</v>
      </c>
      <c r="K5" s="16" t="s">
        <v>37</v>
      </c>
      <c r="L5" s="16" t="s">
        <v>37</v>
      </c>
      <c r="M5" s="16" t="s">
        <v>95</v>
      </c>
      <c r="N5" s="16" t="s">
        <v>21</v>
      </c>
      <c r="O5" s="16" t="s">
        <v>18</v>
      </c>
      <c r="Q5" s="9">
        <v>7</v>
      </c>
      <c r="R5" s="9">
        <v>7</v>
      </c>
      <c r="S5" s="9">
        <v>18</v>
      </c>
      <c r="T5" s="9">
        <v>2</v>
      </c>
      <c r="U5" s="9">
        <v>4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C5" s="146" t="s">
        <v>42</v>
      </c>
      <c r="AD5" s="146" t="s">
        <v>13</v>
      </c>
      <c r="AE5" s="146" t="s">
        <v>14</v>
      </c>
      <c r="AF5" s="146" t="s">
        <v>15</v>
      </c>
      <c r="AG5" s="146" t="s">
        <v>16</v>
      </c>
      <c r="AH5" s="146" t="s">
        <v>17</v>
      </c>
      <c r="AI5" s="5"/>
      <c r="AJ5" s="146" t="s">
        <v>42</v>
      </c>
      <c r="AK5" s="146" t="s">
        <v>13</v>
      </c>
      <c r="AL5" s="146" t="s">
        <v>14</v>
      </c>
      <c r="AM5" s="146" t="s">
        <v>15</v>
      </c>
      <c r="AN5" s="146" t="s">
        <v>16</v>
      </c>
      <c r="AO5" s="146" t="s">
        <v>17</v>
      </c>
    </row>
    <row r="6" spans="1:41" ht="15.9" customHeight="1">
      <c r="A6" s="144" t="str">
        <v>M1</v>
      </c>
      <c r="B6" s="118" t="str">
        <v>M1</v>
      </c>
      <c r="C6" s="144">
        <f t="shared" si="0"/>
        <v>4</v>
      </c>
      <c r="D6" s="144">
        <f t="shared" si="0"/>
        <v>11</v>
      </c>
      <c r="E6" s="144">
        <f t="shared" si="0"/>
        <v>0</v>
      </c>
      <c r="F6" s="144">
        <f t="shared" si="0"/>
        <v>22</v>
      </c>
      <c r="G6" s="144">
        <f t="shared" si="0"/>
        <v>28</v>
      </c>
      <c r="H6" s="118">
        <v>2</v>
      </c>
      <c r="I6" s="87"/>
      <c r="J6" s="25">
        <v>2</v>
      </c>
      <c r="K6" s="16" t="s">
        <v>21</v>
      </c>
      <c r="L6" s="16" t="s">
        <v>92</v>
      </c>
      <c r="M6" s="16" t="s">
        <v>91</v>
      </c>
      <c r="N6" s="16" t="s">
        <v>18</v>
      </c>
      <c r="O6" s="16" t="s">
        <v>22</v>
      </c>
      <c r="Q6" s="9">
        <v>2</v>
      </c>
      <c r="R6" s="9">
        <v>16</v>
      </c>
      <c r="S6" s="9">
        <v>14</v>
      </c>
      <c r="T6" s="9">
        <v>4</v>
      </c>
      <c r="U6" s="9">
        <v>3</v>
      </c>
      <c r="W6" s="25">
        <v>1</v>
      </c>
      <c r="X6" s="25">
        <v>1</v>
      </c>
      <c r="Y6" s="25">
        <v>1</v>
      </c>
      <c r="Z6" s="25">
        <v>1</v>
      </c>
      <c r="AA6" s="25">
        <v>1</v>
      </c>
      <c r="AC6" s="149" t="str" cm="1">
        <f t="array" ref="AC6:AC25">$A$4:$A$23</f>
        <v>WW</v>
      </c>
      <c r="AD6" s="150">
        <v>0</v>
      </c>
      <c r="AE6" s="150">
        <v>0</v>
      </c>
      <c r="AF6" s="150">
        <v>0</v>
      </c>
      <c r="AG6" s="150">
        <v>0</v>
      </c>
      <c r="AH6" s="150">
        <v>0</v>
      </c>
      <c r="AI6" s="5"/>
      <c r="AJ6" s="149" t="str" cm="1">
        <f t="array" ref="AJ6:AJ25">$A$4:$A$23</f>
        <v>WW</v>
      </c>
      <c r="AK6" s="150">
        <v>0</v>
      </c>
      <c r="AL6" s="150">
        <v>0</v>
      </c>
      <c r="AM6" s="150">
        <v>0</v>
      </c>
      <c r="AN6" s="150">
        <v>0</v>
      </c>
      <c r="AO6" s="150">
        <v>0</v>
      </c>
    </row>
    <row r="7" spans="1:41" ht="15.9" customHeight="1">
      <c r="A7" s="144" t="str">
        <v>M2</v>
      </c>
      <c r="B7" s="118" t="str">
        <v>M2</v>
      </c>
      <c r="C7" s="144">
        <f t="shared" si="0"/>
        <v>4</v>
      </c>
      <c r="D7" s="144">
        <f t="shared" si="0"/>
        <v>11</v>
      </c>
      <c r="E7" s="144">
        <f t="shared" si="0"/>
        <v>0</v>
      </c>
      <c r="F7" s="144">
        <f t="shared" si="0"/>
        <v>22</v>
      </c>
      <c r="G7" s="144">
        <f t="shared" si="0"/>
        <v>27</v>
      </c>
      <c r="H7" s="118">
        <v>3</v>
      </c>
      <c r="I7" s="87"/>
      <c r="J7" s="9">
        <v>3</v>
      </c>
      <c r="K7" s="16" t="s">
        <v>19</v>
      </c>
      <c r="L7" s="26" t="s">
        <v>34</v>
      </c>
      <c r="M7" s="16" t="s">
        <v>137</v>
      </c>
      <c r="N7" s="16" t="s">
        <v>18</v>
      </c>
      <c r="O7" s="16" t="s">
        <v>22</v>
      </c>
      <c r="Q7" s="9">
        <v>5</v>
      </c>
      <c r="R7" s="9">
        <v>9</v>
      </c>
      <c r="S7" s="9">
        <v>15</v>
      </c>
      <c r="T7" s="9">
        <v>4</v>
      </c>
      <c r="U7" s="9">
        <v>3</v>
      </c>
      <c r="W7" s="25">
        <v>1</v>
      </c>
      <c r="X7" s="25">
        <v>1</v>
      </c>
      <c r="Y7" s="25">
        <v>1</v>
      </c>
      <c r="Z7" s="25">
        <v>1</v>
      </c>
      <c r="AA7" s="25">
        <v>1</v>
      </c>
      <c r="AC7" s="149" t="str">
        <v>C1</v>
      </c>
      <c r="AD7" s="105">
        <v>0</v>
      </c>
      <c r="AE7" s="105">
        <v>6</v>
      </c>
      <c r="AF7" s="105">
        <v>0</v>
      </c>
      <c r="AG7" s="105">
        <v>9</v>
      </c>
      <c r="AH7" s="105">
        <v>0</v>
      </c>
      <c r="AI7" s="5"/>
      <c r="AJ7" s="149" t="str">
        <v>C1</v>
      </c>
      <c r="AK7" s="149">
        <v>0</v>
      </c>
      <c r="AL7" s="149">
        <v>6</v>
      </c>
      <c r="AM7" s="149">
        <v>0</v>
      </c>
      <c r="AN7" s="149">
        <v>9</v>
      </c>
      <c r="AO7" s="149">
        <v>0</v>
      </c>
    </row>
    <row r="8" spans="1:41" ht="15.9" customHeight="1">
      <c r="A8" s="144" t="str">
        <v>M3</v>
      </c>
      <c r="B8" s="118" t="str">
        <v>M3</v>
      </c>
      <c r="C8" s="144">
        <f t="shared" si="0"/>
        <v>4</v>
      </c>
      <c r="D8" s="144">
        <f t="shared" si="0"/>
        <v>11</v>
      </c>
      <c r="E8" s="144">
        <f t="shared" si="0"/>
        <v>0</v>
      </c>
      <c r="F8" s="144">
        <f t="shared" si="0"/>
        <v>22</v>
      </c>
      <c r="G8" s="144">
        <f t="shared" si="0"/>
        <v>27</v>
      </c>
      <c r="H8" s="118">
        <v>4</v>
      </c>
      <c r="I8" s="87"/>
      <c r="J8" s="25">
        <v>4</v>
      </c>
      <c r="K8" s="16" t="s">
        <v>35</v>
      </c>
      <c r="L8" s="16" t="s">
        <v>92</v>
      </c>
      <c r="M8" s="16" t="s">
        <v>91</v>
      </c>
      <c r="N8" s="16" t="s">
        <v>22</v>
      </c>
      <c r="O8" s="16" t="s">
        <v>35</v>
      </c>
      <c r="Q8" s="9">
        <v>8</v>
      </c>
      <c r="R8" s="9">
        <v>16</v>
      </c>
      <c r="S8" s="9">
        <v>14</v>
      </c>
      <c r="T8" s="9">
        <v>3</v>
      </c>
      <c r="U8" s="9">
        <v>8</v>
      </c>
      <c r="W8" s="25">
        <v>1</v>
      </c>
      <c r="X8" s="25">
        <v>1</v>
      </c>
      <c r="Y8" s="25">
        <v>1</v>
      </c>
      <c r="Z8" s="25">
        <v>1</v>
      </c>
      <c r="AA8" s="25">
        <v>1</v>
      </c>
      <c r="AC8" s="166" t="str">
        <v>M1</v>
      </c>
      <c r="AD8" s="144">
        <v>4</v>
      </c>
      <c r="AE8" s="144">
        <v>11</v>
      </c>
      <c r="AF8" s="144">
        <v>0</v>
      </c>
      <c r="AG8" s="144">
        <v>22</v>
      </c>
      <c r="AH8" s="144">
        <v>28</v>
      </c>
      <c r="AI8" s="5"/>
      <c r="AJ8" s="166" t="str">
        <v>M1</v>
      </c>
      <c r="AK8" s="144">
        <v>4</v>
      </c>
      <c r="AL8" s="144">
        <v>11</v>
      </c>
      <c r="AM8" s="144">
        <v>0</v>
      </c>
      <c r="AN8" s="144">
        <v>22</v>
      </c>
      <c r="AO8" s="144">
        <v>28</v>
      </c>
    </row>
    <row r="9" spans="1:41" ht="15.9" customHeight="1">
      <c r="A9" s="144" t="str">
        <v>M4</v>
      </c>
      <c r="B9" s="118" t="str">
        <v>M4</v>
      </c>
      <c r="C9" s="144">
        <f t="shared" si="0"/>
        <v>43</v>
      </c>
      <c r="D9" s="144">
        <f t="shared" si="0"/>
        <v>19</v>
      </c>
      <c r="E9" s="144">
        <f t="shared" si="0"/>
        <v>0</v>
      </c>
      <c r="F9" s="144">
        <f t="shared" si="0"/>
        <v>12</v>
      </c>
      <c r="G9" s="144">
        <f t="shared" si="0"/>
        <v>16</v>
      </c>
      <c r="H9" s="118">
        <v>5</v>
      </c>
      <c r="I9" s="87"/>
      <c r="J9" s="9">
        <v>5</v>
      </c>
      <c r="K9" s="16" t="s">
        <v>136</v>
      </c>
      <c r="L9" s="16" t="s">
        <v>18</v>
      </c>
      <c r="M9" s="16" t="s">
        <v>119</v>
      </c>
      <c r="N9" s="16" t="s">
        <v>22</v>
      </c>
      <c r="O9" s="16" t="s">
        <v>22</v>
      </c>
      <c r="Q9" s="9">
        <v>6</v>
      </c>
      <c r="R9" s="9">
        <v>4</v>
      </c>
      <c r="S9" s="9">
        <v>17</v>
      </c>
      <c r="T9" s="9">
        <v>3</v>
      </c>
      <c r="U9" s="9">
        <v>3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C9" s="166" t="str">
        <v>M2</v>
      </c>
      <c r="AD9" s="144">
        <v>4</v>
      </c>
      <c r="AE9" s="144">
        <v>11</v>
      </c>
      <c r="AF9" s="144">
        <v>0</v>
      </c>
      <c r="AG9" s="144">
        <v>22</v>
      </c>
      <c r="AH9" s="144">
        <v>27</v>
      </c>
      <c r="AI9" s="5"/>
      <c r="AJ9" s="166" t="str">
        <v>M2</v>
      </c>
      <c r="AK9" s="144">
        <v>4</v>
      </c>
      <c r="AL9" s="144">
        <v>11</v>
      </c>
      <c r="AM9" s="144">
        <v>0</v>
      </c>
      <c r="AN9" s="144">
        <v>22</v>
      </c>
      <c r="AO9" s="144">
        <v>27</v>
      </c>
    </row>
    <row r="10" spans="1:41" ht="15.9" customHeight="1">
      <c r="A10" s="144" t="str">
        <v>M5</v>
      </c>
      <c r="B10" s="118" t="str">
        <v>M5</v>
      </c>
      <c r="C10" s="144">
        <f t="shared" si="0"/>
        <v>43</v>
      </c>
      <c r="D10" s="144">
        <f t="shared" si="0"/>
        <v>20</v>
      </c>
      <c r="E10" s="144">
        <f t="shared" si="0"/>
        <v>0</v>
      </c>
      <c r="F10" s="144">
        <f t="shared" si="0"/>
        <v>12</v>
      </c>
      <c r="G10" s="144">
        <f t="shared" si="0"/>
        <v>16</v>
      </c>
      <c r="H10" s="118">
        <v>6</v>
      </c>
      <c r="I10" s="87"/>
      <c r="J10" s="25">
        <v>6</v>
      </c>
      <c r="K10" s="16" t="s">
        <v>35</v>
      </c>
      <c r="L10" s="16" t="s">
        <v>19</v>
      </c>
      <c r="M10" s="16" t="s">
        <v>92</v>
      </c>
      <c r="N10" s="16" t="s">
        <v>36</v>
      </c>
      <c r="O10" s="16" t="s">
        <v>37</v>
      </c>
      <c r="Q10" s="9">
        <v>8</v>
      </c>
      <c r="R10" s="9">
        <v>5</v>
      </c>
      <c r="S10" s="9">
        <v>16</v>
      </c>
      <c r="T10" s="9">
        <v>10</v>
      </c>
      <c r="U10" s="9">
        <v>7</v>
      </c>
      <c r="W10" s="25">
        <v>1</v>
      </c>
      <c r="X10" s="25">
        <v>1</v>
      </c>
      <c r="Y10" s="25">
        <v>1</v>
      </c>
      <c r="Z10" s="25">
        <v>1</v>
      </c>
      <c r="AA10" s="25">
        <v>1</v>
      </c>
      <c r="AC10" s="166" t="str">
        <v>M3</v>
      </c>
      <c r="AD10" s="144">
        <v>4</v>
      </c>
      <c r="AE10" s="144">
        <v>11</v>
      </c>
      <c r="AF10" s="144">
        <v>0</v>
      </c>
      <c r="AG10" s="144">
        <v>22</v>
      </c>
      <c r="AH10" s="144">
        <v>27</v>
      </c>
      <c r="AI10" s="5"/>
      <c r="AJ10" s="166" t="str">
        <v>M3</v>
      </c>
      <c r="AK10" s="144">
        <v>4</v>
      </c>
      <c r="AL10" s="144">
        <v>11</v>
      </c>
      <c r="AM10" s="144">
        <v>0</v>
      </c>
      <c r="AN10" s="144">
        <v>22</v>
      </c>
      <c r="AO10" s="144">
        <v>27</v>
      </c>
    </row>
    <row r="11" spans="1:41" ht="15.9" customHeight="1">
      <c r="A11" s="144" t="str">
        <v>A</v>
      </c>
      <c r="B11" s="118" t="str">
        <v>A</v>
      </c>
      <c r="C11" s="144">
        <f t="shared" si="0"/>
        <v>47</v>
      </c>
      <c r="D11" s="144">
        <f t="shared" si="0"/>
        <v>20</v>
      </c>
      <c r="E11" s="144">
        <f t="shared" si="0"/>
        <v>0</v>
      </c>
      <c r="F11" s="144">
        <f t="shared" si="0"/>
        <v>12</v>
      </c>
      <c r="G11" s="144">
        <f t="shared" si="0"/>
        <v>16</v>
      </c>
      <c r="H11" s="118">
        <v>7</v>
      </c>
      <c r="I11" s="87"/>
      <c r="J11" s="9">
        <v>7</v>
      </c>
      <c r="K11" s="16" t="s">
        <v>136</v>
      </c>
      <c r="L11" s="16" t="s">
        <v>90</v>
      </c>
      <c r="M11" s="16" t="s">
        <v>137</v>
      </c>
      <c r="N11" s="16" t="s">
        <v>36</v>
      </c>
      <c r="O11" s="16" t="s">
        <v>136</v>
      </c>
      <c r="Q11" s="9">
        <v>6</v>
      </c>
      <c r="R11" s="9">
        <v>13</v>
      </c>
      <c r="S11" s="9">
        <v>15</v>
      </c>
      <c r="T11" s="9">
        <v>10</v>
      </c>
      <c r="U11" s="9">
        <v>6</v>
      </c>
      <c r="W11" s="25">
        <v>1</v>
      </c>
      <c r="X11" s="25">
        <v>1</v>
      </c>
      <c r="Y11" s="25">
        <v>1</v>
      </c>
      <c r="Z11" s="25">
        <v>1</v>
      </c>
      <c r="AA11" s="25">
        <v>1</v>
      </c>
      <c r="AC11" s="166" t="str">
        <v>M4</v>
      </c>
      <c r="AD11" s="144">
        <v>43</v>
      </c>
      <c r="AE11" s="144">
        <v>19</v>
      </c>
      <c r="AF11" s="144">
        <v>0</v>
      </c>
      <c r="AG11" s="144">
        <v>12</v>
      </c>
      <c r="AH11" s="144">
        <v>16</v>
      </c>
      <c r="AI11" s="5"/>
      <c r="AJ11" s="166" t="str">
        <v>M4</v>
      </c>
      <c r="AK11" s="144">
        <v>43</v>
      </c>
      <c r="AL11" s="144">
        <v>19</v>
      </c>
      <c r="AM11" s="144">
        <v>0</v>
      </c>
      <c r="AN11" s="144">
        <v>12</v>
      </c>
      <c r="AO11" s="144">
        <v>16</v>
      </c>
    </row>
    <row r="12" spans="1:41" ht="15.9" customHeight="1">
      <c r="A12" s="144" t="str">
        <v>K</v>
      </c>
      <c r="B12" s="118" t="str">
        <v>K</v>
      </c>
      <c r="C12" s="144">
        <f t="shared" si="0"/>
        <v>47</v>
      </c>
      <c r="D12" s="144">
        <f t="shared" si="0"/>
        <v>20</v>
      </c>
      <c r="E12" s="144">
        <f t="shared" si="0"/>
        <v>0</v>
      </c>
      <c r="F12" s="144">
        <f t="shared" si="0"/>
        <v>12</v>
      </c>
      <c r="G12" s="144">
        <f t="shared" si="0"/>
        <v>16</v>
      </c>
      <c r="H12" s="118">
        <v>8</v>
      </c>
      <c r="I12" s="87"/>
      <c r="J12" s="25">
        <v>8</v>
      </c>
      <c r="K12" s="16" t="s">
        <v>19</v>
      </c>
      <c r="L12" s="16" t="s">
        <v>37</v>
      </c>
      <c r="M12" s="16" t="s">
        <v>119</v>
      </c>
      <c r="N12" s="16" t="s">
        <v>136</v>
      </c>
      <c r="O12" s="16" t="s">
        <v>136</v>
      </c>
      <c r="Q12" s="9">
        <v>5</v>
      </c>
      <c r="R12" s="9">
        <v>7</v>
      </c>
      <c r="S12" s="9">
        <v>17</v>
      </c>
      <c r="T12" s="9">
        <v>6</v>
      </c>
      <c r="U12" s="9">
        <v>6</v>
      </c>
      <c r="W12" s="25">
        <v>1</v>
      </c>
      <c r="X12" s="25">
        <v>1</v>
      </c>
      <c r="Y12" s="25">
        <v>1</v>
      </c>
      <c r="Z12" s="25">
        <v>1</v>
      </c>
      <c r="AA12" s="25">
        <v>1</v>
      </c>
      <c r="AC12" s="166" t="str">
        <v>M5</v>
      </c>
      <c r="AD12" s="144">
        <v>43</v>
      </c>
      <c r="AE12" s="144">
        <v>20</v>
      </c>
      <c r="AF12" s="144">
        <v>0</v>
      </c>
      <c r="AG12" s="144">
        <v>12</v>
      </c>
      <c r="AH12" s="144">
        <v>16</v>
      </c>
      <c r="AI12" s="5"/>
      <c r="AJ12" s="166" t="str">
        <v>M5</v>
      </c>
      <c r="AK12" s="144">
        <v>43</v>
      </c>
      <c r="AL12" s="144">
        <v>20</v>
      </c>
      <c r="AM12" s="144">
        <v>0</v>
      </c>
      <c r="AN12" s="144">
        <v>12</v>
      </c>
      <c r="AO12" s="144">
        <v>16</v>
      </c>
    </row>
    <row r="13" spans="1:41" ht="15.9" customHeight="1">
      <c r="A13" s="144" t="str">
        <v>Q</v>
      </c>
      <c r="B13" s="118" t="str">
        <v>Q</v>
      </c>
      <c r="C13" s="144">
        <f t="shared" si="0"/>
        <v>4</v>
      </c>
      <c r="D13" s="144">
        <f t="shared" si="0"/>
        <v>11</v>
      </c>
      <c r="E13" s="144">
        <f t="shared" si="0"/>
        <v>0</v>
      </c>
      <c r="F13" s="144">
        <f t="shared" si="0"/>
        <v>21</v>
      </c>
      <c r="G13" s="144">
        <f t="shared" si="0"/>
        <v>27</v>
      </c>
      <c r="H13" s="118">
        <v>9</v>
      </c>
      <c r="I13" s="87"/>
      <c r="J13" s="9">
        <v>9</v>
      </c>
      <c r="K13" s="16" t="s">
        <v>35</v>
      </c>
      <c r="L13" s="16" t="s">
        <v>97</v>
      </c>
      <c r="M13" s="16" t="s">
        <v>137</v>
      </c>
      <c r="N13" s="16" t="s">
        <v>97</v>
      </c>
      <c r="O13" s="16" t="s">
        <v>21</v>
      </c>
      <c r="Q13" s="9">
        <v>8</v>
      </c>
      <c r="R13" s="9">
        <v>19</v>
      </c>
      <c r="S13" s="9">
        <v>15</v>
      </c>
      <c r="T13" s="9">
        <v>19</v>
      </c>
      <c r="U13" s="9">
        <v>2</v>
      </c>
      <c r="W13" s="25">
        <v>1</v>
      </c>
      <c r="X13" s="25">
        <v>1</v>
      </c>
      <c r="Y13" s="25">
        <v>1</v>
      </c>
      <c r="Z13" s="25">
        <v>1</v>
      </c>
      <c r="AA13" s="25">
        <v>1</v>
      </c>
      <c r="AC13" s="166" t="str">
        <v>A</v>
      </c>
      <c r="AD13" s="144">
        <v>47</v>
      </c>
      <c r="AE13" s="144">
        <v>20</v>
      </c>
      <c r="AF13" s="144">
        <v>0</v>
      </c>
      <c r="AG13" s="144">
        <v>12</v>
      </c>
      <c r="AH13" s="144">
        <v>16</v>
      </c>
      <c r="AI13" s="5"/>
      <c r="AJ13" s="166" t="str">
        <v>A</v>
      </c>
      <c r="AK13" s="144">
        <v>47</v>
      </c>
      <c r="AL13" s="144">
        <v>20</v>
      </c>
      <c r="AM13" s="144">
        <v>0</v>
      </c>
      <c r="AN13" s="144">
        <v>12</v>
      </c>
      <c r="AO13" s="144">
        <v>16</v>
      </c>
    </row>
    <row r="14" spans="1:41" ht="15.9" customHeight="1">
      <c r="A14" s="144" t="str">
        <v>J</v>
      </c>
      <c r="B14" s="118" t="str">
        <v>J</v>
      </c>
      <c r="C14" s="144">
        <f t="shared" si="0"/>
        <v>4</v>
      </c>
      <c r="D14" s="144">
        <f t="shared" si="0"/>
        <v>11</v>
      </c>
      <c r="E14" s="144">
        <f t="shared" si="0"/>
        <v>0</v>
      </c>
      <c r="F14" s="144">
        <f t="shared" si="0"/>
        <v>21</v>
      </c>
      <c r="G14" s="144">
        <f t="shared" si="0"/>
        <v>27</v>
      </c>
      <c r="H14" s="118">
        <v>10</v>
      </c>
      <c r="I14" s="87"/>
      <c r="J14" s="25">
        <v>10</v>
      </c>
      <c r="K14" s="16" t="s">
        <v>34</v>
      </c>
      <c r="L14" s="16" t="s">
        <v>89</v>
      </c>
      <c r="M14" s="16" t="s">
        <v>92</v>
      </c>
      <c r="N14" s="16" t="s">
        <v>21</v>
      </c>
      <c r="O14" s="16" t="s">
        <v>35</v>
      </c>
      <c r="Q14" s="9">
        <v>9</v>
      </c>
      <c r="R14" s="9">
        <v>12</v>
      </c>
      <c r="S14" s="9">
        <v>16</v>
      </c>
      <c r="T14" s="9">
        <v>2</v>
      </c>
      <c r="U14" s="9">
        <v>8</v>
      </c>
      <c r="W14" s="25">
        <v>1</v>
      </c>
      <c r="X14" s="25">
        <v>1</v>
      </c>
      <c r="Y14" s="25">
        <v>1</v>
      </c>
      <c r="Z14" s="25">
        <v>1</v>
      </c>
      <c r="AA14" s="25">
        <v>1</v>
      </c>
      <c r="AC14" s="166" t="str">
        <v>K</v>
      </c>
      <c r="AD14" s="144">
        <v>47</v>
      </c>
      <c r="AE14" s="144">
        <v>20</v>
      </c>
      <c r="AF14" s="144">
        <v>0</v>
      </c>
      <c r="AG14" s="144">
        <v>12</v>
      </c>
      <c r="AH14" s="144">
        <v>16</v>
      </c>
      <c r="AI14" s="5"/>
      <c r="AJ14" s="166" t="str">
        <v>K</v>
      </c>
      <c r="AK14" s="144">
        <v>47</v>
      </c>
      <c r="AL14" s="144">
        <v>20</v>
      </c>
      <c r="AM14" s="144">
        <v>0</v>
      </c>
      <c r="AN14" s="144">
        <v>12</v>
      </c>
      <c r="AO14" s="144">
        <v>16</v>
      </c>
    </row>
    <row r="15" spans="1:41" ht="15.9" customHeight="1">
      <c r="A15" s="29" t="str">
        <v>G1</v>
      </c>
      <c r="B15" s="8" t="str">
        <v>Gold M1</v>
      </c>
      <c r="C15" s="105">
        <f t="shared" si="0"/>
        <v>0</v>
      </c>
      <c r="D15" s="105">
        <f t="shared" si="0"/>
        <v>4</v>
      </c>
      <c r="E15" s="105">
        <f t="shared" si="0"/>
        <v>5</v>
      </c>
      <c r="F15" s="105">
        <f t="shared" si="0"/>
        <v>5</v>
      </c>
      <c r="G15" s="105">
        <f t="shared" si="0"/>
        <v>0</v>
      </c>
      <c r="H15" s="8">
        <v>11</v>
      </c>
      <c r="I15" s="87"/>
      <c r="J15" s="9">
        <v>11</v>
      </c>
      <c r="K15" s="16" t="s">
        <v>37</v>
      </c>
      <c r="L15" s="16" t="s">
        <v>137</v>
      </c>
      <c r="M15" s="16" t="s">
        <v>91</v>
      </c>
      <c r="N15" s="16" t="s">
        <v>37</v>
      </c>
      <c r="O15" s="16" t="s">
        <v>35</v>
      </c>
      <c r="Q15" s="9">
        <v>7</v>
      </c>
      <c r="R15" s="9">
        <v>15</v>
      </c>
      <c r="S15" s="9">
        <v>14</v>
      </c>
      <c r="T15" s="9">
        <v>7</v>
      </c>
      <c r="U15" s="9">
        <v>8</v>
      </c>
      <c r="W15" s="25">
        <v>1</v>
      </c>
      <c r="X15" s="25">
        <v>1</v>
      </c>
      <c r="Y15" s="25">
        <v>1</v>
      </c>
      <c r="Z15" s="25">
        <v>1</v>
      </c>
      <c r="AA15" s="25">
        <v>1</v>
      </c>
      <c r="AC15" s="166" t="str">
        <v>Q</v>
      </c>
      <c r="AD15" s="144">
        <v>4</v>
      </c>
      <c r="AE15" s="144">
        <v>11</v>
      </c>
      <c r="AF15" s="144">
        <v>0</v>
      </c>
      <c r="AG15" s="144">
        <v>21</v>
      </c>
      <c r="AH15" s="144">
        <v>27</v>
      </c>
      <c r="AI15" s="5"/>
      <c r="AJ15" s="166" t="str">
        <v>Q</v>
      </c>
      <c r="AK15" s="144">
        <v>4</v>
      </c>
      <c r="AL15" s="144">
        <v>11</v>
      </c>
      <c r="AM15" s="144">
        <v>0</v>
      </c>
      <c r="AN15" s="144">
        <v>21</v>
      </c>
      <c r="AO15" s="144">
        <v>27</v>
      </c>
    </row>
    <row r="16" spans="1:41" ht="15.9" customHeight="1">
      <c r="A16" s="29" t="str">
        <v>G2</v>
      </c>
      <c r="B16" s="8" t="str">
        <v>Gold M2</v>
      </c>
      <c r="C16" s="105">
        <f t="shared" si="0"/>
        <v>0</v>
      </c>
      <c r="D16" s="105">
        <f t="shared" si="0"/>
        <v>5</v>
      </c>
      <c r="E16" s="105">
        <f t="shared" si="0"/>
        <v>5</v>
      </c>
      <c r="F16" s="105">
        <f t="shared" si="0"/>
        <v>5</v>
      </c>
      <c r="G16" s="105">
        <f t="shared" si="0"/>
        <v>0</v>
      </c>
      <c r="H16" s="8">
        <v>12</v>
      </c>
      <c r="I16" s="87"/>
      <c r="J16" s="25">
        <v>12</v>
      </c>
      <c r="K16" s="16" t="s">
        <v>34</v>
      </c>
      <c r="L16" s="16" t="s">
        <v>19</v>
      </c>
      <c r="M16" s="16" t="s">
        <v>119</v>
      </c>
      <c r="N16" s="16" t="s">
        <v>92</v>
      </c>
      <c r="O16" s="16" t="s">
        <v>34</v>
      </c>
      <c r="Q16" s="9">
        <v>9</v>
      </c>
      <c r="R16" s="9">
        <v>5</v>
      </c>
      <c r="S16" s="9">
        <v>17</v>
      </c>
      <c r="T16" s="9">
        <v>16</v>
      </c>
      <c r="U16" s="9">
        <v>9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C16" s="166" t="str">
        <v>J</v>
      </c>
      <c r="AD16" s="144">
        <v>4</v>
      </c>
      <c r="AE16" s="144">
        <v>11</v>
      </c>
      <c r="AF16" s="144">
        <v>0</v>
      </c>
      <c r="AG16" s="144">
        <v>21</v>
      </c>
      <c r="AH16" s="144">
        <v>27</v>
      </c>
      <c r="AI16" s="5"/>
      <c r="AJ16" s="166" t="str">
        <v>J</v>
      </c>
      <c r="AK16" s="144">
        <v>4</v>
      </c>
      <c r="AL16" s="144">
        <v>11</v>
      </c>
      <c r="AM16" s="144">
        <v>0</v>
      </c>
      <c r="AN16" s="144">
        <v>21</v>
      </c>
      <c r="AO16" s="144">
        <v>27</v>
      </c>
    </row>
    <row r="17" spans="1:41" ht="15.9" customHeight="1">
      <c r="A17" s="29" t="str">
        <v>G3</v>
      </c>
      <c r="B17" s="8" t="str">
        <v>Gold M3</v>
      </c>
      <c r="C17" s="105">
        <f t="shared" si="0"/>
        <v>0</v>
      </c>
      <c r="D17" s="105">
        <f t="shared" si="0"/>
        <v>5</v>
      </c>
      <c r="E17" s="105">
        <f t="shared" si="0"/>
        <v>5</v>
      </c>
      <c r="F17" s="105">
        <f t="shared" si="0"/>
        <v>5</v>
      </c>
      <c r="G17" s="105">
        <f t="shared" si="0"/>
        <v>0</v>
      </c>
      <c r="H17" s="8">
        <v>13</v>
      </c>
      <c r="I17" s="87"/>
      <c r="J17" s="9">
        <v>13</v>
      </c>
      <c r="K17" s="16" t="s">
        <v>35</v>
      </c>
      <c r="L17" s="16" t="s">
        <v>37</v>
      </c>
      <c r="M17" s="16" t="s">
        <v>137</v>
      </c>
      <c r="N17" s="16" t="s">
        <v>35</v>
      </c>
      <c r="O17" s="16" t="s">
        <v>22</v>
      </c>
      <c r="Q17" s="9">
        <v>8</v>
      </c>
      <c r="R17" s="9">
        <v>7</v>
      </c>
      <c r="S17" s="9">
        <v>15</v>
      </c>
      <c r="T17" s="9">
        <v>8</v>
      </c>
      <c r="U17" s="9">
        <v>3</v>
      </c>
      <c r="W17" s="25">
        <v>1</v>
      </c>
      <c r="X17" s="25">
        <v>1</v>
      </c>
      <c r="Y17" s="25">
        <v>1</v>
      </c>
      <c r="Z17" s="25">
        <v>1</v>
      </c>
      <c r="AA17" s="25">
        <v>1</v>
      </c>
      <c r="AC17" s="149" t="str">
        <v>G1</v>
      </c>
      <c r="AD17" s="105">
        <v>0</v>
      </c>
      <c r="AE17" s="105">
        <v>4</v>
      </c>
      <c r="AF17" s="105">
        <v>5</v>
      </c>
      <c r="AG17" s="105">
        <v>5</v>
      </c>
      <c r="AH17" s="105">
        <v>0</v>
      </c>
      <c r="AI17" s="5"/>
      <c r="AJ17" s="149" t="str">
        <v>G1</v>
      </c>
      <c r="AK17" s="105">
        <v>0</v>
      </c>
      <c r="AL17" s="105">
        <v>4</v>
      </c>
      <c r="AM17" s="105">
        <v>5</v>
      </c>
      <c r="AN17" s="105">
        <v>5</v>
      </c>
      <c r="AO17" s="105">
        <v>0</v>
      </c>
    </row>
    <row r="18" spans="1:41" ht="15.9" customHeight="1">
      <c r="A18" s="29" t="str">
        <v>G4</v>
      </c>
      <c r="B18" s="8" t="str">
        <v>Gold M4</v>
      </c>
      <c r="C18" s="105">
        <f t="shared" si="0"/>
        <v>0</v>
      </c>
      <c r="D18" s="105">
        <f t="shared" si="0"/>
        <v>9</v>
      </c>
      <c r="E18" s="105">
        <f t="shared" si="0"/>
        <v>44</v>
      </c>
      <c r="F18" s="105">
        <f t="shared" si="0"/>
        <v>3</v>
      </c>
      <c r="G18" s="105">
        <f t="shared" si="0"/>
        <v>0</v>
      </c>
      <c r="H18" s="8">
        <v>14</v>
      </c>
      <c r="I18" s="87"/>
      <c r="J18" s="25">
        <v>14</v>
      </c>
      <c r="K18" s="16" t="s">
        <v>37</v>
      </c>
      <c r="L18" s="16" t="s">
        <v>92</v>
      </c>
      <c r="M18" s="16" t="s">
        <v>91</v>
      </c>
      <c r="N18" s="16" t="s">
        <v>37</v>
      </c>
      <c r="O18" s="16" t="s">
        <v>36</v>
      </c>
      <c r="Q18" s="9">
        <v>7</v>
      </c>
      <c r="R18" s="9">
        <v>16</v>
      </c>
      <c r="S18" s="9">
        <v>14</v>
      </c>
      <c r="T18" s="9">
        <v>7</v>
      </c>
      <c r="U18" s="9">
        <v>10</v>
      </c>
      <c r="W18" s="25">
        <v>1</v>
      </c>
      <c r="X18" s="25">
        <v>1</v>
      </c>
      <c r="Y18" s="25">
        <v>1</v>
      </c>
      <c r="Z18" s="25">
        <v>1</v>
      </c>
      <c r="AA18" s="25">
        <v>1</v>
      </c>
      <c r="AC18" s="149" t="str">
        <v>G2</v>
      </c>
      <c r="AD18" s="105">
        <v>0</v>
      </c>
      <c r="AE18" s="105">
        <v>5</v>
      </c>
      <c r="AF18" s="105">
        <v>5</v>
      </c>
      <c r="AG18" s="105">
        <v>5</v>
      </c>
      <c r="AH18" s="105">
        <v>0</v>
      </c>
      <c r="AI18" s="5"/>
      <c r="AJ18" s="149" t="str">
        <v>G2</v>
      </c>
      <c r="AK18" s="105">
        <v>0</v>
      </c>
      <c r="AL18" s="105">
        <v>5</v>
      </c>
      <c r="AM18" s="105">
        <v>5</v>
      </c>
      <c r="AN18" s="105">
        <v>5</v>
      </c>
      <c r="AO18" s="105">
        <v>0</v>
      </c>
    </row>
    <row r="19" spans="1:41" ht="15.9" customHeight="1">
      <c r="A19" s="29" t="str">
        <v>G5</v>
      </c>
      <c r="B19" s="8" t="str">
        <v>Gold M5</v>
      </c>
      <c r="C19" s="105">
        <f t="shared" si="0"/>
        <v>0</v>
      </c>
      <c r="D19" s="105">
        <f t="shared" si="0"/>
        <v>9</v>
      </c>
      <c r="E19" s="105">
        <f t="shared" si="0"/>
        <v>44</v>
      </c>
      <c r="F19" s="105">
        <f t="shared" si="0"/>
        <v>3</v>
      </c>
      <c r="G19" s="105">
        <f t="shared" si="0"/>
        <v>0</v>
      </c>
      <c r="H19" s="8">
        <v>15</v>
      </c>
      <c r="I19" s="87"/>
      <c r="J19" s="9">
        <v>15</v>
      </c>
      <c r="K19" s="16" t="s">
        <v>37</v>
      </c>
      <c r="L19" s="16" t="s">
        <v>97</v>
      </c>
      <c r="M19" s="16" t="s">
        <v>92</v>
      </c>
      <c r="N19" s="16" t="s">
        <v>37</v>
      </c>
      <c r="O19" s="16" t="s">
        <v>136</v>
      </c>
      <c r="Q19" s="9">
        <v>7</v>
      </c>
      <c r="R19" s="9">
        <v>19</v>
      </c>
      <c r="S19" s="9">
        <v>16</v>
      </c>
      <c r="T19" s="9">
        <v>7</v>
      </c>
      <c r="U19" s="9">
        <v>6</v>
      </c>
      <c r="W19" s="25">
        <v>1</v>
      </c>
      <c r="X19" s="25">
        <v>1</v>
      </c>
      <c r="Y19" s="25">
        <v>1</v>
      </c>
      <c r="Z19" s="25">
        <v>1</v>
      </c>
      <c r="AA19" s="25">
        <v>1</v>
      </c>
      <c r="AC19" s="149" t="str">
        <v>G3</v>
      </c>
      <c r="AD19" s="105">
        <v>0</v>
      </c>
      <c r="AE19" s="105">
        <v>5</v>
      </c>
      <c r="AF19" s="105">
        <v>5</v>
      </c>
      <c r="AG19" s="105">
        <v>5</v>
      </c>
      <c r="AH19" s="105">
        <v>0</v>
      </c>
      <c r="AI19" s="5"/>
      <c r="AJ19" s="149" t="str">
        <v>G3</v>
      </c>
      <c r="AK19" s="105">
        <v>0</v>
      </c>
      <c r="AL19" s="105">
        <v>5</v>
      </c>
      <c r="AM19" s="105">
        <v>5</v>
      </c>
      <c r="AN19" s="105">
        <v>5</v>
      </c>
      <c r="AO19" s="105">
        <v>0</v>
      </c>
    </row>
    <row r="20" spans="1:41" ht="15.9" customHeight="1">
      <c r="A20" s="29" t="str">
        <v>GA</v>
      </c>
      <c r="B20" s="8" t="str">
        <v>Gold A</v>
      </c>
      <c r="C20" s="105">
        <f t="shared" si="0"/>
        <v>0</v>
      </c>
      <c r="D20" s="105">
        <f t="shared" si="0"/>
        <v>9</v>
      </c>
      <c r="E20" s="105">
        <f t="shared" si="0"/>
        <v>44</v>
      </c>
      <c r="F20" s="105">
        <f t="shared" si="0"/>
        <v>3</v>
      </c>
      <c r="G20" s="105">
        <f t="shared" si="0"/>
        <v>0</v>
      </c>
      <c r="H20" s="8">
        <v>16</v>
      </c>
      <c r="I20" s="87"/>
      <c r="J20" s="25">
        <v>16</v>
      </c>
      <c r="K20" s="16" t="s">
        <v>37</v>
      </c>
      <c r="L20" s="16" t="s">
        <v>22</v>
      </c>
      <c r="M20" s="16" t="s">
        <v>95</v>
      </c>
      <c r="N20" s="16" t="s">
        <v>89</v>
      </c>
      <c r="O20" s="16" t="s">
        <v>21</v>
      </c>
      <c r="Q20" s="9">
        <v>7</v>
      </c>
      <c r="R20" s="9">
        <v>3</v>
      </c>
      <c r="S20" s="9">
        <v>18</v>
      </c>
      <c r="T20" s="9">
        <v>12</v>
      </c>
      <c r="U20" s="9">
        <v>2</v>
      </c>
      <c r="W20" s="25">
        <v>1</v>
      </c>
      <c r="X20" s="25">
        <v>1</v>
      </c>
      <c r="Y20" s="25">
        <v>1</v>
      </c>
      <c r="Z20" s="25">
        <v>1</v>
      </c>
      <c r="AA20" s="25">
        <v>1</v>
      </c>
      <c r="AC20" s="149" t="str">
        <v>G4</v>
      </c>
      <c r="AD20" s="105">
        <v>0</v>
      </c>
      <c r="AE20" s="105">
        <v>9</v>
      </c>
      <c r="AF20" s="105">
        <v>44</v>
      </c>
      <c r="AG20" s="105">
        <v>3</v>
      </c>
      <c r="AH20" s="105">
        <v>0</v>
      </c>
      <c r="AI20" s="5"/>
      <c r="AJ20" s="149" t="str">
        <v>G4</v>
      </c>
      <c r="AK20" s="105">
        <v>0</v>
      </c>
      <c r="AL20" s="105">
        <v>9</v>
      </c>
      <c r="AM20" s="105">
        <v>44</v>
      </c>
      <c r="AN20" s="105">
        <v>3</v>
      </c>
      <c r="AO20" s="105">
        <v>0</v>
      </c>
    </row>
    <row r="21" spans="1:41" ht="15.9" customHeight="1">
      <c r="A21" s="29" t="str">
        <v>GK</v>
      </c>
      <c r="B21" s="8" t="str">
        <v>Gold K</v>
      </c>
      <c r="C21" s="105">
        <f t="shared" si="0"/>
        <v>0</v>
      </c>
      <c r="D21" s="105">
        <f t="shared" si="0"/>
        <v>9</v>
      </c>
      <c r="E21" s="105">
        <f t="shared" si="0"/>
        <v>44</v>
      </c>
      <c r="F21" s="105">
        <f t="shared" si="0"/>
        <v>3</v>
      </c>
      <c r="G21" s="105">
        <f t="shared" si="0"/>
        <v>0</v>
      </c>
      <c r="H21" s="8">
        <v>17</v>
      </c>
      <c r="I21" s="87"/>
      <c r="J21" s="9">
        <v>17</v>
      </c>
      <c r="K21" s="16" t="s">
        <v>35</v>
      </c>
      <c r="L21" s="16" t="s">
        <v>137</v>
      </c>
      <c r="M21" s="16" t="s">
        <v>92</v>
      </c>
      <c r="N21" s="16" t="s">
        <v>119</v>
      </c>
      <c r="O21" s="16" t="s">
        <v>37</v>
      </c>
      <c r="Q21" s="9">
        <v>8</v>
      </c>
      <c r="R21" s="9">
        <v>15</v>
      </c>
      <c r="S21" s="9">
        <v>16</v>
      </c>
      <c r="T21" s="9">
        <v>17</v>
      </c>
      <c r="U21" s="9">
        <v>7</v>
      </c>
      <c r="W21" s="25">
        <v>1</v>
      </c>
      <c r="X21" s="25">
        <v>1</v>
      </c>
      <c r="Y21" s="25">
        <v>1</v>
      </c>
      <c r="Z21" s="25">
        <v>1</v>
      </c>
      <c r="AA21" s="25">
        <v>1</v>
      </c>
      <c r="AC21" s="149" t="str">
        <v>G5</v>
      </c>
      <c r="AD21" s="105">
        <v>0</v>
      </c>
      <c r="AE21" s="105">
        <v>9</v>
      </c>
      <c r="AF21" s="105">
        <v>44</v>
      </c>
      <c r="AG21" s="105">
        <v>3</v>
      </c>
      <c r="AH21" s="105">
        <v>0</v>
      </c>
      <c r="AI21" s="5"/>
      <c r="AJ21" s="149" t="str">
        <v>G5</v>
      </c>
      <c r="AK21" s="105">
        <v>0</v>
      </c>
      <c r="AL21" s="105">
        <v>9</v>
      </c>
      <c r="AM21" s="105">
        <v>44</v>
      </c>
      <c r="AN21" s="105">
        <v>3</v>
      </c>
      <c r="AO21" s="105">
        <v>0</v>
      </c>
    </row>
    <row r="22" spans="1:41" ht="15.9" customHeight="1">
      <c r="A22" s="29" t="str">
        <v>GQ</v>
      </c>
      <c r="B22" s="8" t="str">
        <v>Gold Q</v>
      </c>
      <c r="C22" s="105">
        <f t="shared" si="0"/>
        <v>0</v>
      </c>
      <c r="D22" s="105">
        <f t="shared" si="0"/>
        <v>5</v>
      </c>
      <c r="E22" s="105">
        <f t="shared" si="0"/>
        <v>5</v>
      </c>
      <c r="F22" s="105">
        <f t="shared" si="0"/>
        <v>4</v>
      </c>
      <c r="G22" s="105">
        <f t="shared" si="0"/>
        <v>0</v>
      </c>
      <c r="H22" s="8">
        <v>18</v>
      </c>
      <c r="I22" s="87"/>
      <c r="J22" s="25">
        <v>18</v>
      </c>
      <c r="K22" s="16" t="s">
        <v>136</v>
      </c>
      <c r="L22" s="16" t="s">
        <v>136</v>
      </c>
      <c r="M22" s="16" t="s">
        <v>137</v>
      </c>
      <c r="N22" s="16" t="s">
        <v>34</v>
      </c>
      <c r="O22" s="16" t="s">
        <v>36</v>
      </c>
      <c r="Q22" s="9">
        <v>6</v>
      </c>
      <c r="R22" s="9">
        <v>6</v>
      </c>
      <c r="S22" s="9">
        <v>15</v>
      </c>
      <c r="T22" s="9">
        <v>9</v>
      </c>
      <c r="U22" s="9">
        <v>10</v>
      </c>
      <c r="W22" s="25">
        <v>1</v>
      </c>
      <c r="X22" s="25">
        <v>1</v>
      </c>
      <c r="Y22" s="25">
        <v>1</v>
      </c>
      <c r="Z22" s="25">
        <v>1</v>
      </c>
      <c r="AA22" s="25">
        <v>1</v>
      </c>
      <c r="AC22" s="149" t="str">
        <v>GA</v>
      </c>
      <c r="AD22" s="105">
        <v>0</v>
      </c>
      <c r="AE22" s="105">
        <v>9</v>
      </c>
      <c r="AF22" s="105">
        <v>44</v>
      </c>
      <c r="AG22" s="105">
        <v>3</v>
      </c>
      <c r="AH22" s="105">
        <v>0</v>
      </c>
      <c r="AI22" s="5"/>
      <c r="AJ22" s="149" t="str">
        <v>GA</v>
      </c>
      <c r="AK22" s="105">
        <v>0</v>
      </c>
      <c r="AL22" s="105">
        <v>9</v>
      </c>
      <c r="AM22" s="105">
        <v>44</v>
      </c>
      <c r="AN22" s="105">
        <v>3</v>
      </c>
      <c r="AO22" s="105">
        <v>0</v>
      </c>
    </row>
    <row r="23" spans="1:41" ht="15.9" customHeight="1">
      <c r="A23" s="29" t="str">
        <v>GJ</v>
      </c>
      <c r="B23" s="8" t="str">
        <v>Gold J</v>
      </c>
      <c r="C23" s="105">
        <f t="shared" si="0"/>
        <v>0</v>
      </c>
      <c r="D23" s="105">
        <f t="shared" si="0"/>
        <v>5</v>
      </c>
      <c r="E23" s="105">
        <f t="shared" si="0"/>
        <v>4</v>
      </c>
      <c r="F23" s="105">
        <f t="shared" si="0"/>
        <v>4</v>
      </c>
      <c r="G23" s="105">
        <f t="shared" si="0"/>
        <v>0</v>
      </c>
      <c r="H23" s="8">
        <v>19</v>
      </c>
      <c r="I23" s="87"/>
      <c r="J23" s="9">
        <v>19</v>
      </c>
      <c r="K23" s="16" t="s">
        <v>19</v>
      </c>
      <c r="L23" s="16" t="s">
        <v>18</v>
      </c>
      <c r="M23" s="16" t="s">
        <v>119</v>
      </c>
      <c r="N23" s="16" t="s">
        <v>34</v>
      </c>
      <c r="O23" s="16" t="s">
        <v>21</v>
      </c>
      <c r="Q23" s="9">
        <v>5</v>
      </c>
      <c r="R23" s="9">
        <v>4</v>
      </c>
      <c r="S23" s="9">
        <v>17</v>
      </c>
      <c r="T23" s="9">
        <v>9</v>
      </c>
      <c r="U23" s="9">
        <v>2</v>
      </c>
      <c r="W23" s="25">
        <v>1</v>
      </c>
      <c r="X23" s="25">
        <v>1</v>
      </c>
      <c r="Y23" s="25">
        <v>1</v>
      </c>
      <c r="Z23" s="25">
        <v>1</v>
      </c>
      <c r="AA23" s="25">
        <v>1</v>
      </c>
      <c r="AC23" s="149" t="str">
        <v>GK</v>
      </c>
      <c r="AD23" s="105">
        <v>0</v>
      </c>
      <c r="AE23" s="105">
        <v>9</v>
      </c>
      <c r="AF23" s="105">
        <v>44</v>
      </c>
      <c r="AG23" s="105">
        <v>3</v>
      </c>
      <c r="AH23" s="105">
        <v>0</v>
      </c>
      <c r="AI23" s="5"/>
      <c r="AJ23" s="149" t="str">
        <v>GK</v>
      </c>
      <c r="AK23" s="105">
        <v>0</v>
      </c>
      <c r="AL23" s="105">
        <v>9</v>
      </c>
      <c r="AM23" s="105">
        <v>44</v>
      </c>
      <c r="AN23" s="105">
        <v>3</v>
      </c>
      <c r="AO23" s="105">
        <v>0</v>
      </c>
    </row>
    <row r="24" spans="1:41" ht="15.9" customHeight="1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7"/>
      <c r="J24" s="25">
        <v>20</v>
      </c>
      <c r="K24" s="16" t="s">
        <v>136</v>
      </c>
      <c r="L24" s="16" t="s">
        <v>88</v>
      </c>
      <c r="M24" s="16" t="s">
        <v>91</v>
      </c>
      <c r="N24" s="16" t="s">
        <v>18</v>
      </c>
      <c r="O24" s="16" t="s">
        <v>34</v>
      </c>
      <c r="Q24" s="9">
        <v>6</v>
      </c>
      <c r="R24" s="9">
        <v>11</v>
      </c>
      <c r="S24" s="9">
        <v>14</v>
      </c>
      <c r="T24" s="9">
        <v>4</v>
      </c>
      <c r="U24" s="9">
        <v>9</v>
      </c>
      <c r="W24" s="25">
        <v>1</v>
      </c>
      <c r="X24" s="25">
        <v>1</v>
      </c>
      <c r="Y24" s="25">
        <v>1</v>
      </c>
      <c r="Z24" s="25">
        <v>1</v>
      </c>
      <c r="AA24" s="25">
        <v>1</v>
      </c>
      <c r="AC24" s="149" t="str">
        <v>GQ</v>
      </c>
      <c r="AD24" s="105">
        <v>0</v>
      </c>
      <c r="AE24" s="105">
        <v>5</v>
      </c>
      <c r="AF24" s="105">
        <v>5</v>
      </c>
      <c r="AG24" s="105">
        <v>4</v>
      </c>
      <c r="AH24" s="105">
        <v>0</v>
      </c>
      <c r="AI24" s="5"/>
      <c r="AJ24" s="149" t="str">
        <v>GQ</v>
      </c>
      <c r="AK24" s="105">
        <v>0</v>
      </c>
      <c r="AL24" s="105">
        <v>5</v>
      </c>
      <c r="AM24" s="105">
        <v>5</v>
      </c>
      <c r="AN24" s="105">
        <v>4</v>
      </c>
      <c r="AO24" s="105">
        <v>0</v>
      </c>
    </row>
    <row r="25" spans="1:41" ht="16.5" customHeight="1">
      <c r="I25" s="87"/>
      <c r="J25" s="9">
        <v>21</v>
      </c>
      <c r="K25" s="16" t="s">
        <v>18</v>
      </c>
      <c r="L25" s="16" t="s">
        <v>119</v>
      </c>
      <c r="M25" s="16" t="s">
        <v>119</v>
      </c>
      <c r="N25" s="16" t="s">
        <v>20</v>
      </c>
      <c r="O25" s="16" t="s">
        <v>36</v>
      </c>
      <c r="Q25" s="9">
        <v>4</v>
      </c>
      <c r="R25" s="9">
        <v>17</v>
      </c>
      <c r="S25" s="9">
        <v>17</v>
      </c>
      <c r="T25" s="9">
        <v>1</v>
      </c>
      <c r="U25" s="9">
        <v>10</v>
      </c>
      <c r="W25" s="25">
        <v>1</v>
      </c>
      <c r="X25" s="25">
        <v>1</v>
      </c>
      <c r="Y25" s="25">
        <v>1</v>
      </c>
      <c r="Z25" s="25">
        <v>1</v>
      </c>
      <c r="AA25" s="25">
        <v>1</v>
      </c>
      <c r="AC25" s="149" t="str">
        <v>GJ</v>
      </c>
      <c r="AD25" s="105">
        <v>0</v>
      </c>
      <c r="AE25" s="105">
        <v>5</v>
      </c>
      <c r="AF25" s="105">
        <v>4</v>
      </c>
      <c r="AG25" s="105">
        <v>4</v>
      </c>
      <c r="AH25" s="105">
        <v>0</v>
      </c>
      <c r="AI25" s="5"/>
      <c r="AJ25" s="149" t="str">
        <v>GJ</v>
      </c>
      <c r="AK25" s="105">
        <v>0</v>
      </c>
      <c r="AL25" s="105">
        <v>5</v>
      </c>
      <c r="AM25" s="105">
        <v>4</v>
      </c>
      <c r="AN25" s="105">
        <v>4</v>
      </c>
      <c r="AO25" s="105">
        <v>0</v>
      </c>
    </row>
    <row r="26" spans="1:41" ht="16.5" customHeight="1">
      <c r="A26" s="20" t="s">
        <v>5</v>
      </c>
      <c r="B26" s="20" t="s">
        <v>12</v>
      </c>
      <c r="C26" s="20" t="s">
        <v>6</v>
      </c>
      <c r="D26" s="20" t="s">
        <v>7</v>
      </c>
      <c r="E26" s="20" t="s">
        <v>8</v>
      </c>
      <c r="F26" s="20" t="s">
        <v>9</v>
      </c>
      <c r="G26" s="20" t="s">
        <v>10</v>
      </c>
      <c r="H26" s="20" t="s">
        <v>11</v>
      </c>
      <c r="I26" s="87"/>
      <c r="J26" s="25">
        <v>22</v>
      </c>
      <c r="K26" s="16" t="s">
        <v>35</v>
      </c>
      <c r="L26" s="16" t="s">
        <v>22</v>
      </c>
      <c r="M26" s="16" t="s">
        <v>97</v>
      </c>
      <c r="N26" s="16" t="s">
        <v>137</v>
      </c>
      <c r="O26" s="16" t="s">
        <v>18</v>
      </c>
      <c r="Q26" s="9">
        <v>8</v>
      </c>
      <c r="R26" s="9">
        <v>3</v>
      </c>
      <c r="S26" s="9">
        <v>19</v>
      </c>
      <c r="T26" s="9">
        <v>15</v>
      </c>
      <c r="U26" s="9">
        <v>4</v>
      </c>
      <c r="W26" s="25">
        <v>1</v>
      </c>
      <c r="X26" s="25">
        <v>1</v>
      </c>
      <c r="Y26" s="25">
        <v>1</v>
      </c>
      <c r="Z26" s="25">
        <v>1</v>
      </c>
      <c r="AA26" s="25">
        <v>1</v>
      </c>
      <c r="AD26" s="119">
        <f>SUM(AD6:AD25)</f>
        <v>200</v>
      </c>
      <c r="AE26" s="119">
        <f>SUM(AE6:AE25)</f>
        <v>200</v>
      </c>
      <c r="AF26" s="119">
        <f>SUM(AF6:AF25)</f>
        <v>200</v>
      </c>
      <c r="AG26" s="119">
        <f>SUM(AG6:AG25)</f>
        <v>200</v>
      </c>
      <c r="AH26" s="119">
        <f>SUM(AH6:AH25)</f>
        <v>200</v>
      </c>
      <c r="AI26" s="5"/>
      <c r="AK26" s="119">
        <f>SUM(AK6:AK25)</f>
        <v>200</v>
      </c>
      <c r="AL26" s="119">
        <f>SUM(AL6:AL25)</f>
        <v>200</v>
      </c>
      <c r="AM26" s="119">
        <f>SUM(AM6:AM25)</f>
        <v>200</v>
      </c>
      <c r="AN26" s="119">
        <f>SUM(AN6:AN25)</f>
        <v>200</v>
      </c>
      <c r="AO26" s="119">
        <f>SUM(AO6:AO25)</f>
        <v>200</v>
      </c>
    </row>
    <row r="27" spans="1:41" ht="16.5" customHeight="1">
      <c r="A27" s="29" t="str" cm="1">
        <f t="array" ref="A27:B46">_xlfn.ANCHORARRAY(A4)</f>
        <v>WW</v>
      </c>
      <c r="B27" s="8" t="str">
        <v>Wild</v>
      </c>
      <c r="C27" s="143" cm="1">
        <f t="array" ref="C27:G46">C4:G23/C24:G24</f>
        <v>0</v>
      </c>
      <c r="D27" s="143">
        <v>0</v>
      </c>
      <c r="E27" s="143">
        <v>0</v>
      </c>
      <c r="F27" s="143">
        <v>0</v>
      </c>
      <c r="G27" s="143">
        <v>0</v>
      </c>
      <c r="H27" s="8" cm="1">
        <f t="array" ref="H27:H46">_xlfn.ANCHORARRAY(H4)</f>
        <v>0</v>
      </c>
      <c r="I27" s="87"/>
      <c r="J27" s="9">
        <v>23</v>
      </c>
      <c r="K27" s="16" t="s">
        <v>19</v>
      </c>
      <c r="L27" s="16" t="s">
        <v>34</v>
      </c>
      <c r="M27" s="16" t="s">
        <v>91</v>
      </c>
      <c r="N27" s="16" t="s">
        <v>36</v>
      </c>
      <c r="O27" s="16" t="s">
        <v>22</v>
      </c>
      <c r="Q27" s="9">
        <v>5</v>
      </c>
      <c r="R27" s="9">
        <v>9</v>
      </c>
      <c r="S27" s="9">
        <v>14</v>
      </c>
      <c r="T27" s="9">
        <v>10</v>
      </c>
      <c r="U27" s="9">
        <v>3</v>
      </c>
      <c r="W27" s="25">
        <v>1</v>
      </c>
      <c r="X27" s="25">
        <v>1</v>
      </c>
      <c r="Y27" s="25">
        <v>1</v>
      </c>
      <c r="Z27" s="25">
        <v>1</v>
      </c>
      <c r="AA27" s="25">
        <v>1</v>
      </c>
      <c r="AH27" s="5"/>
      <c r="AI27" s="5"/>
      <c r="AO27" s="5"/>
    </row>
    <row r="28" spans="1:41" ht="16.5" customHeight="1">
      <c r="A28" s="29" t="str">
        <v>C1</v>
      </c>
      <c r="B28" s="8" t="str">
        <v>Scatter</v>
      </c>
      <c r="C28" s="143">
        <v>0</v>
      </c>
      <c r="D28" s="143">
        <v>0.03</v>
      </c>
      <c r="E28" s="143">
        <v>0</v>
      </c>
      <c r="F28" s="143">
        <v>4.4999999999999998E-2</v>
      </c>
      <c r="G28" s="143">
        <v>0</v>
      </c>
      <c r="H28" s="8">
        <v>1</v>
      </c>
      <c r="I28" s="87"/>
      <c r="J28" s="25">
        <v>24</v>
      </c>
      <c r="K28" s="16" t="s">
        <v>136</v>
      </c>
      <c r="L28" s="16" t="s">
        <v>137</v>
      </c>
      <c r="M28" s="16" t="s">
        <v>137</v>
      </c>
      <c r="N28" s="16" t="s">
        <v>35</v>
      </c>
      <c r="O28" s="16" t="s">
        <v>21</v>
      </c>
      <c r="Q28" s="9">
        <v>6</v>
      </c>
      <c r="R28" s="9">
        <v>15</v>
      </c>
      <c r="S28" s="9">
        <v>15</v>
      </c>
      <c r="T28" s="9">
        <v>8</v>
      </c>
      <c r="U28" s="9">
        <v>2</v>
      </c>
      <c r="W28" s="25">
        <v>1</v>
      </c>
      <c r="X28" s="25">
        <v>1</v>
      </c>
      <c r="Y28" s="25">
        <v>1</v>
      </c>
      <c r="Z28" s="25">
        <v>1</v>
      </c>
      <c r="AA28" s="25">
        <v>1</v>
      </c>
      <c r="AC28" s="27" t="s">
        <v>143</v>
      </c>
      <c r="AH28" s="5"/>
      <c r="AI28" s="5"/>
      <c r="AJ28" s="27" t="s">
        <v>143</v>
      </c>
      <c r="AO28" s="5"/>
    </row>
    <row r="29" spans="1:41" ht="16.5" customHeight="1">
      <c r="A29" s="29" t="str">
        <v>M1</v>
      </c>
      <c r="B29" s="8" t="str">
        <v>M1</v>
      </c>
      <c r="C29" s="143">
        <v>0.02</v>
      </c>
      <c r="D29" s="143">
        <v>5.5E-2</v>
      </c>
      <c r="E29" s="143">
        <v>0</v>
      </c>
      <c r="F29" s="143">
        <v>0.11</v>
      </c>
      <c r="G29" s="143">
        <v>0.14000000000000001</v>
      </c>
      <c r="H29" s="8">
        <v>2</v>
      </c>
      <c r="I29" s="87"/>
      <c r="J29" s="9">
        <v>25</v>
      </c>
      <c r="K29" s="16" t="s">
        <v>36</v>
      </c>
      <c r="L29" s="16" t="s">
        <v>22</v>
      </c>
      <c r="M29" s="16" t="s">
        <v>119</v>
      </c>
      <c r="N29" s="16" t="s">
        <v>34</v>
      </c>
      <c r="O29" s="16" t="s">
        <v>18</v>
      </c>
      <c r="Q29" s="9">
        <v>10</v>
      </c>
      <c r="R29" s="9">
        <v>3</v>
      </c>
      <c r="S29" s="9">
        <v>17</v>
      </c>
      <c r="T29" s="9">
        <v>9</v>
      </c>
      <c r="U29" s="9">
        <v>4</v>
      </c>
      <c r="W29" s="25">
        <v>1</v>
      </c>
      <c r="X29" s="25">
        <v>1</v>
      </c>
      <c r="Y29" s="25">
        <v>1</v>
      </c>
      <c r="Z29" s="25">
        <v>1</v>
      </c>
      <c r="AA29" s="25">
        <v>1</v>
      </c>
      <c r="AC29" s="146" t="s">
        <v>42</v>
      </c>
      <c r="AD29" s="146" t="s">
        <v>13</v>
      </c>
      <c r="AE29" s="146" t="s">
        <v>14</v>
      </c>
      <c r="AF29" s="146" t="s">
        <v>15</v>
      </c>
      <c r="AG29" s="146" t="s">
        <v>16</v>
      </c>
      <c r="AH29" s="146" t="s">
        <v>17</v>
      </c>
      <c r="AI29" s="5"/>
      <c r="AJ29" s="146" t="s">
        <v>42</v>
      </c>
      <c r="AK29" s="146" t="s">
        <v>13</v>
      </c>
      <c r="AL29" s="146" t="s">
        <v>14</v>
      </c>
      <c r="AM29" s="146" t="s">
        <v>15</v>
      </c>
      <c r="AN29" s="146" t="s">
        <v>16</v>
      </c>
      <c r="AO29" s="146" t="s">
        <v>17</v>
      </c>
    </row>
    <row r="30" spans="1:41" ht="16.5" customHeight="1">
      <c r="A30" s="29" t="str">
        <v>M2</v>
      </c>
      <c r="B30" s="8" t="str">
        <v>M2</v>
      </c>
      <c r="C30" s="143">
        <v>0.02</v>
      </c>
      <c r="D30" s="143">
        <v>5.5E-2</v>
      </c>
      <c r="E30" s="143">
        <v>0</v>
      </c>
      <c r="F30" s="143">
        <v>0.11</v>
      </c>
      <c r="G30" s="143">
        <v>0.13500000000000001</v>
      </c>
      <c r="H30" s="8">
        <v>3</v>
      </c>
      <c r="I30" s="87"/>
      <c r="J30" s="25">
        <v>26</v>
      </c>
      <c r="K30" s="16" t="s">
        <v>136</v>
      </c>
      <c r="L30" s="16" t="s">
        <v>35</v>
      </c>
      <c r="M30" s="16" t="s">
        <v>91</v>
      </c>
      <c r="N30" s="16" t="s">
        <v>136</v>
      </c>
      <c r="O30" s="16" t="s">
        <v>21</v>
      </c>
      <c r="Q30" s="9">
        <v>6</v>
      </c>
      <c r="R30" s="9">
        <v>8</v>
      </c>
      <c r="S30" s="9">
        <v>14</v>
      </c>
      <c r="T30" s="9">
        <v>6</v>
      </c>
      <c r="U30" s="9">
        <v>2</v>
      </c>
      <c r="W30" s="25">
        <v>1</v>
      </c>
      <c r="X30" s="25">
        <v>1</v>
      </c>
      <c r="Y30" s="25">
        <v>1</v>
      </c>
      <c r="Z30" s="25">
        <v>1</v>
      </c>
      <c r="AA30" s="25">
        <v>1</v>
      </c>
      <c r="AC30" s="149" t="str" cm="1">
        <f t="array" ref="AC30:AC49">$A$4:$A$23</f>
        <v>WW</v>
      </c>
      <c r="AD30" s="150">
        <v>0</v>
      </c>
      <c r="AE30" s="150">
        <v>0</v>
      </c>
      <c r="AF30" s="150">
        <v>0</v>
      </c>
      <c r="AG30" s="150">
        <v>0</v>
      </c>
      <c r="AH30" s="150">
        <v>0</v>
      </c>
      <c r="AI30" s="5"/>
      <c r="AJ30" s="149" t="str" cm="1">
        <f t="array" ref="AJ30:AJ49">$A$4:$A$23</f>
        <v>WW</v>
      </c>
      <c r="AK30" s="150">
        <v>0</v>
      </c>
      <c r="AL30" s="150">
        <v>0</v>
      </c>
      <c r="AM30" s="150">
        <v>0</v>
      </c>
      <c r="AN30" s="150">
        <v>0</v>
      </c>
      <c r="AO30" s="150">
        <v>0</v>
      </c>
    </row>
    <row r="31" spans="1:41" ht="16.5" customHeight="1">
      <c r="A31" s="29" t="str">
        <v>M3</v>
      </c>
      <c r="B31" s="8" t="str">
        <v>M3</v>
      </c>
      <c r="C31" s="143">
        <v>0.02</v>
      </c>
      <c r="D31" s="143">
        <v>5.5E-2</v>
      </c>
      <c r="E31" s="143">
        <v>0</v>
      </c>
      <c r="F31" s="143">
        <v>0.11</v>
      </c>
      <c r="G31" s="143">
        <v>0.13500000000000001</v>
      </c>
      <c r="H31" s="8">
        <v>4</v>
      </c>
      <c r="I31" s="87"/>
      <c r="J31" s="9">
        <v>27</v>
      </c>
      <c r="K31" s="16" t="s">
        <v>21</v>
      </c>
      <c r="L31" s="16" t="s">
        <v>35</v>
      </c>
      <c r="M31" s="16" t="s">
        <v>97</v>
      </c>
      <c r="N31" s="16" t="s">
        <v>21</v>
      </c>
      <c r="O31" s="16" t="s">
        <v>18</v>
      </c>
      <c r="Q31" s="9">
        <v>2</v>
      </c>
      <c r="R31" s="9">
        <v>8</v>
      </c>
      <c r="S31" s="9">
        <v>19</v>
      </c>
      <c r="T31" s="9">
        <v>2</v>
      </c>
      <c r="U31" s="9">
        <v>4</v>
      </c>
      <c r="W31" s="25">
        <v>1</v>
      </c>
      <c r="X31" s="25">
        <v>1</v>
      </c>
      <c r="Y31" s="25">
        <v>1</v>
      </c>
      <c r="Z31" s="25">
        <v>1</v>
      </c>
      <c r="AA31" s="25">
        <v>1</v>
      </c>
      <c r="AC31" s="149" t="str">
        <v>C1</v>
      </c>
      <c r="AD31" s="149">
        <v>0</v>
      </c>
      <c r="AE31" s="149">
        <v>6</v>
      </c>
      <c r="AF31" s="149">
        <v>0</v>
      </c>
      <c r="AG31" s="149">
        <v>9</v>
      </c>
      <c r="AH31" s="149">
        <v>0</v>
      </c>
      <c r="AI31" s="5"/>
      <c r="AJ31" s="149" t="str">
        <v>C1</v>
      </c>
      <c r="AK31" s="149">
        <v>0</v>
      </c>
      <c r="AL31" s="149">
        <v>6</v>
      </c>
      <c r="AM31" s="149">
        <v>0</v>
      </c>
      <c r="AN31" s="149">
        <v>9</v>
      </c>
      <c r="AO31" s="149">
        <v>0</v>
      </c>
    </row>
    <row r="32" spans="1:41" ht="16.5" customHeight="1">
      <c r="A32" s="29" t="str">
        <v>M4</v>
      </c>
      <c r="B32" s="8" t="str">
        <v>M4</v>
      </c>
      <c r="C32" s="143">
        <v>0.215</v>
      </c>
      <c r="D32" s="143">
        <v>9.5000000000000001E-2</v>
      </c>
      <c r="E32" s="143">
        <v>0</v>
      </c>
      <c r="F32" s="143">
        <v>0.06</v>
      </c>
      <c r="G32" s="143">
        <v>0.08</v>
      </c>
      <c r="H32" s="8">
        <v>5</v>
      </c>
      <c r="J32" s="25">
        <v>28</v>
      </c>
      <c r="K32" s="16" t="s">
        <v>136</v>
      </c>
      <c r="L32" s="16" t="s">
        <v>36</v>
      </c>
      <c r="M32" s="16" t="s">
        <v>92</v>
      </c>
      <c r="N32" s="16" t="s">
        <v>20</v>
      </c>
      <c r="O32" s="16" t="s">
        <v>21</v>
      </c>
      <c r="Q32" s="9">
        <v>6</v>
      </c>
      <c r="R32" s="9">
        <v>10</v>
      </c>
      <c r="S32" s="9">
        <v>16</v>
      </c>
      <c r="T32" s="9">
        <v>1</v>
      </c>
      <c r="U32" s="9">
        <v>2</v>
      </c>
      <c r="W32" s="25">
        <v>1</v>
      </c>
      <c r="X32" s="25">
        <v>1</v>
      </c>
      <c r="Y32" s="25">
        <v>1</v>
      </c>
      <c r="Z32" s="25">
        <v>1</v>
      </c>
      <c r="AA32" s="25">
        <v>1</v>
      </c>
      <c r="AC32" s="166" t="str">
        <v>M1</v>
      </c>
      <c r="AD32" s="144">
        <v>4</v>
      </c>
      <c r="AE32" s="144">
        <v>11</v>
      </c>
      <c r="AF32" s="144">
        <v>0</v>
      </c>
      <c r="AG32" s="144">
        <v>22</v>
      </c>
      <c r="AH32" s="144">
        <v>28</v>
      </c>
      <c r="AI32" s="5"/>
      <c r="AJ32" s="166" t="str">
        <v>M1</v>
      </c>
      <c r="AK32" s="144">
        <v>4</v>
      </c>
      <c r="AL32" s="144">
        <v>11</v>
      </c>
      <c r="AM32" s="144">
        <v>0</v>
      </c>
      <c r="AN32" s="144">
        <v>22</v>
      </c>
      <c r="AO32" s="144">
        <v>28</v>
      </c>
    </row>
    <row r="33" spans="1:41" ht="16.5" customHeight="1">
      <c r="A33" s="29" t="str">
        <v>M5</v>
      </c>
      <c r="B33" s="8" t="str">
        <v>M5</v>
      </c>
      <c r="C33" s="143">
        <v>0.215</v>
      </c>
      <c r="D33" s="143">
        <v>0.1</v>
      </c>
      <c r="E33" s="143">
        <v>0</v>
      </c>
      <c r="F33" s="143">
        <v>0.06</v>
      </c>
      <c r="G33" s="143">
        <v>0.08</v>
      </c>
      <c r="H33" s="8">
        <v>6</v>
      </c>
      <c r="J33" s="9">
        <v>29</v>
      </c>
      <c r="K33" s="16" t="s">
        <v>136</v>
      </c>
      <c r="L33" s="16" t="s">
        <v>36</v>
      </c>
      <c r="M33" s="16" t="s">
        <v>91</v>
      </c>
      <c r="N33" s="16" t="s">
        <v>18</v>
      </c>
      <c r="O33" s="16" t="s">
        <v>22</v>
      </c>
      <c r="Q33" s="9">
        <v>6</v>
      </c>
      <c r="R33" s="9">
        <v>10</v>
      </c>
      <c r="S33" s="9">
        <v>14</v>
      </c>
      <c r="T33" s="9">
        <v>4</v>
      </c>
      <c r="U33" s="9">
        <v>3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C33" s="166" t="str">
        <v>M2</v>
      </c>
      <c r="AD33" s="144">
        <v>4</v>
      </c>
      <c r="AE33" s="144">
        <v>11</v>
      </c>
      <c r="AF33" s="144">
        <v>0</v>
      </c>
      <c r="AG33" s="144">
        <v>22</v>
      </c>
      <c r="AH33" s="144">
        <v>27</v>
      </c>
      <c r="AI33" s="5"/>
      <c r="AJ33" s="166" t="str">
        <v>M2</v>
      </c>
      <c r="AK33" s="144">
        <v>4</v>
      </c>
      <c r="AL33" s="144">
        <v>11</v>
      </c>
      <c r="AM33" s="144">
        <v>0</v>
      </c>
      <c r="AN33" s="144">
        <v>22</v>
      </c>
      <c r="AO33" s="144">
        <v>27</v>
      </c>
    </row>
    <row r="34" spans="1:41" ht="16.5" customHeight="1">
      <c r="A34" s="29" t="str">
        <v>A</v>
      </c>
      <c r="B34" s="8" t="str">
        <v>A</v>
      </c>
      <c r="C34" s="143">
        <v>0.23499999999999999</v>
      </c>
      <c r="D34" s="143">
        <v>0.1</v>
      </c>
      <c r="E34" s="143">
        <v>0</v>
      </c>
      <c r="F34" s="143">
        <v>0.06</v>
      </c>
      <c r="G34" s="143">
        <v>0.08</v>
      </c>
      <c r="H34" s="8">
        <v>7</v>
      </c>
      <c r="J34" s="25">
        <v>30</v>
      </c>
      <c r="K34" s="16" t="s">
        <v>136</v>
      </c>
      <c r="L34" s="16" t="s">
        <v>22</v>
      </c>
      <c r="M34" s="16" t="s">
        <v>90</v>
      </c>
      <c r="N34" s="16" t="s">
        <v>88</v>
      </c>
      <c r="O34" s="16" t="s">
        <v>21</v>
      </c>
      <c r="Q34" s="9">
        <v>6</v>
      </c>
      <c r="R34" s="9">
        <v>3</v>
      </c>
      <c r="S34" s="9">
        <v>13</v>
      </c>
      <c r="T34" s="9">
        <v>11</v>
      </c>
      <c r="U34" s="9">
        <v>2</v>
      </c>
      <c r="W34" s="25">
        <v>1</v>
      </c>
      <c r="X34" s="25">
        <v>1</v>
      </c>
      <c r="Y34" s="25">
        <v>1</v>
      </c>
      <c r="Z34" s="25">
        <v>1</v>
      </c>
      <c r="AA34" s="25">
        <v>1</v>
      </c>
      <c r="AC34" s="166" t="str">
        <v>M3</v>
      </c>
      <c r="AD34" s="144">
        <v>4</v>
      </c>
      <c r="AE34" s="144">
        <v>11</v>
      </c>
      <c r="AF34" s="144">
        <v>0</v>
      </c>
      <c r="AG34" s="144">
        <v>22</v>
      </c>
      <c r="AH34" s="144">
        <v>27</v>
      </c>
      <c r="AI34" s="5"/>
      <c r="AJ34" s="166" t="str">
        <v>M3</v>
      </c>
      <c r="AK34" s="144">
        <v>4</v>
      </c>
      <c r="AL34" s="144">
        <v>11</v>
      </c>
      <c r="AM34" s="144">
        <v>0</v>
      </c>
      <c r="AN34" s="144">
        <v>22</v>
      </c>
      <c r="AO34" s="144">
        <v>27</v>
      </c>
    </row>
    <row r="35" spans="1:41" ht="16.5" customHeight="1">
      <c r="A35" s="29" t="str">
        <v>K</v>
      </c>
      <c r="B35" s="8" t="str">
        <v>K</v>
      </c>
      <c r="C35" s="143">
        <v>0.23499999999999999</v>
      </c>
      <c r="D35" s="143">
        <v>0.1</v>
      </c>
      <c r="E35" s="143">
        <v>0</v>
      </c>
      <c r="F35" s="143">
        <v>0.06</v>
      </c>
      <c r="G35" s="143">
        <v>0.08</v>
      </c>
      <c r="H35" s="8">
        <v>8</v>
      </c>
      <c r="J35" s="9">
        <v>31</v>
      </c>
      <c r="K35" s="16" t="s">
        <v>35</v>
      </c>
      <c r="L35" s="16" t="s">
        <v>35</v>
      </c>
      <c r="M35" s="16" t="s">
        <v>91</v>
      </c>
      <c r="N35" s="16" t="s">
        <v>37</v>
      </c>
      <c r="O35" s="16" t="s">
        <v>21</v>
      </c>
      <c r="Q35" s="9">
        <v>8</v>
      </c>
      <c r="R35" s="9">
        <v>8</v>
      </c>
      <c r="S35" s="9">
        <v>14</v>
      </c>
      <c r="T35" s="9">
        <v>7</v>
      </c>
      <c r="U35" s="9">
        <v>2</v>
      </c>
      <c r="W35" s="25">
        <v>1</v>
      </c>
      <c r="X35" s="25">
        <v>1</v>
      </c>
      <c r="Y35" s="25">
        <v>1</v>
      </c>
      <c r="Z35" s="25">
        <v>1</v>
      </c>
      <c r="AA35" s="25">
        <v>1</v>
      </c>
      <c r="AC35" s="166" t="str">
        <v>M4</v>
      </c>
      <c r="AD35" s="144">
        <v>43</v>
      </c>
      <c r="AE35" s="144">
        <v>19</v>
      </c>
      <c r="AF35" s="144">
        <v>0</v>
      </c>
      <c r="AG35" s="144">
        <v>12</v>
      </c>
      <c r="AH35" s="144">
        <v>16</v>
      </c>
      <c r="AI35" s="5"/>
      <c r="AJ35" s="166" t="str">
        <v>M4</v>
      </c>
      <c r="AK35" s="144">
        <v>43</v>
      </c>
      <c r="AL35" s="144">
        <v>19</v>
      </c>
      <c r="AM35" s="144">
        <v>0</v>
      </c>
      <c r="AN35" s="144">
        <v>12</v>
      </c>
      <c r="AO35" s="144">
        <v>16</v>
      </c>
    </row>
    <row r="36" spans="1:41" ht="16.5" customHeight="1">
      <c r="A36" s="29" t="str">
        <v>Q</v>
      </c>
      <c r="B36" s="8" t="str">
        <v>Q</v>
      </c>
      <c r="C36" s="143">
        <v>0.02</v>
      </c>
      <c r="D36" s="143">
        <v>5.5E-2</v>
      </c>
      <c r="E36" s="143">
        <v>0</v>
      </c>
      <c r="F36" s="143">
        <v>0.105</v>
      </c>
      <c r="G36" s="143">
        <v>0.13500000000000001</v>
      </c>
      <c r="H36" s="8">
        <v>9</v>
      </c>
      <c r="J36" s="25">
        <v>32</v>
      </c>
      <c r="K36" s="16" t="s">
        <v>37</v>
      </c>
      <c r="L36" s="16" t="s">
        <v>97</v>
      </c>
      <c r="M36" s="16" t="s">
        <v>137</v>
      </c>
      <c r="N36" s="16" t="s">
        <v>18</v>
      </c>
      <c r="O36" s="16" t="s">
        <v>34</v>
      </c>
      <c r="Q36" s="9">
        <v>7</v>
      </c>
      <c r="R36" s="9">
        <v>19</v>
      </c>
      <c r="S36" s="9">
        <v>15</v>
      </c>
      <c r="T36" s="9">
        <v>4</v>
      </c>
      <c r="U36" s="9">
        <v>9</v>
      </c>
      <c r="W36" s="25">
        <v>1</v>
      </c>
      <c r="X36" s="25">
        <v>1</v>
      </c>
      <c r="Y36" s="25">
        <v>1</v>
      </c>
      <c r="Z36" s="25">
        <v>1</v>
      </c>
      <c r="AA36" s="25">
        <v>1</v>
      </c>
      <c r="AC36" s="166" t="str">
        <v>M5</v>
      </c>
      <c r="AD36" s="144">
        <v>43</v>
      </c>
      <c r="AE36" s="144">
        <v>20</v>
      </c>
      <c r="AF36" s="144">
        <v>0</v>
      </c>
      <c r="AG36" s="144">
        <v>12</v>
      </c>
      <c r="AH36" s="144">
        <v>16</v>
      </c>
      <c r="AI36" s="5"/>
      <c r="AJ36" s="166" t="str">
        <v>M5</v>
      </c>
      <c r="AK36" s="144">
        <v>43</v>
      </c>
      <c r="AL36" s="144">
        <v>20</v>
      </c>
      <c r="AM36" s="144">
        <v>0</v>
      </c>
      <c r="AN36" s="144">
        <v>12</v>
      </c>
      <c r="AO36" s="144">
        <v>16</v>
      </c>
    </row>
    <row r="37" spans="1:41" ht="16.5" customHeight="1">
      <c r="A37" s="29" t="str">
        <v>J</v>
      </c>
      <c r="B37" s="8" t="str">
        <v>J</v>
      </c>
      <c r="C37" s="143">
        <v>0.02</v>
      </c>
      <c r="D37" s="143">
        <v>5.5E-2</v>
      </c>
      <c r="E37" s="143">
        <v>0</v>
      </c>
      <c r="F37" s="143">
        <v>0.105</v>
      </c>
      <c r="G37" s="143">
        <v>0.13500000000000001</v>
      </c>
      <c r="H37" s="8">
        <v>10</v>
      </c>
      <c r="J37" s="9">
        <v>33</v>
      </c>
      <c r="K37" s="16" t="s">
        <v>136</v>
      </c>
      <c r="L37" s="16" t="s">
        <v>35</v>
      </c>
      <c r="M37" s="16" t="s">
        <v>119</v>
      </c>
      <c r="N37" s="16" t="s">
        <v>119</v>
      </c>
      <c r="O37" s="16" t="s">
        <v>36</v>
      </c>
      <c r="Q37" s="9">
        <v>6</v>
      </c>
      <c r="R37" s="9">
        <v>8</v>
      </c>
      <c r="S37" s="9">
        <v>17</v>
      </c>
      <c r="T37" s="9">
        <v>17</v>
      </c>
      <c r="U37" s="9">
        <v>10</v>
      </c>
      <c r="W37" s="25">
        <v>1</v>
      </c>
      <c r="X37" s="25">
        <v>1</v>
      </c>
      <c r="Y37" s="25">
        <v>1</v>
      </c>
      <c r="Z37" s="25">
        <v>1</v>
      </c>
      <c r="AA37" s="25">
        <v>1</v>
      </c>
      <c r="AC37" s="166" t="str">
        <v>A</v>
      </c>
      <c r="AD37" s="144">
        <v>47</v>
      </c>
      <c r="AE37" s="144">
        <v>20</v>
      </c>
      <c r="AF37" s="144">
        <v>0</v>
      </c>
      <c r="AG37" s="144">
        <v>12</v>
      </c>
      <c r="AH37" s="144">
        <v>16</v>
      </c>
      <c r="AI37" s="5"/>
      <c r="AJ37" s="166" t="str">
        <v>A</v>
      </c>
      <c r="AK37" s="144">
        <v>47</v>
      </c>
      <c r="AL37" s="144">
        <v>20</v>
      </c>
      <c r="AM37" s="144">
        <v>0</v>
      </c>
      <c r="AN37" s="144">
        <v>12</v>
      </c>
      <c r="AO37" s="144">
        <v>16</v>
      </c>
    </row>
    <row r="38" spans="1:41" ht="16.5" customHeight="1">
      <c r="A38" s="29" t="str">
        <v>G1</v>
      </c>
      <c r="B38" s="8" t="str">
        <v>Gold M1</v>
      </c>
      <c r="C38" s="143">
        <v>0</v>
      </c>
      <c r="D38" s="143">
        <v>0.02</v>
      </c>
      <c r="E38" s="143">
        <v>2.5000000000000001E-2</v>
      </c>
      <c r="F38" s="143">
        <v>2.5000000000000001E-2</v>
      </c>
      <c r="G38" s="143">
        <v>0</v>
      </c>
      <c r="H38" s="8">
        <v>11</v>
      </c>
      <c r="J38" s="25">
        <v>34</v>
      </c>
      <c r="K38" s="16" t="s">
        <v>19</v>
      </c>
      <c r="L38" s="16" t="s">
        <v>19</v>
      </c>
      <c r="M38" s="16" t="s">
        <v>92</v>
      </c>
      <c r="N38" s="16" t="s">
        <v>21</v>
      </c>
      <c r="O38" s="16" t="s">
        <v>35</v>
      </c>
      <c r="Q38" s="9">
        <v>5</v>
      </c>
      <c r="R38" s="9">
        <v>5</v>
      </c>
      <c r="S38" s="9">
        <v>16</v>
      </c>
      <c r="T38" s="9">
        <v>2</v>
      </c>
      <c r="U38" s="9">
        <v>8</v>
      </c>
      <c r="W38" s="25">
        <v>1</v>
      </c>
      <c r="X38" s="25">
        <v>1</v>
      </c>
      <c r="Y38" s="25">
        <v>1</v>
      </c>
      <c r="Z38" s="25">
        <v>1</v>
      </c>
      <c r="AA38" s="25">
        <v>1</v>
      </c>
      <c r="AC38" s="166" t="str">
        <v>K</v>
      </c>
      <c r="AD38" s="144">
        <v>47</v>
      </c>
      <c r="AE38" s="144">
        <v>20</v>
      </c>
      <c r="AF38" s="144">
        <v>0</v>
      </c>
      <c r="AG38" s="144">
        <v>12</v>
      </c>
      <c r="AH38" s="144">
        <v>16</v>
      </c>
      <c r="AI38" s="5"/>
      <c r="AJ38" s="166" t="str">
        <v>K</v>
      </c>
      <c r="AK38" s="144">
        <v>47</v>
      </c>
      <c r="AL38" s="144">
        <v>20</v>
      </c>
      <c r="AM38" s="144">
        <v>0</v>
      </c>
      <c r="AN38" s="144">
        <v>12</v>
      </c>
      <c r="AO38" s="144">
        <v>16</v>
      </c>
    </row>
    <row r="39" spans="1:41" ht="16.5" customHeight="1">
      <c r="A39" s="29" t="str">
        <v>G2</v>
      </c>
      <c r="B39" s="8" t="str">
        <v>Gold M2</v>
      </c>
      <c r="C39" s="143">
        <v>0</v>
      </c>
      <c r="D39" s="143">
        <v>2.5000000000000001E-2</v>
      </c>
      <c r="E39" s="143">
        <v>2.5000000000000001E-2</v>
      </c>
      <c r="F39" s="143">
        <v>2.5000000000000001E-2</v>
      </c>
      <c r="G39" s="143">
        <v>0</v>
      </c>
      <c r="H39" s="8">
        <v>12</v>
      </c>
      <c r="J39" s="9">
        <v>35</v>
      </c>
      <c r="K39" s="16" t="s">
        <v>35</v>
      </c>
      <c r="L39" s="16" t="s">
        <v>18</v>
      </c>
      <c r="M39" s="16" t="s">
        <v>137</v>
      </c>
      <c r="N39" s="16" t="s">
        <v>19</v>
      </c>
      <c r="O39" s="16" t="s">
        <v>19</v>
      </c>
      <c r="Q39" s="9">
        <v>8</v>
      </c>
      <c r="R39" s="9">
        <v>4</v>
      </c>
      <c r="S39" s="9">
        <v>15</v>
      </c>
      <c r="T39" s="9">
        <v>5</v>
      </c>
      <c r="U39" s="9">
        <v>5</v>
      </c>
      <c r="W39" s="25">
        <v>1</v>
      </c>
      <c r="X39" s="25">
        <v>1</v>
      </c>
      <c r="Y39" s="25">
        <v>1</v>
      </c>
      <c r="Z39" s="25">
        <v>1</v>
      </c>
      <c r="AA39" s="25">
        <v>1</v>
      </c>
      <c r="AC39" s="166" t="str">
        <v>Q</v>
      </c>
      <c r="AD39" s="144">
        <v>4</v>
      </c>
      <c r="AE39" s="144">
        <v>11</v>
      </c>
      <c r="AF39" s="144">
        <v>0</v>
      </c>
      <c r="AG39" s="144">
        <v>21</v>
      </c>
      <c r="AH39" s="144">
        <v>27</v>
      </c>
      <c r="AI39" s="5"/>
      <c r="AJ39" s="166" t="str">
        <v>Q</v>
      </c>
      <c r="AK39" s="144">
        <v>4</v>
      </c>
      <c r="AL39" s="144">
        <v>11</v>
      </c>
      <c r="AM39" s="144">
        <v>0</v>
      </c>
      <c r="AN39" s="144">
        <v>21</v>
      </c>
      <c r="AO39" s="144">
        <v>27</v>
      </c>
    </row>
    <row r="40" spans="1:41" ht="16.5" customHeight="1">
      <c r="A40" s="29" t="str">
        <v>G3</v>
      </c>
      <c r="B40" s="8" t="str">
        <v>Gold M3</v>
      </c>
      <c r="C40" s="143">
        <v>0</v>
      </c>
      <c r="D40" s="143">
        <v>2.5000000000000001E-2</v>
      </c>
      <c r="E40" s="143">
        <v>2.5000000000000001E-2</v>
      </c>
      <c r="F40" s="143">
        <v>2.5000000000000001E-2</v>
      </c>
      <c r="G40" s="143">
        <v>0</v>
      </c>
      <c r="H40" s="8">
        <v>13</v>
      </c>
      <c r="J40" s="25">
        <v>36</v>
      </c>
      <c r="K40" s="16" t="s">
        <v>19</v>
      </c>
      <c r="L40" s="16" t="s">
        <v>18</v>
      </c>
      <c r="M40" s="16" t="s">
        <v>91</v>
      </c>
      <c r="N40" s="16" t="s">
        <v>19</v>
      </c>
      <c r="O40" s="16" t="s">
        <v>18</v>
      </c>
      <c r="Q40" s="9">
        <v>5</v>
      </c>
      <c r="R40" s="9">
        <v>4</v>
      </c>
      <c r="S40" s="9">
        <v>14</v>
      </c>
      <c r="T40" s="9">
        <v>5</v>
      </c>
      <c r="U40" s="9">
        <v>4</v>
      </c>
      <c r="W40" s="25">
        <v>1</v>
      </c>
      <c r="X40" s="25">
        <v>1</v>
      </c>
      <c r="Y40" s="25">
        <v>1</v>
      </c>
      <c r="Z40" s="25">
        <v>1</v>
      </c>
      <c r="AA40" s="25">
        <v>1</v>
      </c>
      <c r="AC40" s="166" t="str">
        <v>J</v>
      </c>
      <c r="AD40" s="144">
        <v>4</v>
      </c>
      <c r="AE40" s="144">
        <v>11</v>
      </c>
      <c r="AF40" s="144">
        <v>0</v>
      </c>
      <c r="AG40" s="144">
        <v>21</v>
      </c>
      <c r="AH40" s="144">
        <v>27</v>
      </c>
      <c r="AI40" s="5"/>
      <c r="AJ40" s="166" t="str">
        <v>J</v>
      </c>
      <c r="AK40" s="144">
        <v>4</v>
      </c>
      <c r="AL40" s="144">
        <v>11</v>
      </c>
      <c r="AM40" s="144">
        <v>0</v>
      </c>
      <c r="AN40" s="144">
        <v>21</v>
      </c>
      <c r="AO40" s="144">
        <v>27</v>
      </c>
    </row>
    <row r="41" spans="1:41" ht="16.5" customHeight="1">
      <c r="A41" s="29" t="str">
        <v>G4</v>
      </c>
      <c r="B41" s="8" t="str">
        <v>Gold M4</v>
      </c>
      <c r="C41" s="143">
        <v>0</v>
      </c>
      <c r="D41" s="143">
        <v>4.4999999999999998E-2</v>
      </c>
      <c r="E41" s="143">
        <v>0.22</v>
      </c>
      <c r="F41" s="143">
        <v>1.4999999999999999E-2</v>
      </c>
      <c r="G41" s="143">
        <v>0</v>
      </c>
      <c r="H41" s="8">
        <v>14</v>
      </c>
      <c r="J41" s="9">
        <v>37</v>
      </c>
      <c r="K41" s="16" t="s">
        <v>136</v>
      </c>
      <c r="L41" s="16" t="s">
        <v>137</v>
      </c>
      <c r="M41" s="16" t="s">
        <v>119</v>
      </c>
      <c r="N41" s="16" t="s">
        <v>88</v>
      </c>
      <c r="O41" s="16" t="s">
        <v>19</v>
      </c>
      <c r="Q41" s="9">
        <v>6</v>
      </c>
      <c r="R41" s="9">
        <v>15</v>
      </c>
      <c r="S41" s="9">
        <v>17</v>
      </c>
      <c r="T41" s="9">
        <v>11</v>
      </c>
      <c r="U41" s="9">
        <v>5</v>
      </c>
      <c r="W41" s="25">
        <v>1</v>
      </c>
      <c r="X41" s="25">
        <v>1</v>
      </c>
      <c r="Y41" s="25">
        <v>1</v>
      </c>
      <c r="Z41" s="25">
        <v>1</v>
      </c>
      <c r="AA41" s="25">
        <v>1</v>
      </c>
      <c r="AC41" s="149" t="str">
        <v>G1</v>
      </c>
      <c r="AD41" s="105">
        <v>0</v>
      </c>
      <c r="AE41" s="105">
        <v>4</v>
      </c>
      <c r="AF41" s="105">
        <v>5</v>
      </c>
      <c r="AG41" s="105">
        <v>5</v>
      </c>
      <c r="AH41" s="105">
        <v>0</v>
      </c>
      <c r="AI41" s="5"/>
      <c r="AJ41" s="149" t="str">
        <v>G1</v>
      </c>
      <c r="AK41" s="105">
        <v>0</v>
      </c>
      <c r="AL41" s="105">
        <v>4</v>
      </c>
      <c r="AM41" s="105">
        <v>5</v>
      </c>
      <c r="AN41" s="105">
        <v>5</v>
      </c>
      <c r="AO41" s="105">
        <v>0</v>
      </c>
    </row>
    <row r="42" spans="1:41" ht="16.5" customHeight="1">
      <c r="A42" s="29" t="str">
        <v>G5</v>
      </c>
      <c r="B42" s="8" t="str">
        <v>Gold M5</v>
      </c>
      <c r="C42" s="143">
        <v>0</v>
      </c>
      <c r="D42" s="143">
        <v>4.4999999999999998E-2</v>
      </c>
      <c r="E42" s="143">
        <v>0.22</v>
      </c>
      <c r="F42" s="143">
        <v>1.4999999999999999E-2</v>
      </c>
      <c r="G42" s="143">
        <v>0</v>
      </c>
      <c r="H42" s="8">
        <v>15</v>
      </c>
      <c r="J42" s="25">
        <v>38</v>
      </c>
      <c r="K42" s="16" t="s">
        <v>19</v>
      </c>
      <c r="L42" s="16" t="s">
        <v>90</v>
      </c>
      <c r="M42" s="16" t="s">
        <v>92</v>
      </c>
      <c r="N42" s="16" t="s">
        <v>34</v>
      </c>
      <c r="O42" s="16" t="s">
        <v>22</v>
      </c>
      <c r="Q42" s="9">
        <v>5</v>
      </c>
      <c r="R42" s="9">
        <v>13</v>
      </c>
      <c r="S42" s="9">
        <v>16</v>
      </c>
      <c r="T42" s="9">
        <v>9</v>
      </c>
      <c r="U42" s="9">
        <v>3</v>
      </c>
      <c r="W42" s="25">
        <v>1</v>
      </c>
      <c r="X42" s="25">
        <v>1</v>
      </c>
      <c r="Y42" s="25">
        <v>1</v>
      </c>
      <c r="Z42" s="25">
        <v>1</v>
      </c>
      <c r="AA42" s="25">
        <v>1</v>
      </c>
      <c r="AC42" s="149" t="str">
        <v>G2</v>
      </c>
      <c r="AD42" s="105">
        <v>0</v>
      </c>
      <c r="AE42" s="105">
        <v>5</v>
      </c>
      <c r="AF42" s="105">
        <v>5</v>
      </c>
      <c r="AG42" s="105">
        <v>5</v>
      </c>
      <c r="AH42" s="105">
        <v>0</v>
      </c>
      <c r="AI42" s="5"/>
      <c r="AJ42" s="149" t="str">
        <v>G2</v>
      </c>
      <c r="AK42" s="105">
        <v>0</v>
      </c>
      <c r="AL42" s="105">
        <v>5</v>
      </c>
      <c r="AM42" s="105">
        <v>5</v>
      </c>
      <c r="AN42" s="105">
        <v>5</v>
      </c>
      <c r="AO42" s="105">
        <v>0</v>
      </c>
    </row>
    <row r="43" spans="1:41" ht="16.5" customHeight="1">
      <c r="A43" s="29" t="str">
        <v>GA</v>
      </c>
      <c r="B43" s="8" t="str">
        <v>Gold A</v>
      </c>
      <c r="C43" s="143">
        <v>0</v>
      </c>
      <c r="D43" s="143">
        <v>4.4999999999999998E-2</v>
      </c>
      <c r="E43" s="143">
        <v>0.22</v>
      </c>
      <c r="F43" s="143">
        <v>1.4999999999999999E-2</v>
      </c>
      <c r="G43" s="143">
        <v>0</v>
      </c>
      <c r="H43" s="8">
        <v>16</v>
      </c>
      <c r="J43" s="9">
        <v>39</v>
      </c>
      <c r="K43" s="16" t="s">
        <v>19</v>
      </c>
      <c r="L43" s="16" t="s">
        <v>19</v>
      </c>
      <c r="M43" s="16" t="s">
        <v>88</v>
      </c>
      <c r="N43" s="16" t="s">
        <v>22</v>
      </c>
      <c r="O43" s="16" t="s">
        <v>22</v>
      </c>
      <c r="Q43" s="9">
        <v>5</v>
      </c>
      <c r="R43" s="9">
        <v>5</v>
      </c>
      <c r="S43" s="9">
        <v>11</v>
      </c>
      <c r="T43" s="9">
        <v>3</v>
      </c>
      <c r="U43" s="9">
        <v>3</v>
      </c>
      <c r="W43" s="25">
        <v>1</v>
      </c>
      <c r="X43" s="25">
        <v>1</v>
      </c>
      <c r="Y43" s="25">
        <v>1</v>
      </c>
      <c r="Z43" s="25">
        <v>1</v>
      </c>
      <c r="AA43" s="25">
        <v>1</v>
      </c>
      <c r="AC43" s="149" t="str">
        <v>G3</v>
      </c>
      <c r="AD43" s="105">
        <v>0</v>
      </c>
      <c r="AE43" s="105">
        <v>5</v>
      </c>
      <c r="AF43" s="105">
        <v>5</v>
      </c>
      <c r="AG43" s="105">
        <v>5</v>
      </c>
      <c r="AH43" s="105">
        <v>0</v>
      </c>
      <c r="AI43" s="5"/>
      <c r="AJ43" s="149" t="str">
        <v>G3</v>
      </c>
      <c r="AK43" s="105">
        <v>0</v>
      </c>
      <c r="AL43" s="105">
        <v>5</v>
      </c>
      <c r="AM43" s="105">
        <v>5</v>
      </c>
      <c r="AN43" s="105">
        <v>5</v>
      </c>
      <c r="AO43" s="105">
        <v>0</v>
      </c>
    </row>
    <row r="44" spans="1:41" ht="16.5" customHeight="1">
      <c r="A44" s="29" t="str">
        <v>GK</v>
      </c>
      <c r="B44" s="8" t="str">
        <v>Gold K</v>
      </c>
      <c r="C44" s="143">
        <v>0</v>
      </c>
      <c r="D44" s="143">
        <v>4.4999999999999998E-2</v>
      </c>
      <c r="E44" s="143">
        <v>0.22</v>
      </c>
      <c r="F44" s="143">
        <v>1.4999999999999999E-2</v>
      </c>
      <c r="G44" s="143">
        <v>0</v>
      </c>
      <c r="H44" s="8">
        <v>17</v>
      </c>
      <c r="J44" s="25">
        <v>40</v>
      </c>
      <c r="K44" s="16" t="s">
        <v>19</v>
      </c>
      <c r="L44" s="16" t="s">
        <v>88</v>
      </c>
      <c r="M44" s="16" t="s">
        <v>92</v>
      </c>
      <c r="N44" s="16" t="s">
        <v>91</v>
      </c>
      <c r="O44" s="16" t="s">
        <v>34</v>
      </c>
      <c r="Q44" s="9">
        <v>5</v>
      </c>
      <c r="R44" s="9">
        <v>11</v>
      </c>
      <c r="S44" s="9">
        <v>16</v>
      </c>
      <c r="T44" s="9">
        <v>14</v>
      </c>
      <c r="U44" s="9">
        <v>9</v>
      </c>
      <c r="W44" s="25">
        <v>1</v>
      </c>
      <c r="X44" s="25">
        <v>1</v>
      </c>
      <c r="Y44" s="25">
        <v>1</v>
      </c>
      <c r="Z44" s="25">
        <v>1</v>
      </c>
      <c r="AA44" s="25">
        <v>1</v>
      </c>
      <c r="AC44" s="149" t="str">
        <v>G4</v>
      </c>
      <c r="AD44" s="105">
        <v>0</v>
      </c>
      <c r="AE44" s="105">
        <v>9</v>
      </c>
      <c r="AF44" s="105">
        <v>44</v>
      </c>
      <c r="AG44" s="105">
        <v>3</v>
      </c>
      <c r="AH44" s="105">
        <v>0</v>
      </c>
      <c r="AI44" s="5"/>
      <c r="AJ44" s="149" t="str">
        <v>G4</v>
      </c>
      <c r="AK44" s="105">
        <v>0</v>
      </c>
      <c r="AL44" s="105">
        <v>9</v>
      </c>
      <c r="AM44" s="105">
        <v>44</v>
      </c>
      <c r="AN44" s="105">
        <v>3</v>
      </c>
      <c r="AO44" s="105">
        <v>0</v>
      </c>
    </row>
    <row r="45" spans="1:41" ht="16.5" customHeight="1">
      <c r="A45" s="29" t="str">
        <v>GQ</v>
      </c>
      <c r="B45" s="8" t="str">
        <v>Gold Q</v>
      </c>
      <c r="C45" s="143">
        <v>0</v>
      </c>
      <c r="D45" s="143">
        <v>2.5000000000000001E-2</v>
      </c>
      <c r="E45" s="143">
        <v>2.5000000000000001E-2</v>
      </c>
      <c r="F45" s="143">
        <v>0.02</v>
      </c>
      <c r="G45" s="143">
        <v>0</v>
      </c>
      <c r="H45" s="8">
        <v>18</v>
      </c>
      <c r="J45" s="9">
        <v>41</v>
      </c>
      <c r="K45" s="16" t="s">
        <v>136</v>
      </c>
      <c r="L45" s="16" t="s">
        <v>18</v>
      </c>
      <c r="M45" s="16" t="s">
        <v>119</v>
      </c>
      <c r="N45" s="16" t="s">
        <v>95</v>
      </c>
      <c r="O45" s="16" t="s">
        <v>35</v>
      </c>
      <c r="Q45" s="9">
        <v>6</v>
      </c>
      <c r="R45" s="9">
        <v>4</v>
      </c>
      <c r="S45" s="9">
        <v>17</v>
      </c>
      <c r="T45" s="9">
        <v>18</v>
      </c>
      <c r="U45" s="9">
        <v>8</v>
      </c>
      <c r="W45" s="25">
        <v>1</v>
      </c>
      <c r="X45" s="25">
        <v>1</v>
      </c>
      <c r="Y45" s="25">
        <v>1</v>
      </c>
      <c r="Z45" s="25">
        <v>1</v>
      </c>
      <c r="AA45" s="25">
        <v>1</v>
      </c>
      <c r="AC45" s="149" t="str">
        <v>G5</v>
      </c>
      <c r="AD45" s="105">
        <v>0</v>
      </c>
      <c r="AE45" s="105">
        <v>9</v>
      </c>
      <c r="AF45" s="105">
        <v>44</v>
      </c>
      <c r="AG45" s="105">
        <v>3</v>
      </c>
      <c r="AH45" s="105">
        <v>0</v>
      </c>
      <c r="AI45" s="5"/>
      <c r="AJ45" s="149" t="str">
        <v>G5</v>
      </c>
      <c r="AK45" s="105">
        <v>0</v>
      </c>
      <c r="AL45" s="105">
        <v>9</v>
      </c>
      <c r="AM45" s="105">
        <v>44</v>
      </c>
      <c r="AN45" s="105">
        <v>3</v>
      </c>
      <c r="AO45" s="105">
        <v>0</v>
      </c>
    </row>
    <row r="46" spans="1:41" ht="16.5" customHeight="1">
      <c r="A46" s="29" t="str">
        <v>GJ</v>
      </c>
      <c r="B46" s="8" t="str">
        <v>Gold J</v>
      </c>
      <c r="C46" s="143">
        <v>0</v>
      </c>
      <c r="D46" s="143">
        <v>2.5000000000000001E-2</v>
      </c>
      <c r="E46" s="143">
        <v>0.02</v>
      </c>
      <c r="F46" s="143">
        <v>0.02</v>
      </c>
      <c r="G46" s="143">
        <v>0</v>
      </c>
      <c r="H46" s="8">
        <v>19</v>
      </c>
      <c r="J46" s="25">
        <v>42</v>
      </c>
      <c r="K46" s="16" t="s">
        <v>37</v>
      </c>
      <c r="L46" s="16" t="s">
        <v>19</v>
      </c>
      <c r="M46" s="16" t="s">
        <v>91</v>
      </c>
      <c r="N46" s="16" t="s">
        <v>35</v>
      </c>
      <c r="O46" s="16" t="s">
        <v>35</v>
      </c>
      <c r="Q46" s="9">
        <v>7</v>
      </c>
      <c r="R46" s="9">
        <v>5</v>
      </c>
      <c r="S46" s="9">
        <v>14</v>
      </c>
      <c r="T46" s="9">
        <v>8</v>
      </c>
      <c r="U46" s="9">
        <v>8</v>
      </c>
      <c r="W46" s="25">
        <v>1</v>
      </c>
      <c r="X46" s="25">
        <v>1</v>
      </c>
      <c r="Y46" s="25">
        <v>1</v>
      </c>
      <c r="Z46" s="25">
        <v>1</v>
      </c>
      <c r="AA46" s="25">
        <v>1</v>
      </c>
      <c r="AC46" s="149" t="str">
        <v>GA</v>
      </c>
      <c r="AD46" s="105">
        <v>0</v>
      </c>
      <c r="AE46" s="105">
        <v>9</v>
      </c>
      <c r="AF46" s="105">
        <v>44</v>
      </c>
      <c r="AG46" s="105">
        <v>3</v>
      </c>
      <c r="AH46" s="105">
        <v>0</v>
      </c>
      <c r="AI46" s="5"/>
      <c r="AJ46" s="149" t="str">
        <v>GA</v>
      </c>
      <c r="AK46" s="105">
        <v>0</v>
      </c>
      <c r="AL46" s="105">
        <v>9</v>
      </c>
      <c r="AM46" s="105">
        <v>44</v>
      </c>
      <c r="AN46" s="105">
        <v>3</v>
      </c>
      <c r="AO46" s="105">
        <v>0</v>
      </c>
    </row>
    <row r="47" spans="1:41" ht="16.5" customHeight="1">
      <c r="J47" s="9">
        <v>43</v>
      </c>
      <c r="K47" s="16" t="s">
        <v>19</v>
      </c>
      <c r="L47" s="16" t="s">
        <v>119</v>
      </c>
      <c r="M47" s="16" t="s">
        <v>92</v>
      </c>
      <c r="N47" s="16" t="s">
        <v>36</v>
      </c>
      <c r="O47" s="16" t="s">
        <v>19</v>
      </c>
      <c r="Q47" s="9">
        <v>5</v>
      </c>
      <c r="R47" s="9">
        <v>17</v>
      </c>
      <c r="S47" s="9">
        <v>16</v>
      </c>
      <c r="T47" s="9">
        <v>10</v>
      </c>
      <c r="U47" s="9">
        <v>5</v>
      </c>
      <c r="W47" s="25">
        <v>1</v>
      </c>
      <c r="X47" s="25">
        <v>1</v>
      </c>
      <c r="Y47" s="25">
        <v>1</v>
      </c>
      <c r="Z47" s="25">
        <v>1</v>
      </c>
      <c r="AA47" s="25">
        <v>1</v>
      </c>
      <c r="AC47" s="149" t="str">
        <v>GK</v>
      </c>
      <c r="AD47" s="105">
        <v>0</v>
      </c>
      <c r="AE47" s="105">
        <v>9</v>
      </c>
      <c r="AF47" s="105">
        <v>44</v>
      </c>
      <c r="AG47" s="105">
        <v>3</v>
      </c>
      <c r="AH47" s="105">
        <v>0</v>
      </c>
      <c r="AI47" s="5"/>
      <c r="AJ47" s="149" t="str">
        <v>GK</v>
      </c>
      <c r="AK47" s="105">
        <v>0</v>
      </c>
      <c r="AL47" s="105">
        <v>9</v>
      </c>
      <c r="AM47" s="105">
        <v>44</v>
      </c>
      <c r="AN47" s="105">
        <v>3</v>
      </c>
      <c r="AO47" s="105">
        <v>0</v>
      </c>
    </row>
    <row r="48" spans="1:41" ht="16.5" customHeight="1">
      <c r="J48" s="25">
        <v>44</v>
      </c>
      <c r="K48" s="16" t="s">
        <v>136</v>
      </c>
      <c r="L48" s="16" t="s">
        <v>20</v>
      </c>
      <c r="M48" s="16" t="s">
        <v>137</v>
      </c>
      <c r="N48" s="16" t="s">
        <v>136</v>
      </c>
      <c r="O48" s="16" t="s">
        <v>21</v>
      </c>
      <c r="Q48" s="9">
        <v>6</v>
      </c>
      <c r="R48" s="9">
        <v>1</v>
      </c>
      <c r="S48" s="9">
        <v>15</v>
      </c>
      <c r="T48" s="9">
        <v>6</v>
      </c>
      <c r="U48" s="9">
        <v>2</v>
      </c>
      <c r="W48" s="25">
        <v>1</v>
      </c>
      <c r="X48" s="25">
        <v>1</v>
      </c>
      <c r="Y48" s="25">
        <v>1</v>
      </c>
      <c r="Z48" s="25">
        <v>1</v>
      </c>
      <c r="AA48" s="25">
        <v>1</v>
      </c>
      <c r="AC48" s="149" t="str">
        <v>GQ</v>
      </c>
      <c r="AD48" s="105">
        <v>0</v>
      </c>
      <c r="AE48" s="105">
        <v>5</v>
      </c>
      <c r="AF48" s="105">
        <v>5</v>
      </c>
      <c r="AG48" s="105">
        <v>4</v>
      </c>
      <c r="AH48" s="105">
        <v>0</v>
      </c>
      <c r="AI48" s="5"/>
      <c r="AJ48" s="149" t="str">
        <v>GQ</v>
      </c>
      <c r="AK48" s="105">
        <v>0</v>
      </c>
      <c r="AL48" s="105">
        <v>5</v>
      </c>
      <c r="AM48" s="105">
        <v>5</v>
      </c>
      <c r="AN48" s="105">
        <v>4</v>
      </c>
      <c r="AO48" s="105">
        <v>0</v>
      </c>
    </row>
    <row r="49" spans="10:41" ht="16.5" customHeight="1">
      <c r="J49" s="9">
        <v>45</v>
      </c>
      <c r="K49" s="16" t="s">
        <v>19</v>
      </c>
      <c r="L49" s="16" t="s">
        <v>137</v>
      </c>
      <c r="M49" s="16" t="s">
        <v>119</v>
      </c>
      <c r="N49" s="16" t="s">
        <v>136</v>
      </c>
      <c r="O49" s="16" t="s">
        <v>22</v>
      </c>
      <c r="Q49" s="9">
        <v>5</v>
      </c>
      <c r="R49" s="9">
        <v>15</v>
      </c>
      <c r="S49" s="9">
        <v>17</v>
      </c>
      <c r="T49" s="9">
        <v>6</v>
      </c>
      <c r="U49" s="9">
        <v>3</v>
      </c>
      <c r="W49" s="25">
        <v>1</v>
      </c>
      <c r="X49" s="25">
        <v>1</v>
      </c>
      <c r="Y49" s="25">
        <v>1</v>
      </c>
      <c r="Z49" s="25">
        <v>1</v>
      </c>
      <c r="AA49" s="25">
        <v>1</v>
      </c>
      <c r="AC49" s="149" t="str">
        <v>GJ</v>
      </c>
      <c r="AD49" s="105">
        <v>0</v>
      </c>
      <c r="AE49" s="105">
        <v>5</v>
      </c>
      <c r="AF49" s="105">
        <v>4</v>
      </c>
      <c r="AG49" s="105">
        <v>4</v>
      </c>
      <c r="AH49" s="105">
        <v>0</v>
      </c>
      <c r="AI49" s="5"/>
      <c r="AJ49" s="149" t="str">
        <v>GJ</v>
      </c>
      <c r="AK49" s="105">
        <v>0</v>
      </c>
      <c r="AL49" s="105">
        <v>5</v>
      </c>
      <c r="AM49" s="105">
        <v>4</v>
      </c>
      <c r="AN49" s="105">
        <v>4</v>
      </c>
      <c r="AO49" s="105">
        <v>0</v>
      </c>
    </row>
    <row r="50" spans="10:41" ht="16.5" customHeight="1">
      <c r="J50" s="25">
        <v>46</v>
      </c>
      <c r="K50" s="16" t="s">
        <v>18</v>
      </c>
      <c r="L50" s="16" t="s">
        <v>136</v>
      </c>
      <c r="M50" s="16" t="s">
        <v>91</v>
      </c>
      <c r="N50" s="16" t="s">
        <v>22</v>
      </c>
      <c r="O50" s="16" t="s">
        <v>37</v>
      </c>
      <c r="Q50" s="9">
        <v>4</v>
      </c>
      <c r="R50" s="9">
        <v>6</v>
      </c>
      <c r="S50" s="9">
        <v>14</v>
      </c>
      <c r="T50" s="9">
        <v>3</v>
      </c>
      <c r="U50" s="9">
        <v>7</v>
      </c>
      <c r="W50" s="25">
        <v>1</v>
      </c>
      <c r="X50" s="25">
        <v>1</v>
      </c>
      <c r="Y50" s="25">
        <v>1</v>
      </c>
      <c r="Z50" s="25">
        <v>1</v>
      </c>
      <c r="AA50" s="25">
        <v>1</v>
      </c>
      <c r="AD50" s="119">
        <f>SUM(AD30:AD49)</f>
        <v>200</v>
      </c>
      <c r="AE50" s="119">
        <f>SUM(AE30:AE49)</f>
        <v>200</v>
      </c>
      <c r="AF50" s="119">
        <f>SUM(AF30:AF49)</f>
        <v>200</v>
      </c>
      <c r="AG50" s="119">
        <f>SUM(AG30:AG49)</f>
        <v>200</v>
      </c>
      <c r="AH50" s="119">
        <f>SUM(AH30:AH49)</f>
        <v>200</v>
      </c>
      <c r="AI50" s="5"/>
      <c r="AK50" s="119">
        <f>SUM(AK30:AK49)</f>
        <v>200</v>
      </c>
      <c r="AL50" s="119">
        <f>SUM(AL30:AL49)</f>
        <v>200</v>
      </c>
      <c r="AM50" s="119">
        <f>SUM(AM30:AM49)</f>
        <v>200</v>
      </c>
      <c r="AN50" s="119">
        <f>SUM(AN30:AN49)</f>
        <v>200</v>
      </c>
      <c r="AO50" s="119">
        <f>SUM(AO30:AO49)</f>
        <v>200</v>
      </c>
    </row>
    <row r="51" spans="10:41" ht="16.5" customHeight="1">
      <c r="J51" s="9">
        <v>47</v>
      </c>
      <c r="K51" s="16" t="s">
        <v>19</v>
      </c>
      <c r="L51" s="16" t="s">
        <v>91</v>
      </c>
      <c r="M51" s="16" t="s">
        <v>119</v>
      </c>
      <c r="N51" s="16" t="s">
        <v>34</v>
      </c>
      <c r="O51" s="16" t="s">
        <v>37</v>
      </c>
      <c r="Q51" s="9">
        <v>5</v>
      </c>
      <c r="R51" s="9">
        <v>14</v>
      </c>
      <c r="S51" s="9">
        <v>17</v>
      </c>
      <c r="T51" s="9">
        <v>9</v>
      </c>
      <c r="U51" s="9">
        <v>7</v>
      </c>
      <c r="W51" s="25">
        <v>1</v>
      </c>
      <c r="X51" s="25">
        <v>1</v>
      </c>
      <c r="Y51" s="25">
        <v>1</v>
      </c>
      <c r="Z51" s="25">
        <v>1</v>
      </c>
      <c r="AA51" s="25">
        <v>1</v>
      </c>
      <c r="AH51" s="5"/>
      <c r="AI51" s="5"/>
      <c r="AO51" s="5"/>
    </row>
    <row r="52" spans="10:41" ht="16.5" customHeight="1">
      <c r="J52" s="25">
        <v>48</v>
      </c>
      <c r="K52" s="16" t="s">
        <v>136</v>
      </c>
      <c r="L52" s="16" t="s">
        <v>92</v>
      </c>
      <c r="M52" s="16" t="s">
        <v>92</v>
      </c>
      <c r="N52" s="16" t="s">
        <v>22</v>
      </c>
      <c r="O52" s="16" t="s">
        <v>19</v>
      </c>
      <c r="Q52" s="9">
        <v>6</v>
      </c>
      <c r="R52" s="9">
        <v>16</v>
      </c>
      <c r="S52" s="9">
        <v>16</v>
      </c>
      <c r="T52" s="9">
        <v>3</v>
      </c>
      <c r="U52" s="9">
        <v>5</v>
      </c>
      <c r="W52" s="25">
        <v>1</v>
      </c>
      <c r="X52" s="25">
        <v>1</v>
      </c>
      <c r="Y52" s="25">
        <v>1</v>
      </c>
      <c r="Z52" s="25">
        <v>1</v>
      </c>
      <c r="AA52" s="25">
        <v>1</v>
      </c>
      <c r="AC52" s="27" t="s">
        <v>141</v>
      </c>
      <c r="AH52" s="5"/>
      <c r="AI52" s="5"/>
      <c r="AJ52" s="27" t="s">
        <v>141</v>
      </c>
      <c r="AO52" s="5"/>
    </row>
    <row r="53" spans="10:41" ht="16.5" customHeight="1">
      <c r="J53" s="9">
        <v>49</v>
      </c>
      <c r="K53" s="16" t="s">
        <v>35</v>
      </c>
      <c r="L53" s="16" t="s">
        <v>95</v>
      </c>
      <c r="M53" s="16" t="s">
        <v>137</v>
      </c>
      <c r="N53" s="16" t="s">
        <v>136</v>
      </c>
      <c r="O53" s="16" t="s">
        <v>37</v>
      </c>
      <c r="Q53" s="9">
        <v>8</v>
      </c>
      <c r="R53" s="9">
        <v>18</v>
      </c>
      <c r="S53" s="9">
        <v>15</v>
      </c>
      <c r="T53" s="9">
        <v>6</v>
      </c>
      <c r="U53" s="9">
        <v>7</v>
      </c>
      <c r="W53" s="25">
        <v>1</v>
      </c>
      <c r="X53" s="25">
        <v>1</v>
      </c>
      <c r="Y53" s="25">
        <v>1</v>
      </c>
      <c r="Z53" s="25">
        <v>1</v>
      </c>
      <c r="AA53" s="25">
        <v>1</v>
      </c>
      <c r="AC53" s="146" t="s">
        <v>42</v>
      </c>
      <c r="AD53" s="146" t="s">
        <v>13</v>
      </c>
      <c r="AE53" s="146" t="s">
        <v>14</v>
      </c>
      <c r="AF53" s="146" t="s">
        <v>15</v>
      </c>
      <c r="AG53" s="146" t="s">
        <v>16</v>
      </c>
      <c r="AH53" s="146" t="s">
        <v>17</v>
      </c>
      <c r="AI53" s="5"/>
      <c r="AJ53" s="146" t="s">
        <v>42</v>
      </c>
      <c r="AK53" s="146" t="s">
        <v>13</v>
      </c>
      <c r="AL53" s="146" t="s">
        <v>14</v>
      </c>
      <c r="AM53" s="146" t="s">
        <v>15</v>
      </c>
      <c r="AN53" s="146" t="s">
        <v>16</v>
      </c>
      <c r="AO53" s="146" t="s">
        <v>17</v>
      </c>
    </row>
    <row r="54" spans="10:41" ht="16.5" customHeight="1">
      <c r="J54" s="25">
        <v>50</v>
      </c>
      <c r="K54" s="16" t="s">
        <v>37</v>
      </c>
      <c r="L54" s="16" t="s">
        <v>37</v>
      </c>
      <c r="M54" s="16" t="s">
        <v>90</v>
      </c>
      <c r="N54" s="16" t="s">
        <v>136</v>
      </c>
      <c r="O54" s="16" t="s">
        <v>22</v>
      </c>
      <c r="Q54" s="9">
        <v>7</v>
      </c>
      <c r="R54" s="9">
        <v>7</v>
      </c>
      <c r="S54" s="9">
        <v>13</v>
      </c>
      <c r="T54" s="9">
        <v>6</v>
      </c>
      <c r="U54" s="9">
        <v>3</v>
      </c>
      <c r="W54" s="25">
        <v>1</v>
      </c>
      <c r="X54" s="25">
        <v>1</v>
      </c>
      <c r="Y54" s="25">
        <v>1</v>
      </c>
      <c r="Z54" s="25">
        <v>1</v>
      </c>
      <c r="AA54" s="25">
        <v>1</v>
      </c>
      <c r="AC54" s="149" t="str" cm="1">
        <f t="array" ref="AC54:AC73">$A$4:$A$23</f>
        <v>WW</v>
      </c>
      <c r="AD54" s="150">
        <v>0</v>
      </c>
      <c r="AE54" s="150">
        <v>0</v>
      </c>
      <c r="AF54" s="150">
        <v>0</v>
      </c>
      <c r="AG54" s="150">
        <v>0</v>
      </c>
      <c r="AH54" s="150">
        <v>0</v>
      </c>
      <c r="AI54" s="5"/>
      <c r="AJ54" s="149" t="str" cm="1">
        <f t="array" ref="AJ54:AJ73">$A$4:$A$23</f>
        <v>WW</v>
      </c>
      <c r="AK54" s="150">
        <v>0</v>
      </c>
      <c r="AL54" s="150">
        <v>0</v>
      </c>
      <c r="AM54" s="150">
        <v>0</v>
      </c>
      <c r="AN54" s="150">
        <v>0</v>
      </c>
      <c r="AO54" s="150">
        <v>0</v>
      </c>
    </row>
    <row r="55" spans="10:41" ht="16.5" customHeight="1">
      <c r="J55" s="9">
        <v>51</v>
      </c>
      <c r="K55" s="16" t="s">
        <v>35</v>
      </c>
      <c r="L55" s="16" t="s">
        <v>37</v>
      </c>
      <c r="M55" s="16" t="s">
        <v>137</v>
      </c>
      <c r="N55" s="16" t="s">
        <v>90</v>
      </c>
      <c r="O55" s="16" t="s">
        <v>19</v>
      </c>
      <c r="Q55" s="9">
        <v>8</v>
      </c>
      <c r="R55" s="9">
        <v>7</v>
      </c>
      <c r="S55" s="9">
        <v>15</v>
      </c>
      <c r="T55" s="9">
        <v>13</v>
      </c>
      <c r="U55" s="9">
        <v>5</v>
      </c>
      <c r="W55" s="25">
        <v>1</v>
      </c>
      <c r="X55" s="25">
        <v>1</v>
      </c>
      <c r="Y55" s="25">
        <v>1</v>
      </c>
      <c r="Z55" s="25">
        <v>1</v>
      </c>
      <c r="AA55" s="25">
        <v>1</v>
      </c>
      <c r="AC55" s="149" t="str">
        <v>C1</v>
      </c>
      <c r="AD55" s="149">
        <v>0</v>
      </c>
      <c r="AE55" s="149">
        <v>6</v>
      </c>
      <c r="AF55" s="149">
        <v>0</v>
      </c>
      <c r="AG55" s="149">
        <v>9</v>
      </c>
      <c r="AH55" s="149">
        <v>0</v>
      </c>
      <c r="AI55" s="5"/>
      <c r="AJ55" s="149" t="str">
        <v>C1</v>
      </c>
      <c r="AK55" s="149">
        <v>0</v>
      </c>
      <c r="AL55" s="149">
        <v>6</v>
      </c>
      <c r="AM55" s="149">
        <v>0</v>
      </c>
      <c r="AN55" s="149">
        <v>9</v>
      </c>
      <c r="AO55" s="149">
        <v>0</v>
      </c>
    </row>
    <row r="56" spans="10:41" ht="16.5" customHeight="1">
      <c r="J56" s="25">
        <v>52</v>
      </c>
      <c r="K56" s="16" t="s">
        <v>35</v>
      </c>
      <c r="L56" s="16" t="s">
        <v>95</v>
      </c>
      <c r="M56" s="16" t="s">
        <v>91</v>
      </c>
      <c r="N56" s="16" t="s">
        <v>36</v>
      </c>
      <c r="O56" s="16" t="s">
        <v>36</v>
      </c>
      <c r="Q56" s="9">
        <v>8</v>
      </c>
      <c r="R56" s="9">
        <v>18</v>
      </c>
      <c r="S56" s="9">
        <v>14</v>
      </c>
      <c r="T56" s="9">
        <v>10</v>
      </c>
      <c r="U56" s="9">
        <v>10</v>
      </c>
      <c r="W56" s="25">
        <v>1</v>
      </c>
      <c r="X56" s="25">
        <v>1</v>
      </c>
      <c r="Y56" s="25">
        <v>1</v>
      </c>
      <c r="Z56" s="25">
        <v>1</v>
      </c>
      <c r="AA56" s="25">
        <v>1</v>
      </c>
      <c r="AC56" s="166" t="str">
        <v>M1</v>
      </c>
      <c r="AD56" s="144">
        <v>4</v>
      </c>
      <c r="AE56" s="144">
        <v>11</v>
      </c>
      <c r="AF56" s="144">
        <v>0</v>
      </c>
      <c r="AG56" s="144">
        <v>22</v>
      </c>
      <c r="AH56" s="144">
        <v>28</v>
      </c>
      <c r="AI56" s="5"/>
      <c r="AJ56" s="166" t="str">
        <v>M1</v>
      </c>
      <c r="AK56" s="144">
        <v>4</v>
      </c>
      <c r="AL56" s="144">
        <v>11</v>
      </c>
      <c r="AM56" s="144">
        <v>0</v>
      </c>
      <c r="AN56" s="144">
        <v>22</v>
      </c>
      <c r="AO56" s="144">
        <v>28</v>
      </c>
    </row>
    <row r="57" spans="10:41" ht="16.5" customHeight="1">
      <c r="J57" s="9">
        <v>53</v>
      </c>
      <c r="K57" s="16" t="s">
        <v>19</v>
      </c>
      <c r="L57" s="16" t="s">
        <v>37</v>
      </c>
      <c r="M57" s="16" t="s">
        <v>137</v>
      </c>
      <c r="N57" s="16" t="s">
        <v>89</v>
      </c>
      <c r="O57" s="16" t="s">
        <v>18</v>
      </c>
      <c r="Q57" s="9">
        <v>5</v>
      </c>
      <c r="R57" s="9">
        <v>7</v>
      </c>
      <c r="S57" s="9">
        <v>15</v>
      </c>
      <c r="T57" s="9">
        <v>12</v>
      </c>
      <c r="U57" s="9">
        <v>4</v>
      </c>
      <c r="W57" s="25">
        <v>1</v>
      </c>
      <c r="X57" s="25">
        <v>1</v>
      </c>
      <c r="Y57" s="25">
        <v>1</v>
      </c>
      <c r="Z57" s="25">
        <v>1</v>
      </c>
      <c r="AA57" s="25">
        <v>1</v>
      </c>
      <c r="AC57" s="166" t="str">
        <v>M2</v>
      </c>
      <c r="AD57" s="144">
        <v>4</v>
      </c>
      <c r="AE57" s="144">
        <v>11</v>
      </c>
      <c r="AF57" s="144">
        <v>0</v>
      </c>
      <c r="AG57" s="144">
        <v>22</v>
      </c>
      <c r="AH57" s="144">
        <v>27</v>
      </c>
      <c r="AI57" s="5"/>
      <c r="AJ57" s="166" t="str">
        <v>M2</v>
      </c>
      <c r="AK57" s="144">
        <v>4</v>
      </c>
      <c r="AL57" s="144">
        <v>11</v>
      </c>
      <c r="AM57" s="144">
        <v>0</v>
      </c>
      <c r="AN57" s="144">
        <v>22</v>
      </c>
      <c r="AO57" s="144">
        <v>27</v>
      </c>
    </row>
    <row r="58" spans="10:41" ht="16.5" customHeight="1">
      <c r="J58" s="25">
        <v>54</v>
      </c>
      <c r="K58" s="16" t="s">
        <v>35</v>
      </c>
      <c r="L58" s="16" t="s">
        <v>137</v>
      </c>
      <c r="M58" s="16" t="s">
        <v>92</v>
      </c>
      <c r="N58" s="16" t="s">
        <v>37</v>
      </c>
      <c r="O58" s="16" t="s">
        <v>19</v>
      </c>
      <c r="Q58" s="9">
        <v>8</v>
      </c>
      <c r="R58" s="9">
        <v>15</v>
      </c>
      <c r="S58" s="9">
        <v>16</v>
      </c>
      <c r="T58" s="9">
        <v>7</v>
      </c>
      <c r="U58" s="9">
        <v>5</v>
      </c>
      <c r="W58" s="25">
        <v>1</v>
      </c>
      <c r="X58" s="25">
        <v>1</v>
      </c>
      <c r="Y58" s="25">
        <v>1</v>
      </c>
      <c r="Z58" s="25">
        <v>1</v>
      </c>
      <c r="AA58" s="25">
        <v>1</v>
      </c>
      <c r="AC58" s="166" t="str">
        <v>M3</v>
      </c>
      <c r="AD58" s="144">
        <v>4</v>
      </c>
      <c r="AE58" s="144">
        <v>11</v>
      </c>
      <c r="AF58" s="144">
        <v>0</v>
      </c>
      <c r="AG58" s="144">
        <v>22</v>
      </c>
      <c r="AH58" s="144">
        <v>27</v>
      </c>
      <c r="AI58" s="5"/>
      <c r="AJ58" s="166" t="str">
        <v>M3</v>
      </c>
      <c r="AK58" s="144">
        <v>4</v>
      </c>
      <c r="AL58" s="144">
        <v>11</v>
      </c>
      <c r="AM58" s="144">
        <v>0</v>
      </c>
      <c r="AN58" s="144">
        <v>22</v>
      </c>
      <c r="AO58" s="144">
        <v>27</v>
      </c>
    </row>
    <row r="59" spans="10:41" ht="16.5" customHeight="1">
      <c r="J59" s="9">
        <v>55</v>
      </c>
      <c r="K59" s="16" t="s">
        <v>37</v>
      </c>
      <c r="L59" s="16" t="s">
        <v>35</v>
      </c>
      <c r="M59" s="16" t="s">
        <v>137</v>
      </c>
      <c r="N59" s="16" t="s">
        <v>90</v>
      </c>
      <c r="O59" s="16" t="s">
        <v>22</v>
      </c>
      <c r="Q59" s="9">
        <v>7</v>
      </c>
      <c r="R59" s="9">
        <v>8</v>
      </c>
      <c r="S59" s="9">
        <v>15</v>
      </c>
      <c r="T59" s="9">
        <v>13</v>
      </c>
      <c r="U59" s="9">
        <v>3</v>
      </c>
      <c r="W59" s="25">
        <v>1</v>
      </c>
      <c r="X59" s="25">
        <v>1</v>
      </c>
      <c r="Y59" s="25">
        <v>1</v>
      </c>
      <c r="Z59" s="25">
        <v>1</v>
      </c>
      <c r="AA59" s="25">
        <v>1</v>
      </c>
      <c r="AC59" s="166" t="str">
        <v>M4</v>
      </c>
      <c r="AD59" s="144">
        <v>43</v>
      </c>
      <c r="AE59" s="144">
        <v>19</v>
      </c>
      <c r="AF59" s="144">
        <v>0</v>
      </c>
      <c r="AG59" s="144">
        <v>12</v>
      </c>
      <c r="AH59" s="144">
        <v>16</v>
      </c>
      <c r="AI59" s="5"/>
      <c r="AJ59" s="166" t="str">
        <v>M4</v>
      </c>
      <c r="AK59" s="144">
        <v>43</v>
      </c>
      <c r="AL59" s="144">
        <v>19</v>
      </c>
      <c r="AM59" s="144">
        <v>0</v>
      </c>
      <c r="AN59" s="144">
        <v>12</v>
      </c>
      <c r="AO59" s="144">
        <v>16</v>
      </c>
    </row>
    <row r="60" spans="10:41" ht="16.5" customHeight="1">
      <c r="J60" s="25">
        <v>56</v>
      </c>
      <c r="K60" s="16" t="s">
        <v>19</v>
      </c>
      <c r="L60" s="16" t="s">
        <v>37</v>
      </c>
      <c r="M60" s="16" t="s">
        <v>88</v>
      </c>
      <c r="N60" s="16" t="s">
        <v>22</v>
      </c>
      <c r="O60" s="16" t="s">
        <v>136</v>
      </c>
      <c r="Q60" s="9">
        <v>5</v>
      </c>
      <c r="R60" s="9">
        <v>7</v>
      </c>
      <c r="S60" s="9">
        <v>11</v>
      </c>
      <c r="T60" s="9">
        <v>3</v>
      </c>
      <c r="U60" s="9">
        <v>6</v>
      </c>
      <c r="W60" s="25">
        <v>1</v>
      </c>
      <c r="X60" s="25">
        <v>1</v>
      </c>
      <c r="Y60" s="25">
        <v>1</v>
      </c>
      <c r="Z60" s="25">
        <v>1</v>
      </c>
      <c r="AA60" s="25">
        <v>1</v>
      </c>
      <c r="AC60" s="166" t="str">
        <v>M5</v>
      </c>
      <c r="AD60" s="144">
        <v>43</v>
      </c>
      <c r="AE60" s="144">
        <v>20</v>
      </c>
      <c r="AF60" s="144">
        <v>0</v>
      </c>
      <c r="AG60" s="144">
        <v>12</v>
      </c>
      <c r="AH60" s="144">
        <v>16</v>
      </c>
      <c r="AI60" s="5"/>
      <c r="AJ60" s="166" t="str">
        <v>M5</v>
      </c>
      <c r="AK60" s="144">
        <v>43</v>
      </c>
      <c r="AL60" s="144">
        <v>20</v>
      </c>
      <c r="AM60" s="144">
        <v>0</v>
      </c>
      <c r="AN60" s="144">
        <v>12</v>
      </c>
      <c r="AO60" s="144">
        <v>16</v>
      </c>
    </row>
    <row r="61" spans="10:41">
      <c r="J61" s="9">
        <v>57</v>
      </c>
      <c r="K61" s="16" t="s">
        <v>19</v>
      </c>
      <c r="L61" s="16" t="s">
        <v>21</v>
      </c>
      <c r="M61" s="16" t="s">
        <v>119</v>
      </c>
      <c r="N61" s="16" t="s">
        <v>22</v>
      </c>
      <c r="O61" s="16" t="s">
        <v>136</v>
      </c>
      <c r="Q61" s="9">
        <v>5</v>
      </c>
      <c r="R61" s="9">
        <v>2</v>
      </c>
      <c r="S61" s="9">
        <v>17</v>
      </c>
      <c r="T61" s="9">
        <v>3</v>
      </c>
      <c r="U61" s="9">
        <v>6</v>
      </c>
      <c r="W61" s="25">
        <v>1</v>
      </c>
      <c r="X61" s="25">
        <v>1</v>
      </c>
      <c r="Y61" s="25">
        <v>1</v>
      </c>
      <c r="Z61" s="25">
        <v>1</v>
      </c>
      <c r="AA61" s="25">
        <v>1</v>
      </c>
      <c r="AC61" s="166" t="str">
        <v>A</v>
      </c>
      <c r="AD61" s="144">
        <v>47</v>
      </c>
      <c r="AE61" s="144">
        <v>20</v>
      </c>
      <c r="AF61" s="144">
        <v>0</v>
      </c>
      <c r="AG61" s="144">
        <v>12</v>
      </c>
      <c r="AH61" s="144">
        <v>16</v>
      </c>
      <c r="AI61" s="5"/>
      <c r="AJ61" s="166" t="str">
        <v>A</v>
      </c>
      <c r="AK61" s="144">
        <v>47</v>
      </c>
      <c r="AL61" s="144">
        <v>20</v>
      </c>
      <c r="AM61" s="144">
        <v>0</v>
      </c>
      <c r="AN61" s="144">
        <v>12</v>
      </c>
      <c r="AO61" s="144">
        <v>16</v>
      </c>
    </row>
    <row r="62" spans="10:41">
      <c r="J62" s="25">
        <v>58</v>
      </c>
      <c r="K62" s="16" t="s">
        <v>19</v>
      </c>
      <c r="L62" s="16" t="s">
        <v>21</v>
      </c>
      <c r="M62" s="16" t="s">
        <v>89</v>
      </c>
      <c r="N62" s="16" t="s">
        <v>22</v>
      </c>
      <c r="O62" s="16" t="s">
        <v>21</v>
      </c>
      <c r="Q62" s="9">
        <v>5</v>
      </c>
      <c r="R62" s="9">
        <v>2</v>
      </c>
      <c r="S62" s="9">
        <v>12</v>
      </c>
      <c r="T62" s="9">
        <v>3</v>
      </c>
      <c r="U62" s="9">
        <v>2</v>
      </c>
      <c r="W62" s="25">
        <v>1</v>
      </c>
      <c r="X62" s="25">
        <v>1</v>
      </c>
      <c r="Y62" s="25">
        <v>1</v>
      </c>
      <c r="Z62" s="25">
        <v>1</v>
      </c>
      <c r="AA62" s="25">
        <v>1</v>
      </c>
      <c r="AC62" s="166" t="str">
        <v>K</v>
      </c>
      <c r="AD62" s="144">
        <v>47</v>
      </c>
      <c r="AE62" s="144">
        <v>20</v>
      </c>
      <c r="AF62" s="144">
        <v>0</v>
      </c>
      <c r="AG62" s="144">
        <v>12</v>
      </c>
      <c r="AH62" s="144">
        <v>16</v>
      </c>
      <c r="AI62" s="5"/>
      <c r="AJ62" s="166" t="str">
        <v>K</v>
      </c>
      <c r="AK62" s="144">
        <v>47</v>
      </c>
      <c r="AL62" s="144">
        <v>20</v>
      </c>
      <c r="AM62" s="144">
        <v>0</v>
      </c>
      <c r="AN62" s="144">
        <v>12</v>
      </c>
      <c r="AO62" s="144">
        <v>16</v>
      </c>
    </row>
    <row r="63" spans="10:41" ht="16.5" customHeight="1">
      <c r="J63" s="9">
        <v>59</v>
      </c>
      <c r="K63" s="16" t="s">
        <v>37</v>
      </c>
      <c r="L63" s="16" t="s">
        <v>136</v>
      </c>
      <c r="M63" s="16" t="s">
        <v>88</v>
      </c>
      <c r="N63" s="16" t="s">
        <v>91</v>
      </c>
      <c r="O63" s="16" t="s">
        <v>37</v>
      </c>
      <c r="Q63" s="9">
        <v>7</v>
      </c>
      <c r="R63" s="9">
        <v>6</v>
      </c>
      <c r="S63" s="9">
        <v>11</v>
      </c>
      <c r="T63" s="9">
        <v>14</v>
      </c>
      <c r="U63" s="9">
        <v>7</v>
      </c>
      <c r="W63" s="25">
        <v>1</v>
      </c>
      <c r="X63" s="25">
        <v>1</v>
      </c>
      <c r="Y63" s="25">
        <v>1</v>
      </c>
      <c r="Z63" s="25">
        <v>1</v>
      </c>
      <c r="AA63" s="25">
        <v>1</v>
      </c>
      <c r="AC63" s="166" t="str">
        <v>Q</v>
      </c>
      <c r="AD63" s="144">
        <v>4</v>
      </c>
      <c r="AE63" s="144">
        <v>11</v>
      </c>
      <c r="AF63" s="144">
        <v>0</v>
      </c>
      <c r="AG63" s="144">
        <v>21</v>
      </c>
      <c r="AH63" s="144">
        <v>27</v>
      </c>
      <c r="AI63" s="5"/>
      <c r="AJ63" s="166" t="str">
        <v>Q</v>
      </c>
      <c r="AK63" s="144">
        <v>4</v>
      </c>
      <c r="AL63" s="144">
        <v>11</v>
      </c>
      <c r="AM63" s="144">
        <v>0</v>
      </c>
      <c r="AN63" s="144">
        <v>21</v>
      </c>
      <c r="AO63" s="144">
        <v>27</v>
      </c>
    </row>
    <row r="64" spans="10:41" ht="16.5" customHeight="1">
      <c r="J64" s="25">
        <v>60</v>
      </c>
      <c r="K64" s="16" t="s">
        <v>19</v>
      </c>
      <c r="L64" s="16" t="s">
        <v>89</v>
      </c>
      <c r="M64" s="16" t="s">
        <v>90</v>
      </c>
      <c r="N64" s="16" t="s">
        <v>21</v>
      </c>
      <c r="O64" s="16" t="s">
        <v>34</v>
      </c>
      <c r="Q64" s="9">
        <v>5</v>
      </c>
      <c r="R64" s="9">
        <v>12</v>
      </c>
      <c r="S64" s="9">
        <v>13</v>
      </c>
      <c r="T64" s="9">
        <v>2</v>
      </c>
      <c r="U64" s="9">
        <v>9</v>
      </c>
      <c r="W64" s="25">
        <v>1</v>
      </c>
      <c r="X64" s="25">
        <v>1</v>
      </c>
      <c r="Y64" s="25">
        <v>1</v>
      </c>
      <c r="Z64" s="25">
        <v>1</v>
      </c>
      <c r="AA64" s="25">
        <v>1</v>
      </c>
      <c r="AC64" s="166" t="str">
        <v>J</v>
      </c>
      <c r="AD64" s="144">
        <v>4</v>
      </c>
      <c r="AE64" s="144">
        <v>11</v>
      </c>
      <c r="AF64" s="144">
        <v>0</v>
      </c>
      <c r="AG64" s="144">
        <v>21</v>
      </c>
      <c r="AH64" s="144">
        <v>27</v>
      </c>
      <c r="AI64" s="5"/>
      <c r="AJ64" s="166" t="str">
        <v>J</v>
      </c>
      <c r="AK64" s="144">
        <v>4</v>
      </c>
      <c r="AL64" s="144">
        <v>11</v>
      </c>
      <c r="AM64" s="144">
        <v>0</v>
      </c>
      <c r="AN64" s="144">
        <v>21</v>
      </c>
      <c r="AO64" s="144">
        <v>27</v>
      </c>
    </row>
    <row r="65" spans="10:41" ht="16.5" customHeight="1">
      <c r="J65" s="9">
        <v>61</v>
      </c>
      <c r="K65" s="16" t="s">
        <v>37</v>
      </c>
      <c r="L65" s="16" t="s">
        <v>37</v>
      </c>
      <c r="M65" s="16" t="s">
        <v>119</v>
      </c>
      <c r="N65" s="16" t="s">
        <v>136</v>
      </c>
      <c r="O65" s="16" t="s">
        <v>21</v>
      </c>
      <c r="Q65" s="9">
        <v>7</v>
      </c>
      <c r="R65" s="9">
        <v>7</v>
      </c>
      <c r="S65" s="9">
        <v>17</v>
      </c>
      <c r="T65" s="9">
        <v>6</v>
      </c>
      <c r="U65" s="9">
        <v>2</v>
      </c>
      <c r="W65" s="25">
        <v>1</v>
      </c>
      <c r="X65" s="25">
        <v>1</v>
      </c>
      <c r="Y65" s="25">
        <v>1</v>
      </c>
      <c r="Z65" s="25">
        <v>1</v>
      </c>
      <c r="AA65" s="25">
        <v>1</v>
      </c>
      <c r="AC65" s="149" t="str">
        <v>G1</v>
      </c>
      <c r="AD65" s="105">
        <v>0</v>
      </c>
      <c r="AE65" s="105">
        <v>4</v>
      </c>
      <c r="AF65" s="105">
        <v>5</v>
      </c>
      <c r="AG65" s="105">
        <v>5</v>
      </c>
      <c r="AH65" s="105">
        <v>0</v>
      </c>
      <c r="AI65" s="5"/>
      <c r="AJ65" s="149" t="str">
        <v>G1</v>
      </c>
      <c r="AK65" s="105">
        <v>0</v>
      </c>
      <c r="AL65" s="105">
        <v>4</v>
      </c>
      <c r="AM65" s="105">
        <v>5</v>
      </c>
      <c r="AN65" s="105">
        <v>5</v>
      </c>
      <c r="AO65" s="105">
        <v>0</v>
      </c>
    </row>
    <row r="66" spans="10:41" ht="16.5" customHeight="1">
      <c r="J66" s="25">
        <v>62</v>
      </c>
      <c r="K66" s="16" t="s">
        <v>35</v>
      </c>
      <c r="L66" s="16" t="s">
        <v>137</v>
      </c>
      <c r="M66" s="16" t="s">
        <v>91</v>
      </c>
      <c r="N66" s="16" t="s">
        <v>21</v>
      </c>
      <c r="O66" s="16" t="s">
        <v>36</v>
      </c>
      <c r="Q66" s="9">
        <v>8</v>
      </c>
      <c r="R66" s="9">
        <v>15</v>
      </c>
      <c r="S66" s="9">
        <v>14</v>
      </c>
      <c r="T66" s="9">
        <v>2</v>
      </c>
      <c r="U66" s="9">
        <v>10</v>
      </c>
      <c r="W66" s="25">
        <v>1</v>
      </c>
      <c r="X66" s="25">
        <v>1</v>
      </c>
      <c r="Y66" s="25">
        <v>1</v>
      </c>
      <c r="Z66" s="25">
        <v>1</v>
      </c>
      <c r="AA66" s="25">
        <v>1</v>
      </c>
      <c r="AC66" s="149" t="str">
        <v>G2</v>
      </c>
      <c r="AD66" s="105">
        <v>0</v>
      </c>
      <c r="AE66" s="105">
        <v>5</v>
      </c>
      <c r="AF66" s="105">
        <v>5</v>
      </c>
      <c r="AG66" s="105">
        <v>5</v>
      </c>
      <c r="AH66" s="105">
        <v>0</v>
      </c>
      <c r="AI66" s="5"/>
      <c r="AJ66" s="149" t="str">
        <v>G2</v>
      </c>
      <c r="AK66" s="105">
        <v>0</v>
      </c>
      <c r="AL66" s="105">
        <v>5</v>
      </c>
      <c r="AM66" s="105">
        <v>5</v>
      </c>
      <c r="AN66" s="105">
        <v>5</v>
      </c>
      <c r="AO66" s="105">
        <v>0</v>
      </c>
    </row>
    <row r="67" spans="10:41" ht="16.5" customHeight="1">
      <c r="J67" s="9">
        <v>63</v>
      </c>
      <c r="K67" s="16" t="s">
        <v>19</v>
      </c>
      <c r="L67" s="16" t="s">
        <v>21</v>
      </c>
      <c r="M67" s="16" t="s">
        <v>92</v>
      </c>
      <c r="N67" s="16" t="s">
        <v>95</v>
      </c>
      <c r="O67" s="16" t="s">
        <v>34</v>
      </c>
      <c r="Q67" s="9">
        <v>5</v>
      </c>
      <c r="R67" s="9">
        <v>2</v>
      </c>
      <c r="S67" s="9">
        <v>16</v>
      </c>
      <c r="T67" s="9">
        <v>18</v>
      </c>
      <c r="U67" s="9">
        <v>9</v>
      </c>
      <c r="W67" s="25">
        <v>1</v>
      </c>
      <c r="X67" s="25">
        <v>1</v>
      </c>
      <c r="Y67" s="25">
        <v>1</v>
      </c>
      <c r="Z67" s="25">
        <v>1</v>
      </c>
      <c r="AA67" s="25">
        <v>1</v>
      </c>
      <c r="AC67" s="149" t="str">
        <v>G3</v>
      </c>
      <c r="AD67" s="105">
        <v>0</v>
      </c>
      <c r="AE67" s="105">
        <v>5</v>
      </c>
      <c r="AF67" s="105">
        <v>5</v>
      </c>
      <c r="AG67" s="105">
        <v>5</v>
      </c>
      <c r="AH67" s="105">
        <v>0</v>
      </c>
      <c r="AI67" s="5"/>
      <c r="AJ67" s="149" t="str">
        <v>G3</v>
      </c>
      <c r="AK67" s="105">
        <v>0</v>
      </c>
      <c r="AL67" s="105">
        <v>5</v>
      </c>
      <c r="AM67" s="105">
        <v>5</v>
      </c>
      <c r="AN67" s="105">
        <v>5</v>
      </c>
      <c r="AO67" s="105">
        <v>0</v>
      </c>
    </row>
    <row r="68" spans="10:41" ht="16.5" customHeight="1">
      <c r="J68" s="25">
        <v>64</v>
      </c>
      <c r="K68" s="16" t="s">
        <v>22</v>
      </c>
      <c r="L68" s="16" t="s">
        <v>36</v>
      </c>
      <c r="M68" s="16" t="s">
        <v>89</v>
      </c>
      <c r="N68" s="16" t="s">
        <v>34</v>
      </c>
      <c r="O68" s="16" t="s">
        <v>36</v>
      </c>
      <c r="Q68" s="9">
        <v>3</v>
      </c>
      <c r="R68" s="9">
        <v>10</v>
      </c>
      <c r="S68" s="9">
        <v>12</v>
      </c>
      <c r="T68" s="9">
        <v>9</v>
      </c>
      <c r="U68" s="9">
        <v>10</v>
      </c>
      <c r="W68" s="25">
        <v>1</v>
      </c>
      <c r="X68" s="25">
        <v>1</v>
      </c>
      <c r="Y68" s="25">
        <v>1</v>
      </c>
      <c r="Z68" s="25">
        <v>1</v>
      </c>
      <c r="AA68" s="25">
        <v>1</v>
      </c>
      <c r="AC68" s="149" t="str">
        <v>G4</v>
      </c>
      <c r="AD68" s="105">
        <v>0</v>
      </c>
      <c r="AE68" s="105">
        <v>9</v>
      </c>
      <c r="AF68" s="105">
        <v>44</v>
      </c>
      <c r="AG68" s="105">
        <v>3</v>
      </c>
      <c r="AH68" s="105">
        <v>0</v>
      </c>
      <c r="AI68" s="5"/>
      <c r="AJ68" s="149" t="str">
        <v>G4</v>
      </c>
      <c r="AK68" s="105">
        <v>0</v>
      </c>
      <c r="AL68" s="105">
        <v>9</v>
      </c>
      <c r="AM68" s="105">
        <v>44</v>
      </c>
      <c r="AN68" s="105">
        <v>3</v>
      </c>
      <c r="AO68" s="105">
        <v>0</v>
      </c>
    </row>
    <row r="69" spans="10:41" ht="16.5" customHeight="1">
      <c r="J69" s="9">
        <v>65</v>
      </c>
      <c r="K69" s="16" t="s">
        <v>36</v>
      </c>
      <c r="L69" s="16" t="s">
        <v>36</v>
      </c>
      <c r="M69" s="16" t="s">
        <v>91</v>
      </c>
      <c r="N69" s="16" t="s">
        <v>22</v>
      </c>
      <c r="O69" s="16" t="s">
        <v>34</v>
      </c>
      <c r="Q69" s="9">
        <v>10</v>
      </c>
      <c r="R69" s="9">
        <v>10</v>
      </c>
      <c r="S69" s="9">
        <v>14</v>
      </c>
      <c r="T69" s="9">
        <v>3</v>
      </c>
      <c r="U69" s="9">
        <v>9</v>
      </c>
      <c r="W69" s="25">
        <v>1</v>
      </c>
      <c r="X69" s="25">
        <v>1</v>
      </c>
      <c r="Y69" s="25">
        <v>1</v>
      </c>
      <c r="Z69" s="25">
        <v>1</v>
      </c>
      <c r="AA69" s="25">
        <v>1</v>
      </c>
      <c r="AC69" s="149" t="str">
        <v>G5</v>
      </c>
      <c r="AD69" s="105">
        <v>0</v>
      </c>
      <c r="AE69" s="105">
        <v>9</v>
      </c>
      <c r="AF69" s="105">
        <v>44</v>
      </c>
      <c r="AG69" s="105">
        <v>3</v>
      </c>
      <c r="AH69" s="105">
        <v>0</v>
      </c>
      <c r="AI69" s="5"/>
      <c r="AJ69" s="149" t="str">
        <v>G5</v>
      </c>
      <c r="AK69" s="105">
        <v>0</v>
      </c>
      <c r="AL69" s="105">
        <v>9</v>
      </c>
      <c r="AM69" s="105">
        <v>44</v>
      </c>
      <c r="AN69" s="105">
        <v>3</v>
      </c>
      <c r="AO69" s="105">
        <v>0</v>
      </c>
    </row>
    <row r="70" spans="10:41" ht="16.5" customHeight="1">
      <c r="J70" s="25">
        <v>66</v>
      </c>
      <c r="K70" s="16" t="s">
        <v>35</v>
      </c>
      <c r="L70" s="16" t="s">
        <v>35</v>
      </c>
      <c r="M70" s="16" t="s">
        <v>119</v>
      </c>
      <c r="N70" s="16" t="s">
        <v>90</v>
      </c>
      <c r="O70" s="16" t="s">
        <v>21</v>
      </c>
      <c r="Q70" s="9">
        <v>8</v>
      </c>
      <c r="R70" s="9">
        <v>8</v>
      </c>
      <c r="S70" s="9">
        <v>17</v>
      </c>
      <c r="T70" s="9">
        <v>13</v>
      </c>
      <c r="U70" s="9">
        <v>2</v>
      </c>
      <c r="W70" s="25">
        <v>1</v>
      </c>
      <c r="X70" s="25">
        <v>1</v>
      </c>
      <c r="Y70" s="25">
        <v>1</v>
      </c>
      <c r="Z70" s="25">
        <v>1</v>
      </c>
      <c r="AA70" s="25">
        <v>1</v>
      </c>
      <c r="AC70" s="149" t="str">
        <v>GA</v>
      </c>
      <c r="AD70" s="105">
        <v>0</v>
      </c>
      <c r="AE70" s="105">
        <v>9</v>
      </c>
      <c r="AF70" s="105">
        <v>44</v>
      </c>
      <c r="AG70" s="105">
        <v>3</v>
      </c>
      <c r="AH70" s="105">
        <v>0</v>
      </c>
      <c r="AI70" s="5"/>
      <c r="AJ70" s="149" t="str">
        <v>GA</v>
      </c>
      <c r="AK70" s="105">
        <v>0</v>
      </c>
      <c r="AL70" s="105">
        <v>9</v>
      </c>
      <c r="AM70" s="105">
        <v>44</v>
      </c>
      <c r="AN70" s="105">
        <v>3</v>
      </c>
      <c r="AO70" s="105">
        <v>0</v>
      </c>
    </row>
    <row r="71" spans="10:41" ht="16.5" customHeight="1">
      <c r="J71" s="9">
        <v>67</v>
      </c>
      <c r="K71" s="16" t="s">
        <v>35</v>
      </c>
      <c r="L71" s="16" t="s">
        <v>92</v>
      </c>
      <c r="M71" s="16" t="s">
        <v>91</v>
      </c>
      <c r="N71" s="16" t="s">
        <v>20</v>
      </c>
      <c r="O71" s="16" t="s">
        <v>36</v>
      </c>
      <c r="Q71" s="9">
        <v>8</v>
      </c>
      <c r="R71" s="9">
        <v>16</v>
      </c>
      <c r="S71" s="9">
        <v>14</v>
      </c>
      <c r="T71" s="9">
        <v>1</v>
      </c>
      <c r="U71" s="9">
        <v>10</v>
      </c>
      <c r="W71" s="25">
        <v>1</v>
      </c>
      <c r="X71" s="25">
        <v>1</v>
      </c>
      <c r="Y71" s="25">
        <v>1</v>
      </c>
      <c r="Z71" s="25">
        <v>1</v>
      </c>
      <c r="AA71" s="25">
        <v>1</v>
      </c>
      <c r="AC71" s="149" t="str">
        <v>GK</v>
      </c>
      <c r="AD71" s="105">
        <v>0</v>
      </c>
      <c r="AE71" s="105">
        <v>9</v>
      </c>
      <c r="AF71" s="105">
        <v>44</v>
      </c>
      <c r="AG71" s="105">
        <v>3</v>
      </c>
      <c r="AH71" s="105">
        <v>0</v>
      </c>
      <c r="AI71" s="5"/>
      <c r="AJ71" s="149" t="str">
        <v>GK</v>
      </c>
      <c r="AK71" s="105">
        <v>0</v>
      </c>
      <c r="AL71" s="105">
        <v>9</v>
      </c>
      <c r="AM71" s="105">
        <v>44</v>
      </c>
      <c r="AN71" s="105">
        <v>3</v>
      </c>
      <c r="AO71" s="105">
        <v>0</v>
      </c>
    </row>
    <row r="72" spans="10:41" ht="16.5" customHeight="1">
      <c r="J72" s="25">
        <v>68</v>
      </c>
      <c r="K72" s="16" t="s">
        <v>34</v>
      </c>
      <c r="L72" s="16" t="s">
        <v>36</v>
      </c>
      <c r="M72" s="16" t="s">
        <v>95</v>
      </c>
      <c r="N72" s="16" t="s">
        <v>22</v>
      </c>
      <c r="O72" s="16" t="s">
        <v>21</v>
      </c>
      <c r="Q72" s="9">
        <v>9</v>
      </c>
      <c r="R72" s="9">
        <v>10</v>
      </c>
      <c r="S72" s="9">
        <v>18</v>
      </c>
      <c r="T72" s="9">
        <v>3</v>
      </c>
      <c r="U72" s="9">
        <v>2</v>
      </c>
      <c r="W72" s="25">
        <v>1</v>
      </c>
      <c r="X72" s="25">
        <v>1</v>
      </c>
      <c r="Y72" s="25">
        <v>1</v>
      </c>
      <c r="Z72" s="25">
        <v>1</v>
      </c>
      <c r="AA72" s="25">
        <v>1</v>
      </c>
      <c r="AC72" s="149" t="str">
        <v>GQ</v>
      </c>
      <c r="AD72" s="105">
        <v>0</v>
      </c>
      <c r="AE72" s="105">
        <v>5</v>
      </c>
      <c r="AF72" s="105">
        <v>5</v>
      </c>
      <c r="AG72" s="105">
        <v>4</v>
      </c>
      <c r="AH72" s="105">
        <v>0</v>
      </c>
      <c r="AI72" s="5"/>
      <c r="AJ72" s="149" t="str">
        <v>GQ</v>
      </c>
      <c r="AK72" s="105">
        <v>0</v>
      </c>
      <c r="AL72" s="105">
        <v>5</v>
      </c>
      <c r="AM72" s="105">
        <v>5</v>
      </c>
      <c r="AN72" s="105">
        <v>4</v>
      </c>
      <c r="AO72" s="105">
        <v>0</v>
      </c>
    </row>
    <row r="73" spans="10:41" ht="16.5" customHeight="1">
      <c r="J73" s="9">
        <v>69</v>
      </c>
      <c r="K73" s="16" t="s">
        <v>21</v>
      </c>
      <c r="L73" s="16" t="s">
        <v>21</v>
      </c>
      <c r="M73" s="16" t="s">
        <v>92</v>
      </c>
      <c r="N73" s="16" t="s">
        <v>21</v>
      </c>
      <c r="O73" s="16" t="s">
        <v>37</v>
      </c>
      <c r="Q73" s="9">
        <v>2</v>
      </c>
      <c r="R73" s="9">
        <v>2</v>
      </c>
      <c r="S73" s="9">
        <v>16</v>
      </c>
      <c r="T73" s="9">
        <v>2</v>
      </c>
      <c r="U73" s="9">
        <v>7</v>
      </c>
      <c r="W73" s="25">
        <v>1</v>
      </c>
      <c r="X73" s="25">
        <v>1</v>
      </c>
      <c r="Y73" s="25">
        <v>1</v>
      </c>
      <c r="Z73" s="25">
        <v>1</v>
      </c>
      <c r="AA73" s="25">
        <v>1</v>
      </c>
      <c r="AC73" s="149" t="str">
        <v>GJ</v>
      </c>
      <c r="AD73" s="105">
        <v>0</v>
      </c>
      <c r="AE73" s="105">
        <v>5</v>
      </c>
      <c r="AF73" s="105">
        <v>4</v>
      </c>
      <c r="AG73" s="105">
        <v>4</v>
      </c>
      <c r="AH73" s="105">
        <v>0</v>
      </c>
      <c r="AI73" s="5"/>
      <c r="AJ73" s="149" t="str">
        <v>GJ</v>
      </c>
      <c r="AK73" s="105">
        <v>0</v>
      </c>
      <c r="AL73" s="105">
        <v>5</v>
      </c>
      <c r="AM73" s="105">
        <v>4</v>
      </c>
      <c r="AN73" s="105">
        <v>4</v>
      </c>
      <c r="AO73" s="105">
        <v>0</v>
      </c>
    </row>
    <row r="74" spans="10:41" ht="16.5" customHeight="1">
      <c r="J74" s="25">
        <v>70</v>
      </c>
      <c r="K74" s="16" t="s">
        <v>19</v>
      </c>
      <c r="L74" s="16" t="s">
        <v>21</v>
      </c>
      <c r="M74" s="16" t="s">
        <v>91</v>
      </c>
      <c r="N74" s="16" t="s">
        <v>37</v>
      </c>
      <c r="O74" s="16" t="s">
        <v>37</v>
      </c>
      <c r="Q74" s="9">
        <v>5</v>
      </c>
      <c r="R74" s="9">
        <v>2</v>
      </c>
      <c r="S74" s="9">
        <v>14</v>
      </c>
      <c r="T74" s="9">
        <v>7</v>
      </c>
      <c r="U74" s="9">
        <v>7</v>
      </c>
      <c r="W74" s="25">
        <v>1</v>
      </c>
      <c r="X74" s="25">
        <v>1</v>
      </c>
      <c r="Y74" s="25">
        <v>1</v>
      </c>
      <c r="Z74" s="25">
        <v>1</v>
      </c>
      <c r="AA74" s="25">
        <v>1</v>
      </c>
      <c r="AD74" s="119">
        <f>SUM(AD54:AD73)</f>
        <v>200</v>
      </c>
      <c r="AE74" s="119">
        <f>SUM(AE54:AE73)</f>
        <v>200</v>
      </c>
      <c r="AF74" s="119">
        <f>SUM(AF54:AF73)</f>
        <v>200</v>
      </c>
      <c r="AG74" s="119">
        <f>SUM(AG54:AG73)</f>
        <v>200</v>
      </c>
      <c r="AH74" s="119">
        <f>SUM(AH54:AH73)</f>
        <v>200</v>
      </c>
      <c r="AI74" s="5"/>
      <c r="AK74" s="119">
        <f>SUM(AK54:AK73)</f>
        <v>200</v>
      </c>
      <c r="AL74" s="119">
        <f>SUM(AL54:AL73)</f>
        <v>200</v>
      </c>
      <c r="AM74" s="119">
        <f>SUM(AM54:AM73)</f>
        <v>200</v>
      </c>
      <c r="AN74" s="119">
        <f>SUM(AN54:AN73)</f>
        <v>200</v>
      </c>
      <c r="AO74" s="119">
        <f>SUM(AO54:AO73)</f>
        <v>200</v>
      </c>
    </row>
    <row r="75" spans="10:41" ht="16.5" customHeight="1">
      <c r="J75" s="9">
        <v>71</v>
      </c>
      <c r="K75" s="16" t="s">
        <v>136</v>
      </c>
      <c r="L75" s="16" t="s">
        <v>36</v>
      </c>
      <c r="M75" s="16" t="s">
        <v>92</v>
      </c>
      <c r="N75" s="16" t="s">
        <v>18</v>
      </c>
      <c r="O75" s="16" t="s">
        <v>22</v>
      </c>
      <c r="Q75" s="9">
        <v>6</v>
      </c>
      <c r="R75" s="9">
        <v>10</v>
      </c>
      <c r="S75" s="9">
        <v>16</v>
      </c>
      <c r="T75" s="9">
        <v>4</v>
      </c>
      <c r="U75" s="9">
        <v>3</v>
      </c>
      <c r="W75" s="25">
        <v>1</v>
      </c>
      <c r="X75" s="25">
        <v>1</v>
      </c>
      <c r="Y75" s="25">
        <v>1</v>
      </c>
      <c r="Z75" s="25">
        <v>1</v>
      </c>
      <c r="AA75" s="25">
        <v>1</v>
      </c>
      <c r="AH75" s="5"/>
      <c r="AI75" s="5"/>
      <c r="AO75" s="5"/>
    </row>
    <row r="76" spans="10:41" ht="16.5" customHeight="1">
      <c r="J76" s="25">
        <v>72</v>
      </c>
      <c r="K76" s="16" t="s">
        <v>35</v>
      </c>
      <c r="L76" s="16" t="s">
        <v>37</v>
      </c>
      <c r="M76" s="16" t="s">
        <v>89</v>
      </c>
      <c r="N76" s="16" t="s">
        <v>21</v>
      </c>
      <c r="O76" s="16" t="s">
        <v>18</v>
      </c>
      <c r="Q76" s="9">
        <v>8</v>
      </c>
      <c r="R76" s="9">
        <v>7</v>
      </c>
      <c r="S76" s="9">
        <v>12</v>
      </c>
      <c r="T76" s="9">
        <v>2</v>
      </c>
      <c r="U76" s="9">
        <v>4</v>
      </c>
      <c r="W76" s="25">
        <v>1</v>
      </c>
      <c r="X76" s="25">
        <v>1</v>
      </c>
      <c r="Y76" s="25">
        <v>1</v>
      </c>
      <c r="Z76" s="25">
        <v>1</v>
      </c>
      <c r="AA76" s="25">
        <v>1</v>
      </c>
      <c r="AH76" s="5"/>
      <c r="AI76" s="5"/>
      <c r="AO76" s="5"/>
    </row>
    <row r="77" spans="10:41" ht="16.5" customHeight="1">
      <c r="J77" s="9">
        <v>73</v>
      </c>
      <c r="K77" s="16" t="s">
        <v>35</v>
      </c>
      <c r="L77" s="16" t="s">
        <v>18</v>
      </c>
      <c r="M77" s="16" t="s">
        <v>119</v>
      </c>
      <c r="N77" s="16" t="s">
        <v>21</v>
      </c>
      <c r="O77" s="16" t="s">
        <v>136</v>
      </c>
      <c r="Q77" s="9">
        <v>8</v>
      </c>
      <c r="R77" s="9">
        <v>4</v>
      </c>
      <c r="S77" s="9">
        <v>17</v>
      </c>
      <c r="T77" s="9">
        <v>2</v>
      </c>
      <c r="U77" s="9">
        <v>6</v>
      </c>
      <c r="W77" s="25">
        <v>1</v>
      </c>
      <c r="X77" s="25">
        <v>1</v>
      </c>
      <c r="Y77" s="25">
        <v>1</v>
      </c>
      <c r="Z77" s="25">
        <v>1</v>
      </c>
      <c r="AA77" s="25">
        <v>1</v>
      </c>
      <c r="AH77" s="5"/>
      <c r="AI77" s="5"/>
      <c r="AO77" s="5"/>
    </row>
    <row r="78" spans="10:41" ht="16.5" customHeight="1">
      <c r="J78" s="25">
        <v>74</v>
      </c>
      <c r="K78" s="16" t="s">
        <v>136</v>
      </c>
      <c r="L78" s="16" t="s">
        <v>19</v>
      </c>
      <c r="M78" s="16" t="s">
        <v>91</v>
      </c>
      <c r="N78" s="16" t="s">
        <v>20</v>
      </c>
      <c r="O78" s="16" t="s">
        <v>18</v>
      </c>
      <c r="Q78" s="9">
        <v>6</v>
      </c>
      <c r="R78" s="9">
        <v>5</v>
      </c>
      <c r="S78" s="9">
        <v>14</v>
      </c>
      <c r="T78" s="9">
        <v>1</v>
      </c>
      <c r="U78" s="9">
        <v>4</v>
      </c>
      <c r="W78" s="25">
        <v>1</v>
      </c>
      <c r="X78" s="25">
        <v>1</v>
      </c>
      <c r="Y78" s="25">
        <v>1</v>
      </c>
      <c r="Z78" s="25">
        <v>1</v>
      </c>
      <c r="AA78" s="25">
        <v>1</v>
      </c>
      <c r="AH78" s="5"/>
      <c r="AI78" s="5"/>
      <c r="AO78" s="5"/>
    </row>
    <row r="79" spans="10:41" ht="16.5" customHeight="1">
      <c r="J79" s="9">
        <v>75</v>
      </c>
      <c r="K79" s="16" t="s">
        <v>136</v>
      </c>
      <c r="L79" s="16" t="s">
        <v>19</v>
      </c>
      <c r="M79" s="16" t="s">
        <v>137</v>
      </c>
      <c r="N79" s="16" t="s">
        <v>97</v>
      </c>
      <c r="O79" s="16" t="s">
        <v>36</v>
      </c>
      <c r="Q79" s="9">
        <v>6</v>
      </c>
      <c r="R79" s="9">
        <v>5</v>
      </c>
      <c r="S79" s="9">
        <v>15</v>
      </c>
      <c r="T79" s="9">
        <v>19</v>
      </c>
      <c r="U79" s="9">
        <v>10</v>
      </c>
      <c r="W79" s="25">
        <v>1</v>
      </c>
      <c r="X79" s="25">
        <v>1</v>
      </c>
      <c r="Y79" s="25">
        <v>1</v>
      </c>
      <c r="Z79" s="25">
        <v>1</v>
      </c>
      <c r="AA79" s="25">
        <v>1</v>
      </c>
      <c r="AH79" s="5"/>
      <c r="AI79" s="5"/>
      <c r="AO79" s="5"/>
    </row>
    <row r="80" spans="10:41">
      <c r="J80" s="25">
        <v>76</v>
      </c>
      <c r="K80" s="16" t="s">
        <v>37</v>
      </c>
      <c r="L80" s="16" t="s">
        <v>91</v>
      </c>
      <c r="M80" s="16" t="s">
        <v>92</v>
      </c>
      <c r="N80" s="16" t="s">
        <v>34</v>
      </c>
      <c r="O80" s="16" t="s">
        <v>34</v>
      </c>
      <c r="Q80" s="9">
        <v>7</v>
      </c>
      <c r="R80" s="9">
        <v>14</v>
      </c>
      <c r="S80" s="9">
        <v>16</v>
      </c>
      <c r="T80" s="9">
        <v>9</v>
      </c>
      <c r="U80" s="9">
        <v>9</v>
      </c>
      <c r="W80" s="25">
        <v>1</v>
      </c>
      <c r="X80" s="25">
        <v>1</v>
      </c>
      <c r="Y80" s="25">
        <v>1</v>
      </c>
      <c r="Z80" s="25">
        <v>1</v>
      </c>
      <c r="AA80" s="25">
        <v>1</v>
      </c>
      <c r="AH80" s="5"/>
      <c r="AI80" s="5"/>
      <c r="AO80" s="5"/>
    </row>
    <row r="81" spans="10:41">
      <c r="J81" s="9">
        <v>77</v>
      </c>
      <c r="K81" s="16" t="s">
        <v>35</v>
      </c>
      <c r="L81" s="16" t="s">
        <v>22</v>
      </c>
      <c r="M81" s="16" t="s">
        <v>91</v>
      </c>
      <c r="N81" s="16" t="s">
        <v>22</v>
      </c>
      <c r="O81" s="16" t="s">
        <v>34</v>
      </c>
      <c r="Q81" s="9">
        <v>8</v>
      </c>
      <c r="R81" s="9">
        <v>3</v>
      </c>
      <c r="S81" s="9">
        <v>14</v>
      </c>
      <c r="T81" s="9">
        <v>3</v>
      </c>
      <c r="U81" s="9">
        <v>9</v>
      </c>
      <c r="W81" s="25">
        <v>1</v>
      </c>
      <c r="X81" s="25">
        <v>1</v>
      </c>
      <c r="Y81" s="25">
        <v>1</v>
      </c>
      <c r="Z81" s="25">
        <v>1</v>
      </c>
      <c r="AA81" s="25">
        <v>1</v>
      </c>
      <c r="AH81" s="5"/>
      <c r="AI81" s="5"/>
      <c r="AO81" s="5"/>
    </row>
    <row r="82" spans="10:41">
      <c r="J82" s="25">
        <v>78</v>
      </c>
      <c r="K82" s="16" t="s">
        <v>37</v>
      </c>
      <c r="L82" s="16" t="s">
        <v>22</v>
      </c>
      <c r="M82" s="16" t="s">
        <v>119</v>
      </c>
      <c r="N82" s="16" t="s">
        <v>19</v>
      </c>
      <c r="O82" s="16" t="s">
        <v>22</v>
      </c>
      <c r="Q82" s="9">
        <v>7</v>
      </c>
      <c r="R82" s="9">
        <v>3</v>
      </c>
      <c r="S82" s="9">
        <v>17</v>
      </c>
      <c r="T82" s="9">
        <v>5</v>
      </c>
      <c r="U82" s="9">
        <v>3</v>
      </c>
      <c r="W82" s="25">
        <v>1</v>
      </c>
      <c r="X82" s="25">
        <v>1</v>
      </c>
      <c r="Y82" s="25">
        <v>1</v>
      </c>
      <c r="Z82" s="25">
        <v>1</v>
      </c>
      <c r="AA82" s="25">
        <v>1</v>
      </c>
      <c r="AH82" s="5"/>
      <c r="AI82" s="5"/>
      <c r="AO82" s="5"/>
    </row>
    <row r="83" spans="10:41">
      <c r="J83" s="9">
        <v>79</v>
      </c>
      <c r="K83" s="16" t="s">
        <v>36</v>
      </c>
      <c r="L83" s="16" t="s">
        <v>19</v>
      </c>
      <c r="M83" s="16" t="s">
        <v>92</v>
      </c>
      <c r="N83" s="16" t="s">
        <v>34</v>
      </c>
      <c r="O83" s="16" t="s">
        <v>34</v>
      </c>
      <c r="Q83" s="9">
        <v>10</v>
      </c>
      <c r="R83" s="9">
        <v>5</v>
      </c>
      <c r="S83" s="9">
        <v>16</v>
      </c>
      <c r="T83" s="9">
        <v>9</v>
      </c>
      <c r="U83" s="9">
        <v>9</v>
      </c>
      <c r="W83" s="25">
        <v>1</v>
      </c>
      <c r="X83" s="25">
        <v>1</v>
      </c>
      <c r="Y83" s="25">
        <v>1</v>
      </c>
      <c r="Z83" s="25">
        <v>1</v>
      </c>
      <c r="AA83" s="25">
        <v>1</v>
      </c>
      <c r="AH83" s="5"/>
      <c r="AI83" s="5"/>
      <c r="AO83" s="5"/>
    </row>
    <row r="84" spans="10:41">
      <c r="J84" s="25">
        <v>80</v>
      </c>
      <c r="K84" s="16" t="s">
        <v>35</v>
      </c>
      <c r="L84" s="16" t="s">
        <v>136</v>
      </c>
      <c r="M84" s="16" t="s">
        <v>137</v>
      </c>
      <c r="N84" s="16" t="s">
        <v>34</v>
      </c>
      <c r="O84" s="16" t="s">
        <v>18</v>
      </c>
      <c r="Q84" s="9">
        <v>8</v>
      </c>
      <c r="R84" s="9">
        <v>6</v>
      </c>
      <c r="S84" s="9">
        <v>15</v>
      </c>
      <c r="T84" s="9">
        <v>9</v>
      </c>
      <c r="U84" s="9">
        <v>4</v>
      </c>
      <c r="W84" s="25">
        <v>1</v>
      </c>
      <c r="X84" s="25">
        <v>1</v>
      </c>
      <c r="Y84" s="25">
        <v>1</v>
      </c>
      <c r="Z84" s="25">
        <v>1</v>
      </c>
      <c r="AA84" s="25">
        <v>1</v>
      </c>
      <c r="AH84" s="5"/>
      <c r="AI84" s="5"/>
      <c r="AO84" s="5"/>
    </row>
    <row r="85" spans="10:41">
      <c r="J85" s="9">
        <v>81</v>
      </c>
      <c r="K85" s="16" t="s">
        <v>136</v>
      </c>
      <c r="L85" s="16" t="s">
        <v>21</v>
      </c>
      <c r="M85" s="16" t="s">
        <v>92</v>
      </c>
      <c r="N85" s="16" t="s">
        <v>34</v>
      </c>
      <c r="O85" s="16" t="s">
        <v>36</v>
      </c>
      <c r="Q85" s="9">
        <v>6</v>
      </c>
      <c r="R85" s="9">
        <v>2</v>
      </c>
      <c r="S85" s="9">
        <v>16</v>
      </c>
      <c r="T85" s="9">
        <v>9</v>
      </c>
      <c r="U85" s="9">
        <v>10</v>
      </c>
      <c r="W85" s="25">
        <v>1</v>
      </c>
      <c r="X85" s="25">
        <v>1</v>
      </c>
      <c r="Y85" s="25">
        <v>1</v>
      </c>
      <c r="Z85" s="25">
        <v>1</v>
      </c>
      <c r="AA85" s="25">
        <v>1</v>
      </c>
      <c r="AH85" s="5"/>
      <c r="AI85" s="5"/>
      <c r="AO85" s="5"/>
    </row>
    <row r="86" spans="10:41">
      <c r="J86" s="25">
        <v>82</v>
      </c>
      <c r="K86" s="16" t="s">
        <v>136</v>
      </c>
      <c r="L86" s="16" t="s">
        <v>137</v>
      </c>
      <c r="M86" s="16" t="s">
        <v>95</v>
      </c>
      <c r="N86" s="16" t="s">
        <v>21</v>
      </c>
      <c r="O86" s="16" t="s">
        <v>136</v>
      </c>
      <c r="Q86" s="9">
        <v>6</v>
      </c>
      <c r="R86" s="9">
        <v>15</v>
      </c>
      <c r="S86" s="9">
        <v>18</v>
      </c>
      <c r="T86" s="9">
        <v>2</v>
      </c>
      <c r="U86" s="9">
        <v>6</v>
      </c>
      <c r="W86" s="25">
        <v>1</v>
      </c>
      <c r="X86" s="25">
        <v>1</v>
      </c>
      <c r="Y86" s="25">
        <v>1</v>
      </c>
      <c r="Z86" s="25">
        <v>1</v>
      </c>
      <c r="AA86" s="25">
        <v>1</v>
      </c>
      <c r="AH86" s="5"/>
      <c r="AI86" s="5"/>
      <c r="AO86" s="5"/>
    </row>
    <row r="87" spans="10:41">
      <c r="J87" s="9">
        <v>83</v>
      </c>
      <c r="K87" s="16" t="s">
        <v>136</v>
      </c>
      <c r="L87" s="16" t="s">
        <v>18</v>
      </c>
      <c r="M87" s="16" t="s">
        <v>91</v>
      </c>
      <c r="N87" s="16" t="s">
        <v>19</v>
      </c>
      <c r="O87" s="16" t="s">
        <v>22</v>
      </c>
      <c r="Q87" s="9">
        <v>6</v>
      </c>
      <c r="R87" s="9">
        <v>4</v>
      </c>
      <c r="S87" s="9">
        <v>14</v>
      </c>
      <c r="T87" s="9">
        <v>5</v>
      </c>
      <c r="U87" s="9">
        <v>3</v>
      </c>
      <c r="W87" s="25">
        <v>1</v>
      </c>
      <c r="X87" s="25">
        <v>1</v>
      </c>
      <c r="Y87" s="25">
        <v>1</v>
      </c>
      <c r="Z87" s="25">
        <v>1</v>
      </c>
      <c r="AA87" s="25">
        <v>1</v>
      </c>
      <c r="AH87" s="5"/>
      <c r="AI87" s="5"/>
      <c r="AO87" s="5"/>
    </row>
    <row r="88" spans="10:41">
      <c r="J88" s="25">
        <v>84</v>
      </c>
      <c r="K88" s="16" t="s">
        <v>37</v>
      </c>
      <c r="L88" s="16" t="s">
        <v>19</v>
      </c>
      <c r="M88" s="16" t="s">
        <v>119</v>
      </c>
      <c r="N88" s="16" t="s">
        <v>88</v>
      </c>
      <c r="O88" s="16" t="s">
        <v>34</v>
      </c>
      <c r="Q88" s="9">
        <v>7</v>
      </c>
      <c r="R88" s="9">
        <v>5</v>
      </c>
      <c r="S88" s="9">
        <v>17</v>
      </c>
      <c r="T88" s="9">
        <v>11</v>
      </c>
      <c r="U88" s="9">
        <v>9</v>
      </c>
      <c r="W88" s="25">
        <v>1</v>
      </c>
      <c r="X88" s="25">
        <v>1</v>
      </c>
      <c r="Y88" s="25">
        <v>1</v>
      </c>
      <c r="Z88" s="25">
        <v>1</v>
      </c>
      <c r="AA88" s="25">
        <v>1</v>
      </c>
      <c r="AH88" s="5"/>
      <c r="AI88" s="5"/>
      <c r="AO88" s="5"/>
    </row>
    <row r="89" spans="10:41">
      <c r="J89" s="9">
        <v>85</v>
      </c>
      <c r="K89" s="16" t="s">
        <v>37</v>
      </c>
      <c r="L89" s="16" t="s">
        <v>19</v>
      </c>
      <c r="M89" s="16" t="s">
        <v>137</v>
      </c>
      <c r="N89" s="16" t="s">
        <v>22</v>
      </c>
      <c r="O89" s="16" t="s">
        <v>136</v>
      </c>
      <c r="Q89" s="9">
        <v>7</v>
      </c>
      <c r="R89" s="9">
        <v>5</v>
      </c>
      <c r="S89" s="9">
        <v>15</v>
      </c>
      <c r="T89" s="9">
        <v>3</v>
      </c>
      <c r="U89" s="9">
        <v>6</v>
      </c>
      <c r="W89" s="25">
        <v>1</v>
      </c>
      <c r="X89" s="25">
        <v>1</v>
      </c>
      <c r="Y89" s="25">
        <v>1</v>
      </c>
      <c r="Z89" s="25">
        <v>1</v>
      </c>
      <c r="AA89" s="25">
        <v>1</v>
      </c>
      <c r="AH89" s="5"/>
      <c r="AI89" s="5"/>
      <c r="AO89" s="5"/>
    </row>
    <row r="90" spans="10:41">
      <c r="J90" s="25">
        <v>86</v>
      </c>
      <c r="K90" s="16" t="s">
        <v>37</v>
      </c>
      <c r="L90" s="16" t="s">
        <v>19</v>
      </c>
      <c r="M90" s="16" t="s">
        <v>92</v>
      </c>
      <c r="N90" s="16" t="s">
        <v>19</v>
      </c>
      <c r="O90" s="16" t="s">
        <v>37</v>
      </c>
      <c r="Q90" s="9">
        <v>7</v>
      </c>
      <c r="R90" s="9">
        <v>5</v>
      </c>
      <c r="S90" s="9">
        <v>16</v>
      </c>
      <c r="T90" s="9">
        <v>5</v>
      </c>
      <c r="U90" s="9">
        <v>7</v>
      </c>
      <c r="W90" s="25">
        <v>1</v>
      </c>
      <c r="X90" s="25">
        <v>1</v>
      </c>
      <c r="Y90" s="25">
        <v>1</v>
      </c>
      <c r="Z90" s="25">
        <v>1</v>
      </c>
      <c r="AA90" s="25">
        <v>1</v>
      </c>
      <c r="AH90" s="5"/>
      <c r="AI90" s="5"/>
      <c r="AO90" s="5"/>
    </row>
    <row r="91" spans="10:41">
      <c r="J91" s="9">
        <v>87</v>
      </c>
      <c r="K91" s="16" t="s">
        <v>35</v>
      </c>
      <c r="L91" s="16" t="s">
        <v>36</v>
      </c>
      <c r="M91" s="16" t="s">
        <v>91</v>
      </c>
      <c r="N91" s="16" t="s">
        <v>19</v>
      </c>
      <c r="O91" s="16" t="s">
        <v>34</v>
      </c>
      <c r="Q91" s="9">
        <v>8</v>
      </c>
      <c r="R91" s="9">
        <v>10</v>
      </c>
      <c r="S91" s="9">
        <v>14</v>
      </c>
      <c r="T91" s="9">
        <v>5</v>
      </c>
      <c r="U91" s="9">
        <v>9</v>
      </c>
      <c r="W91" s="25">
        <v>1</v>
      </c>
      <c r="X91" s="25">
        <v>1</v>
      </c>
      <c r="Y91" s="25">
        <v>1</v>
      </c>
      <c r="Z91" s="25">
        <v>1</v>
      </c>
      <c r="AA91" s="25">
        <v>1</v>
      </c>
      <c r="AH91" s="5"/>
      <c r="AI91" s="5"/>
      <c r="AO91" s="5"/>
    </row>
    <row r="92" spans="10:41">
      <c r="J92" s="25">
        <v>88</v>
      </c>
      <c r="K92" s="16" t="s">
        <v>37</v>
      </c>
      <c r="L92" s="16" t="s">
        <v>136</v>
      </c>
      <c r="M92" s="16" t="s">
        <v>92</v>
      </c>
      <c r="N92" s="16" t="s">
        <v>20</v>
      </c>
      <c r="O92" s="16" t="s">
        <v>19</v>
      </c>
      <c r="Q92" s="9">
        <v>7</v>
      </c>
      <c r="R92" s="9">
        <v>6</v>
      </c>
      <c r="S92" s="9">
        <v>16</v>
      </c>
      <c r="T92" s="9">
        <v>1</v>
      </c>
      <c r="U92" s="9">
        <v>5</v>
      </c>
      <c r="W92" s="25">
        <v>1</v>
      </c>
      <c r="X92" s="25">
        <v>1</v>
      </c>
      <c r="Y92" s="25">
        <v>1</v>
      </c>
      <c r="Z92" s="25">
        <v>1</v>
      </c>
      <c r="AA92" s="25">
        <v>1</v>
      </c>
      <c r="AH92" s="5"/>
      <c r="AI92" s="5"/>
      <c r="AO92" s="5"/>
    </row>
    <row r="93" spans="10:41">
      <c r="J93" s="9">
        <v>89</v>
      </c>
      <c r="K93" s="16" t="s">
        <v>18</v>
      </c>
      <c r="L93" s="16" t="s">
        <v>136</v>
      </c>
      <c r="M93" s="16" t="s">
        <v>119</v>
      </c>
      <c r="N93" s="16" t="s">
        <v>21</v>
      </c>
      <c r="O93" s="16" t="s">
        <v>34</v>
      </c>
      <c r="Q93" s="9">
        <v>4</v>
      </c>
      <c r="R93" s="9">
        <v>6</v>
      </c>
      <c r="S93" s="9">
        <v>17</v>
      </c>
      <c r="T93" s="9">
        <v>2</v>
      </c>
      <c r="U93" s="9">
        <v>9</v>
      </c>
      <c r="W93" s="25">
        <v>1</v>
      </c>
      <c r="X93" s="25">
        <v>1</v>
      </c>
      <c r="Y93" s="25">
        <v>1</v>
      </c>
      <c r="Z93" s="25">
        <v>1</v>
      </c>
      <c r="AA93" s="25">
        <v>1</v>
      </c>
      <c r="AH93" s="5"/>
      <c r="AI93" s="5"/>
      <c r="AO93" s="5"/>
    </row>
    <row r="94" spans="10:41">
      <c r="J94" s="25">
        <v>90</v>
      </c>
      <c r="K94" s="16" t="s">
        <v>22</v>
      </c>
      <c r="L94" s="16" t="s">
        <v>35</v>
      </c>
      <c r="M94" s="16" t="s">
        <v>91</v>
      </c>
      <c r="N94" s="16" t="s">
        <v>22</v>
      </c>
      <c r="O94" s="16" t="s">
        <v>35</v>
      </c>
      <c r="Q94" s="9">
        <v>3</v>
      </c>
      <c r="R94" s="9">
        <v>8</v>
      </c>
      <c r="S94" s="9">
        <v>14</v>
      </c>
      <c r="T94" s="9">
        <v>3</v>
      </c>
      <c r="U94" s="9">
        <v>8</v>
      </c>
      <c r="W94" s="25">
        <v>1</v>
      </c>
      <c r="X94" s="25">
        <v>1</v>
      </c>
      <c r="Y94" s="25">
        <v>1</v>
      </c>
      <c r="Z94" s="25">
        <v>1</v>
      </c>
      <c r="AA94" s="25">
        <v>1</v>
      </c>
      <c r="AH94" s="5"/>
      <c r="AI94" s="5"/>
      <c r="AO94" s="5"/>
    </row>
    <row r="95" spans="10:41">
      <c r="J95" s="9">
        <v>91</v>
      </c>
      <c r="K95" s="16" t="s">
        <v>19</v>
      </c>
      <c r="L95" s="16" t="s">
        <v>35</v>
      </c>
      <c r="M95" s="16" t="s">
        <v>119</v>
      </c>
      <c r="N95" s="16" t="s">
        <v>21</v>
      </c>
      <c r="O95" s="16" t="s">
        <v>22</v>
      </c>
      <c r="Q95" s="9">
        <v>5</v>
      </c>
      <c r="R95" s="9">
        <v>8</v>
      </c>
      <c r="S95" s="9">
        <v>17</v>
      </c>
      <c r="T95" s="9">
        <v>2</v>
      </c>
      <c r="U95" s="9">
        <v>3</v>
      </c>
      <c r="W95" s="25">
        <v>1</v>
      </c>
      <c r="X95" s="25">
        <v>1</v>
      </c>
      <c r="Y95" s="25">
        <v>1</v>
      </c>
      <c r="Z95" s="25">
        <v>1</v>
      </c>
      <c r="AA95" s="25">
        <v>1</v>
      </c>
      <c r="AH95" s="5"/>
      <c r="AI95" s="5"/>
      <c r="AO95" s="5"/>
    </row>
    <row r="96" spans="10:41">
      <c r="J96" s="25">
        <v>92</v>
      </c>
      <c r="K96" s="16" t="s">
        <v>37</v>
      </c>
      <c r="L96" s="16" t="s">
        <v>92</v>
      </c>
      <c r="M96" s="16" t="s">
        <v>91</v>
      </c>
      <c r="N96" s="16" t="s">
        <v>21</v>
      </c>
      <c r="O96" s="16" t="s">
        <v>21</v>
      </c>
      <c r="Q96" s="9">
        <v>7</v>
      </c>
      <c r="R96" s="9">
        <v>16</v>
      </c>
      <c r="S96" s="9">
        <v>14</v>
      </c>
      <c r="T96" s="9">
        <v>2</v>
      </c>
      <c r="U96" s="9">
        <v>2</v>
      </c>
      <c r="W96" s="25">
        <v>1</v>
      </c>
      <c r="X96" s="25">
        <v>1</v>
      </c>
      <c r="Y96" s="25">
        <v>1</v>
      </c>
      <c r="Z96" s="25">
        <v>1</v>
      </c>
      <c r="AA96" s="25">
        <v>1</v>
      </c>
      <c r="AH96" s="5"/>
      <c r="AI96" s="5"/>
      <c r="AO96" s="5"/>
    </row>
    <row r="97" spans="10:41">
      <c r="J97" s="9">
        <v>93</v>
      </c>
      <c r="K97" s="16" t="s">
        <v>19</v>
      </c>
      <c r="L97" s="16" t="s">
        <v>35</v>
      </c>
      <c r="M97" s="16" t="s">
        <v>92</v>
      </c>
      <c r="N97" s="16" t="s">
        <v>21</v>
      </c>
      <c r="O97" s="16" t="s">
        <v>36</v>
      </c>
      <c r="Q97" s="9">
        <v>5</v>
      </c>
      <c r="R97" s="9">
        <v>8</v>
      </c>
      <c r="S97" s="9">
        <v>16</v>
      </c>
      <c r="T97" s="9">
        <v>2</v>
      </c>
      <c r="U97" s="9">
        <v>10</v>
      </c>
      <c r="W97" s="25">
        <v>1</v>
      </c>
      <c r="X97" s="25">
        <v>1</v>
      </c>
      <c r="Y97" s="25">
        <v>1</v>
      </c>
      <c r="Z97" s="25">
        <v>1</v>
      </c>
      <c r="AA97" s="25">
        <v>1</v>
      </c>
      <c r="AH97" s="5"/>
      <c r="AI97" s="5"/>
      <c r="AO97" s="5"/>
    </row>
    <row r="98" spans="10:41">
      <c r="J98" s="25">
        <v>94</v>
      </c>
      <c r="K98" s="16" t="s">
        <v>37</v>
      </c>
      <c r="L98" s="16" t="s">
        <v>37</v>
      </c>
      <c r="M98" s="16" t="s">
        <v>137</v>
      </c>
      <c r="N98" s="16" t="s">
        <v>88</v>
      </c>
      <c r="O98" s="16" t="s">
        <v>22</v>
      </c>
      <c r="Q98" s="9">
        <v>7</v>
      </c>
      <c r="R98" s="9">
        <v>7</v>
      </c>
      <c r="S98" s="9">
        <v>15</v>
      </c>
      <c r="T98" s="9">
        <v>11</v>
      </c>
      <c r="U98" s="9">
        <v>3</v>
      </c>
      <c r="W98" s="25">
        <v>1</v>
      </c>
      <c r="X98" s="25">
        <v>1</v>
      </c>
      <c r="Y98" s="25">
        <v>1</v>
      </c>
      <c r="Z98" s="25">
        <v>1</v>
      </c>
      <c r="AA98" s="25">
        <v>1</v>
      </c>
      <c r="AH98" s="5"/>
      <c r="AI98" s="5"/>
      <c r="AO98" s="5"/>
    </row>
    <row r="99" spans="10:41">
      <c r="J99" s="9">
        <v>95</v>
      </c>
      <c r="K99" s="16" t="s">
        <v>19</v>
      </c>
      <c r="L99" s="16" t="s">
        <v>35</v>
      </c>
      <c r="M99" s="16" t="s">
        <v>119</v>
      </c>
      <c r="N99" s="16" t="s">
        <v>18</v>
      </c>
      <c r="O99" s="16" t="s">
        <v>35</v>
      </c>
      <c r="Q99" s="9">
        <v>5</v>
      </c>
      <c r="R99" s="9">
        <v>8</v>
      </c>
      <c r="S99" s="9">
        <v>17</v>
      </c>
      <c r="T99" s="9">
        <v>4</v>
      </c>
      <c r="U99" s="9">
        <v>8</v>
      </c>
      <c r="W99" s="25">
        <v>1</v>
      </c>
      <c r="X99" s="25">
        <v>1</v>
      </c>
      <c r="Y99" s="25">
        <v>1</v>
      </c>
      <c r="Z99" s="25">
        <v>1</v>
      </c>
      <c r="AA99" s="25">
        <v>1</v>
      </c>
      <c r="AH99" s="5"/>
      <c r="AI99" s="5"/>
      <c r="AO99" s="5"/>
    </row>
    <row r="100" spans="10:41">
      <c r="J100" s="25">
        <v>96</v>
      </c>
      <c r="K100" s="16" t="s">
        <v>136</v>
      </c>
      <c r="L100" s="16" t="s">
        <v>34</v>
      </c>
      <c r="M100" s="16" t="s">
        <v>137</v>
      </c>
      <c r="N100" s="16" t="s">
        <v>35</v>
      </c>
      <c r="O100" s="16" t="s">
        <v>19</v>
      </c>
      <c r="Q100" s="9">
        <v>6</v>
      </c>
      <c r="R100" s="9">
        <v>9</v>
      </c>
      <c r="S100" s="9">
        <v>15</v>
      </c>
      <c r="T100" s="9">
        <v>8</v>
      </c>
      <c r="U100" s="9">
        <v>5</v>
      </c>
      <c r="W100" s="25">
        <v>1</v>
      </c>
      <c r="X100" s="25">
        <v>1</v>
      </c>
      <c r="Y100" s="25">
        <v>1</v>
      </c>
      <c r="Z100" s="25">
        <v>1</v>
      </c>
      <c r="AA100" s="25">
        <v>1</v>
      </c>
      <c r="AH100" s="5"/>
      <c r="AI100" s="5"/>
      <c r="AO100" s="5"/>
    </row>
    <row r="101" spans="10:41">
      <c r="J101" s="9">
        <v>97</v>
      </c>
      <c r="K101" s="16" t="s">
        <v>19</v>
      </c>
      <c r="L101" s="16" t="s">
        <v>34</v>
      </c>
      <c r="M101" s="16" t="s">
        <v>92</v>
      </c>
      <c r="N101" s="16" t="s">
        <v>35</v>
      </c>
      <c r="O101" s="16" t="s">
        <v>18</v>
      </c>
      <c r="Q101" s="9">
        <v>5</v>
      </c>
      <c r="R101" s="9">
        <v>9</v>
      </c>
      <c r="S101" s="9">
        <v>16</v>
      </c>
      <c r="T101" s="9">
        <v>8</v>
      </c>
      <c r="U101" s="9">
        <v>4</v>
      </c>
      <c r="W101" s="25">
        <v>1</v>
      </c>
      <c r="X101" s="25">
        <v>1</v>
      </c>
      <c r="Y101" s="25">
        <v>1</v>
      </c>
      <c r="Z101" s="25">
        <v>1</v>
      </c>
      <c r="AA101" s="25">
        <v>1</v>
      </c>
      <c r="AH101" s="5"/>
      <c r="AI101" s="5"/>
      <c r="AO101" s="5"/>
    </row>
    <row r="102" spans="10:41">
      <c r="J102" s="25">
        <v>98</v>
      </c>
      <c r="K102" s="16" t="s">
        <v>37</v>
      </c>
      <c r="L102" s="16" t="s">
        <v>21</v>
      </c>
      <c r="M102" s="16" t="s">
        <v>119</v>
      </c>
      <c r="N102" s="16" t="s">
        <v>18</v>
      </c>
      <c r="O102" s="16" t="s">
        <v>21</v>
      </c>
      <c r="Q102" s="9">
        <v>7</v>
      </c>
      <c r="R102" s="9">
        <v>2</v>
      </c>
      <c r="S102" s="9">
        <v>17</v>
      </c>
      <c r="T102" s="9">
        <v>4</v>
      </c>
      <c r="U102" s="9">
        <v>2</v>
      </c>
      <c r="W102" s="25">
        <v>1</v>
      </c>
      <c r="X102" s="25">
        <v>1</v>
      </c>
      <c r="Y102" s="25">
        <v>1</v>
      </c>
      <c r="Z102" s="25">
        <v>1</v>
      </c>
      <c r="AA102" s="25">
        <v>1</v>
      </c>
      <c r="AH102" s="5"/>
      <c r="AI102" s="5"/>
      <c r="AO102" s="5"/>
    </row>
    <row r="103" spans="10:41">
      <c r="J103" s="9">
        <v>99</v>
      </c>
      <c r="K103" s="16" t="s">
        <v>35</v>
      </c>
      <c r="L103" s="16" t="s">
        <v>91</v>
      </c>
      <c r="M103" s="16" t="s">
        <v>88</v>
      </c>
      <c r="N103" s="16" t="s">
        <v>36</v>
      </c>
      <c r="O103" s="16" t="s">
        <v>21</v>
      </c>
      <c r="Q103" s="9">
        <v>8</v>
      </c>
      <c r="R103" s="9">
        <v>14</v>
      </c>
      <c r="S103" s="9">
        <v>11</v>
      </c>
      <c r="T103" s="9">
        <v>10</v>
      </c>
      <c r="U103" s="9">
        <v>2</v>
      </c>
      <c r="W103" s="25">
        <v>1</v>
      </c>
      <c r="X103" s="25">
        <v>1</v>
      </c>
      <c r="Y103" s="25">
        <v>1</v>
      </c>
      <c r="Z103" s="25">
        <v>1</v>
      </c>
      <c r="AA103" s="25">
        <v>1</v>
      </c>
      <c r="AH103" s="5"/>
      <c r="AI103" s="5"/>
      <c r="AO103" s="5"/>
    </row>
    <row r="104" spans="10:41">
      <c r="J104" s="25">
        <v>100</v>
      </c>
      <c r="K104" s="16" t="s">
        <v>37</v>
      </c>
      <c r="L104" s="16" t="s">
        <v>20</v>
      </c>
      <c r="M104" s="16" t="s">
        <v>91</v>
      </c>
      <c r="N104" s="16" t="s">
        <v>22</v>
      </c>
      <c r="O104" s="16" t="s">
        <v>18</v>
      </c>
      <c r="Q104" s="9">
        <v>7</v>
      </c>
      <c r="R104" s="9">
        <v>1</v>
      </c>
      <c r="S104" s="9">
        <v>14</v>
      </c>
      <c r="T104" s="9">
        <v>3</v>
      </c>
      <c r="U104" s="9">
        <v>4</v>
      </c>
      <c r="W104" s="25">
        <v>1</v>
      </c>
      <c r="X104" s="25">
        <v>1</v>
      </c>
      <c r="Y104" s="25">
        <v>1</v>
      </c>
      <c r="Z104" s="25">
        <v>1</v>
      </c>
      <c r="AA104" s="25">
        <v>1</v>
      </c>
      <c r="AH104" s="5"/>
      <c r="AI104" s="5"/>
      <c r="AO104" s="5"/>
    </row>
    <row r="105" spans="10:41">
      <c r="J105" s="25">
        <v>101</v>
      </c>
      <c r="K105" s="16" t="s">
        <v>35</v>
      </c>
      <c r="L105" s="16" t="s">
        <v>136</v>
      </c>
      <c r="M105" s="16" t="s">
        <v>119</v>
      </c>
      <c r="N105" s="16" t="s">
        <v>22</v>
      </c>
      <c r="O105" s="16" t="s">
        <v>36</v>
      </c>
      <c r="Q105" s="9">
        <v>8</v>
      </c>
      <c r="R105" s="9">
        <v>6</v>
      </c>
      <c r="S105" s="9">
        <v>17</v>
      </c>
      <c r="T105" s="9">
        <v>3</v>
      </c>
      <c r="U105" s="9">
        <v>10</v>
      </c>
      <c r="W105" s="25">
        <v>1</v>
      </c>
      <c r="X105" s="25">
        <v>1</v>
      </c>
      <c r="Y105" s="25">
        <v>1</v>
      </c>
      <c r="Z105" s="25">
        <v>1</v>
      </c>
      <c r="AA105" s="25">
        <v>1</v>
      </c>
      <c r="AH105" s="5"/>
      <c r="AI105" s="5"/>
      <c r="AO105" s="5"/>
    </row>
    <row r="106" spans="10:41">
      <c r="J106" s="9">
        <v>102</v>
      </c>
      <c r="K106" s="16" t="s">
        <v>35</v>
      </c>
      <c r="L106" s="16" t="s">
        <v>34</v>
      </c>
      <c r="M106" s="16" t="s">
        <v>91</v>
      </c>
      <c r="N106" s="16" t="s">
        <v>21</v>
      </c>
      <c r="O106" s="16" t="s">
        <v>136</v>
      </c>
      <c r="Q106" s="9">
        <v>8</v>
      </c>
      <c r="R106" s="9">
        <v>9</v>
      </c>
      <c r="S106" s="9">
        <v>14</v>
      </c>
      <c r="T106" s="9">
        <v>2</v>
      </c>
      <c r="U106" s="9">
        <v>6</v>
      </c>
      <c r="W106" s="25">
        <v>1</v>
      </c>
      <c r="X106" s="25">
        <v>1</v>
      </c>
      <c r="Y106" s="25">
        <v>1</v>
      </c>
      <c r="Z106" s="25">
        <v>1</v>
      </c>
      <c r="AA106" s="25">
        <v>1</v>
      </c>
      <c r="AH106" s="5"/>
      <c r="AI106" s="5"/>
      <c r="AO106" s="5"/>
    </row>
    <row r="107" spans="10:41">
      <c r="J107" s="25">
        <v>103</v>
      </c>
      <c r="K107" s="16" t="s">
        <v>37</v>
      </c>
      <c r="L107" s="16" t="s">
        <v>34</v>
      </c>
      <c r="M107" s="16" t="s">
        <v>137</v>
      </c>
      <c r="N107" s="16" t="s">
        <v>90</v>
      </c>
      <c r="O107" s="16" t="s">
        <v>34</v>
      </c>
      <c r="Q107" s="9">
        <v>7</v>
      </c>
      <c r="R107" s="9">
        <v>9</v>
      </c>
      <c r="S107" s="9">
        <v>15</v>
      </c>
      <c r="T107" s="9">
        <v>13</v>
      </c>
      <c r="U107" s="9">
        <v>9</v>
      </c>
      <c r="W107" s="25">
        <v>1</v>
      </c>
      <c r="X107" s="25">
        <v>1</v>
      </c>
      <c r="Y107" s="25">
        <v>1</v>
      </c>
      <c r="Z107" s="25">
        <v>1</v>
      </c>
      <c r="AA107" s="25">
        <v>1</v>
      </c>
      <c r="AH107" s="5"/>
      <c r="AI107" s="5"/>
      <c r="AO107" s="5"/>
    </row>
    <row r="108" spans="10:41">
      <c r="J108" s="9">
        <v>104</v>
      </c>
      <c r="K108" s="16" t="s">
        <v>35</v>
      </c>
      <c r="L108" s="16" t="s">
        <v>91</v>
      </c>
      <c r="M108" s="16" t="s">
        <v>92</v>
      </c>
      <c r="N108" s="16" t="s">
        <v>22</v>
      </c>
      <c r="O108" s="16" t="s">
        <v>36</v>
      </c>
      <c r="Q108" s="9">
        <v>8</v>
      </c>
      <c r="R108" s="9">
        <v>14</v>
      </c>
      <c r="S108" s="9">
        <v>16</v>
      </c>
      <c r="T108" s="9">
        <v>3</v>
      </c>
      <c r="U108" s="9">
        <v>10</v>
      </c>
      <c r="W108" s="25">
        <v>1</v>
      </c>
      <c r="X108" s="25">
        <v>1</v>
      </c>
      <c r="Y108" s="25">
        <v>1</v>
      </c>
      <c r="Z108" s="25">
        <v>1</v>
      </c>
      <c r="AA108" s="25">
        <v>1</v>
      </c>
      <c r="AH108" s="5"/>
      <c r="AI108" s="5"/>
      <c r="AO108" s="5"/>
    </row>
    <row r="109" spans="10:41">
      <c r="J109" s="25">
        <v>105</v>
      </c>
      <c r="K109" s="16" t="s">
        <v>35</v>
      </c>
      <c r="L109" s="16" t="s">
        <v>22</v>
      </c>
      <c r="M109" s="16" t="s">
        <v>137</v>
      </c>
      <c r="N109" s="16" t="s">
        <v>19</v>
      </c>
      <c r="O109" s="16" t="s">
        <v>36</v>
      </c>
      <c r="Q109" s="9">
        <v>8</v>
      </c>
      <c r="R109" s="9">
        <v>3</v>
      </c>
      <c r="S109" s="9">
        <v>15</v>
      </c>
      <c r="T109" s="9">
        <v>5</v>
      </c>
      <c r="U109" s="9">
        <v>10</v>
      </c>
      <c r="W109" s="25">
        <v>1</v>
      </c>
      <c r="X109" s="25">
        <v>1</v>
      </c>
      <c r="Y109" s="25">
        <v>1</v>
      </c>
      <c r="Z109" s="25">
        <v>1</v>
      </c>
      <c r="AA109" s="25">
        <v>1</v>
      </c>
      <c r="AH109" s="5"/>
      <c r="AI109" s="5"/>
      <c r="AO109" s="5"/>
    </row>
    <row r="110" spans="10:41">
      <c r="J110" s="9">
        <v>106</v>
      </c>
      <c r="K110" s="16" t="s">
        <v>35</v>
      </c>
      <c r="L110" s="16" t="s">
        <v>22</v>
      </c>
      <c r="M110" s="16" t="s">
        <v>92</v>
      </c>
      <c r="N110" s="16" t="s">
        <v>88</v>
      </c>
      <c r="O110" s="16" t="s">
        <v>19</v>
      </c>
      <c r="Q110" s="9">
        <v>8</v>
      </c>
      <c r="R110" s="9">
        <v>3</v>
      </c>
      <c r="S110" s="9">
        <v>16</v>
      </c>
      <c r="T110" s="9">
        <v>11</v>
      </c>
      <c r="U110" s="9">
        <v>5</v>
      </c>
      <c r="W110" s="25">
        <v>1</v>
      </c>
      <c r="X110" s="25">
        <v>1</v>
      </c>
      <c r="Y110" s="25">
        <v>1</v>
      </c>
      <c r="Z110" s="25">
        <v>1</v>
      </c>
      <c r="AA110" s="25">
        <v>1</v>
      </c>
      <c r="AH110" s="5"/>
      <c r="AI110" s="5"/>
      <c r="AO110" s="5"/>
    </row>
    <row r="111" spans="10:41">
      <c r="J111" s="25">
        <v>107</v>
      </c>
      <c r="K111" s="16" t="s">
        <v>37</v>
      </c>
      <c r="L111" s="16" t="s">
        <v>19</v>
      </c>
      <c r="M111" s="16" t="s">
        <v>137</v>
      </c>
      <c r="N111" s="16" t="s">
        <v>18</v>
      </c>
      <c r="O111" s="16" t="s">
        <v>19</v>
      </c>
      <c r="Q111" s="9">
        <v>7</v>
      </c>
      <c r="R111" s="9">
        <v>5</v>
      </c>
      <c r="S111" s="9">
        <v>15</v>
      </c>
      <c r="T111" s="9">
        <v>4</v>
      </c>
      <c r="U111" s="9">
        <v>5</v>
      </c>
      <c r="W111" s="25">
        <v>1</v>
      </c>
      <c r="X111" s="25">
        <v>1</v>
      </c>
      <c r="Y111" s="25">
        <v>1</v>
      </c>
      <c r="Z111" s="25">
        <v>1</v>
      </c>
      <c r="AA111" s="25">
        <v>1</v>
      </c>
      <c r="AH111" s="5"/>
      <c r="AI111" s="5"/>
      <c r="AO111" s="5"/>
    </row>
    <row r="112" spans="10:41">
      <c r="J112" s="9">
        <v>108</v>
      </c>
      <c r="K112" s="16" t="s">
        <v>136</v>
      </c>
      <c r="L112" s="16" t="s">
        <v>89</v>
      </c>
      <c r="M112" s="16" t="s">
        <v>91</v>
      </c>
      <c r="N112" s="16" t="s">
        <v>34</v>
      </c>
      <c r="O112" s="16" t="s">
        <v>35</v>
      </c>
      <c r="Q112" s="9">
        <v>6</v>
      </c>
      <c r="R112" s="9">
        <v>12</v>
      </c>
      <c r="S112" s="9">
        <v>14</v>
      </c>
      <c r="T112" s="9">
        <v>9</v>
      </c>
      <c r="U112" s="9">
        <v>8</v>
      </c>
      <c r="W112" s="25">
        <v>1</v>
      </c>
      <c r="X112" s="25">
        <v>1</v>
      </c>
      <c r="Y112" s="25">
        <v>1</v>
      </c>
      <c r="Z112" s="25">
        <v>1</v>
      </c>
      <c r="AA112" s="25">
        <v>1</v>
      </c>
      <c r="AH112" s="5"/>
      <c r="AI112" s="5"/>
      <c r="AO112" s="5"/>
    </row>
    <row r="113" spans="10:41">
      <c r="J113" s="25">
        <v>109</v>
      </c>
      <c r="K113" s="16" t="s">
        <v>35</v>
      </c>
      <c r="L113" s="16" t="s">
        <v>91</v>
      </c>
      <c r="M113" s="16" t="s">
        <v>137</v>
      </c>
      <c r="N113" s="16" t="s">
        <v>36</v>
      </c>
      <c r="O113" s="16" t="s">
        <v>36</v>
      </c>
      <c r="Q113" s="9">
        <v>8</v>
      </c>
      <c r="R113" s="9">
        <v>14</v>
      </c>
      <c r="S113" s="9">
        <v>15</v>
      </c>
      <c r="T113" s="9">
        <v>10</v>
      </c>
      <c r="U113" s="9">
        <v>10</v>
      </c>
      <c r="W113" s="25">
        <v>1</v>
      </c>
      <c r="X113" s="25">
        <v>1</v>
      </c>
      <c r="Y113" s="25">
        <v>1</v>
      </c>
      <c r="Z113" s="25">
        <v>1</v>
      </c>
      <c r="AA113" s="25">
        <v>1</v>
      </c>
      <c r="AH113" s="5"/>
      <c r="AI113" s="5"/>
      <c r="AO113" s="5"/>
    </row>
    <row r="114" spans="10:41">
      <c r="J114" s="9">
        <v>110</v>
      </c>
      <c r="K114" s="16" t="s">
        <v>21</v>
      </c>
      <c r="L114" s="16" t="s">
        <v>37</v>
      </c>
      <c r="M114" s="16" t="s">
        <v>119</v>
      </c>
      <c r="N114" s="16" t="s">
        <v>37</v>
      </c>
      <c r="O114" s="16" t="s">
        <v>21</v>
      </c>
      <c r="Q114" s="9">
        <v>2</v>
      </c>
      <c r="R114" s="9">
        <v>7</v>
      </c>
      <c r="S114" s="9">
        <v>17</v>
      </c>
      <c r="T114" s="9">
        <v>7</v>
      </c>
      <c r="U114" s="9">
        <v>2</v>
      </c>
      <c r="W114" s="25">
        <v>1</v>
      </c>
      <c r="X114" s="25">
        <v>1</v>
      </c>
      <c r="Y114" s="25">
        <v>1</v>
      </c>
      <c r="Z114" s="25">
        <v>1</v>
      </c>
      <c r="AA114" s="25">
        <v>1</v>
      </c>
      <c r="AH114" s="5"/>
      <c r="AI114" s="5"/>
      <c r="AO114" s="5"/>
    </row>
    <row r="115" spans="10:41">
      <c r="J115" s="25">
        <v>111</v>
      </c>
      <c r="K115" s="16" t="s">
        <v>34</v>
      </c>
      <c r="L115" s="16" t="s">
        <v>37</v>
      </c>
      <c r="M115" s="16" t="s">
        <v>91</v>
      </c>
      <c r="N115" s="16" t="s">
        <v>136</v>
      </c>
      <c r="O115" s="16" t="s">
        <v>18</v>
      </c>
      <c r="Q115" s="9">
        <v>9</v>
      </c>
      <c r="R115" s="9">
        <v>7</v>
      </c>
      <c r="S115" s="9">
        <v>14</v>
      </c>
      <c r="T115" s="9">
        <v>6</v>
      </c>
      <c r="U115" s="9">
        <v>4</v>
      </c>
      <c r="W115" s="25">
        <v>1</v>
      </c>
      <c r="X115" s="25">
        <v>1</v>
      </c>
      <c r="Y115" s="25">
        <v>1</v>
      </c>
      <c r="Z115" s="25">
        <v>1</v>
      </c>
      <c r="AA115" s="25">
        <v>1</v>
      </c>
      <c r="AH115" s="5"/>
      <c r="AI115" s="5"/>
      <c r="AO115" s="5"/>
    </row>
    <row r="116" spans="10:41">
      <c r="J116" s="9">
        <v>112</v>
      </c>
      <c r="K116" s="16" t="s">
        <v>136</v>
      </c>
      <c r="L116" s="16" t="s">
        <v>91</v>
      </c>
      <c r="M116" s="16" t="s">
        <v>119</v>
      </c>
      <c r="N116" s="16" t="s">
        <v>18</v>
      </c>
      <c r="O116" s="16" t="s">
        <v>19</v>
      </c>
      <c r="Q116" s="9">
        <v>6</v>
      </c>
      <c r="R116" s="9">
        <v>14</v>
      </c>
      <c r="S116" s="9">
        <v>17</v>
      </c>
      <c r="T116" s="9">
        <v>4</v>
      </c>
      <c r="U116" s="9">
        <v>5</v>
      </c>
      <c r="W116" s="25">
        <v>1</v>
      </c>
      <c r="X116" s="25">
        <v>1</v>
      </c>
      <c r="Y116" s="25">
        <v>1</v>
      </c>
      <c r="Z116" s="25">
        <v>1</v>
      </c>
      <c r="AA116" s="25">
        <v>1</v>
      </c>
      <c r="AH116" s="5"/>
      <c r="AI116" s="5"/>
      <c r="AO116" s="5"/>
    </row>
    <row r="117" spans="10:41">
      <c r="J117" s="25">
        <v>113</v>
      </c>
      <c r="K117" s="16" t="s">
        <v>35</v>
      </c>
      <c r="L117" s="16" t="s">
        <v>19</v>
      </c>
      <c r="M117" s="16" t="s">
        <v>137</v>
      </c>
      <c r="N117" s="16" t="s">
        <v>36</v>
      </c>
      <c r="O117" s="16" t="s">
        <v>19</v>
      </c>
      <c r="Q117" s="9">
        <v>8</v>
      </c>
      <c r="R117" s="9">
        <v>5</v>
      </c>
      <c r="S117" s="9">
        <v>15</v>
      </c>
      <c r="T117" s="9">
        <v>10</v>
      </c>
      <c r="U117" s="9">
        <v>5</v>
      </c>
      <c r="W117" s="25">
        <v>1</v>
      </c>
      <c r="X117" s="25">
        <v>1</v>
      </c>
      <c r="Y117" s="25">
        <v>1</v>
      </c>
      <c r="Z117" s="25">
        <v>1</v>
      </c>
      <c r="AA117" s="25">
        <v>1</v>
      </c>
      <c r="AH117" s="5"/>
      <c r="AI117" s="5"/>
      <c r="AO117" s="5"/>
    </row>
    <row r="118" spans="10:41">
      <c r="J118" s="9">
        <v>114</v>
      </c>
      <c r="K118" s="16" t="s">
        <v>19</v>
      </c>
      <c r="L118" s="16" t="s">
        <v>19</v>
      </c>
      <c r="M118" s="16" t="s">
        <v>92</v>
      </c>
      <c r="N118" s="16" t="s">
        <v>136</v>
      </c>
      <c r="O118" s="16" t="s">
        <v>37</v>
      </c>
      <c r="Q118" s="9">
        <v>5</v>
      </c>
      <c r="R118" s="9">
        <v>5</v>
      </c>
      <c r="S118" s="9">
        <v>16</v>
      </c>
      <c r="T118" s="9">
        <v>6</v>
      </c>
      <c r="U118" s="9">
        <v>7</v>
      </c>
      <c r="W118" s="25">
        <v>1</v>
      </c>
      <c r="X118" s="25">
        <v>1</v>
      </c>
      <c r="Y118" s="25">
        <v>1</v>
      </c>
      <c r="Z118" s="25">
        <v>1</v>
      </c>
      <c r="AA118" s="25">
        <v>1</v>
      </c>
      <c r="AH118" s="5"/>
      <c r="AI118" s="5"/>
      <c r="AO118" s="5"/>
    </row>
    <row r="119" spans="10:41">
      <c r="J119" s="25">
        <v>115</v>
      </c>
      <c r="K119" s="16" t="s">
        <v>35</v>
      </c>
      <c r="L119" s="16" t="s">
        <v>136</v>
      </c>
      <c r="M119" s="16" t="s">
        <v>119</v>
      </c>
      <c r="N119" s="16" t="s">
        <v>92</v>
      </c>
      <c r="O119" s="16" t="s">
        <v>22</v>
      </c>
      <c r="Q119" s="9">
        <v>8</v>
      </c>
      <c r="R119" s="9">
        <v>6</v>
      </c>
      <c r="S119" s="9">
        <v>17</v>
      </c>
      <c r="T119" s="9">
        <v>16</v>
      </c>
      <c r="U119" s="9">
        <v>3</v>
      </c>
      <c r="W119" s="25">
        <v>1</v>
      </c>
      <c r="X119" s="25">
        <v>1</v>
      </c>
      <c r="Y119" s="25">
        <v>1</v>
      </c>
      <c r="Z119" s="25">
        <v>1</v>
      </c>
      <c r="AA119" s="25">
        <v>1</v>
      </c>
      <c r="AH119" s="5"/>
      <c r="AI119" s="5"/>
      <c r="AO119" s="5"/>
    </row>
    <row r="120" spans="10:41">
      <c r="J120" s="9">
        <v>116</v>
      </c>
      <c r="K120" s="16" t="s">
        <v>19</v>
      </c>
      <c r="L120" s="16" t="s">
        <v>136</v>
      </c>
      <c r="M120" s="16" t="s">
        <v>92</v>
      </c>
      <c r="N120" s="16" t="s">
        <v>136</v>
      </c>
      <c r="O120" s="16" t="s">
        <v>35</v>
      </c>
      <c r="Q120" s="9">
        <v>5</v>
      </c>
      <c r="R120" s="9">
        <v>6</v>
      </c>
      <c r="S120" s="9">
        <v>16</v>
      </c>
      <c r="T120" s="9">
        <v>6</v>
      </c>
      <c r="U120" s="9">
        <v>8</v>
      </c>
      <c r="W120" s="25">
        <v>1</v>
      </c>
      <c r="X120" s="25">
        <v>1</v>
      </c>
      <c r="Y120" s="25">
        <v>1</v>
      </c>
      <c r="Z120" s="25">
        <v>1</v>
      </c>
      <c r="AA120" s="25">
        <v>1</v>
      </c>
      <c r="AH120" s="5"/>
      <c r="AI120" s="5"/>
      <c r="AO120" s="5"/>
    </row>
    <row r="121" spans="10:41">
      <c r="J121" s="25">
        <v>117</v>
      </c>
      <c r="K121" s="16" t="s">
        <v>19</v>
      </c>
      <c r="L121" s="16" t="s">
        <v>92</v>
      </c>
      <c r="M121" s="16" t="s">
        <v>137</v>
      </c>
      <c r="N121" s="16" t="s">
        <v>22</v>
      </c>
      <c r="O121" s="16" t="s">
        <v>22</v>
      </c>
      <c r="Q121" s="9">
        <v>5</v>
      </c>
      <c r="R121" s="9">
        <v>16</v>
      </c>
      <c r="S121" s="9">
        <v>15</v>
      </c>
      <c r="T121" s="9">
        <v>3</v>
      </c>
      <c r="U121" s="9">
        <v>3</v>
      </c>
      <c r="W121" s="25">
        <v>1</v>
      </c>
      <c r="X121" s="25">
        <v>1</v>
      </c>
      <c r="Y121" s="25">
        <v>1</v>
      </c>
      <c r="Z121" s="25">
        <v>1</v>
      </c>
      <c r="AA121" s="25">
        <v>1</v>
      </c>
      <c r="AH121" s="5"/>
      <c r="AI121" s="5"/>
      <c r="AO121" s="5"/>
    </row>
    <row r="122" spans="10:41">
      <c r="J122" s="9">
        <v>118</v>
      </c>
      <c r="K122" s="16" t="s">
        <v>37</v>
      </c>
      <c r="L122" s="16" t="s">
        <v>18</v>
      </c>
      <c r="M122" s="16" t="s">
        <v>97</v>
      </c>
      <c r="N122" s="16" t="s">
        <v>37</v>
      </c>
      <c r="O122" s="16" t="s">
        <v>34</v>
      </c>
      <c r="Q122" s="9">
        <v>7</v>
      </c>
      <c r="R122" s="9">
        <v>4</v>
      </c>
      <c r="S122" s="9">
        <v>19</v>
      </c>
      <c r="T122" s="9">
        <v>7</v>
      </c>
      <c r="U122" s="9">
        <v>9</v>
      </c>
      <c r="W122" s="25">
        <v>1</v>
      </c>
      <c r="X122" s="25">
        <v>1</v>
      </c>
      <c r="Y122" s="25">
        <v>1</v>
      </c>
      <c r="Z122" s="25">
        <v>1</v>
      </c>
      <c r="AA122" s="25">
        <v>1</v>
      </c>
      <c r="AH122" s="5"/>
      <c r="AI122" s="5"/>
      <c r="AO122" s="5"/>
    </row>
    <row r="123" spans="10:41">
      <c r="J123" s="25">
        <v>119</v>
      </c>
      <c r="K123" s="16" t="s">
        <v>35</v>
      </c>
      <c r="L123" s="16" t="s">
        <v>34</v>
      </c>
      <c r="M123" s="16" t="s">
        <v>137</v>
      </c>
      <c r="N123" s="16" t="s">
        <v>37</v>
      </c>
      <c r="O123" s="16" t="s">
        <v>35</v>
      </c>
      <c r="Q123" s="9">
        <v>8</v>
      </c>
      <c r="R123" s="9">
        <v>9</v>
      </c>
      <c r="S123" s="9">
        <v>15</v>
      </c>
      <c r="T123" s="9">
        <v>7</v>
      </c>
      <c r="U123" s="9">
        <v>8</v>
      </c>
      <c r="W123" s="25">
        <v>1</v>
      </c>
      <c r="X123" s="25">
        <v>1</v>
      </c>
      <c r="Y123" s="25">
        <v>1</v>
      </c>
      <c r="Z123" s="25">
        <v>1</v>
      </c>
      <c r="AA123" s="25">
        <v>1</v>
      </c>
      <c r="AH123" s="5"/>
      <c r="AI123" s="5"/>
      <c r="AO123" s="5"/>
    </row>
    <row r="124" spans="10:41">
      <c r="J124" s="9">
        <v>120</v>
      </c>
      <c r="K124" s="16" t="s">
        <v>18</v>
      </c>
      <c r="L124" s="16" t="s">
        <v>91</v>
      </c>
      <c r="M124" s="16" t="s">
        <v>95</v>
      </c>
      <c r="N124" s="16" t="s">
        <v>20</v>
      </c>
      <c r="O124" s="16" t="s">
        <v>22</v>
      </c>
      <c r="Q124" s="9">
        <v>4</v>
      </c>
      <c r="R124" s="9">
        <v>14</v>
      </c>
      <c r="S124" s="9">
        <v>18</v>
      </c>
      <c r="T124" s="9">
        <v>1</v>
      </c>
      <c r="U124" s="9">
        <v>3</v>
      </c>
      <c r="W124" s="25">
        <v>1</v>
      </c>
      <c r="X124" s="25">
        <v>1</v>
      </c>
      <c r="Y124" s="25">
        <v>1</v>
      </c>
      <c r="Z124" s="25">
        <v>1</v>
      </c>
      <c r="AA124" s="25">
        <v>1</v>
      </c>
      <c r="AH124" s="5"/>
      <c r="AI124" s="5"/>
      <c r="AO124" s="5"/>
    </row>
    <row r="125" spans="10:41">
      <c r="J125" s="25">
        <v>121</v>
      </c>
      <c r="K125" s="16" t="s">
        <v>136</v>
      </c>
      <c r="L125" s="16" t="s">
        <v>20</v>
      </c>
      <c r="M125" s="16" t="s">
        <v>119</v>
      </c>
      <c r="N125" s="16" t="s">
        <v>18</v>
      </c>
      <c r="O125" s="16" t="s">
        <v>34</v>
      </c>
      <c r="Q125" s="9">
        <v>6</v>
      </c>
      <c r="R125" s="9">
        <v>1</v>
      </c>
      <c r="S125" s="9">
        <v>17</v>
      </c>
      <c r="T125" s="9">
        <v>4</v>
      </c>
      <c r="U125" s="9">
        <v>9</v>
      </c>
      <c r="W125" s="25">
        <v>1</v>
      </c>
      <c r="X125" s="25">
        <v>1</v>
      </c>
      <c r="Y125" s="25">
        <v>1</v>
      </c>
      <c r="Z125" s="25">
        <v>1</v>
      </c>
      <c r="AA125" s="25">
        <v>1</v>
      </c>
      <c r="AH125" s="5"/>
      <c r="AI125" s="5"/>
      <c r="AO125" s="5"/>
    </row>
    <row r="126" spans="10:41">
      <c r="J126" s="9">
        <v>122</v>
      </c>
      <c r="K126" s="16" t="s">
        <v>136</v>
      </c>
      <c r="L126" s="16" t="s">
        <v>22</v>
      </c>
      <c r="M126" s="16" t="s">
        <v>92</v>
      </c>
      <c r="N126" s="16" t="s">
        <v>22</v>
      </c>
      <c r="O126" s="16" t="s">
        <v>34</v>
      </c>
      <c r="Q126" s="9">
        <v>6</v>
      </c>
      <c r="R126" s="9">
        <v>3</v>
      </c>
      <c r="S126" s="9">
        <v>16</v>
      </c>
      <c r="T126" s="9">
        <v>3</v>
      </c>
      <c r="U126" s="9">
        <v>9</v>
      </c>
      <c r="W126" s="25">
        <v>1</v>
      </c>
      <c r="X126" s="25">
        <v>1</v>
      </c>
      <c r="Y126" s="25">
        <v>1</v>
      </c>
      <c r="Z126" s="25">
        <v>1</v>
      </c>
      <c r="AA126" s="25">
        <v>1</v>
      </c>
      <c r="AH126" s="5"/>
      <c r="AI126" s="5"/>
      <c r="AO126" s="5"/>
    </row>
    <row r="127" spans="10:41">
      <c r="J127" s="25">
        <v>123</v>
      </c>
      <c r="K127" s="16" t="s">
        <v>19</v>
      </c>
      <c r="L127" s="16" t="s">
        <v>36</v>
      </c>
      <c r="M127" s="16" t="s">
        <v>91</v>
      </c>
      <c r="N127" s="16" t="s">
        <v>18</v>
      </c>
      <c r="O127" s="16" t="s">
        <v>22</v>
      </c>
      <c r="Q127" s="9">
        <v>5</v>
      </c>
      <c r="R127" s="9">
        <v>10</v>
      </c>
      <c r="S127" s="9">
        <v>14</v>
      </c>
      <c r="T127" s="9">
        <v>4</v>
      </c>
      <c r="U127" s="9">
        <v>3</v>
      </c>
      <c r="W127" s="25">
        <v>1</v>
      </c>
      <c r="X127" s="25">
        <v>1</v>
      </c>
      <c r="Y127" s="25">
        <v>1</v>
      </c>
      <c r="Z127" s="25">
        <v>1</v>
      </c>
      <c r="AA127" s="25">
        <v>1</v>
      </c>
      <c r="AH127" s="5"/>
      <c r="AI127" s="5"/>
      <c r="AO127" s="5"/>
    </row>
    <row r="128" spans="10:41">
      <c r="J128" s="9">
        <v>124</v>
      </c>
      <c r="K128" s="16" t="s">
        <v>136</v>
      </c>
      <c r="L128" s="16" t="s">
        <v>137</v>
      </c>
      <c r="M128" s="16" t="s">
        <v>137</v>
      </c>
      <c r="N128" s="16" t="s">
        <v>18</v>
      </c>
      <c r="O128" s="16" t="s">
        <v>35</v>
      </c>
      <c r="Q128" s="9">
        <v>6</v>
      </c>
      <c r="R128" s="9">
        <v>15</v>
      </c>
      <c r="S128" s="9">
        <v>15</v>
      </c>
      <c r="T128" s="9">
        <v>4</v>
      </c>
      <c r="U128" s="9">
        <v>8</v>
      </c>
      <c r="W128" s="25">
        <v>1</v>
      </c>
      <c r="X128" s="25">
        <v>1</v>
      </c>
      <c r="Y128" s="25">
        <v>1</v>
      </c>
      <c r="Z128" s="25">
        <v>1</v>
      </c>
      <c r="AA128" s="25">
        <v>1</v>
      </c>
      <c r="AH128" s="5"/>
      <c r="AI128" s="5"/>
      <c r="AO128" s="5"/>
    </row>
    <row r="129" spans="10:41">
      <c r="J129" s="25">
        <v>125</v>
      </c>
      <c r="K129" s="16" t="s">
        <v>35</v>
      </c>
      <c r="L129" s="16" t="s">
        <v>88</v>
      </c>
      <c r="M129" s="16" t="s">
        <v>89</v>
      </c>
      <c r="N129" s="16" t="s">
        <v>95</v>
      </c>
      <c r="O129" s="16" t="s">
        <v>35</v>
      </c>
      <c r="Q129" s="9">
        <v>8</v>
      </c>
      <c r="R129" s="9">
        <v>11</v>
      </c>
      <c r="S129" s="9">
        <v>12</v>
      </c>
      <c r="T129" s="9">
        <v>18</v>
      </c>
      <c r="U129" s="9">
        <v>8</v>
      </c>
      <c r="W129" s="25">
        <v>1</v>
      </c>
      <c r="X129" s="25">
        <v>1</v>
      </c>
      <c r="Y129" s="25">
        <v>1</v>
      </c>
      <c r="Z129" s="25">
        <v>1</v>
      </c>
      <c r="AA129" s="25">
        <v>1</v>
      </c>
      <c r="AH129" s="5"/>
      <c r="AI129" s="5"/>
      <c r="AO129" s="5"/>
    </row>
    <row r="130" spans="10:41">
      <c r="J130" s="9">
        <v>126</v>
      </c>
      <c r="K130" s="16" t="s">
        <v>136</v>
      </c>
      <c r="L130" s="16" t="s">
        <v>34</v>
      </c>
      <c r="M130" s="16" t="s">
        <v>119</v>
      </c>
      <c r="N130" s="16" t="s">
        <v>136</v>
      </c>
      <c r="O130" s="16" t="s">
        <v>22</v>
      </c>
      <c r="Q130" s="9">
        <v>6</v>
      </c>
      <c r="R130" s="9">
        <v>9</v>
      </c>
      <c r="S130" s="9">
        <v>17</v>
      </c>
      <c r="T130" s="9">
        <v>6</v>
      </c>
      <c r="U130" s="9">
        <v>3</v>
      </c>
      <c r="W130" s="25">
        <v>1</v>
      </c>
      <c r="X130" s="25">
        <v>1</v>
      </c>
      <c r="Y130" s="25">
        <v>1</v>
      </c>
      <c r="Z130" s="25">
        <v>1</v>
      </c>
      <c r="AA130" s="25">
        <v>1</v>
      </c>
      <c r="AH130" s="5"/>
      <c r="AI130" s="5"/>
      <c r="AO130" s="5"/>
    </row>
    <row r="131" spans="10:41">
      <c r="J131" s="25">
        <v>127</v>
      </c>
      <c r="K131" s="16" t="s">
        <v>35</v>
      </c>
      <c r="L131" s="16" t="s">
        <v>119</v>
      </c>
      <c r="M131" s="16" t="s">
        <v>91</v>
      </c>
      <c r="N131" s="16" t="s">
        <v>34</v>
      </c>
      <c r="O131" s="16" t="s">
        <v>34</v>
      </c>
      <c r="Q131" s="9">
        <v>8</v>
      </c>
      <c r="R131" s="9">
        <v>17</v>
      </c>
      <c r="S131" s="9">
        <v>14</v>
      </c>
      <c r="T131" s="9">
        <v>9</v>
      </c>
      <c r="U131" s="9">
        <v>9</v>
      </c>
      <c r="W131" s="25">
        <v>1</v>
      </c>
      <c r="X131" s="25">
        <v>1</v>
      </c>
      <c r="Y131" s="25">
        <v>1</v>
      </c>
      <c r="Z131" s="25">
        <v>1</v>
      </c>
      <c r="AA131" s="25">
        <v>1</v>
      </c>
      <c r="AH131" s="5"/>
      <c r="AI131" s="5"/>
      <c r="AO131" s="5"/>
    </row>
    <row r="132" spans="10:41">
      <c r="J132" s="9">
        <v>128</v>
      </c>
      <c r="K132" s="16" t="s">
        <v>136</v>
      </c>
      <c r="L132" s="16" t="s">
        <v>20</v>
      </c>
      <c r="M132" s="16" t="s">
        <v>137</v>
      </c>
      <c r="N132" s="16" t="s">
        <v>18</v>
      </c>
      <c r="O132" s="16" t="s">
        <v>18</v>
      </c>
      <c r="Q132" s="9">
        <v>6</v>
      </c>
      <c r="R132" s="9">
        <v>1</v>
      </c>
      <c r="S132" s="9">
        <v>15</v>
      </c>
      <c r="T132" s="9">
        <v>4</v>
      </c>
      <c r="U132" s="9">
        <v>4</v>
      </c>
      <c r="W132" s="25">
        <v>1</v>
      </c>
      <c r="X132" s="25">
        <v>1</v>
      </c>
      <c r="Y132" s="25">
        <v>1</v>
      </c>
      <c r="Z132" s="25">
        <v>1</v>
      </c>
      <c r="AA132" s="25">
        <v>1</v>
      </c>
      <c r="AH132" s="5"/>
      <c r="AI132" s="5"/>
      <c r="AO132" s="5"/>
    </row>
    <row r="133" spans="10:41">
      <c r="J133" s="25">
        <v>129</v>
      </c>
      <c r="K133" s="16" t="s">
        <v>35</v>
      </c>
      <c r="L133" s="16" t="s">
        <v>91</v>
      </c>
      <c r="M133" s="16" t="s">
        <v>119</v>
      </c>
      <c r="N133" s="16" t="s">
        <v>89</v>
      </c>
      <c r="O133" s="16" t="s">
        <v>21</v>
      </c>
      <c r="Q133" s="9">
        <v>8</v>
      </c>
      <c r="R133" s="9">
        <v>14</v>
      </c>
      <c r="S133" s="9">
        <v>17</v>
      </c>
      <c r="T133" s="9">
        <v>12</v>
      </c>
      <c r="U133" s="9">
        <v>2</v>
      </c>
      <c r="W133" s="25">
        <v>1</v>
      </c>
      <c r="X133" s="25">
        <v>1</v>
      </c>
      <c r="Y133" s="25">
        <v>1</v>
      </c>
      <c r="Z133" s="25">
        <v>1</v>
      </c>
      <c r="AA133" s="25">
        <v>1</v>
      </c>
      <c r="AH133" s="5"/>
      <c r="AI133" s="5"/>
      <c r="AO133" s="5"/>
    </row>
    <row r="134" spans="10:41">
      <c r="J134" s="9">
        <v>130</v>
      </c>
      <c r="K134" s="16" t="s">
        <v>136</v>
      </c>
      <c r="L134" s="16" t="s">
        <v>95</v>
      </c>
      <c r="M134" s="16" t="s">
        <v>92</v>
      </c>
      <c r="N134" s="16" t="s">
        <v>97</v>
      </c>
      <c r="O134" s="16" t="s">
        <v>22</v>
      </c>
      <c r="Q134" s="9">
        <v>6</v>
      </c>
      <c r="R134" s="9">
        <v>18</v>
      </c>
      <c r="S134" s="9">
        <v>16</v>
      </c>
      <c r="T134" s="9">
        <v>19</v>
      </c>
      <c r="U134" s="9">
        <v>3</v>
      </c>
      <c r="W134" s="25">
        <v>1</v>
      </c>
      <c r="X134" s="25">
        <v>1</v>
      </c>
      <c r="Y134" s="25">
        <v>1</v>
      </c>
      <c r="Z134" s="25">
        <v>1</v>
      </c>
      <c r="AA134" s="25">
        <v>1</v>
      </c>
      <c r="AH134" s="5"/>
      <c r="AI134" s="5"/>
      <c r="AO134" s="5"/>
    </row>
    <row r="135" spans="10:41">
      <c r="J135" s="25">
        <v>131</v>
      </c>
      <c r="K135" s="16" t="s">
        <v>37</v>
      </c>
      <c r="L135" s="16" t="s">
        <v>136</v>
      </c>
      <c r="M135" s="16" t="s">
        <v>119</v>
      </c>
      <c r="N135" s="16" t="s">
        <v>136</v>
      </c>
      <c r="O135" s="16" t="s">
        <v>37</v>
      </c>
      <c r="Q135" s="9">
        <v>7</v>
      </c>
      <c r="R135" s="9">
        <v>6</v>
      </c>
      <c r="S135" s="9">
        <v>17</v>
      </c>
      <c r="T135" s="9">
        <v>6</v>
      </c>
      <c r="U135" s="9">
        <v>7</v>
      </c>
      <c r="W135" s="25">
        <v>1</v>
      </c>
      <c r="X135" s="25">
        <v>1</v>
      </c>
      <c r="Y135" s="25">
        <v>1</v>
      </c>
      <c r="Z135" s="25">
        <v>1</v>
      </c>
      <c r="AA135" s="25">
        <v>1</v>
      </c>
      <c r="AH135" s="5"/>
      <c r="AI135" s="5"/>
      <c r="AO135" s="5"/>
    </row>
    <row r="136" spans="10:41">
      <c r="J136" s="9">
        <v>132</v>
      </c>
      <c r="K136" s="16" t="s">
        <v>37</v>
      </c>
      <c r="L136" s="16" t="s">
        <v>35</v>
      </c>
      <c r="M136" s="16" t="s">
        <v>90</v>
      </c>
      <c r="N136" s="16" t="s">
        <v>35</v>
      </c>
      <c r="O136" s="16" t="s">
        <v>37</v>
      </c>
      <c r="Q136" s="9">
        <v>7</v>
      </c>
      <c r="R136" s="9">
        <v>8</v>
      </c>
      <c r="S136" s="9">
        <v>13</v>
      </c>
      <c r="T136" s="9">
        <v>8</v>
      </c>
      <c r="U136" s="9">
        <v>7</v>
      </c>
      <c r="W136" s="25">
        <v>1</v>
      </c>
      <c r="X136" s="25">
        <v>1</v>
      </c>
      <c r="Y136" s="25">
        <v>1</v>
      </c>
      <c r="Z136" s="25">
        <v>1</v>
      </c>
      <c r="AA136" s="25">
        <v>1</v>
      </c>
      <c r="AH136" s="5"/>
      <c r="AI136" s="5"/>
      <c r="AO136" s="5"/>
    </row>
    <row r="137" spans="10:41">
      <c r="J137" s="25">
        <v>133</v>
      </c>
      <c r="K137" s="16" t="s">
        <v>136</v>
      </c>
      <c r="L137" s="16" t="s">
        <v>35</v>
      </c>
      <c r="M137" s="16" t="s">
        <v>92</v>
      </c>
      <c r="N137" s="16" t="s">
        <v>36</v>
      </c>
      <c r="O137" s="16" t="s">
        <v>21</v>
      </c>
      <c r="Q137" s="9">
        <v>6</v>
      </c>
      <c r="R137" s="9">
        <v>8</v>
      </c>
      <c r="S137" s="9">
        <v>16</v>
      </c>
      <c r="T137" s="9">
        <v>10</v>
      </c>
      <c r="U137" s="9">
        <v>2</v>
      </c>
      <c r="W137" s="25">
        <v>1</v>
      </c>
      <c r="X137" s="25">
        <v>1</v>
      </c>
      <c r="Y137" s="25">
        <v>1</v>
      </c>
      <c r="Z137" s="25">
        <v>1</v>
      </c>
      <c r="AA137" s="25">
        <v>1</v>
      </c>
      <c r="AH137" s="5"/>
      <c r="AI137" s="5"/>
      <c r="AO137" s="5"/>
    </row>
    <row r="138" spans="10:41">
      <c r="J138" s="9">
        <v>134</v>
      </c>
      <c r="K138" s="16" t="s">
        <v>22</v>
      </c>
      <c r="L138" s="16" t="s">
        <v>35</v>
      </c>
      <c r="M138" s="16" t="s">
        <v>137</v>
      </c>
      <c r="N138" s="16" t="s">
        <v>97</v>
      </c>
      <c r="O138" s="16" t="s">
        <v>35</v>
      </c>
      <c r="Q138" s="9">
        <v>3</v>
      </c>
      <c r="R138" s="9">
        <v>8</v>
      </c>
      <c r="S138" s="9">
        <v>15</v>
      </c>
      <c r="T138" s="9">
        <v>19</v>
      </c>
      <c r="U138" s="9">
        <v>8</v>
      </c>
      <c r="W138" s="25">
        <v>1</v>
      </c>
      <c r="X138" s="25">
        <v>1</v>
      </c>
      <c r="Y138" s="25">
        <v>1</v>
      </c>
      <c r="Z138" s="25">
        <v>1</v>
      </c>
      <c r="AA138" s="25">
        <v>1</v>
      </c>
      <c r="AH138" s="5"/>
      <c r="AI138" s="5"/>
      <c r="AO138" s="5"/>
    </row>
    <row r="139" spans="10:41">
      <c r="J139" s="25">
        <v>135</v>
      </c>
      <c r="K139" s="16" t="s">
        <v>35</v>
      </c>
      <c r="L139" s="16" t="s">
        <v>20</v>
      </c>
      <c r="M139" s="16" t="s">
        <v>91</v>
      </c>
      <c r="N139" s="16" t="s">
        <v>20</v>
      </c>
      <c r="O139" s="16" t="s">
        <v>21</v>
      </c>
      <c r="Q139" s="9">
        <v>8</v>
      </c>
      <c r="R139" s="9">
        <v>1</v>
      </c>
      <c r="S139" s="9">
        <v>14</v>
      </c>
      <c r="T139" s="9">
        <v>1</v>
      </c>
      <c r="U139" s="9">
        <v>2</v>
      </c>
      <c r="W139" s="25">
        <v>1</v>
      </c>
      <c r="X139" s="25">
        <v>1</v>
      </c>
      <c r="Y139" s="25">
        <v>1</v>
      </c>
      <c r="Z139" s="25">
        <v>1</v>
      </c>
      <c r="AA139" s="25">
        <v>1</v>
      </c>
      <c r="AH139" s="5"/>
      <c r="AI139" s="5"/>
      <c r="AO139" s="5"/>
    </row>
    <row r="140" spans="10:41">
      <c r="J140" s="9">
        <v>136</v>
      </c>
      <c r="K140" s="16" t="s">
        <v>136</v>
      </c>
      <c r="L140" s="16" t="s">
        <v>97</v>
      </c>
      <c r="M140" s="16" t="s">
        <v>97</v>
      </c>
      <c r="N140" s="16" t="s">
        <v>37</v>
      </c>
      <c r="O140" s="16" t="s">
        <v>136</v>
      </c>
      <c r="Q140" s="9">
        <v>6</v>
      </c>
      <c r="R140" s="9">
        <v>19</v>
      </c>
      <c r="S140" s="9">
        <v>19</v>
      </c>
      <c r="T140" s="9">
        <v>7</v>
      </c>
      <c r="U140" s="9">
        <v>6</v>
      </c>
      <c r="W140" s="25">
        <v>1</v>
      </c>
      <c r="X140" s="25">
        <v>1</v>
      </c>
      <c r="Y140" s="25">
        <v>1</v>
      </c>
      <c r="Z140" s="25">
        <v>1</v>
      </c>
      <c r="AA140" s="25">
        <v>1</v>
      </c>
      <c r="AH140" s="5"/>
      <c r="AI140" s="5"/>
      <c r="AO140" s="5"/>
    </row>
    <row r="141" spans="10:41">
      <c r="J141" s="25">
        <v>137</v>
      </c>
      <c r="K141" s="16" t="s">
        <v>35</v>
      </c>
      <c r="L141" s="16" t="s">
        <v>19</v>
      </c>
      <c r="M141" s="16" t="s">
        <v>91</v>
      </c>
      <c r="N141" s="16" t="s">
        <v>36</v>
      </c>
      <c r="O141" s="16" t="s">
        <v>36</v>
      </c>
      <c r="Q141" s="9">
        <v>8</v>
      </c>
      <c r="R141" s="9">
        <v>5</v>
      </c>
      <c r="S141" s="9">
        <v>14</v>
      </c>
      <c r="T141" s="9">
        <v>10</v>
      </c>
      <c r="U141" s="9">
        <v>10</v>
      </c>
      <c r="W141" s="25">
        <v>1</v>
      </c>
      <c r="X141" s="25">
        <v>1</v>
      </c>
      <c r="Y141" s="25">
        <v>1</v>
      </c>
      <c r="Z141" s="25">
        <v>1</v>
      </c>
      <c r="AA141" s="25">
        <v>1</v>
      </c>
      <c r="AH141" s="5"/>
      <c r="AI141" s="5"/>
      <c r="AO141" s="5"/>
    </row>
    <row r="142" spans="10:41">
      <c r="J142" s="9">
        <v>138</v>
      </c>
      <c r="K142" s="16" t="s">
        <v>37</v>
      </c>
      <c r="L142" s="16" t="s">
        <v>35</v>
      </c>
      <c r="M142" s="16" t="s">
        <v>137</v>
      </c>
      <c r="N142" s="16" t="s">
        <v>36</v>
      </c>
      <c r="O142" s="16" t="s">
        <v>34</v>
      </c>
      <c r="Q142" s="9">
        <v>7</v>
      </c>
      <c r="R142" s="9">
        <v>8</v>
      </c>
      <c r="S142" s="9">
        <v>15</v>
      </c>
      <c r="T142" s="9">
        <v>10</v>
      </c>
      <c r="U142" s="9">
        <v>9</v>
      </c>
      <c r="W142" s="25">
        <v>1</v>
      </c>
      <c r="X142" s="25">
        <v>1</v>
      </c>
      <c r="Y142" s="25">
        <v>1</v>
      </c>
      <c r="Z142" s="25">
        <v>1</v>
      </c>
      <c r="AA142" s="25">
        <v>1</v>
      </c>
      <c r="AH142" s="5"/>
      <c r="AI142" s="5"/>
      <c r="AO142" s="5"/>
    </row>
    <row r="143" spans="10:41">
      <c r="J143" s="25">
        <v>139</v>
      </c>
      <c r="K143" s="16" t="s">
        <v>22</v>
      </c>
      <c r="L143" s="16" t="s">
        <v>36</v>
      </c>
      <c r="M143" s="16" t="s">
        <v>91</v>
      </c>
      <c r="N143" s="16" t="s">
        <v>18</v>
      </c>
      <c r="O143" s="16" t="s">
        <v>37</v>
      </c>
      <c r="Q143" s="9">
        <v>3</v>
      </c>
      <c r="R143" s="9">
        <v>10</v>
      </c>
      <c r="S143" s="9">
        <v>14</v>
      </c>
      <c r="T143" s="9">
        <v>4</v>
      </c>
      <c r="U143" s="9">
        <v>7</v>
      </c>
      <c r="W143" s="25">
        <v>1</v>
      </c>
      <c r="X143" s="25">
        <v>1</v>
      </c>
      <c r="Y143" s="25">
        <v>1</v>
      </c>
      <c r="Z143" s="25">
        <v>1</v>
      </c>
      <c r="AA143" s="25">
        <v>1</v>
      </c>
      <c r="AH143" s="5"/>
      <c r="AI143" s="5"/>
      <c r="AO143" s="5"/>
    </row>
    <row r="144" spans="10:41">
      <c r="J144" s="9">
        <v>140</v>
      </c>
      <c r="K144" s="16" t="s">
        <v>37</v>
      </c>
      <c r="L144" s="16" t="s">
        <v>119</v>
      </c>
      <c r="M144" s="16" t="s">
        <v>119</v>
      </c>
      <c r="N144" s="16" t="s">
        <v>36</v>
      </c>
      <c r="O144" s="16" t="s">
        <v>18</v>
      </c>
      <c r="Q144" s="9">
        <v>7</v>
      </c>
      <c r="R144" s="9">
        <v>17</v>
      </c>
      <c r="S144" s="9">
        <v>17</v>
      </c>
      <c r="T144" s="9">
        <v>10</v>
      </c>
      <c r="U144" s="9">
        <v>4</v>
      </c>
      <c r="W144" s="25">
        <v>1</v>
      </c>
      <c r="X144" s="25">
        <v>1</v>
      </c>
      <c r="Y144" s="25">
        <v>1</v>
      </c>
      <c r="Z144" s="25">
        <v>1</v>
      </c>
      <c r="AA144" s="25">
        <v>1</v>
      </c>
      <c r="AH144" s="5"/>
      <c r="AI144" s="5"/>
      <c r="AO144" s="5"/>
    </row>
    <row r="145" spans="10:41">
      <c r="J145" s="25">
        <v>141</v>
      </c>
      <c r="K145" s="16" t="s">
        <v>36</v>
      </c>
      <c r="L145" s="16" t="s">
        <v>36</v>
      </c>
      <c r="M145" s="16" t="s">
        <v>92</v>
      </c>
      <c r="N145" s="16" t="s">
        <v>36</v>
      </c>
      <c r="O145" s="16" t="s">
        <v>18</v>
      </c>
      <c r="Q145" s="9">
        <v>10</v>
      </c>
      <c r="R145" s="9">
        <v>10</v>
      </c>
      <c r="S145" s="9">
        <v>16</v>
      </c>
      <c r="T145" s="9">
        <v>10</v>
      </c>
      <c r="U145" s="9">
        <v>4</v>
      </c>
      <c r="W145" s="25">
        <v>1</v>
      </c>
      <c r="X145" s="25">
        <v>1</v>
      </c>
      <c r="Y145" s="25">
        <v>1</v>
      </c>
      <c r="Z145" s="25">
        <v>1</v>
      </c>
      <c r="AA145" s="25">
        <v>1</v>
      </c>
      <c r="AH145" s="5"/>
      <c r="AI145" s="5"/>
      <c r="AO145" s="5"/>
    </row>
    <row r="146" spans="10:41">
      <c r="J146" s="9">
        <v>142</v>
      </c>
      <c r="K146" s="16" t="s">
        <v>37</v>
      </c>
      <c r="L146" s="16" t="s">
        <v>92</v>
      </c>
      <c r="M146" s="16" t="s">
        <v>137</v>
      </c>
      <c r="N146" s="16" t="s">
        <v>36</v>
      </c>
      <c r="O146" s="16" t="s">
        <v>136</v>
      </c>
      <c r="Q146" s="9">
        <v>7</v>
      </c>
      <c r="R146" s="9">
        <v>16</v>
      </c>
      <c r="S146" s="9">
        <v>15</v>
      </c>
      <c r="T146" s="9">
        <v>10</v>
      </c>
      <c r="U146" s="9">
        <v>6</v>
      </c>
      <c r="W146" s="25">
        <v>1</v>
      </c>
      <c r="X146" s="25">
        <v>1</v>
      </c>
      <c r="Y146" s="25">
        <v>1</v>
      </c>
      <c r="Z146" s="25">
        <v>1</v>
      </c>
      <c r="AA146" s="25">
        <v>1</v>
      </c>
      <c r="AH146" s="5"/>
      <c r="AI146" s="5"/>
      <c r="AO146" s="5"/>
    </row>
    <row r="147" spans="10:41">
      <c r="J147" s="25">
        <v>143</v>
      </c>
      <c r="K147" s="16" t="s">
        <v>37</v>
      </c>
      <c r="L147" s="16" t="s">
        <v>21</v>
      </c>
      <c r="M147" s="16" t="s">
        <v>91</v>
      </c>
      <c r="N147" s="16" t="s">
        <v>90</v>
      </c>
      <c r="O147" s="16" t="s">
        <v>18</v>
      </c>
      <c r="Q147" s="9">
        <v>7</v>
      </c>
      <c r="R147" s="9">
        <v>2</v>
      </c>
      <c r="S147" s="9">
        <v>14</v>
      </c>
      <c r="T147" s="9">
        <v>13</v>
      </c>
      <c r="U147" s="9">
        <v>4</v>
      </c>
      <c r="W147" s="25">
        <v>1</v>
      </c>
      <c r="X147" s="25">
        <v>1</v>
      </c>
      <c r="Y147" s="25">
        <v>1</v>
      </c>
      <c r="Z147" s="25">
        <v>1</v>
      </c>
      <c r="AA147" s="25">
        <v>1</v>
      </c>
      <c r="AH147" s="5"/>
      <c r="AI147" s="5"/>
      <c r="AO147" s="5"/>
    </row>
    <row r="148" spans="10:41">
      <c r="J148" s="9">
        <v>144</v>
      </c>
      <c r="K148" s="16" t="s">
        <v>19</v>
      </c>
      <c r="L148" s="16" t="s">
        <v>22</v>
      </c>
      <c r="M148" s="16" t="s">
        <v>137</v>
      </c>
      <c r="N148" s="16" t="s">
        <v>137</v>
      </c>
      <c r="O148" s="16" t="s">
        <v>21</v>
      </c>
      <c r="Q148" s="9">
        <v>5</v>
      </c>
      <c r="R148" s="9">
        <v>3</v>
      </c>
      <c r="S148" s="9">
        <v>15</v>
      </c>
      <c r="T148" s="9">
        <v>15</v>
      </c>
      <c r="U148" s="9">
        <v>2</v>
      </c>
      <c r="W148" s="25">
        <v>1</v>
      </c>
      <c r="X148" s="25">
        <v>1</v>
      </c>
      <c r="Y148" s="25">
        <v>1</v>
      </c>
      <c r="Z148" s="25">
        <v>1</v>
      </c>
      <c r="AA148" s="25">
        <v>1</v>
      </c>
      <c r="AH148" s="5"/>
      <c r="AI148" s="5"/>
      <c r="AO148" s="5"/>
    </row>
    <row r="149" spans="10:41">
      <c r="J149" s="25">
        <v>145</v>
      </c>
      <c r="K149" s="16" t="s">
        <v>37</v>
      </c>
      <c r="L149" s="16" t="s">
        <v>34</v>
      </c>
      <c r="M149" s="16" t="s">
        <v>91</v>
      </c>
      <c r="N149" s="16" t="s">
        <v>119</v>
      </c>
      <c r="O149" s="16" t="s">
        <v>21</v>
      </c>
      <c r="Q149" s="9">
        <v>7</v>
      </c>
      <c r="R149" s="9">
        <v>9</v>
      </c>
      <c r="S149" s="9">
        <v>14</v>
      </c>
      <c r="T149" s="9">
        <v>17</v>
      </c>
      <c r="U149" s="9">
        <v>2</v>
      </c>
      <c r="W149" s="25">
        <v>1</v>
      </c>
      <c r="X149" s="25">
        <v>1</v>
      </c>
      <c r="Y149" s="25">
        <v>1</v>
      </c>
      <c r="Z149" s="25">
        <v>1</v>
      </c>
      <c r="AA149" s="25">
        <v>1</v>
      </c>
      <c r="AH149" s="5"/>
      <c r="AI149" s="5"/>
      <c r="AO149" s="5"/>
    </row>
    <row r="150" spans="10:41">
      <c r="J150" s="9">
        <v>146</v>
      </c>
      <c r="K150" s="16" t="s">
        <v>136</v>
      </c>
      <c r="L150" s="16" t="s">
        <v>37</v>
      </c>
      <c r="M150" s="16" t="s">
        <v>137</v>
      </c>
      <c r="N150" s="16" t="s">
        <v>18</v>
      </c>
      <c r="O150" s="16" t="s">
        <v>36</v>
      </c>
      <c r="Q150" s="9">
        <v>6</v>
      </c>
      <c r="R150" s="9">
        <v>7</v>
      </c>
      <c r="S150" s="9">
        <v>15</v>
      </c>
      <c r="T150" s="9">
        <v>4</v>
      </c>
      <c r="U150" s="9">
        <v>10</v>
      </c>
      <c r="W150" s="25">
        <v>1</v>
      </c>
      <c r="X150" s="25">
        <v>1</v>
      </c>
      <c r="Y150" s="25">
        <v>1</v>
      </c>
      <c r="Z150" s="25">
        <v>1</v>
      </c>
      <c r="AA150" s="25">
        <v>1</v>
      </c>
      <c r="AH150" s="5"/>
      <c r="AI150" s="5"/>
      <c r="AO150" s="5"/>
    </row>
    <row r="151" spans="10:41">
      <c r="J151" s="25">
        <v>147</v>
      </c>
      <c r="K151" s="16" t="s">
        <v>37</v>
      </c>
      <c r="L151" s="16" t="s">
        <v>36</v>
      </c>
      <c r="M151" s="16" t="s">
        <v>91</v>
      </c>
      <c r="N151" s="16" t="s">
        <v>89</v>
      </c>
      <c r="O151" s="16" t="s">
        <v>34</v>
      </c>
      <c r="Q151" s="9">
        <v>7</v>
      </c>
      <c r="R151" s="9">
        <v>10</v>
      </c>
      <c r="S151" s="9">
        <v>14</v>
      </c>
      <c r="T151" s="9">
        <v>12</v>
      </c>
      <c r="U151" s="9">
        <v>9</v>
      </c>
      <c r="W151" s="25">
        <v>1</v>
      </c>
      <c r="X151" s="25">
        <v>1</v>
      </c>
      <c r="Y151" s="25">
        <v>1</v>
      </c>
      <c r="Z151" s="25">
        <v>1</v>
      </c>
      <c r="AA151" s="25">
        <v>1</v>
      </c>
      <c r="AH151" s="5"/>
      <c r="AI151" s="5"/>
      <c r="AO151" s="5"/>
    </row>
    <row r="152" spans="10:41">
      <c r="J152" s="9">
        <v>148</v>
      </c>
      <c r="K152" s="16" t="s">
        <v>37</v>
      </c>
      <c r="L152" s="16" t="s">
        <v>89</v>
      </c>
      <c r="M152" s="16" t="s">
        <v>92</v>
      </c>
      <c r="N152" s="16" t="s">
        <v>36</v>
      </c>
      <c r="O152" s="16" t="s">
        <v>18</v>
      </c>
      <c r="Q152" s="9">
        <v>7</v>
      </c>
      <c r="R152" s="9">
        <v>12</v>
      </c>
      <c r="S152" s="9">
        <v>16</v>
      </c>
      <c r="T152" s="9">
        <v>10</v>
      </c>
      <c r="U152" s="9">
        <v>4</v>
      </c>
      <c r="W152" s="25">
        <v>1</v>
      </c>
      <c r="X152" s="25">
        <v>1</v>
      </c>
      <c r="Y152" s="25">
        <v>1</v>
      </c>
      <c r="Z152" s="25">
        <v>1</v>
      </c>
      <c r="AA152" s="25">
        <v>1</v>
      </c>
      <c r="AH152" s="5"/>
      <c r="AI152" s="5"/>
      <c r="AO152" s="5"/>
    </row>
    <row r="153" spans="10:41">
      <c r="J153" s="25">
        <v>149</v>
      </c>
      <c r="K153" s="16" t="s">
        <v>136</v>
      </c>
      <c r="L153" s="16" t="s">
        <v>136</v>
      </c>
      <c r="M153" s="16" t="s">
        <v>137</v>
      </c>
      <c r="N153" s="16" t="s">
        <v>37</v>
      </c>
      <c r="O153" s="16" t="s">
        <v>21</v>
      </c>
      <c r="Q153" s="9">
        <v>6</v>
      </c>
      <c r="R153" s="9">
        <v>6</v>
      </c>
      <c r="S153" s="9">
        <v>15</v>
      </c>
      <c r="T153" s="9">
        <v>7</v>
      </c>
      <c r="U153" s="9">
        <v>2</v>
      </c>
      <c r="W153" s="25">
        <v>1</v>
      </c>
      <c r="X153" s="25">
        <v>1</v>
      </c>
      <c r="Y153" s="25">
        <v>1</v>
      </c>
      <c r="Z153" s="25">
        <v>1</v>
      </c>
      <c r="AA153" s="25">
        <v>1</v>
      </c>
      <c r="AH153" s="5"/>
      <c r="AI153" s="5"/>
      <c r="AO153" s="5"/>
    </row>
    <row r="154" spans="10:41">
      <c r="J154" s="9">
        <v>150</v>
      </c>
      <c r="K154" s="16" t="s">
        <v>37</v>
      </c>
      <c r="L154" s="16" t="s">
        <v>97</v>
      </c>
      <c r="M154" s="16" t="s">
        <v>119</v>
      </c>
      <c r="N154" s="16" t="s">
        <v>34</v>
      </c>
      <c r="O154" s="16" t="s">
        <v>22</v>
      </c>
      <c r="Q154" s="9">
        <v>7</v>
      </c>
      <c r="R154" s="9">
        <v>19</v>
      </c>
      <c r="S154" s="9">
        <v>17</v>
      </c>
      <c r="T154" s="9">
        <v>9</v>
      </c>
      <c r="U154" s="9">
        <v>3</v>
      </c>
      <c r="W154" s="25">
        <v>1</v>
      </c>
      <c r="X154" s="25">
        <v>1</v>
      </c>
      <c r="Y154" s="25">
        <v>1</v>
      </c>
      <c r="Z154" s="25">
        <v>1</v>
      </c>
      <c r="AA154" s="25">
        <v>1</v>
      </c>
      <c r="AH154" s="5"/>
      <c r="AI154" s="5"/>
      <c r="AO154" s="5"/>
    </row>
    <row r="155" spans="10:41">
      <c r="J155" s="25">
        <v>151</v>
      </c>
      <c r="K155" s="16" t="s">
        <v>19</v>
      </c>
      <c r="L155" s="16" t="s">
        <v>35</v>
      </c>
      <c r="M155" s="16" t="s">
        <v>137</v>
      </c>
      <c r="N155" s="16" t="s">
        <v>21</v>
      </c>
      <c r="O155" s="16" t="s">
        <v>36</v>
      </c>
      <c r="Q155" s="9">
        <v>5</v>
      </c>
      <c r="R155" s="9">
        <v>8</v>
      </c>
      <c r="S155" s="9">
        <v>15</v>
      </c>
      <c r="T155" s="9">
        <v>2</v>
      </c>
      <c r="U155" s="9">
        <v>10</v>
      </c>
      <c r="W155" s="25">
        <v>1</v>
      </c>
      <c r="X155" s="25">
        <v>1</v>
      </c>
      <c r="Y155" s="25">
        <v>1</v>
      </c>
      <c r="Z155" s="25">
        <v>1</v>
      </c>
      <c r="AA155" s="25">
        <v>1</v>
      </c>
      <c r="AH155" s="5"/>
      <c r="AI155" s="5"/>
      <c r="AO155" s="5"/>
    </row>
    <row r="156" spans="10:41">
      <c r="J156" s="9">
        <v>152</v>
      </c>
      <c r="K156" s="16" t="s">
        <v>37</v>
      </c>
      <c r="L156" s="16" t="s">
        <v>21</v>
      </c>
      <c r="M156" s="16" t="s">
        <v>119</v>
      </c>
      <c r="N156" s="16" t="s">
        <v>20</v>
      </c>
      <c r="O156" s="16" t="s">
        <v>34</v>
      </c>
      <c r="Q156" s="9">
        <v>7</v>
      </c>
      <c r="R156" s="9">
        <v>2</v>
      </c>
      <c r="S156" s="9">
        <v>17</v>
      </c>
      <c r="T156" s="9">
        <v>1</v>
      </c>
      <c r="U156" s="9">
        <v>9</v>
      </c>
      <c r="W156" s="25">
        <v>1</v>
      </c>
      <c r="X156" s="25">
        <v>1</v>
      </c>
      <c r="Y156" s="25">
        <v>1</v>
      </c>
      <c r="Z156" s="25">
        <v>1</v>
      </c>
      <c r="AA156" s="25">
        <v>1</v>
      </c>
      <c r="AH156" s="5"/>
      <c r="AI156" s="5"/>
      <c r="AO156" s="5"/>
    </row>
    <row r="157" spans="10:41">
      <c r="J157" s="25">
        <v>153</v>
      </c>
      <c r="K157" s="16" t="s">
        <v>136</v>
      </c>
      <c r="L157" s="16" t="s">
        <v>37</v>
      </c>
      <c r="M157" s="16" t="s">
        <v>137</v>
      </c>
      <c r="N157" s="16" t="s">
        <v>22</v>
      </c>
      <c r="O157" s="16" t="s">
        <v>18</v>
      </c>
      <c r="Q157" s="9">
        <v>6</v>
      </c>
      <c r="R157" s="9">
        <v>7</v>
      </c>
      <c r="S157" s="9">
        <v>15</v>
      </c>
      <c r="T157" s="9">
        <v>3</v>
      </c>
      <c r="U157" s="9">
        <v>4</v>
      </c>
      <c r="W157" s="25">
        <v>1</v>
      </c>
      <c r="X157" s="25">
        <v>1</v>
      </c>
      <c r="Y157" s="25">
        <v>1</v>
      </c>
      <c r="Z157" s="25">
        <v>1</v>
      </c>
      <c r="AA157" s="25">
        <v>1</v>
      </c>
      <c r="AH157" s="5"/>
      <c r="AI157" s="5"/>
      <c r="AO157" s="5"/>
    </row>
    <row r="158" spans="10:41">
      <c r="J158" s="9">
        <v>154</v>
      </c>
      <c r="K158" s="16" t="s">
        <v>19</v>
      </c>
      <c r="L158" s="16" t="s">
        <v>136</v>
      </c>
      <c r="M158" s="16" t="s">
        <v>92</v>
      </c>
      <c r="N158" s="16" t="s">
        <v>19</v>
      </c>
      <c r="O158" s="16" t="s">
        <v>136</v>
      </c>
      <c r="Q158" s="9">
        <v>5</v>
      </c>
      <c r="R158" s="9">
        <v>6</v>
      </c>
      <c r="S158" s="9">
        <v>16</v>
      </c>
      <c r="T158" s="9">
        <v>5</v>
      </c>
      <c r="U158" s="9">
        <v>6</v>
      </c>
      <c r="W158" s="25">
        <v>1</v>
      </c>
      <c r="X158" s="25">
        <v>1</v>
      </c>
      <c r="Y158" s="25">
        <v>1</v>
      </c>
      <c r="Z158" s="25">
        <v>1</v>
      </c>
      <c r="AA158" s="25">
        <v>1</v>
      </c>
      <c r="AH158" s="5"/>
      <c r="AI158" s="5"/>
      <c r="AO158" s="5"/>
    </row>
    <row r="159" spans="10:41">
      <c r="J159" s="25">
        <v>155</v>
      </c>
      <c r="K159" s="16" t="s">
        <v>35</v>
      </c>
      <c r="L159" s="16" t="s">
        <v>95</v>
      </c>
      <c r="M159" s="16" t="s">
        <v>119</v>
      </c>
      <c r="N159" s="16" t="s">
        <v>34</v>
      </c>
      <c r="O159" s="16" t="s">
        <v>21</v>
      </c>
      <c r="Q159" s="9">
        <v>8</v>
      </c>
      <c r="R159" s="9">
        <v>18</v>
      </c>
      <c r="S159" s="9">
        <v>17</v>
      </c>
      <c r="T159" s="9">
        <v>9</v>
      </c>
      <c r="U159" s="9">
        <v>2</v>
      </c>
      <c r="W159" s="25">
        <v>1</v>
      </c>
      <c r="X159" s="25">
        <v>1</v>
      </c>
      <c r="Y159" s="25">
        <v>1</v>
      </c>
      <c r="Z159" s="25">
        <v>1</v>
      </c>
      <c r="AA159" s="25">
        <v>1</v>
      </c>
      <c r="AH159" s="5"/>
      <c r="AI159" s="5"/>
      <c r="AO159" s="5"/>
    </row>
    <row r="160" spans="10:41">
      <c r="J160" s="9">
        <v>156</v>
      </c>
      <c r="K160" s="16" t="s">
        <v>19</v>
      </c>
      <c r="L160" s="16" t="s">
        <v>119</v>
      </c>
      <c r="M160" s="16" t="s">
        <v>92</v>
      </c>
      <c r="N160" s="16" t="s">
        <v>34</v>
      </c>
      <c r="O160" s="16" t="s">
        <v>136</v>
      </c>
      <c r="Q160" s="9">
        <v>5</v>
      </c>
      <c r="R160" s="9">
        <v>17</v>
      </c>
      <c r="S160" s="9">
        <v>16</v>
      </c>
      <c r="T160" s="9">
        <v>9</v>
      </c>
      <c r="U160" s="9">
        <v>6</v>
      </c>
      <c r="W160" s="25">
        <v>1</v>
      </c>
      <c r="X160" s="25">
        <v>1</v>
      </c>
      <c r="Y160" s="25">
        <v>1</v>
      </c>
      <c r="Z160" s="25">
        <v>1</v>
      </c>
      <c r="AA160" s="25">
        <v>1</v>
      </c>
      <c r="AH160" s="5"/>
      <c r="AI160" s="5"/>
      <c r="AO160" s="5"/>
    </row>
    <row r="161" spans="10:41">
      <c r="J161" s="25">
        <v>157</v>
      </c>
      <c r="K161" s="16" t="s">
        <v>35</v>
      </c>
      <c r="L161" s="16" t="s">
        <v>22</v>
      </c>
      <c r="M161" s="16" t="s">
        <v>119</v>
      </c>
      <c r="N161" s="16" t="s">
        <v>18</v>
      </c>
      <c r="O161" s="16" t="s">
        <v>19</v>
      </c>
      <c r="Q161" s="9">
        <v>8</v>
      </c>
      <c r="R161" s="9">
        <v>3</v>
      </c>
      <c r="S161" s="9">
        <v>17</v>
      </c>
      <c r="T161" s="9">
        <v>4</v>
      </c>
      <c r="U161" s="9">
        <v>5</v>
      </c>
      <c r="W161" s="25">
        <v>1</v>
      </c>
      <c r="X161" s="25">
        <v>1</v>
      </c>
      <c r="Y161" s="25">
        <v>1</v>
      </c>
      <c r="Z161" s="25">
        <v>1</v>
      </c>
      <c r="AA161" s="25">
        <v>1</v>
      </c>
      <c r="AH161" s="5"/>
      <c r="AI161" s="5"/>
      <c r="AO161" s="5"/>
    </row>
    <row r="162" spans="10:41">
      <c r="J162" s="9">
        <v>158</v>
      </c>
      <c r="K162" s="16" t="s">
        <v>37</v>
      </c>
      <c r="L162" s="16" t="s">
        <v>88</v>
      </c>
      <c r="M162" s="16" t="s">
        <v>92</v>
      </c>
      <c r="N162" s="16" t="s">
        <v>89</v>
      </c>
      <c r="O162" s="16" t="s">
        <v>19</v>
      </c>
      <c r="Q162" s="9">
        <v>7</v>
      </c>
      <c r="R162" s="9">
        <v>11</v>
      </c>
      <c r="S162" s="9">
        <v>16</v>
      </c>
      <c r="T162" s="9">
        <v>12</v>
      </c>
      <c r="U162" s="9">
        <v>5</v>
      </c>
      <c r="W162" s="25">
        <v>1</v>
      </c>
      <c r="X162" s="25">
        <v>1</v>
      </c>
      <c r="Y162" s="25">
        <v>1</v>
      </c>
      <c r="Z162" s="25">
        <v>1</v>
      </c>
      <c r="AA162" s="25">
        <v>1</v>
      </c>
      <c r="AH162" s="5"/>
      <c r="AI162" s="5"/>
      <c r="AO162" s="5"/>
    </row>
    <row r="163" spans="10:41">
      <c r="J163" s="25">
        <v>159</v>
      </c>
      <c r="K163" s="16" t="s">
        <v>136</v>
      </c>
      <c r="L163" s="16" t="s">
        <v>37</v>
      </c>
      <c r="M163" s="16" t="s">
        <v>119</v>
      </c>
      <c r="N163" s="16" t="s">
        <v>19</v>
      </c>
      <c r="O163" s="16" t="s">
        <v>36</v>
      </c>
      <c r="Q163" s="9">
        <v>6</v>
      </c>
      <c r="R163" s="9">
        <v>7</v>
      </c>
      <c r="S163" s="9">
        <v>17</v>
      </c>
      <c r="T163" s="9">
        <v>5</v>
      </c>
      <c r="U163" s="9">
        <v>10</v>
      </c>
      <c r="W163" s="25">
        <v>1</v>
      </c>
      <c r="X163" s="25">
        <v>1</v>
      </c>
      <c r="Y163" s="25">
        <v>1</v>
      </c>
      <c r="Z163" s="25">
        <v>1</v>
      </c>
      <c r="AA163" s="25">
        <v>1</v>
      </c>
      <c r="AH163" s="5"/>
      <c r="AI163" s="5"/>
      <c r="AO163" s="5"/>
    </row>
    <row r="164" spans="10:41">
      <c r="J164" s="9">
        <v>160</v>
      </c>
      <c r="K164" s="16" t="s">
        <v>19</v>
      </c>
      <c r="L164" s="16" t="s">
        <v>37</v>
      </c>
      <c r="M164" s="16" t="s">
        <v>91</v>
      </c>
      <c r="N164" s="16" t="s">
        <v>21</v>
      </c>
      <c r="O164" s="16" t="s">
        <v>22</v>
      </c>
      <c r="Q164" s="9">
        <v>5</v>
      </c>
      <c r="R164" s="9">
        <v>7</v>
      </c>
      <c r="S164" s="9">
        <v>14</v>
      </c>
      <c r="T164" s="9">
        <v>2</v>
      </c>
      <c r="U164" s="9">
        <v>3</v>
      </c>
      <c r="W164" s="25">
        <v>1</v>
      </c>
      <c r="X164" s="25">
        <v>1</v>
      </c>
      <c r="Y164" s="25">
        <v>1</v>
      </c>
      <c r="Z164" s="25">
        <v>1</v>
      </c>
      <c r="AA164" s="25">
        <v>1</v>
      </c>
      <c r="AH164" s="5"/>
      <c r="AI164" s="5"/>
      <c r="AO164" s="5"/>
    </row>
    <row r="165" spans="10:41">
      <c r="J165" s="25">
        <v>161</v>
      </c>
      <c r="K165" s="16" t="s">
        <v>35</v>
      </c>
      <c r="L165" s="16" t="s">
        <v>37</v>
      </c>
      <c r="M165" s="16" t="s">
        <v>119</v>
      </c>
      <c r="N165" s="16" t="s">
        <v>35</v>
      </c>
      <c r="O165" s="16" t="s">
        <v>35</v>
      </c>
      <c r="Q165" s="9">
        <v>8</v>
      </c>
      <c r="R165" s="9">
        <v>7</v>
      </c>
      <c r="S165" s="9">
        <v>17</v>
      </c>
      <c r="T165" s="9">
        <v>8</v>
      </c>
      <c r="U165" s="9">
        <v>8</v>
      </c>
      <c r="W165" s="25">
        <v>1</v>
      </c>
      <c r="X165" s="25">
        <v>1</v>
      </c>
      <c r="Y165" s="25">
        <v>1</v>
      </c>
      <c r="Z165" s="25">
        <v>1</v>
      </c>
      <c r="AA165" s="25">
        <v>1</v>
      </c>
      <c r="AH165" s="5"/>
      <c r="AI165" s="5"/>
      <c r="AO165" s="5"/>
    </row>
    <row r="166" spans="10:41">
      <c r="J166" s="9">
        <v>162</v>
      </c>
      <c r="K166" s="16" t="s">
        <v>37</v>
      </c>
      <c r="L166" s="16" t="s">
        <v>34</v>
      </c>
      <c r="M166" s="16" t="s">
        <v>91</v>
      </c>
      <c r="N166" s="16" t="s">
        <v>22</v>
      </c>
      <c r="O166" s="16" t="s">
        <v>22</v>
      </c>
      <c r="Q166" s="9">
        <v>7</v>
      </c>
      <c r="R166" s="9">
        <v>9</v>
      </c>
      <c r="S166" s="9">
        <v>14</v>
      </c>
      <c r="T166" s="9">
        <v>3</v>
      </c>
      <c r="U166" s="9">
        <v>3</v>
      </c>
      <c r="W166" s="25">
        <v>1</v>
      </c>
      <c r="X166" s="25">
        <v>1</v>
      </c>
      <c r="Y166" s="25">
        <v>1</v>
      </c>
      <c r="Z166" s="25">
        <v>1</v>
      </c>
      <c r="AA166" s="25">
        <v>1</v>
      </c>
      <c r="AH166" s="5"/>
      <c r="AI166" s="5"/>
      <c r="AO166" s="5"/>
    </row>
    <row r="167" spans="10:41">
      <c r="J167" s="25">
        <v>163</v>
      </c>
      <c r="K167" s="16" t="s">
        <v>35</v>
      </c>
      <c r="L167" s="16" t="s">
        <v>35</v>
      </c>
      <c r="M167" s="16" t="s">
        <v>92</v>
      </c>
      <c r="N167" s="16" t="s">
        <v>19</v>
      </c>
      <c r="O167" s="16" t="s">
        <v>22</v>
      </c>
      <c r="Q167" s="9">
        <v>8</v>
      </c>
      <c r="R167" s="9">
        <v>8</v>
      </c>
      <c r="S167" s="9">
        <v>16</v>
      </c>
      <c r="T167" s="9">
        <v>5</v>
      </c>
      <c r="U167" s="9">
        <v>3</v>
      </c>
      <c r="W167" s="25">
        <v>1</v>
      </c>
      <c r="X167" s="25">
        <v>1</v>
      </c>
      <c r="Y167" s="25">
        <v>1</v>
      </c>
      <c r="Z167" s="25">
        <v>1</v>
      </c>
      <c r="AA167" s="25">
        <v>1</v>
      </c>
      <c r="AH167" s="5"/>
      <c r="AI167" s="5"/>
      <c r="AO167" s="5"/>
    </row>
    <row r="168" spans="10:41">
      <c r="J168" s="9">
        <v>164</v>
      </c>
      <c r="K168" s="16" t="s">
        <v>19</v>
      </c>
      <c r="L168" s="16" t="s">
        <v>19</v>
      </c>
      <c r="M168" s="16" t="s">
        <v>119</v>
      </c>
      <c r="N168" s="16" t="s">
        <v>91</v>
      </c>
      <c r="O168" s="16" t="s">
        <v>36</v>
      </c>
      <c r="Q168" s="9">
        <v>5</v>
      </c>
      <c r="R168" s="9">
        <v>5</v>
      </c>
      <c r="S168" s="9">
        <v>17</v>
      </c>
      <c r="T168" s="9">
        <v>14</v>
      </c>
      <c r="U168" s="9">
        <v>10</v>
      </c>
      <c r="W168" s="25">
        <v>1</v>
      </c>
      <c r="X168" s="25">
        <v>1</v>
      </c>
      <c r="Y168" s="25">
        <v>1</v>
      </c>
      <c r="Z168" s="25">
        <v>1</v>
      </c>
      <c r="AA168" s="25">
        <v>1</v>
      </c>
      <c r="AH168" s="5"/>
      <c r="AI168" s="5"/>
      <c r="AO168" s="5"/>
    </row>
    <row r="169" spans="10:41">
      <c r="J169" s="25">
        <v>165</v>
      </c>
      <c r="K169" s="16" t="s">
        <v>19</v>
      </c>
      <c r="L169" s="16" t="s">
        <v>37</v>
      </c>
      <c r="M169" s="16" t="s">
        <v>92</v>
      </c>
      <c r="N169" s="16" t="s">
        <v>36</v>
      </c>
      <c r="O169" s="16" t="s">
        <v>22</v>
      </c>
      <c r="Q169" s="9">
        <v>5</v>
      </c>
      <c r="R169" s="9">
        <v>7</v>
      </c>
      <c r="S169" s="9">
        <v>16</v>
      </c>
      <c r="T169" s="9">
        <v>10</v>
      </c>
      <c r="U169" s="9">
        <v>3</v>
      </c>
      <c r="W169" s="25">
        <v>1</v>
      </c>
      <c r="X169" s="25">
        <v>1</v>
      </c>
      <c r="Y169" s="25">
        <v>1</v>
      </c>
      <c r="Z169" s="25">
        <v>1</v>
      </c>
      <c r="AA169" s="25">
        <v>1</v>
      </c>
      <c r="AH169" s="5"/>
      <c r="AI169" s="5"/>
      <c r="AO169" s="5"/>
    </row>
    <row r="170" spans="10:41">
      <c r="J170" s="9">
        <v>166</v>
      </c>
      <c r="K170" s="16" t="s">
        <v>136</v>
      </c>
      <c r="L170" s="16" t="s">
        <v>18</v>
      </c>
      <c r="M170" s="16" t="s">
        <v>91</v>
      </c>
      <c r="N170" s="16" t="s">
        <v>92</v>
      </c>
      <c r="O170" s="16" t="s">
        <v>136</v>
      </c>
      <c r="Q170" s="9">
        <v>6</v>
      </c>
      <c r="R170" s="9">
        <v>4</v>
      </c>
      <c r="S170" s="9">
        <v>14</v>
      </c>
      <c r="T170" s="9">
        <v>16</v>
      </c>
      <c r="U170" s="9">
        <v>6</v>
      </c>
      <c r="W170" s="25">
        <v>1</v>
      </c>
      <c r="X170" s="25">
        <v>1</v>
      </c>
      <c r="Y170" s="25">
        <v>1</v>
      </c>
      <c r="Z170" s="25">
        <v>1</v>
      </c>
      <c r="AA170" s="25">
        <v>1</v>
      </c>
      <c r="AH170" s="5"/>
      <c r="AI170" s="5"/>
      <c r="AO170" s="5"/>
    </row>
    <row r="171" spans="10:41">
      <c r="J171" s="25">
        <v>167</v>
      </c>
      <c r="K171" s="16" t="s">
        <v>35</v>
      </c>
      <c r="L171" s="16" t="s">
        <v>35</v>
      </c>
      <c r="M171" s="16" t="s">
        <v>92</v>
      </c>
      <c r="N171" s="16" t="s">
        <v>34</v>
      </c>
      <c r="O171" s="16" t="s">
        <v>18</v>
      </c>
      <c r="Q171" s="9">
        <v>8</v>
      </c>
      <c r="R171" s="9">
        <v>8</v>
      </c>
      <c r="S171" s="9">
        <v>16</v>
      </c>
      <c r="T171" s="9">
        <v>9</v>
      </c>
      <c r="U171" s="9">
        <v>4</v>
      </c>
      <c r="W171" s="25">
        <v>1</v>
      </c>
      <c r="X171" s="25">
        <v>1</v>
      </c>
      <c r="Y171" s="25">
        <v>1</v>
      </c>
      <c r="Z171" s="25">
        <v>1</v>
      </c>
      <c r="AA171" s="25">
        <v>1</v>
      </c>
      <c r="AH171" s="5"/>
      <c r="AI171" s="5"/>
      <c r="AO171" s="5"/>
    </row>
    <row r="172" spans="10:41">
      <c r="J172" s="9">
        <v>168</v>
      </c>
      <c r="K172" s="16" t="s">
        <v>136</v>
      </c>
      <c r="L172" s="16" t="s">
        <v>119</v>
      </c>
      <c r="M172" s="16" t="s">
        <v>119</v>
      </c>
      <c r="N172" s="16" t="s">
        <v>21</v>
      </c>
      <c r="O172" s="16" t="s">
        <v>34</v>
      </c>
      <c r="Q172" s="9">
        <v>6</v>
      </c>
      <c r="R172" s="9">
        <v>17</v>
      </c>
      <c r="S172" s="9">
        <v>17</v>
      </c>
      <c r="T172" s="9">
        <v>2</v>
      </c>
      <c r="U172" s="9">
        <v>9</v>
      </c>
      <c r="W172" s="25">
        <v>1</v>
      </c>
      <c r="X172" s="25">
        <v>1</v>
      </c>
      <c r="Y172" s="25">
        <v>1</v>
      </c>
      <c r="Z172" s="25">
        <v>1</v>
      </c>
      <c r="AA172" s="25">
        <v>1</v>
      </c>
      <c r="AH172" s="5"/>
      <c r="AI172" s="5"/>
      <c r="AO172" s="5"/>
    </row>
    <row r="173" spans="10:41">
      <c r="J173" s="25">
        <v>169</v>
      </c>
      <c r="K173" s="16" t="s">
        <v>136</v>
      </c>
      <c r="L173" s="16" t="s">
        <v>136</v>
      </c>
      <c r="M173" s="16" t="s">
        <v>137</v>
      </c>
      <c r="N173" s="16" t="s">
        <v>34</v>
      </c>
      <c r="O173" s="16" t="s">
        <v>18</v>
      </c>
      <c r="Q173" s="9">
        <v>6</v>
      </c>
      <c r="R173" s="9">
        <v>6</v>
      </c>
      <c r="S173" s="9">
        <v>15</v>
      </c>
      <c r="T173" s="9">
        <v>9</v>
      </c>
      <c r="U173" s="9">
        <v>4</v>
      </c>
      <c r="W173" s="25">
        <v>1</v>
      </c>
      <c r="X173" s="25">
        <v>1</v>
      </c>
      <c r="Y173" s="25">
        <v>1</v>
      </c>
      <c r="Z173" s="25">
        <v>1</v>
      </c>
      <c r="AA173" s="25">
        <v>1</v>
      </c>
      <c r="AH173" s="5"/>
      <c r="AI173" s="5"/>
      <c r="AO173" s="5"/>
    </row>
    <row r="174" spans="10:41">
      <c r="J174" s="9">
        <v>170</v>
      </c>
      <c r="K174" s="16" t="s">
        <v>35</v>
      </c>
      <c r="L174" s="16" t="s">
        <v>90</v>
      </c>
      <c r="M174" s="16" t="s">
        <v>119</v>
      </c>
      <c r="N174" s="16" t="s">
        <v>36</v>
      </c>
      <c r="O174" s="16" t="s">
        <v>37</v>
      </c>
      <c r="Q174" s="9">
        <v>8</v>
      </c>
      <c r="R174" s="9">
        <v>13</v>
      </c>
      <c r="S174" s="9">
        <v>17</v>
      </c>
      <c r="T174" s="9">
        <v>10</v>
      </c>
      <c r="U174" s="9">
        <v>7</v>
      </c>
      <c r="W174" s="25">
        <v>1</v>
      </c>
      <c r="X174" s="25">
        <v>1</v>
      </c>
      <c r="Y174" s="25">
        <v>1</v>
      </c>
      <c r="Z174" s="25">
        <v>1</v>
      </c>
      <c r="AA174" s="25">
        <v>1</v>
      </c>
      <c r="AH174" s="5"/>
      <c r="AI174" s="5"/>
      <c r="AO174" s="5"/>
    </row>
    <row r="175" spans="10:41">
      <c r="J175" s="25">
        <v>171</v>
      </c>
      <c r="K175" s="16" t="s">
        <v>35</v>
      </c>
      <c r="L175" s="16" t="s">
        <v>119</v>
      </c>
      <c r="M175" s="16" t="s">
        <v>91</v>
      </c>
      <c r="N175" s="16" t="s">
        <v>18</v>
      </c>
      <c r="O175" s="16" t="s">
        <v>21</v>
      </c>
      <c r="Q175" s="9">
        <v>8</v>
      </c>
      <c r="R175" s="9">
        <v>17</v>
      </c>
      <c r="S175" s="9">
        <v>14</v>
      </c>
      <c r="T175" s="9">
        <v>4</v>
      </c>
      <c r="U175" s="9">
        <v>2</v>
      </c>
      <c r="W175" s="25">
        <v>1</v>
      </c>
      <c r="X175" s="25">
        <v>1</v>
      </c>
      <c r="Y175" s="25">
        <v>1</v>
      </c>
      <c r="Z175" s="25">
        <v>1</v>
      </c>
      <c r="AA175" s="25">
        <v>1</v>
      </c>
      <c r="AH175" s="5"/>
      <c r="AI175" s="5"/>
      <c r="AO175" s="5"/>
    </row>
    <row r="176" spans="10:41">
      <c r="J176" s="9">
        <v>172</v>
      </c>
      <c r="K176" s="16" t="s">
        <v>35</v>
      </c>
      <c r="L176" s="16" t="s">
        <v>136</v>
      </c>
      <c r="M176" s="16" t="s">
        <v>119</v>
      </c>
      <c r="N176" s="16" t="s">
        <v>95</v>
      </c>
      <c r="O176" s="16" t="s">
        <v>34</v>
      </c>
      <c r="Q176" s="9">
        <v>8</v>
      </c>
      <c r="R176" s="9">
        <v>6</v>
      </c>
      <c r="S176" s="9">
        <v>17</v>
      </c>
      <c r="T176" s="9">
        <v>18</v>
      </c>
      <c r="U176" s="9">
        <v>9</v>
      </c>
      <c r="W176" s="25">
        <v>1</v>
      </c>
      <c r="X176" s="25">
        <v>1</v>
      </c>
      <c r="Y176" s="25">
        <v>1</v>
      </c>
      <c r="Z176" s="25">
        <v>1</v>
      </c>
      <c r="AA176" s="25">
        <v>1</v>
      </c>
      <c r="AH176" s="5"/>
      <c r="AI176" s="5"/>
      <c r="AO176" s="5"/>
    </row>
    <row r="177" spans="10:41">
      <c r="J177" s="25">
        <v>173</v>
      </c>
      <c r="K177" s="16" t="s">
        <v>37</v>
      </c>
      <c r="L177" s="16" t="s">
        <v>21</v>
      </c>
      <c r="M177" s="16" t="s">
        <v>137</v>
      </c>
      <c r="N177" s="16" t="s">
        <v>22</v>
      </c>
      <c r="O177" s="16" t="s">
        <v>136</v>
      </c>
      <c r="Q177" s="9">
        <v>7</v>
      </c>
      <c r="R177" s="9">
        <v>2</v>
      </c>
      <c r="S177" s="9">
        <v>15</v>
      </c>
      <c r="T177" s="9">
        <v>3</v>
      </c>
      <c r="U177" s="9">
        <v>6</v>
      </c>
      <c r="W177" s="25">
        <v>1</v>
      </c>
      <c r="X177" s="25">
        <v>1</v>
      </c>
      <c r="Y177" s="25">
        <v>1</v>
      </c>
      <c r="Z177" s="25">
        <v>1</v>
      </c>
      <c r="AA177" s="25">
        <v>1</v>
      </c>
      <c r="AH177" s="5"/>
      <c r="AI177" s="5"/>
      <c r="AO177" s="5"/>
    </row>
    <row r="178" spans="10:41">
      <c r="J178" s="9">
        <v>174</v>
      </c>
      <c r="K178" s="16" t="s">
        <v>37</v>
      </c>
      <c r="L178" s="16" t="s">
        <v>19</v>
      </c>
      <c r="M178" s="16" t="s">
        <v>92</v>
      </c>
      <c r="N178" s="16" t="s">
        <v>34</v>
      </c>
      <c r="O178" s="16" t="s">
        <v>136</v>
      </c>
      <c r="Q178" s="9">
        <v>7</v>
      </c>
      <c r="R178" s="9">
        <v>5</v>
      </c>
      <c r="S178" s="9">
        <v>16</v>
      </c>
      <c r="T178" s="9">
        <v>9</v>
      </c>
      <c r="U178" s="9">
        <v>6</v>
      </c>
      <c r="W178" s="25">
        <v>1</v>
      </c>
      <c r="X178" s="25">
        <v>1</v>
      </c>
      <c r="Y178" s="25">
        <v>1</v>
      </c>
      <c r="Z178" s="25">
        <v>1</v>
      </c>
      <c r="AA178" s="25">
        <v>1</v>
      </c>
      <c r="AH178" s="5"/>
      <c r="AI178" s="5"/>
      <c r="AO178" s="5"/>
    </row>
    <row r="179" spans="10:41">
      <c r="J179" s="25">
        <v>175</v>
      </c>
      <c r="K179" s="16" t="s">
        <v>136</v>
      </c>
      <c r="L179" s="16" t="s">
        <v>37</v>
      </c>
      <c r="M179" s="16" t="s">
        <v>90</v>
      </c>
      <c r="N179" s="16" t="s">
        <v>21</v>
      </c>
      <c r="O179" s="16" t="s">
        <v>18</v>
      </c>
      <c r="Q179" s="9">
        <v>6</v>
      </c>
      <c r="R179" s="9">
        <v>7</v>
      </c>
      <c r="S179" s="9">
        <v>13</v>
      </c>
      <c r="T179" s="9">
        <v>2</v>
      </c>
      <c r="U179" s="9">
        <v>4</v>
      </c>
      <c r="W179" s="25">
        <v>1</v>
      </c>
      <c r="X179" s="25">
        <v>1</v>
      </c>
      <c r="Y179" s="25">
        <v>1</v>
      </c>
      <c r="Z179" s="25">
        <v>1</v>
      </c>
      <c r="AA179" s="25">
        <v>1</v>
      </c>
      <c r="AH179" s="5"/>
      <c r="AI179" s="5"/>
      <c r="AO179" s="5"/>
    </row>
    <row r="180" spans="10:41">
      <c r="J180" s="9">
        <v>176</v>
      </c>
      <c r="K180" s="16" t="s">
        <v>136</v>
      </c>
      <c r="L180" s="16" t="s">
        <v>35</v>
      </c>
      <c r="M180" s="16" t="s">
        <v>119</v>
      </c>
      <c r="N180" s="16" t="s">
        <v>34</v>
      </c>
      <c r="O180" s="16" t="s">
        <v>18</v>
      </c>
      <c r="Q180" s="9">
        <v>6</v>
      </c>
      <c r="R180" s="9">
        <v>8</v>
      </c>
      <c r="S180" s="9">
        <v>17</v>
      </c>
      <c r="T180" s="9">
        <v>9</v>
      </c>
      <c r="U180" s="9">
        <v>4</v>
      </c>
      <c r="W180" s="25">
        <v>1</v>
      </c>
      <c r="X180" s="25">
        <v>1</v>
      </c>
      <c r="Y180" s="25">
        <v>1</v>
      </c>
      <c r="Z180" s="25">
        <v>1</v>
      </c>
      <c r="AA180" s="25">
        <v>1</v>
      </c>
      <c r="AH180" s="5"/>
      <c r="AI180" s="5"/>
      <c r="AO180" s="5"/>
    </row>
    <row r="181" spans="10:41">
      <c r="J181" s="25">
        <v>177</v>
      </c>
      <c r="K181" s="16" t="s">
        <v>19</v>
      </c>
      <c r="L181" s="16" t="s">
        <v>95</v>
      </c>
      <c r="M181" s="16" t="s">
        <v>89</v>
      </c>
      <c r="N181" s="16" t="s">
        <v>35</v>
      </c>
      <c r="O181" s="16" t="s">
        <v>35</v>
      </c>
      <c r="Q181" s="9">
        <v>5</v>
      </c>
      <c r="R181" s="9">
        <v>18</v>
      </c>
      <c r="S181" s="9">
        <v>12</v>
      </c>
      <c r="T181" s="9">
        <v>8</v>
      </c>
      <c r="U181" s="9">
        <v>8</v>
      </c>
      <c r="W181" s="25">
        <v>1</v>
      </c>
      <c r="X181" s="25">
        <v>1</v>
      </c>
      <c r="Y181" s="25">
        <v>1</v>
      </c>
      <c r="Z181" s="25">
        <v>1</v>
      </c>
      <c r="AA181" s="25">
        <v>1</v>
      </c>
      <c r="AH181" s="5"/>
      <c r="AI181" s="5"/>
      <c r="AO181" s="5"/>
    </row>
    <row r="182" spans="10:41">
      <c r="J182" s="9">
        <v>178</v>
      </c>
      <c r="K182" s="16" t="s">
        <v>37</v>
      </c>
      <c r="L182" s="16" t="s">
        <v>35</v>
      </c>
      <c r="M182" s="16" t="s">
        <v>91</v>
      </c>
      <c r="N182" s="16" t="s">
        <v>35</v>
      </c>
      <c r="O182" s="16" t="s">
        <v>36</v>
      </c>
      <c r="Q182" s="9">
        <v>7</v>
      </c>
      <c r="R182" s="9">
        <v>8</v>
      </c>
      <c r="S182" s="9">
        <v>14</v>
      </c>
      <c r="T182" s="9">
        <v>8</v>
      </c>
      <c r="U182" s="9">
        <v>10</v>
      </c>
      <c r="W182" s="25">
        <v>1</v>
      </c>
      <c r="X182" s="25">
        <v>1</v>
      </c>
      <c r="Y182" s="25">
        <v>1</v>
      </c>
      <c r="Z182" s="25">
        <v>1</v>
      </c>
      <c r="AA182" s="25">
        <v>1</v>
      </c>
      <c r="AH182" s="5"/>
      <c r="AI182" s="5"/>
      <c r="AO182" s="5"/>
    </row>
    <row r="183" spans="10:41">
      <c r="J183" s="25">
        <v>179</v>
      </c>
      <c r="K183" s="16" t="s">
        <v>136</v>
      </c>
      <c r="L183" s="16" t="s">
        <v>19</v>
      </c>
      <c r="M183" s="16" t="s">
        <v>137</v>
      </c>
      <c r="N183" s="16" t="s">
        <v>19</v>
      </c>
      <c r="O183" s="16" t="s">
        <v>21</v>
      </c>
      <c r="Q183" s="9">
        <v>6</v>
      </c>
      <c r="R183" s="9">
        <v>5</v>
      </c>
      <c r="S183" s="9">
        <v>15</v>
      </c>
      <c r="T183" s="9">
        <v>5</v>
      </c>
      <c r="U183" s="9">
        <v>2</v>
      </c>
      <c r="W183" s="25">
        <v>1</v>
      </c>
      <c r="X183" s="25">
        <v>1</v>
      </c>
      <c r="Y183" s="25">
        <v>1</v>
      </c>
      <c r="Z183" s="25">
        <v>1</v>
      </c>
      <c r="AA183" s="25">
        <v>1</v>
      </c>
      <c r="AH183" s="5"/>
      <c r="AI183" s="5"/>
      <c r="AO183" s="5"/>
    </row>
    <row r="184" spans="10:41">
      <c r="J184" s="9">
        <v>180</v>
      </c>
      <c r="K184" s="16" t="s">
        <v>37</v>
      </c>
      <c r="L184" s="16" t="s">
        <v>35</v>
      </c>
      <c r="M184" s="16" t="s">
        <v>119</v>
      </c>
      <c r="N184" s="16" t="s">
        <v>18</v>
      </c>
      <c r="O184" s="16" t="s">
        <v>18</v>
      </c>
      <c r="Q184" s="9">
        <v>7</v>
      </c>
      <c r="R184" s="9">
        <v>8</v>
      </c>
      <c r="S184" s="9">
        <v>17</v>
      </c>
      <c r="T184" s="9">
        <v>4</v>
      </c>
      <c r="U184" s="9">
        <v>4</v>
      </c>
      <c r="W184" s="25">
        <v>1</v>
      </c>
      <c r="X184" s="25">
        <v>1</v>
      </c>
      <c r="Y184" s="25">
        <v>1</v>
      </c>
      <c r="Z184" s="25">
        <v>1</v>
      </c>
      <c r="AA184" s="25">
        <v>1</v>
      </c>
      <c r="AH184" s="5"/>
      <c r="AI184" s="5"/>
      <c r="AO184" s="5"/>
    </row>
    <row r="185" spans="10:41">
      <c r="J185" s="25">
        <v>181</v>
      </c>
      <c r="K185" s="16" t="s">
        <v>19</v>
      </c>
      <c r="L185" s="16" t="s">
        <v>90</v>
      </c>
      <c r="M185" s="16" t="s">
        <v>92</v>
      </c>
      <c r="N185" s="16" t="s">
        <v>21</v>
      </c>
      <c r="O185" s="16" t="s">
        <v>36</v>
      </c>
      <c r="Q185" s="9">
        <v>5</v>
      </c>
      <c r="R185" s="9">
        <v>13</v>
      </c>
      <c r="S185" s="9">
        <v>16</v>
      </c>
      <c r="T185" s="9">
        <v>2</v>
      </c>
      <c r="U185" s="9">
        <v>10</v>
      </c>
      <c r="W185" s="25">
        <v>1</v>
      </c>
      <c r="X185" s="25">
        <v>1</v>
      </c>
      <c r="Y185" s="25">
        <v>1</v>
      </c>
      <c r="Z185" s="25">
        <v>1</v>
      </c>
      <c r="AA185" s="25">
        <v>1</v>
      </c>
      <c r="AH185" s="5"/>
      <c r="AI185" s="5"/>
      <c r="AO185" s="5"/>
    </row>
    <row r="186" spans="10:41">
      <c r="J186" s="9">
        <v>182</v>
      </c>
      <c r="K186" s="16" t="s">
        <v>37</v>
      </c>
      <c r="L186" s="16" t="s">
        <v>136</v>
      </c>
      <c r="M186" s="16" t="s">
        <v>91</v>
      </c>
      <c r="N186" s="16" t="s">
        <v>21</v>
      </c>
      <c r="O186" s="16" t="s">
        <v>36</v>
      </c>
      <c r="Q186" s="9">
        <v>7</v>
      </c>
      <c r="R186" s="9">
        <v>6</v>
      </c>
      <c r="S186" s="9">
        <v>14</v>
      </c>
      <c r="T186" s="9">
        <v>2</v>
      </c>
      <c r="U186" s="9">
        <v>10</v>
      </c>
      <c r="W186" s="25">
        <v>1</v>
      </c>
      <c r="X186" s="25">
        <v>1</v>
      </c>
      <c r="Y186" s="25">
        <v>1</v>
      </c>
      <c r="Z186" s="25">
        <v>1</v>
      </c>
      <c r="AA186" s="25">
        <v>1</v>
      </c>
      <c r="AH186" s="5"/>
      <c r="AI186" s="5"/>
      <c r="AO186" s="5"/>
    </row>
    <row r="187" spans="10:41">
      <c r="J187" s="25">
        <v>183</v>
      </c>
      <c r="K187" s="16" t="s">
        <v>136</v>
      </c>
      <c r="L187" s="16" t="s">
        <v>21</v>
      </c>
      <c r="M187" s="16" t="s">
        <v>137</v>
      </c>
      <c r="N187" s="16" t="s">
        <v>18</v>
      </c>
      <c r="O187" s="16" t="s">
        <v>34</v>
      </c>
      <c r="Q187" s="9">
        <v>6</v>
      </c>
      <c r="R187" s="9">
        <v>2</v>
      </c>
      <c r="S187" s="9">
        <v>15</v>
      </c>
      <c r="T187" s="9">
        <v>4</v>
      </c>
      <c r="U187" s="9">
        <v>9</v>
      </c>
      <c r="W187" s="25">
        <v>1</v>
      </c>
      <c r="X187" s="25">
        <v>1</v>
      </c>
      <c r="Y187" s="25">
        <v>1</v>
      </c>
      <c r="Z187" s="25">
        <v>1</v>
      </c>
      <c r="AA187" s="25">
        <v>1</v>
      </c>
      <c r="AH187" s="5"/>
      <c r="AI187" s="5"/>
      <c r="AO187" s="5"/>
    </row>
    <row r="188" spans="10:41">
      <c r="J188" s="9">
        <v>184</v>
      </c>
      <c r="K188" s="16" t="s">
        <v>19</v>
      </c>
      <c r="L188" s="16" t="s">
        <v>136</v>
      </c>
      <c r="M188" s="16" t="s">
        <v>92</v>
      </c>
      <c r="N188" s="16" t="s">
        <v>18</v>
      </c>
      <c r="O188" s="16" t="s">
        <v>36</v>
      </c>
      <c r="Q188" s="9">
        <v>5</v>
      </c>
      <c r="R188" s="9">
        <v>6</v>
      </c>
      <c r="S188" s="9">
        <v>16</v>
      </c>
      <c r="T188" s="9">
        <v>4</v>
      </c>
      <c r="U188" s="9">
        <v>10</v>
      </c>
      <c r="W188" s="25">
        <v>1</v>
      </c>
      <c r="X188" s="25">
        <v>1</v>
      </c>
      <c r="Y188" s="25">
        <v>1</v>
      </c>
      <c r="Z188" s="25">
        <v>1</v>
      </c>
      <c r="AA188" s="25">
        <v>1</v>
      </c>
      <c r="AH188" s="5"/>
      <c r="AI188" s="5"/>
      <c r="AO188" s="5"/>
    </row>
    <row r="189" spans="10:41">
      <c r="J189" s="25">
        <v>185</v>
      </c>
      <c r="K189" s="16" t="s">
        <v>35</v>
      </c>
      <c r="L189" s="16" t="s">
        <v>136</v>
      </c>
      <c r="M189" s="16" t="s">
        <v>137</v>
      </c>
      <c r="N189" s="16" t="s">
        <v>18</v>
      </c>
      <c r="O189" s="16" t="s">
        <v>18</v>
      </c>
      <c r="Q189" s="9">
        <v>8</v>
      </c>
      <c r="R189" s="9">
        <v>6</v>
      </c>
      <c r="S189" s="9">
        <v>15</v>
      </c>
      <c r="T189" s="9">
        <v>4</v>
      </c>
      <c r="U189" s="9">
        <v>4</v>
      </c>
      <c r="W189" s="25">
        <v>1</v>
      </c>
      <c r="X189" s="25">
        <v>1</v>
      </c>
      <c r="Y189" s="25">
        <v>1</v>
      </c>
      <c r="Z189" s="25">
        <v>1</v>
      </c>
      <c r="AA189" s="25">
        <v>1</v>
      </c>
      <c r="AH189" s="5"/>
      <c r="AI189" s="5"/>
      <c r="AO189" s="5"/>
    </row>
    <row r="190" spans="10:41">
      <c r="J190" s="9">
        <v>186</v>
      </c>
      <c r="K190" s="16" t="s">
        <v>37</v>
      </c>
      <c r="L190" s="16" t="s">
        <v>136</v>
      </c>
      <c r="M190" s="16" t="s">
        <v>91</v>
      </c>
      <c r="N190" s="16" t="s">
        <v>36</v>
      </c>
      <c r="O190" s="16" t="s">
        <v>18</v>
      </c>
      <c r="Q190" s="9">
        <v>7</v>
      </c>
      <c r="R190" s="9">
        <v>6</v>
      </c>
      <c r="S190" s="9">
        <v>14</v>
      </c>
      <c r="T190" s="9">
        <v>10</v>
      </c>
      <c r="U190" s="9">
        <v>4</v>
      </c>
      <c r="W190" s="25">
        <v>1</v>
      </c>
      <c r="X190" s="25">
        <v>1</v>
      </c>
      <c r="Y190" s="25">
        <v>1</v>
      </c>
      <c r="Z190" s="25">
        <v>1</v>
      </c>
      <c r="AA190" s="25">
        <v>1</v>
      </c>
      <c r="AH190" s="5"/>
      <c r="AI190" s="5"/>
      <c r="AO190" s="5"/>
    </row>
    <row r="191" spans="10:41">
      <c r="J191" s="25">
        <v>187</v>
      </c>
      <c r="K191" s="16" t="s">
        <v>35</v>
      </c>
      <c r="L191" s="16" t="s">
        <v>37</v>
      </c>
      <c r="M191" s="16" t="s">
        <v>119</v>
      </c>
      <c r="N191" s="16" t="s">
        <v>37</v>
      </c>
      <c r="O191" s="16" t="s">
        <v>19</v>
      </c>
      <c r="Q191" s="9">
        <v>8</v>
      </c>
      <c r="R191" s="9">
        <v>7</v>
      </c>
      <c r="S191" s="9">
        <v>17</v>
      </c>
      <c r="T191" s="9">
        <v>7</v>
      </c>
      <c r="U191" s="9">
        <v>5</v>
      </c>
      <c r="W191" s="25">
        <v>1</v>
      </c>
      <c r="X191" s="25">
        <v>1</v>
      </c>
      <c r="Y191" s="25">
        <v>1</v>
      </c>
      <c r="Z191" s="25">
        <v>1</v>
      </c>
      <c r="AA191" s="25">
        <v>1</v>
      </c>
      <c r="AH191" s="5"/>
      <c r="AI191" s="5"/>
      <c r="AO191" s="5"/>
    </row>
    <row r="192" spans="10:41">
      <c r="J192" s="9">
        <v>188</v>
      </c>
      <c r="K192" s="16" t="s">
        <v>19</v>
      </c>
      <c r="L192" s="16" t="s">
        <v>92</v>
      </c>
      <c r="M192" s="16" t="s">
        <v>91</v>
      </c>
      <c r="N192" s="16" t="s">
        <v>21</v>
      </c>
      <c r="O192" s="16" t="s">
        <v>37</v>
      </c>
      <c r="Q192" s="9">
        <v>5</v>
      </c>
      <c r="R192" s="9">
        <v>16</v>
      </c>
      <c r="S192" s="9">
        <v>14</v>
      </c>
      <c r="T192" s="9">
        <v>2</v>
      </c>
      <c r="U192" s="9">
        <v>7</v>
      </c>
      <c r="W192" s="25">
        <v>1</v>
      </c>
      <c r="X192" s="25">
        <v>1</v>
      </c>
      <c r="Y192" s="25">
        <v>1</v>
      </c>
      <c r="Z192" s="25">
        <v>1</v>
      </c>
      <c r="AA192" s="25">
        <v>1</v>
      </c>
      <c r="AH192" s="5"/>
      <c r="AI192" s="5"/>
      <c r="AO192" s="5"/>
    </row>
    <row r="193" spans="10:41">
      <c r="J193" s="25">
        <v>189</v>
      </c>
      <c r="K193" s="16" t="s">
        <v>19</v>
      </c>
      <c r="L193" s="16" t="s">
        <v>119</v>
      </c>
      <c r="M193" s="16" t="s">
        <v>137</v>
      </c>
      <c r="N193" s="16" t="s">
        <v>34</v>
      </c>
      <c r="O193" s="16" t="s">
        <v>18</v>
      </c>
      <c r="Q193" s="9">
        <v>5</v>
      </c>
      <c r="R193" s="9">
        <v>17</v>
      </c>
      <c r="S193" s="9">
        <v>15</v>
      </c>
      <c r="T193" s="9">
        <v>9</v>
      </c>
      <c r="U193" s="9">
        <v>4</v>
      </c>
      <c r="W193" s="25">
        <v>1</v>
      </c>
      <c r="X193" s="25">
        <v>1</v>
      </c>
      <c r="Y193" s="25">
        <v>1</v>
      </c>
      <c r="Z193" s="25">
        <v>1</v>
      </c>
      <c r="AA193" s="25">
        <v>1</v>
      </c>
      <c r="AH193" s="5"/>
      <c r="AI193" s="5"/>
      <c r="AO193" s="5"/>
    </row>
    <row r="194" spans="10:41">
      <c r="J194" s="9">
        <v>190</v>
      </c>
      <c r="K194" s="16" t="s">
        <v>35</v>
      </c>
      <c r="L194" s="16" t="s">
        <v>90</v>
      </c>
      <c r="M194" s="16" t="s">
        <v>92</v>
      </c>
      <c r="N194" s="16" t="s">
        <v>35</v>
      </c>
      <c r="O194" s="16" t="s">
        <v>36</v>
      </c>
      <c r="Q194" s="9">
        <v>8</v>
      </c>
      <c r="R194" s="9">
        <v>13</v>
      </c>
      <c r="S194" s="9">
        <v>16</v>
      </c>
      <c r="T194" s="9">
        <v>8</v>
      </c>
      <c r="U194" s="9">
        <v>10</v>
      </c>
      <c r="W194" s="25">
        <v>1</v>
      </c>
      <c r="X194" s="25">
        <v>1</v>
      </c>
      <c r="Y194" s="25">
        <v>1</v>
      </c>
      <c r="Z194" s="25">
        <v>1</v>
      </c>
      <c r="AA194" s="25">
        <v>1</v>
      </c>
      <c r="AH194" s="5"/>
      <c r="AI194" s="5"/>
      <c r="AO194" s="5"/>
    </row>
    <row r="195" spans="10:41">
      <c r="J195" s="25">
        <v>191</v>
      </c>
      <c r="K195" s="16" t="s">
        <v>37</v>
      </c>
      <c r="L195" s="16" t="s">
        <v>119</v>
      </c>
      <c r="M195" s="16" t="s">
        <v>91</v>
      </c>
      <c r="N195" s="16" t="s">
        <v>22</v>
      </c>
      <c r="O195" s="16" t="s">
        <v>36</v>
      </c>
      <c r="Q195" s="9">
        <v>7</v>
      </c>
      <c r="R195" s="9">
        <v>17</v>
      </c>
      <c r="S195" s="9">
        <v>14</v>
      </c>
      <c r="T195" s="9">
        <v>3</v>
      </c>
      <c r="U195" s="9">
        <v>10</v>
      </c>
      <c r="W195" s="25">
        <v>1</v>
      </c>
      <c r="X195" s="25">
        <v>1</v>
      </c>
      <c r="Y195" s="25">
        <v>1</v>
      </c>
      <c r="Z195" s="25">
        <v>1</v>
      </c>
      <c r="AA195" s="25">
        <v>1</v>
      </c>
      <c r="AH195" s="5"/>
      <c r="AI195" s="5"/>
      <c r="AO195" s="5"/>
    </row>
    <row r="196" spans="10:41">
      <c r="J196" s="9">
        <v>192</v>
      </c>
      <c r="K196" s="16" t="s">
        <v>136</v>
      </c>
      <c r="L196" s="16" t="s">
        <v>89</v>
      </c>
      <c r="M196" s="16" t="s">
        <v>119</v>
      </c>
      <c r="N196" s="16" t="s">
        <v>36</v>
      </c>
      <c r="O196" s="16" t="s">
        <v>34</v>
      </c>
      <c r="Q196" s="9">
        <v>6</v>
      </c>
      <c r="R196" s="9">
        <v>12</v>
      </c>
      <c r="S196" s="9">
        <v>17</v>
      </c>
      <c r="T196" s="9">
        <v>10</v>
      </c>
      <c r="U196" s="9">
        <v>9</v>
      </c>
      <c r="W196" s="25">
        <v>1</v>
      </c>
      <c r="X196" s="25">
        <v>1</v>
      </c>
      <c r="Y196" s="25">
        <v>1</v>
      </c>
      <c r="Z196" s="25">
        <v>1</v>
      </c>
      <c r="AA196" s="25">
        <v>1</v>
      </c>
      <c r="AH196" s="5"/>
      <c r="AI196" s="5"/>
      <c r="AO196" s="5"/>
    </row>
    <row r="197" spans="10:41">
      <c r="J197" s="25">
        <v>193</v>
      </c>
      <c r="K197" s="16" t="s">
        <v>19</v>
      </c>
      <c r="L197" s="16" t="s">
        <v>20</v>
      </c>
      <c r="M197" s="16" t="s">
        <v>88</v>
      </c>
      <c r="N197" s="16" t="s">
        <v>34</v>
      </c>
      <c r="O197" s="16" t="s">
        <v>18</v>
      </c>
      <c r="Q197" s="9">
        <v>5</v>
      </c>
      <c r="R197" s="9">
        <v>1</v>
      </c>
      <c r="S197" s="9">
        <v>11</v>
      </c>
      <c r="T197" s="9">
        <v>9</v>
      </c>
      <c r="U197" s="9">
        <v>4</v>
      </c>
      <c r="W197" s="25">
        <v>1</v>
      </c>
      <c r="X197" s="25">
        <v>1</v>
      </c>
      <c r="Y197" s="25">
        <v>1</v>
      </c>
      <c r="Z197" s="25">
        <v>1</v>
      </c>
      <c r="AA197" s="25">
        <v>1</v>
      </c>
      <c r="AH197" s="5"/>
      <c r="AI197" s="5"/>
      <c r="AO197" s="5"/>
    </row>
    <row r="198" spans="10:41">
      <c r="J198" s="9">
        <v>194</v>
      </c>
      <c r="K198" s="16" t="s">
        <v>19</v>
      </c>
      <c r="L198" s="16" t="s">
        <v>136</v>
      </c>
      <c r="M198" s="16" t="s">
        <v>137</v>
      </c>
      <c r="N198" s="16" t="s">
        <v>36</v>
      </c>
      <c r="O198" s="16" t="s">
        <v>34</v>
      </c>
      <c r="Q198" s="9">
        <v>5</v>
      </c>
      <c r="R198" s="9">
        <v>6</v>
      </c>
      <c r="S198" s="9">
        <v>15</v>
      </c>
      <c r="T198" s="9">
        <v>10</v>
      </c>
      <c r="U198" s="9">
        <v>9</v>
      </c>
      <c r="W198" s="25">
        <v>1</v>
      </c>
      <c r="X198" s="25">
        <v>1</v>
      </c>
      <c r="Y198" s="25">
        <v>1</v>
      </c>
      <c r="Z198" s="25">
        <v>1</v>
      </c>
      <c r="AA198" s="25">
        <v>1</v>
      </c>
      <c r="AH198" s="5"/>
      <c r="AI198" s="5"/>
      <c r="AO198" s="5"/>
    </row>
    <row r="199" spans="10:41">
      <c r="J199" s="25">
        <v>195</v>
      </c>
      <c r="K199" s="16" t="s">
        <v>37</v>
      </c>
      <c r="L199" s="16" t="s">
        <v>19</v>
      </c>
      <c r="M199" s="16" t="s">
        <v>92</v>
      </c>
      <c r="N199" s="16" t="s">
        <v>20</v>
      </c>
      <c r="O199" s="16" t="s">
        <v>34</v>
      </c>
      <c r="Q199" s="9">
        <v>7</v>
      </c>
      <c r="R199" s="9">
        <v>5</v>
      </c>
      <c r="S199" s="9">
        <v>16</v>
      </c>
      <c r="T199" s="9">
        <v>1</v>
      </c>
      <c r="U199" s="9">
        <v>9</v>
      </c>
      <c r="W199" s="25">
        <v>1</v>
      </c>
      <c r="X199" s="25">
        <v>1</v>
      </c>
      <c r="Y199" s="25">
        <v>1</v>
      </c>
      <c r="Z199" s="25">
        <v>1</v>
      </c>
      <c r="AA199" s="25">
        <v>1</v>
      </c>
      <c r="AH199" s="5"/>
      <c r="AI199" s="5"/>
      <c r="AO199" s="5"/>
    </row>
    <row r="200" spans="10:41">
      <c r="J200" s="9">
        <v>196</v>
      </c>
      <c r="K200" s="16" t="s">
        <v>19</v>
      </c>
      <c r="L200" s="16" t="s">
        <v>18</v>
      </c>
      <c r="M200" s="16" t="s">
        <v>137</v>
      </c>
      <c r="N200" s="16" t="s">
        <v>19</v>
      </c>
      <c r="O200" s="16" t="s">
        <v>37</v>
      </c>
      <c r="Q200" s="9">
        <v>5</v>
      </c>
      <c r="R200" s="9">
        <v>4</v>
      </c>
      <c r="S200" s="9">
        <v>15</v>
      </c>
      <c r="T200" s="9">
        <v>5</v>
      </c>
      <c r="U200" s="9">
        <v>7</v>
      </c>
      <c r="W200" s="25">
        <v>1</v>
      </c>
      <c r="X200" s="25">
        <v>1</v>
      </c>
      <c r="Y200" s="25">
        <v>1</v>
      </c>
      <c r="Z200" s="25">
        <v>1</v>
      </c>
      <c r="AA200" s="25">
        <v>1</v>
      </c>
      <c r="AH200" s="5"/>
      <c r="AI200" s="5"/>
      <c r="AO200" s="5"/>
    </row>
    <row r="201" spans="10:41">
      <c r="J201" s="25">
        <v>197</v>
      </c>
      <c r="K201" s="16" t="s">
        <v>37</v>
      </c>
      <c r="L201" s="16" t="s">
        <v>18</v>
      </c>
      <c r="M201" s="16" t="s">
        <v>92</v>
      </c>
      <c r="N201" s="16" t="s">
        <v>35</v>
      </c>
      <c r="O201" s="16" t="s">
        <v>21</v>
      </c>
      <c r="Q201" s="9">
        <v>7</v>
      </c>
      <c r="R201" s="9">
        <v>4</v>
      </c>
      <c r="S201" s="9">
        <v>16</v>
      </c>
      <c r="T201" s="9">
        <v>8</v>
      </c>
      <c r="U201" s="9">
        <v>2</v>
      </c>
      <c r="W201" s="25">
        <v>1</v>
      </c>
      <c r="X201" s="25">
        <v>1</v>
      </c>
      <c r="Y201" s="25">
        <v>1</v>
      </c>
      <c r="Z201" s="25">
        <v>1</v>
      </c>
      <c r="AA201" s="25">
        <v>1</v>
      </c>
      <c r="AH201" s="5"/>
      <c r="AI201" s="5"/>
      <c r="AO201" s="5"/>
    </row>
    <row r="202" spans="10:41">
      <c r="J202" s="9">
        <v>198</v>
      </c>
      <c r="K202" s="16" t="s">
        <v>19</v>
      </c>
      <c r="L202" s="16" t="s">
        <v>91</v>
      </c>
      <c r="M202" s="16" t="s">
        <v>137</v>
      </c>
      <c r="N202" s="16" t="s">
        <v>137</v>
      </c>
      <c r="O202" s="16" t="s">
        <v>19</v>
      </c>
      <c r="Q202" s="9">
        <v>5</v>
      </c>
      <c r="R202" s="9">
        <v>14</v>
      </c>
      <c r="S202" s="9">
        <v>15</v>
      </c>
      <c r="T202" s="9">
        <v>15</v>
      </c>
      <c r="U202" s="9">
        <v>5</v>
      </c>
      <c r="W202" s="25">
        <v>1</v>
      </c>
      <c r="X202" s="25">
        <v>1</v>
      </c>
      <c r="Y202" s="25">
        <v>1</v>
      </c>
      <c r="Z202" s="25">
        <v>1</v>
      </c>
      <c r="AA202" s="25">
        <v>1</v>
      </c>
      <c r="AH202" s="5"/>
      <c r="AI202" s="5"/>
      <c r="AO202" s="5"/>
    </row>
    <row r="203" spans="10:41">
      <c r="J203" s="25">
        <v>199</v>
      </c>
      <c r="K203" s="16" t="s">
        <v>37</v>
      </c>
      <c r="L203" s="16" t="s">
        <v>136</v>
      </c>
      <c r="M203" s="16" t="s">
        <v>92</v>
      </c>
      <c r="N203" s="16" t="s">
        <v>35</v>
      </c>
      <c r="O203" s="16" t="s">
        <v>36</v>
      </c>
      <c r="Q203" s="9">
        <v>7</v>
      </c>
      <c r="R203" s="9">
        <v>6</v>
      </c>
      <c r="S203" s="9">
        <v>16</v>
      </c>
      <c r="T203" s="9">
        <v>8</v>
      </c>
      <c r="U203" s="9">
        <v>10</v>
      </c>
      <c r="W203" s="25">
        <v>1</v>
      </c>
      <c r="X203" s="25">
        <v>1</v>
      </c>
      <c r="Y203" s="25">
        <v>1</v>
      </c>
      <c r="Z203" s="25">
        <v>1</v>
      </c>
      <c r="AA203" s="25">
        <v>1</v>
      </c>
      <c r="AH203" s="5"/>
      <c r="AI203" s="5"/>
      <c r="AO203" s="5"/>
    </row>
    <row r="204" spans="10:41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35" priority="18">
      <formula>_xlfn.LET(_xlpm.x, W4, AND(NOT(_xlfn.ISFORMULA(_xlpm.x)), _xlpm.x&lt;&gt;""))</formula>
    </cfRule>
  </conditionalFormatting>
  <conditionalFormatting sqref="W4:AA203">
    <cfRule type="expression" dxfId="34" priority="13">
      <formula>_xlfn.LET(_xlpm.x, W4, AND(NOT(_xlfn.ISFORMULA(_xlpm.x)), _xlpm.x&lt;&gt;""))</formula>
    </cfRule>
  </conditionalFormatting>
  <conditionalFormatting sqref="C27:G46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{7BB3A213-29E9-4688-9CE5-1E887CDBF0CE}</x14:id>
        </ext>
      </extLst>
    </cfRule>
  </conditionalFormatting>
  <conditionalFormatting sqref="K1:O1048576">
    <cfRule type="cellIs" dxfId="33" priority="1" operator="equal">
      <formula>"C1"</formula>
    </cfRule>
    <cfRule type="cellIs" dxfId="32" priority="2" operator="between">
      <formula>"G1"</formula>
      <formula>"G5"</formula>
    </cfRule>
    <cfRule type="cellIs" dxfId="31" priority="3" operator="between">
      <formula>"GA"</formula>
      <formula>"GJ"</formula>
    </cfRule>
    <cfRule type="cellIs" dxfId="30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B3A213-29E9-4688-9CE5-1E887CDBF0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C27:G46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7" width="9.5546875" style="5" bestFit="1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>
      <c r="I2" s="15"/>
      <c r="J2" s="27" t="s">
        <v>144</v>
      </c>
      <c r="Q2" s="27" t="s">
        <v>145</v>
      </c>
      <c r="W2" s="27" t="s">
        <v>146</v>
      </c>
      <c r="AC2" s="27" t="s">
        <v>158</v>
      </c>
      <c r="AH2" s="5"/>
      <c r="AI2" s="5"/>
      <c r="AJ2" s="27" t="s">
        <v>110</v>
      </c>
      <c r="AO2" s="5"/>
    </row>
    <row r="3" spans="1:41" ht="15.9" customHeight="1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>
      <c r="A4" s="29" t="str" cm="1">
        <f t="array" ref="A4:B23">Overview!A38:B57</f>
        <v>WW</v>
      </c>
      <c r="B4" s="8" t="str">
        <v>Wild</v>
      </c>
      <c r="C4" s="105">
        <f t="shared" ref="C4:G23" si="0">COUNTIF(K:K, $A4)</f>
        <v>0</v>
      </c>
      <c r="D4" s="105">
        <f t="shared" si="0"/>
        <v>0</v>
      </c>
      <c r="E4" s="105">
        <f t="shared" si="0"/>
        <v>0</v>
      </c>
      <c r="F4" s="105">
        <f t="shared" si="0"/>
        <v>0</v>
      </c>
      <c r="G4" s="105">
        <f t="shared" si="0"/>
        <v>0</v>
      </c>
      <c r="H4" s="8" cm="1">
        <f t="array" ref="H4:H23">Overview!F38:F57</f>
        <v>0</v>
      </c>
      <c r="I4" s="87"/>
      <c r="J4" s="25" cm="1">
        <f t="array" ref="J4:J203">_xlfn.SEQUENCE(MAX(COUNTA(K:K), COUNTA(L:L), COUNTA(M:M), COUNTA(N:N), COUNTA(O:O))-1,,0)</f>
        <v>0</v>
      </c>
      <c r="K4" s="26" t="s">
        <v>22</v>
      </c>
      <c r="L4" s="26" t="s">
        <v>18</v>
      </c>
      <c r="M4" s="26" t="s">
        <v>18</v>
      </c>
      <c r="N4" s="26" t="s">
        <v>136</v>
      </c>
      <c r="O4" s="26" t="s">
        <v>35</v>
      </c>
      <c r="Q4" s="25" cm="1">
        <f t="array" ref="Q4:U304">_xlfn.LET(_xlpm.x, K4:O304, IF(_xlpm.x="", "", _xlfn.XLOOKUP(_xlpm.x, $A$4:$A$23,_xlfn.ANCHORARRAY( H4))))</f>
        <v>3</v>
      </c>
      <c r="R4" s="25">
        <v>4</v>
      </c>
      <c r="S4" s="25">
        <v>4</v>
      </c>
      <c r="T4" s="25">
        <v>6</v>
      </c>
      <c r="U4" s="25">
        <v>8</v>
      </c>
      <c r="W4" s="25">
        <v>1</v>
      </c>
      <c r="X4" s="25">
        <v>1</v>
      </c>
      <c r="Y4" s="25">
        <v>1</v>
      </c>
      <c r="Z4" s="25">
        <v>1</v>
      </c>
      <c r="AA4" s="25">
        <v>1</v>
      </c>
      <c r="AB4" s="43"/>
      <c r="AC4" s="27" t="s">
        <v>142</v>
      </c>
      <c r="AH4" s="5"/>
      <c r="AI4" s="5"/>
      <c r="AJ4" s="27" t="s">
        <v>142</v>
      </c>
      <c r="AO4" s="5"/>
    </row>
    <row r="5" spans="1:41" ht="15.9" customHeight="1">
      <c r="A5" s="29" t="str">
        <v>C1</v>
      </c>
      <c r="B5" s="8" t="str">
        <v>Scatter</v>
      </c>
      <c r="C5" s="105">
        <f t="shared" si="0"/>
        <v>6</v>
      </c>
      <c r="D5" s="105">
        <f t="shared" si="0"/>
        <v>6</v>
      </c>
      <c r="E5" s="105">
        <f t="shared" si="0"/>
        <v>6</v>
      </c>
      <c r="F5" s="105">
        <f t="shared" si="0"/>
        <v>9</v>
      </c>
      <c r="G5" s="105">
        <f t="shared" si="0"/>
        <v>9</v>
      </c>
      <c r="H5" s="8">
        <v>1</v>
      </c>
      <c r="I5" s="87"/>
      <c r="J5" s="9">
        <v>1</v>
      </c>
      <c r="K5" s="16" t="s">
        <v>35</v>
      </c>
      <c r="L5" s="16" t="s">
        <v>97</v>
      </c>
      <c r="M5" s="16" t="s">
        <v>22</v>
      </c>
      <c r="N5" s="16" t="s">
        <v>37</v>
      </c>
      <c r="O5" s="16" t="s">
        <v>36</v>
      </c>
      <c r="Q5" s="9">
        <v>8</v>
      </c>
      <c r="R5" s="9">
        <v>19</v>
      </c>
      <c r="S5" s="9">
        <v>3</v>
      </c>
      <c r="T5" s="9">
        <v>7</v>
      </c>
      <c r="U5" s="9">
        <v>10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C5" s="146" t="s">
        <v>42</v>
      </c>
      <c r="AD5" s="146" t="s">
        <v>13</v>
      </c>
      <c r="AE5" s="146" t="s">
        <v>14</v>
      </c>
      <c r="AF5" s="146" t="s">
        <v>15</v>
      </c>
      <c r="AG5" s="146" t="s">
        <v>16</v>
      </c>
      <c r="AH5" s="146" t="s">
        <v>17</v>
      </c>
      <c r="AI5" s="5"/>
      <c r="AJ5" s="146" t="s">
        <v>42</v>
      </c>
      <c r="AK5" s="146" t="s">
        <v>13</v>
      </c>
      <c r="AL5" s="146" t="s">
        <v>14</v>
      </c>
      <c r="AM5" s="146" t="s">
        <v>15</v>
      </c>
      <c r="AN5" s="146" t="s">
        <v>16</v>
      </c>
      <c r="AO5" s="146" t="s">
        <v>17</v>
      </c>
    </row>
    <row r="6" spans="1:41" ht="15.9" customHeight="1">
      <c r="A6" s="144" t="str">
        <v>M1</v>
      </c>
      <c r="B6" s="118" t="str">
        <v>M1</v>
      </c>
      <c r="C6" s="144">
        <f t="shared" si="0"/>
        <v>4</v>
      </c>
      <c r="D6" s="144">
        <f t="shared" si="0"/>
        <v>17</v>
      </c>
      <c r="E6" s="144">
        <f t="shared" si="0"/>
        <v>4</v>
      </c>
      <c r="F6" s="144">
        <f t="shared" si="0"/>
        <v>21</v>
      </c>
      <c r="G6" s="144">
        <f t="shared" si="0"/>
        <v>22</v>
      </c>
      <c r="H6" s="118">
        <v>2</v>
      </c>
      <c r="I6" s="87"/>
      <c r="J6" s="25">
        <v>2</v>
      </c>
      <c r="K6" s="16" t="s">
        <v>35</v>
      </c>
      <c r="L6" s="16" t="s">
        <v>89</v>
      </c>
      <c r="M6" s="16" t="s">
        <v>20</v>
      </c>
      <c r="N6" s="16" t="s">
        <v>36</v>
      </c>
      <c r="O6" s="16" t="s">
        <v>20</v>
      </c>
      <c r="Q6" s="9">
        <v>8</v>
      </c>
      <c r="R6" s="9">
        <v>12</v>
      </c>
      <c r="S6" s="9">
        <v>1</v>
      </c>
      <c r="T6" s="9">
        <v>10</v>
      </c>
      <c r="U6" s="9">
        <v>1</v>
      </c>
      <c r="W6" s="25">
        <v>1</v>
      </c>
      <c r="X6" s="25">
        <v>1</v>
      </c>
      <c r="Y6" s="25">
        <v>1</v>
      </c>
      <c r="Z6" s="25">
        <v>1</v>
      </c>
      <c r="AA6" s="25">
        <v>1</v>
      </c>
      <c r="AC6" s="149" t="str" cm="1">
        <f t="array" ref="AC6:AC25">$A$4:$A$23</f>
        <v>WW</v>
      </c>
      <c r="AD6" s="150">
        <v>0</v>
      </c>
      <c r="AE6" s="150">
        <v>0</v>
      </c>
      <c r="AF6" s="150">
        <v>0</v>
      </c>
      <c r="AG6" s="150">
        <v>0</v>
      </c>
      <c r="AH6" s="150">
        <v>0</v>
      </c>
      <c r="AI6" s="5"/>
      <c r="AJ6" s="149" t="str" cm="1">
        <f t="array" ref="AJ6:AJ25">$A$4:$A$23</f>
        <v>WW</v>
      </c>
      <c r="AK6" s="150">
        <v>0</v>
      </c>
      <c r="AL6" s="150">
        <v>0</v>
      </c>
      <c r="AM6" s="150">
        <v>0</v>
      </c>
      <c r="AN6" s="150">
        <v>0</v>
      </c>
      <c r="AO6" s="150">
        <v>0</v>
      </c>
    </row>
    <row r="7" spans="1:41" ht="15.9" customHeight="1">
      <c r="A7" s="144" t="str">
        <v>M2</v>
      </c>
      <c r="B7" s="118" t="str">
        <v>M2</v>
      </c>
      <c r="C7" s="144">
        <f t="shared" si="0"/>
        <v>4</v>
      </c>
      <c r="D7" s="144">
        <f t="shared" si="0"/>
        <v>18</v>
      </c>
      <c r="E7" s="144">
        <f t="shared" si="0"/>
        <v>4</v>
      </c>
      <c r="F7" s="144">
        <f t="shared" si="0"/>
        <v>20</v>
      </c>
      <c r="G7" s="144">
        <f t="shared" si="0"/>
        <v>22</v>
      </c>
      <c r="H7" s="118">
        <v>3</v>
      </c>
      <c r="I7" s="87"/>
      <c r="J7" s="9">
        <v>3</v>
      </c>
      <c r="K7" s="16" t="s">
        <v>136</v>
      </c>
      <c r="L7" s="26" t="s">
        <v>137</v>
      </c>
      <c r="M7" s="16" t="s">
        <v>35</v>
      </c>
      <c r="N7" s="16" t="s">
        <v>22</v>
      </c>
      <c r="O7" s="16" t="s">
        <v>22</v>
      </c>
      <c r="Q7" s="9">
        <v>6</v>
      </c>
      <c r="R7" s="9">
        <v>15</v>
      </c>
      <c r="S7" s="9">
        <v>8</v>
      </c>
      <c r="T7" s="9">
        <v>3</v>
      </c>
      <c r="U7" s="9">
        <v>3</v>
      </c>
      <c r="W7" s="25">
        <v>1</v>
      </c>
      <c r="X7" s="25">
        <v>1</v>
      </c>
      <c r="Y7" s="25">
        <v>1</v>
      </c>
      <c r="Z7" s="25">
        <v>1</v>
      </c>
      <c r="AA7" s="25">
        <v>1</v>
      </c>
      <c r="AC7" s="149" t="str">
        <v>C1</v>
      </c>
      <c r="AD7" s="149">
        <v>6</v>
      </c>
      <c r="AE7" s="149">
        <v>6</v>
      </c>
      <c r="AF7" s="149">
        <v>6</v>
      </c>
      <c r="AG7" s="149">
        <v>9</v>
      </c>
      <c r="AH7" s="149">
        <v>9</v>
      </c>
      <c r="AI7" s="5"/>
      <c r="AJ7" s="149" t="str">
        <v>C1</v>
      </c>
      <c r="AK7" s="149">
        <v>6</v>
      </c>
      <c r="AL7" s="149">
        <v>6</v>
      </c>
      <c r="AM7" s="149">
        <v>6</v>
      </c>
      <c r="AN7" s="149">
        <v>9</v>
      </c>
      <c r="AO7" s="149">
        <v>9</v>
      </c>
    </row>
    <row r="8" spans="1:41" ht="15.9" customHeight="1">
      <c r="A8" s="144" t="str">
        <v>M3</v>
      </c>
      <c r="B8" s="118" t="str">
        <v>M3</v>
      </c>
      <c r="C8" s="144">
        <f t="shared" si="0"/>
        <v>4</v>
      </c>
      <c r="D8" s="144">
        <f t="shared" si="0"/>
        <v>18</v>
      </c>
      <c r="E8" s="144">
        <f t="shared" si="0"/>
        <v>4</v>
      </c>
      <c r="F8" s="144">
        <f t="shared" si="0"/>
        <v>20</v>
      </c>
      <c r="G8" s="144">
        <f t="shared" si="0"/>
        <v>21</v>
      </c>
      <c r="H8" s="118">
        <v>4</v>
      </c>
      <c r="I8" s="87"/>
      <c r="J8" s="25">
        <v>4</v>
      </c>
      <c r="K8" s="16" t="s">
        <v>35</v>
      </c>
      <c r="L8" s="16" t="s">
        <v>137</v>
      </c>
      <c r="M8" s="16" t="s">
        <v>19</v>
      </c>
      <c r="N8" s="16" t="s">
        <v>90</v>
      </c>
      <c r="O8" s="16" t="s">
        <v>22</v>
      </c>
      <c r="Q8" s="9">
        <v>8</v>
      </c>
      <c r="R8" s="9">
        <v>15</v>
      </c>
      <c r="S8" s="9">
        <v>5</v>
      </c>
      <c r="T8" s="9">
        <v>13</v>
      </c>
      <c r="U8" s="9">
        <v>3</v>
      </c>
      <c r="W8" s="25">
        <v>1</v>
      </c>
      <c r="X8" s="25">
        <v>1</v>
      </c>
      <c r="Y8" s="25">
        <v>1</v>
      </c>
      <c r="Z8" s="25">
        <v>1</v>
      </c>
      <c r="AA8" s="25">
        <v>1</v>
      </c>
      <c r="AC8" s="166" t="str">
        <v>M1</v>
      </c>
      <c r="AD8" s="144">
        <v>4</v>
      </c>
      <c r="AE8" s="144">
        <v>17</v>
      </c>
      <c r="AF8" s="144">
        <v>4</v>
      </c>
      <c r="AG8" s="144">
        <v>21</v>
      </c>
      <c r="AH8" s="144">
        <v>22</v>
      </c>
      <c r="AI8" s="5"/>
      <c r="AJ8" s="166" t="str">
        <v>M1</v>
      </c>
      <c r="AK8" s="144">
        <v>4</v>
      </c>
      <c r="AL8" s="144">
        <v>17</v>
      </c>
      <c r="AM8" s="144">
        <v>4</v>
      </c>
      <c r="AN8" s="144">
        <v>21</v>
      </c>
      <c r="AO8" s="144">
        <v>22</v>
      </c>
    </row>
    <row r="9" spans="1:41" ht="15.9" customHeight="1">
      <c r="A9" s="144" t="str">
        <v>M4</v>
      </c>
      <c r="B9" s="118" t="str">
        <v>M4</v>
      </c>
      <c r="C9" s="144">
        <f t="shared" si="0"/>
        <v>40</v>
      </c>
      <c r="D9" s="144">
        <f t="shared" si="0"/>
        <v>14</v>
      </c>
      <c r="E9" s="144">
        <f t="shared" si="0"/>
        <v>41</v>
      </c>
      <c r="F9" s="144">
        <f t="shared" si="0"/>
        <v>14</v>
      </c>
      <c r="G9" s="144">
        <f t="shared" si="0"/>
        <v>21</v>
      </c>
      <c r="H9" s="118">
        <v>5</v>
      </c>
      <c r="I9" s="87"/>
      <c r="J9" s="9">
        <v>5</v>
      </c>
      <c r="K9" s="16" t="s">
        <v>37</v>
      </c>
      <c r="L9" s="16" t="s">
        <v>119</v>
      </c>
      <c r="M9" s="16" t="s">
        <v>37</v>
      </c>
      <c r="N9" s="16" t="s">
        <v>36</v>
      </c>
      <c r="O9" s="16" t="s">
        <v>36</v>
      </c>
      <c r="Q9" s="9">
        <v>7</v>
      </c>
      <c r="R9" s="9">
        <v>17</v>
      </c>
      <c r="S9" s="9">
        <v>7</v>
      </c>
      <c r="T9" s="9">
        <v>10</v>
      </c>
      <c r="U9" s="9">
        <v>10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C9" s="166" t="str">
        <v>M2</v>
      </c>
      <c r="AD9" s="144">
        <v>4</v>
      </c>
      <c r="AE9" s="144">
        <v>18</v>
      </c>
      <c r="AF9" s="144">
        <v>4</v>
      </c>
      <c r="AG9" s="144">
        <v>20</v>
      </c>
      <c r="AH9" s="144">
        <v>22</v>
      </c>
      <c r="AI9" s="5"/>
      <c r="AJ9" s="166" t="str">
        <v>M2</v>
      </c>
      <c r="AK9" s="144">
        <v>4</v>
      </c>
      <c r="AL9" s="144">
        <v>18</v>
      </c>
      <c r="AM9" s="144">
        <v>4</v>
      </c>
      <c r="AN9" s="144">
        <v>20</v>
      </c>
      <c r="AO9" s="144">
        <v>22</v>
      </c>
    </row>
    <row r="10" spans="1:41" ht="15.9" customHeight="1">
      <c r="A10" s="144" t="str">
        <v>M5</v>
      </c>
      <c r="B10" s="118" t="str">
        <v>M5</v>
      </c>
      <c r="C10" s="144">
        <f t="shared" si="0"/>
        <v>40</v>
      </c>
      <c r="D10" s="144">
        <f t="shared" si="0"/>
        <v>14</v>
      </c>
      <c r="E10" s="144">
        <f t="shared" si="0"/>
        <v>41</v>
      </c>
      <c r="F10" s="144">
        <f t="shared" si="0"/>
        <v>14</v>
      </c>
      <c r="G10" s="144">
        <f t="shared" si="0"/>
        <v>21</v>
      </c>
      <c r="H10" s="118">
        <v>6</v>
      </c>
      <c r="I10" s="87"/>
      <c r="J10" s="25">
        <v>6</v>
      </c>
      <c r="K10" s="16" t="s">
        <v>136</v>
      </c>
      <c r="L10" s="16" t="s">
        <v>136</v>
      </c>
      <c r="M10" s="16" t="s">
        <v>19</v>
      </c>
      <c r="N10" s="16" t="s">
        <v>36</v>
      </c>
      <c r="O10" s="16" t="s">
        <v>19</v>
      </c>
      <c r="Q10" s="9">
        <v>6</v>
      </c>
      <c r="R10" s="9">
        <v>6</v>
      </c>
      <c r="S10" s="9">
        <v>5</v>
      </c>
      <c r="T10" s="9">
        <v>10</v>
      </c>
      <c r="U10" s="9">
        <v>5</v>
      </c>
      <c r="W10" s="25">
        <v>1</v>
      </c>
      <c r="X10" s="25">
        <v>1</v>
      </c>
      <c r="Y10" s="25">
        <v>1</v>
      </c>
      <c r="Z10" s="25">
        <v>1</v>
      </c>
      <c r="AA10" s="25">
        <v>1</v>
      </c>
      <c r="AC10" s="166" t="str">
        <v>M3</v>
      </c>
      <c r="AD10" s="144">
        <v>4</v>
      </c>
      <c r="AE10" s="144">
        <v>18</v>
      </c>
      <c r="AF10" s="144">
        <v>4</v>
      </c>
      <c r="AG10" s="144">
        <v>20</v>
      </c>
      <c r="AH10" s="144">
        <v>21</v>
      </c>
      <c r="AI10" s="5"/>
      <c r="AJ10" s="166" t="str">
        <v>M3</v>
      </c>
      <c r="AK10" s="144">
        <v>4</v>
      </c>
      <c r="AL10" s="144">
        <v>18</v>
      </c>
      <c r="AM10" s="144">
        <v>4</v>
      </c>
      <c r="AN10" s="144">
        <v>20</v>
      </c>
      <c r="AO10" s="144">
        <v>21</v>
      </c>
    </row>
    <row r="11" spans="1:41" ht="15.9" customHeight="1">
      <c r="A11" s="144" t="str">
        <v>A</v>
      </c>
      <c r="B11" s="118" t="str">
        <v>A</v>
      </c>
      <c r="C11" s="144">
        <f t="shared" si="0"/>
        <v>47</v>
      </c>
      <c r="D11" s="144">
        <f t="shared" si="0"/>
        <v>13</v>
      </c>
      <c r="E11" s="144">
        <f t="shared" si="0"/>
        <v>41</v>
      </c>
      <c r="F11" s="144">
        <f t="shared" si="0"/>
        <v>14</v>
      </c>
      <c r="G11" s="144">
        <f t="shared" si="0"/>
        <v>21</v>
      </c>
      <c r="H11" s="118">
        <v>7</v>
      </c>
      <c r="I11" s="87"/>
      <c r="J11" s="9">
        <v>7</v>
      </c>
      <c r="K11" s="16" t="s">
        <v>136</v>
      </c>
      <c r="L11" s="16" t="s">
        <v>136</v>
      </c>
      <c r="M11" s="16" t="s">
        <v>37</v>
      </c>
      <c r="N11" s="16" t="s">
        <v>37</v>
      </c>
      <c r="O11" s="16" t="s">
        <v>136</v>
      </c>
      <c r="Q11" s="9">
        <v>6</v>
      </c>
      <c r="R11" s="9">
        <v>6</v>
      </c>
      <c r="S11" s="9">
        <v>7</v>
      </c>
      <c r="T11" s="9">
        <v>7</v>
      </c>
      <c r="U11" s="9">
        <v>6</v>
      </c>
      <c r="W11" s="25">
        <v>1</v>
      </c>
      <c r="X11" s="25">
        <v>1</v>
      </c>
      <c r="Y11" s="25">
        <v>1</v>
      </c>
      <c r="Z11" s="25">
        <v>1</v>
      </c>
      <c r="AA11" s="25">
        <v>1</v>
      </c>
      <c r="AC11" s="166" t="str">
        <v>M4</v>
      </c>
      <c r="AD11" s="144">
        <v>40</v>
      </c>
      <c r="AE11" s="144">
        <v>14</v>
      </c>
      <c r="AF11" s="144">
        <v>41</v>
      </c>
      <c r="AG11" s="144">
        <v>14</v>
      </c>
      <c r="AH11" s="144">
        <v>21</v>
      </c>
      <c r="AI11" s="5"/>
      <c r="AJ11" s="166" t="str">
        <v>M4</v>
      </c>
      <c r="AK11" s="144">
        <v>40</v>
      </c>
      <c r="AL11" s="144">
        <v>14</v>
      </c>
      <c r="AM11" s="144">
        <v>41</v>
      </c>
      <c r="AN11" s="144">
        <v>14</v>
      </c>
      <c r="AO11" s="144">
        <v>21</v>
      </c>
    </row>
    <row r="12" spans="1:41" ht="15.9" customHeight="1">
      <c r="A12" s="144" t="str">
        <v>K</v>
      </c>
      <c r="B12" s="118" t="str">
        <v>K</v>
      </c>
      <c r="C12" s="144">
        <f t="shared" si="0"/>
        <v>47</v>
      </c>
      <c r="D12" s="144">
        <f t="shared" si="0"/>
        <v>13</v>
      </c>
      <c r="E12" s="144">
        <f t="shared" si="0"/>
        <v>41</v>
      </c>
      <c r="F12" s="144">
        <f t="shared" si="0"/>
        <v>14</v>
      </c>
      <c r="G12" s="144">
        <f t="shared" si="0"/>
        <v>21</v>
      </c>
      <c r="H12" s="118">
        <v>8</v>
      </c>
      <c r="I12" s="87"/>
      <c r="J12" s="25">
        <v>8</v>
      </c>
      <c r="K12" s="16" t="s">
        <v>37</v>
      </c>
      <c r="L12" s="16" t="s">
        <v>89</v>
      </c>
      <c r="M12" s="16" t="s">
        <v>137</v>
      </c>
      <c r="N12" s="16" t="s">
        <v>18</v>
      </c>
      <c r="O12" s="16" t="s">
        <v>34</v>
      </c>
      <c r="Q12" s="9">
        <v>7</v>
      </c>
      <c r="R12" s="9">
        <v>12</v>
      </c>
      <c r="S12" s="9">
        <v>15</v>
      </c>
      <c r="T12" s="9">
        <v>4</v>
      </c>
      <c r="U12" s="9">
        <v>9</v>
      </c>
      <c r="W12" s="25">
        <v>1</v>
      </c>
      <c r="X12" s="25">
        <v>1</v>
      </c>
      <c r="Y12" s="25">
        <v>1</v>
      </c>
      <c r="Z12" s="25">
        <v>1</v>
      </c>
      <c r="AA12" s="25">
        <v>1</v>
      </c>
      <c r="AC12" s="166" t="str">
        <v>M5</v>
      </c>
      <c r="AD12" s="144">
        <v>40</v>
      </c>
      <c r="AE12" s="144">
        <v>14</v>
      </c>
      <c r="AF12" s="144">
        <v>41</v>
      </c>
      <c r="AG12" s="144">
        <v>14</v>
      </c>
      <c r="AH12" s="144">
        <v>21</v>
      </c>
      <c r="AI12" s="5"/>
      <c r="AJ12" s="166" t="str">
        <v>M5</v>
      </c>
      <c r="AK12" s="144">
        <v>40</v>
      </c>
      <c r="AL12" s="144">
        <v>14</v>
      </c>
      <c r="AM12" s="144">
        <v>41</v>
      </c>
      <c r="AN12" s="144">
        <v>14</v>
      </c>
      <c r="AO12" s="144">
        <v>21</v>
      </c>
    </row>
    <row r="13" spans="1:41" ht="15.9" customHeight="1">
      <c r="A13" s="144" t="str">
        <v>Q</v>
      </c>
      <c r="B13" s="118" t="str">
        <v>Q</v>
      </c>
      <c r="C13" s="144">
        <f t="shared" si="0"/>
        <v>4</v>
      </c>
      <c r="D13" s="144">
        <f t="shared" si="0"/>
        <v>17</v>
      </c>
      <c r="E13" s="144">
        <f t="shared" si="0"/>
        <v>3</v>
      </c>
      <c r="F13" s="144">
        <f t="shared" si="0"/>
        <v>21</v>
      </c>
      <c r="G13" s="144">
        <f t="shared" si="0"/>
        <v>21</v>
      </c>
      <c r="H13" s="118">
        <v>9</v>
      </c>
      <c r="I13" s="87"/>
      <c r="J13" s="9">
        <v>9</v>
      </c>
      <c r="K13" s="16" t="s">
        <v>136</v>
      </c>
      <c r="L13" s="16" t="s">
        <v>20</v>
      </c>
      <c r="M13" s="16" t="s">
        <v>37</v>
      </c>
      <c r="N13" s="16" t="s">
        <v>136</v>
      </c>
      <c r="O13" s="16" t="s">
        <v>34</v>
      </c>
      <c r="Q13" s="9">
        <v>6</v>
      </c>
      <c r="R13" s="9">
        <v>1</v>
      </c>
      <c r="S13" s="9">
        <v>7</v>
      </c>
      <c r="T13" s="9">
        <v>6</v>
      </c>
      <c r="U13" s="9">
        <v>9</v>
      </c>
      <c r="W13" s="25">
        <v>1</v>
      </c>
      <c r="X13" s="25">
        <v>1</v>
      </c>
      <c r="Y13" s="25">
        <v>1</v>
      </c>
      <c r="Z13" s="25">
        <v>1</v>
      </c>
      <c r="AA13" s="25">
        <v>1</v>
      </c>
      <c r="AC13" s="166" t="str">
        <v>A</v>
      </c>
      <c r="AD13" s="144">
        <v>47</v>
      </c>
      <c r="AE13" s="144">
        <v>13</v>
      </c>
      <c r="AF13" s="144">
        <v>41</v>
      </c>
      <c r="AG13" s="144">
        <v>14</v>
      </c>
      <c r="AH13" s="144">
        <v>21</v>
      </c>
      <c r="AI13" s="5"/>
      <c r="AJ13" s="166" t="str">
        <v>A</v>
      </c>
      <c r="AK13" s="144">
        <v>47</v>
      </c>
      <c r="AL13" s="144">
        <v>13</v>
      </c>
      <c r="AM13" s="144">
        <v>41</v>
      </c>
      <c r="AN13" s="144">
        <v>14</v>
      </c>
      <c r="AO13" s="144">
        <v>21</v>
      </c>
    </row>
    <row r="14" spans="1:41" ht="15.9" customHeight="1">
      <c r="A14" s="144" t="str">
        <v>J</v>
      </c>
      <c r="B14" s="118" t="str">
        <v>J</v>
      </c>
      <c r="C14" s="144">
        <f t="shared" si="0"/>
        <v>4</v>
      </c>
      <c r="D14" s="144">
        <f t="shared" si="0"/>
        <v>17</v>
      </c>
      <c r="E14" s="144">
        <f t="shared" si="0"/>
        <v>3</v>
      </c>
      <c r="F14" s="144">
        <f t="shared" si="0"/>
        <v>21</v>
      </c>
      <c r="G14" s="144">
        <f t="shared" si="0"/>
        <v>21</v>
      </c>
      <c r="H14" s="118">
        <v>10</v>
      </c>
      <c r="I14" s="87"/>
      <c r="J14" s="25">
        <v>10</v>
      </c>
      <c r="K14" s="16" t="s">
        <v>35</v>
      </c>
      <c r="L14" s="16" t="s">
        <v>37</v>
      </c>
      <c r="M14" s="16" t="s">
        <v>35</v>
      </c>
      <c r="N14" s="16" t="s">
        <v>22</v>
      </c>
      <c r="O14" s="16" t="s">
        <v>21</v>
      </c>
      <c r="Q14" s="9">
        <v>8</v>
      </c>
      <c r="R14" s="9">
        <v>7</v>
      </c>
      <c r="S14" s="9">
        <v>8</v>
      </c>
      <c r="T14" s="9">
        <v>3</v>
      </c>
      <c r="U14" s="9">
        <v>2</v>
      </c>
      <c r="W14" s="25">
        <v>1</v>
      </c>
      <c r="X14" s="25">
        <v>1</v>
      </c>
      <c r="Y14" s="25">
        <v>1</v>
      </c>
      <c r="Z14" s="25">
        <v>1</v>
      </c>
      <c r="AA14" s="25">
        <v>1</v>
      </c>
      <c r="AC14" s="166" t="str">
        <v>K</v>
      </c>
      <c r="AD14" s="144">
        <v>47</v>
      </c>
      <c r="AE14" s="144">
        <v>13</v>
      </c>
      <c r="AF14" s="144">
        <v>41</v>
      </c>
      <c r="AG14" s="144">
        <v>14</v>
      </c>
      <c r="AH14" s="144">
        <v>21</v>
      </c>
      <c r="AI14" s="5"/>
      <c r="AJ14" s="166" t="str">
        <v>K</v>
      </c>
      <c r="AK14" s="144">
        <v>47</v>
      </c>
      <c r="AL14" s="144">
        <v>13</v>
      </c>
      <c r="AM14" s="144">
        <v>41</v>
      </c>
      <c r="AN14" s="144">
        <v>14</v>
      </c>
      <c r="AO14" s="144">
        <v>21</v>
      </c>
    </row>
    <row r="15" spans="1:41" ht="15.9" customHeight="1">
      <c r="A15" s="29" t="str">
        <v>G1</v>
      </c>
      <c r="B15" s="8" t="str">
        <v>Gold M1</v>
      </c>
      <c r="C15" s="105">
        <f t="shared" si="0"/>
        <v>0</v>
      </c>
      <c r="D15" s="105">
        <f t="shared" si="0"/>
        <v>7</v>
      </c>
      <c r="E15" s="105">
        <f t="shared" si="0"/>
        <v>0</v>
      </c>
      <c r="F15" s="105">
        <f t="shared" si="0"/>
        <v>4</v>
      </c>
      <c r="G15" s="105">
        <f t="shared" si="0"/>
        <v>0</v>
      </c>
      <c r="H15" s="8">
        <v>11</v>
      </c>
      <c r="I15" s="87"/>
      <c r="J15" s="9">
        <v>11</v>
      </c>
      <c r="K15" s="16" t="s">
        <v>136</v>
      </c>
      <c r="L15" s="16" t="s">
        <v>97</v>
      </c>
      <c r="M15" s="16" t="s">
        <v>136</v>
      </c>
      <c r="N15" s="16" t="s">
        <v>18</v>
      </c>
      <c r="O15" s="16" t="s">
        <v>18</v>
      </c>
      <c r="Q15" s="9">
        <v>6</v>
      </c>
      <c r="R15" s="9">
        <v>19</v>
      </c>
      <c r="S15" s="9">
        <v>6</v>
      </c>
      <c r="T15" s="9">
        <v>4</v>
      </c>
      <c r="U15" s="9">
        <v>4</v>
      </c>
      <c r="W15" s="25">
        <v>1</v>
      </c>
      <c r="X15" s="25">
        <v>1</v>
      </c>
      <c r="Y15" s="25">
        <v>1</v>
      </c>
      <c r="Z15" s="25">
        <v>1</v>
      </c>
      <c r="AA15" s="25">
        <v>1</v>
      </c>
      <c r="AC15" s="166" t="str">
        <v>Q</v>
      </c>
      <c r="AD15" s="144">
        <v>4</v>
      </c>
      <c r="AE15" s="144">
        <v>17</v>
      </c>
      <c r="AF15" s="144">
        <v>3</v>
      </c>
      <c r="AG15" s="144">
        <v>21</v>
      </c>
      <c r="AH15" s="144">
        <v>21</v>
      </c>
      <c r="AI15" s="5"/>
      <c r="AJ15" s="166" t="str">
        <v>Q</v>
      </c>
      <c r="AK15" s="144">
        <v>4</v>
      </c>
      <c r="AL15" s="144">
        <v>17</v>
      </c>
      <c r="AM15" s="144">
        <v>3</v>
      </c>
      <c r="AN15" s="144">
        <v>21</v>
      </c>
      <c r="AO15" s="144">
        <v>21</v>
      </c>
    </row>
    <row r="16" spans="1:41" ht="15.9" customHeight="1">
      <c r="A16" s="29" t="str">
        <v>G2</v>
      </c>
      <c r="B16" s="8" t="str">
        <v>Gold M2</v>
      </c>
      <c r="C16" s="105">
        <f t="shared" si="0"/>
        <v>0</v>
      </c>
      <c r="D16" s="105">
        <f t="shared" si="0"/>
        <v>7</v>
      </c>
      <c r="E16" s="105">
        <f t="shared" si="0"/>
        <v>0</v>
      </c>
      <c r="F16" s="105">
        <f t="shared" si="0"/>
        <v>4</v>
      </c>
      <c r="G16" s="105">
        <f t="shared" si="0"/>
        <v>0</v>
      </c>
      <c r="H16" s="8">
        <v>12</v>
      </c>
      <c r="I16" s="87"/>
      <c r="J16" s="25">
        <v>12</v>
      </c>
      <c r="K16" s="16" t="s">
        <v>19</v>
      </c>
      <c r="L16" s="16" t="s">
        <v>95</v>
      </c>
      <c r="M16" s="16" t="s">
        <v>136</v>
      </c>
      <c r="N16" s="16" t="s">
        <v>36</v>
      </c>
      <c r="O16" s="16" t="s">
        <v>18</v>
      </c>
      <c r="Q16" s="9">
        <v>5</v>
      </c>
      <c r="R16" s="9">
        <v>18</v>
      </c>
      <c r="S16" s="9">
        <v>6</v>
      </c>
      <c r="T16" s="9">
        <v>10</v>
      </c>
      <c r="U16" s="9">
        <v>4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C16" s="166" t="str">
        <v>J</v>
      </c>
      <c r="AD16" s="144">
        <v>4</v>
      </c>
      <c r="AE16" s="144">
        <v>17</v>
      </c>
      <c r="AF16" s="144">
        <v>3</v>
      </c>
      <c r="AG16" s="144">
        <v>21</v>
      </c>
      <c r="AH16" s="144">
        <v>21</v>
      </c>
      <c r="AI16" s="5"/>
      <c r="AJ16" s="166" t="str">
        <v>J</v>
      </c>
      <c r="AK16" s="144">
        <v>4</v>
      </c>
      <c r="AL16" s="144">
        <v>17</v>
      </c>
      <c r="AM16" s="144">
        <v>3</v>
      </c>
      <c r="AN16" s="144">
        <v>21</v>
      </c>
      <c r="AO16" s="144">
        <v>21</v>
      </c>
    </row>
    <row r="17" spans="1:41" ht="15.9" customHeight="1">
      <c r="A17" s="29" t="str">
        <v>G3</v>
      </c>
      <c r="B17" s="8" t="str">
        <v>Gold M3</v>
      </c>
      <c r="C17" s="105">
        <f t="shared" si="0"/>
        <v>0</v>
      </c>
      <c r="D17" s="105">
        <f t="shared" si="0"/>
        <v>7</v>
      </c>
      <c r="E17" s="105">
        <f t="shared" si="0"/>
        <v>0</v>
      </c>
      <c r="F17" s="105">
        <f t="shared" si="0"/>
        <v>4</v>
      </c>
      <c r="G17" s="105">
        <f t="shared" si="0"/>
        <v>0</v>
      </c>
      <c r="H17" s="8">
        <v>13</v>
      </c>
      <c r="I17" s="87"/>
      <c r="J17" s="9">
        <v>13</v>
      </c>
      <c r="K17" s="16" t="s">
        <v>19</v>
      </c>
      <c r="L17" s="16" t="s">
        <v>136</v>
      </c>
      <c r="M17" s="16" t="s">
        <v>21</v>
      </c>
      <c r="N17" s="16" t="s">
        <v>36</v>
      </c>
      <c r="O17" s="16" t="s">
        <v>22</v>
      </c>
      <c r="Q17" s="9">
        <v>5</v>
      </c>
      <c r="R17" s="9">
        <v>6</v>
      </c>
      <c r="S17" s="9">
        <v>2</v>
      </c>
      <c r="T17" s="9">
        <v>10</v>
      </c>
      <c r="U17" s="9">
        <v>3</v>
      </c>
      <c r="W17" s="25">
        <v>1</v>
      </c>
      <c r="X17" s="25">
        <v>1</v>
      </c>
      <c r="Y17" s="25">
        <v>1</v>
      </c>
      <c r="Z17" s="25">
        <v>1</v>
      </c>
      <c r="AA17" s="25">
        <v>1</v>
      </c>
      <c r="AC17" s="149" t="str">
        <v>G1</v>
      </c>
      <c r="AD17" s="105">
        <v>0</v>
      </c>
      <c r="AE17" s="105">
        <v>7</v>
      </c>
      <c r="AF17" s="105">
        <v>0</v>
      </c>
      <c r="AG17" s="105">
        <v>4</v>
      </c>
      <c r="AH17" s="105">
        <v>0</v>
      </c>
      <c r="AI17" s="5"/>
      <c r="AJ17" s="149" t="str">
        <v>G1</v>
      </c>
      <c r="AK17" s="105">
        <v>0</v>
      </c>
      <c r="AL17" s="105">
        <v>7</v>
      </c>
      <c r="AM17" s="105">
        <v>0</v>
      </c>
      <c r="AN17" s="105">
        <v>4</v>
      </c>
      <c r="AO17" s="105">
        <v>0</v>
      </c>
    </row>
    <row r="18" spans="1:41" ht="15.9" customHeight="1">
      <c r="A18" s="29" t="str">
        <v>G4</v>
      </c>
      <c r="B18" s="8" t="str">
        <v>Gold M4</v>
      </c>
      <c r="C18" s="105">
        <f t="shared" si="0"/>
        <v>0</v>
      </c>
      <c r="D18" s="105">
        <f t="shared" si="0"/>
        <v>4</v>
      </c>
      <c r="E18" s="105">
        <f t="shared" si="0"/>
        <v>3</v>
      </c>
      <c r="F18" s="105">
        <f t="shared" si="0"/>
        <v>3</v>
      </c>
      <c r="G18" s="105">
        <f t="shared" si="0"/>
        <v>0</v>
      </c>
      <c r="H18" s="8">
        <v>14</v>
      </c>
      <c r="I18" s="87"/>
      <c r="J18" s="25">
        <v>14</v>
      </c>
      <c r="K18" s="16" t="s">
        <v>136</v>
      </c>
      <c r="L18" s="16" t="s">
        <v>88</v>
      </c>
      <c r="M18" s="16" t="s">
        <v>35</v>
      </c>
      <c r="N18" s="16" t="s">
        <v>35</v>
      </c>
      <c r="O18" s="16" t="s">
        <v>22</v>
      </c>
      <c r="Q18" s="9">
        <v>6</v>
      </c>
      <c r="R18" s="9">
        <v>11</v>
      </c>
      <c r="S18" s="9">
        <v>8</v>
      </c>
      <c r="T18" s="9">
        <v>8</v>
      </c>
      <c r="U18" s="9">
        <v>3</v>
      </c>
      <c r="W18" s="25">
        <v>1</v>
      </c>
      <c r="X18" s="25">
        <v>1</v>
      </c>
      <c r="Y18" s="25">
        <v>1</v>
      </c>
      <c r="Z18" s="25">
        <v>1</v>
      </c>
      <c r="AA18" s="25">
        <v>1</v>
      </c>
      <c r="AC18" s="149" t="str">
        <v>G2</v>
      </c>
      <c r="AD18" s="105">
        <v>0</v>
      </c>
      <c r="AE18" s="105">
        <v>7</v>
      </c>
      <c r="AF18" s="105">
        <v>0</v>
      </c>
      <c r="AG18" s="105">
        <v>4</v>
      </c>
      <c r="AH18" s="105">
        <v>0</v>
      </c>
      <c r="AI18" s="5"/>
      <c r="AJ18" s="149" t="str">
        <v>G2</v>
      </c>
      <c r="AK18" s="105">
        <v>0</v>
      </c>
      <c r="AL18" s="105">
        <v>7</v>
      </c>
      <c r="AM18" s="105">
        <v>0</v>
      </c>
      <c r="AN18" s="105">
        <v>4</v>
      </c>
      <c r="AO18" s="105">
        <v>0</v>
      </c>
    </row>
    <row r="19" spans="1:41" ht="15.9" customHeight="1">
      <c r="A19" s="29" t="str">
        <v>G5</v>
      </c>
      <c r="B19" s="8" t="str">
        <v>Gold M5</v>
      </c>
      <c r="C19" s="105">
        <f t="shared" si="0"/>
        <v>0</v>
      </c>
      <c r="D19" s="105">
        <f t="shared" si="0"/>
        <v>4</v>
      </c>
      <c r="E19" s="105">
        <f t="shared" si="0"/>
        <v>3</v>
      </c>
      <c r="F19" s="105">
        <f t="shared" si="0"/>
        <v>3</v>
      </c>
      <c r="G19" s="105">
        <f t="shared" si="0"/>
        <v>0</v>
      </c>
      <c r="H19" s="8">
        <v>15</v>
      </c>
      <c r="I19" s="87"/>
      <c r="J19" s="9">
        <v>15</v>
      </c>
      <c r="K19" s="16" t="s">
        <v>37</v>
      </c>
      <c r="L19" s="16" t="s">
        <v>22</v>
      </c>
      <c r="M19" s="16" t="s">
        <v>37</v>
      </c>
      <c r="N19" s="16" t="s">
        <v>21</v>
      </c>
      <c r="O19" s="16" t="s">
        <v>37</v>
      </c>
      <c r="Q19" s="9">
        <v>7</v>
      </c>
      <c r="R19" s="9">
        <v>3</v>
      </c>
      <c r="S19" s="9">
        <v>7</v>
      </c>
      <c r="T19" s="9">
        <v>2</v>
      </c>
      <c r="U19" s="9">
        <v>7</v>
      </c>
      <c r="W19" s="25">
        <v>1</v>
      </c>
      <c r="X19" s="25">
        <v>1</v>
      </c>
      <c r="Y19" s="25">
        <v>1</v>
      </c>
      <c r="Z19" s="25">
        <v>1</v>
      </c>
      <c r="AA19" s="25">
        <v>1</v>
      </c>
      <c r="AC19" s="149" t="str">
        <v>G3</v>
      </c>
      <c r="AD19" s="105">
        <v>0</v>
      </c>
      <c r="AE19" s="105">
        <v>7</v>
      </c>
      <c r="AF19" s="105">
        <v>0</v>
      </c>
      <c r="AG19" s="105">
        <v>4</v>
      </c>
      <c r="AH19" s="105">
        <v>0</v>
      </c>
      <c r="AI19" s="5"/>
      <c r="AJ19" s="149" t="str">
        <v>G3</v>
      </c>
      <c r="AK19" s="105">
        <v>0</v>
      </c>
      <c r="AL19" s="105">
        <v>7</v>
      </c>
      <c r="AM19" s="105">
        <v>0</v>
      </c>
      <c r="AN19" s="105">
        <v>4</v>
      </c>
      <c r="AO19" s="105">
        <v>0</v>
      </c>
    </row>
    <row r="20" spans="1:41" ht="15.9" customHeight="1">
      <c r="A20" s="29" t="str">
        <v>GA</v>
      </c>
      <c r="B20" s="8" t="str">
        <v>Gold A</v>
      </c>
      <c r="C20" s="105">
        <f t="shared" si="0"/>
        <v>0</v>
      </c>
      <c r="D20" s="105">
        <f t="shared" si="0"/>
        <v>4</v>
      </c>
      <c r="E20" s="105">
        <f t="shared" si="0"/>
        <v>3</v>
      </c>
      <c r="F20" s="105">
        <f t="shared" si="0"/>
        <v>3</v>
      </c>
      <c r="G20" s="105">
        <f t="shared" si="0"/>
        <v>0</v>
      </c>
      <c r="H20" s="8">
        <v>16</v>
      </c>
      <c r="I20" s="87"/>
      <c r="J20" s="25">
        <v>16</v>
      </c>
      <c r="K20" s="16" t="s">
        <v>22</v>
      </c>
      <c r="L20" s="16" t="s">
        <v>88</v>
      </c>
      <c r="M20" s="16" t="s">
        <v>21</v>
      </c>
      <c r="N20" s="16" t="s">
        <v>95</v>
      </c>
      <c r="O20" s="16" t="s">
        <v>19</v>
      </c>
      <c r="Q20" s="9">
        <v>3</v>
      </c>
      <c r="R20" s="9">
        <v>11</v>
      </c>
      <c r="S20" s="9">
        <v>2</v>
      </c>
      <c r="T20" s="9">
        <v>18</v>
      </c>
      <c r="U20" s="9">
        <v>5</v>
      </c>
      <c r="W20" s="25">
        <v>1</v>
      </c>
      <c r="X20" s="25">
        <v>1</v>
      </c>
      <c r="Y20" s="25">
        <v>1</v>
      </c>
      <c r="Z20" s="25">
        <v>1</v>
      </c>
      <c r="AA20" s="25">
        <v>1</v>
      </c>
      <c r="AC20" s="149" t="str">
        <v>G4</v>
      </c>
      <c r="AD20" s="105">
        <v>0</v>
      </c>
      <c r="AE20" s="105">
        <v>4</v>
      </c>
      <c r="AF20" s="105">
        <v>3</v>
      </c>
      <c r="AG20" s="105">
        <v>3</v>
      </c>
      <c r="AH20" s="105">
        <v>0</v>
      </c>
      <c r="AI20" s="5"/>
      <c r="AJ20" s="149" t="str">
        <v>G4</v>
      </c>
      <c r="AK20" s="105">
        <v>0</v>
      </c>
      <c r="AL20" s="105">
        <v>4</v>
      </c>
      <c r="AM20" s="105">
        <v>3</v>
      </c>
      <c r="AN20" s="105">
        <v>3</v>
      </c>
      <c r="AO20" s="105">
        <v>0</v>
      </c>
    </row>
    <row r="21" spans="1:41" ht="15.9" customHeight="1">
      <c r="A21" s="29" t="str">
        <v>GK</v>
      </c>
      <c r="B21" s="8" t="str">
        <v>Gold K</v>
      </c>
      <c r="C21" s="105">
        <f t="shared" si="0"/>
        <v>0</v>
      </c>
      <c r="D21" s="105">
        <f t="shared" si="0"/>
        <v>4</v>
      </c>
      <c r="E21" s="105">
        <f t="shared" si="0"/>
        <v>3</v>
      </c>
      <c r="F21" s="105">
        <f t="shared" si="0"/>
        <v>3</v>
      </c>
      <c r="G21" s="105">
        <f t="shared" si="0"/>
        <v>0</v>
      </c>
      <c r="H21" s="8">
        <v>17</v>
      </c>
      <c r="I21" s="87"/>
      <c r="J21" s="9">
        <v>17</v>
      </c>
      <c r="K21" s="16" t="s">
        <v>37</v>
      </c>
      <c r="L21" s="16" t="s">
        <v>136</v>
      </c>
      <c r="M21" s="16" t="s">
        <v>36</v>
      </c>
      <c r="N21" s="16" t="s">
        <v>34</v>
      </c>
      <c r="O21" s="16" t="s">
        <v>136</v>
      </c>
      <c r="Q21" s="9">
        <v>7</v>
      </c>
      <c r="R21" s="9">
        <v>6</v>
      </c>
      <c r="S21" s="9">
        <v>10</v>
      </c>
      <c r="T21" s="9">
        <v>9</v>
      </c>
      <c r="U21" s="9">
        <v>6</v>
      </c>
      <c r="W21" s="25">
        <v>1</v>
      </c>
      <c r="X21" s="25">
        <v>1</v>
      </c>
      <c r="Y21" s="25">
        <v>1</v>
      </c>
      <c r="Z21" s="25">
        <v>1</v>
      </c>
      <c r="AA21" s="25">
        <v>1</v>
      </c>
      <c r="AC21" s="149" t="str">
        <v>G5</v>
      </c>
      <c r="AD21" s="105">
        <v>0</v>
      </c>
      <c r="AE21" s="105">
        <v>4</v>
      </c>
      <c r="AF21" s="105">
        <v>3</v>
      </c>
      <c r="AG21" s="105">
        <v>3</v>
      </c>
      <c r="AH21" s="105">
        <v>0</v>
      </c>
      <c r="AI21" s="5"/>
      <c r="AJ21" s="149" t="str">
        <v>G5</v>
      </c>
      <c r="AK21" s="105">
        <v>0</v>
      </c>
      <c r="AL21" s="105">
        <v>4</v>
      </c>
      <c r="AM21" s="105">
        <v>3</v>
      </c>
      <c r="AN21" s="105">
        <v>3</v>
      </c>
      <c r="AO21" s="105">
        <v>0</v>
      </c>
    </row>
    <row r="22" spans="1:41" ht="15.9" customHeight="1">
      <c r="A22" s="29" t="str">
        <v>GQ</v>
      </c>
      <c r="B22" s="8" t="str">
        <v>Gold Q</v>
      </c>
      <c r="C22" s="105">
        <f t="shared" si="0"/>
        <v>0</v>
      </c>
      <c r="D22" s="105">
        <f t="shared" si="0"/>
        <v>8</v>
      </c>
      <c r="E22" s="105">
        <f t="shared" si="0"/>
        <v>0</v>
      </c>
      <c r="F22" s="105">
        <f t="shared" si="0"/>
        <v>4</v>
      </c>
      <c r="G22" s="105">
        <f t="shared" si="0"/>
        <v>0</v>
      </c>
      <c r="H22" s="8">
        <v>18</v>
      </c>
      <c r="I22" s="87"/>
      <c r="J22" s="25">
        <v>18</v>
      </c>
      <c r="K22" s="16" t="s">
        <v>35</v>
      </c>
      <c r="L22" s="16" t="s">
        <v>136</v>
      </c>
      <c r="M22" s="16" t="s">
        <v>35</v>
      </c>
      <c r="N22" s="16" t="s">
        <v>18</v>
      </c>
      <c r="O22" s="16" t="s">
        <v>21</v>
      </c>
      <c r="Q22" s="9">
        <v>8</v>
      </c>
      <c r="R22" s="9">
        <v>6</v>
      </c>
      <c r="S22" s="9">
        <v>8</v>
      </c>
      <c r="T22" s="9">
        <v>4</v>
      </c>
      <c r="U22" s="9">
        <v>2</v>
      </c>
      <c r="W22" s="25">
        <v>1</v>
      </c>
      <c r="X22" s="25">
        <v>1</v>
      </c>
      <c r="Y22" s="25">
        <v>1</v>
      </c>
      <c r="Z22" s="25">
        <v>1</v>
      </c>
      <c r="AA22" s="25">
        <v>1</v>
      </c>
      <c r="AC22" s="149" t="str">
        <v>GA</v>
      </c>
      <c r="AD22" s="105">
        <v>0</v>
      </c>
      <c r="AE22" s="105">
        <v>4</v>
      </c>
      <c r="AF22" s="105">
        <v>3</v>
      </c>
      <c r="AG22" s="105">
        <v>3</v>
      </c>
      <c r="AH22" s="105">
        <v>0</v>
      </c>
      <c r="AI22" s="5"/>
      <c r="AJ22" s="149" t="str">
        <v>GA</v>
      </c>
      <c r="AK22" s="105">
        <v>0</v>
      </c>
      <c r="AL22" s="105">
        <v>4</v>
      </c>
      <c r="AM22" s="105">
        <v>3</v>
      </c>
      <c r="AN22" s="105">
        <v>3</v>
      </c>
      <c r="AO22" s="105">
        <v>0</v>
      </c>
    </row>
    <row r="23" spans="1:41" ht="15.9" customHeight="1">
      <c r="A23" s="29" t="str">
        <v>GJ</v>
      </c>
      <c r="B23" s="8" t="str">
        <v>Gold J</v>
      </c>
      <c r="C23" s="105">
        <f t="shared" si="0"/>
        <v>0</v>
      </c>
      <c r="D23" s="105">
        <f t="shared" si="0"/>
        <v>8</v>
      </c>
      <c r="E23" s="105">
        <f t="shared" si="0"/>
        <v>0</v>
      </c>
      <c r="F23" s="105">
        <f t="shared" si="0"/>
        <v>4</v>
      </c>
      <c r="G23" s="105">
        <f t="shared" si="0"/>
        <v>0</v>
      </c>
      <c r="H23" s="8">
        <v>19</v>
      </c>
      <c r="I23" s="87"/>
      <c r="J23" s="9">
        <v>19</v>
      </c>
      <c r="K23" s="16" t="s">
        <v>136</v>
      </c>
      <c r="L23" s="16" t="s">
        <v>19</v>
      </c>
      <c r="M23" s="16" t="s">
        <v>136</v>
      </c>
      <c r="N23" s="16" t="s">
        <v>92</v>
      </c>
      <c r="O23" s="16" t="s">
        <v>21</v>
      </c>
      <c r="Q23" s="9">
        <v>6</v>
      </c>
      <c r="R23" s="9">
        <v>5</v>
      </c>
      <c r="S23" s="9">
        <v>6</v>
      </c>
      <c r="T23" s="9">
        <v>16</v>
      </c>
      <c r="U23" s="9">
        <v>2</v>
      </c>
      <c r="W23" s="25">
        <v>1</v>
      </c>
      <c r="X23" s="25">
        <v>1</v>
      </c>
      <c r="Y23" s="25">
        <v>1</v>
      </c>
      <c r="Z23" s="25">
        <v>1</v>
      </c>
      <c r="AA23" s="25">
        <v>1</v>
      </c>
      <c r="AC23" s="149" t="str">
        <v>GK</v>
      </c>
      <c r="AD23" s="105">
        <v>0</v>
      </c>
      <c r="AE23" s="105">
        <v>4</v>
      </c>
      <c r="AF23" s="105">
        <v>3</v>
      </c>
      <c r="AG23" s="105">
        <v>3</v>
      </c>
      <c r="AH23" s="105">
        <v>0</v>
      </c>
      <c r="AI23" s="5"/>
      <c r="AJ23" s="149" t="str">
        <v>GK</v>
      </c>
      <c r="AK23" s="105">
        <v>0</v>
      </c>
      <c r="AL23" s="105">
        <v>4</v>
      </c>
      <c r="AM23" s="105">
        <v>3</v>
      </c>
      <c r="AN23" s="105">
        <v>3</v>
      </c>
      <c r="AO23" s="105">
        <v>0</v>
      </c>
    </row>
    <row r="24" spans="1:41" ht="15.9" customHeight="1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7"/>
      <c r="J24" s="25">
        <v>20</v>
      </c>
      <c r="K24" s="16" t="s">
        <v>37</v>
      </c>
      <c r="L24" s="16" t="s">
        <v>119</v>
      </c>
      <c r="M24" s="16" t="s">
        <v>37</v>
      </c>
      <c r="N24" s="16" t="s">
        <v>34</v>
      </c>
      <c r="O24" s="16" t="s">
        <v>19</v>
      </c>
      <c r="Q24" s="9">
        <v>7</v>
      </c>
      <c r="R24" s="9">
        <v>17</v>
      </c>
      <c r="S24" s="9">
        <v>7</v>
      </c>
      <c r="T24" s="9">
        <v>9</v>
      </c>
      <c r="U24" s="9">
        <v>5</v>
      </c>
      <c r="W24" s="25">
        <v>1</v>
      </c>
      <c r="X24" s="25">
        <v>1</v>
      </c>
      <c r="Y24" s="25">
        <v>1</v>
      </c>
      <c r="Z24" s="25">
        <v>1</v>
      </c>
      <c r="AA24" s="25">
        <v>1</v>
      </c>
      <c r="AC24" s="149" t="str">
        <v>GQ</v>
      </c>
      <c r="AD24" s="105">
        <v>0</v>
      </c>
      <c r="AE24" s="105">
        <v>8</v>
      </c>
      <c r="AF24" s="105">
        <v>0</v>
      </c>
      <c r="AG24" s="105">
        <v>4</v>
      </c>
      <c r="AH24" s="105">
        <v>0</v>
      </c>
      <c r="AI24" s="5"/>
      <c r="AJ24" s="149" t="str">
        <v>GQ</v>
      </c>
      <c r="AK24" s="105">
        <v>0</v>
      </c>
      <c r="AL24" s="105">
        <v>8</v>
      </c>
      <c r="AM24" s="105">
        <v>0</v>
      </c>
      <c r="AN24" s="105">
        <v>4</v>
      </c>
      <c r="AO24" s="105">
        <v>0</v>
      </c>
    </row>
    <row r="25" spans="1:41" ht="16.5" customHeight="1">
      <c r="I25" s="87"/>
      <c r="J25" s="9">
        <v>21</v>
      </c>
      <c r="K25" s="16" t="s">
        <v>35</v>
      </c>
      <c r="L25" s="16" t="s">
        <v>119</v>
      </c>
      <c r="M25" s="16" t="s">
        <v>18</v>
      </c>
      <c r="N25" s="16" t="s">
        <v>21</v>
      </c>
      <c r="O25" s="16" t="s">
        <v>21</v>
      </c>
      <c r="Q25" s="9">
        <v>8</v>
      </c>
      <c r="R25" s="9">
        <v>17</v>
      </c>
      <c r="S25" s="9">
        <v>4</v>
      </c>
      <c r="T25" s="9">
        <v>2</v>
      </c>
      <c r="U25" s="9">
        <v>2</v>
      </c>
      <c r="W25" s="25">
        <v>1</v>
      </c>
      <c r="X25" s="25">
        <v>1</v>
      </c>
      <c r="Y25" s="25">
        <v>1</v>
      </c>
      <c r="Z25" s="25">
        <v>1</v>
      </c>
      <c r="AA25" s="25">
        <v>1</v>
      </c>
      <c r="AC25" s="149" t="str">
        <v>GJ</v>
      </c>
      <c r="AD25" s="105">
        <v>0</v>
      </c>
      <c r="AE25" s="105">
        <v>8</v>
      </c>
      <c r="AF25" s="105">
        <v>0</v>
      </c>
      <c r="AG25" s="105">
        <v>4</v>
      </c>
      <c r="AH25" s="105">
        <v>0</v>
      </c>
      <c r="AI25" s="5"/>
      <c r="AJ25" s="149" t="str">
        <v>GJ</v>
      </c>
      <c r="AK25" s="105">
        <v>0</v>
      </c>
      <c r="AL25" s="105">
        <v>8</v>
      </c>
      <c r="AM25" s="105">
        <v>0</v>
      </c>
      <c r="AN25" s="105">
        <v>4</v>
      </c>
      <c r="AO25" s="105">
        <v>0</v>
      </c>
    </row>
    <row r="26" spans="1:41" ht="16.5" customHeight="1">
      <c r="A26" s="20" t="s">
        <v>5</v>
      </c>
      <c r="B26" s="20" t="s">
        <v>12</v>
      </c>
      <c r="C26" s="20" t="s">
        <v>6</v>
      </c>
      <c r="D26" s="20" t="s">
        <v>7</v>
      </c>
      <c r="E26" s="20" t="s">
        <v>8</v>
      </c>
      <c r="F26" s="20" t="s">
        <v>9</v>
      </c>
      <c r="G26" s="20" t="s">
        <v>10</v>
      </c>
      <c r="H26" s="20" t="s">
        <v>11</v>
      </c>
      <c r="I26" s="87"/>
      <c r="J26" s="25">
        <v>22</v>
      </c>
      <c r="K26" s="16" t="s">
        <v>35</v>
      </c>
      <c r="L26" s="16" t="s">
        <v>22</v>
      </c>
      <c r="M26" s="16" t="s">
        <v>35</v>
      </c>
      <c r="N26" s="16" t="s">
        <v>37</v>
      </c>
      <c r="O26" s="16" t="s">
        <v>19</v>
      </c>
      <c r="Q26" s="9">
        <v>8</v>
      </c>
      <c r="R26" s="9">
        <v>3</v>
      </c>
      <c r="S26" s="9">
        <v>8</v>
      </c>
      <c r="T26" s="9">
        <v>7</v>
      </c>
      <c r="U26" s="9">
        <v>5</v>
      </c>
      <c r="W26" s="25">
        <v>1</v>
      </c>
      <c r="X26" s="25">
        <v>1</v>
      </c>
      <c r="Y26" s="25">
        <v>1</v>
      </c>
      <c r="Z26" s="25">
        <v>1</v>
      </c>
      <c r="AA26" s="25">
        <v>1</v>
      </c>
      <c r="AD26" s="119">
        <f>SUM(AD6:AD25)</f>
        <v>200</v>
      </c>
      <c r="AE26" s="119">
        <f>SUM(AE6:AE25)</f>
        <v>200</v>
      </c>
      <c r="AF26" s="119">
        <f>SUM(AF6:AF25)</f>
        <v>200</v>
      </c>
      <c r="AG26" s="119">
        <f>SUM(AG6:AG25)</f>
        <v>200</v>
      </c>
      <c r="AH26" s="119">
        <f>SUM(AH6:AH25)</f>
        <v>200</v>
      </c>
      <c r="AI26" s="5"/>
      <c r="AK26" s="119">
        <f>SUM(AK6:AK25)</f>
        <v>200</v>
      </c>
      <c r="AL26" s="119">
        <f>SUM(AL6:AL25)</f>
        <v>200</v>
      </c>
      <c r="AM26" s="119">
        <f>SUM(AM6:AM25)</f>
        <v>200</v>
      </c>
      <c r="AN26" s="119">
        <f>SUM(AN6:AN25)</f>
        <v>200</v>
      </c>
      <c r="AO26" s="119">
        <f>SUM(AO6:AO25)</f>
        <v>200</v>
      </c>
    </row>
    <row r="27" spans="1:41" ht="16.5" customHeight="1">
      <c r="A27" s="29" t="str" cm="1">
        <f t="array" ref="A27:B46">_xlfn.ANCHORARRAY(A4)</f>
        <v>WW</v>
      </c>
      <c r="B27" s="8" t="str">
        <v>Wild</v>
      </c>
      <c r="C27" s="160" cm="1">
        <f t="array" ref="C27:G46">C4:G23/C24:G24</f>
        <v>0</v>
      </c>
      <c r="D27" s="160">
        <v>0</v>
      </c>
      <c r="E27" s="160">
        <v>0</v>
      </c>
      <c r="F27" s="160">
        <v>0</v>
      </c>
      <c r="G27" s="160">
        <v>0</v>
      </c>
      <c r="H27" s="8" cm="1">
        <f t="array" ref="H27:H46">_xlfn.ANCHORARRAY(H4)</f>
        <v>0</v>
      </c>
      <c r="I27" s="87"/>
      <c r="J27" s="9">
        <v>23</v>
      </c>
      <c r="K27" s="16" t="s">
        <v>35</v>
      </c>
      <c r="L27" s="16" t="s">
        <v>18</v>
      </c>
      <c r="M27" s="16" t="s">
        <v>136</v>
      </c>
      <c r="N27" s="16" t="s">
        <v>20</v>
      </c>
      <c r="O27" s="16" t="s">
        <v>136</v>
      </c>
      <c r="Q27" s="9">
        <v>8</v>
      </c>
      <c r="R27" s="9">
        <v>4</v>
      </c>
      <c r="S27" s="9">
        <v>6</v>
      </c>
      <c r="T27" s="9">
        <v>1</v>
      </c>
      <c r="U27" s="9">
        <v>6</v>
      </c>
      <c r="W27" s="25">
        <v>1</v>
      </c>
      <c r="X27" s="25">
        <v>1</v>
      </c>
      <c r="Y27" s="25">
        <v>1</v>
      </c>
      <c r="Z27" s="25">
        <v>1</v>
      </c>
      <c r="AA27" s="25">
        <v>1</v>
      </c>
      <c r="AH27" s="5"/>
      <c r="AI27" s="5"/>
      <c r="AO27" s="5"/>
    </row>
    <row r="28" spans="1:41" ht="16.5" customHeight="1">
      <c r="A28" s="29" t="str">
        <v>C1</v>
      </c>
      <c r="B28" s="8" t="str">
        <v>Scatter</v>
      </c>
      <c r="C28" s="160">
        <v>0.03</v>
      </c>
      <c r="D28" s="160">
        <v>0.03</v>
      </c>
      <c r="E28" s="160">
        <v>0.03</v>
      </c>
      <c r="F28" s="160">
        <v>4.4999999999999998E-2</v>
      </c>
      <c r="G28" s="160">
        <v>4.4999999999999998E-2</v>
      </c>
      <c r="H28" s="8">
        <v>1</v>
      </c>
      <c r="I28" s="87"/>
      <c r="J28" s="25">
        <v>24</v>
      </c>
      <c r="K28" s="16" t="s">
        <v>19</v>
      </c>
      <c r="L28" s="16" t="s">
        <v>18</v>
      </c>
      <c r="M28" s="16" t="s">
        <v>34</v>
      </c>
      <c r="N28" s="16" t="s">
        <v>97</v>
      </c>
      <c r="O28" s="16" t="s">
        <v>35</v>
      </c>
      <c r="Q28" s="9">
        <v>5</v>
      </c>
      <c r="R28" s="9">
        <v>4</v>
      </c>
      <c r="S28" s="9">
        <v>9</v>
      </c>
      <c r="T28" s="9">
        <v>19</v>
      </c>
      <c r="U28" s="9">
        <v>8</v>
      </c>
      <c r="W28" s="25">
        <v>1</v>
      </c>
      <c r="X28" s="25">
        <v>1</v>
      </c>
      <c r="Y28" s="25">
        <v>1</v>
      </c>
      <c r="Z28" s="25">
        <v>1</v>
      </c>
      <c r="AA28" s="25">
        <v>1</v>
      </c>
      <c r="AC28" s="27" t="s">
        <v>143</v>
      </c>
      <c r="AH28" s="5"/>
      <c r="AI28" s="5"/>
      <c r="AJ28" s="27" t="s">
        <v>143</v>
      </c>
      <c r="AO28" s="5"/>
    </row>
    <row r="29" spans="1:41" ht="16.5" customHeight="1">
      <c r="A29" s="29" t="str">
        <v>M1</v>
      </c>
      <c r="B29" s="8" t="str">
        <v>M1</v>
      </c>
      <c r="C29" s="160">
        <v>0.02</v>
      </c>
      <c r="D29" s="160">
        <v>8.5000000000000006E-2</v>
      </c>
      <c r="E29" s="160">
        <v>0.02</v>
      </c>
      <c r="F29" s="160">
        <v>0.105</v>
      </c>
      <c r="G29" s="160">
        <v>0.11</v>
      </c>
      <c r="H29" s="8">
        <v>2</v>
      </c>
      <c r="I29" s="87"/>
      <c r="J29" s="9">
        <v>25</v>
      </c>
      <c r="K29" s="16" t="s">
        <v>35</v>
      </c>
      <c r="L29" s="16" t="s">
        <v>35</v>
      </c>
      <c r="M29" s="16" t="s">
        <v>35</v>
      </c>
      <c r="N29" s="16" t="s">
        <v>18</v>
      </c>
      <c r="O29" s="16" t="s">
        <v>18</v>
      </c>
      <c r="Q29" s="9">
        <v>8</v>
      </c>
      <c r="R29" s="9">
        <v>8</v>
      </c>
      <c r="S29" s="9">
        <v>8</v>
      </c>
      <c r="T29" s="9">
        <v>4</v>
      </c>
      <c r="U29" s="9">
        <v>4</v>
      </c>
      <c r="W29" s="25">
        <v>1</v>
      </c>
      <c r="X29" s="25">
        <v>1</v>
      </c>
      <c r="Y29" s="25">
        <v>1</v>
      </c>
      <c r="Z29" s="25">
        <v>1</v>
      </c>
      <c r="AA29" s="25">
        <v>1</v>
      </c>
      <c r="AC29" s="146" t="s">
        <v>42</v>
      </c>
      <c r="AD29" s="146" t="s">
        <v>13</v>
      </c>
      <c r="AE29" s="146" t="s">
        <v>14</v>
      </c>
      <c r="AF29" s="146" t="s">
        <v>15</v>
      </c>
      <c r="AG29" s="146" t="s">
        <v>16</v>
      </c>
      <c r="AH29" s="146" t="s">
        <v>17</v>
      </c>
      <c r="AI29" s="5"/>
      <c r="AJ29" s="146" t="s">
        <v>42</v>
      </c>
      <c r="AK29" s="146" t="s">
        <v>13</v>
      </c>
      <c r="AL29" s="146" t="s">
        <v>14</v>
      </c>
      <c r="AM29" s="146" t="s">
        <v>15</v>
      </c>
      <c r="AN29" s="146" t="s">
        <v>16</v>
      </c>
      <c r="AO29" s="146" t="s">
        <v>17</v>
      </c>
    </row>
    <row r="30" spans="1:41" ht="16.5" customHeight="1">
      <c r="A30" s="29" t="str">
        <v>M2</v>
      </c>
      <c r="B30" s="8" t="str">
        <v>M2</v>
      </c>
      <c r="C30" s="160">
        <v>0.02</v>
      </c>
      <c r="D30" s="160">
        <v>0.09</v>
      </c>
      <c r="E30" s="160">
        <v>0.02</v>
      </c>
      <c r="F30" s="160">
        <v>0.1</v>
      </c>
      <c r="G30" s="160">
        <v>0.11</v>
      </c>
      <c r="H30" s="8">
        <v>3</v>
      </c>
      <c r="I30" s="87"/>
      <c r="J30" s="25">
        <v>26</v>
      </c>
      <c r="K30" s="16" t="s">
        <v>37</v>
      </c>
      <c r="L30" s="16" t="s">
        <v>35</v>
      </c>
      <c r="M30" s="16" t="s">
        <v>136</v>
      </c>
      <c r="N30" s="16" t="s">
        <v>36</v>
      </c>
      <c r="O30" s="16" t="s">
        <v>136</v>
      </c>
      <c r="Q30" s="9">
        <v>7</v>
      </c>
      <c r="R30" s="9">
        <v>8</v>
      </c>
      <c r="S30" s="9">
        <v>6</v>
      </c>
      <c r="T30" s="9">
        <v>10</v>
      </c>
      <c r="U30" s="9">
        <v>6</v>
      </c>
      <c r="W30" s="25">
        <v>1</v>
      </c>
      <c r="X30" s="25">
        <v>1</v>
      </c>
      <c r="Y30" s="25">
        <v>1</v>
      </c>
      <c r="Z30" s="25">
        <v>1</v>
      </c>
      <c r="AA30" s="25">
        <v>1</v>
      </c>
      <c r="AC30" s="149" t="str" cm="1">
        <f t="array" ref="AC30:AC49">$A$4:$A$23</f>
        <v>WW</v>
      </c>
      <c r="AD30" s="150">
        <v>0</v>
      </c>
      <c r="AE30" s="150">
        <v>0</v>
      </c>
      <c r="AF30" s="150">
        <v>0</v>
      </c>
      <c r="AG30" s="150">
        <v>0</v>
      </c>
      <c r="AH30" s="150">
        <v>0</v>
      </c>
      <c r="AI30" s="5"/>
      <c r="AJ30" s="149" t="str" cm="1">
        <f t="array" ref="AJ30:AJ49">$A$4:$A$23</f>
        <v>WW</v>
      </c>
      <c r="AK30" s="150">
        <v>0</v>
      </c>
      <c r="AL30" s="150">
        <v>0</v>
      </c>
      <c r="AM30" s="150">
        <v>0</v>
      </c>
      <c r="AN30" s="150">
        <v>0</v>
      </c>
      <c r="AO30" s="150">
        <v>0</v>
      </c>
    </row>
    <row r="31" spans="1:41" ht="16.5" customHeight="1">
      <c r="A31" s="29" t="str">
        <v>M3</v>
      </c>
      <c r="B31" s="8" t="str">
        <v>M3</v>
      </c>
      <c r="C31" s="160">
        <v>0.02</v>
      </c>
      <c r="D31" s="160">
        <v>0.09</v>
      </c>
      <c r="E31" s="160">
        <v>0.02</v>
      </c>
      <c r="F31" s="160">
        <v>0.1</v>
      </c>
      <c r="G31" s="160">
        <v>0.105</v>
      </c>
      <c r="H31" s="8">
        <v>4</v>
      </c>
      <c r="I31" s="87"/>
      <c r="J31" s="9">
        <v>27</v>
      </c>
      <c r="K31" s="16" t="s">
        <v>19</v>
      </c>
      <c r="L31" s="16" t="s">
        <v>95</v>
      </c>
      <c r="M31" s="16" t="s">
        <v>37</v>
      </c>
      <c r="N31" s="16" t="s">
        <v>97</v>
      </c>
      <c r="O31" s="16" t="s">
        <v>34</v>
      </c>
      <c r="Q31" s="9">
        <v>5</v>
      </c>
      <c r="R31" s="9">
        <v>18</v>
      </c>
      <c r="S31" s="9">
        <v>7</v>
      </c>
      <c r="T31" s="9">
        <v>19</v>
      </c>
      <c r="U31" s="9">
        <v>9</v>
      </c>
      <c r="W31" s="25">
        <v>1</v>
      </c>
      <c r="X31" s="25">
        <v>1</v>
      </c>
      <c r="Y31" s="25">
        <v>1</v>
      </c>
      <c r="Z31" s="25">
        <v>1</v>
      </c>
      <c r="AA31" s="25">
        <v>1</v>
      </c>
      <c r="AC31" s="149" t="str">
        <v>C1</v>
      </c>
      <c r="AD31" s="149">
        <v>3</v>
      </c>
      <c r="AE31" s="149">
        <v>3</v>
      </c>
      <c r="AF31" s="149">
        <v>3</v>
      </c>
      <c r="AG31" s="149">
        <v>6</v>
      </c>
      <c r="AH31" s="149">
        <v>6</v>
      </c>
      <c r="AI31" s="5"/>
      <c r="AJ31" s="149" t="str">
        <v>C1</v>
      </c>
      <c r="AK31" s="149">
        <v>3</v>
      </c>
      <c r="AL31" s="149">
        <v>3</v>
      </c>
      <c r="AM31" s="149">
        <v>3</v>
      </c>
      <c r="AN31" s="149">
        <v>6</v>
      </c>
      <c r="AO31" s="149">
        <v>6</v>
      </c>
    </row>
    <row r="32" spans="1:41" ht="16.5" customHeight="1">
      <c r="A32" s="29" t="str">
        <v>M4</v>
      </c>
      <c r="B32" s="8" t="str">
        <v>M4</v>
      </c>
      <c r="C32" s="160">
        <v>0.2</v>
      </c>
      <c r="D32" s="160">
        <v>7.0000000000000007E-2</v>
      </c>
      <c r="E32" s="160">
        <v>0.20499999999999999</v>
      </c>
      <c r="F32" s="160">
        <v>7.0000000000000007E-2</v>
      </c>
      <c r="G32" s="160">
        <v>0.105</v>
      </c>
      <c r="H32" s="8">
        <v>5</v>
      </c>
      <c r="J32" s="25">
        <v>28</v>
      </c>
      <c r="K32" s="16" t="s">
        <v>35</v>
      </c>
      <c r="L32" s="16" t="s">
        <v>91</v>
      </c>
      <c r="M32" s="16" t="s">
        <v>136</v>
      </c>
      <c r="N32" s="16" t="s">
        <v>88</v>
      </c>
      <c r="O32" s="16" t="s">
        <v>34</v>
      </c>
      <c r="Q32" s="9">
        <v>8</v>
      </c>
      <c r="R32" s="9">
        <v>14</v>
      </c>
      <c r="S32" s="9">
        <v>6</v>
      </c>
      <c r="T32" s="9">
        <v>11</v>
      </c>
      <c r="U32" s="9">
        <v>9</v>
      </c>
      <c r="W32" s="25">
        <v>1</v>
      </c>
      <c r="X32" s="25">
        <v>1</v>
      </c>
      <c r="Y32" s="25">
        <v>1</v>
      </c>
      <c r="Z32" s="25">
        <v>1</v>
      </c>
      <c r="AA32" s="25">
        <v>1</v>
      </c>
      <c r="AC32" s="166" t="str">
        <v>M1</v>
      </c>
      <c r="AD32" s="144">
        <v>4</v>
      </c>
      <c r="AE32" s="144">
        <v>17</v>
      </c>
      <c r="AF32" s="144">
        <v>4</v>
      </c>
      <c r="AG32" s="144">
        <v>21</v>
      </c>
      <c r="AH32" s="144">
        <v>22</v>
      </c>
      <c r="AI32" s="5"/>
      <c r="AJ32" s="166" t="str">
        <v>M1</v>
      </c>
      <c r="AK32" s="144">
        <v>4</v>
      </c>
      <c r="AL32" s="144">
        <v>17</v>
      </c>
      <c r="AM32" s="144">
        <v>4</v>
      </c>
      <c r="AN32" s="144">
        <v>21</v>
      </c>
      <c r="AO32" s="144">
        <v>22</v>
      </c>
    </row>
    <row r="33" spans="1:41" ht="16.5" customHeight="1">
      <c r="A33" s="29" t="str">
        <v>M5</v>
      </c>
      <c r="B33" s="8" t="str">
        <v>M5</v>
      </c>
      <c r="C33" s="160">
        <v>0.2</v>
      </c>
      <c r="D33" s="160">
        <v>7.0000000000000007E-2</v>
      </c>
      <c r="E33" s="160">
        <v>0.20499999999999999</v>
      </c>
      <c r="F33" s="160">
        <v>7.0000000000000007E-2</v>
      </c>
      <c r="G33" s="160">
        <v>0.105</v>
      </c>
      <c r="H33" s="8">
        <v>6</v>
      </c>
      <c r="J33" s="9">
        <v>29</v>
      </c>
      <c r="K33" s="16" t="s">
        <v>21</v>
      </c>
      <c r="L33" s="16" t="s">
        <v>90</v>
      </c>
      <c r="M33" s="16" t="s">
        <v>19</v>
      </c>
      <c r="N33" s="16" t="s">
        <v>22</v>
      </c>
      <c r="O33" s="16" t="s">
        <v>21</v>
      </c>
      <c r="Q33" s="9">
        <v>2</v>
      </c>
      <c r="R33" s="9">
        <v>13</v>
      </c>
      <c r="S33" s="9">
        <v>5</v>
      </c>
      <c r="T33" s="9">
        <v>3</v>
      </c>
      <c r="U33" s="9">
        <v>2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C33" s="166" t="str">
        <v>M2</v>
      </c>
      <c r="AD33" s="144">
        <v>4</v>
      </c>
      <c r="AE33" s="144">
        <v>18</v>
      </c>
      <c r="AF33" s="144">
        <v>4</v>
      </c>
      <c r="AG33" s="144">
        <v>20</v>
      </c>
      <c r="AH33" s="144">
        <v>22</v>
      </c>
      <c r="AI33" s="5"/>
      <c r="AJ33" s="166" t="str">
        <v>M2</v>
      </c>
      <c r="AK33" s="144">
        <v>4</v>
      </c>
      <c r="AL33" s="144">
        <v>18</v>
      </c>
      <c r="AM33" s="144">
        <v>4</v>
      </c>
      <c r="AN33" s="144">
        <v>20</v>
      </c>
      <c r="AO33" s="144">
        <v>22</v>
      </c>
    </row>
    <row r="34" spans="1:41" ht="16.5" customHeight="1">
      <c r="A34" s="29" t="str">
        <v>A</v>
      </c>
      <c r="B34" s="8" t="str">
        <v>A</v>
      </c>
      <c r="C34" s="160">
        <v>0.23499999999999999</v>
      </c>
      <c r="D34" s="160">
        <v>6.5000000000000002E-2</v>
      </c>
      <c r="E34" s="160">
        <v>0.20499999999999999</v>
      </c>
      <c r="F34" s="160">
        <v>7.0000000000000007E-2</v>
      </c>
      <c r="G34" s="160">
        <v>0.105</v>
      </c>
      <c r="H34" s="8">
        <v>7</v>
      </c>
      <c r="J34" s="25">
        <v>30</v>
      </c>
      <c r="K34" s="16" t="s">
        <v>35</v>
      </c>
      <c r="L34" s="16" t="s">
        <v>36</v>
      </c>
      <c r="M34" s="16" t="s">
        <v>35</v>
      </c>
      <c r="N34" s="16" t="s">
        <v>21</v>
      </c>
      <c r="O34" s="16" t="s">
        <v>21</v>
      </c>
      <c r="Q34" s="9">
        <v>8</v>
      </c>
      <c r="R34" s="9">
        <v>10</v>
      </c>
      <c r="S34" s="9">
        <v>8</v>
      </c>
      <c r="T34" s="9">
        <v>2</v>
      </c>
      <c r="U34" s="9">
        <v>2</v>
      </c>
      <c r="W34" s="25">
        <v>1</v>
      </c>
      <c r="X34" s="25">
        <v>1</v>
      </c>
      <c r="Y34" s="25">
        <v>1</v>
      </c>
      <c r="Z34" s="25">
        <v>1</v>
      </c>
      <c r="AA34" s="25">
        <v>1</v>
      </c>
      <c r="AC34" s="166" t="str">
        <v>M3</v>
      </c>
      <c r="AD34" s="144">
        <v>4</v>
      </c>
      <c r="AE34" s="144">
        <v>18</v>
      </c>
      <c r="AF34" s="144">
        <v>4</v>
      </c>
      <c r="AG34" s="144">
        <v>20</v>
      </c>
      <c r="AH34" s="144">
        <v>21</v>
      </c>
      <c r="AI34" s="5"/>
      <c r="AJ34" s="166" t="str">
        <v>M3</v>
      </c>
      <c r="AK34" s="144">
        <v>4</v>
      </c>
      <c r="AL34" s="144">
        <v>18</v>
      </c>
      <c r="AM34" s="144">
        <v>4</v>
      </c>
      <c r="AN34" s="144">
        <v>20</v>
      </c>
      <c r="AO34" s="144">
        <v>21</v>
      </c>
    </row>
    <row r="35" spans="1:41" ht="16.5" customHeight="1">
      <c r="A35" s="29" t="str">
        <v>K</v>
      </c>
      <c r="B35" s="8" t="str">
        <v>K</v>
      </c>
      <c r="C35" s="160">
        <v>0.23499999999999999</v>
      </c>
      <c r="D35" s="160">
        <v>6.5000000000000002E-2</v>
      </c>
      <c r="E35" s="160">
        <v>0.20499999999999999</v>
      </c>
      <c r="F35" s="160">
        <v>7.0000000000000007E-2</v>
      </c>
      <c r="G35" s="160">
        <v>0.105</v>
      </c>
      <c r="H35" s="8">
        <v>8</v>
      </c>
      <c r="J35" s="9">
        <v>31</v>
      </c>
      <c r="K35" s="16" t="s">
        <v>19</v>
      </c>
      <c r="L35" s="16" t="s">
        <v>36</v>
      </c>
      <c r="M35" s="16" t="s">
        <v>37</v>
      </c>
      <c r="N35" s="16" t="s">
        <v>136</v>
      </c>
      <c r="O35" s="16" t="s">
        <v>20</v>
      </c>
      <c r="Q35" s="9">
        <v>5</v>
      </c>
      <c r="R35" s="9">
        <v>10</v>
      </c>
      <c r="S35" s="9">
        <v>7</v>
      </c>
      <c r="T35" s="9">
        <v>6</v>
      </c>
      <c r="U35" s="9">
        <v>1</v>
      </c>
      <c r="W35" s="25">
        <v>1</v>
      </c>
      <c r="X35" s="25">
        <v>1</v>
      </c>
      <c r="Y35" s="25">
        <v>1</v>
      </c>
      <c r="Z35" s="25">
        <v>1</v>
      </c>
      <c r="AA35" s="25">
        <v>1</v>
      </c>
      <c r="AC35" s="166" t="str">
        <v>M4</v>
      </c>
      <c r="AD35" s="144">
        <v>40</v>
      </c>
      <c r="AE35" s="144">
        <v>14</v>
      </c>
      <c r="AF35" s="144">
        <v>41</v>
      </c>
      <c r="AG35" s="144">
        <v>14</v>
      </c>
      <c r="AH35" s="144">
        <v>21</v>
      </c>
      <c r="AI35" s="5"/>
      <c r="AJ35" s="166" t="str">
        <v>M4</v>
      </c>
      <c r="AK35" s="144">
        <v>40</v>
      </c>
      <c r="AL35" s="144">
        <v>14</v>
      </c>
      <c r="AM35" s="144">
        <v>41</v>
      </c>
      <c r="AN35" s="144">
        <v>14</v>
      </c>
      <c r="AO35" s="144">
        <v>21</v>
      </c>
    </row>
    <row r="36" spans="1:41" ht="16.5" customHeight="1">
      <c r="A36" s="29" t="str">
        <v>Q</v>
      </c>
      <c r="B36" s="8" t="str">
        <v>Q</v>
      </c>
      <c r="C36" s="160">
        <v>0.02</v>
      </c>
      <c r="D36" s="160">
        <v>8.5000000000000006E-2</v>
      </c>
      <c r="E36" s="160">
        <v>1.4999999999999999E-2</v>
      </c>
      <c r="F36" s="160">
        <v>0.105</v>
      </c>
      <c r="G36" s="160">
        <v>0.105</v>
      </c>
      <c r="H36" s="8">
        <v>9</v>
      </c>
      <c r="J36" s="25">
        <v>32</v>
      </c>
      <c r="K36" s="16" t="s">
        <v>37</v>
      </c>
      <c r="L36" s="16" t="s">
        <v>19</v>
      </c>
      <c r="M36" s="16" t="s">
        <v>18</v>
      </c>
      <c r="N36" s="16" t="s">
        <v>136</v>
      </c>
      <c r="O36" s="16" t="s">
        <v>34</v>
      </c>
      <c r="Q36" s="9">
        <v>7</v>
      </c>
      <c r="R36" s="9">
        <v>5</v>
      </c>
      <c r="S36" s="9">
        <v>4</v>
      </c>
      <c r="T36" s="9">
        <v>6</v>
      </c>
      <c r="U36" s="9">
        <v>9</v>
      </c>
      <c r="W36" s="25">
        <v>1</v>
      </c>
      <c r="X36" s="25">
        <v>1</v>
      </c>
      <c r="Y36" s="25">
        <v>1</v>
      </c>
      <c r="Z36" s="25">
        <v>1</v>
      </c>
      <c r="AA36" s="25">
        <v>1</v>
      </c>
      <c r="AC36" s="166" t="str">
        <v>M5</v>
      </c>
      <c r="AD36" s="144">
        <v>40</v>
      </c>
      <c r="AE36" s="144">
        <v>14</v>
      </c>
      <c r="AF36" s="144">
        <v>41</v>
      </c>
      <c r="AG36" s="144">
        <v>14</v>
      </c>
      <c r="AH36" s="144">
        <v>21</v>
      </c>
      <c r="AI36" s="5"/>
      <c r="AJ36" s="166" t="str">
        <v>M5</v>
      </c>
      <c r="AK36" s="144">
        <v>40</v>
      </c>
      <c r="AL36" s="144">
        <v>14</v>
      </c>
      <c r="AM36" s="144">
        <v>41</v>
      </c>
      <c r="AN36" s="144">
        <v>14</v>
      </c>
      <c r="AO36" s="144">
        <v>21</v>
      </c>
    </row>
    <row r="37" spans="1:41" ht="16.5" customHeight="1">
      <c r="A37" s="29" t="str">
        <v>J</v>
      </c>
      <c r="B37" s="8" t="str">
        <v>J</v>
      </c>
      <c r="C37" s="160">
        <v>0.02</v>
      </c>
      <c r="D37" s="160">
        <v>8.5000000000000006E-2</v>
      </c>
      <c r="E37" s="160">
        <v>1.4999999999999999E-2</v>
      </c>
      <c r="F37" s="160">
        <v>0.105</v>
      </c>
      <c r="G37" s="160">
        <v>0.105</v>
      </c>
      <c r="H37" s="8">
        <v>10</v>
      </c>
      <c r="J37" s="9">
        <v>33</v>
      </c>
      <c r="K37" s="16" t="s">
        <v>19</v>
      </c>
      <c r="L37" s="16" t="s">
        <v>35</v>
      </c>
      <c r="M37" s="16" t="s">
        <v>35</v>
      </c>
      <c r="N37" s="16" t="s">
        <v>92</v>
      </c>
      <c r="O37" s="16" t="s">
        <v>35</v>
      </c>
      <c r="Q37" s="9">
        <v>5</v>
      </c>
      <c r="R37" s="9">
        <v>8</v>
      </c>
      <c r="S37" s="9">
        <v>8</v>
      </c>
      <c r="T37" s="9">
        <v>16</v>
      </c>
      <c r="U37" s="9">
        <v>8</v>
      </c>
      <c r="W37" s="25">
        <v>1</v>
      </c>
      <c r="X37" s="25">
        <v>1</v>
      </c>
      <c r="Y37" s="25">
        <v>1</v>
      </c>
      <c r="Z37" s="25">
        <v>1</v>
      </c>
      <c r="AA37" s="25">
        <v>1</v>
      </c>
      <c r="AC37" s="166" t="str">
        <v>A</v>
      </c>
      <c r="AD37" s="144">
        <v>47</v>
      </c>
      <c r="AE37" s="144">
        <v>13</v>
      </c>
      <c r="AF37" s="144">
        <v>41</v>
      </c>
      <c r="AG37" s="144">
        <v>14</v>
      </c>
      <c r="AH37" s="144">
        <v>21</v>
      </c>
      <c r="AI37" s="5"/>
      <c r="AJ37" s="166" t="str">
        <v>A</v>
      </c>
      <c r="AK37" s="144">
        <v>47</v>
      </c>
      <c r="AL37" s="144">
        <v>13</v>
      </c>
      <c r="AM37" s="144">
        <v>41</v>
      </c>
      <c r="AN37" s="144">
        <v>14</v>
      </c>
      <c r="AO37" s="144">
        <v>21</v>
      </c>
    </row>
    <row r="38" spans="1:41" ht="16.5" customHeight="1">
      <c r="A38" s="29" t="str">
        <v>G1</v>
      </c>
      <c r="B38" s="8" t="str">
        <v>Gold M1</v>
      </c>
      <c r="C38" s="160">
        <v>0</v>
      </c>
      <c r="D38" s="160">
        <v>3.5000000000000003E-2</v>
      </c>
      <c r="E38" s="160">
        <v>0</v>
      </c>
      <c r="F38" s="160">
        <v>0.02</v>
      </c>
      <c r="G38" s="160">
        <v>0</v>
      </c>
      <c r="H38" s="8">
        <v>11</v>
      </c>
      <c r="J38" s="25">
        <v>34</v>
      </c>
      <c r="K38" s="16" t="s">
        <v>136</v>
      </c>
      <c r="L38" s="16" t="s">
        <v>89</v>
      </c>
      <c r="M38" s="16" t="s">
        <v>19</v>
      </c>
      <c r="N38" s="16" t="s">
        <v>35</v>
      </c>
      <c r="O38" s="16" t="s">
        <v>22</v>
      </c>
      <c r="Q38" s="9">
        <v>6</v>
      </c>
      <c r="R38" s="9">
        <v>12</v>
      </c>
      <c r="S38" s="9">
        <v>5</v>
      </c>
      <c r="T38" s="9">
        <v>8</v>
      </c>
      <c r="U38" s="9">
        <v>3</v>
      </c>
      <c r="W38" s="25">
        <v>1</v>
      </c>
      <c r="X38" s="25">
        <v>1</v>
      </c>
      <c r="Y38" s="25">
        <v>1</v>
      </c>
      <c r="Z38" s="25">
        <v>1</v>
      </c>
      <c r="AA38" s="25">
        <v>1</v>
      </c>
      <c r="AC38" s="166" t="str">
        <v>K</v>
      </c>
      <c r="AD38" s="144">
        <v>47</v>
      </c>
      <c r="AE38" s="144">
        <v>13</v>
      </c>
      <c r="AF38" s="144">
        <v>41</v>
      </c>
      <c r="AG38" s="144">
        <v>14</v>
      </c>
      <c r="AH38" s="144">
        <v>21</v>
      </c>
      <c r="AI38" s="5"/>
      <c r="AJ38" s="166" t="str">
        <v>K</v>
      </c>
      <c r="AK38" s="144">
        <v>47</v>
      </c>
      <c r="AL38" s="144">
        <v>13</v>
      </c>
      <c r="AM38" s="144">
        <v>41</v>
      </c>
      <c r="AN38" s="144">
        <v>14</v>
      </c>
      <c r="AO38" s="144">
        <v>21</v>
      </c>
    </row>
    <row r="39" spans="1:41" ht="16.5" customHeight="1">
      <c r="A39" s="29" t="str">
        <v>G2</v>
      </c>
      <c r="B39" s="8" t="str">
        <v>Gold M2</v>
      </c>
      <c r="C39" s="160">
        <v>0</v>
      </c>
      <c r="D39" s="160">
        <v>3.5000000000000003E-2</v>
      </c>
      <c r="E39" s="160">
        <v>0</v>
      </c>
      <c r="F39" s="160">
        <v>0.02</v>
      </c>
      <c r="G39" s="160">
        <v>0</v>
      </c>
      <c r="H39" s="8">
        <v>12</v>
      </c>
      <c r="J39" s="9">
        <v>35</v>
      </c>
      <c r="K39" s="16" t="s">
        <v>136</v>
      </c>
      <c r="L39" s="16" t="s">
        <v>37</v>
      </c>
      <c r="M39" s="16" t="s">
        <v>136</v>
      </c>
      <c r="N39" s="16" t="s">
        <v>21</v>
      </c>
      <c r="O39" s="16" t="s">
        <v>36</v>
      </c>
      <c r="Q39" s="9">
        <v>6</v>
      </c>
      <c r="R39" s="9">
        <v>7</v>
      </c>
      <c r="S39" s="9">
        <v>6</v>
      </c>
      <c r="T39" s="9">
        <v>2</v>
      </c>
      <c r="U39" s="9">
        <v>10</v>
      </c>
      <c r="W39" s="25">
        <v>1</v>
      </c>
      <c r="X39" s="25">
        <v>1</v>
      </c>
      <c r="Y39" s="25">
        <v>1</v>
      </c>
      <c r="Z39" s="25">
        <v>1</v>
      </c>
      <c r="AA39" s="25">
        <v>1</v>
      </c>
      <c r="AC39" s="166" t="str">
        <v>Q</v>
      </c>
      <c r="AD39" s="144">
        <v>4</v>
      </c>
      <c r="AE39" s="144">
        <v>17</v>
      </c>
      <c r="AF39" s="144">
        <v>3</v>
      </c>
      <c r="AG39" s="144">
        <v>21</v>
      </c>
      <c r="AH39" s="144">
        <v>21</v>
      </c>
      <c r="AI39" s="5"/>
      <c r="AJ39" s="166" t="str">
        <v>Q</v>
      </c>
      <c r="AK39" s="144">
        <v>4</v>
      </c>
      <c r="AL39" s="144">
        <v>17</v>
      </c>
      <c r="AM39" s="144">
        <v>3</v>
      </c>
      <c r="AN39" s="144">
        <v>21</v>
      </c>
      <c r="AO39" s="144">
        <v>21</v>
      </c>
    </row>
    <row r="40" spans="1:41" ht="16.5" customHeight="1">
      <c r="A40" s="29" t="str">
        <v>G3</v>
      </c>
      <c r="B40" s="8" t="str">
        <v>Gold M3</v>
      </c>
      <c r="C40" s="160">
        <v>0</v>
      </c>
      <c r="D40" s="160">
        <v>3.5000000000000003E-2</v>
      </c>
      <c r="E40" s="160">
        <v>0</v>
      </c>
      <c r="F40" s="160">
        <v>0.02</v>
      </c>
      <c r="G40" s="160">
        <v>0</v>
      </c>
      <c r="H40" s="8">
        <v>13</v>
      </c>
      <c r="J40" s="25">
        <v>36</v>
      </c>
      <c r="K40" s="16" t="s">
        <v>37</v>
      </c>
      <c r="L40" s="16" t="s">
        <v>92</v>
      </c>
      <c r="M40" s="16" t="s">
        <v>35</v>
      </c>
      <c r="N40" s="16" t="s">
        <v>91</v>
      </c>
      <c r="O40" s="16" t="s">
        <v>21</v>
      </c>
      <c r="Q40" s="9">
        <v>7</v>
      </c>
      <c r="R40" s="9">
        <v>16</v>
      </c>
      <c r="S40" s="9">
        <v>8</v>
      </c>
      <c r="T40" s="9">
        <v>14</v>
      </c>
      <c r="U40" s="9">
        <v>2</v>
      </c>
      <c r="W40" s="25">
        <v>1</v>
      </c>
      <c r="X40" s="25">
        <v>1</v>
      </c>
      <c r="Y40" s="25">
        <v>1</v>
      </c>
      <c r="Z40" s="25">
        <v>1</v>
      </c>
      <c r="AA40" s="25">
        <v>1</v>
      </c>
      <c r="AC40" s="166" t="str">
        <v>J</v>
      </c>
      <c r="AD40" s="144">
        <v>4</v>
      </c>
      <c r="AE40" s="144">
        <v>17</v>
      </c>
      <c r="AF40" s="144">
        <v>3</v>
      </c>
      <c r="AG40" s="144">
        <v>21</v>
      </c>
      <c r="AH40" s="144">
        <v>21</v>
      </c>
      <c r="AI40" s="5"/>
      <c r="AJ40" s="166" t="str">
        <v>J</v>
      </c>
      <c r="AK40" s="144">
        <v>4</v>
      </c>
      <c r="AL40" s="144">
        <v>17</v>
      </c>
      <c r="AM40" s="144">
        <v>3</v>
      </c>
      <c r="AN40" s="144">
        <v>21</v>
      </c>
      <c r="AO40" s="144">
        <v>21</v>
      </c>
    </row>
    <row r="41" spans="1:41" ht="16.5" customHeight="1">
      <c r="A41" s="29" t="str">
        <v>G4</v>
      </c>
      <c r="B41" s="8" t="str">
        <v>Gold M4</v>
      </c>
      <c r="C41" s="160">
        <v>0</v>
      </c>
      <c r="D41" s="160">
        <v>0.02</v>
      </c>
      <c r="E41" s="160">
        <v>1.4999999999999999E-2</v>
      </c>
      <c r="F41" s="160">
        <v>1.4999999999999999E-2</v>
      </c>
      <c r="G41" s="160">
        <v>0</v>
      </c>
      <c r="H41" s="8">
        <v>14</v>
      </c>
      <c r="J41" s="9">
        <v>37</v>
      </c>
      <c r="K41" s="16" t="s">
        <v>19</v>
      </c>
      <c r="L41" s="16" t="s">
        <v>92</v>
      </c>
      <c r="M41" s="16" t="s">
        <v>37</v>
      </c>
      <c r="N41" s="16" t="s">
        <v>20</v>
      </c>
      <c r="O41" s="16" t="s">
        <v>34</v>
      </c>
      <c r="Q41" s="9">
        <v>5</v>
      </c>
      <c r="R41" s="9">
        <v>16</v>
      </c>
      <c r="S41" s="9">
        <v>7</v>
      </c>
      <c r="T41" s="9">
        <v>1</v>
      </c>
      <c r="U41" s="9">
        <v>9</v>
      </c>
      <c r="W41" s="25">
        <v>1</v>
      </c>
      <c r="X41" s="25">
        <v>1</v>
      </c>
      <c r="Y41" s="25">
        <v>1</v>
      </c>
      <c r="Z41" s="25">
        <v>1</v>
      </c>
      <c r="AA41" s="25">
        <v>1</v>
      </c>
      <c r="AC41" s="149" t="str">
        <v>G1</v>
      </c>
      <c r="AD41" s="105">
        <v>0</v>
      </c>
      <c r="AE41" s="105">
        <v>7</v>
      </c>
      <c r="AF41" s="105">
        <v>0</v>
      </c>
      <c r="AG41" s="105">
        <v>4</v>
      </c>
      <c r="AH41" s="105">
        <v>0</v>
      </c>
      <c r="AI41" s="5"/>
      <c r="AJ41" s="149" t="str">
        <v>G1</v>
      </c>
      <c r="AK41" s="105">
        <v>0</v>
      </c>
      <c r="AL41" s="105">
        <v>7</v>
      </c>
      <c r="AM41" s="105">
        <v>0</v>
      </c>
      <c r="AN41" s="105">
        <v>4</v>
      </c>
      <c r="AO41" s="105">
        <v>0</v>
      </c>
    </row>
    <row r="42" spans="1:41" ht="16.5" customHeight="1">
      <c r="A42" s="29" t="str">
        <v>G5</v>
      </c>
      <c r="B42" s="8" t="str">
        <v>Gold M5</v>
      </c>
      <c r="C42" s="160">
        <v>0</v>
      </c>
      <c r="D42" s="160">
        <v>0.02</v>
      </c>
      <c r="E42" s="160">
        <v>1.4999999999999999E-2</v>
      </c>
      <c r="F42" s="160">
        <v>1.4999999999999999E-2</v>
      </c>
      <c r="G42" s="160">
        <v>0</v>
      </c>
      <c r="H42" s="8">
        <v>15</v>
      </c>
      <c r="J42" s="25">
        <v>38</v>
      </c>
      <c r="K42" s="16" t="s">
        <v>19</v>
      </c>
      <c r="L42" s="16" t="s">
        <v>36</v>
      </c>
      <c r="M42" s="16" t="s">
        <v>36</v>
      </c>
      <c r="N42" s="16" t="s">
        <v>136</v>
      </c>
      <c r="O42" s="16" t="s">
        <v>19</v>
      </c>
      <c r="Q42" s="9">
        <v>5</v>
      </c>
      <c r="R42" s="9">
        <v>10</v>
      </c>
      <c r="S42" s="9">
        <v>10</v>
      </c>
      <c r="T42" s="9">
        <v>6</v>
      </c>
      <c r="U42" s="9">
        <v>5</v>
      </c>
      <c r="W42" s="25">
        <v>1</v>
      </c>
      <c r="X42" s="25">
        <v>1</v>
      </c>
      <c r="Y42" s="25">
        <v>1</v>
      </c>
      <c r="Z42" s="25">
        <v>1</v>
      </c>
      <c r="AA42" s="25">
        <v>1</v>
      </c>
      <c r="AC42" s="149" t="str">
        <v>G2</v>
      </c>
      <c r="AD42" s="105">
        <v>0</v>
      </c>
      <c r="AE42" s="105">
        <v>7</v>
      </c>
      <c r="AF42" s="105">
        <v>0</v>
      </c>
      <c r="AG42" s="105">
        <v>4</v>
      </c>
      <c r="AH42" s="105">
        <v>0</v>
      </c>
      <c r="AI42" s="5"/>
      <c r="AJ42" s="149" t="str">
        <v>G2</v>
      </c>
      <c r="AK42" s="105">
        <v>0</v>
      </c>
      <c r="AL42" s="105">
        <v>7</v>
      </c>
      <c r="AM42" s="105">
        <v>0</v>
      </c>
      <c r="AN42" s="105">
        <v>4</v>
      </c>
      <c r="AO42" s="105">
        <v>0</v>
      </c>
    </row>
    <row r="43" spans="1:41" ht="16.5" customHeight="1">
      <c r="A43" s="29" t="str">
        <v>GA</v>
      </c>
      <c r="B43" s="8" t="str">
        <v>Gold A</v>
      </c>
      <c r="C43" s="160">
        <v>0</v>
      </c>
      <c r="D43" s="160">
        <v>0.02</v>
      </c>
      <c r="E43" s="160">
        <v>1.4999999999999999E-2</v>
      </c>
      <c r="F43" s="160">
        <v>1.4999999999999999E-2</v>
      </c>
      <c r="G43" s="160">
        <v>0</v>
      </c>
      <c r="H43" s="8">
        <v>16</v>
      </c>
      <c r="J43" s="9">
        <v>39</v>
      </c>
      <c r="K43" s="16" t="s">
        <v>19</v>
      </c>
      <c r="L43" s="16" t="s">
        <v>19</v>
      </c>
      <c r="M43" s="16" t="s">
        <v>37</v>
      </c>
      <c r="N43" s="16" t="s">
        <v>136</v>
      </c>
      <c r="O43" s="16" t="s">
        <v>19</v>
      </c>
      <c r="Q43" s="9">
        <v>5</v>
      </c>
      <c r="R43" s="9">
        <v>5</v>
      </c>
      <c r="S43" s="9">
        <v>7</v>
      </c>
      <c r="T43" s="9">
        <v>6</v>
      </c>
      <c r="U43" s="9">
        <v>5</v>
      </c>
      <c r="W43" s="25">
        <v>1</v>
      </c>
      <c r="X43" s="25">
        <v>1</v>
      </c>
      <c r="Y43" s="25">
        <v>1</v>
      </c>
      <c r="Z43" s="25">
        <v>1</v>
      </c>
      <c r="AA43" s="25">
        <v>1</v>
      </c>
      <c r="AC43" s="149" t="str">
        <v>G3</v>
      </c>
      <c r="AD43" s="105">
        <v>0</v>
      </c>
      <c r="AE43" s="105">
        <v>7</v>
      </c>
      <c r="AF43" s="105">
        <v>0</v>
      </c>
      <c r="AG43" s="105">
        <v>4</v>
      </c>
      <c r="AH43" s="105">
        <v>0</v>
      </c>
      <c r="AI43" s="5"/>
      <c r="AJ43" s="149" t="str">
        <v>G3</v>
      </c>
      <c r="AK43" s="105">
        <v>0</v>
      </c>
      <c r="AL43" s="105">
        <v>7</v>
      </c>
      <c r="AM43" s="105">
        <v>0</v>
      </c>
      <c r="AN43" s="105">
        <v>4</v>
      </c>
      <c r="AO43" s="105">
        <v>0</v>
      </c>
    </row>
    <row r="44" spans="1:41" ht="16.5" customHeight="1">
      <c r="A44" s="29" t="str">
        <v>GK</v>
      </c>
      <c r="B44" s="8" t="str">
        <v>Gold K</v>
      </c>
      <c r="C44" s="160">
        <v>0</v>
      </c>
      <c r="D44" s="160">
        <v>0.02</v>
      </c>
      <c r="E44" s="160">
        <v>1.4999999999999999E-2</v>
      </c>
      <c r="F44" s="160">
        <v>1.4999999999999999E-2</v>
      </c>
      <c r="G44" s="160">
        <v>0</v>
      </c>
      <c r="H44" s="8">
        <v>17</v>
      </c>
      <c r="J44" s="25">
        <v>40</v>
      </c>
      <c r="K44" s="16" t="s">
        <v>35</v>
      </c>
      <c r="L44" s="16" t="s">
        <v>22</v>
      </c>
      <c r="M44" s="16" t="s">
        <v>19</v>
      </c>
      <c r="N44" s="16" t="s">
        <v>119</v>
      </c>
      <c r="O44" s="16" t="s">
        <v>37</v>
      </c>
      <c r="Q44" s="9">
        <v>8</v>
      </c>
      <c r="R44" s="9">
        <v>3</v>
      </c>
      <c r="S44" s="9">
        <v>5</v>
      </c>
      <c r="T44" s="9">
        <v>17</v>
      </c>
      <c r="U44" s="9">
        <v>7</v>
      </c>
      <c r="W44" s="25">
        <v>1</v>
      </c>
      <c r="X44" s="25">
        <v>1</v>
      </c>
      <c r="Y44" s="25">
        <v>1</v>
      </c>
      <c r="Z44" s="25">
        <v>1</v>
      </c>
      <c r="AA44" s="25">
        <v>1</v>
      </c>
      <c r="AC44" s="149" t="str">
        <v>G4</v>
      </c>
      <c r="AD44" s="105">
        <v>0</v>
      </c>
      <c r="AE44" s="105">
        <v>4</v>
      </c>
      <c r="AF44" s="105">
        <v>3</v>
      </c>
      <c r="AG44" s="105">
        <v>3</v>
      </c>
      <c r="AH44" s="105">
        <v>0</v>
      </c>
      <c r="AI44" s="5"/>
      <c r="AJ44" s="149" t="str">
        <v>G4</v>
      </c>
      <c r="AK44" s="105">
        <v>0</v>
      </c>
      <c r="AL44" s="105">
        <v>4</v>
      </c>
      <c r="AM44" s="105">
        <v>3</v>
      </c>
      <c r="AN44" s="105">
        <v>3</v>
      </c>
      <c r="AO44" s="105">
        <v>0</v>
      </c>
    </row>
    <row r="45" spans="1:41" ht="16.5" customHeight="1">
      <c r="A45" s="29" t="str">
        <v>GQ</v>
      </c>
      <c r="B45" s="8" t="str">
        <v>Gold Q</v>
      </c>
      <c r="C45" s="160">
        <v>0</v>
      </c>
      <c r="D45" s="160">
        <v>0.04</v>
      </c>
      <c r="E45" s="160">
        <v>0</v>
      </c>
      <c r="F45" s="160">
        <v>0.02</v>
      </c>
      <c r="G45" s="160">
        <v>0</v>
      </c>
      <c r="H45" s="8">
        <v>18</v>
      </c>
      <c r="J45" s="9">
        <v>41</v>
      </c>
      <c r="K45" s="16" t="s">
        <v>136</v>
      </c>
      <c r="L45" s="16" t="s">
        <v>36</v>
      </c>
      <c r="M45" s="16" t="s">
        <v>136</v>
      </c>
      <c r="N45" s="16" t="s">
        <v>21</v>
      </c>
      <c r="O45" s="16" t="s">
        <v>19</v>
      </c>
      <c r="Q45" s="9">
        <v>6</v>
      </c>
      <c r="R45" s="9">
        <v>10</v>
      </c>
      <c r="S45" s="9">
        <v>6</v>
      </c>
      <c r="T45" s="9">
        <v>2</v>
      </c>
      <c r="U45" s="9">
        <v>5</v>
      </c>
      <c r="W45" s="25">
        <v>1</v>
      </c>
      <c r="X45" s="25">
        <v>1</v>
      </c>
      <c r="Y45" s="25">
        <v>1</v>
      </c>
      <c r="Z45" s="25">
        <v>1</v>
      </c>
      <c r="AA45" s="25">
        <v>1</v>
      </c>
      <c r="AC45" s="149" t="str">
        <v>G5</v>
      </c>
      <c r="AD45" s="105">
        <v>0</v>
      </c>
      <c r="AE45" s="105">
        <v>4</v>
      </c>
      <c r="AF45" s="105">
        <v>3</v>
      </c>
      <c r="AG45" s="105">
        <v>3</v>
      </c>
      <c r="AH45" s="105">
        <v>0</v>
      </c>
      <c r="AI45" s="5"/>
      <c r="AJ45" s="149" t="str">
        <v>G5</v>
      </c>
      <c r="AK45" s="105">
        <v>0</v>
      </c>
      <c r="AL45" s="105">
        <v>4</v>
      </c>
      <c r="AM45" s="105">
        <v>3</v>
      </c>
      <c r="AN45" s="105">
        <v>3</v>
      </c>
      <c r="AO45" s="105">
        <v>0</v>
      </c>
    </row>
    <row r="46" spans="1:41" ht="16.5" customHeight="1">
      <c r="A46" s="29" t="str">
        <v>GJ</v>
      </c>
      <c r="B46" s="8" t="str">
        <v>Gold J</v>
      </c>
      <c r="C46" s="160">
        <v>0</v>
      </c>
      <c r="D46" s="160">
        <v>0.04</v>
      </c>
      <c r="E46" s="160">
        <v>0</v>
      </c>
      <c r="F46" s="160">
        <v>0.02</v>
      </c>
      <c r="G46" s="160">
        <v>0</v>
      </c>
      <c r="H46" s="8">
        <v>19</v>
      </c>
      <c r="J46" s="25">
        <v>42</v>
      </c>
      <c r="K46" s="16" t="s">
        <v>136</v>
      </c>
      <c r="L46" s="16" t="s">
        <v>136</v>
      </c>
      <c r="M46" s="16" t="s">
        <v>37</v>
      </c>
      <c r="N46" s="16" t="s">
        <v>22</v>
      </c>
      <c r="O46" s="16" t="s">
        <v>36</v>
      </c>
      <c r="Q46" s="9">
        <v>6</v>
      </c>
      <c r="R46" s="9">
        <v>6</v>
      </c>
      <c r="S46" s="9">
        <v>7</v>
      </c>
      <c r="T46" s="9">
        <v>3</v>
      </c>
      <c r="U46" s="9">
        <v>10</v>
      </c>
      <c r="W46" s="25">
        <v>1</v>
      </c>
      <c r="X46" s="25">
        <v>1</v>
      </c>
      <c r="Y46" s="25">
        <v>1</v>
      </c>
      <c r="Z46" s="25">
        <v>1</v>
      </c>
      <c r="AA46" s="25">
        <v>1</v>
      </c>
      <c r="AC46" s="149" t="str">
        <v>GA</v>
      </c>
      <c r="AD46" s="105">
        <v>0</v>
      </c>
      <c r="AE46" s="105">
        <v>4</v>
      </c>
      <c r="AF46" s="105">
        <v>3</v>
      </c>
      <c r="AG46" s="105">
        <v>3</v>
      </c>
      <c r="AH46" s="105">
        <v>0</v>
      </c>
      <c r="AI46" s="5"/>
      <c r="AJ46" s="149" t="str">
        <v>GA</v>
      </c>
      <c r="AK46" s="105">
        <v>0</v>
      </c>
      <c r="AL46" s="105">
        <v>4</v>
      </c>
      <c r="AM46" s="105">
        <v>3</v>
      </c>
      <c r="AN46" s="105">
        <v>3</v>
      </c>
      <c r="AO46" s="105">
        <v>0</v>
      </c>
    </row>
    <row r="47" spans="1:41" ht="16.5" customHeight="1">
      <c r="J47" s="9">
        <v>43</v>
      </c>
      <c r="K47" s="16" t="s">
        <v>136</v>
      </c>
      <c r="L47" s="16" t="s">
        <v>95</v>
      </c>
      <c r="M47" s="16" t="s">
        <v>35</v>
      </c>
      <c r="N47" s="16" t="s">
        <v>22</v>
      </c>
      <c r="O47" s="16" t="s">
        <v>20</v>
      </c>
      <c r="Q47" s="9">
        <v>6</v>
      </c>
      <c r="R47" s="9">
        <v>18</v>
      </c>
      <c r="S47" s="9">
        <v>8</v>
      </c>
      <c r="T47" s="9">
        <v>3</v>
      </c>
      <c r="U47" s="9">
        <v>1</v>
      </c>
      <c r="W47" s="25">
        <v>1</v>
      </c>
      <c r="X47" s="25">
        <v>1</v>
      </c>
      <c r="Y47" s="25">
        <v>1</v>
      </c>
      <c r="Z47" s="25">
        <v>1</v>
      </c>
      <c r="AA47" s="25">
        <v>1</v>
      </c>
      <c r="AC47" s="149" t="str">
        <v>GK</v>
      </c>
      <c r="AD47" s="105">
        <v>0</v>
      </c>
      <c r="AE47" s="105">
        <v>4</v>
      </c>
      <c r="AF47" s="105">
        <v>3</v>
      </c>
      <c r="AG47" s="105">
        <v>3</v>
      </c>
      <c r="AH47" s="105">
        <v>0</v>
      </c>
      <c r="AI47" s="5"/>
      <c r="AJ47" s="149" t="str">
        <v>GK</v>
      </c>
      <c r="AK47" s="105">
        <v>0</v>
      </c>
      <c r="AL47" s="105">
        <v>4</v>
      </c>
      <c r="AM47" s="105">
        <v>3</v>
      </c>
      <c r="AN47" s="105">
        <v>3</v>
      </c>
      <c r="AO47" s="105">
        <v>0</v>
      </c>
    </row>
    <row r="48" spans="1:41" ht="16.5" customHeight="1">
      <c r="J48" s="25">
        <v>44</v>
      </c>
      <c r="K48" s="16" t="s">
        <v>19</v>
      </c>
      <c r="L48" s="16" t="s">
        <v>20</v>
      </c>
      <c r="M48" s="16" t="s">
        <v>37</v>
      </c>
      <c r="N48" s="16" t="s">
        <v>21</v>
      </c>
      <c r="O48" s="16" t="s">
        <v>19</v>
      </c>
      <c r="Q48" s="9">
        <v>5</v>
      </c>
      <c r="R48" s="9">
        <v>1</v>
      </c>
      <c r="S48" s="9">
        <v>7</v>
      </c>
      <c r="T48" s="9">
        <v>2</v>
      </c>
      <c r="U48" s="9">
        <v>5</v>
      </c>
      <c r="W48" s="25">
        <v>1</v>
      </c>
      <c r="X48" s="25">
        <v>1</v>
      </c>
      <c r="Y48" s="25">
        <v>1</v>
      </c>
      <c r="Z48" s="25">
        <v>1</v>
      </c>
      <c r="AA48" s="25">
        <v>1</v>
      </c>
      <c r="AC48" s="149" t="str">
        <v>GQ</v>
      </c>
      <c r="AD48" s="105">
        <v>0</v>
      </c>
      <c r="AE48" s="105">
        <v>8</v>
      </c>
      <c r="AF48" s="105">
        <v>0</v>
      </c>
      <c r="AG48" s="105">
        <v>4</v>
      </c>
      <c r="AH48" s="105">
        <v>0</v>
      </c>
      <c r="AI48" s="5"/>
      <c r="AJ48" s="149" t="str">
        <v>GQ</v>
      </c>
      <c r="AK48" s="105">
        <v>0</v>
      </c>
      <c r="AL48" s="105">
        <v>8</v>
      </c>
      <c r="AM48" s="105">
        <v>0</v>
      </c>
      <c r="AN48" s="105">
        <v>4</v>
      </c>
      <c r="AO48" s="105">
        <v>0</v>
      </c>
    </row>
    <row r="49" spans="10:41" ht="16.5" customHeight="1">
      <c r="J49" s="9">
        <v>45</v>
      </c>
      <c r="K49" s="16" t="s">
        <v>35</v>
      </c>
      <c r="L49" s="16" t="s">
        <v>18</v>
      </c>
      <c r="M49" s="16" t="s">
        <v>136</v>
      </c>
      <c r="N49" s="16" t="s">
        <v>36</v>
      </c>
      <c r="O49" s="16" t="s">
        <v>18</v>
      </c>
      <c r="Q49" s="9">
        <v>8</v>
      </c>
      <c r="R49" s="9">
        <v>4</v>
      </c>
      <c r="S49" s="9">
        <v>6</v>
      </c>
      <c r="T49" s="9">
        <v>10</v>
      </c>
      <c r="U49" s="9">
        <v>4</v>
      </c>
      <c r="W49" s="25">
        <v>1</v>
      </c>
      <c r="X49" s="25">
        <v>1</v>
      </c>
      <c r="Y49" s="25">
        <v>1</v>
      </c>
      <c r="Z49" s="25">
        <v>1</v>
      </c>
      <c r="AA49" s="25">
        <v>1</v>
      </c>
      <c r="AC49" s="149" t="str">
        <v>GJ</v>
      </c>
      <c r="AD49" s="105">
        <v>0</v>
      </c>
      <c r="AE49" s="105">
        <v>8</v>
      </c>
      <c r="AF49" s="105">
        <v>0</v>
      </c>
      <c r="AG49" s="105">
        <v>4</v>
      </c>
      <c r="AH49" s="105">
        <v>0</v>
      </c>
      <c r="AI49" s="5"/>
      <c r="AJ49" s="149" t="str">
        <v>GJ</v>
      </c>
      <c r="AK49" s="105">
        <v>0</v>
      </c>
      <c r="AL49" s="105">
        <v>8</v>
      </c>
      <c r="AM49" s="105">
        <v>0</v>
      </c>
      <c r="AN49" s="105">
        <v>4</v>
      </c>
      <c r="AO49" s="105">
        <v>0</v>
      </c>
    </row>
    <row r="50" spans="10:41" ht="16.5" customHeight="1">
      <c r="J50" s="25">
        <v>46</v>
      </c>
      <c r="K50" s="16" t="s">
        <v>37</v>
      </c>
      <c r="L50" s="16" t="s">
        <v>21</v>
      </c>
      <c r="M50" s="16" t="s">
        <v>37</v>
      </c>
      <c r="N50" s="16" t="s">
        <v>22</v>
      </c>
      <c r="O50" s="16" t="s">
        <v>36</v>
      </c>
      <c r="Q50" s="9">
        <v>7</v>
      </c>
      <c r="R50" s="9">
        <v>2</v>
      </c>
      <c r="S50" s="9">
        <v>7</v>
      </c>
      <c r="T50" s="9">
        <v>3</v>
      </c>
      <c r="U50" s="9">
        <v>10</v>
      </c>
      <c r="W50" s="25">
        <v>1</v>
      </c>
      <c r="X50" s="25">
        <v>1</v>
      </c>
      <c r="Y50" s="25">
        <v>1</v>
      </c>
      <c r="Z50" s="25">
        <v>1</v>
      </c>
      <c r="AA50" s="25">
        <v>1</v>
      </c>
      <c r="AD50" s="119">
        <f>SUM(AD30:AD49)</f>
        <v>197</v>
      </c>
      <c r="AE50" s="119">
        <f>SUM(AE30:AE49)</f>
        <v>197</v>
      </c>
      <c r="AF50" s="119">
        <f>SUM(AF30:AF49)</f>
        <v>197</v>
      </c>
      <c r="AG50" s="119">
        <f>SUM(AG30:AG49)</f>
        <v>197</v>
      </c>
      <c r="AH50" s="119">
        <f>SUM(AH30:AH49)</f>
        <v>197</v>
      </c>
      <c r="AI50" s="5"/>
      <c r="AK50" s="119">
        <f>SUM(AK30:AK49)</f>
        <v>197</v>
      </c>
      <c r="AL50" s="119">
        <f>SUM(AL30:AL49)</f>
        <v>197</v>
      </c>
      <c r="AM50" s="119">
        <f>SUM(AM30:AM49)</f>
        <v>197</v>
      </c>
      <c r="AN50" s="119">
        <f>SUM(AN30:AN49)</f>
        <v>197</v>
      </c>
      <c r="AO50" s="119">
        <f>SUM(AO30:AO49)</f>
        <v>197</v>
      </c>
    </row>
    <row r="51" spans="10:41" ht="16.5" customHeight="1">
      <c r="J51" s="9">
        <v>47</v>
      </c>
      <c r="K51" s="16" t="s">
        <v>20</v>
      </c>
      <c r="L51" s="16" t="s">
        <v>21</v>
      </c>
      <c r="M51" s="16" t="s">
        <v>22</v>
      </c>
      <c r="N51" s="16" t="s">
        <v>21</v>
      </c>
      <c r="O51" s="16" t="s">
        <v>34</v>
      </c>
      <c r="Q51" s="9">
        <v>1</v>
      </c>
      <c r="R51" s="9">
        <v>2</v>
      </c>
      <c r="S51" s="9">
        <v>3</v>
      </c>
      <c r="T51" s="9">
        <v>2</v>
      </c>
      <c r="U51" s="9">
        <v>9</v>
      </c>
      <c r="W51" s="25">
        <v>1</v>
      </c>
      <c r="X51" s="25">
        <v>1</v>
      </c>
      <c r="Y51" s="25">
        <v>1</v>
      </c>
      <c r="Z51" s="25">
        <v>1</v>
      </c>
      <c r="AA51" s="25">
        <v>1</v>
      </c>
      <c r="AH51" s="5"/>
      <c r="AI51" s="5"/>
      <c r="AO51" s="5"/>
    </row>
    <row r="52" spans="10:41" ht="16.5" customHeight="1">
      <c r="J52" s="25">
        <v>48</v>
      </c>
      <c r="K52" s="16" t="s">
        <v>35</v>
      </c>
      <c r="L52" s="16" t="s">
        <v>19</v>
      </c>
      <c r="M52" s="16" t="s">
        <v>37</v>
      </c>
      <c r="N52" s="16" t="s">
        <v>37</v>
      </c>
      <c r="O52" s="16" t="s">
        <v>21</v>
      </c>
      <c r="Q52" s="9">
        <v>8</v>
      </c>
      <c r="R52" s="9">
        <v>5</v>
      </c>
      <c r="S52" s="9">
        <v>7</v>
      </c>
      <c r="T52" s="9">
        <v>7</v>
      </c>
      <c r="U52" s="9">
        <v>2</v>
      </c>
      <c r="W52" s="25">
        <v>1</v>
      </c>
      <c r="X52" s="25">
        <v>1</v>
      </c>
      <c r="Y52" s="25">
        <v>1</v>
      </c>
      <c r="Z52" s="25">
        <v>1</v>
      </c>
      <c r="AA52" s="25">
        <v>1</v>
      </c>
      <c r="AC52" s="27" t="s">
        <v>141</v>
      </c>
      <c r="AH52" s="5"/>
      <c r="AI52" s="5"/>
      <c r="AJ52" s="27" t="s">
        <v>141</v>
      </c>
      <c r="AO52" s="5"/>
    </row>
    <row r="53" spans="10:41" ht="16.5" customHeight="1">
      <c r="J53" s="9">
        <v>49</v>
      </c>
      <c r="K53" s="16" t="s">
        <v>37</v>
      </c>
      <c r="L53" s="16" t="s">
        <v>35</v>
      </c>
      <c r="M53" s="16" t="s">
        <v>37</v>
      </c>
      <c r="N53" s="16" t="s">
        <v>34</v>
      </c>
      <c r="O53" s="16" t="s">
        <v>37</v>
      </c>
      <c r="Q53" s="9">
        <v>7</v>
      </c>
      <c r="R53" s="9">
        <v>8</v>
      </c>
      <c r="S53" s="9">
        <v>7</v>
      </c>
      <c r="T53" s="9">
        <v>9</v>
      </c>
      <c r="U53" s="9">
        <v>7</v>
      </c>
      <c r="W53" s="25">
        <v>1</v>
      </c>
      <c r="X53" s="25">
        <v>1</v>
      </c>
      <c r="Y53" s="25">
        <v>1</v>
      </c>
      <c r="Z53" s="25">
        <v>1</v>
      </c>
      <c r="AA53" s="25">
        <v>1</v>
      </c>
      <c r="AC53" s="146" t="s">
        <v>42</v>
      </c>
      <c r="AD53" s="146" t="s">
        <v>13</v>
      </c>
      <c r="AE53" s="146" t="s">
        <v>14</v>
      </c>
      <c r="AF53" s="146" t="s">
        <v>15</v>
      </c>
      <c r="AG53" s="146" t="s">
        <v>16</v>
      </c>
      <c r="AH53" s="146" t="s">
        <v>17</v>
      </c>
      <c r="AI53" s="5"/>
      <c r="AJ53" s="146" t="s">
        <v>42</v>
      </c>
      <c r="AK53" s="146" t="s">
        <v>13</v>
      </c>
      <c r="AL53" s="146" t="s">
        <v>14</v>
      </c>
      <c r="AM53" s="146" t="s">
        <v>15</v>
      </c>
      <c r="AN53" s="146" t="s">
        <v>16</v>
      </c>
      <c r="AO53" s="146" t="s">
        <v>17</v>
      </c>
    </row>
    <row r="54" spans="10:41" ht="16.5" customHeight="1">
      <c r="J54" s="25">
        <v>50</v>
      </c>
      <c r="K54" s="16" t="s">
        <v>37</v>
      </c>
      <c r="L54" s="16" t="s">
        <v>35</v>
      </c>
      <c r="M54" s="16" t="s">
        <v>37</v>
      </c>
      <c r="N54" s="16" t="s">
        <v>34</v>
      </c>
      <c r="O54" s="16" t="s">
        <v>18</v>
      </c>
      <c r="Q54" s="9">
        <v>7</v>
      </c>
      <c r="R54" s="9">
        <v>8</v>
      </c>
      <c r="S54" s="9">
        <v>7</v>
      </c>
      <c r="T54" s="9">
        <v>9</v>
      </c>
      <c r="U54" s="9">
        <v>4</v>
      </c>
      <c r="W54" s="25">
        <v>1</v>
      </c>
      <c r="X54" s="25">
        <v>1</v>
      </c>
      <c r="Y54" s="25">
        <v>1</v>
      </c>
      <c r="Z54" s="25">
        <v>1</v>
      </c>
      <c r="AA54" s="25">
        <v>1</v>
      </c>
      <c r="AC54" s="149" t="str" cm="1">
        <f t="array" ref="AC54:AC73">$A$4:$A$23</f>
        <v>WW</v>
      </c>
      <c r="AD54" s="150">
        <v>0</v>
      </c>
      <c r="AE54" s="150">
        <v>0</v>
      </c>
      <c r="AF54" s="150">
        <v>0</v>
      </c>
      <c r="AG54" s="150">
        <v>0</v>
      </c>
      <c r="AH54" s="150">
        <v>0</v>
      </c>
      <c r="AI54" s="5"/>
      <c r="AJ54" s="149" t="str" cm="1">
        <f t="array" ref="AJ54:AJ73">$A$4:$A$23</f>
        <v>WW</v>
      </c>
      <c r="AK54" s="150">
        <v>0</v>
      </c>
      <c r="AL54" s="150">
        <v>0</v>
      </c>
      <c r="AM54" s="150">
        <v>0</v>
      </c>
      <c r="AN54" s="150">
        <v>0</v>
      </c>
      <c r="AO54" s="150">
        <v>0</v>
      </c>
    </row>
    <row r="55" spans="10:41" ht="16.5" customHeight="1">
      <c r="J55" s="9">
        <v>51</v>
      </c>
      <c r="K55" s="16" t="s">
        <v>136</v>
      </c>
      <c r="L55" s="16" t="s">
        <v>35</v>
      </c>
      <c r="M55" s="16" t="s">
        <v>35</v>
      </c>
      <c r="N55" s="16" t="s">
        <v>91</v>
      </c>
      <c r="O55" s="16" t="s">
        <v>21</v>
      </c>
      <c r="Q55" s="9">
        <v>6</v>
      </c>
      <c r="R55" s="9">
        <v>8</v>
      </c>
      <c r="S55" s="9">
        <v>8</v>
      </c>
      <c r="T55" s="9">
        <v>14</v>
      </c>
      <c r="U55" s="9">
        <v>2</v>
      </c>
      <c r="W55" s="25">
        <v>1</v>
      </c>
      <c r="X55" s="25">
        <v>1</v>
      </c>
      <c r="Y55" s="25">
        <v>1</v>
      </c>
      <c r="Z55" s="25">
        <v>1</v>
      </c>
      <c r="AA55" s="25">
        <v>1</v>
      </c>
      <c r="AC55" s="149" t="str">
        <v>C1</v>
      </c>
      <c r="AD55" s="149">
        <v>1</v>
      </c>
      <c r="AE55" s="149">
        <v>1</v>
      </c>
      <c r="AF55" s="149">
        <v>1</v>
      </c>
      <c r="AG55" s="149">
        <v>3</v>
      </c>
      <c r="AH55" s="149">
        <v>3</v>
      </c>
      <c r="AI55" s="5"/>
      <c r="AJ55" s="149" t="str">
        <v>C1</v>
      </c>
      <c r="AK55" s="149">
        <v>1</v>
      </c>
      <c r="AL55" s="149">
        <v>1</v>
      </c>
      <c r="AM55" s="149">
        <v>1</v>
      </c>
      <c r="AN55" s="149">
        <v>3</v>
      </c>
      <c r="AO55" s="149">
        <v>3</v>
      </c>
    </row>
    <row r="56" spans="10:41" ht="16.5" customHeight="1">
      <c r="J56" s="25">
        <v>52</v>
      </c>
      <c r="K56" s="16" t="s">
        <v>35</v>
      </c>
      <c r="L56" s="16" t="s">
        <v>34</v>
      </c>
      <c r="M56" s="16" t="s">
        <v>37</v>
      </c>
      <c r="N56" s="16" t="s">
        <v>18</v>
      </c>
      <c r="O56" s="16" t="s">
        <v>19</v>
      </c>
      <c r="Q56" s="9">
        <v>8</v>
      </c>
      <c r="R56" s="9">
        <v>9</v>
      </c>
      <c r="S56" s="9">
        <v>7</v>
      </c>
      <c r="T56" s="9">
        <v>4</v>
      </c>
      <c r="U56" s="9">
        <v>5</v>
      </c>
      <c r="W56" s="25">
        <v>1</v>
      </c>
      <c r="X56" s="25">
        <v>1</v>
      </c>
      <c r="Y56" s="25">
        <v>1</v>
      </c>
      <c r="Z56" s="25">
        <v>1</v>
      </c>
      <c r="AA56" s="25">
        <v>1</v>
      </c>
      <c r="AC56" s="166" t="str">
        <v>M1</v>
      </c>
      <c r="AD56" s="144">
        <v>4</v>
      </c>
      <c r="AE56" s="144">
        <v>17</v>
      </c>
      <c r="AF56" s="144">
        <v>4</v>
      </c>
      <c r="AG56" s="144">
        <v>21</v>
      </c>
      <c r="AH56" s="144">
        <v>22</v>
      </c>
      <c r="AI56" s="5"/>
      <c r="AJ56" s="166" t="str">
        <v>M1</v>
      </c>
      <c r="AK56" s="144">
        <v>4</v>
      </c>
      <c r="AL56" s="144">
        <v>17</v>
      </c>
      <c r="AM56" s="144">
        <v>4</v>
      </c>
      <c r="AN56" s="144">
        <v>21</v>
      </c>
      <c r="AO56" s="144">
        <v>22</v>
      </c>
    </row>
    <row r="57" spans="10:41" ht="16.5" customHeight="1">
      <c r="J57" s="9">
        <v>53</v>
      </c>
      <c r="K57" s="16" t="s">
        <v>37</v>
      </c>
      <c r="L57" s="16" t="s">
        <v>34</v>
      </c>
      <c r="M57" s="16" t="s">
        <v>136</v>
      </c>
      <c r="N57" s="16" t="s">
        <v>18</v>
      </c>
      <c r="O57" s="16" t="s">
        <v>22</v>
      </c>
      <c r="Q57" s="9">
        <v>7</v>
      </c>
      <c r="R57" s="9">
        <v>9</v>
      </c>
      <c r="S57" s="9">
        <v>6</v>
      </c>
      <c r="T57" s="9">
        <v>4</v>
      </c>
      <c r="U57" s="9">
        <v>3</v>
      </c>
      <c r="W57" s="25">
        <v>1</v>
      </c>
      <c r="X57" s="25">
        <v>1</v>
      </c>
      <c r="Y57" s="25">
        <v>1</v>
      </c>
      <c r="Z57" s="25">
        <v>1</v>
      </c>
      <c r="AA57" s="25">
        <v>1</v>
      </c>
      <c r="AC57" s="166" t="str">
        <v>M2</v>
      </c>
      <c r="AD57" s="144">
        <v>4</v>
      </c>
      <c r="AE57" s="144">
        <v>18</v>
      </c>
      <c r="AF57" s="144">
        <v>4</v>
      </c>
      <c r="AG57" s="144">
        <v>20</v>
      </c>
      <c r="AH57" s="144">
        <v>22</v>
      </c>
      <c r="AI57" s="5"/>
      <c r="AJ57" s="166" t="str">
        <v>M2</v>
      </c>
      <c r="AK57" s="144">
        <v>4</v>
      </c>
      <c r="AL57" s="144">
        <v>18</v>
      </c>
      <c r="AM57" s="144">
        <v>4</v>
      </c>
      <c r="AN57" s="144">
        <v>20</v>
      </c>
      <c r="AO57" s="144">
        <v>22</v>
      </c>
    </row>
    <row r="58" spans="10:41" ht="16.5" customHeight="1">
      <c r="J58" s="25">
        <v>54</v>
      </c>
      <c r="K58" s="16" t="s">
        <v>37</v>
      </c>
      <c r="L58" s="16" t="s">
        <v>18</v>
      </c>
      <c r="M58" s="16" t="s">
        <v>35</v>
      </c>
      <c r="N58" s="16" t="s">
        <v>88</v>
      </c>
      <c r="O58" s="16" t="s">
        <v>21</v>
      </c>
      <c r="Q58" s="9">
        <v>7</v>
      </c>
      <c r="R58" s="9">
        <v>4</v>
      </c>
      <c r="S58" s="9">
        <v>8</v>
      </c>
      <c r="T58" s="9">
        <v>11</v>
      </c>
      <c r="U58" s="9">
        <v>2</v>
      </c>
      <c r="W58" s="25">
        <v>1</v>
      </c>
      <c r="X58" s="25">
        <v>1</v>
      </c>
      <c r="Y58" s="25">
        <v>1</v>
      </c>
      <c r="Z58" s="25">
        <v>1</v>
      </c>
      <c r="AA58" s="25">
        <v>1</v>
      </c>
      <c r="AC58" s="166" t="str">
        <v>M3</v>
      </c>
      <c r="AD58" s="144">
        <v>4</v>
      </c>
      <c r="AE58" s="144">
        <v>18</v>
      </c>
      <c r="AF58" s="144">
        <v>4</v>
      </c>
      <c r="AG58" s="144">
        <v>20</v>
      </c>
      <c r="AH58" s="144">
        <v>21</v>
      </c>
      <c r="AI58" s="5"/>
      <c r="AJ58" s="166" t="str">
        <v>M3</v>
      </c>
      <c r="AK58" s="144">
        <v>4</v>
      </c>
      <c r="AL58" s="144">
        <v>18</v>
      </c>
      <c r="AM58" s="144">
        <v>4</v>
      </c>
      <c r="AN58" s="144">
        <v>20</v>
      </c>
      <c r="AO58" s="144">
        <v>21</v>
      </c>
    </row>
    <row r="59" spans="10:41" ht="16.5" customHeight="1">
      <c r="J59" s="9">
        <v>55</v>
      </c>
      <c r="K59" s="16" t="s">
        <v>37</v>
      </c>
      <c r="L59" s="16" t="s">
        <v>18</v>
      </c>
      <c r="M59" s="16" t="s">
        <v>35</v>
      </c>
      <c r="N59" s="16" t="s">
        <v>18</v>
      </c>
      <c r="O59" s="16" t="s">
        <v>35</v>
      </c>
      <c r="Q59" s="9">
        <v>7</v>
      </c>
      <c r="R59" s="9">
        <v>4</v>
      </c>
      <c r="S59" s="9">
        <v>8</v>
      </c>
      <c r="T59" s="9">
        <v>4</v>
      </c>
      <c r="U59" s="9">
        <v>8</v>
      </c>
      <c r="W59" s="25">
        <v>1</v>
      </c>
      <c r="X59" s="25">
        <v>1</v>
      </c>
      <c r="Y59" s="25">
        <v>1</v>
      </c>
      <c r="Z59" s="25">
        <v>1</v>
      </c>
      <c r="AA59" s="25">
        <v>1</v>
      </c>
      <c r="AC59" s="166" t="str">
        <v>M4</v>
      </c>
      <c r="AD59" s="144">
        <v>40</v>
      </c>
      <c r="AE59" s="144">
        <v>14</v>
      </c>
      <c r="AF59" s="144">
        <v>41</v>
      </c>
      <c r="AG59" s="144">
        <v>14</v>
      </c>
      <c r="AH59" s="144">
        <v>21</v>
      </c>
      <c r="AI59" s="5"/>
      <c r="AJ59" s="166" t="str">
        <v>M4</v>
      </c>
      <c r="AK59" s="144">
        <v>40</v>
      </c>
      <c r="AL59" s="144">
        <v>14</v>
      </c>
      <c r="AM59" s="144">
        <v>41</v>
      </c>
      <c r="AN59" s="144">
        <v>14</v>
      </c>
      <c r="AO59" s="144">
        <v>21</v>
      </c>
    </row>
    <row r="60" spans="10:41" ht="16.5" customHeight="1">
      <c r="J60" s="25">
        <v>56</v>
      </c>
      <c r="K60" s="16" t="s">
        <v>19</v>
      </c>
      <c r="L60" s="16" t="s">
        <v>91</v>
      </c>
      <c r="M60" s="16" t="s">
        <v>35</v>
      </c>
      <c r="N60" s="16" t="s">
        <v>35</v>
      </c>
      <c r="O60" s="16" t="s">
        <v>36</v>
      </c>
      <c r="Q60" s="9">
        <v>5</v>
      </c>
      <c r="R60" s="9">
        <v>14</v>
      </c>
      <c r="S60" s="9">
        <v>8</v>
      </c>
      <c r="T60" s="9">
        <v>8</v>
      </c>
      <c r="U60" s="9">
        <v>10</v>
      </c>
      <c r="W60" s="25">
        <v>1</v>
      </c>
      <c r="X60" s="25">
        <v>1</v>
      </c>
      <c r="Y60" s="25">
        <v>1</v>
      </c>
      <c r="Z60" s="25">
        <v>1</v>
      </c>
      <c r="AA60" s="25">
        <v>1</v>
      </c>
      <c r="AC60" s="166" t="str">
        <v>M5</v>
      </c>
      <c r="AD60" s="144">
        <v>40</v>
      </c>
      <c r="AE60" s="144">
        <v>14</v>
      </c>
      <c r="AF60" s="144">
        <v>41</v>
      </c>
      <c r="AG60" s="144">
        <v>14</v>
      </c>
      <c r="AH60" s="144">
        <v>21</v>
      </c>
      <c r="AI60" s="5"/>
      <c r="AJ60" s="166" t="str">
        <v>M5</v>
      </c>
      <c r="AK60" s="144">
        <v>40</v>
      </c>
      <c r="AL60" s="144">
        <v>14</v>
      </c>
      <c r="AM60" s="144">
        <v>41</v>
      </c>
      <c r="AN60" s="144">
        <v>14</v>
      </c>
      <c r="AO60" s="144">
        <v>21</v>
      </c>
    </row>
    <row r="61" spans="10:41">
      <c r="J61" s="9">
        <v>57</v>
      </c>
      <c r="K61" s="16" t="s">
        <v>136</v>
      </c>
      <c r="L61" s="16" t="s">
        <v>91</v>
      </c>
      <c r="M61" s="16" t="s">
        <v>136</v>
      </c>
      <c r="N61" s="16" t="s">
        <v>18</v>
      </c>
      <c r="O61" s="16" t="s">
        <v>36</v>
      </c>
      <c r="Q61" s="9">
        <v>6</v>
      </c>
      <c r="R61" s="9">
        <v>14</v>
      </c>
      <c r="S61" s="9">
        <v>6</v>
      </c>
      <c r="T61" s="9">
        <v>4</v>
      </c>
      <c r="U61" s="9">
        <v>10</v>
      </c>
      <c r="W61" s="25">
        <v>1</v>
      </c>
      <c r="X61" s="25">
        <v>1</v>
      </c>
      <c r="Y61" s="25">
        <v>1</v>
      </c>
      <c r="Z61" s="25">
        <v>1</v>
      </c>
      <c r="AA61" s="25">
        <v>1</v>
      </c>
      <c r="AC61" s="166" t="str">
        <v>A</v>
      </c>
      <c r="AD61" s="144">
        <v>47</v>
      </c>
      <c r="AE61" s="144">
        <v>13</v>
      </c>
      <c r="AF61" s="144">
        <v>41</v>
      </c>
      <c r="AG61" s="144">
        <v>14</v>
      </c>
      <c r="AH61" s="144">
        <v>21</v>
      </c>
      <c r="AI61" s="5"/>
      <c r="AJ61" s="166" t="str">
        <v>A</v>
      </c>
      <c r="AK61" s="144">
        <v>47</v>
      </c>
      <c r="AL61" s="144">
        <v>13</v>
      </c>
      <c r="AM61" s="144">
        <v>41</v>
      </c>
      <c r="AN61" s="144">
        <v>14</v>
      </c>
      <c r="AO61" s="144">
        <v>21</v>
      </c>
    </row>
    <row r="62" spans="10:41">
      <c r="J62" s="25">
        <v>58</v>
      </c>
      <c r="K62" s="16" t="s">
        <v>36</v>
      </c>
      <c r="L62" s="16" t="s">
        <v>34</v>
      </c>
      <c r="M62" s="16" t="s">
        <v>136</v>
      </c>
      <c r="N62" s="16" t="s">
        <v>119</v>
      </c>
      <c r="O62" s="16" t="s">
        <v>22</v>
      </c>
      <c r="Q62" s="9">
        <v>10</v>
      </c>
      <c r="R62" s="9">
        <v>9</v>
      </c>
      <c r="S62" s="9">
        <v>6</v>
      </c>
      <c r="T62" s="9">
        <v>17</v>
      </c>
      <c r="U62" s="9">
        <v>3</v>
      </c>
      <c r="W62" s="25">
        <v>1</v>
      </c>
      <c r="X62" s="25">
        <v>1</v>
      </c>
      <c r="Y62" s="25">
        <v>1</v>
      </c>
      <c r="Z62" s="25">
        <v>1</v>
      </c>
      <c r="AA62" s="25">
        <v>1</v>
      </c>
      <c r="AC62" s="166" t="str">
        <v>K</v>
      </c>
      <c r="AD62" s="144">
        <v>47</v>
      </c>
      <c r="AE62" s="144">
        <v>13</v>
      </c>
      <c r="AF62" s="144">
        <v>41</v>
      </c>
      <c r="AG62" s="144">
        <v>14</v>
      </c>
      <c r="AH62" s="144">
        <v>21</v>
      </c>
      <c r="AI62" s="5"/>
      <c r="AJ62" s="166" t="str">
        <v>K</v>
      </c>
      <c r="AK62" s="144">
        <v>47</v>
      </c>
      <c r="AL62" s="144">
        <v>13</v>
      </c>
      <c r="AM62" s="144">
        <v>41</v>
      </c>
      <c r="AN62" s="144">
        <v>14</v>
      </c>
      <c r="AO62" s="144">
        <v>21</v>
      </c>
    </row>
    <row r="63" spans="10:41" ht="16.5" customHeight="1">
      <c r="J63" s="9">
        <v>59</v>
      </c>
      <c r="K63" s="16" t="s">
        <v>35</v>
      </c>
      <c r="L63" s="16" t="s">
        <v>90</v>
      </c>
      <c r="M63" s="16" t="s">
        <v>20</v>
      </c>
      <c r="N63" s="16" t="s">
        <v>95</v>
      </c>
      <c r="O63" s="16" t="s">
        <v>19</v>
      </c>
      <c r="Q63" s="9">
        <v>8</v>
      </c>
      <c r="R63" s="9">
        <v>13</v>
      </c>
      <c r="S63" s="9">
        <v>1</v>
      </c>
      <c r="T63" s="9">
        <v>18</v>
      </c>
      <c r="U63" s="9">
        <v>5</v>
      </c>
      <c r="W63" s="25">
        <v>1</v>
      </c>
      <c r="X63" s="25">
        <v>1</v>
      </c>
      <c r="Y63" s="25">
        <v>1</v>
      </c>
      <c r="Z63" s="25">
        <v>1</v>
      </c>
      <c r="AA63" s="25">
        <v>1</v>
      </c>
      <c r="AC63" s="166" t="str">
        <v>Q</v>
      </c>
      <c r="AD63" s="144">
        <v>4</v>
      </c>
      <c r="AE63" s="144">
        <v>17</v>
      </c>
      <c r="AF63" s="144">
        <v>3</v>
      </c>
      <c r="AG63" s="144">
        <v>21</v>
      </c>
      <c r="AH63" s="144">
        <v>21</v>
      </c>
      <c r="AI63" s="5"/>
      <c r="AJ63" s="166" t="str">
        <v>Q</v>
      </c>
      <c r="AK63" s="144">
        <v>4</v>
      </c>
      <c r="AL63" s="144">
        <v>17</v>
      </c>
      <c r="AM63" s="144">
        <v>3</v>
      </c>
      <c r="AN63" s="144">
        <v>21</v>
      </c>
      <c r="AO63" s="144">
        <v>21</v>
      </c>
    </row>
    <row r="64" spans="10:41" ht="16.5" customHeight="1">
      <c r="J64" s="25">
        <v>60</v>
      </c>
      <c r="K64" s="16" t="s">
        <v>136</v>
      </c>
      <c r="L64" s="16" t="s">
        <v>34</v>
      </c>
      <c r="M64" s="16" t="s">
        <v>19</v>
      </c>
      <c r="N64" s="16" t="s">
        <v>18</v>
      </c>
      <c r="O64" s="16" t="s">
        <v>34</v>
      </c>
      <c r="Q64" s="9">
        <v>6</v>
      </c>
      <c r="R64" s="9">
        <v>9</v>
      </c>
      <c r="S64" s="9">
        <v>5</v>
      </c>
      <c r="T64" s="9">
        <v>4</v>
      </c>
      <c r="U64" s="9">
        <v>9</v>
      </c>
      <c r="W64" s="25">
        <v>1</v>
      </c>
      <c r="X64" s="25">
        <v>1</v>
      </c>
      <c r="Y64" s="25">
        <v>1</v>
      </c>
      <c r="Z64" s="25">
        <v>1</v>
      </c>
      <c r="AA64" s="25">
        <v>1</v>
      </c>
      <c r="AC64" s="166" t="str">
        <v>J</v>
      </c>
      <c r="AD64" s="144">
        <v>4</v>
      </c>
      <c r="AE64" s="144">
        <v>17</v>
      </c>
      <c r="AF64" s="144">
        <v>3</v>
      </c>
      <c r="AG64" s="144">
        <v>21</v>
      </c>
      <c r="AH64" s="144">
        <v>21</v>
      </c>
      <c r="AI64" s="5"/>
      <c r="AJ64" s="166" t="str">
        <v>J</v>
      </c>
      <c r="AK64" s="144">
        <v>4</v>
      </c>
      <c r="AL64" s="144">
        <v>17</v>
      </c>
      <c r="AM64" s="144">
        <v>3</v>
      </c>
      <c r="AN64" s="144">
        <v>21</v>
      </c>
      <c r="AO64" s="144">
        <v>21</v>
      </c>
    </row>
    <row r="65" spans="10:41" ht="16.5" customHeight="1">
      <c r="J65" s="9">
        <v>61</v>
      </c>
      <c r="K65" s="16" t="s">
        <v>37</v>
      </c>
      <c r="L65" s="16" t="s">
        <v>36</v>
      </c>
      <c r="M65" s="16" t="s">
        <v>91</v>
      </c>
      <c r="N65" s="16" t="s">
        <v>22</v>
      </c>
      <c r="O65" s="16" t="s">
        <v>35</v>
      </c>
      <c r="Q65" s="9">
        <v>7</v>
      </c>
      <c r="R65" s="9">
        <v>10</v>
      </c>
      <c r="S65" s="9">
        <v>14</v>
      </c>
      <c r="T65" s="9">
        <v>3</v>
      </c>
      <c r="U65" s="9">
        <v>8</v>
      </c>
      <c r="W65" s="25">
        <v>1</v>
      </c>
      <c r="X65" s="25">
        <v>1</v>
      </c>
      <c r="Y65" s="25">
        <v>1</v>
      </c>
      <c r="Z65" s="25">
        <v>1</v>
      </c>
      <c r="AA65" s="25">
        <v>1</v>
      </c>
      <c r="AC65" s="149" t="str">
        <v>G1</v>
      </c>
      <c r="AD65" s="105">
        <v>0</v>
      </c>
      <c r="AE65" s="105">
        <v>7</v>
      </c>
      <c r="AF65" s="105">
        <v>0</v>
      </c>
      <c r="AG65" s="105">
        <v>4</v>
      </c>
      <c r="AH65" s="105">
        <v>0</v>
      </c>
      <c r="AI65" s="5"/>
      <c r="AJ65" s="149" t="str">
        <v>G1</v>
      </c>
      <c r="AK65" s="105">
        <v>0</v>
      </c>
      <c r="AL65" s="105">
        <v>7</v>
      </c>
      <c r="AM65" s="105">
        <v>0</v>
      </c>
      <c r="AN65" s="105">
        <v>4</v>
      </c>
      <c r="AO65" s="105">
        <v>0</v>
      </c>
    </row>
    <row r="66" spans="10:41" ht="16.5" customHeight="1">
      <c r="J66" s="25">
        <v>62</v>
      </c>
      <c r="K66" s="16" t="s">
        <v>21</v>
      </c>
      <c r="L66" s="16" t="s">
        <v>22</v>
      </c>
      <c r="M66" s="16" t="s">
        <v>19</v>
      </c>
      <c r="N66" s="16" t="s">
        <v>34</v>
      </c>
      <c r="O66" s="16" t="s">
        <v>34</v>
      </c>
      <c r="Q66" s="9">
        <v>2</v>
      </c>
      <c r="R66" s="9">
        <v>3</v>
      </c>
      <c r="S66" s="9">
        <v>5</v>
      </c>
      <c r="T66" s="9">
        <v>9</v>
      </c>
      <c r="U66" s="9">
        <v>9</v>
      </c>
      <c r="W66" s="25">
        <v>1</v>
      </c>
      <c r="X66" s="25">
        <v>1</v>
      </c>
      <c r="Y66" s="25">
        <v>1</v>
      </c>
      <c r="Z66" s="25">
        <v>1</v>
      </c>
      <c r="AA66" s="25">
        <v>1</v>
      </c>
      <c r="AC66" s="149" t="str">
        <v>G2</v>
      </c>
      <c r="AD66" s="105">
        <v>0</v>
      </c>
      <c r="AE66" s="105">
        <v>7</v>
      </c>
      <c r="AF66" s="105">
        <v>0</v>
      </c>
      <c r="AG66" s="105">
        <v>4</v>
      </c>
      <c r="AH66" s="105">
        <v>0</v>
      </c>
      <c r="AI66" s="5"/>
      <c r="AJ66" s="149" t="str">
        <v>G2</v>
      </c>
      <c r="AK66" s="105">
        <v>0</v>
      </c>
      <c r="AL66" s="105">
        <v>7</v>
      </c>
      <c r="AM66" s="105">
        <v>0</v>
      </c>
      <c r="AN66" s="105">
        <v>4</v>
      </c>
      <c r="AO66" s="105">
        <v>0</v>
      </c>
    </row>
    <row r="67" spans="10:41" ht="16.5" customHeight="1">
      <c r="J67" s="9">
        <v>63</v>
      </c>
      <c r="K67" s="16" t="s">
        <v>37</v>
      </c>
      <c r="L67" s="16" t="s">
        <v>95</v>
      </c>
      <c r="M67" s="16" t="s">
        <v>136</v>
      </c>
      <c r="N67" s="16" t="s">
        <v>137</v>
      </c>
      <c r="O67" s="16" t="s">
        <v>22</v>
      </c>
      <c r="Q67" s="9">
        <v>7</v>
      </c>
      <c r="R67" s="9">
        <v>18</v>
      </c>
      <c r="S67" s="9">
        <v>6</v>
      </c>
      <c r="T67" s="9">
        <v>15</v>
      </c>
      <c r="U67" s="9">
        <v>3</v>
      </c>
      <c r="W67" s="25">
        <v>1</v>
      </c>
      <c r="X67" s="25">
        <v>1</v>
      </c>
      <c r="Y67" s="25">
        <v>1</v>
      </c>
      <c r="Z67" s="25">
        <v>1</v>
      </c>
      <c r="AA67" s="25">
        <v>1</v>
      </c>
      <c r="AC67" s="149" t="str">
        <v>G3</v>
      </c>
      <c r="AD67" s="105">
        <v>0</v>
      </c>
      <c r="AE67" s="105">
        <v>7</v>
      </c>
      <c r="AF67" s="105">
        <v>0</v>
      </c>
      <c r="AG67" s="105">
        <v>4</v>
      </c>
      <c r="AH67" s="105">
        <v>0</v>
      </c>
      <c r="AI67" s="5"/>
      <c r="AJ67" s="149" t="str">
        <v>G3</v>
      </c>
      <c r="AK67" s="105">
        <v>0</v>
      </c>
      <c r="AL67" s="105">
        <v>7</v>
      </c>
      <c r="AM67" s="105">
        <v>0</v>
      </c>
      <c r="AN67" s="105">
        <v>4</v>
      </c>
      <c r="AO67" s="105">
        <v>0</v>
      </c>
    </row>
    <row r="68" spans="10:41" ht="16.5" customHeight="1">
      <c r="J68" s="25">
        <v>64</v>
      </c>
      <c r="K68" s="16" t="s">
        <v>136</v>
      </c>
      <c r="L68" s="16" t="s">
        <v>22</v>
      </c>
      <c r="M68" s="16" t="s">
        <v>19</v>
      </c>
      <c r="N68" s="16" t="s">
        <v>35</v>
      </c>
      <c r="O68" s="16" t="s">
        <v>36</v>
      </c>
      <c r="Q68" s="9">
        <v>6</v>
      </c>
      <c r="R68" s="9">
        <v>3</v>
      </c>
      <c r="S68" s="9">
        <v>5</v>
      </c>
      <c r="T68" s="9">
        <v>8</v>
      </c>
      <c r="U68" s="9">
        <v>10</v>
      </c>
      <c r="W68" s="25">
        <v>1</v>
      </c>
      <c r="X68" s="25">
        <v>1</v>
      </c>
      <c r="Y68" s="25">
        <v>1</v>
      </c>
      <c r="Z68" s="25">
        <v>1</v>
      </c>
      <c r="AA68" s="25">
        <v>1</v>
      </c>
      <c r="AC68" s="149" t="str">
        <v>G4</v>
      </c>
      <c r="AD68" s="105">
        <v>0</v>
      </c>
      <c r="AE68" s="105">
        <v>4</v>
      </c>
      <c r="AF68" s="105">
        <v>3</v>
      </c>
      <c r="AG68" s="105">
        <v>3</v>
      </c>
      <c r="AH68" s="105">
        <v>0</v>
      </c>
      <c r="AI68" s="5"/>
      <c r="AJ68" s="149" t="str">
        <v>G4</v>
      </c>
      <c r="AK68" s="105">
        <v>0</v>
      </c>
      <c r="AL68" s="105">
        <v>4</v>
      </c>
      <c r="AM68" s="105">
        <v>3</v>
      </c>
      <c r="AN68" s="105">
        <v>3</v>
      </c>
      <c r="AO68" s="105">
        <v>0</v>
      </c>
    </row>
    <row r="69" spans="10:41" ht="16.5" customHeight="1">
      <c r="J69" s="9">
        <v>65</v>
      </c>
      <c r="K69" s="16" t="s">
        <v>20</v>
      </c>
      <c r="L69" s="16" t="s">
        <v>22</v>
      </c>
      <c r="M69" s="16" t="s">
        <v>136</v>
      </c>
      <c r="N69" s="16" t="s">
        <v>22</v>
      </c>
      <c r="O69" s="16" t="s">
        <v>34</v>
      </c>
      <c r="Q69" s="9">
        <v>1</v>
      </c>
      <c r="R69" s="9">
        <v>3</v>
      </c>
      <c r="S69" s="9">
        <v>6</v>
      </c>
      <c r="T69" s="9">
        <v>3</v>
      </c>
      <c r="U69" s="9">
        <v>9</v>
      </c>
      <c r="W69" s="25">
        <v>1</v>
      </c>
      <c r="X69" s="25">
        <v>1</v>
      </c>
      <c r="Y69" s="25">
        <v>1</v>
      </c>
      <c r="Z69" s="25">
        <v>1</v>
      </c>
      <c r="AA69" s="25">
        <v>1</v>
      </c>
      <c r="AC69" s="149" t="str">
        <v>G5</v>
      </c>
      <c r="AD69" s="105">
        <v>0</v>
      </c>
      <c r="AE69" s="105">
        <v>4</v>
      </c>
      <c r="AF69" s="105">
        <v>3</v>
      </c>
      <c r="AG69" s="105">
        <v>3</v>
      </c>
      <c r="AH69" s="105">
        <v>0</v>
      </c>
      <c r="AI69" s="5"/>
      <c r="AJ69" s="149" t="str">
        <v>G5</v>
      </c>
      <c r="AK69" s="105">
        <v>0</v>
      </c>
      <c r="AL69" s="105">
        <v>4</v>
      </c>
      <c r="AM69" s="105">
        <v>3</v>
      </c>
      <c r="AN69" s="105">
        <v>3</v>
      </c>
      <c r="AO69" s="105">
        <v>0</v>
      </c>
    </row>
    <row r="70" spans="10:41" ht="16.5" customHeight="1">
      <c r="J70" s="25">
        <v>66</v>
      </c>
      <c r="K70" s="16" t="s">
        <v>37</v>
      </c>
      <c r="L70" s="16" t="s">
        <v>35</v>
      </c>
      <c r="M70" s="16" t="s">
        <v>137</v>
      </c>
      <c r="N70" s="16" t="s">
        <v>36</v>
      </c>
      <c r="O70" s="16" t="s">
        <v>136</v>
      </c>
      <c r="Q70" s="9">
        <v>7</v>
      </c>
      <c r="R70" s="9">
        <v>8</v>
      </c>
      <c r="S70" s="9">
        <v>15</v>
      </c>
      <c r="T70" s="9">
        <v>10</v>
      </c>
      <c r="U70" s="9">
        <v>6</v>
      </c>
      <c r="W70" s="25">
        <v>1</v>
      </c>
      <c r="X70" s="25">
        <v>1</v>
      </c>
      <c r="Y70" s="25">
        <v>1</v>
      </c>
      <c r="Z70" s="25">
        <v>1</v>
      </c>
      <c r="AA70" s="25">
        <v>1</v>
      </c>
      <c r="AC70" s="149" t="str">
        <v>GA</v>
      </c>
      <c r="AD70" s="105">
        <v>0</v>
      </c>
      <c r="AE70" s="105">
        <v>4</v>
      </c>
      <c r="AF70" s="105">
        <v>3</v>
      </c>
      <c r="AG70" s="105">
        <v>3</v>
      </c>
      <c r="AH70" s="105">
        <v>0</v>
      </c>
      <c r="AI70" s="5"/>
      <c r="AJ70" s="149" t="str">
        <v>GA</v>
      </c>
      <c r="AK70" s="105">
        <v>0</v>
      </c>
      <c r="AL70" s="105">
        <v>4</v>
      </c>
      <c r="AM70" s="105">
        <v>3</v>
      </c>
      <c r="AN70" s="105">
        <v>3</v>
      </c>
      <c r="AO70" s="105">
        <v>0</v>
      </c>
    </row>
    <row r="71" spans="10:41" ht="16.5" customHeight="1">
      <c r="J71" s="9">
        <v>67</v>
      </c>
      <c r="K71" s="16" t="s">
        <v>36</v>
      </c>
      <c r="L71" s="16" t="s">
        <v>88</v>
      </c>
      <c r="M71" s="16" t="s">
        <v>136</v>
      </c>
      <c r="N71" s="16" t="s">
        <v>88</v>
      </c>
      <c r="O71" s="16" t="s">
        <v>21</v>
      </c>
      <c r="Q71" s="9">
        <v>10</v>
      </c>
      <c r="R71" s="9">
        <v>11</v>
      </c>
      <c r="S71" s="9">
        <v>6</v>
      </c>
      <c r="T71" s="9">
        <v>11</v>
      </c>
      <c r="U71" s="9">
        <v>2</v>
      </c>
      <c r="W71" s="25">
        <v>1</v>
      </c>
      <c r="X71" s="25">
        <v>1</v>
      </c>
      <c r="Y71" s="25">
        <v>1</v>
      </c>
      <c r="Z71" s="25">
        <v>1</v>
      </c>
      <c r="AA71" s="25">
        <v>1</v>
      </c>
      <c r="AC71" s="149" t="str">
        <v>GK</v>
      </c>
      <c r="AD71" s="105">
        <v>0</v>
      </c>
      <c r="AE71" s="105">
        <v>4</v>
      </c>
      <c r="AF71" s="105">
        <v>3</v>
      </c>
      <c r="AG71" s="105">
        <v>3</v>
      </c>
      <c r="AH71" s="105">
        <v>0</v>
      </c>
      <c r="AI71" s="5"/>
      <c r="AJ71" s="149" t="str">
        <v>GK</v>
      </c>
      <c r="AK71" s="105">
        <v>0</v>
      </c>
      <c r="AL71" s="105">
        <v>4</v>
      </c>
      <c r="AM71" s="105">
        <v>3</v>
      </c>
      <c r="AN71" s="105">
        <v>3</v>
      </c>
      <c r="AO71" s="105">
        <v>0</v>
      </c>
    </row>
    <row r="72" spans="10:41" ht="16.5" customHeight="1">
      <c r="J72" s="25">
        <v>68</v>
      </c>
      <c r="K72" s="16" t="s">
        <v>136</v>
      </c>
      <c r="L72" s="16" t="s">
        <v>20</v>
      </c>
      <c r="M72" s="16" t="s">
        <v>35</v>
      </c>
      <c r="N72" s="16" t="s">
        <v>36</v>
      </c>
      <c r="O72" s="16" t="s">
        <v>136</v>
      </c>
      <c r="Q72" s="9">
        <v>6</v>
      </c>
      <c r="R72" s="9">
        <v>1</v>
      </c>
      <c r="S72" s="9">
        <v>8</v>
      </c>
      <c r="T72" s="9">
        <v>10</v>
      </c>
      <c r="U72" s="9">
        <v>6</v>
      </c>
      <c r="W72" s="25">
        <v>1</v>
      </c>
      <c r="X72" s="25">
        <v>1</v>
      </c>
      <c r="Y72" s="25">
        <v>1</v>
      </c>
      <c r="Z72" s="25">
        <v>1</v>
      </c>
      <c r="AA72" s="25">
        <v>1</v>
      </c>
      <c r="AC72" s="149" t="str">
        <v>GQ</v>
      </c>
      <c r="AD72" s="105">
        <v>0</v>
      </c>
      <c r="AE72" s="105">
        <v>8</v>
      </c>
      <c r="AF72" s="105">
        <v>0</v>
      </c>
      <c r="AG72" s="105">
        <v>4</v>
      </c>
      <c r="AH72" s="105">
        <v>0</v>
      </c>
      <c r="AI72" s="5"/>
      <c r="AJ72" s="149" t="str">
        <v>GQ</v>
      </c>
      <c r="AK72" s="105">
        <v>0</v>
      </c>
      <c r="AL72" s="105">
        <v>8</v>
      </c>
      <c r="AM72" s="105">
        <v>0</v>
      </c>
      <c r="AN72" s="105">
        <v>4</v>
      </c>
      <c r="AO72" s="105">
        <v>0</v>
      </c>
    </row>
    <row r="73" spans="10:41" ht="16.5" customHeight="1">
      <c r="J73" s="9">
        <v>69</v>
      </c>
      <c r="K73" s="16" t="s">
        <v>36</v>
      </c>
      <c r="L73" s="16" t="s">
        <v>97</v>
      </c>
      <c r="M73" s="16" t="s">
        <v>136</v>
      </c>
      <c r="N73" s="16" t="s">
        <v>136</v>
      </c>
      <c r="O73" s="16" t="s">
        <v>37</v>
      </c>
      <c r="Q73" s="9">
        <v>10</v>
      </c>
      <c r="R73" s="9">
        <v>19</v>
      </c>
      <c r="S73" s="9">
        <v>6</v>
      </c>
      <c r="T73" s="9">
        <v>6</v>
      </c>
      <c r="U73" s="9">
        <v>7</v>
      </c>
      <c r="W73" s="25">
        <v>1</v>
      </c>
      <c r="X73" s="25">
        <v>1</v>
      </c>
      <c r="Y73" s="25">
        <v>1</v>
      </c>
      <c r="Z73" s="25">
        <v>1</v>
      </c>
      <c r="AA73" s="25">
        <v>1</v>
      </c>
      <c r="AC73" s="149" t="str">
        <v>GJ</v>
      </c>
      <c r="AD73" s="105">
        <v>0</v>
      </c>
      <c r="AE73" s="105">
        <v>8</v>
      </c>
      <c r="AF73" s="105">
        <v>0</v>
      </c>
      <c r="AG73" s="105">
        <v>4</v>
      </c>
      <c r="AH73" s="105">
        <v>0</v>
      </c>
      <c r="AI73" s="5"/>
      <c r="AJ73" s="149" t="str">
        <v>GJ</v>
      </c>
      <c r="AK73" s="105">
        <v>0</v>
      </c>
      <c r="AL73" s="105">
        <v>8</v>
      </c>
      <c r="AM73" s="105">
        <v>0</v>
      </c>
      <c r="AN73" s="105">
        <v>4</v>
      </c>
      <c r="AO73" s="105">
        <v>0</v>
      </c>
    </row>
    <row r="74" spans="10:41" ht="16.5" customHeight="1">
      <c r="J74" s="25">
        <v>70</v>
      </c>
      <c r="K74" s="16" t="s">
        <v>35</v>
      </c>
      <c r="L74" s="16" t="s">
        <v>34</v>
      </c>
      <c r="M74" s="16" t="s">
        <v>37</v>
      </c>
      <c r="N74" s="16" t="s">
        <v>22</v>
      </c>
      <c r="O74" s="16" t="s">
        <v>18</v>
      </c>
      <c r="Q74" s="9">
        <v>8</v>
      </c>
      <c r="R74" s="9">
        <v>9</v>
      </c>
      <c r="S74" s="9">
        <v>7</v>
      </c>
      <c r="T74" s="9">
        <v>3</v>
      </c>
      <c r="U74" s="9">
        <v>4</v>
      </c>
      <c r="W74" s="25">
        <v>1</v>
      </c>
      <c r="X74" s="25">
        <v>1</v>
      </c>
      <c r="Y74" s="25">
        <v>1</v>
      </c>
      <c r="Z74" s="25">
        <v>1</v>
      </c>
      <c r="AA74" s="25">
        <v>1</v>
      </c>
      <c r="AD74" s="119">
        <f>SUM(AD54:AD73)</f>
        <v>195</v>
      </c>
      <c r="AE74" s="119">
        <f>SUM(AE54:AE73)</f>
        <v>195</v>
      </c>
      <c r="AF74" s="119">
        <f>SUM(AF54:AF73)</f>
        <v>195</v>
      </c>
      <c r="AG74" s="119">
        <f>SUM(AG54:AG73)</f>
        <v>194</v>
      </c>
      <c r="AH74" s="119">
        <f>SUM(AH54:AH73)</f>
        <v>194</v>
      </c>
      <c r="AI74" s="5"/>
      <c r="AK74" s="119">
        <f>SUM(AK54:AK73)</f>
        <v>195</v>
      </c>
      <c r="AL74" s="119">
        <f>SUM(AL54:AL73)</f>
        <v>195</v>
      </c>
      <c r="AM74" s="119">
        <f>SUM(AM54:AM73)</f>
        <v>195</v>
      </c>
      <c r="AN74" s="119">
        <f>SUM(AN54:AN73)</f>
        <v>194</v>
      </c>
      <c r="AO74" s="119">
        <f>SUM(AO54:AO73)</f>
        <v>194</v>
      </c>
    </row>
    <row r="75" spans="10:41" ht="16.5" customHeight="1">
      <c r="J75" s="9">
        <v>71</v>
      </c>
      <c r="K75" s="16" t="s">
        <v>19</v>
      </c>
      <c r="L75" s="16" t="s">
        <v>22</v>
      </c>
      <c r="M75" s="16" t="s">
        <v>136</v>
      </c>
      <c r="N75" s="16" t="s">
        <v>20</v>
      </c>
      <c r="O75" s="16" t="s">
        <v>36</v>
      </c>
      <c r="Q75" s="9">
        <v>5</v>
      </c>
      <c r="R75" s="9">
        <v>3</v>
      </c>
      <c r="S75" s="9">
        <v>6</v>
      </c>
      <c r="T75" s="9">
        <v>1</v>
      </c>
      <c r="U75" s="9">
        <v>10</v>
      </c>
      <c r="W75" s="25">
        <v>1</v>
      </c>
      <c r="X75" s="25">
        <v>1</v>
      </c>
      <c r="Y75" s="25">
        <v>1</v>
      </c>
      <c r="Z75" s="25">
        <v>1</v>
      </c>
      <c r="AA75" s="25">
        <v>1</v>
      </c>
      <c r="AH75" s="5"/>
      <c r="AI75" s="5"/>
      <c r="AO75" s="5"/>
    </row>
    <row r="76" spans="10:41" ht="16.5" customHeight="1">
      <c r="J76" s="25">
        <v>72</v>
      </c>
      <c r="K76" s="16" t="s">
        <v>34</v>
      </c>
      <c r="L76" s="16" t="s">
        <v>22</v>
      </c>
      <c r="M76" s="16" t="s">
        <v>91</v>
      </c>
      <c r="N76" s="16" t="s">
        <v>88</v>
      </c>
      <c r="O76" s="16" t="s">
        <v>37</v>
      </c>
      <c r="Q76" s="9">
        <v>9</v>
      </c>
      <c r="R76" s="9">
        <v>3</v>
      </c>
      <c r="S76" s="9">
        <v>14</v>
      </c>
      <c r="T76" s="9">
        <v>11</v>
      </c>
      <c r="U76" s="9">
        <v>7</v>
      </c>
      <c r="W76" s="25">
        <v>1</v>
      </c>
      <c r="X76" s="25">
        <v>1</v>
      </c>
      <c r="Y76" s="25">
        <v>1</v>
      </c>
      <c r="Z76" s="25">
        <v>1</v>
      </c>
      <c r="AA76" s="25">
        <v>1</v>
      </c>
      <c r="AH76" s="5"/>
      <c r="AI76" s="5"/>
      <c r="AO76" s="5"/>
    </row>
    <row r="77" spans="10:41" ht="16.5" customHeight="1">
      <c r="J77" s="9">
        <v>73</v>
      </c>
      <c r="K77" s="16" t="s">
        <v>19</v>
      </c>
      <c r="L77" s="16" t="s">
        <v>91</v>
      </c>
      <c r="M77" s="16" t="s">
        <v>19</v>
      </c>
      <c r="N77" s="16" t="s">
        <v>21</v>
      </c>
      <c r="O77" s="16" t="s">
        <v>18</v>
      </c>
      <c r="Q77" s="9">
        <v>5</v>
      </c>
      <c r="R77" s="9">
        <v>14</v>
      </c>
      <c r="S77" s="9">
        <v>5</v>
      </c>
      <c r="T77" s="9">
        <v>2</v>
      </c>
      <c r="U77" s="9">
        <v>4</v>
      </c>
      <c r="W77" s="25">
        <v>1</v>
      </c>
      <c r="X77" s="25">
        <v>1</v>
      </c>
      <c r="Y77" s="25">
        <v>1</v>
      </c>
      <c r="Z77" s="25">
        <v>1</v>
      </c>
      <c r="AA77" s="25">
        <v>1</v>
      </c>
      <c r="AH77" s="5"/>
      <c r="AI77" s="5"/>
      <c r="AO77" s="5"/>
    </row>
    <row r="78" spans="10:41" ht="16.5" customHeight="1">
      <c r="J78" s="25">
        <v>74</v>
      </c>
      <c r="K78" s="16" t="s">
        <v>37</v>
      </c>
      <c r="L78" s="16" t="s">
        <v>21</v>
      </c>
      <c r="M78" s="16" t="s">
        <v>136</v>
      </c>
      <c r="N78" s="16" t="s">
        <v>34</v>
      </c>
      <c r="O78" s="16" t="s">
        <v>36</v>
      </c>
      <c r="Q78" s="9">
        <v>7</v>
      </c>
      <c r="R78" s="9">
        <v>2</v>
      </c>
      <c r="S78" s="9">
        <v>6</v>
      </c>
      <c r="T78" s="9">
        <v>9</v>
      </c>
      <c r="U78" s="9">
        <v>10</v>
      </c>
      <c r="W78" s="25">
        <v>1</v>
      </c>
      <c r="X78" s="25">
        <v>1</v>
      </c>
      <c r="Y78" s="25">
        <v>1</v>
      </c>
      <c r="Z78" s="25">
        <v>1</v>
      </c>
      <c r="AA78" s="25">
        <v>1</v>
      </c>
      <c r="AH78" s="5"/>
      <c r="AI78" s="5"/>
      <c r="AO78" s="5"/>
    </row>
    <row r="79" spans="10:41" ht="16.5" customHeight="1">
      <c r="J79" s="9">
        <v>75</v>
      </c>
      <c r="K79" s="16" t="s">
        <v>37</v>
      </c>
      <c r="L79" s="16" t="s">
        <v>36</v>
      </c>
      <c r="M79" s="16" t="s">
        <v>37</v>
      </c>
      <c r="N79" s="16" t="s">
        <v>90</v>
      </c>
      <c r="O79" s="16" t="s">
        <v>37</v>
      </c>
      <c r="Q79" s="9">
        <v>7</v>
      </c>
      <c r="R79" s="9">
        <v>10</v>
      </c>
      <c r="S79" s="9">
        <v>7</v>
      </c>
      <c r="T79" s="9">
        <v>13</v>
      </c>
      <c r="U79" s="9">
        <v>7</v>
      </c>
      <c r="W79" s="25">
        <v>1</v>
      </c>
      <c r="X79" s="25">
        <v>1</v>
      </c>
      <c r="Y79" s="25">
        <v>1</v>
      </c>
      <c r="Z79" s="25">
        <v>1</v>
      </c>
      <c r="AA79" s="25">
        <v>1</v>
      </c>
      <c r="AH79" s="5"/>
      <c r="AI79" s="5"/>
      <c r="AO79" s="5"/>
    </row>
    <row r="80" spans="10:41">
      <c r="J80" s="25">
        <v>76</v>
      </c>
      <c r="K80" s="16" t="s">
        <v>35</v>
      </c>
      <c r="L80" s="16" t="s">
        <v>21</v>
      </c>
      <c r="M80" s="16" t="s">
        <v>36</v>
      </c>
      <c r="N80" s="16" t="s">
        <v>37</v>
      </c>
      <c r="O80" s="16" t="s">
        <v>19</v>
      </c>
      <c r="Q80" s="9">
        <v>8</v>
      </c>
      <c r="R80" s="9">
        <v>2</v>
      </c>
      <c r="S80" s="9">
        <v>10</v>
      </c>
      <c r="T80" s="9">
        <v>7</v>
      </c>
      <c r="U80" s="9">
        <v>5</v>
      </c>
      <c r="W80" s="25">
        <v>1</v>
      </c>
      <c r="X80" s="25">
        <v>1</v>
      </c>
      <c r="Y80" s="25">
        <v>1</v>
      </c>
      <c r="Z80" s="25">
        <v>1</v>
      </c>
      <c r="AA80" s="25">
        <v>1</v>
      </c>
      <c r="AH80" s="5"/>
      <c r="AI80" s="5"/>
      <c r="AO80" s="5"/>
    </row>
    <row r="81" spans="10:41">
      <c r="J81" s="9">
        <v>77</v>
      </c>
      <c r="K81" s="16" t="s">
        <v>37</v>
      </c>
      <c r="L81" s="16" t="s">
        <v>136</v>
      </c>
      <c r="M81" s="16" t="s">
        <v>19</v>
      </c>
      <c r="N81" s="16" t="s">
        <v>35</v>
      </c>
      <c r="O81" s="16" t="s">
        <v>37</v>
      </c>
      <c r="Q81" s="9">
        <v>7</v>
      </c>
      <c r="R81" s="9">
        <v>6</v>
      </c>
      <c r="S81" s="9">
        <v>5</v>
      </c>
      <c r="T81" s="9">
        <v>8</v>
      </c>
      <c r="U81" s="9">
        <v>7</v>
      </c>
      <c r="W81" s="25">
        <v>1</v>
      </c>
      <c r="X81" s="25">
        <v>1</v>
      </c>
      <c r="Y81" s="25">
        <v>1</v>
      </c>
      <c r="Z81" s="25">
        <v>1</v>
      </c>
      <c r="AA81" s="25">
        <v>1</v>
      </c>
      <c r="AH81" s="5"/>
      <c r="AI81" s="5"/>
      <c r="AO81" s="5"/>
    </row>
    <row r="82" spans="10:41">
      <c r="J82" s="25">
        <v>78</v>
      </c>
      <c r="K82" s="16" t="s">
        <v>19</v>
      </c>
      <c r="L82" s="16" t="s">
        <v>89</v>
      </c>
      <c r="M82" s="16" t="s">
        <v>35</v>
      </c>
      <c r="N82" s="16" t="s">
        <v>18</v>
      </c>
      <c r="O82" s="16" t="s">
        <v>19</v>
      </c>
      <c r="Q82" s="9">
        <v>5</v>
      </c>
      <c r="R82" s="9">
        <v>12</v>
      </c>
      <c r="S82" s="9">
        <v>8</v>
      </c>
      <c r="T82" s="9">
        <v>4</v>
      </c>
      <c r="U82" s="9">
        <v>5</v>
      </c>
      <c r="W82" s="25">
        <v>1</v>
      </c>
      <c r="X82" s="25">
        <v>1</v>
      </c>
      <c r="Y82" s="25">
        <v>1</v>
      </c>
      <c r="Z82" s="25">
        <v>1</v>
      </c>
      <c r="AA82" s="25">
        <v>1</v>
      </c>
      <c r="AH82" s="5"/>
      <c r="AI82" s="5"/>
      <c r="AO82" s="5"/>
    </row>
    <row r="83" spans="10:41">
      <c r="J83" s="9">
        <v>79</v>
      </c>
      <c r="K83" s="16" t="s">
        <v>136</v>
      </c>
      <c r="L83" s="16" t="s">
        <v>36</v>
      </c>
      <c r="M83" s="16" t="s">
        <v>136</v>
      </c>
      <c r="N83" s="16" t="s">
        <v>22</v>
      </c>
      <c r="O83" s="16" t="s">
        <v>21</v>
      </c>
      <c r="Q83" s="9">
        <v>6</v>
      </c>
      <c r="R83" s="9">
        <v>10</v>
      </c>
      <c r="S83" s="9">
        <v>6</v>
      </c>
      <c r="T83" s="9">
        <v>3</v>
      </c>
      <c r="U83" s="9">
        <v>2</v>
      </c>
      <c r="W83" s="25">
        <v>1</v>
      </c>
      <c r="X83" s="25">
        <v>1</v>
      </c>
      <c r="Y83" s="25">
        <v>1</v>
      </c>
      <c r="Z83" s="25">
        <v>1</v>
      </c>
      <c r="AA83" s="25">
        <v>1</v>
      </c>
      <c r="AH83" s="5"/>
      <c r="AI83" s="5"/>
      <c r="AO83" s="5"/>
    </row>
    <row r="84" spans="10:41">
      <c r="J84" s="25">
        <v>80</v>
      </c>
      <c r="K84" s="16" t="s">
        <v>35</v>
      </c>
      <c r="L84" s="16" t="s">
        <v>36</v>
      </c>
      <c r="M84" s="16" t="s">
        <v>119</v>
      </c>
      <c r="N84" s="16" t="s">
        <v>20</v>
      </c>
      <c r="O84" s="16" t="s">
        <v>36</v>
      </c>
      <c r="Q84" s="9">
        <v>8</v>
      </c>
      <c r="R84" s="9">
        <v>10</v>
      </c>
      <c r="S84" s="9">
        <v>17</v>
      </c>
      <c r="T84" s="9">
        <v>1</v>
      </c>
      <c r="U84" s="9">
        <v>10</v>
      </c>
      <c r="W84" s="25">
        <v>1</v>
      </c>
      <c r="X84" s="25">
        <v>1</v>
      </c>
      <c r="Y84" s="25">
        <v>1</v>
      </c>
      <c r="Z84" s="25">
        <v>1</v>
      </c>
      <c r="AA84" s="25">
        <v>1</v>
      </c>
      <c r="AH84" s="5"/>
      <c r="AI84" s="5"/>
      <c r="AO84" s="5"/>
    </row>
    <row r="85" spans="10:41">
      <c r="J85" s="9">
        <v>81</v>
      </c>
      <c r="K85" s="16" t="s">
        <v>37</v>
      </c>
      <c r="L85" s="16" t="s">
        <v>37</v>
      </c>
      <c r="M85" s="16" t="s">
        <v>37</v>
      </c>
      <c r="N85" s="16" t="s">
        <v>37</v>
      </c>
      <c r="O85" s="16" t="s">
        <v>35</v>
      </c>
      <c r="Q85" s="9">
        <v>7</v>
      </c>
      <c r="R85" s="9">
        <v>7</v>
      </c>
      <c r="S85" s="9">
        <v>7</v>
      </c>
      <c r="T85" s="9">
        <v>7</v>
      </c>
      <c r="U85" s="9">
        <v>8</v>
      </c>
      <c r="W85" s="25">
        <v>1</v>
      </c>
      <c r="X85" s="25">
        <v>1</v>
      </c>
      <c r="Y85" s="25">
        <v>1</v>
      </c>
      <c r="Z85" s="25">
        <v>1</v>
      </c>
      <c r="AA85" s="25">
        <v>1</v>
      </c>
      <c r="AH85" s="5"/>
      <c r="AI85" s="5"/>
      <c r="AO85" s="5"/>
    </row>
    <row r="86" spans="10:41">
      <c r="J86" s="25">
        <v>82</v>
      </c>
      <c r="K86" s="16" t="s">
        <v>18</v>
      </c>
      <c r="L86" s="16" t="s">
        <v>19</v>
      </c>
      <c r="M86" s="16" t="s">
        <v>18</v>
      </c>
      <c r="N86" s="16" t="s">
        <v>37</v>
      </c>
      <c r="O86" s="16" t="s">
        <v>21</v>
      </c>
      <c r="Q86" s="9">
        <v>4</v>
      </c>
      <c r="R86" s="9">
        <v>5</v>
      </c>
      <c r="S86" s="9">
        <v>4</v>
      </c>
      <c r="T86" s="9">
        <v>7</v>
      </c>
      <c r="U86" s="9">
        <v>2</v>
      </c>
      <c r="W86" s="25">
        <v>1</v>
      </c>
      <c r="X86" s="25">
        <v>1</v>
      </c>
      <c r="Y86" s="25">
        <v>1</v>
      </c>
      <c r="Z86" s="25">
        <v>1</v>
      </c>
      <c r="AA86" s="25">
        <v>1</v>
      </c>
      <c r="AH86" s="5"/>
      <c r="AI86" s="5"/>
      <c r="AO86" s="5"/>
    </row>
    <row r="87" spans="10:41">
      <c r="J87" s="9">
        <v>83</v>
      </c>
      <c r="K87" s="16" t="s">
        <v>136</v>
      </c>
      <c r="L87" s="16" t="s">
        <v>22</v>
      </c>
      <c r="M87" s="16" t="s">
        <v>19</v>
      </c>
      <c r="N87" s="16" t="s">
        <v>19</v>
      </c>
      <c r="O87" s="16" t="s">
        <v>22</v>
      </c>
      <c r="Q87" s="9">
        <v>6</v>
      </c>
      <c r="R87" s="9">
        <v>3</v>
      </c>
      <c r="S87" s="9">
        <v>5</v>
      </c>
      <c r="T87" s="9">
        <v>5</v>
      </c>
      <c r="U87" s="9">
        <v>3</v>
      </c>
      <c r="W87" s="25">
        <v>1</v>
      </c>
      <c r="X87" s="25">
        <v>1</v>
      </c>
      <c r="Y87" s="25">
        <v>1</v>
      </c>
      <c r="Z87" s="25">
        <v>1</v>
      </c>
      <c r="AA87" s="25">
        <v>1</v>
      </c>
      <c r="AH87" s="5"/>
      <c r="AI87" s="5"/>
      <c r="AO87" s="5"/>
    </row>
    <row r="88" spans="10:41">
      <c r="J88" s="25">
        <v>84</v>
      </c>
      <c r="K88" s="16" t="s">
        <v>136</v>
      </c>
      <c r="L88" s="16" t="s">
        <v>34</v>
      </c>
      <c r="M88" s="16" t="s">
        <v>35</v>
      </c>
      <c r="N88" s="16" t="s">
        <v>22</v>
      </c>
      <c r="O88" s="16" t="s">
        <v>18</v>
      </c>
      <c r="Q88" s="9">
        <v>6</v>
      </c>
      <c r="R88" s="9">
        <v>9</v>
      </c>
      <c r="S88" s="9">
        <v>8</v>
      </c>
      <c r="T88" s="9">
        <v>3</v>
      </c>
      <c r="U88" s="9">
        <v>4</v>
      </c>
      <c r="W88" s="25">
        <v>1</v>
      </c>
      <c r="X88" s="25">
        <v>1</v>
      </c>
      <c r="Y88" s="25">
        <v>1</v>
      </c>
      <c r="Z88" s="25">
        <v>1</v>
      </c>
      <c r="AA88" s="25">
        <v>1</v>
      </c>
      <c r="AH88" s="5"/>
      <c r="AI88" s="5"/>
      <c r="AO88" s="5"/>
    </row>
    <row r="89" spans="10:41">
      <c r="J89" s="9">
        <v>85</v>
      </c>
      <c r="K89" s="16" t="s">
        <v>20</v>
      </c>
      <c r="L89" s="16" t="s">
        <v>88</v>
      </c>
      <c r="M89" s="16" t="s">
        <v>35</v>
      </c>
      <c r="N89" s="16" t="s">
        <v>22</v>
      </c>
      <c r="O89" s="16" t="s">
        <v>35</v>
      </c>
      <c r="Q89" s="9">
        <v>1</v>
      </c>
      <c r="R89" s="9">
        <v>11</v>
      </c>
      <c r="S89" s="9">
        <v>8</v>
      </c>
      <c r="T89" s="9">
        <v>3</v>
      </c>
      <c r="U89" s="9">
        <v>8</v>
      </c>
      <c r="W89" s="25">
        <v>1</v>
      </c>
      <c r="X89" s="25">
        <v>1</v>
      </c>
      <c r="Y89" s="25">
        <v>1</v>
      </c>
      <c r="Z89" s="25">
        <v>1</v>
      </c>
      <c r="AA89" s="25">
        <v>1</v>
      </c>
      <c r="AH89" s="5"/>
      <c r="AI89" s="5"/>
      <c r="AO89" s="5"/>
    </row>
    <row r="90" spans="10:41">
      <c r="J90" s="25">
        <v>86</v>
      </c>
      <c r="K90" s="16" t="s">
        <v>35</v>
      </c>
      <c r="L90" s="16" t="s">
        <v>22</v>
      </c>
      <c r="M90" s="16" t="s">
        <v>35</v>
      </c>
      <c r="N90" s="16" t="s">
        <v>22</v>
      </c>
      <c r="O90" s="16" t="s">
        <v>18</v>
      </c>
      <c r="Q90" s="9">
        <v>8</v>
      </c>
      <c r="R90" s="9">
        <v>3</v>
      </c>
      <c r="S90" s="9">
        <v>8</v>
      </c>
      <c r="T90" s="9">
        <v>3</v>
      </c>
      <c r="U90" s="9">
        <v>4</v>
      </c>
      <c r="W90" s="25">
        <v>1</v>
      </c>
      <c r="X90" s="25">
        <v>1</v>
      </c>
      <c r="Y90" s="25">
        <v>1</v>
      </c>
      <c r="Z90" s="25">
        <v>1</v>
      </c>
      <c r="AA90" s="25">
        <v>1</v>
      </c>
      <c r="AH90" s="5"/>
      <c r="AI90" s="5"/>
      <c r="AO90" s="5"/>
    </row>
    <row r="91" spans="10:41">
      <c r="J91" s="9">
        <v>87</v>
      </c>
      <c r="K91" s="16" t="s">
        <v>37</v>
      </c>
      <c r="L91" s="16" t="s">
        <v>20</v>
      </c>
      <c r="M91" s="16" t="s">
        <v>37</v>
      </c>
      <c r="N91" s="16" t="s">
        <v>89</v>
      </c>
      <c r="O91" s="16" t="s">
        <v>18</v>
      </c>
      <c r="Q91" s="9">
        <v>7</v>
      </c>
      <c r="R91" s="9">
        <v>1</v>
      </c>
      <c r="S91" s="9">
        <v>7</v>
      </c>
      <c r="T91" s="9">
        <v>12</v>
      </c>
      <c r="U91" s="9">
        <v>4</v>
      </c>
      <c r="W91" s="25">
        <v>1</v>
      </c>
      <c r="X91" s="25">
        <v>1</v>
      </c>
      <c r="Y91" s="25">
        <v>1</v>
      </c>
      <c r="Z91" s="25">
        <v>1</v>
      </c>
      <c r="AA91" s="25">
        <v>1</v>
      </c>
      <c r="AH91" s="5"/>
      <c r="AI91" s="5"/>
      <c r="AO91" s="5"/>
    </row>
    <row r="92" spans="10:41">
      <c r="J92" s="25">
        <v>88</v>
      </c>
      <c r="K92" s="16" t="s">
        <v>19</v>
      </c>
      <c r="L92" s="16" t="s">
        <v>19</v>
      </c>
      <c r="M92" s="16" t="s">
        <v>136</v>
      </c>
      <c r="N92" s="16" t="s">
        <v>34</v>
      </c>
      <c r="O92" s="16" t="s">
        <v>19</v>
      </c>
      <c r="Q92" s="9">
        <v>5</v>
      </c>
      <c r="R92" s="9">
        <v>5</v>
      </c>
      <c r="S92" s="9">
        <v>6</v>
      </c>
      <c r="T92" s="9">
        <v>9</v>
      </c>
      <c r="U92" s="9">
        <v>5</v>
      </c>
      <c r="W92" s="25">
        <v>1</v>
      </c>
      <c r="X92" s="25">
        <v>1</v>
      </c>
      <c r="Y92" s="25">
        <v>1</v>
      </c>
      <c r="Z92" s="25">
        <v>1</v>
      </c>
      <c r="AA92" s="25">
        <v>1</v>
      </c>
      <c r="AH92" s="5"/>
      <c r="AI92" s="5"/>
      <c r="AO92" s="5"/>
    </row>
    <row r="93" spans="10:41">
      <c r="J93" s="9">
        <v>89</v>
      </c>
      <c r="K93" s="16" t="s">
        <v>19</v>
      </c>
      <c r="L93" s="16" t="s">
        <v>19</v>
      </c>
      <c r="M93" s="16" t="s">
        <v>20</v>
      </c>
      <c r="N93" s="16" t="s">
        <v>36</v>
      </c>
      <c r="O93" s="16" t="s">
        <v>19</v>
      </c>
      <c r="Q93" s="9">
        <v>5</v>
      </c>
      <c r="R93" s="9">
        <v>5</v>
      </c>
      <c r="S93" s="9">
        <v>1</v>
      </c>
      <c r="T93" s="9">
        <v>10</v>
      </c>
      <c r="U93" s="9">
        <v>5</v>
      </c>
      <c r="W93" s="25">
        <v>1</v>
      </c>
      <c r="X93" s="25">
        <v>1</v>
      </c>
      <c r="Y93" s="25">
        <v>1</v>
      </c>
      <c r="Z93" s="25">
        <v>1</v>
      </c>
      <c r="AA93" s="25">
        <v>1</v>
      </c>
      <c r="AH93" s="5"/>
      <c r="AI93" s="5"/>
      <c r="AO93" s="5"/>
    </row>
    <row r="94" spans="10:41">
      <c r="J94" s="25">
        <v>90</v>
      </c>
      <c r="K94" s="16" t="s">
        <v>136</v>
      </c>
      <c r="L94" s="16" t="s">
        <v>36</v>
      </c>
      <c r="M94" s="16" t="s">
        <v>92</v>
      </c>
      <c r="N94" s="16" t="s">
        <v>18</v>
      </c>
      <c r="O94" s="16" t="s">
        <v>20</v>
      </c>
      <c r="Q94" s="9">
        <v>6</v>
      </c>
      <c r="R94" s="9">
        <v>10</v>
      </c>
      <c r="S94" s="9">
        <v>16</v>
      </c>
      <c r="T94" s="9">
        <v>4</v>
      </c>
      <c r="U94" s="9">
        <v>1</v>
      </c>
      <c r="W94" s="25">
        <v>1</v>
      </c>
      <c r="X94" s="25">
        <v>1</v>
      </c>
      <c r="Y94" s="25">
        <v>1</v>
      </c>
      <c r="Z94" s="25">
        <v>1</v>
      </c>
      <c r="AA94" s="25">
        <v>1</v>
      </c>
      <c r="AH94" s="5"/>
      <c r="AI94" s="5"/>
      <c r="AO94" s="5"/>
    </row>
    <row r="95" spans="10:41">
      <c r="J95" s="9">
        <v>91</v>
      </c>
      <c r="K95" s="16" t="s">
        <v>19</v>
      </c>
      <c r="L95" s="16" t="s">
        <v>22</v>
      </c>
      <c r="M95" s="16" t="s">
        <v>35</v>
      </c>
      <c r="N95" s="16" t="s">
        <v>18</v>
      </c>
      <c r="O95" s="16" t="s">
        <v>22</v>
      </c>
      <c r="Q95" s="9">
        <v>5</v>
      </c>
      <c r="R95" s="9">
        <v>3</v>
      </c>
      <c r="S95" s="9">
        <v>8</v>
      </c>
      <c r="T95" s="9">
        <v>4</v>
      </c>
      <c r="U95" s="9">
        <v>3</v>
      </c>
      <c r="W95" s="25">
        <v>1</v>
      </c>
      <c r="X95" s="25">
        <v>1</v>
      </c>
      <c r="Y95" s="25">
        <v>1</v>
      </c>
      <c r="Z95" s="25">
        <v>1</v>
      </c>
      <c r="AA95" s="25">
        <v>1</v>
      </c>
      <c r="AH95" s="5"/>
      <c r="AI95" s="5"/>
      <c r="AO95" s="5"/>
    </row>
    <row r="96" spans="10:41">
      <c r="J96" s="25">
        <v>92</v>
      </c>
      <c r="K96" s="16" t="s">
        <v>35</v>
      </c>
      <c r="L96" s="16" t="s">
        <v>88</v>
      </c>
      <c r="M96" s="16" t="s">
        <v>136</v>
      </c>
      <c r="N96" s="16" t="s">
        <v>34</v>
      </c>
      <c r="O96" s="16" t="s">
        <v>22</v>
      </c>
      <c r="Q96" s="9">
        <v>8</v>
      </c>
      <c r="R96" s="9">
        <v>11</v>
      </c>
      <c r="S96" s="9">
        <v>6</v>
      </c>
      <c r="T96" s="9">
        <v>9</v>
      </c>
      <c r="U96" s="9">
        <v>3</v>
      </c>
      <c r="W96" s="25">
        <v>1</v>
      </c>
      <c r="X96" s="25">
        <v>1</v>
      </c>
      <c r="Y96" s="25">
        <v>1</v>
      </c>
      <c r="Z96" s="25">
        <v>1</v>
      </c>
      <c r="AA96" s="25">
        <v>1</v>
      </c>
      <c r="AH96" s="5"/>
      <c r="AI96" s="5"/>
      <c r="AO96" s="5"/>
    </row>
    <row r="97" spans="10:41">
      <c r="J97" s="9">
        <v>93</v>
      </c>
      <c r="K97" s="16" t="s">
        <v>21</v>
      </c>
      <c r="L97" s="16" t="s">
        <v>36</v>
      </c>
      <c r="M97" s="16" t="s">
        <v>37</v>
      </c>
      <c r="N97" s="16" t="s">
        <v>119</v>
      </c>
      <c r="O97" s="16" t="s">
        <v>37</v>
      </c>
      <c r="Q97" s="9">
        <v>2</v>
      </c>
      <c r="R97" s="9">
        <v>10</v>
      </c>
      <c r="S97" s="9">
        <v>7</v>
      </c>
      <c r="T97" s="9">
        <v>17</v>
      </c>
      <c r="U97" s="9">
        <v>7</v>
      </c>
      <c r="W97" s="25">
        <v>1</v>
      </c>
      <c r="X97" s="25">
        <v>1</v>
      </c>
      <c r="Y97" s="25">
        <v>1</v>
      </c>
      <c r="Z97" s="25">
        <v>1</v>
      </c>
      <c r="AA97" s="25">
        <v>1</v>
      </c>
      <c r="AH97" s="5"/>
      <c r="AI97" s="5"/>
      <c r="AO97" s="5"/>
    </row>
    <row r="98" spans="10:41">
      <c r="J98" s="25">
        <v>94</v>
      </c>
      <c r="K98" s="16" t="s">
        <v>19</v>
      </c>
      <c r="L98" s="16" t="s">
        <v>89</v>
      </c>
      <c r="M98" s="16" t="s">
        <v>19</v>
      </c>
      <c r="N98" s="16" t="s">
        <v>21</v>
      </c>
      <c r="O98" s="16" t="s">
        <v>36</v>
      </c>
      <c r="Q98" s="9">
        <v>5</v>
      </c>
      <c r="R98" s="9">
        <v>12</v>
      </c>
      <c r="S98" s="9">
        <v>5</v>
      </c>
      <c r="T98" s="9">
        <v>2</v>
      </c>
      <c r="U98" s="9">
        <v>10</v>
      </c>
      <c r="W98" s="25">
        <v>1</v>
      </c>
      <c r="X98" s="25">
        <v>1</v>
      </c>
      <c r="Y98" s="25">
        <v>1</v>
      </c>
      <c r="Z98" s="25">
        <v>1</v>
      </c>
      <c r="AA98" s="25">
        <v>1</v>
      </c>
      <c r="AH98" s="5"/>
      <c r="AI98" s="5"/>
      <c r="AO98" s="5"/>
    </row>
    <row r="99" spans="10:41">
      <c r="J99" s="9">
        <v>95</v>
      </c>
      <c r="K99" s="16" t="s">
        <v>19</v>
      </c>
      <c r="L99" s="16" t="s">
        <v>21</v>
      </c>
      <c r="M99" s="16" t="s">
        <v>34</v>
      </c>
      <c r="N99" s="16" t="s">
        <v>36</v>
      </c>
      <c r="O99" s="16" t="s">
        <v>19</v>
      </c>
      <c r="Q99" s="9">
        <v>5</v>
      </c>
      <c r="R99" s="9">
        <v>2</v>
      </c>
      <c r="S99" s="9">
        <v>9</v>
      </c>
      <c r="T99" s="9">
        <v>10</v>
      </c>
      <c r="U99" s="9">
        <v>5</v>
      </c>
      <c r="W99" s="25">
        <v>1</v>
      </c>
      <c r="X99" s="25">
        <v>1</v>
      </c>
      <c r="Y99" s="25">
        <v>1</v>
      </c>
      <c r="Z99" s="25">
        <v>1</v>
      </c>
      <c r="AA99" s="25">
        <v>1</v>
      </c>
      <c r="AH99" s="5"/>
      <c r="AI99" s="5"/>
      <c r="AO99" s="5"/>
    </row>
    <row r="100" spans="10:41">
      <c r="J100" s="25">
        <v>96</v>
      </c>
      <c r="K100" s="16" t="s">
        <v>37</v>
      </c>
      <c r="L100" s="16" t="s">
        <v>19</v>
      </c>
      <c r="M100" s="16" t="s">
        <v>35</v>
      </c>
      <c r="N100" s="16" t="s">
        <v>21</v>
      </c>
      <c r="O100" s="16" t="s">
        <v>21</v>
      </c>
      <c r="Q100" s="9">
        <v>7</v>
      </c>
      <c r="R100" s="9">
        <v>5</v>
      </c>
      <c r="S100" s="9">
        <v>8</v>
      </c>
      <c r="T100" s="9">
        <v>2</v>
      </c>
      <c r="U100" s="9">
        <v>2</v>
      </c>
      <c r="W100" s="25">
        <v>1</v>
      </c>
      <c r="X100" s="25">
        <v>1</v>
      </c>
      <c r="Y100" s="25">
        <v>1</v>
      </c>
      <c r="Z100" s="25">
        <v>1</v>
      </c>
      <c r="AA100" s="25">
        <v>1</v>
      </c>
      <c r="AH100" s="5"/>
      <c r="AI100" s="5"/>
      <c r="AO100" s="5"/>
    </row>
    <row r="101" spans="10:41">
      <c r="J101" s="9">
        <v>97</v>
      </c>
      <c r="K101" s="16" t="s">
        <v>35</v>
      </c>
      <c r="L101" s="16" t="s">
        <v>19</v>
      </c>
      <c r="M101" s="16" t="s">
        <v>19</v>
      </c>
      <c r="N101" s="16" t="s">
        <v>21</v>
      </c>
      <c r="O101" s="16" t="s">
        <v>21</v>
      </c>
      <c r="Q101" s="9">
        <v>8</v>
      </c>
      <c r="R101" s="9">
        <v>5</v>
      </c>
      <c r="S101" s="9">
        <v>5</v>
      </c>
      <c r="T101" s="9">
        <v>2</v>
      </c>
      <c r="U101" s="9">
        <v>2</v>
      </c>
      <c r="W101" s="25">
        <v>1</v>
      </c>
      <c r="X101" s="25">
        <v>1</v>
      </c>
      <c r="Y101" s="25">
        <v>1</v>
      </c>
      <c r="Z101" s="25">
        <v>1</v>
      </c>
      <c r="AA101" s="25">
        <v>1</v>
      </c>
      <c r="AH101" s="5"/>
      <c r="AI101" s="5"/>
      <c r="AO101" s="5"/>
    </row>
    <row r="102" spans="10:41">
      <c r="J102" s="25">
        <v>98</v>
      </c>
      <c r="K102" s="16" t="s">
        <v>20</v>
      </c>
      <c r="L102" s="16" t="s">
        <v>88</v>
      </c>
      <c r="M102" s="16" t="s">
        <v>19</v>
      </c>
      <c r="N102" s="16" t="s">
        <v>19</v>
      </c>
      <c r="O102" s="16" t="s">
        <v>136</v>
      </c>
      <c r="Q102" s="9">
        <v>1</v>
      </c>
      <c r="R102" s="9">
        <v>11</v>
      </c>
      <c r="S102" s="9">
        <v>5</v>
      </c>
      <c r="T102" s="9">
        <v>5</v>
      </c>
      <c r="U102" s="9">
        <v>6</v>
      </c>
      <c r="W102" s="25">
        <v>1</v>
      </c>
      <c r="X102" s="25">
        <v>1</v>
      </c>
      <c r="Y102" s="25">
        <v>1</v>
      </c>
      <c r="Z102" s="25">
        <v>1</v>
      </c>
      <c r="AA102" s="25">
        <v>1</v>
      </c>
      <c r="AH102" s="5"/>
      <c r="AI102" s="5"/>
      <c r="AO102" s="5"/>
    </row>
    <row r="103" spans="10:41">
      <c r="J103" s="9">
        <v>99</v>
      </c>
      <c r="K103" s="16" t="s">
        <v>21</v>
      </c>
      <c r="L103" s="16" t="s">
        <v>137</v>
      </c>
      <c r="M103" s="16" t="s">
        <v>35</v>
      </c>
      <c r="N103" s="16" t="s">
        <v>34</v>
      </c>
      <c r="O103" s="16" t="s">
        <v>34</v>
      </c>
      <c r="Q103" s="9">
        <v>2</v>
      </c>
      <c r="R103" s="9">
        <v>15</v>
      </c>
      <c r="S103" s="9">
        <v>8</v>
      </c>
      <c r="T103" s="9">
        <v>9</v>
      </c>
      <c r="U103" s="9">
        <v>9</v>
      </c>
      <c r="W103" s="25">
        <v>1</v>
      </c>
      <c r="X103" s="25">
        <v>1</v>
      </c>
      <c r="Y103" s="25">
        <v>1</v>
      </c>
      <c r="Z103" s="25">
        <v>1</v>
      </c>
      <c r="AA103" s="25">
        <v>1</v>
      </c>
      <c r="AH103" s="5"/>
      <c r="AI103" s="5"/>
      <c r="AO103" s="5"/>
    </row>
    <row r="104" spans="10:41">
      <c r="J104" s="25">
        <v>100</v>
      </c>
      <c r="K104" s="16" t="s">
        <v>22</v>
      </c>
      <c r="L104" s="16" t="s">
        <v>18</v>
      </c>
      <c r="M104" s="16" t="s">
        <v>37</v>
      </c>
      <c r="N104" s="16" t="s">
        <v>37</v>
      </c>
      <c r="O104" s="16" t="s">
        <v>18</v>
      </c>
      <c r="Q104" s="9">
        <v>3</v>
      </c>
      <c r="R104" s="9">
        <v>4</v>
      </c>
      <c r="S104" s="9">
        <v>7</v>
      </c>
      <c r="T104" s="9">
        <v>7</v>
      </c>
      <c r="U104" s="9">
        <v>4</v>
      </c>
      <c r="W104" s="25">
        <v>1</v>
      </c>
      <c r="X104" s="25">
        <v>1</v>
      </c>
      <c r="Y104" s="25">
        <v>1</v>
      </c>
      <c r="Z104" s="25">
        <v>1</v>
      </c>
      <c r="AA104" s="25">
        <v>1</v>
      </c>
      <c r="AH104" s="5"/>
      <c r="AI104" s="5"/>
      <c r="AO104" s="5"/>
    </row>
    <row r="105" spans="10:41">
      <c r="J105" s="25">
        <v>101</v>
      </c>
      <c r="K105" s="16" t="s">
        <v>34</v>
      </c>
      <c r="L105" s="16" t="s">
        <v>136</v>
      </c>
      <c r="M105" s="16" t="s">
        <v>37</v>
      </c>
      <c r="N105" s="16" t="s">
        <v>35</v>
      </c>
      <c r="O105" s="16" t="s">
        <v>19</v>
      </c>
      <c r="Q105" s="9">
        <v>9</v>
      </c>
      <c r="R105" s="9">
        <v>6</v>
      </c>
      <c r="S105" s="9">
        <v>7</v>
      </c>
      <c r="T105" s="9">
        <v>8</v>
      </c>
      <c r="U105" s="9">
        <v>5</v>
      </c>
      <c r="W105" s="25">
        <v>1</v>
      </c>
      <c r="X105" s="25">
        <v>1</v>
      </c>
      <c r="Y105" s="25">
        <v>1</v>
      </c>
      <c r="Z105" s="25">
        <v>1</v>
      </c>
      <c r="AA105" s="25">
        <v>1</v>
      </c>
      <c r="AH105" s="5"/>
      <c r="AI105" s="5"/>
      <c r="AO105" s="5"/>
    </row>
    <row r="106" spans="10:41">
      <c r="J106" s="9">
        <v>102</v>
      </c>
      <c r="K106" s="16" t="s">
        <v>18</v>
      </c>
      <c r="L106" s="16" t="s">
        <v>136</v>
      </c>
      <c r="M106" s="16" t="s">
        <v>136</v>
      </c>
      <c r="N106" s="16" t="s">
        <v>35</v>
      </c>
      <c r="O106" s="16" t="s">
        <v>34</v>
      </c>
      <c r="Q106" s="9">
        <v>4</v>
      </c>
      <c r="R106" s="9">
        <v>6</v>
      </c>
      <c r="S106" s="9">
        <v>6</v>
      </c>
      <c r="T106" s="9">
        <v>8</v>
      </c>
      <c r="U106" s="9">
        <v>9</v>
      </c>
      <c r="W106" s="25">
        <v>1</v>
      </c>
      <c r="X106" s="25">
        <v>1</v>
      </c>
      <c r="Y106" s="25">
        <v>1</v>
      </c>
      <c r="Z106" s="25">
        <v>1</v>
      </c>
      <c r="AA106" s="25">
        <v>1</v>
      </c>
      <c r="AH106" s="5"/>
      <c r="AI106" s="5"/>
      <c r="AO106" s="5"/>
    </row>
    <row r="107" spans="10:41">
      <c r="J107" s="25">
        <v>103</v>
      </c>
      <c r="K107" s="16" t="s">
        <v>35</v>
      </c>
      <c r="L107" s="16" t="s">
        <v>136</v>
      </c>
      <c r="M107" s="16" t="s">
        <v>22</v>
      </c>
      <c r="N107" s="16" t="s">
        <v>19</v>
      </c>
      <c r="O107" s="16" t="s">
        <v>36</v>
      </c>
      <c r="Q107" s="9">
        <v>8</v>
      </c>
      <c r="R107" s="9">
        <v>6</v>
      </c>
      <c r="S107" s="9">
        <v>3</v>
      </c>
      <c r="T107" s="9">
        <v>5</v>
      </c>
      <c r="U107" s="9">
        <v>10</v>
      </c>
      <c r="W107" s="25">
        <v>1</v>
      </c>
      <c r="X107" s="25">
        <v>1</v>
      </c>
      <c r="Y107" s="25">
        <v>1</v>
      </c>
      <c r="Z107" s="25">
        <v>1</v>
      </c>
      <c r="AA107" s="25">
        <v>1</v>
      </c>
      <c r="AH107" s="5"/>
      <c r="AI107" s="5"/>
      <c r="AO107" s="5"/>
    </row>
    <row r="108" spans="10:41">
      <c r="J108" s="9">
        <v>104</v>
      </c>
      <c r="K108" s="16" t="s">
        <v>19</v>
      </c>
      <c r="L108" s="16" t="s">
        <v>36</v>
      </c>
      <c r="M108" s="16" t="s">
        <v>35</v>
      </c>
      <c r="N108" s="16" t="s">
        <v>36</v>
      </c>
      <c r="O108" s="16" t="s">
        <v>36</v>
      </c>
      <c r="Q108" s="9">
        <v>5</v>
      </c>
      <c r="R108" s="9">
        <v>10</v>
      </c>
      <c r="S108" s="9">
        <v>8</v>
      </c>
      <c r="T108" s="9">
        <v>10</v>
      </c>
      <c r="U108" s="9">
        <v>10</v>
      </c>
      <c r="W108" s="25">
        <v>1</v>
      </c>
      <c r="X108" s="25">
        <v>1</v>
      </c>
      <c r="Y108" s="25">
        <v>1</v>
      </c>
      <c r="Z108" s="25">
        <v>1</v>
      </c>
      <c r="AA108" s="25">
        <v>1</v>
      </c>
      <c r="AH108" s="5"/>
      <c r="AI108" s="5"/>
      <c r="AO108" s="5"/>
    </row>
    <row r="109" spans="10:41">
      <c r="J109" s="25">
        <v>105</v>
      </c>
      <c r="K109" s="16" t="s">
        <v>36</v>
      </c>
      <c r="L109" s="16" t="s">
        <v>22</v>
      </c>
      <c r="M109" s="16" t="s">
        <v>37</v>
      </c>
      <c r="N109" s="16" t="s">
        <v>34</v>
      </c>
      <c r="O109" s="16" t="s">
        <v>22</v>
      </c>
      <c r="Q109" s="9">
        <v>10</v>
      </c>
      <c r="R109" s="9">
        <v>3</v>
      </c>
      <c r="S109" s="9">
        <v>7</v>
      </c>
      <c r="T109" s="9">
        <v>9</v>
      </c>
      <c r="U109" s="9">
        <v>3</v>
      </c>
      <c r="W109" s="25">
        <v>1</v>
      </c>
      <c r="X109" s="25">
        <v>1</v>
      </c>
      <c r="Y109" s="25">
        <v>1</v>
      </c>
      <c r="Z109" s="25">
        <v>1</v>
      </c>
      <c r="AA109" s="25">
        <v>1</v>
      </c>
      <c r="AH109" s="5"/>
      <c r="AI109" s="5"/>
      <c r="AO109" s="5"/>
    </row>
    <row r="110" spans="10:41">
      <c r="J110" s="9">
        <v>106</v>
      </c>
      <c r="K110" s="16" t="s">
        <v>35</v>
      </c>
      <c r="L110" s="16" t="s">
        <v>18</v>
      </c>
      <c r="M110" s="16" t="s">
        <v>19</v>
      </c>
      <c r="N110" s="16" t="s">
        <v>20</v>
      </c>
      <c r="O110" s="16" t="s">
        <v>34</v>
      </c>
      <c r="Q110" s="9">
        <v>8</v>
      </c>
      <c r="R110" s="9">
        <v>4</v>
      </c>
      <c r="S110" s="9">
        <v>5</v>
      </c>
      <c r="T110" s="9">
        <v>1</v>
      </c>
      <c r="U110" s="9">
        <v>9</v>
      </c>
      <c r="W110" s="25">
        <v>1</v>
      </c>
      <c r="X110" s="25">
        <v>1</v>
      </c>
      <c r="Y110" s="25">
        <v>1</v>
      </c>
      <c r="Z110" s="25">
        <v>1</v>
      </c>
      <c r="AA110" s="25">
        <v>1</v>
      </c>
      <c r="AH110" s="5"/>
      <c r="AI110" s="5"/>
      <c r="AO110" s="5"/>
    </row>
    <row r="111" spans="10:41">
      <c r="J111" s="25">
        <v>107</v>
      </c>
      <c r="K111" s="16" t="s">
        <v>35</v>
      </c>
      <c r="L111" s="16" t="s">
        <v>97</v>
      </c>
      <c r="M111" s="16" t="s">
        <v>20</v>
      </c>
      <c r="N111" s="16" t="s">
        <v>136</v>
      </c>
      <c r="O111" s="16" t="s">
        <v>18</v>
      </c>
      <c r="Q111" s="9">
        <v>8</v>
      </c>
      <c r="R111" s="9">
        <v>19</v>
      </c>
      <c r="S111" s="9">
        <v>1</v>
      </c>
      <c r="T111" s="9">
        <v>6</v>
      </c>
      <c r="U111" s="9">
        <v>4</v>
      </c>
      <c r="W111" s="25">
        <v>1</v>
      </c>
      <c r="X111" s="25">
        <v>1</v>
      </c>
      <c r="Y111" s="25">
        <v>1</v>
      </c>
      <c r="Z111" s="25">
        <v>1</v>
      </c>
      <c r="AA111" s="25">
        <v>1</v>
      </c>
      <c r="AH111" s="5"/>
      <c r="AI111" s="5"/>
      <c r="AO111" s="5"/>
    </row>
    <row r="112" spans="10:41">
      <c r="J112" s="9">
        <v>108</v>
      </c>
      <c r="K112" s="16" t="s">
        <v>35</v>
      </c>
      <c r="L112" s="16" t="s">
        <v>95</v>
      </c>
      <c r="M112" s="16" t="s">
        <v>137</v>
      </c>
      <c r="N112" s="16" t="s">
        <v>21</v>
      </c>
      <c r="O112" s="16" t="s">
        <v>22</v>
      </c>
      <c r="Q112" s="9">
        <v>8</v>
      </c>
      <c r="R112" s="9">
        <v>18</v>
      </c>
      <c r="S112" s="9">
        <v>15</v>
      </c>
      <c r="T112" s="9">
        <v>2</v>
      </c>
      <c r="U112" s="9">
        <v>3</v>
      </c>
      <c r="W112" s="25">
        <v>1</v>
      </c>
      <c r="X112" s="25">
        <v>1</v>
      </c>
      <c r="Y112" s="25">
        <v>1</v>
      </c>
      <c r="Z112" s="25">
        <v>1</v>
      </c>
      <c r="AA112" s="25">
        <v>1</v>
      </c>
      <c r="AH112" s="5"/>
      <c r="AI112" s="5"/>
      <c r="AO112" s="5"/>
    </row>
    <row r="113" spans="10:41">
      <c r="J113" s="25">
        <v>109</v>
      </c>
      <c r="K113" s="16" t="s">
        <v>37</v>
      </c>
      <c r="L113" s="16" t="s">
        <v>136</v>
      </c>
      <c r="M113" s="16" t="s">
        <v>92</v>
      </c>
      <c r="N113" s="16" t="s">
        <v>21</v>
      </c>
      <c r="O113" s="16" t="s">
        <v>21</v>
      </c>
      <c r="Q113" s="9">
        <v>7</v>
      </c>
      <c r="R113" s="9">
        <v>6</v>
      </c>
      <c r="S113" s="9">
        <v>16</v>
      </c>
      <c r="T113" s="9">
        <v>2</v>
      </c>
      <c r="U113" s="9">
        <v>2</v>
      </c>
      <c r="W113" s="25">
        <v>1</v>
      </c>
      <c r="X113" s="25">
        <v>1</v>
      </c>
      <c r="Y113" s="25">
        <v>1</v>
      </c>
      <c r="Z113" s="25">
        <v>1</v>
      </c>
      <c r="AA113" s="25">
        <v>1</v>
      </c>
      <c r="AH113" s="5"/>
      <c r="AI113" s="5"/>
      <c r="AO113" s="5"/>
    </row>
    <row r="114" spans="10:41">
      <c r="J114" s="9">
        <v>110</v>
      </c>
      <c r="K114" s="16" t="s">
        <v>136</v>
      </c>
      <c r="L114" s="16" t="s">
        <v>119</v>
      </c>
      <c r="M114" s="16" t="s">
        <v>35</v>
      </c>
      <c r="N114" s="16" t="s">
        <v>21</v>
      </c>
      <c r="O114" s="16" t="s">
        <v>19</v>
      </c>
      <c r="Q114" s="9">
        <v>6</v>
      </c>
      <c r="R114" s="9">
        <v>17</v>
      </c>
      <c r="S114" s="9">
        <v>8</v>
      </c>
      <c r="T114" s="9">
        <v>2</v>
      </c>
      <c r="U114" s="9">
        <v>5</v>
      </c>
      <c r="W114" s="25">
        <v>1</v>
      </c>
      <c r="X114" s="25">
        <v>1</v>
      </c>
      <c r="Y114" s="25">
        <v>1</v>
      </c>
      <c r="Z114" s="25">
        <v>1</v>
      </c>
      <c r="AA114" s="25">
        <v>1</v>
      </c>
      <c r="AH114" s="5"/>
      <c r="AI114" s="5"/>
      <c r="AO114" s="5"/>
    </row>
    <row r="115" spans="10:41">
      <c r="J115" s="25">
        <v>111</v>
      </c>
      <c r="K115" s="16" t="s">
        <v>19</v>
      </c>
      <c r="L115" s="16" t="s">
        <v>35</v>
      </c>
      <c r="M115" s="16" t="s">
        <v>19</v>
      </c>
      <c r="N115" s="16" t="s">
        <v>36</v>
      </c>
      <c r="O115" s="16" t="s">
        <v>19</v>
      </c>
      <c r="Q115" s="9">
        <v>5</v>
      </c>
      <c r="R115" s="9">
        <v>8</v>
      </c>
      <c r="S115" s="9">
        <v>5</v>
      </c>
      <c r="T115" s="9">
        <v>10</v>
      </c>
      <c r="U115" s="9">
        <v>5</v>
      </c>
      <c r="W115" s="25">
        <v>1</v>
      </c>
      <c r="X115" s="25">
        <v>1</v>
      </c>
      <c r="Y115" s="25">
        <v>1</v>
      </c>
      <c r="Z115" s="25">
        <v>1</v>
      </c>
      <c r="AA115" s="25">
        <v>1</v>
      </c>
      <c r="AH115" s="5"/>
      <c r="AI115" s="5"/>
      <c r="AO115" s="5"/>
    </row>
    <row r="116" spans="10:41">
      <c r="J116" s="9">
        <v>112</v>
      </c>
      <c r="K116" s="16" t="s">
        <v>37</v>
      </c>
      <c r="L116" s="16" t="s">
        <v>34</v>
      </c>
      <c r="M116" s="16" t="s">
        <v>136</v>
      </c>
      <c r="N116" s="16" t="s">
        <v>35</v>
      </c>
      <c r="O116" s="16" t="s">
        <v>37</v>
      </c>
      <c r="Q116" s="9">
        <v>7</v>
      </c>
      <c r="R116" s="9">
        <v>9</v>
      </c>
      <c r="S116" s="9">
        <v>6</v>
      </c>
      <c r="T116" s="9">
        <v>8</v>
      </c>
      <c r="U116" s="9">
        <v>7</v>
      </c>
      <c r="W116" s="25">
        <v>1</v>
      </c>
      <c r="X116" s="25">
        <v>1</v>
      </c>
      <c r="Y116" s="25">
        <v>1</v>
      </c>
      <c r="Z116" s="25">
        <v>1</v>
      </c>
      <c r="AA116" s="25">
        <v>1</v>
      </c>
      <c r="AH116" s="5"/>
      <c r="AI116" s="5"/>
      <c r="AO116" s="5"/>
    </row>
    <row r="117" spans="10:41">
      <c r="J117" s="25">
        <v>113</v>
      </c>
      <c r="K117" s="16" t="s">
        <v>136</v>
      </c>
      <c r="L117" s="16" t="s">
        <v>34</v>
      </c>
      <c r="M117" s="16" t="s">
        <v>119</v>
      </c>
      <c r="N117" s="16" t="s">
        <v>36</v>
      </c>
      <c r="O117" s="16" t="s">
        <v>22</v>
      </c>
      <c r="Q117" s="9">
        <v>6</v>
      </c>
      <c r="R117" s="9">
        <v>9</v>
      </c>
      <c r="S117" s="9">
        <v>17</v>
      </c>
      <c r="T117" s="9">
        <v>10</v>
      </c>
      <c r="U117" s="9">
        <v>3</v>
      </c>
      <c r="W117" s="25">
        <v>1</v>
      </c>
      <c r="X117" s="25">
        <v>1</v>
      </c>
      <c r="Y117" s="25">
        <v>1</v>
      </c>
      <c r="Z117" s="25">
        <v>1</v>
      </c>
      <c r="AA117" s="25">
        <v>1</v>
      </c>
      <c r="AH117" s="5"/>
      <c r="AI117" s="5"/>
      <c r="AO117" s="5"/>
    </row>
    <row r="118" spans="10:41">
      <c r="J118" s="9">
        <v>114</v>
      </c>
      <c r="K118" s="16" t="s">
        <v>35</v>
      </c>
      <c r="L118" s="16" t="s">
        <v>90</v>
      </c>
      <c r="M118" s="16" t="s">
        <v>37</v>
      </c>
      <c r="N118" s="16" t="s">
        <v>22</v>
      </c>
      <c r="O118" s="16" t="s">
        <v>136</v>
      </c>
      <c r="Q118" s="9">
        <v>8</v>
      </c>
      <c r="R118" s="9">
        <v>13</v>
      </c>
      <c r="S118" s="9">
        <v>7</v>
      </c>
      <c r="T118" s="9">
        <v>3</v>
      </c>
      <c r="U118" s="9">
        <v>6</v>
      </c>
      <c r="W118" s="25">
        <v>1</v>
      </c>
      <c r="X118" s="25">
        <v>1</v>
      </c>
      <c r="Y118" s="25">
        <v>1</v>
      </c>
      <c r="Z118" s="25">
        <v>1</v>
      </c>
      <c r="AA118" s="25">
        <v>1</v>
      </c>
      <c r="AH118" s="5"/>
      <c r="AI118" s="5"/>
      <c r="AO118" s="5"/>
    </row>
    <row r="119" spans="10:41">
      <c r="J119" s="25">
        <v>115</v>
      </c>
      <c r="K119" s="16" t="s">
        <v>37</v>
      </c>
      <c r="L119" s="16" t="s">
        <v>35</v>
      </c>
      <c r="M119" s="16" t="s">
        <v>136</v>
      </c>
      <c r="N119" s="16" t="s">
        <v>19</v>
      </c>
      <c r="O119" s="16" t="s">
        <v>20</v>
      </c>
      <c r="Q119" s="9">
        <v>7</v>
      </c>
      <c r="R119" s="9">
        <v>8</v>
      </c>
      <c r="S119" s="9">
        <v>6</v>
      </c>
      <c r="T119" s="9">
        <v>5</v>
      </c>
      <c r="U119" s="9">
        <v>1</v>
      </c>
      <c r="W119" s="25">
        <v>1</v>
      </c>
      <c r="X119" s="25">
        <v>1</v>
      </c>
      <c r="Y119" s="25">
        <v>1</v>
      </c>
      <c r="Z119" s="25">
        <v>1</v>
      </c>
      <c r="AA119" s="25">
        <v>1</v>
      </c>
      <c r="AH119" s="5"/>
      <c r="AI119" s="5"/>
      <c r="AO119" s="5"/>
    </row>
    <row r="120" spans="10:41">
      <c r="J120" s="9">
        <v>116</v>
      </c>
      <c r="K120" s="16" t="s">
        <v>19</v>
      </c>
      <c r="L120" s="16" t="s">
        <v>35</v>
      </c>
      <c r="M120" s="16" t="s">
        <v>91</v>
      </c>
      <c r="N120" s="16" t="s">
        <v>20</v>
      </c>
      <c r="O120" s="16" t="s">
        <v>37</v>
      </c>
      <c r="Q120" s="9">
        <v>5</v>
      </c>
      <c r="R120" s="9">
        <v>8</v>
      </c>
      <c r="S120" s="9">
        <v>14</v>
      </c>
      <c r="T120" s="9">
        <v>1</v>
      </c>
      <c r="U120" s="9">
        <v>7</v>
      </c>
      <c r="W120" s="25">
        <v>1</v>
      </c>
      <c r="X120" s="25">
        <v>1</v>
      </c>
      <c r="Y120" s="25">
        <v>1</v>
      </c>
      <c r="Z120" s="25">
        <v>1</v>
      </c>
      <c r="AA120" s="25">
        <v>1</v>
      </c>
      <c r="AH120" s="5"/>
      <c r="AI120" s="5"/>
      <c r="AO120" s="5"/>
    </row>
    <row r="121" spans="10:41">
      <c r="J121" s="25">
        <v>117</v>
      </c>
      <c r="K121" s="16" t="s">
        <v>37</v>
      </c>
      <c r="L121" s="16" t="s">
        <v>19</v>
      </c>
      <c r="M121" s="16" t="s">
        <v>136</v>
      </c>
      <c r="N121" s="16" t="s">
        <v>18</v>
      </c>
      <c r="O121" s="16" t="s">
        <v>22</v>
      </c>
      <c r="Q121" s="9">
        <v>7</v>
      </c>
      <c r="R121" s="9">
        <v>5</v>
      </c>
      <c r="S121" s="9">
        <v>6</v>
      </c>
      <c r="T121" s="9">
        <v>4</v>
      </c>
      <c r="U121" s="9">
        <v>3</v>
      </c>
      <c r="W121" s="25">
        <v>1</v>
      </c>
      <c r="X121" s="25">
        <v>1</v>
      </c>
      <c r="Y121" s="25">
        <v>1</v>
      </c>
      <c r="Z121" s="25">
        <v>1</v>
      </c>
      <c r="AA121" s="25">
        <v>1</v>
      </c>
      <c r="AH121" s="5"/>
      <c r="AI121" s="5"/>
      <c r="AO121" s="5"/>
    </row>
    <row r="122" spans="10:41">
      <c r="J122" s="9">
        <v>118</v>
      </c>
      <c r="K122" s="16" t="s">
        <v>37</v>
      </c>
      <c r="L122" s="16" t="s">
        <v>19</v>
      </c>
      <c r="M122" s="16" t="s">
        <v>37</v>
      </c>
      <c r="N122" s="16" t="s">
        <v>37</v>
      </c>
      <c r="O122" s="16" t="s">
        <v>21</v>
      </c>
      <c r="Q122" s="9">
        <v>7</v>
      </c>
      <c r="R122" s="9">
        <v>5</v>
      </c>
      <c r="S122" s="9">
        <v>7</v>
      </c>
      <c r="T122" s="9">
        <v>7</v>
      </c>
      <c r="U122" s="9">
        <v>2</v>
      </c>
      <c r="W122" s="25">
        <v>1</v>
      </c>
      <c r="X122" s="25">
        <v>1</v>
      </c>
      <c r="Y122" s="25">
        <v>1</v>
      </c>
      <c r="Z122" s="25">
        <v>1</v>
      </c>
      <c r="AA122" s="25">
        <v>1</v>
      </c>
      <c r="AH122" s="5"/>
      <c r="AI122" s="5"/>
      <c r="AO122" s="5"/>
    </row>
    <row r="123" spans="10:41">
      <c r="J123" s="25">
        <v>119</v>
      </c>
      <c r="K123" s="16" t="s">
        <v>19</v>
      </c>
      <c r="L123" s="16" t="s">
        <v>19</v>
      </c>
      <c r="M123" s="16" t="s">
        <v>37</v>
      </c>
      <c r="N123" s="16" t="s">
        <v>37</v>
      </c>
      <c r="O123" s="16" t="s">
        <v>22</v>
      </c>
      <c r="Q123" s="9">
        <v>5</v>
      </c>
      <c r="R123" s="9">
        <v>5</v>
      </c>
      <c r="S123" s="9">
        <v>7</v>
      </c>
      <c r="T123" s="9">
        <v>7</v>
      </c>
      <c r="U123" s="9">
        <v>3</v>
      </c>
      <c r="W123" s="25">
        <v>1</v>
      </c>
      <c r="X123" s="25">
        <v>1</v>
      </c>
      <c r="Y123" s="25">
        <v>1</v>
      </c>
      <c r="Z123" s="25">
        <v>1</v>
      </c>
      <c r="AA123" s="25">
        <v>1</v>
      </c>
      <c r="AH123" s="5"/>
      <c r="AI123" s="5"/>
      <c r="AO123" s="5"/>
    </row>
    <row r="124" spans="10:41">
      <c r="J124" s="9">
        <v>120</v>
      </c>
      <c r="K124" s="16" t="s">
        <v>19</v>
      </c>
      <c r="L124" s="16" t="s">
        <v>36</v>
      </c>
      <c r="M124" s="16" t="s">
        <v>136</v>
      </c>
      <c r="N124" s="16" t="s">
        <v>34</v>
      </c>
      <c r="O124" s="16" t="s">
        <v>18</v>
      </c>
      <c r="Q124" s="9">
        <v>5</v>
      </c>
      <c r="R124" s="9">
        <v>10</v>
      </c>
      <c r="S124" s="9">
        <v>6</v>
      </c>
      <c r="T124" s="9">
        <v>9</v>
      </c>
      <c r="U124" s="9">
        <v>4</v>
      </c>
      <c r="W124" s="25">
        <v>1</v>
      </c>
      <c r="X124" s="25">
        <v>1</v>
      </c>
      <c r="Y124" s="25">
        <v>1</v>
      </c>
      <c r="Z124" s="25">
        <v>1</v>
      </c>
      <c r="AA124" s="25">
        <v>1</v>
      </c>
      <c r="AH124" s="5"/>
      <c r="AI124" s="5"/>
      <c r="AO124" s="5"/>
    </row>
    <row r="125" spans="10:41">
      <c r="J125" s="25">
        <v>121</v>
      </c>
      <c r="K125" s="16" t="s">
        <v>37</v>
      </c>
      <c r="L125" s="16" t="s">
        <v>22</v>
      </c>
      <c r="M125" s="16" t="s">
        <v>136</v>
      </c>
      <c r="N125" s="16" t="s">
        <v>22</v>
      </c>
      <c r="O125" s="16" t="s">
        <v>19</v>
      </c>
      <c r="Q125" s="9">
        <v>7</v>
      </c>
      <c r="R125" s="9">
        <v>3</v>
      </c>
      <c r="S125" s="9">
        <v>6</v>
      </c>
      <c r="T125" s="9">
        <v>3</v>
      </c>
      <c r="U125" s="9">
        <v>5</v>
      </c>
      <c r="W125" s="25">
        <v>1</v>
      </c>
      <c r="X125" s="25">
        <v>1</v>
      </c>
      <c r="Y125" s="25">
        <v>1</v>
      </c>
      <c r="Z125" s="25">
        <v>1</v>
      </c>
      <c r="AA125" s="25">
        <v>1</v>
      </c>
      <c r="AH125" s="5"/>
      <c r="AI125" s="5"/>
      <c r="AO125" s="5"/>
    </row>
    <row r="126" spans="10:41">
      <c r="J126" s="9">
        <v>122</v>
      </c>
      <c r="K126" s="16" t="s">
        <v>136</v>
      </c>
      <c r="L126" s="16" t="s">
        <v>34</v>
      </c>
      <c r="M126" s="16" t="s">
        <v>20</v>
      </c>
      <c r="N126" s="16" t="s">
        <v>90</v>
      </c>
      <c r="O126" s="16" t="s">
        <v>34</v>
      </c>
      <c r="Q126" s="9">
        <v>6</v>
      </c>
      <c r="R126" s="9">
        <v>9</v>
      </c>
      <c r="S126" s="9">
        <v>1</v>
      </c>
      <c r="T126" s="9">
        <v>13</v>
      </c>
      <c r="U126" s="9">
        <v>9</v>
      </c>
      <c r="W126" s="25">
        <v>1</v>
      </c>
      <c r="X126" s="25">
        <v>1</v>
      </c>
      <c r="Y126" s="25">
        <v>1</v>
      </c>
      <c r="Z126" s="25">
        <v>1</v>
      </c>
      <c r="AA126" s="25">
        <v>1</v>
      </c>
      <c r="AH126" s="5"/>
      <c r="AI126" s="5"/>
      <c r="AO126" s="5"/>
    </row>
    <row r="127" spans="10:41">
      <c r="J127" s="25">
        <v>123</v>
      </c>
      <c r="K127" s="16" t="s">
        <v>35</v>
      </c>
      <c r="L127" s="16" t="s">
        <v>36</v>
      </c>
      <c r="M127" s="16" t="s">
        <v>35</v>
      </c>
      <c r="N127" s="16" t="s">
        <v>89</v>
      </c>
      <c r="O127" s="16" t="s">
        <v>22</v>
      </c>
      <c r="Q127" s="9">
        <v>8</v>
      </c>
      <c r="R127" s="9">
        <v>10</v>
      </c>
      <c r="S127" s="9">
        <v>8</v>
      </c>
      <c r="T127" s="9">
        <v>12</v>
      </c>
      <c r="U127" s="9">
        <v>3</v>
      </c>
      <c r="W127" s="25">
        <v>1</v>
      </c>
      <c r="X127" s="25">
        <v>1</v>
      </c>
      <c r="Y127" s="25">
        <v>1</v>
      </c>
      <c r="Z127" s="25">
        <v>1</v>
      </c>
      <c r="AA127" s="25">
        <v>1</v>
      </c>
      <c r="AH127" s="5"/>
      <c r="AI127" s="5"/>
      <c r="AO127" s="5"/>
    </row>
    <row r="128" spans="10:41">
      <c r="J128" s="9">
        <v>124</v>
      </c>
      <c r="K128" s="16" t="s">
        <v>19</v>
      </c>
      <c r="L128" s="16" t="s">
        <v>97</v>
      </c>
      <c r="M128" s="16" t="s">
        <v>21</v>
      </c>
      <c r="N128" s="16" t="s">
        <v>36</v>
      </c>
      <c r="O128" s="16" t="s">
        <v>36</v>
      </c>
      <c r="Q128" s="9">
        <v>5</v>
      </c>
      <c r="R128" s="9">
        <v>19</v>
      </c>
      <c r="S128" s="9">
        <v>2</v>
      </c>
      <c r="T128" s="9">
        <v>10</v>
      </c>
      <c r="U128" s="9">
        <v>10</v>
      </c>
      <c r="W128" s="25">
        <v>1</v>
      </c>
      <c r="X128" s="25">
        <v>1</v>
      </c>
      <c r="Y128" s="25">
        <v>1</v>
      </c>
      <c r="Z128" s="25">
        <v>1</v>
      </c>
      <c r="AA128" s="25">
        <v>1</v>
      </c>
      <c r="AH128" s="5"/>
      <c r="AI128" s="5"/>
      <c r="AO128" s="5"/>
    </row>
    <row r="129" spans="10:41">
      <c r="J129" s="25">
        <v>125</v>
      </c>
      <c r="K129" s="16" t="s">
        <v>37</v>
      </c>
      <c r="L129" s="16" t="s">
        <v>21</v>
      </c>
      <c r="M129" s="16" t="s">
        <v>19</v>
      </c>
      <c r="N129" s="16" t="s">
        <v>36</v>
      </c>
      <c r="O129" s="16" t="s">
        <v>22</v>
      </c>
      <c r="Q129" s="9">
        <v>7</v>
      </c>
      <c r="R129" s="9">
        <v>2</v>
      </c>
      <c r="S129" s="9">
        <v>5</v>
      </c>
      <c r="T129" s="9">
        <v>10</v>
      </c>
      <c r="U129" s="9">
        <v>3</v>
      </c>
      <c r="W129" s="25">
        <v>1</v>
      </c>
      <c r="X129" s="25">
        <v>1</v>
      </c>
      <c r="Y129" s="25">
        <v>1</v>
      </c>
      <c r="Z129" s="25">
        <v>1</v>
      </c>
      <c r="AA129" s="25">
        <v>1</v>
      </c>
      <c r="AH129" s="5"/>
      <c r="AI129" s="5"/>
      <c r="AO129" s="5"/>
    </row>
    <row r="130" spans="10:41">
      <c r="J130" s="9">
        <v>126</v>
      </c>
      <c r="K130" s="16" t="s">
        <v>35</v>
      </c>
      <c r="L130" s="16" t="s">
        <v>95</v>
      </c>
      <c r="M130" s="16" t="s">
        <v>35</v>
      </c>
      <c r="N130" s="16" t="s">
        <v>36</v>
      </c>
      <c r="O130" s="16" t="s">
        <v>21</v>
      </c>
      <c r="Q130" s="9">
        <v>8</v>
      </c>
      <c r="R130" s="9">
        <v>18</v>
      </c>
      <c r="S130" s="9">
        <v>8</v>
      </c>
      <c r="T130" s="9">
        <v>10</v>
      </c>
      <c r="U130" s="9">
        <v>2</v>
      </c>
      <c r="W130" s="25">
        <v>1</v>
      </c>
      <c r="X130" s="25">
        <v>1</v>
      </c>
      <c r="Y130" s="25">
        <v>1</v>
      </c>
      <c r="Z130" s="25">
        <v>1</v>
      </c>
      <c r="AA130" s="25">
        <v>1</v>
      </c>
      <c r="AH130" s="5"/>
      <c r="AI130" s="5"/>
      <c r="AO130" s="5"/>
    </row>
    <row r="131" spans="10:41">
      <c r="J131" s="25">
        <v>127</v>
      </c>
      <c r="K131" s="16" t="s">
        <v>136</v>
      </c>
      <c r="L131" s="16" t="s">
        <v>18</v>
      </c>
      <c r="M131" s="16" t="s">
        <v>37</v>
      </c>
      <c r="N131" s="16" t="s">
        <v>18</v>
      </c>
      <c r="O131" s="16" t="s">
        <v>18</v>
      </c>
      <c r="Q131" s="9">
        <v>6</v>
      </c>
      <c r="R131" s="9">
        <v>4</v>
      </c>
      <c r="S131" s="9">
        <v>7</v>
      </c>
      <c r="T131" s="9">
        <v>4</v>
      </c>
      <c r="U131" s="9">
        <v>4</v>
      </c>
      <c r="W131" s="25">
        <v>1</v>
      </c>
      <c r="X131" s="25">
        <v>1</v>
      </c>
      <c r="Y131" s="25">
        <v>1</v>
      </c>
      <c r="Z131" s="25">
        <v>1</v>
      </c>
      <c r="AA131" s="25">
        <v>1</v>
      </c>
      <c r="AH131" s="5"/>
      <c r="AI131" s="5"/>
      <c r="AO131" s="5"/>
    </row>
    <row r="132" spans="10:41">
      <c r="J132" s="9">
        <v>128</v>
      </c>
      <c r="K132" s="16" t="s">
        <v>136</v>
      </c>
      <c r="L132" s="16" t="s">
        <v>97</v>
      </c>
      <c r="M132" s="16" t="s">
        <v>37</v>
      </c>
      <c r="N132" s="16" t="s">
        <v>136</v>
      </c>
      <c r="O132" s="16" t="s">
        <v>18</v>
      </c>
      <c r="Q132" s="9">
        <v>6</v>
      </c>
      <c r="R132" s="9">
        <v>19</v>
      </c>
      <c r="S132" s="9">
        <v>7</v>
      </c>
      <c r="T132" s="9">
        <v>6</v>
      </c>
      <c r="U132" s="9">
        <v>4</v>
      </c>
      <c r="W132" s="25">
        <v>1</v>
      </c>
      <c r="X132" s="25">
        <v>1</v>
      </c>
      <c r="Y132" s="25">
        <v>1</v>
      </c>
      <c r="Z132" s="25">
        <v>1</v>
      </c>
      <c r="AA132" s="25">
        <v>1</v>
      </c>
      <c r="AH132" s="5"/>
      <c r="AI132" s="5"/>
      <c r="AO132" s="5"/>
    </row>
    <row r="133" spans="10:41">
      <c r="J133" s="25">
        <v>129</v>
      </c>
      <c r="K133" s="16" t="s">
        <v>19</v>
      </c>
      <c r="L133" s="16" t="s">
        <v>97</v>
      </c>
      <c r="M133" s="16" t="s">
        <v>19</v>
      </c>
      <c r="N133" s="16" t="s">
        <v>36</v>
      </c>
      <c r="O133" s="16" t="s">
        <v>36</v>
      </c>
      <c r="Q133" s="9">
        <v>5</v>
      </c>
      <c r="R133" s="9">
        <v>19</v>
      </c>
      <c r="S133" s="9">
        <v>5</v>
      </c>
      <c r="T133" s="9">
        <v>10</v>
      </c>
      <c r="U133" s="9">
        <v>10</v>
      </c>
      <c r="W133" s="25">
        <v>1</v>
      </c>
      <c r="X133" s="25">
        <v>1</v>
      </c>
      <c r="Y133" s="25">
        <v>1</v>
      </c>
      <c r="Z133" s="25">
        <v>1</v>
      </c>
      <c r="AA133" s="25">
        <v>1</v>
      </c>
      <c r="AH133" s="5"/>
      <c r="AI133" s="5"/>
      <c r="AO133" s="5"/>
    </row>
    <row r="134" spans="10:41">
      <c r="J134" s="9">
        <v>130</v>
      </c>
      <c r="K134" s="16" t="s">
        <v>35</v>
      </c>
      <c r="L134" s="16" t="s">
        <v>21</v>
      </c>
      <c r="M134" s="16" t="s">
        <v>19</v>
      </c>
      <c r="N134" s="16" t="s">
        <v>18</v>
      </c>
      <c r="O134" s="16" t="s">
        <v>34</v>
      </c>
      <c r="Q134" s="9">
        <v>8</v>
      </c>
      <c r="R134" s="9">
        <v>2</v>
      </c>
      <c r="S134" s="9">
        <v>5</v>
      </c>
      <c r="T134" s="9">
        <v>4</v>
      </c>
      <c r="U134" s="9">
        <v>9</v>
      </c>
      <c r="W134" s="25">
        <v>1</v>
      </c>
      <c r="X134" s="25">
        <v>1</v>
      </c>
      <c r="Y134" s="25">
        <v>1</v>
      </c>
      <c r="Z134" s="25">
        <v>1</v>
      </c>
      <c r="AA134" s="25">
        <v>1</v>
      </c>
      <c r="AH134" s="5"/>
      <c r="AI134" s="5"/>
      <c r="AO134" s="5"/>
    </row>
    <row r="135" spans="10:41">
      <c r="J135" s="25">
        <v>131</v>
      </c>
      <c r="K135" s="16" t="s">
        <v>35</v>
      </c>
      <c r="L135" s="16" t="s">
        <v>90</v>
      </c>
      <c r="M135" s="16" t="s">
        <v>37</v>
      </c>
      <c r="N135" s="16" t="s">
        <v>19</v>
      </c>
      <c r="O135" s="16" t="s">
        <v>136</v>
      </c>
      <c r="Q135" s="9">
        <v>8</v>
      </c>
      <c r="R135" s="9">
        <v>13</v>
      </c>
      <c r="S135" s="9">
        <v>7</v>
      </c>
      <c r="T135" s="9">
        <v>5</v>
      </c>
      <c r="U135" s="9">
        <v>6</v>
      </c>
      <c r="W135" s="25">
        <v>1</v>
      </c>
      <c r="X135" s="25">
        <v>1</v>
      </c>
      <c r="Y135" s="25">
        <v>1</v>
      </c>
      <c r="Z135" s="25">
        <v>1</v>
      </c>
      <c r="AA135" s="25">
        <v>1</v>
      </c>
      <c r="AH135" s="5"/>
      <c r="AI135" s="5"/>
      <c r="AO135" s="5"/>
    </row>
    <row r="136" spans="10:41">
      <c r="J136" s="9">
        <v>132</v>
      </c>
      <c r="K136" s="16" t="s">
        <v>37</v>
      </c>
      <c r="L136" s="16" t="s">
        <v>35</v>
      </c>
      <c r="M136" s="16" t="s">
        <v>92</v>
      </c>
      <c r="N136" s="16" t="s">
        <v>89</v>
      </c>
      <c r="O136" s="16" t="s">
        <v>21</v>
      </c>
      <c r="Q136" s="9">
        <v>7</v>
      </c>
      <c r="R136" s="9">
        <v>8</v>
      </c>
      <c r="S136" s="9">
        <v>16</v>
      </c>
      <c r="T136" s="9">
        <v>12</v>
      </c>
      <c r="U136" s="9">
        <v>2</v>
      </c>
      <c r="W136" s="25">
        <v>1</v>
      </c>
      <c r="X136" s="25">
        <v>1</v>
      </c>
      <c r="Y136" s="25">
        <v>1</v>
      </c>
      <c r="Z136" s="25">
        <v>1</v>
      </c>
      <c r="AA136" s="25">
        <v>1</v>
      </c>
      <c r="AH136" s="5"/>
      <c r="AI136" s="5"/>
      <c r="AO136" s="5"/>
    </row>
    <row r="137" spans="10:41">
      <c r="J137" s="25">
        <v>133</v>
      </c>
      <c r="K137" s="16" t="s">
        <v>136</v>
      </c>
      <c r="L137" s="16" t="s">
        <v>18</v>
      </c>
      <c r="M137" s="16" t="s">
        <v>37</v>
      </c>
      <c r="N137" s="16" t="s">
        <v>21</v>
      </c>
      <c r="O137" s="16" t="s">
        <v>19</v>
      </c>
      <c r="Q137" s="9">
        <v>6</v>
      </c>
      <c r="R137" s="9">
        <v>4</v>
      </c>
      <c r="S137" s="9">
        <v>7</v>
      </c>
      <c r="T137" s="9">
        <v>2</v>
      </c>
      <c r="U137" s="9">
        <v>5</v>
      </c>
      <c r="W137" s="25">
        <v>1</v>
      </c>
      <c r="X137" s="25">
        <v>1</v>
      </c>
      <c r="Y137" s="25">
        <v>1</v>
      </c>
      <c r="Z137" s="25">
        <v>1</v>
      </c>
      <c r="AA137" s="25">
        <v>1</v>
      </c>
      <c r="AH137" s="5"/>
      <c r="AI137" s="5"/>
      <c r="AO137" s="5"/>
    </row>
    <row r="138" spans="10:41">
      <c r="J138" s="9">
        <v>134</v>
      </c>
      <c r="K138" s="16" t="s">
        <v>35</v>
      </c>
      <c r="L138" s="16" t="s">
        <v>19</v>
      </c>
      <c r="M138" s="16" t="s">
        <v>19</v>
      </c>
      <c r="N138" s="16" t="s">
        <v>34</v>
      </c>
      <c r="O138" s="16" t="s">
        <v>22</v>
      </c>
      <c r="Q138" s="9">
        <v>8</v>
      </c>
      <c r="R138" s="9">
        <v>5</v>
      </c>
      <c r="S138" s="9">
        <v>5</v>
      </c>
      <c r="T138" s="9">
        <v>9</v>
      </c>
      <c r="U138" s="9">
        <v>3</v>
      </c>
      <c r="W138" s="25">
        <v>1</v>
      </c>
      <c r="X138" s="25">
        <v>1</v>
      </c>
      <c r="Y138" s="25">
        <v>1</v>
      </c>
      <c r="Z138" s="25">
        <v>1</v>
      </c>
      <c r="AA138" s="25">
        <v>1</v>
      </c>
      <c r="AH138" s="5"/>
      <c r="AI138" s="5"/>
      <c r="AO138" s="5"/>
    </row>
    <row r="139" spans="10:41">
      <c r="J139" s="25">
        <v>135</v>
      </c>
      <c r="K139" s="16" t="s">
        <v>37</v>
      </c>
      <c r="L139" s="16" t="s">
        <v>21</v>
      </c>
      <c r="M139" s="16" t="s">
        <v>35</v>
      </c>
      <c r="N139" s="16" t="s">
        <v>95</v>
      </c>
      <c r="O139" s="16" t="s">
        <v>36</v>
      </c>
      <c r="Q139" s="9">
        <v>7</v>
      </c>
      <c r="R139" s="9">
        <v>2</v>
      </c>
      <c r="S139" s="9">
        <v>8</v>
      </c>
      <c r="T139" s="9">
        <v>18</v>
      </c>
      <c r="U139" s="9">
        <v>10</v>
      </c>
      <c r="W139" s="25">
        <v>1</v>
      </c>
      <c r="X139" s="25">
        <v>1</v>
      </c>
      <c r="Y139" s="25">
        <v>1</v>
      </c>
      <c r="Z139" s="25">
        <v>1</v>
      </c>
      <c r="AA139" s="25">
        <v>1</v>
      </c>
      <c r="AH139" s="5"/>
      <c r="AI139" s="5"/>
      <c r="AO139" s="5"/>
    </row>
    <row r="140" spans="10:41">
      <c r="J140" s="9">
        <v>136</v>
      </c>
      <c r="K140" s="16" t="s">
        <v>19</v>
      </c>
      <c r="L140" s="16" t="s">
        <v>37</v>
      </c>
      <c r="M140" s="16" t="s">
        <v>19</v>
      </c>
      <c r="N140" s="16" t="s">
        <v>34</v>
      </c>
      <c r="O140" s="16" t="s">
        <v>37</v>
      </c>
      <c r="Q140" s="9">
        <v>5</v>
      </c>
      <c r="R140" s="9">
        <v>7</v>
      </c>
      <c r="S140" s="9">
        <v>5</v>
      </c>
      <c r="T140" s="9">
        <v>9</v>
      </c>
      <c r="U140" s="9">
        <v>7</v>
      </c>
      <c r="W140" s="25">
        <v>1</v>
      </c>
      <c r="X140" s="25">
        <v>1</v>
      </c>
      <c r="Y140" s="25">
        <v>1</v>
      </c>
      <c r="Z140" s="25">
        <v>1</v>
      </c>
      <c r="AA140" s="25">
        <v>1</v>
      </c>
      <c r="AH140" s="5"/>
      <c r="AI140" s="5"/>
      <c r="AO140" s="5"/>
    </row>
    <row r="141" spans="10:41">
      <c r="J141" s="25">
        <v>137</v>
      </c>
      <c r="K141" s="16" t="s">
        <v>35</v>
      </c>
      <c r="L141" s="16" t="s">
        <v>37</v>
      </c>
      <c r="M141" s="16" t="s">
        <v>136</v>
      </c>
      <c r="N141" s="16" t="s">
        <v>21</v>
      </c>
      <c r="O141" s="16" t="s">
        <v>34</v>
      </c>
      <c r="Q141" s="9">
        <v>8</v>
      </c>
      <c r="R141" s="9">
        <v>7</v>
      </c>
      <c r="S141" s="9">
        <v>6</v>
      </c>
      <c r="T141" s="9">
        <v>2</v>
      </c>
      <c r="U141" s="9">
        <v>9</v>
      </c>
      <c r="W141" s="25">
        <v>1</v>
      </c>
      <c r="X141" s="25">
        <v>1</v>
      </c>
      <c r="Y141" s="25">
        <v>1</v>
      </c>
      <c r="Z141" s="25">
        <v>1</v>
      </c>
      <c r="AA141" s="25">
        <v>1</v>
      </c>
      <c r="AH141" s="5"/>
      <c r="AI141" s="5"/>
      <c r="AO141" s="5"/>
    </row>
    <row r="142" spans="10:41">
      <c r="J142" s="9">
        <v>138</v>
      </c>
      <c r="K142" s="16" t="s">
        <v>37</v>
      </c>
      <c r="L142" s="16" t="s">
        <v>37</v>
      </c>
      <c r="M142" s="16" t="s">
        <v>119</v>
      </c>
      <c r="N142" s="16" t="s">
        <v>136</v>
      </c>
      <c r="O142" s="16" t="s">
        <v>18</v>
      </c>
      <c r="Q142" s="9">
        <v>7</v>
      </c>
      <c r="R142" s="9">
        <v>7</v>
      </c>
      <c r="S142" s="9">
        <v>17</v>
      </c>
      <c r="T142" s="9">
        <v>6</v>
      </c>
      <c r="U142" s="9">
        <v>4</v>
      </c>
      <c r="W142" s="25">
        <v>1</v>
      </c>
      <c r="X142" s="25">
        <v>1</v>
      </c>
      <c r="Y142" s="25">
        <v>1</v>
      </c>
      <c r="Z142" s="25">
        <v>1</v>
      </c>
      <c r="AA142" s="25">
        <v>1</v>
      </c>
      <c r="AH142" s="5"/>
      <c r="AI142" s="5"/>
      <c r="AO142" s="5"/>
    </row>
    <row r="143" spans="10:41">
      <c r="J143" s="25">
        <v>139</v>
      </c>
      <c r="K143" s="16" t="s">
        <v>19</v>
      </c>
      <c r="L143" s="16" t="s">
        <v>22</v>
      </c>
      <c r="M143" s="16" t="s">
        <v>35</v>
      </c>
      <c r="N143" s="16" t="s">
        <v>18</v>
      </c>
      <c r="O143" s="16" t="s">
        <v>37</v>
      </c>
      <c r="Q143" s="9">
        <v>5</v>
      </c>
      <c r="R143" s="9">
        <v>3</v>
      </c>
      <c r="S143" s="9">
        <v>8</v>
      </c>
      <c r="T143" s="9">
        <v>4</v>
      </c>
      <c r="U143" s="9">
        <v>7</v>
      </c>
      <c r="W143" s="25">
        <v>1</v>
      </c>
      <c r="X143" s="25">
        <v>1</v>
      </c>
      <c r="Y143" s="25">
        <v>1</v>
      </c>
      <c r="Z143" s="25">
        <v>1</v>
      </c>
      <c r="AA143" s="25">
        <v>1</v>
      </c>
      <c r="AH143" s="5"/>
      <c r="AI143" s="5"/>
      <c r="AO143" s="5"/>
    </row>
    <row r="144" spans="10:41">
      <c r="J144" s="9">
        <v>140</v>
      </c>
      <c r="K144" s="16" t="s">
        <v>136</v>
      </c>
      <c r="L144" s="16" t="s">
        <v>37</v>
      </c>
      <c r="M144" s="16" t="s">
        <v>19</v>
      </c>
      <c r="N144" s="16" t="s">
        <v>35</v>
      </c>
      <c r="O144" s="16" t="s">
        <v>37</v>
      </c>
      <c r="Q144" s="9">
        <v>6</v>
      </c>
      <c r="R144" s="9">
        <v>7</v>
      </c>
      <c r="S144" s="9">
        <v>5</v>
      </c>
      <c r="T144" s="9">
        <v>8</v>
      </c>
      <c r="U144" s="9">
        <v>7</v>
      </c>
      <c r="W144" s="25">
        <v>1</v>
      </c>
      <c r="X144" s="25">
        <v>1</v>
      </c>
      <c r="Y144" s="25">
        <v>1</v>
      </c>
      <c r="Z144" s="25">
        <v>1</v>
      </c>
      <c r="AA144" s="25">
        <v>1</v>
      </c>
      <c r="AH144" s="5"/>
      <c r="AI144" s="5"/>
      <c r="AO144" s="5"/>
    </row>
    <row r="145" spans="10:41">
      <c r="J145" s="25">
        <v>141</v>
      </c>
      <c r="K145" s="16" t="s">
        <v>37</v>
      </c>
      <c r="L145" s="16" t="s">
        <v>37</v>
      </c>
      <c r="M145" s="16" t="s">
        <v>19</v>
      </c>
      <c r="N145" s="16" t="s">
        <v>37</v>
      </c>
      <c r="O145" s="16" t="s">
        <v>20</v>
      </c>
      <c r="Q145" s="9">
        <v>7</v>
      </c>
      <c r="R145" s="9">
        <v>7</v>
      </c>
      <c r="S145" s="9">
        <v>5</v>
      </c>
      <c r="T145" s="9">
        <v>7</v>
      </c>
      <c r="U145" s="9">
        <v>1</v>
      </c>
      <c r="W145" s="25">
        <v>1</v>
      </c>
      <c r="X145" s="25">
        <v>1</v>
      </c>
      <c r="Y145" s="25">
        <v>1</v>
      </c>
      <c r="Z145" s="25">
        <v>1</v>
      </c>
      <c r="AA145" s="25">
        <v>1</v>
      </c>
      <c r="AH145" s="5"/>
      <c r="AI145" s="5"/>
      <c r="AO145" s="5"/>
    </row>
    <row r="146" spans="10:41">
      <c r="J146" s="9">
        <v>142</v>
      </c>
      <c r="K146" s="16" t="s">
        <v>136</v>
      </c>
      <c r="L146" s="16" t="s">
        <v>136</v>
      </c>
      <c r="M146" s="16" t="s">
        <v>19</v>
      </c>
      <c r="N146" s="16" t="s">
        <v>19</v>
      </c>
      <c r="O146" s="16" t="s">
        <v>136</v>
      </c>
      <c r="Q146" s="9">
        <v>6</v>
      </c>
      <c r="R146" s="9">
        <v>6</v>
      </c>
      <c r="S146" s="9">
        <v>5</v>
      </c>
      <c r="T146" s="9">
        <v>5</v>
      </c>
      <c r="U146" s="9">
        <v>6</v>
      </c>
      <c r="W146" s="25">
        <v>1</v>
      </c>
      <c r="X146" s="25">
        <v>1</v>
      </c>
      <c r="Y146" s="25">
        <v>1</v>
      </c>
      <c r="Z146" s="25">
        <v>1</v>
      </c>
      <c r="AA146" s="25">
        <v>1</v>
      </c>
      <c r="AH146" s="5"/>
      <c r="AI146" s="5"/>
      <c r="AO146" s="5"/>
    </row>
    <row r="147" spans="10:41">
      <c r="J147" s="25">
        <v>143</v>
      </c>
      <c r="K147" s="16" t="s">
        <v>19</v>
      </c>
      <c r="L147" s="16" t="s">
        <v>89</v>
      </c>
      <c r="M147" s="16" t="s">
        <v>136</v>
      </c>
      <c r="N147" s="16" t="s">
        <v>19</v>
      </c>
      <c r="O147" s="16" t="s">
        <v>37</v>
      </c>
      <c r="Q147" s="9">
        <v>5</v>
      </c>
      <c r="R147" s="9">
        <v>12</v>
      </c>
      <c r="S147" s="9">
        <v>6</v>
      </c>
      <c r="T147" s="9">
        <v>5</v>
      </c>
      <c r="U147" s="9">
        <v>7</v>
      </c>
      <c r="W147" s="25">
        <v>1</v>
      </c>
      <c r="X147" s="25">
        <v>1</v>
      </c>
      <c r="Y147" s="25">
        <v>1</v>
      </c>
      <c r="Z147" s="25">
        <v>1</v>
      </c>
      <c r="AA147" s="25">
        <v>1</v>
      </c>
      <c r="AH147" s="5"/>
      <c r="AI147" s="5"/>
      <c r="AO147" s="5"/>
    </row>
    <row r="148" spans="10:41">
      <c r="J148" s="9">
        <v>144</v>
      </c>
      <c r="K148" s="16" t="s">
        <v>37</v>
      </c>
      <c r="L148" s="16" t="s">
        <v>34</v>
      </c>
      <c r="M148" s="16" t="s">
        <v>37</v>
      </c>
      <c r="N148" s="16" t="s">
        <v>37</v>
      </c>
      <c r="O148" s="16" t="s">
        <v>136</v>
      </c>
      <c r="Q148" s="9">
        <v>7</v>
      </c>
      <c r="R148" s="9">
        <v>9</v>
      </c>
      <c r="S148" s="9">
        <v>7</v>
      </c>
      <c r="T148" s="9">
        <v>7</v>
      </c>
      <c r="U148" s="9">
        <v>6</v>
      </c>
      <c r="W148" s="25">
        <v>1</v>
      </c>
      <c r="X148" s="25">
        <v>1</v>
      </c>
      <c r="Y148" s="25">
        <v>1</v>
      </c>
      <c r="Z148" s="25">
        <v>1</v>
      </c>
      <c r="AA148" s="25">
        <v>1</v>
      </c>
      <c r="AH148" s="5"/>
      <c r="AI148" s="5"/>
      <c r="AO148" s="5"/>
    </row>
    <row r="149" spans="10:41">
      <c r="J149" s="25">
        <v>145</v>
      </c>
      <c r="K149" s="16" t="s">
        <v>35</v>
      </c>
      <c r="L149" s="16" t="s">
        <v>20</v>
      </c>
      <c r="M149" s="16" t="s">
        <v>37</v>
      </c>
      <c r="N149" s="16" t="s">
        <v>18</v>
      </c>
      <c r="O149" s="16" t="s">
        <v>22</v>
      </c>
      <c r="Q149" s="9">
        <v>8</v>
      </c>
      <c r="R149" s="9">
        <v>1</v>
      </c>
      <c r="S149" s="9">
        <v>7</v>
      </c>
      <c r="T149" s="9">
        <v>4</v>
      </c>
      <c r="U149" s="9">
        <v>3</v>
      </c>
      <c r="W149" s="25">
        <v>1</v>
      </c>
      <c r="X149" s="25">
        <v>1</v>
      </c>
      <c r="Y149" s="25">
        <v>1</v>
      </c>
      <c r="Z149" s="25">
        <v>1</v>
      </c>
      <c r="AA149" s="25">
        <v>1</v>
      </c>
      <c r="AH149" s="5"/>
      <c r="AI149" s="5"/>
      <c r="AO149" s="5"/>
    </row>
    <row r="150" spans="10:41">
      <c r="J150" s="9">
        <v>146</v>
      </c>
      <c r="K150" s="16" t="s">
        <v>37</v>
      </c>
      <c r="L150" s="16" t="s">
        <v>36</v>
      </c>
      <c r="M150" s="16" t="s">
        <v>37</v>
      </c>
      <c r="N150" s="16" t="s">
        <v>18</v>
      </c>
      <c r="O150" s="16" t="s">
        <v>136</v>
      </c>
      <c r="Q150" s="9">
        <v>7</v>
      </c>
      <c r="R150" s="9">
        <v>10</v>
      </c>
      <c r="S150" s="9">
        <v>7</v>
      </c>
      <c r="T150" s="9">
        <v>4</v>
      </c>
      <c r="U150" s="9">
        <v>6</v>
      </c>
      <c r="W150" s="25">
        <v>1</v>
      </c>
      <c r="X150" s="25">
        <v>1</v>
      </c>
      <c r="Y150" s="25">
        <v>1</v>
      </c>
      <c r="Z150" s="25">
        <v>1</v>
      </c>
      <c r="AA150" s="25">
        <v>1</v>
      </c>
      <c r="AH150" s="5"/>
      <c r="AI150" s="5"/>
      <c r="AO150" s="5"/>
    </row>
    <row r="151" spans="10:41">
      <c r="J151" s="25">
        <v>147</v>
      </c>
      <c r="K151" s="16" t="s">
        <v>136</v>
      </c>
      <c r="L151" s="16" t="s">
        <v>97</v>
      </c>
      <c r="M151" s="16" t="s">
        <v>136</v>
      </c>
      <c r="N151" s="16" t="s">
        <v>18</v>
      </c>
      <c r="O151" s="16" t="s">
        <v>21</v>
      </c>
      <c r="Q151" s="9">
        <v>6</v>
      </c>
      <c r="R151" s="9">
        <v>19</v>
      </c>
      <c r="S151" s="9">
        <v>6</v>
      </c>
      <c r="T151" s="9">
        <v>4</v>
      </c>
      <c r="U151" s="9">
        <v>2</v>
      </c>
      <c r="W151" s="25">
        <v>1</v>
      </c>
      <c r="X151" s="25">
        <v>1</v>
      </c>
      <c r="Y151" s="25">
        <v>1</v>
      </c>
      <c r="Z151" s="25">
        <v>1</v>
      </c>
      <c r="AA151" s="25">
        <v>1</v>
      </c>
      <c r="AH151" s="5"/>
      <c r="AI151" s="5"/>
      <c r="AO151" s="5"/>
    </row>
    <row r="152" spans="10:41">
      <c r="J152" s="9">
        <v>148</v>
      </c>
      <c r="K152" s="16" t="s">
        <v>18</v>
      </c>
      <c r="L152" s="16" t="s">
        <v>22</v>
      </c>
      <c r="M152" s="16" t="s">
        <v>19</v>
      </c>
      <c r="N152" s="16" t="s">
        <v>36</v>
      </c>
      <c r="O152" s="16" t="s">
        <v>20</v>
      </c>
      <c r="Q152" s="9">
        <v>4</v>
      </c>
      <c r="R152" s="9">
        <v>3</v>
      </c>
      <c r="S152" s="9">
        <v>5</v>
      </c>
      <c r="T152" s="9">
        <v>10</v>
      </c>
      <c r="U152" s="9">
        <v>1</v>
      </c>
      <c r="W152" s="25">
        <v>1</v>
      </c>
      <c r="X152" s="25">
        <v>1</v>
      </c>
      <c r="Y152" s="25">
        <v>1</v>
      </c>
      <c r="Z152" s="25">
        <v>1</v>
      </c>
      <c r="AA152" s="25">
        <v>1</v>
      </c>
      <c r="AH152" s="5"/>
      <c r="AI152" s="5"/>
      <c r="AO152" s="5"/>
    </row>
    <row r="153" spans="10:41">
      <c r="J153" s="25">
        <v>149</v>
      </c>
      <c r="K153" s="16" t="s">
        <v>37</v>
      </c>
      <c r="L153" s="16" t="s">
        <v>18</v>
      </c>
      <c r="M153" s="16" t="s">
        <v>22</v>
      </c>
      <c r="N153" s="16" t="s">
        <v>90</v>
      </c>
      <c r="O153" s="16" t="s">
        <v>136</v>
      </c>
      <c r="Q153" s="9">
        <v>7</v>
      </c>
      <c r="R153" s="9">
        <v>4</v>
      </c>
      <c r="S153" s="9">
        <v>3</v>
      </c>
      <c r="T153" s="9">
        <v>13</v>
      </c>
      <c r="U153" s="9">
        <v>6</v>
      </c>
      <c r="W153" s="25">
        <v>1</v>
      </c>
      <c r="X153" s="25">
        <v>1</v>
      </c>
      <c r="Y153" s="25">
        <v>1</v>
      </c>
      <c r="Z153" s="25">
        <v>1</v>
      </c>
      <c r="AA153" s="25">
        <v>1</v>
      </c>
      <c r="AH153" s="5"/>
      <c r="AI153" s="5"/>
      <c r="AO153" s="5"/>
    </row>
    <row r="154" spans="10:41">
      <c r="J154" s="9">
        <v>150</v>
      </c>
      <c r="K154" s="16" t="s">
        <v>37</v>
      </c>
      <c r="L154" s="16" t="s">
        <v>92</v>
      </c>
      <c r="M154" s="16" t="s">
        <v>35</v>
      </c>
      <c r="N154" s="16" t="s">
        <v>34</v>
      </c>
      <c r="O154" s="16" t="s">
        <v>34</v>
      </c>
      <c r="Q154" s="9">
        <v>7</v>
      </c>
      <c r="R154" s="9">
        <v>16</v>
      </c>
      <c r="S154" s="9">
        <v>8</v>
      </c>
      <c r="T154" s="9">
        <v>9</v>
      </c>
      <c r="U154" s="9">
        <v>9</v>
      </c>
      <c r="W154" s="25">
        <v>1</v>
      </c>
      <c r="X154" s="25">
        <v>1</v>
      </c>
      <c r="Y154" s="25">
        <v>1</v>
      </c>
      <c r="Z154" s="25">
        <v>1</v>
      </c>
      <c r="AA154" s="25">
        <v>1</v>
      </c>
      <c r="AH154" s="5"/>
      <c r="AI154" s="5"/>
      <c r="AO154" s="5"/>
    </row>
    <row r="155" spans="10:41">
      <c r="J155" s="25">
        <v>151</v>
      </c>
      <c r="K155" s="16" t="s">
        <v>136</v>
      </c>
      <c r="L155" s="16" t="s">
        <v>18</v>
      </c>
      <c r="M155" s="16" t="s">
        <v>19</v>
      </c>
      <c r="N155" s="16" t="s">
        <v>19</v>
      </c>
      <c r="O155" s="16" t="s">
        <v>34</v>
      </c>
      <c r="Q155" s="9">
        <v>6</v>
      </c>
      <c r="R155" s="9">
        <v>4</v>
      </c>
      <c r="S155" s="9">
        <v>5</v>
      </c>
      <c r="T155" s="9">
        <v>5</v>
      </c>
      <c r="U155" s="9">
        <v>9</v>
      </c>
      <c r="W155" s="25">
        <v>1</v>
      </c>
      <c r="X155" s="25">
        <v>1</v>
      </c>
      <c r="Y155" s="25">
        <v>1</v>
      </c>
      <c r="Z155" s="25">
        <v>1</v>
      </c>
      <c r="AA155" s="25">
        <v>1</v>
      </c>
      <c r="AH155" s="5"/>
      <c r="AI155" s="5"/>
      <c r="AO155" s="5"/>
    </row>
    <row r="156" spans="10:41">
      <c r="J156" s="9">
        <v>152</v>
      </c>
      <c r="K156" s="16" t="s">
        <v>37</v>
      </c>
      <c r="L156" s="16" t="s">
        <v>36</v>
      </c>
      <c r="M156" s="16" t="s">
        <v>19</v>
      </c>
      <c r="N156" s="16" t="s">
        <v>35</v>
      </c>
      <c r="O156" s="16" t="s">
        <v>136</v>
      </c>
      <c r="Q156" s="9">
        <v>7</v>
      </c>
      <c r="R156" s="9">
        <v>10</v>
      </c>
      <c r="S156" s="9">
        <v>5</v>
      </c>
      <c r="T156" s="9">
        <v>8</v>
      </c>
      <c r="U156" s="9">
        <v>6</v>
      </c>
      <c r="W156" s="25">
        <v>1</v>
      </c>
      <c r="X156" s="25">
        <v>1</v>
      </c>
      <c r="Y156" s="25">
        <v>1</v>
      </c>
      <c r="Z156" s="25">
        <v>1</v>
      </c>
      <c r="AA156" s="25">
        <v>1</v>
      </c>
      <c r="AH156" s="5"/>
      <c r="AI156" s="5"/>
      <c r="AO156" s="5"/>
    </row>
    <row r="157" spans="10:41">
      <c r="J157" s="25">
        <v>153</v>
      </c>
      <c r="K157" s="16" t="s">
        <v>136</v>
      </c>
      <c r="L157" s="16" t="s">
        <v>21</v>
      </c>
      <c r="M157" s="16" t="s">
        <v>19</v>
      </c>
      <c r="N157" s="16" t="s">
        <v>92</v>
      </c>
      <c r="O157" s="16" t="s">
        <v>136</v>
      </c>
      <c r="Q157" s="9">
        <v>6</v>
      </c>
      <c r="R157" s="9">
        <v>2</v>
      </c>
      <c r="S157" s="9">
        <v>5</v>
      </c>
      <c r="T157" s="9">
        <v>16</v>
      </c>
      <c r="U157" s="9">
        <v>6</v>
      </c>
      <c r="W157" s="25">
        <v>1</v>
      </c>
      <c r="X157" s="25">
        <v>1</v>
      </c>
      <c r="Y157" s="25">
        <v>1</v>
      </c>
      <c r="Z157" s="25">
        <v>1</v>
      </c>
      <c r="AA157" s="25">
        <v>1</v>
      </c>
      <c r="AH157" s="5"/>
      <c r="AI157" s="5"/>
      <c r="AO157" s="5"/>
    </row>
    <row r="158" spans="10:41">
      <c r="J158" s="9">
        <v>154</v>
      </c>
      <c r="K158" s="16" t="s">
        <v>35</v>
      </c>
      <c r="L158" s="16" t="s">
        <v>18</v>
      </c>
      <c r="M158" s="16" t="s">
        <v>35</v>
      </c>
      <c r="N158" s="16" t="s">
        <v>21</v>
      </c>
      <c r="O158" s="16" t="s">
        <v>35</v>
      </c>
      <c r="Q158" s="9">
        <v>8</v>
      </c>
      <c r="R158" s="9">
        <v>4</v>
      </c>
      <c r="S158" s="9">
        <v>8</v>
      </c>
      <c r="T158" s="9">
        <v>2</v>
      </c>
      <c r="U158" s="9">
        <v>8</v>
      </c>
      <c r="W158" s="25">
        <v>1</v>
      </c>
      <c r="X158" s="25">
        <v>1</v>
      </c>
      <c r="Y158" s="25">
        <v>1</v>
      </c>
      <c r="Z158" s="25">
        <v>1</v>
      </c>
      <c r="AA158" s="25">
        <v>1</v>
      </c>
      <c r="AH158" s="5"/>
      <c r="AI158" s="5"/>
      <c r="AO158" s="5"/>
    </row>
    <row r="159" spans="10:41">
      <c r="J159" s="25">
        <v>155</v>
      </c>
      <c r="K159" s="16" t="s">
        <v>35</v>
      </c>
      <c r="L159" s="16" t="s">
        <v>37</v>
      </c>
      <c r="M159" s="16" t="s">
        <v>35</v>
      </c>
      <c r="N159" s="16" t="s">
        <v>20</v>
      </c>
      <c r="O159" s="16" t="s">
        <v>20</v>
      </c>
      <c r="Q159" s="9">
        <v>8</v>
      </c>
      <c r="R159" s="9">
        <v>7</v>
      </c>
      <c r="S159" s="9">
        <v>8</v>
      </c>
      <c r="T159" s="9">
        <v>1</v>
      </c>
      <c r="U159" s="9">
        <v>1</v>
      </c>
      <c r="W159" s="25">
        <v>1</v>
      </c>
      <c r="X159" s="25">
        <v>1</v>
      </c>
      <c r="Y159" s="25">
        <v>1</v>
      </c>
      <c r="Z159" s="25">
        <v>1</v>
      </c>
      <c r="AA159" s="25">
        <v>1</v>
      </c>
      <c r="AH159" s="5"/>
      <c r="AI159" s="5"/>
      <c r="AO159" s="5"/>
    </row>
    <row r="160" spans="10:41">
      <c r="J160" s="9">
        <v>156</v>
      </c>
      <c r="K160" s="16" t="s">
        <v>20</v>
      </c>
      <c r="L160" s="16" t="s">
        <v>136</v>
      </c>
      <c r="M160" s="16" t="s">
        <v>37</v>
      </c>
      <c r="N160" s="16" t="s">
        <v>37</v>
      </c>
      <c r="O160" s="16" t="s">
        <v>19</v>
      </c>
      <c r="Q160" s="9">
        <v>1</v>
      </c>
      <c r="R160" s="9">
        <v>6</v>
      </c>
      <c r="S160" s="9">
        <v>7</v>
      </c>
      <c r="T160" s="9">
        <v>7</v>
      </c>
      <c r="U160" s="9">
        <v>5</v>
      </c>
      <c r="W160" s="25">
        <v>1</v>
      </c>
      <c r="X160" s="25">
        <v>1</v>
      </c>
      <c r="Y160" s="25">
        <v>1</v>
      </c>
      <c r="Z160" s="25">
        <v>1</v>
      </c>
      <c r="AA160" s="25">
        <v>1</v>
      </c>
      <c r="AH160" s="5"/>
      <c r="AI160" s="5"/>
      <c r="AO160" s="5"/>
    </row>
    <row r="161" spans="10:41">
      <c r="J161" s="25">
        <v>157</v>
      </c>
      <c r="K161" s="16" t="s">
        <v>35</v>
      </c>
      <c r="L161" s="16" t="s">
        <v>21</v>
      </c>
      <c r="M161" s="16" t="s">
        <v>136</v>
      </c>
      <c r="N161" s="16" t="s">
        <v>34</v>
      </c>
      <c r="O161" s="16" t="s">
        <v>37</v>
      </c>
      <c r="Q161" s="9">
        <v>8</v>
      </c>
      <c r="R161" s="9">
        <v>2</v>
      </c>
      <c r="S161" s="9">
        <v>6</v>
      </c>
      <c r="T161" s="9">
        <v>9</v>
      </c>
      <c r="U161" s="9">
        <v>7</v>
      </c>
      <c r="W161" s="25">
        <v>1</v>
      </c>
      <c r="X161" s="25">
        <v>1</v>
      </c>
      <c r="Y161" s="25">
        <v>1</v>
      </c>
      <c r="Z161" s="25">
        <v>1</v>
      </c>
      <c r="AA161" s="25">
        <v>1</v>
      </c>
      <c r="AH161" s="5"/>
      <c r="AI161" s="5"/>
      <c r="AO161" s="5"/>
    </row>
    <row r="162" spans="10:41">
      <c r="J162" s="9">
        <v>158</v>
      </c>
      <c r="K162" s="16" t="s">
        <v>34</v>
      </c>
      <c r="L162" s="16" t="s">
        <v>36</v>
      </c>
      <c r="M162" s="16" t="s">
        <v>136</v>
      </c>
      <c r="N162" s="16" t="s">
        <v>34</v>
      </c>
      <c r="O162" s="16" t="s">
        <v>136</v>
      </c>
      <c r="Q162" s="9">
        <v>9</v>
      </c>
      <c r="R162" s="9">
        <v>10</v>
      </c>
      <c r="S162" s="9">
        <v>6</v>
      </c>
      <c r="T162" s="9">
        <v>9</v>
      </c>
      <c r="U162" s="9">
        <v>6</v>
      </c>
      <c r="W162" s="25">
        <v>1</v>
      </c>
      <c r="X162" s="25">
        <v>1</v>
      </c>
      <c r="Y162" s="25">
        <v>1</v>
      </c>
      <c r="Z162" s="25">
        <v>1</v>
      </c>
      <c r="AA162" s="25">
        <v>1</v>
      </c>
      <c r="AH162" s="5"/>
      <c r="AI162" s="5"/>
      <c r="AO162" s="5"/>
    </row>
    <row r="163" spans="10:41">
      <c r="J163" s="25">
        <v>159</v>
      </c>
      <c r="K163" s="16" t="s">
        <v>35</v>
      </c>
      <c r="L163" s="16" t="s">
        <v>18</v>
      </c>
      <c r="M163" s="16" t="s">
        <v>136</v>
      </c>
      <c r="N163" s="16" t="s">
        <v>34</v>
      </c>
      <c r="O163" s="16" t="s">
        <v>136</v>
      </c>
      <c r="Q163" s="9">
        <v>8</v>
      </c>
      <c r="R163" s="9">
        <v>4</v>
      </c>
      <c r="S163" s="9">
        <v>6</v>
      </c>
      <c r="T163" s="9">
        <v>9</v>
      </c>
      <c r="U163" s="9">
        <v>6</v>
      </c>
      <c r="W163" s="25">
        <v>1</v>
      </c>
      <c r="X163" s="25">
        <v>1</v>
      </c>
      <c r="Y163" s="25">
        <v>1</v>
      </c>
      <c r="Z163" s="25">
        <v>1</v>
      </c>
      <c r="AA163" s="25">
        <v>1</v>
      </c>
      <c r="AH163" s="5"/>
      <c r="AI163" s="5"/>
      <c r="AO163" s="5"/>
    </row>
    <row r="164" spans="10:41">
      <c r="J164" s="9">
        <v>160</v>
      </c>
      <c r="K164" s="16" t="s">
        <v>35</v>
      </c>
      <c r="L164" s="16" t="s">
        <v>22</v>
      </c>
      <c r="M164" s="16" t="s">
        <v>19</v>
      </c>
      <c r="N164" s="16" t="s">
        <v>36</v>
      </c>
      <c r="O164" s="16" t="s">
        <v>35</v>
      </c>
      <c r="Q164" s="9">
        <v>8</v>
      </c>
      <c r="R164" s="9">
        <v>3</v>
      </c>
      <c r="S164" s="9">
        <v>5</v>
      </c>
      <c r="T164" s="9">
        <v>10</v>
      </c>
      <c r="U164" s="9">
        <v>8</v>
      </c>
      <c r="W164" s="25">
        <v>1</v>
      </c>
      <c r="X164" s="25">
        <v>1</v>
      </c>
      <c r="Y164" s="25">
        <v>1</v>
      </c>
      <c r="Z164" s="25">
        <v>1</v>
      </c>
      <c r="AA164" s="25">
        <v>1</v>
      </c>
      <c r="AH164" s="5"/>
      <c r="AI164" s="5"/>
      <c r="AO164" s="5"/>
    </row>
    <row r="165" spans="10:41">
      <c r="J165" s="25">
        <v>161</v>
      </c>
      <c r="K165" s="16" t="s">
        <v>19</v>
      </c>
      <c r="L165" s="16" t="s">
        <v>88</v>
      </c>
      <c r="M165" s="16" t="s">
        <v>21</v>
      </c>
      <c r="N165" s="16" t="s">
        <v>35</v>
      </c>
      <c r="O165" s="16" t="s">
        <v>36</v>
      </c>
      <c r="Q165" s="9">
        <v>5</v>
      </c>
      <c r="R165" s="9">
        <v>11</v>
      </c>
      <c r="S165" s="9">
        <v>2</v>
      </c>
      <c r="T165" s="9">
        <v>8</v>
      </c>
      <c r="U165" s="9">
        <v>10</v>
      </c>
      <c r="W165" s="25">
        <v>1</v>
      </c>
      <c r="X165" s="25">
        <v>1</v>
      </c>
      <c r="Y165" s="25">
        <v>1</v>
      </c>
      <c r="Z165" s="25">
        <v>1</v>
      </c>
      <c r="AA165" s="25">
        <v>1</v>
      </c>
      <c r="AH165" s="5"/>
      <c r="AI165" s="5"/>
      <c r="AO165" s="5"/>
    </row>
    <row r="166" spans="10:41">
      <c r="J166" s="9">
        <v>162</v>
      </c>
      <c r="K166" s="16" t="s">
        <v>136</v>
      </c>
      <c r="L166" s="16" t="s">
        <v>18</v>
      </c>
      <c r="M166" s="16" t="s">
        <v>37</v>
      </c>
      <c r="N166" s="16" t="s">
        <v>35</v>
      </c>
      <c r="O166" s="16" t="s">
        <v>35</v>
      </c>
      <c r="Q166" s="9">
        <v>6</v>
      </c>
      <c r="R166" s="9">
        <v>4</v>
      </c>
      <c r="S166" s="9">
        <v>7</v>
      </c>
      <c r="T166" s="9">
        <v>8</v>
      </c>
      <c r="U166" s="9">
        <v>8</v>
      </c>
      <c r="W166" s="25">
        <v>1</v>
      </c>
      <c r="X166" s="25">
        <v>1</v>
      </c>
      <c r="Y166" s="25">
        <v>1</v>
      </c>
      <c r="Z166" s="25">
        <v>1</v>
      </c>
      <c r="AA166" s="25">
        <v>1</v>
      </c>
      <c r="AH166" s="5"/>
      <c r="AI166" s="5"/>
      <c r="AO166" s="5"/>
    </row>
    <row r="167" spans="10:41">
      <c r="J167" s="25">
        <v>163</v>
      </c>
      <c r="K167" s="16" t="s">
        <v>35</v>
      </c>
      <c r="L167" s="16" t="s">
        <v>22</v>
      </c>
      <c r="M167" s="16" t="s">
        <v>19</v>
      </c>
      <c r="N167" s="16" t="s">
        <v>19</v>
      </c>
      <c r="O167" s="16" t="s">
        <v>21</v>
      </c>
      <c r="Q167" s="9">
        <v>8</v>
      </c>
      <c r="R167" s="9">
        <v>3</v>
      </c>
      <c r="S167" s="9">
        <v>5</v>
      </c>
      <c r="T167" s="9">
        <v>5</v>
      </c>
      <c r="U167" s="9">
        <v>2</v>
      </c>
      <c r="W167" s="25">
        <v>1</v>
      </c>
      <c r="X167" s="25">
        <v>1</v>
      </c>
      <c r="Y167" s="25">
        <v>1</v>
      </c>
      <c r="Z167" s="25">
        <v>1</v>
      </c>
      <c r="AA167" s="25">
        <v>1</v>
      </c>
      <c r="AH167" s="5"/>
      <c r="AI167" s="5"/>
      <c r="AO167" s="5"/>
    </row>
    <row r="168" spans="10:41">
      <c r="J168" s="9">
        <v>164</v>
      </c>
      <c r="K168" s="16" t="s">
        <v>37</v>
      </c>
      <c r="L168" s="16" t="s">
        <v>90</v>
      </c>
      <c r="M168" s="16" t="s">
        <v>136</v>
      </c>
      <c r="N168" s="16" t="s">
        <v>21</v>
      </c>
      <c r="O168" s="16" t="s">
        <v>34</v>
      </c>
      <c r="Q168" s="9">
        <v>7</v>
      </c>
      <c r="R168" s="9">
        <v>13</v>
      </c>
      <c r="S168" s="9">
        <v>6</v>
      </c>
      <c r="T168" s="9">
        <v>2</v>
      </c>
      <c r="U168" s="9">
        <v>9</v>
      </c>
      <c r="W168" s="25">
        <v>1</v>
      </c>
      <c r="X168" s="25">
        <v>1</v>
      </c>
      <c r="Y168" s="25">
        <v>1</v>
      </c>
      <c r="Z168" s="25">
        <v>1</v>
      </c>
      <c r="AA168" s="25">
        <v>1</v>
      </c>
      <c r="AH168" s="5"/>
      <c r="AI168" s="5"/>
      <c r="AO168" s="5"/>
    </row>
    <row r="169" spans="10:41">
      <c r="J169" s="25">
        <v>165</v>
      </c>
      <c r="K169" s="16" t="s">
        <v>37</v>
      </c>
      <c r="L169" s="16" t="s">
        <v>34</v>
      </c>
      <c r="M169" s="16" t="s">
        <v>136</v>
      </c>
      <c r="N169" s="16" t="s">
        <v>21</v>
      </c>
      <c r="O169" s="16" t="s">
        <v>18</v>
      </c>
      <c r="Q169" s="9">
        <v>7</v>
      </c>
      <c r="R169" s="9">
        <v>9</v>
      </c>
      <c r="S169" s="9">
        <v>6</v>
      </c>
      <c r="T169" s="9">
        <v>2</v>
      </c>
      <c r="U169" s="9">
        <v>4</v>
      </c>
      <c r="W169" s="25">
        <v>1</v>
      </c>
      <c r="X169" s="25">
        <v>1</v>
      </c>
      <c r="Y169" s="25">
        <v>1</v>
      </c>
      <c r="Z169" s="25">
        <v>1</v>
      </c>
      <c r="AA169" s="25">
        <v>1</v>
      </c>
      <c r="AH169" s="5"/>
      <c r="AI169" s="5"/>
      <c r="AO169" s="5"/>
    </row>
    <row r="170" spans="10:41">
      <c r="J170" s="9">
        <v>166</v>
      </c>
      <c r="K170" s="16" t="s">
        <v>37</v>
      </c>
      <c r="L170" s="16" t="s">
        <v>21</v>
      </c>
      <c r="M170" s="16" t="s">
        <v>136</v>
      </c>
      <c r="N170" s="16" t="s">
        <v>19</v>
      </c>
      <c r="O170" s="16" t="s">
        <v>22</v>
      </c>
      <c r="Q170" s="9">
        <v>7</v>
      </c>
      <c r="R170" s="9">
        <v>2</v>
      </c>
      <c r="S170" s="9">
        <v>6</v>
      </c>
      <c r="T170" s="9">
        <v>5</v>
      </c>
      <c r="U170" s="9">
        <v>3</v>
      </c>
      <c r="W170" s="25">
        <v>1</v>
      </c>
      <c r="X170" s="25">
        <v>1</v>
      </c>
      <c r="Y170" s="25">
        <v>1</v>
      </c>
      <c r="Z170" s="25">
        <v>1</v>
      </c>
      <c r="AA170" s="25">
        <v>1</v>
      </c>
      <c r="AH170" s="5"/>
      <c r="AI170" s="5"/>
      <c r="AO170" s="5"/>
    </row>
    <row r="171" spans="10:41">
      <c r="J171" s="25">
        <v>167</v>
      </c>
      <c r="K171" s="16" t="s">
        <v>35</v>
      </c>
      <c r="L171" s="16" t="s">
        <v>35</v>
      </c>
      <c r="M171" s="16" t="s">
        <v>19</v>
      </c>
      <c r="N171" s="16" t="s">
        <v>21</v>
      </c>
      <c r="O171" s="16" t="s">
        <v>35</v>
      </c>
      <c r="Q171" s="9">
        <v>8</v>
      </c>
      <c r="R171" s="9">
        <v>8</v>
      </c>
      <c r="S171" s="9">
        <v>5</v>
      </c>
      <c r="T171" s="9">
        <v>2</v>
      </c>
      <c r="U171" s="9">
        <v>8</v>
      </c>
      <c r="W171" s="25">
        <v>1</v>
      </c>
      <c r="X171" s="25">
        <v>1</v>
      </c>
      <c r="Y171" s="25">
        <v>1</v>
      </c>
      <c r="Z171" s="25">
        <v>1</v>
      </c>
      <c r="AA171" s="25">
        <v>1</v>
      </c>
      <c r="AH171" s="5"/>
      <c r="AI171" s="5"/>
      <c r="AO171" s="5"/>
    </row>
    <row r="172" spans="10:41">
      <c r="J172" s="9">
        <v>168</v>
      </c>
      <c r="K172" s="16" t="s">
        <v>37</v>
      </c>
      <c r="L172" s="16" t="s">
        <v>22</v>
      </c>
      <c r="M172" s="16" t="s">
        <v>136</v>
      </c>
      <c r="N172" s="16" t="s">
        <v>136</v>
      </c>
      <c r="O172" s="16" t="s">
        <v>21</v>
      </c>
      <c r="Q172" s="9">
        <v>7</v>
      </c>
      <c r="R172" s="9">
        <v>3</v>
      </c>
      <c r="S172" s="9">
        <v>6</v>
      </c>
      <c r="T172" s="9">
        <v>6</v>
      </c>
      <c r="U172" s="9">
        <v>2</v>
      </c>
      <c r="W172" s="25">
        <v>1</v>
      </c>
      <c r="X172" s="25">
        <v>1</v>
      </c>
      <c r="Y172" s="25">
        <v>1</v>
      </c>
      <c r="Z172" s="25">
        <v>1</v>
      </c>
      <c r="AA172" s="25">
        <v>1</v>
      </c>
      <c r="AH172" s="5"/>
      <c r="AI172" s="5"/>
      <c r="AO172" s="5"/>
    </row>
    <row r="173" spans="10:41">
      <c r="J173" s="25">
        <v>169</v>
      </c>
      <c r="K173" s="16" t="s">
        <v>19</v>
      </c>
      <c r="L173" s="16" t="s">
        <v>34</v>
      </c>
      <c r="M173" s="16" t="s">
        <v>19</v>
      </c>
      <c r="N173" s="16" t="s">
        <v>22</v>
      </c>
      <c r="O173" s="16" t="s">
        <v>18</v>
      </c>
      <c r="Q173" s="9">
        <v>5</v>
      </c>
      <c r="R173" s="9">
        <v>9</v>
      </c>
      <c r="S173" s="9">
        <v>5</v>
      </c>
      <c r="T173" s="9">
        <v>3</v>
      </c>
      <c r="U173" s="9">
        <v>4</v>
      </c>
      <c r="W173" s="25">
        <v>1</v>
      </c>
      <c r="X173" s="25">
        <v>1</v>
      </c>
      <c r="Y173" s="25">
        <v>1</v>
      </c>
      <c r="Z173" s="25">
        <v>1</v>
      </c>
      <c r="AA173" s="25">
        <v>1</v>
      </c>
      <c r="AH173" s="5"/>
      <c r="AI173" s="5"/>
      <c r="AO173" s="5"/>
    </row>
    <row r="174" spans="10:41">
      <c r="J174" s="9">
        <v>170</v>
      </c>
      <c r="K174" s="16" t="s">
        <v>136</v>
      </c>
      <c r="L174" s="16" t="s">
        <v>37</v>
      </c>
      <c r="M174" s="16" t="s">
        <v>20</v>
      </c>
      <c r="N174" s="16" t="s">
        <v>136</v>
      </c>
      <c r="O174" s="16" t="s">
        <v>37</v>
      </c>
      <c r="Q174" s="9">
        <v>6</v>
      </c>
      <c r="R174" s="9">
        <v>7</v>
      </c>
      <c r="S174" s="9">
        <v>1</v>
      </c>
      <c r="T174" s="9">
        <v>6</v>
      </c>
      <c r="U174" s="9">
        <v>7</v>
      </c>
      <c r="W174" s="25">
        <v>1</v>
      </c>
      <c r="X174" s="25">
        <v>1</v>
      </c>
      <c r="Y174" s="25">
        <v>1</v>
      </c>
      <c r="Z174" s="25">
        <v>1</v>
      </c>
      <c r="AA174" s="25">
        <v>1</v>
      </c>
      <c r="AH174" s="5"/>
      <c r="AI174" s="5"/>
      <c r="AO174" s="5"/>
    </row>
    <row r="175" spans="10:41">
      <c r="J175" s="25">
        <v>171</v>
      </c>
      <c r="K175" s="16" t="s">
        <v>37</v>
      </c>
      <c r="L175" s="16" t="s">
        <v>37</v>
      </c>
      <c r="M175" s="16" t="s">
        <v>35</v>
      </c>
      <c r="N175" s="16" t="s">
        <v>37</v>
      </c>
      <c r="O175" s="16" t="s">
        <v>35</v>
      </c>
      <c r="Q175" s="9">
        <v>7</v>
      </c>
      <c r="R175" s="9">
        <v>7</v>
      </c>
      <c r="S175" s="9">
        <v>8</v>
      </c>
      <c r="T175" s="9">
        <v>7</v>
      </c>
      <c r="U175" s="9">
        <v>8</v>
      </c>
      <c r="W175" s="25">
        <v>1</v>
      </c>
      <c r="X175" s="25">
        <v>1</v>
      </c>
      <c r="Y175" s="25">
        <v>1</v>
      </c>
      <c r="Z175" s="25">
        <v>1</v>
      </c>
      <c r="AA175" s="25">
        <v>1</v>
      </c>
      <c r="AH175" s="5"/>
      <c r="AI175" s="5"/>
      <c r="AO175" s="5"/>
    </row>
    <row r="176" spans="10:41">
      <c r="J176" s="9">
        <v>172</v>
      </c>
      <c r="K176" s="16" t="s">
        <v>136</v>
      </c>
      <c r="L176" s="16" t="s">
        <v>18</v>
      </c>
      <c r="M176" s="16" t="s">
        <v>35</v>
      </c>
      <c r="N176" s="16" t="s">
        <v>91</v>
      </c>
      <c r="O176" s="16" t="s">
        <v>20</v>
      </c>
      <c r="Q176" s="9">
        <v>6</v>
      </c>
      <c r="R176" s="9">
        <v>4</v>
      </c>
      <c r="S176" s="9">
        <v>8</v>
      </c>
      <c r="T176" s="9">
        <v>14</v>
      </c>
      <c r="U176" s="9">
        <v>1</v>
      </c>
      <c r="W176" s="25">
        <v>1</v>
      </c>
      <c r="X176" s="25">
        <v>1</v>
      </c>
      <c r="Y176" s="25">
        <v>1</v>
      </c>
      <c r="Z176" s="25">
        <v>1</v>
      </c>
      <c r="AA176" s="25">
        <v>1</v>
      </c>
      <c r="AH176" s="5"/>
      <c r="AI176" s="5"/>
      <c r="AO176" s="5"/>
    </row>
    <row r="177" spans="10:41">
      <c r="J177" s="25">
        <v>173</v>
      </c>
      <c r="K177" s="16" t="s">
        <v>136</v>
      </c>
      <c r="L177" s="16" t="s">
        <v>90</v>
      </c>
      <c r="M177" s="16" t="s">
        <v>19</v>
      </c>
      <c r="N177" s="16" t="s">
        <v>95</v>
      </c>
      <c r="O177" s="16" t="s">
        <v>35</v>
      </c>
      <c r="Q177" s="9">
        <v>6</v>
      </c>
      <c r="R177" s="9">
        <v>13</v>
      </c>
      <c r="S177" s="9">
        <v>5</v>
      </c>
      <c r="T177" s="9">
        <v>18</v>
      </c>
      <c r="U177" s="9">
        <v>8</v>
      </c>
      <c r="W177" s="25">
        <v>1</v>
      </c>
      <c r="X177" s="25">
        <v>1</v>
      </c>
      <c r="Y177" s="25">
        <v>1</v>
      </c>
      <c r="Z177" s="25">
        <v>1</v>
      </c>
      <c r="AA177" s="25">
        <v>1</v>
      </c>
      <c r="AH177" s="5"/>
      <c r="AI177" s="5"/>
      <c r="AO177" s="5"/>
    </row>
    <row r="178" spans="10:41">
      <c r="J178" s="9">
        <v>174</v>
      </c>
      <c r="K178" s="16" t="s">
        <v>136</v>
      </c>
      <c r="L178" s="16" t="s">
        <v>21</v>
      </c>
      <c r="M178" s="16" t="s">
        <v>35</v>
      </c>
      <c r="N178" s="16" t="s">
        <v>97</v>
      </c>
      <c r="O178" s="16" t="s">
        <v>35</v>
      </c>
      <c r="Q178" s="9">
        <v>6</v>
      </c>
      <c r="R178" s="9">
        <v>2</v>
      </c>
      <c r="S178" s="9">
        <v>8</v>
      </c>
      <c r="T178" s="9">
        <v>19</v>
      </c>
      <c r="U178" s="9">
        <v>8</v>
      </c>
      <c r="W178" s="25">
        <v>1</v>
      </c>
      <c r="X178" s="25">
        <v>1</v>
      </c>
      <c r="Y178" s="25">
        <v>1</v>
      </c>
      <c r="Z178" s="25">
        <v>1</v>
      </c>
      <c r="AA178" s="25">
        <v>1</v>
      </c>
      <c r="AH178" s="5"/>
      <c r="AI178" s="5"/>
      <c r="AO178" s="5"/>
    </row>
    <row r="179" spans="10:41">
      <c r="J179" s="25">
        <v>175</v>
      </c>
      <c r="K179" s="16" t="s">
        <v>20</v>
      </c>
      <c r="L179" s="16" t="s">
        <v>21</v>
      </c>
      <c r="M179" s="16" t="s">
        <v>19</v>
      </c>
      <c r="N179" s="16" t="s">
        <v>34</v>
      </c>
      <c r="O179" s="16" t="s">
        <v>37</v>
      </c>
      <c r="Q179" s="9">
        <v>1</v>
      </c>
      <c r="R179" s="9">
        <v>2</v>
      </c>
      <c r="S179" s="9">
        <v>5</v>
      </c>
      <c r="T179" s="9">
        <v>9</v>
      </c>
      <c r="U179" s="9">
        <v>7</v>
      </c>
      <c r="W179" s="25">
        <v>1</v>
      </c>
      <c r="X179" s="25">
        <v>1</v>
      </c>
      <c r="Y179" s="25">
        <v>1</v>
      </c>
      <c r="Z179" s="25">
        <v>1</v>
      </c>
      <c r="AA179" s="25">
        <v>1</v>
      </c>
      <c r="AH179" s="5"/>
      <c r="AI179" s="5"/>
      <c r="AO179" s="5"/>
    </row>
    <row r="180" spans="10:41">
      <c r="J180" s="9">
        <v>176</v>
      </c>
      <c r="K180" s="16" t="s">
        <v>37</v>
      </c>
      <c r="L180" s="16" t="s">
        <v>21</v>
      </c>
      <c r="M180" s="16" t="s">
        <v>19</v>
      </c>
      <c r="N180" s="16" t="s">
        <v>19</v>
      </c>
      <c r="O180" s="16" t="s">
        <v>36</v>
      </c>
      <c r="Q180" s="9">
        <v>7</v>
      </c>
      <c r="R180" s="9">
        <v>2</v>
      </c>
      <c r="S180" s="9">
        <v>5</v>
      </c>
      <c r="T180" s="9">
        <v>5</v>
      </c>
      <c r="U180" s="9">
        <v>10</v>
      </c>
      <c r="W180" s="25">
        <v>1</v>
      </c>
      <c r="X180" s="25">
        <v>1</v>
      </c>
      <c r="Y180" s="25">
        <v>1</v>
      </c>
      <c r="Z180" s="25">
        <v>1</v>
      </c>
      <c r="AA180" s="25">
        <v>1</v>
      </c>
      <c r="AH180" s="5"/>
      <c r="AI180" s="5"/>
      <c r="AO180" s="5"/>
    </row>
    <row r="181" spans="10:41">
      <c r="J181" s="25">
        <v>177</v>
      </c>
      <c r="K181" s="16" t="s">
        <v>22</v>
      </c>
      <c r="L181" s="16" t="s">
        <v>21</v>
      </c>
      <c r="M181" s="16" t="s">
        <v>37</v>
      </c>
      <c r="N181" s="16" t="s">
        <v>21</v>
      </c>
      <c r="O181" s="16" t="s">
        <v>36</v>
      </c>
      <c r="Q181" s="9">
        <v>3</v>
      </c>
      <c r="R181" s="9">
        <v>2</v>
      </c>
      <c r="S181" s="9">
        <v>7</v>
      </c>
      <c r="T181" s="9">
        <v>2</v>
      </c>
      <c r="U181" s="9">
        <v>10</v>
      </c>
      <c r="W181" s="25">
        <v>1</v>
      </c>
      <c r="X181" s="25">
        <v>1</v>
      </c>
      <c r="Y181" s="25">
        <v>1</v>
      </c>
      <c r="Z181" s="25">
        <v>1</v>
      </c>
      <c r="AA181" s="25">
        <v>1</v>
      </c>
      <c r="AH181" s="5"/>
      <c r="AI181" s="5"/>
      <c r="AO181" s="5"/>
    </row>
    <row r="182" spans="10:41">
      <c r="J182" s="9">
        <v>178</v>
      </c>
      <c r="K182" s="16" t="s">
        <v>19</v>
      </c>
      <c r="L182" s="16" t="s">
        <v>36</v>
      </c>
      <c r="M182" s="16" t="s">
        <v>35</v>
      </c>
      <c r="N182" s="16" t="s">
        <v>20</v>
      </c>
      <c r="O182" s="16" t="s">
        <v>35</v>
      </c>
      <c r="Q182" s="9">
        <v>5</v>
      </c>
      <c r="R182" s="9">
        <v>10</v>
      </c>
      <c r="S182" s="9">
        <v>8</v>
      </c>
      <c r="T182" s="9">
        <v>1</v>
      </c>
      <c r="U182" s="9">
        <v>8</v>
      </c>
      <c r="W182" s="25">
        <v>1</v>
      </c>
      <c r="X182" s="25">
        <v>1</v>
      </c>
      <c r="Y182" s="25">
        <v>1</v>
      </c>
      <c r="Z182" s="25">
        <v>1</v>
      </c>
      <c r="AA182" s="25">
        <v>1</v>
      </c>
      <c r="AH182" s="5"/>
      <c r="AI182" s="5"/>
      <c r="AO182" s="5"/>
    </row>
    <row r="183" spans="10:41">
      <c r="J183" s="25">
        <v>179</v>
      </c>
      <c r="K183" s="16" t="s">
        <v>19</v>
      </c>
      <c r="L183" s="16" t="s">
        <v>34</v>
      </c>
      <c r="M183" s="16" t="s">
        <v>136</v>
      </c>
      <c r="N183" s="16" t="s">
        <v>35</v>
      </c>
      <c r="O183" s="16" t="s">
        <v>136</v>
      </c>
      <c r="Q183" s="9">
        <v>5</v>
      </c>
      <c r="R183" s="9">
        <v>9</v>
      </c>
      <c r="S183" s="9">
        <v>6</v>
      </c>
      <c r="T183" s="9">
        <v>8</v>
      </c>
      <c r="U183" s="9">
        <v>6</v>
      </c>
      <c r="W183" s="25">
        <v>1</v>
      </c>
      <c r="X183" s="25">
        <v>1</v>
      </c>
      <c r="Y183" s="25">
        <v>1</v>
      </c>
      <c r="Z183" s="25">
        <v>1</v>
      </c>
      <c r="AA183" s="25">
        <v>1</v>
      </c>
      <c r="AH183" s="5"/>
      <c r="AI183" s="5"/>
      <c r="AO183" s="5"/>
    </row>
    <row r="184" spans="10:41">
      <c r="J184" s="9">
        <v>180</v>
      </c>
      <c r="K184" s="16" t="s">
        <v>19</v>
      </c>
      <c r="L184" s="16" t="s">
        <v>137</v>
      </c>
      <c r="M184" s="16" t="s">
        <v>136</v>
      </c>
      <c r="N184" s="16" t="s">
        <v>22</v>
      </c>
      <c r="O184" s="16" t="s">
        <v>18</v>
      </c>
      <c r="Q184" s="9">
        <v>5</v>
      </c>
      <c r="R184" s="9">
        <v>15</v>
      </c>
      <c r="S184" s="9">
        <v>6</v>
      </c>
      <c r="T184" s="9">
        <v>3</v>
      </c>
      <c r="U184" s="9">
        <v>4</v>
      </c>
      <c r="W184" s="25">
        <v>1</v>
      </c>
      <c r="X184" s="25">
        <v>1</v>
      </c>
      <c r="Y184" s="25">
        <v>1</v>
      </c>
      <c r="Z184" s="25">
        <v>1</v>
      </c>
      <c r="AA184" s="25">
        <v>1</v>
      </c>
      <c r="AH184" s="5"/>
      <c r="AI184" s="5"/>
      <c r="AO184" s="5"/>
    </row>
    <row r="185" spans="10:41">
      <c r="J185" s="25">
        <v>181</v>
      </c>
      <c r="K185" s="16" t="s">
        <v>35</v>
      </c>
      <c r="L185" s="16" t="s">
        <v>35</v>
      </c>
      <c r="M185" s="16" t="s">
        <v>19</v>
      </c>
      <c r="N185" s="16" t="s">
        <v>22</v>
      </c>
      <c r="O185" s="16" t="s">
        <v>35</v>
      </c>
      <c r="Q185" s="9">
        <v>8</v>
      </c>
      <c r="R185" s="9">
        <v>8</v>
      </c>
      <c r="S185" s="9">
        <v>5</v>
      </c>
      <c r="T185" s="9">
        <v>3</v>
      </c>
      <c r="U185" s="9">
        <v>8</v>
      </c>
      <c r="W185" s="25">
        <v>1</v>
      </c>
      <c r="X185" s="25">
        <v>1</v>
      </c>
      <c r="Y185" s="25">
        <v>1</v>
      </c>
      <c r="Z185" s="25">
        <v>1</v>
      </c>
      <c r="AA185" s="25">
        <v>1</v>
      </c>
      <c r="AH185" s="5"/>
      <c r="AI185" s="5"/>
      <c r="AO185" s="5"/>
    </row>
    <row r="186" spans="10:41">
      <c r="J186" s="9">
        <v>182</v>
      </c>
      <c r="K186" s="16" t="s">
        <v>19</v>
      </c>
      <c r="L186" s="16" t="s">
        <v>37</v>
      </c>
      <c r="M186" s="16" t="s">
        <v>37</v>
      </c>
      <c r="N186" s="16" t="s">
        <v>136</v>
      </c>
      <c r="O186" s="16" t="s">
        <v>35</v>
      </c>
      <c r="Q186" s="9">
        <v>5</v>
      </c>
      <c r="R186" s="9">
        <v>7</v>
      </c>
      <c r="S186" s="9">
        <v>7</v>
      </c>
      <c r="T186" s="9">
        <v>6</v>
      </c>
      <c r="U186" s="9">
        <v>8</v>
      </c>
      <c r="W186" s="25">
        <v>1</v>
      </c>
      <c r="X186" s="25">
        <v>1</v>
      </c>
      <c r="Y186" s="25">
        <v>1</v>
      </c>
      <c r="Z186" s="25">
        <v>1</v>
      </c>
      <c r="AA186" s="25">
        <v>1</v>
      </c>
      <c r="AH186" s="5"/>
      <c r="AI186" s="5"/>
      <c r="AO186" s="5"/>
    </row>
    <row r="187" spans="10:41">
      <c r="J187" s="25">
        <v>183</v>
      </c>
      <c r="K187" s="16" t="s">
        <v>35</v>
      </c>
      <c r="L187" s="16" t="s">
        <v>34</v>
      </c>
      <c r="M187" s="16" t="s">
        <v>19</v>
      </c>
      <c r="N187" s="16" t="s">
        <v>137</v>
      </c>
      <c r="O187" s="16" t="s">
        <v>34</v>
      </c>
      <c r="Q187" s="9">
        <v>8</v>
      </c>
      <c r="R187" s="9">
        <v>9</v>
      </c>
      <c r="S187" s="9">
        <v>5</v>
      </c>
      <c r="T187" s="9">
        <v>15</v>
      </c>
      <c r="U187" s="9">
        <v>9</v>
      </c>
      <c r="W187" s="25">
        <v>1</v>
      </c>
      <c r="X187" s="25">
        <v>1</v>
      </c>
      <c r="Y187" s="25">
        <v>1</v>
      </c>
      <c r="Z187" s="25">
        <v>1</v>
      </c>
      <c r="AA187" s="25">
        <v>1</v>
      </c>
      <c r="AH187" s="5"/>
      <c r="AI187" s="5"/>
      <c r="AO187" s="5"/>
    </row>
    <row r="188" spans="10:41">
      <c r="J188" s="9">
        <v>184</v>
      </c>
      <c r="K188" s="16" t="s">
        <v>18</v>
      </c>
      <c r="L188" s="16" t="s">
        <v>90</v>
      </c>
      <c r="M188" s="16" t="s">
        <v>35</v>
      </c>
      <c r="N188" s="16" t="s">
        <v>34</v>
      </c>
      <c r="O188" s="16" t="s">
        <v>36</v>
      </c>
      <c r="Q188" s="9">
        <v>4</v>
      </c>
      <c r="R188" s="9">
        <v>13</v>
      </c>
      <c r="S188" s="9">
        <v>8</v>
      </c>
      <c r="T188" s="9">
        <v>9</v>
      </c>
      <c r="U188" s="9">
        <v>10</v>
      </c>
      <c r="W188" s="25">
        <v>1</v>
      </c>
      <c r="X188" s="25">
        <v>1</v>
      </c>
      <c r="Y188" s="25">
        <v>1</v>
      </c>
      <c r="Z188" s="25">
        <v>1</v>
      </c>
      <c r="AA188" s="25">
        <v>1</v>
      </c>
      <c r="AH188" s="5"/>
      <c r="AI188" s="5"/>
      <c r="AO188" s="5"/>
    </row>
    <row r="189" spans="10:41">
      <c r="J189" s="25">
        <v>185</v>
      </c>
      <c r="K189" s="16" t="s">
        <v>35</v>
      </c>
      <c r="L189" s="16" t="s">
        <v>20</v>
      </c>
      <c r="M189" s="16" t="s">
        <v>19</v>
      </c>
      <c r="N189" s="16" t="s">
        <v>18</v>
      </c>
      <c r="O189" s="16" t="s">
        <v>35</v>
      </c>
      <c r="Q189" s="9">
        <v>8</v>
      </c>
      <c r="R189" s="9">
        <v>1</v>
      </c>
      <c r="S189" s="9">
        <v>5</v>
      </c>
      <c r="T189" s="9">
        <v>4</v>
      </c>
      <c r="U189" s="9">
        <v>8</v>
      </c>
      <c r="W189" s="25">
        <v>1</v>
      </c>
      <c r="X189" s="25">
        <v>1</v>
      </c>
      <c r="Y189" s="25">
        <v>1</v>
      </c>
      <c r="Z189" s="25">
        <v>1</v>
      </c>
      <c r="AA189" s="25">
        <v>1</v>
      </c>
      <c r="AH189" s="5"/>
      <c r="AI189" s="5"/>
      <c r="AO189" s="5"/>
    </row>
    <row r="190" spans="10:41">
      <c r="J190" s="9">
        <v>186</v>
      </c>
      <c r="K190" s="16" t="s">
        <v>19</v>
      </c>
      <c r="L190" s="16" t="s">
        <v>95</v>
      </c>
      <c r="M190" s="16" t="s">
        <v>19</v>
      </c>
      <c r="N190" s="16" t="s">
        <v>20</v>
      </c>
      <c r="O190" s="16" t="s">
        <v>35</v>
      </c>
      <c r="Q190" s="9">
        <v>5</v>
      </c>
      <c r="R190" s="9">
        <v>18</v>
      </c>
      <c r="S190" s="9">
        <v>5</v>
      </c>
      <c r="T190" s="9">
        <v>1</v>
      </c>
      <c r="U190" s="9">
        <v>8</v>
      </c>
      <c r="W190" s="25">
        <v>1</v>
      </c>
      <c r="X190" s="25">
        <v>1</v>
      </c>
      <c r="Y190" s="25">
        <v>1</v>
      </c>
      <c r="Z190" s="25">
        <v>1</v>
      </c>
      <c r="AA190" s="25">
        <v>1</v>
      </c>
      <c r="AH190" s="5"/>
      <c r="AI190" s="5"/>
      <c r="AO190" s="5"/>
    </row>
    <row r="191" spans="10:41">
      <c r="J191" s="25">
        <v>187</v>
      </c>
      <c r="K191" s="16" t="s">
        <v>35</v>
      </c>
      <c r="L191" s="16" t="s">
        <v>21</v>
      </c>
      <c r="M191" s="16" t="s">
        <v>35</v>
      </c>
      <c r="N191" s="16" t="s">
        <v>136</v>
      </c>
      <c r="O191" s="16" t="s">
        <v>37</v>
      </c>
      <c r="Q191" s="9">
        <v>8</v>
      </c>
      <c r="R191" s="9">
        <v>2</v>
      </c>
      <c r="S191" s="9">
        <v>8</v>
      </c>
      <c r="T191" s="9">
        <v>6</v>
      </c>
      <c r="U191" s="9">
        <v>7</v>
      </c>
      <c r="W191" s="25">
        <v>1</v>
      </c>
      <c r="X191" s="25">
        <v>1</v>
      </c>
      <c r="Y191" s="25">
        <v>1</v>
      </c>
      <c r="Z191" s="25">
        <v>1</v>
      </c>
      <c r="AA191" s="25">
        <v>1</v>
      </c>
      <c r="AH191" s="5"/>
      <c r="AI191" s="5"/>
      <c r="AO191" s="5"/>
    </row>
    <row r="192" spans="10:41">
      <c r="J192" s="9">
        <v>188</v>
      </c>
      <c r="K192" s="16" t="s">
        <v>136</v>
      </c>
      <c r="L192" s="16" t="s">
        <v>37</v>
      </c>
      <c r="M192" s="16" t="s">
        <v>35</v>
      </c>
      <c r="N192" s="16" t="s">
        <v>22</v>
      </c>
      <c r="O192" s="16" t="s">
        <v>37</v>
      </c>
      <c r="Q192" s="9">
        <v>6</v>
      </c>
      <c r="R192" s="9">
        <v>7</v>
      </c>
      <c r="S192" s="9">
        <v>8</v>
      </c>
      <c r="T192" s="9">
        <v>3</v>
      </c>
      <c r="U192" s="9">
        <v>7</v>
      </c>
      <c r="W192" s="25">
        <v>1</v>
      </c>
      <c r="X192" s="25">
        <v>1</v>
      </c>
      <c r="Y192" s="25">
        <v>1</v>
      </c>
      <c r="Z192" s="25">
        <v>1</v>
      </c>
      <c r="AA192" s="25">
        <v>1</v>
      </c>
      <c r="AH192" s="5"/>
      <c r="AI192" s="5"/>
      <c r="AO192" s="5"/>
    </row>
    <row r="193" spans="10:41">
      <c r="J193" s="25">
        <v>189</v>
      </c>
      <c r="K193" s="16" t="s">
        <v>19</v>
      </c>
      <c r="L193" s="16" t="s">
        <v>34</v>
      </c>
      <c r="M193" s="16" t="s">
        <v>37</v>
      </c>
      <c r="N193" s="16" t="s">
        <v>19</v>
      </c>
      <c r="O193" s="16" t="s">
        <v>34</v>
      </c>
      <c r="Q193" s="9">
        <v>5</v>
      </c>
      <c r="R193" s="9">
        <v>9</v>
      </c>
      <c r="S193" s="9">
        <v>7</v>
      </c>
      <c r="T193" s="9">
        <v>5</v>
      </c>
      <c r="U193" s="9">
        <v>9</v>
      </c>
      <c r="W193" s="25">
        <v>1</v>
      </c>
      <c r="X193" s="25">
        <v>1</v>
      </c>
      <c r="Y193" s="25">
        <v>1</v>
      </c>
      <c r="Z193" s="25">
        <v>1</v>
      </c>
      <c r="AA193" s="25">
        <v>1</v>
      </c>
      <c r="AH193" s="5"/>
      <c r="AI193" s="5"/>
      <c r="AO193" s="5"/>
    </row>
    <row r="194" spans="10:41">
      <c r="J194" s="9">
        <v>190</v>
      </c>
      <c r="K194" s="16" t="s">
        <v>35</v>
      </c>
      <c r="L194" s="16" t="s">
        <v>18</v>
      </c>
      <c r="M194" s="16" t="s">
        <v>136</v>
      </c>
      <c r="N194" s="16" t="s">
        <v>19</v>
      </c>
      <c r="O194" s="16" t="s">
        <v>18</v>
      </c>
      <c r="Q194" s="9">
        <v>8</v>
      </c>
      <c r="R194" s="9">
        <v>4</v>
      </c>
      <c r="S194" s="9">
        <v>6</v>
      </c>
      <c r="T194" s="9">
        <v>5</v>
      </c>
      <c r="U194" s="9">
        <v>4</v>
      </c>
      <c r="W194" s="25">
        <v>1</v>
      </c>
      <c r="X194" s="25">
        <v>1</v>
      </c>
      <c r="Y194" s="25">
        <v>1</v>
      </c>
      <c r="Z194" s="25">
        <v>1</v>
      </c>
      <c r="AA194" s="25">
        <v>1</v>
      </c>
      <c r="AH194" s="5"/>
      <c r="AI194" s="5"/>
      <c r="AO194" s="5"/>
    </row>
    <row r="195" spans="10:41">
      <c r="J195" s="25">
        <v>191</v>
      </c>
      <c r="K195" s="16" t="s">
        <v>34</v>
      </c>
      <c r="L195" s="16" t="s">
        <v>136</v>
      </c>
      <c r="M195" s="16" t="s">
        <v>34</v>
      </c>
      <c r="N195" s="16" t="s">
        <v>97</v>
      </c>
      <c r="O195" s="16" t="s">
        <v>35</v>
      </c>
      <c r="Q195" s="9">
        <v>9</v>
      </c>
      <c r="R195" s="9">
        <v>6</v>
      </c>
      <c r="S195" s="9">
        <v>9</v>
      </c>
      <c r="T195" s="9">
        <v>19</v>
      </c>
      <c r="U195" s="9">
        <v>8</v>
      </c>
      <c r="W195" s="25">
        <v>1</v>
      </c>
      <c r="X195" s="25">
        <v>1</v>
      </c>
      <c r="Y195" s="25">
        <v>1</v>
      </c>
      <c r="Z195" s="25">
        <v>1</v>
      </c>
      <c r="AA195" s="25">
        <v>1</v>
      </c>
      <c r="AH195" s="5"/>
      <c r="AI195" s="5"/>
      <c r="AO195" s="5"/>
    </row>
    <row r="196" spans="10:41">
      <c r="J196" s="9">
        <v>192</v>
      </c>
      <c r="K196" s="16" t="s">
        <v>19</v>
      </c>
      <c r="L196" s="16" t="s">
        <v>21</v>
      </c>
      <c r="M196" s="16" t="s">
        <v>19</v>
      </c>
      <c r="N196" s="16" t="s">
        <v>35</v>
      </c>
      <c r="O196" s="16" t="s">
        <v>136</v>
      </c>
      <c r="Q196" s="9">
        <v>5</v>
      </c>
      <c r="R196" s="9">
        <v>2</v>
      </c>
      <c r="S196" s="9">
        <v>5</v>
      </c>
      <c r="T196" s="9">
        <v>8</v>
      </c>
      <c r="U196" s="9">
        <v>6</v>
      </c>
      <c r="W196" s="25">
        <v>1</v>
      </c>
      <c r="X196" s="25">
        <v>1</v>
      </c>
      <c r="Y196" s="25">
        <v>1</v>
      </c>
      <c r="Z196" s="25">
        <v>1</v>
      </c>
      <c r="AA196" s="25">
        <v>1</v>
      </c>
      <c r="AH196" s="5"/>
      <c r="AI196" s="5"/>
      <c r="AO196" s="5"/>
    </row>
    <row r="197" spans="10:41">
      <c r="J197" s="25">
        <v>193</v>
      </c>
      <c r="K197" s="16" t="s">
        <v>35</v>
      </c>
      <c r="L197" s="16" t="s">
        <v>92</v>
      </c>
      <c r="M197" s="16" t="s">
        <v>37</v>
      </c>
      <c r="N197" s="16" t="s">
        <v>22</v>
      </c>
      <c r="O197" s="16" t="s">
        <v>35</v>
      </c>
      <c r="Q197" s="9">
        <v>8</v>
      </c>
      <c r="R197" s="9">
        <v>16</v>
      </c>
      <c r="S197" s="9">
        <v>7</v>
      </c>
      <c r="T197" s="9">
        <v>3</v>
      </c>
      <c r="U197" s="9">
        <v>8</v>
      </c>
      <c r="W197" s="25">
        <v>1</v>
      </c>
      <c r="X197" s="25">
        <v>1</v>
      </c>
      <c r="Y197" s="25">
        <v>1</v>
      </c>
      <c r="Z197" s="25">
        <v>1</v>
      </c>
      <c r="AA197" s="25">
        <v>1</v>
      </c>
      <c r="AH197" s="5"/>
      <c r="AI197" s="5"/>
      <c r="AO197" s="5"/>
    </row>
    <row r="198" spans="10:41">
      <c r="J198" s="9">
        <v>194</v>
      </c>
      <c r="K198" s="16" t="s">
        <v>37</v>
      </c>
      <c r="L198" s="16" t="s">
        <v>18</v>
      </c>
      <c r="M198" s="16" t="s">
        <v>37</v>
      </c>
      <c r="N198" s="16" t="s">
        <v>36</v>
      </c>
      <c r="O198" s="16" t="s">
        <v>22</v>
      </c>
      <c r="Q198" s="9">
        <v>7</v>
      </c>
      <c r="R198" s="9">
        <v>4</v>
      </c>
      <c r="S198" s="9">
        <v>7</v>
      </c>
      <c r="T198" s="9">
        <v>10</v>
      </c>
      <c r="U198" s="9">
        <v>3</v>
      </c>
      <c r="W198" s="25">
        <v>1</v>
      </c>
      <c r="X198" s="25">
        <v>1</v>
      </c>
      <c r="Y198" s="25">
        <v>1</v>
      </c>
      <c r="Z198" s="25">
        <v>1</v>
      </c>
      <c r="AA198" s="25">
        <v>1</v>
      </c>
      <c r="AH198" s="5"/>
      <c r="AI198" s="5"/>
      <c r="AO198" s="5"/>
    </row>
    <row r="199" spans="10:41">
      <c r="J199" s="25">
        <v>195</v>
      </c>
      <c r="K199" s="16" t="s">
        <v>19</v>
      </c>
      <c r="L199" s="16" t="s">
        <v>34</v>
      </c>
      <c r="M199" s="16" t="s">
        <v>19</v>
      </c>
      <c r="N199" s="16" t="s">
        <v>19</v>
      </c>
      <c r="O199" s="16" t="s">
        <v>37</v>
      </c>
      <c r="Q199" s="9">
        <v>5</v>
      </c>
      <c r="R199" s="9">
        <v>9</v>
      </c>
      <c r="S199" s="9">
        <v>5</v>
      </c>
      <c r="T199" s="9">
        <v>5</v>
      </c>
      <c r="U199" s="9">
        <v>7</v>
      </c>
      <c r="W199" s="25">
        <v>1</v>
      </c>
      <c r="X199" s="25">
        <v>1</v>
      </c>
      <c r="Y199" s="25">
        <v>1</v>
      </c>
      <c r="Z199" s="25">
        <v>1</v>
      </c>
      <c r="AA199" s="25">
        <v>1</v>
      </c>
      <c r="AH199" s="5"/>
      <c r="AI199" s="5"/>
      <c r="AO199" s="5"/>
    </row>
    <row r="200" spans="10:41">
      <c r="J200" s="9">
        <v>196</v>
      </c>
      <c r="K200" s="16" t="s">
        <v>136</v>
      </c>
      <c r="L200" s="16" t="s">
        <v>95</v>
      </c>
      <c r="M200" s="16" t="s">
        <v>35</v>
      </c>
      <c r="N200" s="16" t="s">
        <v>34</v>
      </c>
      <c r="O200" s="16" t="s">
        <v>37</v>
      </c>
      <c r="Q200" s="9">
        <v>6</v>
      </c>
      <c r="R200" s="9">
        <v>18</v>
      </c>
      <c r="S200" s="9">
        <v>8</v>
      </c>
      <c r="T200" s="9">
        <v>9</v>
      </c>
      <c r="U200" s="9">
        <v>7</v>
      </c>
      <c r="W200" s="25">
        <v>1</v>
      </c>
      <c r="X200" s="25">
        <v>1</v>
      </c>
      <c r="Y200" s="25">
        <v>1</v>
      </c>
      <c r="Z200" s="25">
        <v>1</v>
      </c>
      <c r="AA200" s="25">
        <v>1</v>
      </c>
      <c r="AH200" s="5"/>
      <c r="AI200" s="5"/>
      <c r="AO200" s="5"/>
    </row>
    <row r="201" spans="10:41">
      <c r="J201" s="25">
        <v>197</v>
      </c>
      <c r="K201" s="16" t="s">
        <v>19</v>
      </c>
      <c r="L201" s="16" t="s">
        <v>34</v>
      </c>
      <c r="M201" s="16" t="s">
        <v>136</v>
      </c>
      <c r="N201" s="16" t="s">
        <v>34</v>
      </c>
      <c r="O201" s="16" t="s">
        <v>136</v>
      </c>
      <c r="Q201" s="9">
        <v>5</v>
      </c>
      <c r="R201" s="9">
        <v>9</v>
      </c>
      <c r="S201" s="9">
        <v>6</v>
      </c>
      <c r="T201" s="9">
        <v>9</v>
      </c>
      <c r="U201" s="9">
        <v>6</v>
      </c>
      <c r="W201" s="25">
        <v>1</v>
      </c>
      <c r="X201" s="25">
        <v>1</v>
      </c>
      <c r="Y201" s="25">
        <v>1</v>
      </c>
      <c r="Z201" s="25">
        <v>1</v>
      </c>
      <c r="AA201" s="25">
        <v>1</v>
      </c>
      <c r="AH201" s="5"/>
      <c r="AI201" s="5"/>
      <c r="AO201" s="5"/>
    </row>
    <row r="202" spans="10:41">
      <c r="J202" s="9">
        <v>198</v>
      </c>
      <c r="K202" s="16" t="s">
        <v>136</v>
      </c>
      <c r="L202" s="16" t="s">
        <v>19</v>
      </c>
      <c r="M202" s="16" t="s">
        <v>35</v>
      </c>
      <c r="N202" s="16" t="s">
        <v>137</v>
      </c>
      <c r="O202" s="16" t="s">
        <v>136</v>
      </c>
      <c r="Q202" s="9">
        <v>6</v>
      </c>
      <c r="R202" s="9">
        <v>5</v>
      </c>
      <c r="S202" s="9">
        <v>8</v>
      </c>
      <c r="T202" s="9">
        <v>15</v>
      </c>
      <c r="U202" s="9">
        <v>6</v>
      </c>
      <c r="W202" s="25">
        <v>1</v>
      </c>
      <c r="X202" s="25">
        <v>1</v>
      </c>
      <c r="Y202" s="25">
        <v>1</v>
      </c>
      <c r="Z202" s="25">
        <v>1</v>
      </c>
      <c r="AA202" s="25">
        <v>1</v>
      </c>
      <c r="AH202" s="5"/>
      <c r="AI202" s="5"/>
      <c r="AO202" s="5"/>
    </row>
    <row r="203" spans="10:41">
      <c r="J203" s="25">
        <v>199</v>
      </c>
      <c r="K203" s="16" t="s">
        <v>37</v>
      </c>
      <c r="L203" s="16" t="s">
        <v>89</v>
      </c>
      <c r="M203" s="16" t="s">
        <v>35</v>
      </c>
      <c r="N203" s="16" t="s">
        <v>89</v>
      </c>
      <c r="O203" s="16" t="s">
        <v>18</v>
      </c>
      <c r="Q203" s="9">
        <v>7</v>
      </c>
      <c r="R203" s="9">
        <v>12</v>
      </c>
      <c r="S203" s="9">
        <v>8</v>
      </c>
      <c r="T203" s="9">
        <v>12</v>
      </c>
      <c r="U203" s="9">
        <v>4</v>
      </c>
      <c r="W203" s="25">
        <v>1</v>
      </c>
      <c r="X203" s="25">
        <v>1</v>
      </c>
      <c r="Y203" s="25">
        <v>1</v>
      </c>
      <c r="Z203" s="25">
        <v>1</v>
      </c>
      <c r="AA203" s="25">
        <v>1</v>
      </c>
      <c r="AH203" s="5"/>
      <c r="AI203" s="5"/>
      <c r="AO203" s="5"/>
    </row>
    <row r="204" spans="10:41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29" priority="14">
      <formula>_xlfn.LET(_xlpm.x, W4, AND(NOT(_xlfn.ISFORMULA(_xlpm.x)), _xlpm.x&lt;&gt;""))</formula>
    </cfRule>
  </conditionalFormatting>
  <conditionalFormatting sqref="W4:AA203">
    <cfRule type="expression" dxfId="28" priority="9">
      <formula>_xlfn.LET(_xlpm.x, W4, AND(NOT(_xlfn.ISFORMULA(_xlpm.x)), _xlpm.x&lt;&gt;""))</formula>
    </cfRule>
  </conditionalFormatting>
  <conditionalFormatting sqref="C27:G46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{52DE76E7-AD0C-48F3-86B5-EBD9CCB16979}</x14:id>
        </ext>
      </extLst>
    </cfRule>
  </conditionalFormatting>
  <conditionalFormatting sqref="K1:O1048576">
    <cfRule type="cellIs" dxfId="27" priority="1" operator="equal">
      <formula>"C1"</formula>
    </cfRule>
    <cfRule type="cellIs" dxfId="26" priority="2" operator="between">
      <formula>"G1"</formula>
      <formula>"G5"</formula>
    </cfRule>
    <cfRule type="cellIs" dxfId="25" priority="3" operator="between">
      <formula>"GA"</formula>
      <formula>"GJ"</formula>
    </cfRule>
    <cfRule type="cellIs" dxfId="24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DE76E7-AD0C-48F3-86B5-EBD9CCB169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C27:G46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7" width="9.5546875" style="5" bestFit="1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>
      <c r="I2" s="15"/>
      <c r="J2" s="27" t="s">
        <v>144</v>
      </c>
      <c r="Q2" s="27" t="s">
        <v>145</v>
      </c>
      <c r="W2" s="27" t="s">
        <v>146</v>
      </c>
      <c r="AC2" s="27" t="s">
        <v>158</v>
      </c>
      <c r="AH2" s="5"/>
      <c r="AI2" s="5"/>
      <c r="AJ2" s="27" t="s">
        <v>110</v>
      </c>
      <c r="AO2" s="5"/>
    </row>
    <row r="3" spans="1:41" ht="15.9" customHeight="1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>
      <c r="A4" s="29" t="str" cm="1">
        <f t="array" ref="A4:B23">Overview!A38:B57</f>
        <v>WW</v>
      </c>
      <c r="B4" s="8" t="str">
        <v>Wild</v>
      </c>
      <c r="C4" s="105">
        <f t="shared" ref="C4:G23" si="0">COUNTIF(K:K, $A4)</f>
        <v>0</v>
      </c>
      <c r="D4" s="105">
        <f t="shared" si="0"/>
        <v>0</v>
      </c>
      <c r="E4" s="105">
        <f t="shared" si="0"/>
        <v>0</v>
      </c>
      <c r="F4" s="105">
        <f t="shared" si="0"/>
        <v>0</v>
      </c>
      <c r="G4" s="105">
        <f t="shared" si="0"/>
        <v>0</v>
      </c>
      <c r="H4" s="8" cm="1">
        <f t="array" ref="H4:H23">Overview!F38:F57</f>
        <v>0</v>
      </c>
      <c r="I4" s="87"/>
      <c r="J4" s="25" cm="1">
        <f t="array" ref="J4:J203">_xlfn.SEQUENCE(MAX(COUNTA(K:K), COUNTA(L:L), COUNTA(M:M), COUNTA(N:N), COUNTA(O:O))-1,,0)</f>
        <v>0</v>
      </c>
      <c r="K4" s="26" t="s">
        <v>37</v>
      </c>
      <c r="L4" s="26" t="s">
        <v>136</v>
      </c>
      <c r="M4" s="26" t="s">
        <v>91</v>
      </c>
      <c r="N4" s="26" t="s">
        <v>119</v>
      </c>
      <c r="O4" s="26" t="s">
        <v>35</v>
      </c>
      <c r="Q4" s="25" cm="1">
        <f t="array" ref="Q4:U304">_xlfn.LET(_xlpm.x, K4:O304, IF(_xlpm.x="", "", _xlfn.XLOOKUP(_xlpm.x, $A$4:$A$23,_xlfn.ANCHORARRAY( H4))))</f>
        <v>7</v>
      </c>
      <c r="R4" s="25">
        <v>6</v>
      </c>
      <c r="S4" s="25">
        <v>14</v>
      </c>
      <c r="T4" s="25">
        <v>17</v>
      </c>
      <c r="U4" s="25">
        <v>8</v>
      </c>
      <c r="W4" s="25">
        <v>1</v>
      </c>
      <c r="X4" s="25">
        <v>1</v>
      </c>
      <c r="Y4" s="25">
        <v>1</v>
      </c>
      <c r="Z4" s="25">
        <v>1</v>
      </c>
      <c r="AA4" s="25">
        <v>1</v>
      </c>
      <c r="AB4" s="43"/>
      <c r="AC4" s="27" t="s">
        <v>142</v>
      </c>
      <c r="AH4" s="5"/>
      <c r="AI4" s="5"/>
      <c r="AJ4" s="27" t="s">
        <v>142</v>
      </c>
      <c r="AO4" s="5"/>
    </row>
    <row r="5" spans="1:41" ht="15.9" customHeight="1">
      <c r="A5" s="29" t="str">
        <v>C1</v>
      </c>
      <c r="B5" s="8" t="str">
        <v>Scatter</v>
      </c>
      <c r="C5" s="105">
        <f t="shared" si="0"/>
        <v>2</v>
      </c>
      <c r="D5" s="105">
        <f t="shared" si="0"/>
        <v>2</v>
      </c>
      <c r="E5" s="105">
        <f t="shared" si="0"/>
        <v>2</v>
      </c>
      <c r="F5" s="105">
        <f t="shared" si="0"/>
        <v>3</v>
      </c>
      <c r="G5" s="105">
        <f t="shared" si="0"/>
        <v>3</v>
      </c>
      <c r="H5" s="8">
        <v>1</v>
      </c>
      <c r="I5" s="87"/>
      <c r="J5" s="9">
        <v>1</v>
      </c>
      <c r="K5" s="16" t="s">
        <v>18</v>
      </c>
      <c r="L5" s="16" t="s">
        <v>137</v>
      </c>
      <c r="M5" s="16" t="s">
        <v>137</v>
      </c>
      <c r="N5" s="16" t="s">
        <v>35</v>
      </c>
      <c r="O5" s="16" t="s">
        <v>37</v>
      </c>
      <c r="Q5" s="9">
        <v>4</v>
      </c>
      <c r="R5" s="9">
        <v>15</v>
      </c>
      <c r="S5" s="9">
        <v>15</v>
      </c>
      <c r="T5" s="9">
        <v>8</v>
      </c>
      <c r="U5" s="9">
        <v>7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C5" s="146" t="s">
        <v>42</v>
      </c>
      <c r="AD5" s="146" t="s">
        <v>13</v>
      </c>
      <c r="AE5" s="146" t="s">
        <v>14</v>
      </c>
      <c r="AF5" s="146" t="s">
        <v>15</v>
      </c>
      <c r="AG5" s="146" t="s">
        <v>16</v>
      </c>
      <c r="AH5" s="146" t="s">
        <v>17</v>
      </c>
      <c r="AI5" s="5"/>
      <c r="AJ5" s="146" t="s">
        <v>42</v>
      </c>
      <c r="AK5" s="146" t="s">
        <v>13</v>
      </c>
      <c r="AL5" s="146" t="s">
        <v>14</v>
      </c>
      <c r="AM5" s="146" t="s">
        <v>15</v>
      </c>
      <c r="AN5" s="146" t="s">
        <v>16</v>
      </c>
      <c r="AO5" s="146" t="s">
        <v>17</v>
      </c>
    </row>
    <row r="6" spans="1:41" ht="15.9" customHeight="1">
      <c r="A6" s="144" t="str">
        <v>M1</v>
      </c>
      <c r="B6" s="118" t="str">
        <v>M1</v>
      </c>
      <c r="C6" s="144">
        <f t="shared" si="0"/>
        <v>3</v>
      </c>
      <c r="D6" s="144">
        <f t="shared" si="0"/>
        <v>10</v>
      </c>
      <c r="E6" s="144">
        <f t="shared" si="0"/>
        <v>0</v>
      </c>
      <c r="F6" s="144">
        <f t="shared" si="0"/>
        <v>3</v>
      </c>
      <c r="G6" s="144">
        <f t="shared" si="0"/>
        <v>9</v>
      </c>
      <c r="H6" s="118">
        <v>2</v>
      </c>
      <c r="I6" s="87"/>
      <c r="J6" s="25">
        <v>2</v>
      </c>
      <c r="K6" s="16" t="s">
        <v>136</v>
      </c>
      <c r="L6" s="16" t="s">
        <v>19</v>
      </c>
      <c r="M6" s="16" t="s">
        <v>119</v>
      </c>
      <c r="N6" s="16" t="s">
        <v>36</v>
      </c>
      <c r="O6" s="16" t="s">
        <v>35</v>
      </c>
      <c r="Q6" s="9">
        <v>6</v>
      </c>
      <c r="R6" s="9">
        <v>5</v>
      </c>
      <c r="S6" s="9">
        <v>17</v>
      </c>
      <c r="T6" s="9">
        <v>10</v>
      </c>
      <c r="U6" s="9">
        <v>8</v>
      </c>
      <c r="W6" s="25">
        <v>1</v>
      </c>
      <c r="X6" s="25">
        <v>1</v>
      </c>
      <c r="Y6" s="25">
        <v>1</v>
      </c>
      <c r="Z6" s="25">
        <v>1</v>
      </c>
      <c r="AA6" s="25">
        <v>1</v>
      </c>
      <c r="AC6" s="149" t="str" cm="1">
        <f t="array" ref="AC6:AC25">$A$4:$A$23</f>
        <v>WW</v>
      </c>
      <c r="AD6" s="150">
        <v>0</v>
      </c>
      <c r="AE6" s="150">
        <v>0</v>
      </c>
      <c r="AF6" s="150">
        <v>0</v>
      </c>
      <c r="AG6" s="150">
        <v>0</v>
      </c>
      <c r="AH6" s="150">
        <v>0</v>
      </c>
      <c r="AI6" s="5"/>
      <c r="AJ6" s="149" t="str" cm="1">
        <f t="array" ref="AJ6:AJ25">$A$4:$A$23</f>
        <v>WW</v>
      </c>
      <c r="AK6" s="150">
        <v>0</v>
      </c>
      <c r="AL6" s="150">
        <v>0</v>
      </c>
      <c r="AM6" s="150">
        <v>0</v>
      </c>
      <c r="AN6" s="150">
        <v>0</v>
      </c>
      <c r="AO6" s="150">
        <v>0</v>
      </c>
    </row>
    <row r="7" spans="1:41" ht="15.9" customHeight="1">
      <c r="A7" s="144" t="str">
        <v>M2</v>
      </c>
      <c r="B7" s="118" t="str">
        <v>M2</v>
      </c>
      <c r="C7" s="144">
        <f t="shared" si="0"/>
        <v>3</v>
      </c>
      <c r="D7" s="144">
        <f t="shared" si="0"/>
        <v>12</v>
      </c>
      <c r="E7" s="144">
        <f t="shared" si="0"/>
        <v>0</v>
      </c>
      <c r="F7" s="144">
        <f t="shared" si="0"/>
        <v>3</v>
      </c>
      <c r="G7" s="144">
        <f t="shared" si="0"/>
        <v>8</v>
      </c>
      <c r="H7" s="118">
        <v>3</v>
      </c>
      <c r="I7" s="87"/>
      <c r="J7" s="9">
        <v>3</v>
      </c>
      <c r="K7" s="16" t="s">
        <v>37</v>
      </c>
      <c r="L7" s="26" t="s">
        <v>37</v>
      </c>
      <c r="M7" s="16" t="s">
        <v>91</v>
      </c>
      <c r="N7" s="16" t="s">
        <v>19</v>
      </c>
      <c r="O7" s="16" t="s">
        <v>136</v>
      </c>
      <c r="Q7" s="9">
        <v>7</v>
      </c>
      <c r="R7" s="9">
        <v>7</v>
      </c>
      <c r="S7" s="9">
        <v>14</v>
      </c>
      <c r="T7" s="9">
        <v>5</v>
      </c>
      <c r="U7" s="9">
        <v>6</v>
      </c>
      <c r="W7" s="25">
        <v>1</v>
      </c>
      <c r="X7" s="25">
        <v>1</v>
      </c>
      <c r="Y7" s="25">
        <v>1</v>
      </c>
      <c r="Z7" s="25">
        <v>1</v>
      </c>
      <c r="AA7" s="25">
        <v>1</v>
      </c>
      <c r="AC7" s="149" t="str">
        <v>C1</v>
      </c>
      <c r="AD7" s="149">
        <v>1</v>
      </c>
      <c r="AE7" s="149">
        <v>1</v>
      </c>
      <c r="AF7" s="149">
        <v>1</v>
      </c>
      <c r="AG7" s="149">
        <v>1</v>
      </c>
      <c r="AH7" s="149">
        <v>1</v>
      </c>
      <c r="AI7" s="5"/>
      <c r="AJ7" s="149" t="str">
        <v>C1</v>
      </c>
      <c r="AK7" s="149">
        <v>1</v>
      </c>
      <c r="AL7" s="149">
        <v>1</v>
      </c>
      <c r="AM7" s="149">
        <v>1</v>
      </c>
      <c r="AN7" s="149">
        <v>1</v>
      </c>
      <c r="AO7" s="149">
        <v>1</v>
      </c>
    </row>
    <row r="8" spans="1:41" ht="15.9" customHeight="1">
      <c r="A8" s="144" t="str">
        <v>M3</v>
      </c>
      <c r="B8" s="118" t="str">
        <v>M3</v>
      </c>
      <c r="C8" s="144">
        <f t="shared" si="0"/>
        <v>7</v>
      </c>
      <c r="D8" s="144">
        <f t="shared" si="0"/>
        <v>13</v>
      </c>
      <c r="E8" s="144">
        <f t="shared" si="0"/>
        <v>0</v>
      </c>
      <c r="F8" s="144">
        <f t="shared" si="0"/>
        <v>7</v>
      </c>
      <c r="G8" s="144">
        <f t="shared" si="0"/>
        <v>14</v>
      </c>
      <c r="H8" s="118">
        <v>4</v>
      </c>
      <c r="I8" s="87"/>
      <c r="J8" s="25">
        <v>4</v>
      </c>
      <c r="K8" s="16" t="s">
        <v>34</v>
      </c>
      <c r="L8" s="16" t="s">
        <v>19</v>
      </c>
      <c r="M8" s="16" t="s">
        <v>92</v>
      </c>
      <c r="N8" s="16" t="s">
        <v>36</v>
      </c>
      <c r="O8" s="16" t="s">
        <v>19</v>
      </c>
      <c r="Q8" s="9">
        <v>9</v>
      </c>
      <c r="R8" s="9">
        <v>5</v>
      </c>
      <c r="S8" s="9">
        <v>16</v>
      </c>
      <c r="T8" s="9">
        <v>10</v>
      </c>
      <c r="U8" s="9">
        <v>5</v>
      </c>
      <c r="W8" s="25">
        <v>1</v>
      </c>
      <c r="X8" s="25">
        <v>1</v>
      </c>
      <c r="Y8" s="25">
        <v>1</v>
      </c>
      <c r="Z8" s="25">
        <v>1</v>
      </c>
      <c r="AA8" s="25">
        <v>1</v>
      </c>
      <c r="AC8" s="166" t="str">
        <v>M1</v>
      </c>
      <c r="AD8" s="144">
        <v>3</v>
      </c>
      <c r="AE8" s="144">
        <v>10</v>
      </c>
      <c r="AF8" s="144">
        <v>0</v>
      </c>
      <c r="AG8" s="144">
        <v>3</v>
      </c>
      <c r="AH8" s="144">
        <v>9</v>
      </c>
      <c r="AI8" s="5"/>
      <c r="AJ8" s="166" t="str">
        <v>M1</v>
      </c>
      <c r="AK8" s="144">
        <v>3</v>
      </c>
      <c r="AL8" s="144">
        <v>10</v>
      </c>
      <c r="AM8" s="144">
        <v>0</v>
      </c>
      <c r="AN8" s="144">
        <v>3</v>
      </c>
      <c r="AO8" s="144">
        <v>9</v>
      </c>
    </row>
    <row r="9" spans="1:41" ht="15.9" customHeight="1">
      <c r="A9" s="144" t="str">
        <v>M4</v>
      </c>
      <c r="B9" s="118" t="str">
        <v>M4</v>
      </c>
      <c r="C9" s="144">
        <f t="shared" si="0"/>
        <v>43</v>
      </c>
      <c r="D9" s="144">
        <f t="shared" si="0"/>
        <v>22</v>
      </c>
      <c r="E9" s="144">
        <f t="shared" si="0"/>
        <v>0</v>
      </c>
      <c r="F9" s="144">
        <f t="shared" si="0"/>
        <v>31</v>
      </c>
      <c r="G9" s="144">
        <f t="shared" si="0"/>
        <v>36</v>
      </c>
      <c r="H9" s="118">
        <v>5</v>
      </c>
      <c r="I9" s="87"/>
      <c r="J9" s="9">
        <v>5</v>
      </c>
      <c r="K9" s="16" t="s">
        <v>35</v>
      </c>
      <c r="L9" s="16" t="s">
        <v>37</v>
      </c>
      <c r="M9" s="16" t="s">
        <v>119</v>
      </c>
      <c r="N9" s="16" t="s">
        <v>35</v>
      </c>
      <c r="O9" s="16" t="s">
        <v>136</v>
      </c>
      <c r="Q9" s="9">
        <v>8</v>
      </c>
      <c r="R9" s="9">
        <v>7</v>
      </c>
      <c r="S9" s="9">
        <v>17</v>
      </c>
      <c r="T9" s="9">
        <v>8</v>
      </c>
      <c r="U9" s="9">
        <v>6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C9" s="166" t="str">
        <v>M2</v>
      </c>
      <c r="AD9" s="144">
        <v>3</v>
      </c>
      <c r="AE9" s="144">
        <v>12</v>
      </c>
      <c r="AF9" s="144">
        <v>0</v>
      </c>
      <c r="AG9" s="144">
        <v>3</v>
      </c>
      <c r="AH9" s="144">
        <v>8</v>
      </c>
      <c r="AI9" s="5"/>
      <c r="AJ9" s="166" t="str">
        <v>M2</v>
      </c>
      <c r="AK9" s="144">
        <v>3</v>
      </c>
      <c r="AL9" s="144">
        <v>12</v>
      </c>
      <c r="AM9" s="144">
        <v>0</v>
      </c>
      <c r="AN9" s="144">
        <v>3</v>
      </c>
      <c r="AO9" s="144">
        <v>8</v>
      </c>
    </row>
    <row r="10" spans="1:41" ht="15.9" customHeight="1">
      <c r="A10" s="144" t="str">
        <v>M5</v>
      </c>
      <c r="B10" s="118" t="str">
        <v>M5</v>
      </c>
      <c r="C10" s="144">
        <f t="shared" si="0"/>
        <v>42</v>
      </c>
      <c r="D10" s="144">
        <f t="shared" si="0"/>
        <v>22</v>
      </c>
      <c r="E10" s="144">
        <f t="shared" si="0"/>
        <v>0</v>
      </c>
      <c r="F10" s="144">
        <f t="shared" si="0"/>
        <v>27</v>
      </c>
      <c r="G10" s="144">
        <f t="shared" si="0"/>
        <v>34</v>
      </c>
      <c r="H10" s="118">
        <v>6</v>
      </c>
      <c r="I10" s="87"/>
      <c r="J10" s="25">
        <v>6</v>
      </c>
      <c r="K10" s="16" t="s">
        <v>18</v>
      </c>
      <c r="L10" s="16" t="s">
        <v>34</v>
      </c>
      <c r="M10" s="16" t="s">
        <v>92</v>
      </c>
      <c r="N10" s="16" t="s">
        <v>91</v>
      </c>
      <c r="O10" s="16" t="s">
        <v>19</v>
      </c>
      <c r="Q10" s="9">
        <v>4</v>
      </c>
      <c r="R10" s="9">
        <v>9</v>
      </c>
      <c r="S10" s="9">
        <v>16</v>
      </c>
      <c r="T10" s="9">
        <v>14</v>
      </c>
      <c r="U10" s="9">
        <v>5</v>
      </c>
      <c r="W10" s="25">
        <v>1</v>
      </c>
      <c r="X10" s="25">
        <v>1</v>
      </c>
      <c r="Y10" s="25">
        <v>1</v>
      </c>
      <c r="Z10" s="25">
        <v>1</v>
      </c>
      <c r="AA10" s="25">
        <v>1</v>
      </c>
      <c r="AC10" s="166" t="str">
        <v>M3</v>
      </c>
      <c r="AD10" s="144">
        <v>7</v>
      </c>
      <c r="AE10" s="144">
        <v>13</v>
      </c>
      <c r="AF10" s="144">
        <v>0</v>
      </c>
      <c r="AG10" s="144">
        <v>7</v>
      </c>
      <c r="AH10" s="144">
        <v>14</v>
      </c>
      <c r="AI10" s="5"/>
      <c r="AJ10" s="166" t="str">
        <v>M3</v>
      </c>
      <c r="AK10" s="144">
        <v>7</v>
      </c>
      <c r="AL10" s="144">
        <v>13</v>
      </c>
      <c r="AM10" s="144">
        <v>0</v>
      </c>
      <c r="AN10" s="144">
        <v>7</v>
      </c>
      <c r="AO10" s="144">
        <v>14</v>
      </c>
    </row>
    <row r="11" spans="1:41" ht="15.9" customHeight="1">
      <c r="A11" s="144" t="str">
        <v>A</v>
      </c>
      <c r="B11" s="118" t="str">
        <v>A</v>
      </c>
      <c r="C11" s="144">
        <f t="shared" si="0"/>
        <v>43</v>
      </c>
      <c r="D11" s="144">
        <f t="shared" si="0"/>
        <v>27</v>
      </c>
      <c r="E11" s="144">
        <f t="shared" si="0"/>
        <v>0</v>
      </c>
      <c r="F11" s="144">
        <f t="shared" si="0"/>
        <v>31</v>
      </c>
      <c r="G11" s="144">
        <f t="shared" si="0"/>
        <v>35</v>
      </c>
      <c r="H11" s="118">
        <v>7</v>
      </c>
      <c r="I11" s="87"/>
      <c r="J11" s="9">
        <v>7</v>
      </c>
      <c r="K11" s="16" t="s">
        <v>136</v>
      </c>
      <c r="L11" s="16" t="s">
        <v>95</v>
      </c>
      <c r="M11" s="16" t="s">
        <v>119</v>
      </c>
      <c r="N11" s="16" t="s">
        <v>119</v>
      </c>
      <c r="O11" s="16" t="s">
        <v>136</v>
      </c>
      <c r="Q11" s="9">
        <v>6</v>
      </c>
      <c r="R11" s="9">
        <v>18</v>
      </c>
      <c r="S11" s="9">
        <v>17</v>
      </c>
      <c r="T11" s="9">
        <v>17</v>
      </c>
      <c r="U11" s="9">
        <v>6</v>
      </c>
      <c r="W11" s="25">
        <v>1</v>
      </c>
      <c r="X11" s="25">
        <v>1</v>
      </c>
      <c r="Y11" s="25">
        <v>1</v>
      </c>
      <c r="Z11" s="25">
        <v>1</v>
      </c>
      <c r="AA11" s="25">
        <v>1</v>
      </c>
      <c r="AC11" s="166" t="str">
        <v>M4</v>
      </c>
      <c r="AD11" s="144">
        <v>43</v>
      </c>
      <c r="AE11" s="144">
        <v>22</v>
      </c>
      <c r="AF11" s="144">
        <v>0</v>
      </c>
      <c r="AG11" s="144">
        <v>31</v>
      </c>
      <c r="AH11" s="144">
        <v>36</v>
      </c>
      <c r="AI11" s="5"/>
      <c r="AJ11" s="166" t="str">
        <v>M4</v>
      </c>
      <c r="AK11" s="144">
        <v>43</v>
      </c>
      <c r="AL11" s="144">
        <v>22</v>
      </c>
      <c r="AM11" s="144">
        <v>0</v>
      </c>
      <c r="AN11" s="144">
        <v>31</v>
      </c>
      <c r="AO11" s="144">
        <v>36</v>
      </c>
    </row>
    <row r="12" spans="1:41" ht="15.9" customHeight="1">
      <c r="A12" s="144" t="str">
        <v>K</v>
      </c>
      <c r="B12" s="118" t="str">
        <v>K</v>
      </c>
      <c r="C12" s="144">
        <f t="shared" si="0"/>
        <v>43</v>
      </c>
      <c r="D12" s="144">
        <f t="shared" si="0"/>
        <v>24</v>
      </c>
      <c r="E12" s="144">
        <f t="shared" si="0"/>
        <v>0</v>
      </c>
      <c r="F12" s="144">
        <f t="shared" si="0"/>
        <v>32</v>
      </c>
      <c r="G12" s="144">
        <f t="shared" si="0"/>
        <v>34</v>
      </c>
      <c r="H12" s="118">
        <v>8</v>
      </c>
      <c r="I12" s="87"/>
      <c r="J12" s="25">
        <v>8</v>
      </c>
      <c r="K12" s="16" t="s">
        <v>36</v>
      </c>
      <c r="L12" s="16" t="s">
        <v>22</v>
      </c>
      <c r="M12" s="16" t="s">
        <v>92</v>
      </c>
      <c r="N12" s="16" t="s">
        <v>37</v>
      </c>
      <c r="O12" s="16" t="s">
        <v>37</v>
      </c>
      <c r="Q12" s="9">
        <v>10</v>
      </c>
      <c r="R12" s="9">
        <v>3</v>
      </c>
      <c r="S12" s="9">
        <v>16</v>
      </c>
      <c r="T12" s="9">
        <v>7</v>
      </c>
      <c r="U12" s="9">
        <v>7</v>
      </c>
      <c r="W12" s="25">
        <v>1</v>
      </c>
      <c r="X12" s="25">
        <v>1</v>
      </c>
      <c r="Y12" s="25">
        <v>1</v>
      </c>
      <c r="Z12" s="25">
        <v>1</v>
      </c>
      <c r="AA12" s="25">
        <v>1</v>
      </c>
      <c r="AC12" s="166" t="str">
        <v>M5</v>
      </c>
      <c r="AD12" s="144">
        <v>42</v>
      </c>
      <c r="AE12" s="144">
        <v>22</v>
      </c>
      <c r="AF12" s="144">
        <v>0</v>
      </c>
      <c r="AG12" s="144">
        <v>27</v>
      </c>
      <c r="AH12" s="144">
        <v>34</v>
      </c>
      <c r="AI12" s="5"/>
      <c r="AJ12" s="166" t="str">
        <v>M5</v>
      </c>
      <c r="AK12" s="144">
        <v>42</v>
      </c>
      <c r="AL12" s="144">
        <v>22</v>
      </c>
      <c r="AM12" s="144">
        <v>0</v>
      </c>
      <c r="AN12" s="144">
        <v>27</v>
      </c>
      <c r="AO12" s="144">
        <v>34</v>
      </c>
    </row>
    <row r="13" spans="1:41" ht="15.9" customHeight="1">
      <c r="A13" s="144" t="str">
        <v>Q</v>
      </c>
      <c r="B13" s="118" t="str">
        <v>Q</v>
      </c>
      <c r="C13" s="144">
        <f t="shared" si="0"/>
        <v>7</v>
      </c>
      <c r="D13" s="144">
        <f t="shared" si="0"/>
        <v>12</v>
      </c>
      <c r="E13" s="144">
        <f t="shared" si="0"/>
        <v>0</v>
      </c>
      <c r="F13" s="144">
        <f t="shared" si="0"/>
        <v>6</v>
      </c>
      <c r="G13" s="144">
        <f t="shared" si="0"/>
        <v>13</v>
      </c>
      <c r="H13" s="118">
        <v>9</v>
      </c>
      <c r="I13" s="87"/>
      <c r="J13" s="9">
        <v>9</v>
      </c>
      <c r="K13" s="16" t="s">
        <v>21</v>
      </c>
      <c r="L13" s="16" t="s">
        <v>92</v>
      </c>
      <c r="M13" s="16" t="s">
        <v>137</v>
      </c>
      <c r="N13" s="16" t="s">
        <v>91</v>
      </c>
      <c r="O13" s="16" t="s">
        <v>34</v>
      </c>
      <c r="Q13" s="9">
        <v>2</v>
      </c>
      <c r="R13" s="9">
        <v>16</v>
      </c>
      <c r="S13" s="9">
        <v>15</v>
      </c>
      <c r="T13" s="9">
        <v>14</v>
      </c>
      <c r="U13" s="9">
        <v>9</v>
      </c>
      <c r="W13" s="25">
        <v>1</v>
      </c>
      <c r="X13" s="25">
        <v>1</v>
      </c>
      <c r="Y13" s="25">
        <v>1</v>
      </c>
      <c r="Z13" s="25">
        <v>1</v>
      </c>
      <c r="AA13" s="25">
        <v>1</v>
      </c>
      <c r="AC13" s="166" t="str">
        <v>A</v>
      </c>
      <c r="AD13" s="144">
        <v>43</v>
      </c>
      <c r="AE13" s="144">
        <v>27</v>
      </c>
      <c r="AF13" s="144">
        <v>0</v>
      </c>
      <c r="AG13" s="144">
        <v>31</v>
      </c>
      <c r="AH13" s="144">
        <v>35</v>
      </c>
      <c r="AI13" s="5"/>
      <c r="AJ13" s="166" t="str">
        <v>A</v>
      </c>
      <c r="AK13" s="144">
        <v>43</v>
      </c>
      <c r="AL13" s="144">
        <v>27</v>
      </c>
      <c r="AM13" s="144">
        <v>0</v>
      </c>
      <c r="AN13" s="144">
        <v>31</v>
      </c>
      <c r="AO13" s="144">
        <v>35</v>
      </c>
    </row>
    <row r="14" spans="1:41" ht="15.9" customHeight="1">
      <c r="A14" s="144" t="str">
        <v>J</v>
      </c>
      <c r="B14" s="118" t="str">
        <v>J</v>
      </c>
      <c r="C14" s="144">
        <f t="shared" si="0"/>
        <v>7</v>
      </c>
      <c r="D14" s="144">
        <f t="shared" si="0"/>
        <v>8</v>
      </c>
      <c r="E14" s="144">
        <f t="shared" si="0"/>
        <v>0</v>
      </c>
      <c r="F14" s="144">
        <f t="shared" si="0"/>
        <v>7</v>
      </c>
      <c r="G14" s="144">
        <f t="shared" si="0"/>
        <v>14</v>
      </c>
      <c r="H14" s="118">
        <v>10</v>
      </c>
      <c r="I14" s="87"/>
      <c r="J14" s="25">
        <v>10</v>
      </c>
      <c r="K14" s="16" t="s">
        <v>37</v>
      </c>
      <c r="L14" s="16" t="s">
        <v>35</v>
      </c>
      <c r="M14" s="16" t="s">
        <v>92</v>
      </c>
      <c r="N14" s="16" t="s">
        <v>19</v>
      </c>
      <c r="O14" s="16" t="s">
        <v>21</v>
      </c>
      <c r="Q14" s="9">
        <v>7</v>
      </c>
      <c r="R14" s="9">
        <v>8</v>
      </c>
      <c r="S14" s="9">
        <v>16</v>
      </c>
      <c r="T14" s="9">
        <v>5</v>
      </c>
      <c r="U14" s="9">
        <v>2</v>
      </c>
      <c r="W14" s="25">
        <v>1</v>
      </c>
      <c r="X14" s="25">
        <v>1</v>
      </c>
      <c r="Y14" s="25">
        <v>1</v>
      </c>
      <c r="Z14" s="25">
        <v>1</v>
      </c>
      <c r="AA14" s="25">
        <v>1</v>
      </c>
      <c r="AC14" s="166" t="str">
        <v>K</v>
      </c>
      <c r="AD14" s="144">
        <v>43</v>
      </c>
      <c r="AE14" s="144">
        <v>24</v>
      </c>
      <c r="AF14" s="144">
        <v>0</v>
      </c>
      <c r="AG14" s="144">
        <v>32</v>
      </c>
      <c r="AH14" s="144">
        <v>34</v>
      </c>
      <c r="AI14" s="5"/>
      <c r="AJ14" s="166" t="str">
        <v>K</v>
      </c>
      <c r="AK14" s="144">
        <v>43</v>
      </c>
      <c r="AL14" s="144">
        <v>24</v>
      </c>
      <c r="AM14" s="144">
        <v>0</v>
      </c>
      <c r="AN14" s="144">
        <v>32</v>
      </c>
      <c r="AO14" s="144">
        <v>34</v>
      </c>
    </row>
    <row r="15" spans="1:41" ht="15.9" customHeight="1">
      <c r="A15" s="29" t="str">
        <v>G1</v>
      </c>
      <c r="B15" s="8" t="str">
        <v>Gold M1</v>
      </c>
      <c r="C15" s="105">
        <f t="shared" si="0"/>
        <v>0</v>
      </c>
      <c r="D15" s="105">
        <f t="shared" si="0"/>
        <v>2</v>
      </c>
      <c r="E15" s="105">
        <f t="shared" si="0"/>
        <v>3</v>
      </c>
      <c r="F15" s="105">
        <f t="shared" si="0"/>
        <v>1</v>
      </c>
      <c r="G15" s="105">
        <f t="shared" si="0"/>
        <v>0</v>
      </c>
      <c r="H15" s="8">
        <v>11</v>
      </c>
      <c r="I15" s="87"/>
      <c r="J15" s="9">
        <v>11</v>
      </c>
      <c r="K15" s="16" t="s">
        <v>136</v>
      </c>
      <c r="L15" s="16" t="s">
        <v>119</v>
      </c>
      <c r="M15" s="16" t="s">
        <v>97</v>
      </c>
      <c r="N15" s="16" t="s">
        <v>36</v>
      </c>
      <c r="O15" s="16" t="s">
        <v>34</v>
      </c>
      <c r="Q15" s="9">
        <v>6</v>
      </c>
      <c r="R15" s="9">
        <v>17</v>
      </c>
      <c r="S15" s="9">
        <v>19</v>
      </c>
      <c r="T15" s="9">
        <v>10</v>
      </c>
      <c r="U15" s="9">
        <v>9</v>
      </c>
      <c r="W15" s="25">
        <v>1</v>
      </c>
      <c r="X15" s="25">
        <v>1</v>
      </c>
      <c r="Y15" s="25">
        <v>1</v>
      </c>
      <c r="Z15" s="25">
        <v>1</v>
      </c>
      <c r="AA15" s="25">
        <v>1</v>
      </c>
      <c r="AC15" s="166" t="str">
        <v>Q</v>
      </c>
      <c r="AD15" s="144">
        <v>7</v>
      </c>
      <c r="AE15" s="144">
        <v>12</v>
      </c>
      <c r="AF15" s="144">
        <v>0</v>
      </c>
      <c r="AG15" s="144">
        <v>6</v>
      </c>
      <c r="AH15" s="144">
        <v>13</v>
      </c>
      <c r="AI15" s="5"/>
      <c r="AJ15" s="166" t="str">
        <v>Q</v>
      </c>
      <c r="AK15" s="144">
        <v>7</v>
      </c>
      <c r="AL15" s="144">
        <v>12</v>
      </c>
      <c r="AM15" s="144">
        <v>0</v>
      </c>
      <c r="AN15" s="144">
        <v>6</v>
      </c>
      <c r="AO15" s="144">
        <v>13</v>
      </c>
    </row>
    <row r="16" spans="1:41" ht="15.9" customHeight="1">
      <c r="A16" s="29" t="str">
        <v>G2</v>
      </c>
      <c r="B16" s="8" t="str">
        <v>Gold M2</v>
      </c>
      <c r="C16" s="105">
        <f t="shared" si="0"/>
        <v>0</v>
      </c>
      <c r="D16" s="105">
        <f t="shared" si="0"/>
        <v>3</v>
      </c>
      <c r="E16" s="105">
        <f t="shared" si="0"/>
        <v>1</v>
      </c>
      <c r="F16" s="105">
        <f t="shared" si="0"/>
        <v>1</v>
      </c>
      <c r="G16" s="105">
        <f t="shared" si="0"/>
        <v>0</v>
      </c>
      <c r="H16" s="8">
        <v>12</v>
      </c>
      <c r="I16" s="87"/>
      <c r="J16" s="25">
        <v>12</v>
      </c>
      <c r="K16" s="16" t="s">
        <v>36</v>
      </c>
      <c r="L16" s="16" t="s">
        <v>136</v>
      </c>
      <c r="M16" s="16" t="s">
        <v>90</v>
      </c>
      <c r="N16" s="16" t="s">
        <v>22</v>
      </c>
      <c r="O16" s="16" t="s">
        <v>18</v>
      </c>
      <c r="Q16" s="9">
        <v>10</v>
      </c>
      <c r="R16" s="9">
        <v>6</v>
      </c>
      <c r="S16" s="9">
        <v>13</v>
      </c>
      <c r="T16" s="9">
        <v>3</v>
      </c>
      <c r="U16" s="9">
        <v>4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C16" s="166" t="str">
        <v>J</v>
      </c>
      <c r="AD16" s="144">
        <v>7</v>
      </c>
      <c r="AE16" s="144">
        <v>8</v>
      </c>
      <c r="AF16" s="144">
        <v>0</v>
      </c>
      <c r="AG16" s="144">
        <v>7</v>
      </c>
      <c r="AH16" s="144">
        <v>14</v>
      </c>
      <c r="AI16" s="5"/>
      <c r="AJ16" s="166" t="str">
        <v>J</v>
      </c>
      <c r="AK16" s="144">
        <v>7</v>
      </c>
      <c r="AL16" s="144">
        <v>8</v>
      </c>
      <c r="AM16" s="144">
        <v>0</v>
      </c>
      <c r="AN16" s="144">
        <v>7</v>
      </c>
      <c r="AO16" s="144">
        <v>14</v>
      </c>
    </row>
    <row r="17" spans="1:41" ht="15.9" customHeight="1">
      <c r="A17" s="29" t="str">
        <v>G3</v>
      </c>
      <c r="B17" s="8" t="str">
        <v>Gold M3</v>
      </c>
      <c r="C17" s="105">
        <f t="shared" si="0"/>
        <v>0</v>
      </c>
      <c r="D17" s="105">
        <f t="shared" si="0"/>
        <v>3</v>
      </c>
      <c r="E17" s="105">
        <f t="shared" si="0"/>
        <v>8</v>
      </c>
      <c r="F17" s="105">
        <f t="shared" si="0"/>
        <v>2</v>
      </c>
      <c r="G17" s="105">
        <f t="shared" si="0"/>
        <v>0</v>
      </c>
      <c r="H17" s="8">
        <v>13</v>
      </c>
      <c r="I17" s="87"/>
      <c r="J17" s="9">
        <v>13</v>
      </c>
      <c r="K17" s="16" t="s">
        <v>19</v>
      </c>
      <c r="L17" s="16" t="s">
        <v>91</v>
      </c>
      <c r="M17" s="16" t="s">
        <v>92</v>
      </c>
      <c r="N17" s="16" t="s">
        <v>35</v>
      </c>
      <c r="O17" s="16" t="s">
        <v>35</v>
      </c>
      <c r="Q17" s="9">
        <v>5</v>
      </c>
      <c r="R17" s="9">
        <v>14</v>
      </c>
      <c r="S17" s="9">
        <v>16</v>
      </c>
      <c r="T17" s="9">
        <v>8</v>
      </c>
      <c r="U17" s="9">
        <v>8</v>
      </c>
      <c r="W17" s="25">
        <v>1</v>
      </c>
      <c r="X17" s="25">
        <v>1</v>
      </c>
      <c r="Y17" s="25">
        <v>1</v>
      </c>
      <c r="Z17" s="25">
        <v>1</v>
      </c>
      <c r="AA17" s="25">
        <v>1</v>
      </c>
      <c r="AC17" s="149" t="str">
        <v>G1</v>
      </c>
      <c r="AD17" s="105">
        <v>0</v>
      </c>
      <c r="AE17" s="105">
        <v>2</v>
      </c>
      <c r="AF17" s="105">
        <v>3</v>
      </c>
      <c r="AG17" s="105">
        <v>1</v>
      </c>
      <c r="AH17" s="105">
        <v>0</v>
      </c>
      <c r="AI17" s="5"/>
      <c r="AJ17" s="149" t="str">
        <v>G1</v>
      </c>
      <c r="AK17" s="105">
        <v>0</v>
      </c>
      <c r="AL17" s="105">
        <v>2</v>
      </c>
      <c r="AM17" s="105">
        <v>3</v>
      </c>
      <c r="AN17" s="105">
        <v>1</v>
      </c>
      <c r="AO17" s="105">
        <v>0</v>
      </c>
    </row>
    <row r="18" spans="1:41" ht="15.9" customHeight="1">
      <c r="A18" s="29" t="str">
        <v>G4</v>
      </c>
      <c r="B18" s="8" t="str">
        <v>Gold M4</v>
      </c>
      <c r="C18" s="105">
        <f t="shared" si="0"/>
        <v>0</v>
      </c>
      <c r="D18" s="105">
        <f t="shared" si="0"/>
        <v>8</v>
      </c>
      <c r="E18" s="105">
        <f t="shared" si="0"/>
        <v>43</v>
      </c>
      <c r="F18" s="105">
        <f t="shared" si="0"/>
        <v>11</v>
      </c>
      <c r="G18" s="105">
        <f t="shared" si="0"/>
        <v>0</v>
      </c>
      <c r="H18" s="8">
        <v>14</v>
      </c>
      <c r="I18" s="87"/>
      <c r="J18" s="25">
        <v>14</v>
      </c>
      <c r="K18" s="16" t="s">
        <v>136</v>
      </c>
      <c r="L18" s="16" t="s">
        <v>18</v>
      </c>
      <c r="M18" s="16" t="s">
        <v>91</v>
      </c>
      <c r="N18" s="16" t="s">
        <v>19</v>
      </c>
      <c r="O18" s="16" t="s">
        <v>36</v>
      </c>
      <c r="Q18" s="9">
        <v>6</v>
      </c>
      <c r="R18" s="9">
        <v>4</v>
      </c>
      <c r="S18" s="9">
        <v>14</v>
      </c>
      <c r="T18" s="9">
        <v>5</v>
      </c>
      <c r="U18" s="9">
        <v>10</v>
      </c>
      <c r="W18" s="25">
        <v>1</v>
      </c>
      <c r="X18" s="25">
        <v>1</v>
      </c>
      <c r="Y18" s="25">
        <v>1</v>
      </c>
      <c r="Z18" s="25">
        <v>1</v>
      </c>
      <c r="AA18" s="25">
        <v>1</v>
      </c>
      <c r="AC18" s="149" t="str">
        <v>G2</v>
      </c>
      <c r="AD18" s="105">
        <v>0</v>
      </c>
      <c r="AE18" s="105">
        <v>3</v>
      </c>
      <c r="AF18" s="105">
        <v>1</v>
      </c>
      <c r="AG18" s="105">
        <v>1</v>
      </c>
      <c r="AH18" s="105">
        <v>0</v>
      </c>
      <c r="AI18" s="5"/>
      <c r="AJ18" s="149" t="str">
        <v>G2</v>
      </c>
      <c r="AK18" s="105">
        <v>0</v>
      </c>
      <c r="AL18" s="105">
        <v>3</v>
      </c>
      <c r="AM18" s="105">
        <v>1</v>
      </c>
      <c r="AN18" s="105">
        <v>1</v>
      </c>
      <c r="AO18" s="105">
        <v>0</v>
      </c>
    </row>
    <row r="19" spans="1:41" ht="15.9" customHeight="1">
      <c r="A19" s="29" t="str">
        <v>G5</v>
      </c>
      <c r="B19" s="8" t="str">
        <v>Gold M5</v>
      </c>
      <c r="C19" s="105">
        <f t="shared" si="0"/>
        <v>0</v>
      </c>
      <c r="D19" s="105">
        <f t="shared" si="0"/>
        <v>8</v>
      </c>
      <c r="E19" s="105">
        <f t="shared" si="0"/>
        <v>42</v>
      </c>
      <c r="F19" s="105">
        <f t="shared" si="0"/>
        <v>12</v>
      </c>
      <c r="G19" s="105">
        <f t="shared" si="0"/>
        <v>0</v>
      </c>
      <c r="H19" s="8">
        <v>15</v>
      </c>
      <c r="I19" s="87"/>
      <c r="J19" s="9">
        <v>15</v>
      </c>
      <c r="K19" s="16" t="s">
        <v>19</v>
      </c>
      <c r="L19" s="16" t="s">
        <v>35</v>
      </c>
      <c r="M19" s="16" t="s">
        <v>92</v>
      </c>
      <c r="N19" s="16" t="s">
        <v>136</v>
      </c>
      <c r="O19" s="16" t="s">
        <v>18</v>
      </c>
      <c r="Q19" s="9">
        <v>5</v>
      </c>
      <c r="R19" s="9">
        <v>8</v>
      </c>
      <c r="S19" s="9">
        <v>16</v>
      </c>
      <c r="T19" s="9">
        <v>6</v>
      </c>
      <c r="U19" s="9">
        <v>4</v>
      </c>
      <c r="W19" s="25">
        <v>1</v>
      </c>
      <c r="X19" s="25">
        <v>1</v>
      </c>
      <c r="Y19" s="25">
        <v>1</v>
      </c>
      <c r="Z19" s="25">
        <v>1</v>
      </c>
      <c r="AA19" s="25">
        <v>1</v>
      </c>
      <c r="AC19" s="149" t="str">
        <v>G3</v>
      </c>
      <c r="AD19" s="105">
        <v>0</v>
      </c>
      <c r="AE19" s="105">
        <v>3</v>
      </c>
      <c r="AF19" s="105">
        <v>8</v>
      </c>
      <c r="AG19" s="105">
        <v>2</v>
      </c>
      <c r="AH19" s="105">
        <v>0</v>
      </c>
      <c r="AI19" s="5"/>
      <c r="AJ19" s="149" t="str">
        <v>G3</v>
      </c>
      <c r="AK19" s="105">
        <v>0</v>
      </c>
      <c r="AL19" s="105">
        <v>3</v>
      </c>
      <c r="AM19" s="105">
        <v>8</v>
      </c>
      <c r="AN19" s="105">
        <v>2</v>
      </c>
      <c r="AO19" s="105">
        <v>0</v>
      </c>
    </row>
    <row r="20" spans="1:41" ht="15.9" customHeight="1">
      <c r="A20" s="29" t="str">
        <v>GA</v>
      </c>
      <c r="B20" s="8" t="str">
        <v>Gold A</v>
      </c>
      <c r="C20" s="105">
        <f t="shared" si="0"/>
        <v>0</v>
      </c>
      <c r="D20" s="105">
        <f t="shared" si="0"/>
        <v>10</v>
      </c>
      <c r="E20" s="105">
        <f t="shared" si="0"/>
        <v>42</v>
      </c>
      <c r="F20" s="105">
        <f t="shared" si="0"/>
        <v>10</v>
      </c>
      <c r="G20" s="105">
        <f t="shared" si="0"/>
        <v>0</v>
      </c>
      <c r="H20" s="8">
        <v>16</v>
      </c>
      <c r="I20" s="87"/>
      <c r="J20" s="25">
        <v>16</v>
      </c>
      <c r="K20" s="16" t="s">
        <v>35</v>
      </c>
      <c r="L20" s="16" t="s">
        <v>36</v>
      </c>
      <c r="M20" s="16" t="s">
        <v>91</v>
      </c>
      <c r="N20" s="16" t="s">
        <v>35</v>
      </c>
      <c r="O20" s="16" t="s">
        <v>136</v>
      </c>
      <c r="Q20" s="9">
        <v>8</v>
      </c>
      <c r="R20" s="9">
        <v>10</v>
      </c>
      <c r="S20" s="9">
        <v>14</v>
      </c>
      <c r="T20" s="9">
        <v>8</v>
      </c>
      <c r="U20" s="9">
        <v>6</v>
      </c>
      <c r="W20" s="25">
        <v>1</v>
      </c>
      <c r="X20" s="25">
        <v>1</v>
      </c>
      <c r="Y20" s="25">
        <v>1</v>
      </c>
      <c r="Z20" s="25">
        <v>1</v>
      </c>
      <c r="AA20" s="25">
        <v>1</v>
      </c>
      <c r="AC20" s="149" t="str">
        <v>G4</v>
      </c>
      <c r="AD20" s="105">
        <v>0</v>
      </c>
      <c r="AE20" s="105">
        <v>8</v>
      </c>
      <c r="AF20" s="105">
        <v>43</v>
      </c>
      <c r="AG20" s="105">
        <v>11</v>
      </c>
      <c r="AH20" s="105">
        <v>0</v>
      </c>
      <c r="AI20" s="5"/>
      <c r="AJ20" s="149" t="str">
        <v>G4</v>
      </c>
      <c r="AK20" s="105">
        <v>0</v>
      </c>
      <c r="AL20" s="105">
        <v>8</v>
      </c>
      <c r="AM20" s="105">
        <v>43</v>
      </c>
      <c r="AN20" s="105">
        <v>11</v>
      </c>
      <c r="AO20" s="105">
        <v>0</v>
      </c>
    </row>
    <row r="21" spans="1:41" ht="15.9" customHeight="1">
      <c r="A21" s="29" t="str">
        <v>GK</v>
      </c>
      <c r="B21" s="8" t="str">
        <v>Gold K</v>
      </c>
      <c r="C21" s="105">
        <f t="shared" si="0"/>
        <v>0</v>
      </c>
      <c r="D21" s="105">
        <f t="shared" si="0"/>
        <v>9</v>
      </c>
      <c r="E21" s="105">
        <f t="shared" si="0"/>
        <v>44</v>
      </c>
      <c r="F21" s="105">
        <f t="shared" si="0"/>
        <v>10</v>
      </c>
      <c r="G21" s="105">
        <f t="shared" si="0"/>
        <v>0</v>
      </c>
      <c r="H21" s="8">
        <v>17</v>
      </c>
      <c r="I21" s="87"/>
      <c r="J21" s="9">
        <v>17</v>
      </c>
      <c r="K21" s="16" t="s">
        <v>37</v>
      </c>
      <c r="L21" s="16" t="s">
        <v>136</v>
      </c>
      <c r="M21" s="16" t="s">
        <v>92</v>
      </c>
      <c r="N21" s="16" t="s">
        <v>137</v>
      </c>
      <c r="O21" s="16" t="s">
        <v>37</v>
      </c>
      <c r="Q21" s="9">
        <v>7</v>
      </c>
      <c r="R21" s="9">
        <v>6</v>
      </c>
      <c r="S21" s="9">
        <v>16</v>
      </c>
      <c r="T21" s="9">
        <v>15</v>
      </c>
      <c r="U21" s="9">
        <v>7</v>
      </c>
      <c r="W21" s="25">
        <v>1</v>
      </c>
      <c r="X21" s="25">
        <v>1</v>
      </c>
      <c r="Y21" s="25">
        <v>1</v>
      </c>
      <c r="Z21" s="25">
        <v>1</v>
      </c>
      <c r="AA21" s="25">
        <v>1</v>
      </c>
      <c r="AC21" s="149" t="str">
        <v>G5</v>
      </c>
      <c r="AD21" s="105">
        <v>0</v>
      </c>
      <c r="AE21" s="105">
        <v>8</v>
      </c>
      <c r="AF21" s="105">
        <v>42</v>
      </c>
      <c r="AG21" s="105">
        <v>12</v>
      </c>
      <c r="AH21" s="105">
        <v>0</v>
      </c>
      <c r="AI21" s="5"/>
      <c r="AJ21" s="149" t="str">
        <v>G5</v>
      </c>
      <c r="AK21" s="105">
        <v>0</v>
      </c>
      <c r="AL21" s="105">
        <v>8</v>
      </c>
      <c r="AM21" s="105">
        <v>42</v>
      </c>
      <c r="AN21" s="105">
        <v>12</v>
      </c>
      <c r="AO21" s="105">
        <v>0</v>
      </c>
    </row>
    <row r="22" spans="1:41" ht="15.9" customHeight="1">
      <c r="A22" s="29" t="str">
        <v>GQ</v>
      </c>
      <c r="B22" s="8" t="str">
        <v>Gold Q</v>
      </c>
      <c r="C22" s="105">
        <f t="shared" si="0"/>
        <v>0</v>
      </c>
      <c r="D22" s="105">
        <f t="shared" si="0"/>
        <v>3</v>
      </c>
      <c r="E22" s="105">
        <f t="shared" si="0"/>
        <v>6</v>
      </c>
      <c r="F22" s="105">
        <f t="shared" si="0"/>
        <v>1</v>
      </c>
      <c r="G22" s="105">
        <f t="shared" si="0"/>
        <v>0</v>
      </c>
      <c r="H22" s="8">
        <v>18</v>
      </c>
      <c r="I22" s="87"/>
      <c r="J22" s="25">
        <v>18</v>
      </c>
      <c r="K22" s="16" t="s">
        <v>34</v>
      </c>
      <c r="L22" s="16" t="s">
        <v>91</v>
      </c>
      <c r="M22" s="16" t="s">
        <v>119</v>
      </c>
      <c r="N22" s="16" t="s">
        <v>37</v>
      </c>
      <c r="O22" s="16" t="s">
        <v>19</v>
      </c>
      <c r="Q22" s="9">
        <v>9</v>
      </c>
      <c r="R22" s="9">
        <v>14</v>
      </c>
      <c r="S22" s="9">
        <v>17</v>
      </c>
      <c r="T22" s="9">
        <v>7</v>
      </c>
      <c r="U22" s="9">
        <v>5</v>
      </c>
      <c r="W22" s="25">
        <v>1</v>
      </c>
      <c r="X22" s="25">
        <v>1</v>
      </c>
      <c r="Y22" s="25">
        <v>1</v>
      </c>
      <c r="Z22" s="25">
        <v>1</v>
      </c>
      <c r="AA22" s="25">
        <v>1</v>
      </c>
      <c r="AC22" s="149" t="str">
        <v>GA</v>
      </c>
      <c r="AD22" s="105">
        <v>0</v>
      </c>
      <c r="AE22" s="105">
        <v>10</v>
      </c>
      <c r="AF22" s="105">
        <v>42</v>
      </c>
      <c r="AG22" s="105">
        <v>10</v>
      </c>
      <c r="AH22" s="105">
        <v>0</v>
      </c>
      <c r="AI22" s="5"/>
      <c r="AJ22" s="149" t="str">
        <v>GA</v>
      </c>
      <c r="AK22" s="105">
        <v>0</v>
      </c>
      <c r="AL22" s="105">
        <v>10</v>
      </c>
      <c r="AM22" s="105">
        <v>42</v>
      </c>
      <c r="AN22" s="105">
        <v>10</v>
      </c>
      <c r="AO22" s="105">
        <v>0</v>
      </c>
    </row>
    <row r="23" spans="1:41" ht="15.9" customHeight="1">
      <c r="A23" s="29" t="str">
        <v>GJ</v>
      </c>
      <c r="B23" s="8" t="str">
        <v>Gold J</v>
      </c>
      <c r="C23" s="105">
        <f t="shared" si="0"/>
        <v>0</v>
      </c>
      <c r="D23" s="105">
        <f t="shared" si="0"/>
        <v>2</v>
      </c>
      <c r="E23" s="105">
        <f t="shared" si="0"/>
        <v>9</v>
      </c>
      <c r="F23" s="105">
        <f t="shared" si="0"/>
        <v>2</v>
      </c>
      <c r="G23" s="105">
        <f t="shared" si="0"/>
        <v>0</v>
      </c>
      <c r="H23" s="8">
        <v>19</v>
      </c>
      <c r="I23" s="87"/>
      <c r="J23" s="9">
        <v>19</v>
      </c>
      <c r="K23" s="16" t="s">
        <v>22</v>
      </c>
      <c r="L23" s="16" t="s">
        <v>36</v>
      </c>
      <c r="M23" s="16" t="s">
        <v>91</v>
      </c>
      <c r="N23" s="16" t="s">
        <v>35</v>
      </c>
      <c r="O23" s="16" t="s">
        <v>34</v>
      </c>
      <c r="Q23" s="9">
        <v>3</v>
      </c>
      <c r="R23" s="9">
        <v>10</v>
      </c>
      <c r="S23" s="9">
        <v>14</v>
      </c>
      <c r="T23" s="9">
        <v>8</v>
      </c>
      <c r="U23" s="9">
        <v>9</v>
      </c>
      <c r="W23" s="25">
        <v>1</v>
      </c>
      <c r="X23" s="25">
        <v>1</v>
      </c>
      <c r="Y23" s="25">
        <v>1</v>
      </c>
      <c r="Z23" s="25">
        <v>1</v>
      </c>
      <c r="AA23" s="25">
        <v>1</v>
      </c>
      <c r="AC23" s="149" t="str">
        <v>GK</v>
      </c>
      <c r="AD23" s="105">
        <v>0</v>
      </c>
      <c r="AE23" s="105">
        <v>9</v>
      </c>
      <c r="AF23" s="105">
        <v>44</v>
      </c>
      <c r="AG23" s="105">
        <v>10</v>
      </c>
      <c r="AH23" s="105">
        <v>0</v>
      </c>
      <c r="AI23" s="5"/>
      <c r="AJ23" s="149" t="str">
        <v>GK</v>
      </c>
      <c r="AK23" s="105">
        <v>0</v>
      </c>
      <c r="AL23" s="105">
        <v>9</v>
      </c>
      <c r="AM23" s="105">
        <v>44</v>
      </c>
      <c r="AN23" s="105">
        <v>10</v>
      </c>
      <c r="AO23" s="105">
        <v>0</v>
      </c>
    </row>
    <row r="24" spans="1:41" ht="15.9" customHeight="1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7"/>
      <c r="J24" s="25">
        <v>20</v>
      </c>
      <c r="K24" s="16" t="s">
        <v>20</v>
      </c>
      <c r="L24" s="16" t="s">
        <v>22</v>
      </c>
      <c r="M24" s="16" t="s">
        <v>92</v>
      </c>
      <c r="N24" s="16" t="s">
        <v>136</v>
      </c>
      <c r="O24" s="16" t="s">
        <v>37</v>
      </c>
      <c r="Q24" s="9">
        <v>1</v>
      </c>
      <c r="R24" s="9">
        <v>3</v>
      </c>
      <c r="S24" s="9">
        <v>16</v>
      </c>
      <c r="T24" s="9">
        <v>6</v>
      </c>
      <c r="U24" s="9">
        <v>7</v>
      </c>
      <c r="W24" s="25">
        <v>1</v>
      </c>
      <c r="X24" s="25">
        <v>1</v>
      </c>
      <c r="Y24" s="25">
        <v>1</v>
      </c>
      <c r="Z24" s="25">
        <v>1</v>
      </c>
      <c r="AA24" s="25">
        <v>1</v>
      </c>
      <c r="AC24" s="149" t="str">
        <v>GQ</v>
      </c>
      <c r="AD24" s="105">
        <v>0</v>
      </c>
      <c r="AE24" s="105">
        <v>3</v>
      </c>
      <c r="AF24" s="105">
        <v>6</v>
      </c>
      <c r="AG24" s="105">
        <v>1</v>
      </c>
      <c r="AH24" s="105">
        <v>0</v>
      </c>
      <c r="AI24" s="5"/>
      <c r="AJ24" s="149" t="str">
        <v>GQ</v>
      </c>
      <c r="AK24" s="105">
        <v>0</v>
      </c>
      <c r="AL24" s="105">
        <v>3</v>
      </c>
      <c r="AM24" s="105">
        <v>6</v>
      </c>
      <c r="AN24" s="105">
        <v>1</v>
      </c>
      <c r="AO24" s="105">
        <v>0</v>
      </c>
    </row>
    <row r="25" spans="1:41" ht="16.5" customHeight="1">
      <c r="I25" s="87"/>
      <c r="J25" s="9">
        <v>21</v>
      </c>
      <c r="K25" s="16" t="s">
        <v>35</v>
      </c>
      <c r="L25" s="16" t="s">
        <v>37</v>
      </c>
      <c r="M25" s="16" t="s">
        <v>119</v>
      </c>
      <c r="N25" s="16" t="s">
        <v>37</v>
      </c>
      <c r="O25" s="16" t="s">
        <v>34</v>
      </c>
      <c r="Q25" s="9">
        <v>8</v>
      </c>
      <c r="R25" s="9">
        <v>7</v>
      </c>
      <c r="S25" s="9">
        <v>17</v>
      </c>
      <c r="T25" s="9">
        <v>7</v>
      </c>
      <c r="U25" s="9">
        <v>9</v>
      </c>
      <c r="W25" s="25">
        <v>1</v>
      </c>
      <c r="X25" s="25">
        <v>1</v>
      </c>
      <c r="Y25" s="25">
        <v>1</v>
      </c>
      <c r="Z25" s="25">
        <v>1</v>
      </c>
      <c r="AA25" s="25">
        <v>1</v>
      </c>
      <c r="AC25" s="149" t="str">
        <v>GJ</v>
      </c>
      <c r="AD25" s="105">
        <v>0</v>
      </c>
      <c r="AE25" s="105">
        <v>2</v>
      </c>
      <c r="AF25" s="105">
        <v>9</v>
      </c>
      <c r="AG25" s="105">
        <v>2</v>
      </c>
      <c r="AH25" s="105">
        <v>0</v>
      </c>
      <c r="AI25" s="5"/>
      <c r="AJ25" s="149" t="str">
        <v>GJ</v>
      </c>
      <c r="AK25" s="105">
        <v>0</v>
      </c>
      <c r="AL25" s="105">
        <v>2</v>
      </c>
      <c r="AM25" s="105">
        <v>9</v>
      </c>
      <c r="AN25" s="105">
        <v>2</v>
      </c>
      <c r="AO25" s="105">
        <v>0</v>
      </c>
    </row>
    <row r="26" spans="1:41" ht="16.5" customHeight="1">
      <c r="A26" s="20" t="s">
        <v>5</v>
      </c>
      <c r="B26" s="20" t="s">
        <v>12</v>
      </c>
      <c r="C26" s="20" t="s">
        <v>6</v>
      </c>
      <c r="D26" s="20" t="s">
        <v>7</v>
      </c>
      <c r="E26" s="20" t="s">
        <v>8</v>
      </c>
      <c r="F26" s="20" t="s">
        <v>9</v>
      </c>
      <c r="G26" s="20" t="s">
        <v>10</v>
      </c>
      <c r="H26" s="20" t="s">
        <v>11</v>
      </c>
      <c r="I26" s="87"/>
      <c r="J26" s="25">
        <v>22</v>
      </c>
      <c r="K26" s="16" t="s">
        <v>136</v>
      </c>
      <c r="L26" s="16" t="s">
        <v>136</v>
      </c>
      <c r="M26" s="16" t="s">
        <v>97</v>
      </c>
      <c r="N26" s="16" t="s">
        <v>22</v>
      </c>
      <c r="O26" s="16" t="s">
        <v>35</v>
      </c>
      <c r="Q26" s="9">
        <v>6</v>
      </c>
      <c r="R26" s="9">
        <v>6</v>
      </c>
      <c r="S26" s="9">
        <v>19</v>
      </c>
      <c r="T26" s="9">
        <v>3</v>
      </c>
      <c r="U26" s="9">
        <v>8</v>
      </c>
      <c r="W26" s="25">
        <v>1</v>
      </c>
      <c r="X26" s="25">
        <v>1</v>
      </c>
      <c r="Y26" s="25">
        <v>1</v>
      </c>
      <c r="Z26" s="25">
        <v>1</v>
      </c>
      <c r="AA26" s="25">
        <v>1</v>
      </c>
      <c r="AD26" s="119">
        <f>SUM(AD6:AD25)</f>
        <v>199</v>
      </c>
      <c r="AE26" s="119">
        <f>SUM(AE6:AE25)</f>
        <v>199</v>
      </c>
      <c r="AF26" s="119">
        <f>SUM(AF6:AF25)</f>
        <v>199</v>
      </c>
      <c r="AG26" s="119">
        <f>SUM(AG6:AG25)</f>
        <v>198</v>
      </c>
      <c r="AH26" s="119">
        <f>SUM(AH6:AH25)</f>
        <v>198</v>
      </c>
      <c r="AI26" s="5"/>
      <c r="AK26" s="119">
        <f>SUM(AK6:AK25)</f>
        <v>199</v>
      </c>
      <c r="AL26" s="119">
        <f>SUM(AL6:AL25)</f>
        <v>199</v>
      </c>
      <c r="AM26" s="119">
        <f>SUM(AM6:AM25)</f>
        <v>199</v>
      </c>
      <c r="AN26" s="119">
        <f>SUM(AN6:AN25)</f>
        <v>198</v>
      </c>
      <c r="AO26" s="119">
        <f>SUM(AO6:AO25)</f>
        <v>198</v>
      </c>
    </row>
    <row r="27" spans="1:41" ht="16.5" customHeight="1">
      <c r="A27" s="29" t="str" cm="1">
        <f t="array" ref="A27:B46">_xlfn.ANCHORARRAY(A4)</f>
        <v>WW</v>
      </c>
      <c r="B27" s="8" t="str">
        <v>Wild</v>
      </c>
      <c r="C27" s="143" cm="1">
        <f t="array" ref="C27:G46">C4:G23/C24:G24</f>
        <v>0</v>
      </c>
      <c r="D27" s="143">
        <v>0</v>
      </c>
      <c r="E27" s="143">
        <v>0</v>
      </c>
      <c r="F27" s="143">
        <v>0</v>
      </c>
      <c r="G27" s="143">
        <v>0</v>
      </c>
      <c r="H27" s="8" cm="1">
        <f t="array" ref="H27:H46">_xlfn.ANCHORARRAY(H4)</f>
        <v>0</v>
      </c>
      <c r="I27" s="87"/>
      <c r="J27" s="9">
        <v>23</v>
      </c>
      <c r="K27" s="16" t="s">
        <v>37</v>
      </c>
      <c r="L27" s="16" t="s">
        <v>34</v>
      </c>
      <c r="M27" s="16" t="s">
        <v>119</v>
      </c>
      <c r="N27" s="16" t="s">
        <v>91</v>
      </c>
      <c r="O27" s="16" t="s">
        <v>22</v>
      </c>
      <c r="Q27" s="9">
        <v>7</v>
      </c>
      <c r="R27" s="9">
        <v>9</v>
      </c>
      <c r="S27" s="9">
        <v>17</v>
      </c>
      <c r="T27" s="9">
        <v>14</v>
      </c>
      <c r="U27" s="9">
        <v>3</v>
      </c>
      <c r="W27" s="25">
        <v>1</v>
      </c>
      <c r="X27" s="25">
        <v>1</v>
      </c>
      <c r="Y27" s="25">
        <v>1</v>
      </c>
      <c r="Z27" s="25">
        <v>1</v>
      </c>
      <c r="AA27" s="25">
        <v>1</v>
      </c>
      <c r="AH27" s="5"/>
      <c r="AI27" s="5"/>
      <c r="AO27" s="5"/>
    </row>
    <row r="28" spans="1:41" ht="16.5" customHeight="1">
      <c r="A28" s="29" t="str">
        <v>C1</v>
      </c>
      <c r="B28" s="8" t="str">
        <v>Scatter</v>
      </c>
      <c r="C28" s="143">
        <v>0.01</v>
      </c>
      <c r="D28" s="143">
        <v>0.01</v>
      </c>
      <c r="E28" s="143">
        <v>0.01</v>
      </c>
      <c r="F28" s="143">
        <v>1.4999999999999999E-2</v>
      </c>
      <c r="G28" s="143">
        <v>1.4999999999999999E-2</v>
      </c>
      <c r="H28" s="8">
        <v>1</v>
      </c>
      <c r="I28" s="87"/>
      <c r="J28" s="25">
        <v>24</v>
      </c>
      <c r="K28" s="16" t="s">
        <v>136</v>
      </c>
      <c r="L28" s="16" t="s">
        <v>37</v>
      </c>
      <c r="M28" s="16" t="s">
        <v>92</v>
      </c>
      <c r="N28" s="16" t="s">
        <v>35</v>
      </c>
      <c r="O28" s="16" t="s">
        <v>37</v>
      </c>
      <c r="Q28" s="9">
        <v>6</v>
      </c>
      <c r="R28" s="9">
        <v>7</v>
      </c>
      <c r="S28" s="9">
        <v>16</v>
      </c>
      <c r="T28" s="9">
        <v>8</v>
      </c>
      <c r="U28" s="9">
        <v>7</v>
      </c>
      <c r="W28" s="25">
        <v>1</v>
      </c>
      <c r="X28" s="25">
        <v>1</v>
      </c>
      <c r="Y28" s="25">
        <v>1</v>
      </c>
      <c r="Z28" s="25">
        <v>1</v>
      </c>
      <c r="AA28" s="25">
        <v>1</v>
      </c>
      <c r="AC28" s="27" t="s">
        <v>143</v>
      </c>
      <c r="AH28" s="5"/>
      <c r="AI28" s="5"/>
      <c r="AJ28" s="27" t="s">
        <v>143</v>
      </c>
      <c r="AO28" s="5"/>
    </row>
    <row r="29" spans="1:41" ht="16.5" customHeight="1">
      <c r="A29" s="29" t="str">
        <v>M1</v>
      </c>
      <c r="B29" s="8" t="str">
        <v>M1</v>
      </c>
      <c r="C29" s="143">
        <v>1.4999999999999999E-2</v>
      </c>
      <c r="D29" s="143">
        <v>0.05</v>
      </c>
      <c r="E29" s="143">
        <v>0</v>
      </c>
      <c r="F29" s="143">
        <v>1.4999999999999999E-2</v>
      </c>
      <c r="G29" s="143">
        <v>4.4999999999999998E-2</v>
      </c>
      <c r="H29" s="8">
        <v>2</v>
      </c>
      <c r="I29" s="87"/>
      <c r="J29" s="9">
        <v>25</v>
      </c>
      <c r="K29" s="16" t="s">
        <v>34</v>
      </c>
      <c r="L29" s="16" t="s">
        <v>19</v>
      </c>
      <c r="M29" s="16" t="s">
        <v>91</v>
      </c>
      <c r="N29" s="16" t="s">
        <v>37</v>
      </c>
      <c r="O29" s="16" t="s">
        <v>18</v>
      </c>
      <c r="Q29" s="9">
        <v>9</v>
      </c>
      <c r="R29" s="9">
        <v>5</v>
      </c>
      <c r="S29" s="9">
        <v>14</v>
      </c>
      <c r="T29" s="9">
        <v>7</v>
      </c>
      <c r="U29" s="9">
        <v>4</v>
      </c>
      <c r="W29" s="25">
        <v>1</v>
      </c>
      <c r="X29" s="25">
        <v>1</v>
      </c>
      <c r="Y29" s="25">
        <v>1</v>
      </c>
      <c r="Z29" s="25">
        <v>1</v>
      </c>
      <c r="AA29" s="25">
        <v>1</v>
      </c>
      <c r="AC29" s="146" t="s">
        <v>42</v>
      </c>
      <c r="AD29" s="146" t="s">
        <v>13</v>
      </c>
      <c r="AE29" s="146" t="s">
        <v>14</v>
      </c>
      <c r="AF29" s="146" t="s">
        <v>15</v>
      </c>
      <c r="AG29" s="146" t="s">
        <v>16</v>
      </c>
      <c r="AH29" s="146" t="s">
        <v>17</v>
      </c>
      <c r="AI29" s="5"/>
      <c r="AJ29" s="146" t="s">
        <v>42</v>
      </c>
      <c r="AK29" s="146" t="s">
        <v>13</v>
      </c>
      <c r="AL29" s="146" t="s">
        <v>14</v>
      </c>
      <c r="AM29" s="146" t="s">
        <v>15</v>
      </c>
      <c r="AN29" s="146" t="s">
        <v>16</v>
      </c>
      <c r="AO29" s="146" t="s">
        <v>17</v>
      </c>
    </row>
    <row r="30" spans="1:41" ht="16.5" customHeight="1">
      <c r="A30" s="29" t="str">
        <v>M2</v>
      </c>
      <c r="B30" s="8" t="str">
        <v>M2</v>
      </c>
      <c r="C30" s="143">
        <v>1.4999999999999999E-2</v>
      </c>
      <c r="D30" s="143">
        <v>0.06</v>
      </c>
      <c r="E30" s="143">
        <v>0</v>
      </c>
      <c r="F30" s="143">
        <v>1.4999999999999999E-2</v>
      </c>
      <c r="G30" s="143">
        <v>0.04</v>
      </c>
      <c r="H30" s="8">
        <v>3</v>
      </c>
      <c r="I30" s="87"/>
      <c r="J30" s="25">
        <v>26</v>
      </c>
      <c r="K30" s="16" t="s">
        <v>37</v>
      </c>
      <c r="L30" s="16" t="s">
        <v>37</v>
      </c>
      <c r="M30" s="16" t="s">
        <v>97</v>
      </c>
      <c r="N30" s="16" t="s">
        <v>91</v>
      </c>
      <c r="O30" s="16" t="s">
        <v>21</v>
      </c>
      <c r="Q30" s="9">
        <v>7</v>
      </c>
      <c r="R30" s="9">
        <v>7</v>
      </c>
      <c r="S30" s="9">
        <v>19</v>
      </c>
      <c r="T30" s="9">
        <v>14</v>
      </c>
      <c r="U30" s="9">
        <v>2</v>
      </c>
      <c r="W30" s="25">
        <v>1</v>
      </c>
      <c r="X30" s="25">
        <v>1</v>
      </c>
      <c r="Y30" s="25">
        <v>1</v>
      </c>
      <c r="Z30" s="25">
        <v>1</v>
      </c>
      <c r="AA30" s="25">
        <v>1</v>
      </c>
      <c r="AC30" s="149" t="str" cm="1">
        <f t="array" ref="AC30:AC49">$A$4:$A$23</f>
        <v>WW</v>
      </c>
      <c r="AD30" s="150">
        <v>0</v>
      </c>
      <c r="AE30" s="150">
        <v>0</v>
      </c>
      <c r="AF30" s="150">
        <v>0</v>
      </c>
      <c r="AG30" s="150">
        <v>0</v>
      </c>
      <c r="AH30" s="150">
        <v>0</v>
      </c>
      <c r="AI30" s="5"/>
      <c r="AJ30" s="149" t="str" cm="1">
        <f t="array" ref="AJ30:AJ49">$A$4:$A$23</f>
        <v>WW</v>
      </c>
      <c r="AK30" s="150">
        <v>0</v>
      </c>
      <c r="AL30" s="150">
        <v>0</v>
      </c>
      <c r="AM30" s="150">
        <v>0</v>
      </c>
      <c r="AN30" s="150">
        <v>0</v>
      </c>
      <c r="AO30" s="150">
        <v>0</v>
      </c>
    </row>
    <row r="31" spans="1:41" ht="16.5" customHeight="1">
      <c r="A31" s="29" t="str">
        <v>M3</v>
      </c>
      <c r="B31" s="8" t="str">
        <v>M3</v>
      </c>
      <c r="C31" s="143">
        <v>3.5000000000000003E-2</v>
      </c>
      <c r="D31" s="143">
        <v>6.5000000000000002E-2</v>
      </c>
      <c r="E31" s="143">
        <v>0</v>
      </c>
      <c r="F31" s="143">
        <v>3.5000000000000003E-2</v>
      </c>
      <c r="G31" s="143">
        <v>7.0000000000000007E-2</v>
      </c>
      <c r="H31" s="8">
        <v>4</v>
      </c>
      <c r="I31" s="87"/>
      <c r="J31" s="9">
        <v>27</v>
      </c>
      <c r="K31" s="16" t="s">
        <v>136</v>
      </c>
      <c r="L31" s="16" t="s">
        <v>22</v>
      </c>
      <c r="M31" s="16" t="s">
        <v>119</v>
      </c>
      <c r="N31" s="16" t="s">
        <v>92</v>
      </c>
      <c r="O31" s="16" t="s">
        <v>36</v>
      </c>
      <c r="Q31" s="9">
        <v>6</v>
      </c>
      <c r="R31" s="9">
        <v>3</v>
      </c>
      <c r="S31" s="9">
        <v>17</v>
      </c>
      <c r="T31" s="9">
        <v>16</v>
      </c>
      <c r="U31" s="9">
        <v>10</v>
      </c>
      <c r="W31" s="25">
        <v>1</v>
      </c>
      <c r="X31" s="25">
        <v>1</v>
      </c>
      <c r="Y31" s="25">
        <v>1</v>
      </c>
      <c r="Z31" s="25">
        <v>1</v>
      </c>
      <c r="AA31" s="25">
        <v>1</v>
      </c>
      <c r="AC31" s="149" t="str">
        <v>C1</v>
      </c>
      <c r="AD31" s="149">
        <v>1</v>
      </c>
      <c r="AE31" s="149">
        <v>1</v>
      </c>
      <c r="AF31" s="149">
        <v>1</v>
      </c>
      <c r="AG31" s="149">
        <v>1</v>
      </c>
      <c r="AH31" s="149">
        <v>1</v>
      </c>
      <c r="AI31" s="5"/>
      <c r="AJ31" s="149" t="str">
        <v>C1</v>
      </c>
      <c r="AK31" s="149">
        <v>1</v>
      </c>
      <c r="AL31" s="149">
        <v>1</v>
      </c>
      <c r="AM31" s="149">
        <v>1</v>
      </c>
      <c r="AN31" s="149">
        <v>1</v>
      </c>
      <c r="AO31" s="149">
        <v>1</v>
      </c>
    </row>
    <row r="32" spans="1:41" ht="16.5" customHeight="1">
      <c r="A32" s="29" t="str">
        <v>M4</v>
      </c>
      <c r="B32" s="8" t="str">
        <v>M4</v>
      </c>
      <c r="C32" s="143">
        <v>0.215</v>
      </c>
      <c r="D32" s="143">
        <v>0.11</v>
      </c>
      <c r="E32" s="143">
        <v>0</v>
      </c>
      <c r="F32" s="143">
        <v>0.155</v>
      </c>
      <c r="G32" s="143">
        <v>0.18</v>
      </c>
      <c r="H32" s="8">
        <v>5</v>
      </c>
      <c r="J32" s="25">
        <v>28</v>
      </c>
      <c r="K32" s="16" t="s">
        <v>35</v>
      </c>
      <c r="L32" s="16" t="s">
        <v>37</v>
      </c>
      <c r="M32" s="16" t="s">
        <v>92</v>
      </c>
      <c r="N32" s="16" t="s">
        <v>136</v>
      </c>
      <c r="O32" s="16" t="s">
        <v>37</v>
      </c>
      <c r="Q32" s="9">
        <v>8</v>
      </c>
      <c r="R32" s="9">
        <v>7</v>
      </c>
      <c r="S32" s="9">
        <v>16</v>
      </c>
      <c r="T32" s="9">
        <v>6</v>
      </c>
      <c r="U32" s="9">
        <v>7</v>
      </c>
      <c r="W32" s="25">
        <v>1</v>
      </c>
      <c r="X32" s="25">
        <v>1</v>
      </c>
      <c r="Y32" s="25">
        <v>1</v>
      </c>
      <c r="Z32" s="25">
        <v>1</v>
      </c>
      <c r="AA32" s="25">
        <v>1</v>
      </c>
      <c r="AC32" s="166" t="str">
        <v>M1</v>
      </c>
      <c r="AD32" s="144">
        <v>3</v>
      </c>
      <c r="AE32" s="144">
        <v>10</v>
      </c>
      <c r="AF32" s="144">
        <v>0</v>
      </c>
      <c r="AG32" s="144">
        <v>3</v>
      </c>
      <c r="AH32" s="144">
        <v>9</v>
      </c>
      <c r="AI32" s="5"/>
      <c r="AJ32" s="166" t="str">
        <v>M1</v>
      </c>
      <c r="AK32" s="144">
        <v>3</v>
      </c>
      <c r="AL32" s="144">
        <v>10</v>
      </c>
      <c r="AM32" s="144">
        <v>0</v>
      </c>
      <c r="AN32" s="144">
        <v>3</v>
      </c>
      <c r="AO32" s="144">
        <v>9</v>
      </c>
    </row>
    <row r="33" spans="1:41" ht="16.5" customHeight="1">
      <c r="A33" s="29" t="str">
        <v>M5</v>
      </c>
      <c r="B33" s="8" t="str">
        <v>M5</v>
      </c>
      <c r="C33" s="143">
        <v>0.21</v>
      </c>
      <c r="D33" s="143">
        <v>0.11</v>
      </c>
      <c r="E33" s="143">
        <v>0</v>
      </c>
      <c r="F33" s="143">
        <v>0.13500000000000001</v>
      </c>
      <c r="G33" s="143">
        <v>0.17</v>
      </c>
      <c r="H33" s="8">
        <v>6</v>
      </c>
      <c r="J33" s="9">
        <v>29</v>
      </c>
      <c r="K33" s="16" t="s">
        <v>19</v>
      </c>
      <c r="L33" s="16" t="s">
        <v>35</v>
      </c>
      <c r="M33" s="16" t="s">
        <v>119</v>
      </c>
      <c r="N33" s="16" t="s">
        <v>137</v>
      </c>
      <c r="O33" s="16" t="s">
        <v>21</v>
      </c>
      <c r="Q33" s="9">
        <v>5</v>
      </c>
      <c r="R33" s="9">
        <v>8</v>
      </c>
      <c r="S33" s="9">
        <v>17</v>
      </c>
      <c r="T33" s="9">
        <v>15</v>
      </c>
      <c r="U33" s="9">
        <v>2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C33" s="166" t="str">
        <v>M2</v>
      </c>
      <c r="AD33" s="144">
        <v>3</v>
      </c>
      <c r="AE33" s="144">
        <v>12</v>
      </c>
      <c r="AF33" s="144">
        <v>0</v>
      </c>
      <c r="AG33" s="144">
        <v>3</v>
      </c>
      <c r="AH33" s="144">
        <v>8</v>
      </c>
      <c r="AI33" s="5"/>
      <c r="AJ33" s="166" t="str">
        <v>M2</v>
      </c>
      <c r="AK33" s="144">
        <v>3</v>
      </c>
      <c r="AL33" s="144">
        <v>12</v>
      </c>
      <c r="AM33" s="144">
        <v>0</v>
      </c>
      <c r="AN33" s="144">
        <v>3</v>
      </c>
      <c r="AO33" s="144">
        <v>8</v>
      </c>
    </row>
    <row r="34" spans="1:41" ht="16.5" customHeight="1">
      <c r="A34" s="29" t="str">
        <v>A</v>
      </c>
      <c r="B34" s="8" t="str">
        <v>A</v>
      </c>
      <c r="C34" s="143">
        <v>0.215</v>
      </c>
      <c r="D34" s="143">
        <v>0.13500000000000001</v>
      </c>
      <c r="E34" s="143">
        <v>0</v>
      </c>
      <c r="F34" s="143">
        <v>0.155</v>
      </c>
      <c r="G34" s="143">
        <v>0.17499999999999999</v>
      </c>
      <c r="H34" s="8">
        <v>7</v>
      </c>
      <c r="J34" s="25">
        <v>30</v>
      </c>
      <c r="K34" s="16" t="s">
        <v>36</v>
      </c>
      <c r="L34" s="16" t="s">
        <v>92</v>
      </c>
      <c r="M34" s="16" t="s">
        <v>92</v>
      </c>
      <c r="N34" s="16" t="s">
        <v>35</v>
      </c>
      <c r="O34" s="16" t="s">
        <v>19</v>
      </c>
      <c r="Q34" s="9">
        <v>10</v>
      </c>
      <c r="R34" s="9">
        <v>16</v>
      </c>
      <c r="S34" s="9">
        <v>16</v>
      </c>
      <c r="T34" s="9">
        <v>8</v>
      </c>
      <c r="U34" s="9">
        <v>5</v>
      </c>
      <c r="W34" s="25">
        <v>1</v>
      </c>
      <c r="X34" s="25">
        <v>1</v>
      </c>
      <c r="Y34" s="25">
        <v>1</v>
      </c>
      <c r="Z34" s="25">
        <v>1</v>
      </c>
      <c r="AA34" s="25">
        <v>1</v>
      </c>
      <c r="AC34" s="166" t="str">
        <v>M3</v>
      </c>
      <c r="AD34" s="144">
        <v>7</v>
      </c>
      <c r="AE34" s="144">
        <v>13</v>
      </c>
      <c r="AF34" s="144">
        <v>0</v>
      </c>
      <c r="AG34" s="144">
        <v>7</v>
      </c>
      <c r="AH34" s="144">
        <v>14</v>
      </c>
      <c r="AI34" s="5"/>
      <c r="AJ34" s="166" t="str">
        <v>M3</v>
      </c>
      <c r="AK34" s="144">
        <v>7</v>
      </c>
      <c r="AL34" s="144">
        <v>13</v>
      </c>
      <c r="AM34" s="144">
        <v>0</v>
      </c>
      <c r="AN34" s="144">
        <v>7</v>
      </c>
      <c r="AO34" s="144">
        <v>14</v>
      </c>
    </row>
    <row r="35" spans="1:41" ht="16.5" customHeight="1">
      <c r="A35" s="29" t="str">
        <v>K</v>
      </c>
      <c r="B35" s="8" t="str">
        <v>K</v>
      </c>
      <c r="C35" s="143">
        <v>0.215</v>
      </c>
      <c r="D35" s="143">
        <v>0.12</v>
      </c>
      <c r="E35" s="143">
        <v>0</v>
      </c>
      <c r="F35" s="143">
        <v>0.16</v>
      </c>
      <c r="G35" s="143">
        <v>0.17</v>
      </c>
      <c r="H35" s="8">
        <v>8</v>
      </c>
      <c r="J35" s="9">
        <v>31</v>
      </c>
      <c r="K35" s="16" t="s">
        <v>19</v>
      </c>
      <c r="L35" s="16" t="s">
        <v>136</v>
      </c>
      <c r="M35" s="16" t="s">
        <v>119</v>
      </c>
      <c r="N35" s="16" t="s">
        <v>136</v>
      </c>
      <c r="O35" s="16" t="s">
        <v>35</v>
      </c>
      <c r="Q35" s="9">
        <v>5</v>
      </c>
      <c r="R35" s="9">
        <v>6</v>
      </c>
      <c r="S35" s="9">
        <v>17</v>
      </c>
      <c r="T35" s="9">
        <v>6</v>
      </c>
      <c r="U35" s="9">
        <v>8</v>
      </c>
      <c r="W35" s="25">
        <v>1</v>
      </c>
      <c r="X35" s="25">
        <v>1</v>
      </c>
      <c r="Y35" s="25">
        <v>1</v>
      </c>
      <c r="Z35" s="25">
        <v>1</v>
      </c>
      <c r="AA35" s="25">
        <v>1</v>
      </c>
      <c r="AC35" s="166" t="str">
        <v>M4</v>
      </c>
      <c r="AD35" s="144">
        <v>43</v>
      </c>
      <c r="AE35" s="144">
        <v>22</v>
      </c>
      <c r="AF35" s="144">
        <v>0</v>
      </c>
      <c r="AG35" s="144">
        <v>31</v>
      </c>
      <c r="AH35" s="144">
        <v>36</v>
      </c>
      <c r="AI35" s="5"/>
      <c r="AJ35" s="166" t="str">
        <v>M4</v>
      </c>
      <c r="AK35" s="144">
        <v>43</v>
      </c>
      <c r="AL35" s="144">
        <v>22</v>
      </c>
      <c r="AM35" s="144">
        <v>0</v>
      </c>
      <c r="AN35" s="144">
        <v>31</v>
      </c>
      <c r="AO35" s="144">
        <v>36</v>
      </c>
    </row>
    <row r="36" spans="1:41" ht="16.5" customHeight="1">
      <c r="A36" s="29" t="str">
        <v>Q</v>
      </c>
      <c r="B36" s="8" t="str">
        <v>Q</v>
      </c>
      <c r="C36" s="143">
        <v>3.5000000000000003E-2</v>
      </c>
      <c r="D36" s="143">
        <v>0.06</v>
      </c>
      <c r="E36" s="143">
        <v>0</v>
      </c>
      <c r="F36" s="143">
        <v>0.03</v>
      </c>
      <c r="G36" s="143">
        <v>6.5000000000000002E-2</v>
      </c>
      <c r="H36" s="8">
        <v>9</v>
      </c>
      <c r="J36" s="25">
        <v>32</v>
      </c>
      <c r="K36" s="16" t="s">
        <v>136</v>
      </c>
      <c r="L36" s="16" t="s">
        <v>18</v>
      </c>
      <c r="M36" s="16" t="s">
        <v>90</v>
      </c>
      <c r="N36" s="16" t="s">
        <v>137</v>
      </c>
      <c r="O36" s="16" t="s">
        <v>18</v>
      </c>
      <c r="Q36" s="9">
        <v>6</v>
      </c>
      <c r="R36" s="9">
        <v>4</v>
      </c>
      <c r="S36" s="9">
        <v>13</v>
      </c>
      <c r="T36" s="9">
        <v>15</v>
      </c>
      <c r="U36" s="9">
        <v>4</v>
      </c>
      <c r="W36" s="25">
        <v>1</v>
      </c>
      <c r="X36" s="25">
        <v>1</v>
      </c>
      <c r="Y36" s="25">
        <v>1</v>
      </c>
      <c r="Z36" s="25">
        <v>1</v>
      </c>
      <c r="AA36" s="25">
        <v>1</v>
      </c>
      <c r="AC36" s="166" t="str">
        <v>M5</v>
      </c>
      <c r="AD36" s="144">
        <v>42</v>
      </c>
      <c r="AE36" s="144">
        <v>22</v>
      </c>
      <c r="AF36" s="144">
        <v>0</v>
      </c>
      <c r="AG36" s="144">
        <v>27</v>
      </c>
      <c r="AH36" s="144">
        <v>34</v>
      </c>
      <c r="AI36" s="5"/>
      <c r="AJ36" s="166" t="str">
        <v>M5</v>
      </c>
      <c r="AK36" s="144">
        <v>42</v>
      </c>
      <c r="AL36" s="144">
        <v>22</v>
      </c>
      <c r="AM36" s="144">
        <v>0</v>
      </c>
      <c r="AN36" s="144">
        <v>27</v>
      </c>
      <c r="AO36" s="144">
        <v>34</v>
      </c>
    </row>
    <row r="37" spans="1:41" ht="16.5" customHeight="1">
      <c r="A37" s="29" t="str">
        <v>J</v>
      </c>
      <c r="B37" s="8" t="str">
        <v>J</v>
      </c>
      <c r="C37" s="143">
        <v>3.5000000000000003E-2</v>
      </c>
      <c r="D37" s="143">
        <v>0.04</v>
      </c>
      <c r="E37" s="143">
        <v>0</v>
      </c>
      <c r="F37" s="143">
        <v>3.5000000000000003E-2</v>
      </c>
      <c r="G37" s="143">
        <v>7.0000000000000007E-2</v>
      </c>
      <c r="H37" s="8">
        <v>10</v>
      </c>
      <c r="J37" s="9">
        <v>33</v>
      </c>
      <c r="K37" s="16" t="s">
        <v>35</v>
      </c>
      <c r="L37" s="16" t="s">
        <v>95</v>
      </c>
      <c r="M37" s="16" t="s">
        <v>92</v>
      </c>
      <c r="N37" s="16" t="s">
        <v>37</v>
      </c>
      <c r="O37" s="16" t="s">
        <v>21</v>
      </c>
      <c r="Q37" s="9">
        <v>8</v>
      </c>
      <c r="R37" s="9">
        <v>18</v>
      </c>
      <c r="S37" s="9">
        <v>16</v>
      </c>
      <c r="T37" s="9">
        <v>7</v>
      </c>
      <c r="U37" s="9">
        <v>2</v>
      </c>
      <c r="W37" s="25">
        <v>1</v>
      </c>
      <c r="X37" s="25">
        <v>1</v>
      </c>
      <c r="Y37" s="25">
        <v>1</v>
      </c>
      <c r="Z37" s="25">
        <v>1</v>
      </c>
      <c r="AA37" s="25">
        <v>1</v>
      </c>
      <c r="AC37" s="166" t="str">
        <v>A</v>
      </c>
      <c r="AD37" s="144">
        <v>43</v>
      </c>
      <c r="AE37" s="144">
        <v>27</v>
      </c>
      <c r="AF37" s="144">
        <v>0</v>
      </c>
      <c r="AG37" s="144">
        <v>31</v>
      </c>
      <c r="AH37" s="144">
        <v>35</v>
      </c>
      <c r="AI37" s="5"/>
      <c r="AJ37" s="166" t="str">
        <v>A</v>
      </c>
      <c r="AK37" s="144">
        <v>43</v>
      </c>
      <c r="AL37" s="144">
        <v>27</v>
      </c>
      <c r="AM37" s="144">
        <v>0</v>
      </c>
      <c r="AN37" s="144">
        <v>31</v>
      </c>
      <c r="AO37" s="144">
        <v>35</v>
      </c>
    </row>
    <row r="38" spans="1:41" ht="16.5" customHeight="1">
      <c r="A38" s="29" t="str">
        <v>G1</v>
      </c>
      <c r="B38" s="8" t="str">
        <v>Gold M1</v>
      </c>
      <c r="C38" s="143">
        <v>0</v>
      </c>
      <c r="D38" s="143">
        <v>0.01</v>
      </c>
      <c r="E38" s="143">
        <v>1.4999999999999999E-2</v>
      </c>
      <c r="F38" s="143">
        <v>5.0000000000000001E-3</v>
      </c>
      <c r="G38" s="143">
        <v>0</v>
      </c>
      <c r="H38" s="8">
        <v>11</v>
      </c>
      <c r="J38" s="25">
        <v>34</v>
      </c>
      <c r="K38" s="16" t="s">
        <v>37</v>
      </c>
      <c r="L38" s="16" t="s">
        <v>19</v>
      </c>
      <c r="M38" s="16" t="s">
        <v>95</v>
      </c>
      <c r="N38" s="16" t="s">
        <v>119</v>
      </c>
      <c r="O38" s="16" t="s">
        <v>136</v>
      </c>
      <c r="Q38" s="9">
        <v>7</v>
      </c>
      <c r="R38" s="9">
        <v>5</v>
      </c>
      <c r="S38" s="9">
        <v>18</v>
      </c>
      <c r="T38" s="9">
        <v>17</v>
      </c>
      <c r="U38" s="9">
        <v>6</v>
      </c>
      <c r="W38" s="25">
        <v>1</v>
      </c>
      <c r="X38" s="25">
        <v>1</v>
      </c>
      <c r="Y38" s="25">
        <v>1</v>
      </c>
      <c r="Z38" s="25">
        <v>1</v>
      </c>
      <c r="AA38" s="25">
        <v>1</v>
      </c>
      <c r="AC38" s="166" t="str">
        <v>K</v>
      </c>
      <c r="AD38" s="144">
        <v>43</v>
      </c>
      <c r="AE38" s="144">
        <v>24</v>
      </c>
      <c r="AF38" s="144">
        <v>0</v>
      </c>
      <c r="AG38" s="144">
        <v>32</v>
      </c>
      <c r="AH38" s="144">
        <v>34</v>
      </c>
      <c r="AI38" s="5"/>
      <c r="AJ38" s="166" t="str">
        <v>K</v>
      </c>
      <c r="AK38" s="144">
        <v>43</v>
      </c>
      <c r="AL38" s="144">
        <v>24</v>
      </c>
      <c r="AM38" s="144">
        <v>0</v>
      </c>
      <c r="AN38" s="144">
        <v>32</v>
      </c>
      <c r="AO38" s="144">
        <v>34</v>
      </c>
    </row>
    <row r="39" spans="1:41" ht="16.5" customHeight="1">
      <c r="A39" s="29" t="str">
        <v>G2</v>
      </c>
      <c r="B39" s="8" t="str">
        <v>Gold M2</v>
      </c>
      <c r="C39" s="143">
        <v>0</v>
      </c>
      <c r="D39" s="143">
        <v>1.4999999999999999E-2</v>
      </c>
      <c r="E39" s="143">
        <v>5.0000000000000001E-3</v>
      </c>
      <c r="F39" s="143">
        <v>5.0000000000000001E-3</v>
      </c>
      <c r="G39" s="143">
        <v>0</v>
      </c>
      <c r="H39" s="8">
        <v>12</v>
      </c>
      <c r="J39" s="9">
        <v>35</v>
      </c>
      <c r="K39" s="16" t="s">
        <v>136</v>
      </c>
      <c r="L39" s="16" t="s">
        <v>18</v>
      </c>
      <c r="M39" s="16" t="s">
        <v>137</v>
      </c>
      <c r="N39" s="16" t="s">
        <v>18</v>
      </c>
      <c r="O39" s="16" t="s">
        <v>19</v>
      </c>
      <c r="Q39" s="9">
        <v>6</v>
      </c>
      <c r="R39" s="9">
        <v>4</v>
      </c>
      <c r="S39" s="9">
        <v>15</v>
      </c>
      <c r="T39" s="9">
        <v>4</v>
      </c>
      <c r="U39" s="9">
        <v>5</v>
      </c>
      <c r="W39" s="25">
        <v>1</v>
      </c>
      <c r="X39" s="25">
        <v>1</v>
      </c>
      <c r="Y39" s="25">
        <v>1</v>
      </c>
      <c r="Z39" s="25">
        <v>1</v>
      </c>
      <c r="AA39" s="25">
        <v>1</v>
      </c>
      <c r="AC39" s="166" t="str">
        <v>Q</v>
      </c>
      <c r="AD39" s="144">
        <v>7</v>
      </c>
      <c r="AE39" s="144">
        <v>12</v>
      </c>
      <c r="AF39" s="144">
        <v>0</v>
      </c>
      <c r="AG39" s="144">
        <v>6</v>
      </c>
      <c r="AH39" s="144">
        <v>13</v>
      </c>
      <c r="AI39" s="5"/>
      <c r="AJ39" s="166" t="str">
        <v>Q</v>
      </c>
      <c r="AK39" s="144">
        <v>7</v>
      </c>
      <c r="AL39" s="144">
        <v>12</v>
      </c>
      <c r="AM39" s="144">
        <v>0</v>
      </c>
      <c r="AN39" s="144">
        <v>6</v>
      </c>
      <c r="AO39" s="144">
        <v>13</v>
      </c>
    </row>
    <row r="40" spans="1:41" ht="16.5" customHeight="1">
      <c r="A40" s="29" t="str">
        <v>G3</v>
      </c>
      <c r="B40" s="8" t="str">
        <v>Gold M3</v>
      </c>
      <c r="C40" s="143">
        <v>0</v>
      </c>
      <c r="D40" s="143">
        <v>1.4999999999999999E-2</v>
      </c>
      <c r="E40" s="143">
        <v>0.04</v>
      </c>
      <c r="F40" s="143">
        <v>0.01</v>
      </c>
      <c r="G40" s="143">
        <v>0</v>
      </c>
      <c r="H40" s="8">
        <v>13</v>
      </c>
      <c r="J40" s="25">
        <v>36</v>
      </c>
      <c r="K40" s="16" t="s">
        <v>19</v>
      </c>
      <c r="L40" s="16" t="s">
        <v>19</v>
      </c>
      <c r="M40" s="16" t="s">
        <v>92</v>
      </c>
      <c r="N40" s="16" t="s">
        <v>35</v>
      </c>
      <c r="O40" s="16" t="s">
        <v>37</v>
      </c>
      <c r="Q40" s="9">
        <v>5</v>
      </c>
      <c r="R40" s="9">
        <v>5</v>
      </c>
      <c r="S40" s="9">
        <v>16</v>
      </c>
      <c r="T40" s="9">
        <v>8</v>
      </c>
      <c r="U40" s="9">
        <v>7</v>
      </c>
      <c r="W40" s="25">
        <v>1</v>
      </c>
      <c r="X40" s="25">
        <v>1</v>
      </c>
      <c r="Y40" s="25">
        <v>1</v>
      </c>
      <c r="Z40" s="25">
        <v>1</v>
      </c>
      <c r="AA40" s="25">
        <v>1</v>
      </c>
      <c r="AC40" s="166" t="str">
        <v>J</v>
      </c>
      <c r="AD40" s="144">
        <v>7</v>
      </c>
      <c r="AE40" s="144">
        <v>8</v>
      </c>
      <c r="AF40" s="144">
        <v>0</v>
      </c>
      <c r="AG40" s="144">
        <v>7</v>
      </c>
      <c r="AH40" s="144">
        <v>14</v>
      </c>
      <c r="AI40" s="5"/>
      <c r="AJ40" s="166" t="str">
        <v>J</v>
      </c>
      <c r="AK40" s="144">
        <v>7</v>
      </c>
      <c r="AL40" s="144">
        <v>8</v>
      </c>
      <c r="AM40" s="144">
        <v>0</v>
      </c>
      <c r="AN40" s="144">
        <v>7</v>
      </c>
      <c r="AO40" s="144">
        <v>14</v>
      </c>
    </row>
    <row r="41" spans="1:41" ht="16.5" customHeight="1">
      <c r="A41" s="29" t="str">
        <v>G4</v>
      </c>
      <c r="B41" s="8" t="str">
        <v>Gold M4</v>
      </c>
      <c r="C41" s="143">
        <v>0</v>
      </c>
      <c r="D41" s="143">
        <v>0.04</v>
      </c>
      <c r="E41" s="143">
        <v>0.215</v>
      </c>
      <c r="F41" s="143">
        <v>5.5E-2</v>
      </c>
      <c r="G41" s="143">
        <v>0</v>
      </c>
      <c r="H41" s="8">
        <v>14</v>
      </c>
      <c r="J41" s="9">
        <v>37</v>
      </c>
      <c r="K41" s="16" t="s">
        <v>136</v>
      </c>
      <c r="L41" s="16" t="s">
        <v>136</v>
      </c>
      <c r="M41" s="16" t="s">
        <v>97</v>
      </c>
      <c r="N41" s="16" t="s">
        <v>88</v>
      </c>
      <c r="O41" s="16" t="s">
        <v>136</v>
      </c>
      <c r="Q41" s="9">
        <v>6</v>
      </c>
      <c r="R41" s="9">
        <v>6</v>
      </c>
      <c r="S41" s="9">
        <v>19</v>
      </c>
      <c r="T41" s="9">
        <v>11</v>
      </c>
      <c r="U41" s="9">
        <v>6</v>
      </c>
      <c r="W41" s="25">
        <v>1</v>
      </c>
      <c r="X41" s="25">
        <v>1</v>
      </c>
      <c r="Y41" s="25">
        <v>1</v>
      </c>
      <c r="Z41" s="25">
        <v>1</v>
      </c>
      <c r="AA41" s="25">
        <v>1</v>
      </c>
      <c r="AC41" s="149" t="str">
        <v>G1</v>
      </c>
      <c r="AD41" s="105">
        <v>0</v>
      </c>
      <c r="AE41" s="105">
        <v>2</v>
      </c>
      <c r="AF41" s="105">
        <v>3</v>
      </c>
      <c r="AG41" s="105">
        <v>1</v>
      </c>
      <c r="AH41" s="105">
        <v>0</v>
      </c>
      <c r="AI41" s="5"/>
      <c r="AJ41" s="149" t="str">
        <v>G1</v>
      </c>
      <c r="AK41" s="105">
        <v>0</v>
      </c>
      <c r="AL41" s="105">
        <v>2</v>
      </c>
      <c r="AM41" s="105">
        <v>3</v>
      </c>
      <c r="AN41" s="105">
        <v>1</v>
      </c>
      <c r="AO41" s="105">
        <v>0</v>
      </c>
    </row>
    <row r="42" spans="1:41" ht="16.5" customHeight="1">
      <c r="A42" s="29" t="str">
        <v>G5</v>
      </c>
      <c r="B42" s="8" t="str">
        <v>Gold M5</v>
      </c>
      <c r="C42" s="143">
        <v>0</v>
      </c>
      <c r="D42" s="143">
        <v>0.04</v>
      </c>
      <c r="E42" s="143">
        <v>0.21</v>
      </c>
      <c r="F42" s="143">
        <v>0.06</v>
      </c>
      <c r="G42" s="143">
        <v>0</v>
      </c>
      <c r="H42" s="8">
        <v>15</v>
      </c>
      <c r="J42" s="25">
        <v>38</v>
      </c>
      <c r="K42" s="16" t="s">
        <v>35</v>
      </c>
      <c r="L42" s="16" t="s">
        <v>37</v>
      </c>
      <c r="M42" s="16" t="s">
        <v>91</v>
      </c>
      <c r="N42" s="16" t="s">
        <v>35</v>
      </c>
      <c r="O42" s="16" t="s">
        <v>35</v>
      </c>
      <c r="Q42" s="9">
        <v>8</v>
      </c>
      <c r="R42" s="9">
        <v>7</v>
      </c>
      <c r="S42" s="9">
        <v>14</v>
      </c>
      <c r="T42" s="9">
        <v>8</v>
      </c>
      <c r="U42" s="9">
        <v>8</v>
      </c>
      <c r="W42" s="25">
        <v>1</v>
      </c>
      <c r="X42" s="25">
        <v>1</v>
      </c>
      <c r="Y42" s="25">
        <v>1</v>
      </c>
      <c r="Z42" s="25">
        <v>1</v>
      </c>
      <c r="AA42" s="25">
        <v>1</v>
      </c>
      <c r="AC42" s="149" t="str">
        <v>G2</v>
      </c>
      <c r="AD42" s="105">
        <v>0</v>
      </c>
      <c r="AE42" s="105">
        <v>3</v>
      </c>
      <c r="AF42" s="105">
        <v>1</v>
      </c>
      <c r="AG42" s="105">
        <v>1</v>
      </c>
      <c r="AH42" s="105">
        <v>0</v>
      </c>
      <c r="AI42" s="5"/>
      <c r="AJ42" s="149" t="str">
        <v>G2</v>
      </c>
      <c r="AK42" s="105">
        <v>0</v>
      </c>
      <c r="AL42" s="105">
        <v>3</v>
      </c>
      <c r="AM42" s="105">
        <v>1</v>
      </c>
      <c r="AN42" s="105">
        <v>1</v>
      </c>
      <c r="AO42" s="105">
        <v>0</v>
      </c>
    </row>
    <row r="43" spans="1:41" ht="16.5" customHeight="1">
      <c r="A43" s="29" t="str">
        <v>GA</v>
      </c>
      <c r="B43" s="8" t="str">
        <v>Gold A</v>
      </c>
      <c r="C43" s="143">
        <v>0</v>
      </c>
      <c r="D43" s="143">
        <v>0.05</v>
      </c>
      <c r="E43" s="143">
        <v>0.21</v>
      </c>
      <c r="F43" s="143">
        <v>0.05</v>
      </c>
      <c r="G43" s="143">
        <v>0</v>
      </c>
      <c r="H43" s="8">
        <v>16</v>
      </c>
      <c r="J43" s="9">
        <v>39</v>
      </c>
      <c r="K43" s="16" t="s">
        <v>37</v>
      </c>
      <c r="L43" s="16" t="s">
        <v>136</v>
      </c>
      <c r="M43" s="16" t="s">
        <v>92</v>
      </c>
      <c r="N43" s="16" t="s">
        <v>19</v>
      </c>
      <c r="O43" s="16" t="s">
        <v>37</v>
      </c>
      <c r="Q43" s="9">
        <v>7</v>
      </c>
      <c r="R43" s="9">
        <v>6</v>
      </c>
      <c r="S43" s="9">
        <v>16</v>
      </c>
      <c r="T43" s="9">
        <v>5</v>
      </c>
      <c r="U43" s="9">
        <v>7</v>
      </c>
      <c r="W43" s="25">
        <v>1</v>
      </c>
      <c r="X43" s="25">
        <v>1</v>
      </c>
      <c r="Y43" s="25">
        <v>1</v>
      </c>
      <c r="Z43" s="25">
        <v>1</v>
      </c>
      <c r="AA43" s="25">
        <v>1</v>
      </c>
      <c r="AC43" s="149" t="str">
        <v>G3</v>
      </c>
      <c r="AD43" s="105">
        <v>0</v>
      </c>
      <c r="AE43" s="105">
        <v>3</v>
      </c>
      <c r="AF43" s="105">
        <v>8</v>
      </c>
      <c r="AG43" s="105">
        <v>2</v>
      </c>
      <c r="AH43" s="105">
        <v>0</v>
      </c>
      <c r="AI43" s="5"/>
      <c r="AJ43" s="149" t="str">
        <v>G3</v>
      </c>
      <c r="AK43" s="105">
        <v>0</v>
      </c>
      <c r="AL43" s="105">
        <v>3</v>
      </c>
      <c r="AM43" s="105">
        <v>8</v>
      </c>
      <c r="AN43" s="105">
        <v>2</v>
      </c>
      <c r="AO43" s="105">
        <v>0</v>
      </c>
    </row>
    <row r="44" spans="1:41" ht="16.5" customHeight="1">
      <c r="A44" s="29" t="str">
        <v>GK</v>
      </c>
      <c r="B44" s="8" t="str">
        <v>Gold K</v>
      </c>
      <c r="C44" s="143">
        <v>0</v>
      </c>
      <c r="D44" s="143">
        <v>4.4999999999999998E-2</v>
      </c>
      <c r="E44" s="143">
        <v>0.22</v>
      </c>
      <c r="F44" s="143">
        <v>0.05</v>
      </c>
      <c r="G44" s="143">
        <v>0</v>
      </c>
      <c r="H44" s="8">
        <v>17</v>
      </c>
      <c r="J44" s="25">
        <v>40</v>
      </c>
      <c r="K44" s="16" t="s">
        <v>36</v>
      </c>
      <c r="L44" s="16" t="s">
        <v>34</v>
      </c>
      <c r="M44" s="16" t="s">
        <v>91</v>
      </c>
      <c r="N44" s="16" t="s">
        <v>35</v>
      </c>
      <c r="O44" s="16" t="s">
        <v>35</v>
      </c>
      <c r="Q44" s="9">
        <v>10</v>
      </c>
      <c r="R44" s="9">
        <v>9</v>
      </c>
      <c r="S44" s="9">
        <v>14</v>
      </c>
      <c r="T44" s="9">
        <v>8</v>
      </c>
      <c r="U44" s="9">
        <v>8</v>
      </c>
      <c r="W44" s="25">
        <v>1</v>
      </c>
      <c r="X44" s="25">
        <v>1</v>
      </c>
      <c r="Y44" s="25">
        <v>1</v>
      </c>
      <c r="Z44" s="25">
        <v>1</v>
      </c>
      <c r="AA44" s="25">
        <v>1</v>
      </c>
      <c r="AC44" s="149" t="str">
        <v>G4</v>
      </c>
      <c r="AD44" s="105">
        <v>0</v>
      </c>
      <c r="AE44" s="105">
        <v>8</v>
      </c>
      <c r="AF44" s="105">
        <v>43</v>
      </c>
      <c r="AG44" s="105">
        <v>11</v>
      </c>
      <c r="AH44" s="105">
        <v>0</v>
      </c>
      <c r="AI44" s="5"/>
      <c r="AJ44" s="149" t="str">
        <v>G4</v>
      </c>
      <c r="AK44" s="105">
        <v>0</v>
      </c>
      <c r="AL44" s="105">
        <v>8</v>
      </c>
      <c r="AM44" s="105">
        <v>43</v>
      </c>
      <c r="AN44" s="105">
        <v>11</v>
      </c>
      <c r="AO44" s="105">
        <v>0</v>
      </c>
    </row>
    <row r="45" spans="1:41" ht="16.5" customHeight="1">
      <c r="A45" s="29" t="str">
        <v>GQ</v>
      </c>
      <c r="B45" s="8" t="str">
        <v>Gold Q</v>
      </c>
      <c r="C45" s="143">
        <v>0</v>
      </c>
      <c r="D45" s="143">
        <v>1.4999999999999999E-2</v>
      </c>
      <c r="E45" s="143">
        <v>0.03</v>
      </c>
      <c r="F45" s="143">
        <v>5.0000000000000001E-3</v>
      </c>
      <c r="G45" s="143">
        <v>0</v>
      </c>
      <c r="H45" s="8">
        <v>18</v>
      </c>
      <c r="J45" s="9">
        <v>41</v>
      </c>
      <c r="K45" s="16" t="s">
        <v>37</v>
      </c>
      <c r="L45" s="16" t="s">
        <v>136</v>
      </c>
      <c r="M45" s="16" t="s">
        <v>137</v>
      </c>
      <c r="N45" s="16" t="s">
        <v>136</v>
      </c>
      <c r="O45" s="16" t="s">
        <v>21</v>
      </c>
      <c r="Q45" s="9">
        <v>7</v>
      </c>
      <c r="R45" s="9">
        <v>6</v>
      </c>
      <c r="S45" s="9">
        <v>15</v>
      </c>
      <c r="T45" s="9">
        <v>6</v>
      </c>
      <c r="U45" s="9">
        <v>2</v>
      </c>
      <c r="W45" s="25">
        <v>1</v>
      </c>
      <c r="X45" s="25">
        <v>1</v>
      </c>
      <c r="Y45" s="25">
        <v>1</v>
      </c>
      <c r="Z45" s="25">
        <v>1</v>
      </c>
      <c r="AA45" s="25">
        <v>1</v>
      </c>
      <c r="AC45" s="149" t="str">
        <v>G5</v>
      </c>
      <c r="AD45" s="105">
        <v>0</v>
      </c>
      <c r="AE45" s="105">
        <v>8</v>
      </c>
      <c r="AF45" s="105">
        <v>42</v>
      </c>
      <c r="AG45" s="105">
        <v>12</v>
      </c>
      <c r="AH45" s="105">
        <v>0</v>
      </c>
      <c r="AI45" s="5"/>
      <c r="AJ45" s="149" t="str">
        <v>G5</v>
      </c>
      <c r="AK45" s="105">
        <v>0</v>
      </c>
      <c r="AL45" s="105">
        <v>8</v>
      </c>
      <c r="AM45" s="105">
        <v>42</v>
      </c>
      <c r="AN45" s="105">
        <v>12</v>
      </c>
      <c r="AO45" s="105">
        <v>0</v>
      </c>
    </row>
    <row r="46" spans="1:41" ht="16.5" customHeight="1">
      <c r="A46" s="29" t="str">
        <v>GJ</v>
      </c>
      <c r="B46" s="8" t="str">
        <v>Gold J</v>
      </c>
      <c r="C46" s="143">
        <v>0</v>
      </c>
      <c r="D46" s="143">
        <v>0.01</v>
      </c>
      <c r="E46" s="143">
        <v>4.4999999999999998E-2</v>
      </c>
      <c r="F46" s="143">
        <v>0.01</v>
      </c>
      <c r="G46" s="143">
        <v>0</v>
      </c>
      <c r="H46" s="8">
        <v>19</v>
      </c>
      <c r="J46" s="25">
        <v>42</v>
      </c>
      <c r="K46" s="16" t="s">
        <v>35</v>
      </c>
      <c r="L46" s="16" t="s">
        <v>22</v>
      </c>
      <c r="M46" s="16" t="s">
        <v>92</v>
      </c>
      <c r="N46" s="16" t="s">
        <v>35</v>
      </c>
      <c r="O46" s="16" t="s">
        <v>19</v>
      </c>
      <c r="Q46" s="9">
        <v>8</v>
      </c>
      <c r="R46" s="9">
        <v>3</v>
      </c>
      <c r="S46" s="9">
        <v>16</v>
      </c>
      <c r="T46" s="9">
        <v>8</v>
      </c>
      <c r="U46" s="9">
        <v>5</v>
      </c>
      <c r="W46" s="25">
        <v>1</v>
      </c>
      <c r="X46" s="25">
        <v>1</v>
      </c>
      <c r="Y46" s="25">
        <v>1</v>
      </c>
      <c r="Z46" s="25">
        <v>1</v>
      </c>
      <c r="AA46" s="25">
        <v>1</v>
      </c>
      <c r="AC46" s="149" t="str">
        <v>GA</v>
      </c>
      <c r="AD46" s="105">
        <v>0</v>
      </c>
      <c r="AE46" s="105">
        <v>10</v>
      </c>
      <c r="AF46" s="105">
        <v>42</v>
      </c>
      <c r="AG46" s="105">
        <v>10</v>
      </c>
      <c r="AH46" s="105">
        <v>0</v>
      </c>
      <c r="AI46" s="5"/>
      <c r="AJ46" s="149" t="str">
        <v>GA</v>
      </c>
      <c r="AK46" s="105">
        <v>0</v>
      </c>
      <c r="AL46" s="105">
        <v>10</v>
      </c>
      <c r="AM46" s="105">
        <v>42</v>
      </c>
      <c r="AN46" s="105">
        <v>10</v>
      </c>
      <c r="AO46" s="105">
        <v>0</v>
      </c>
    </row>
    <row r="47" spans="1:41" ht="16.5" customHeight="1">
      <c r="J47" s="9">
        <v>43</v>
      </c>
      <c r="K47" s="16" t="s">
        <v>136</v>
      </c>
      <c r="L47" s="16" t="s">
        <v>18</v>
      </c>
      <c r="M47" s="16" t="s">
        <v>137</v>
      </c>
      <c r="N47" s="16" t="s">
        <v>19</v>
      </c>
      <c r="O47" s="16" t="s">
        <v>35</v>
      </c>
      <c r="Q47" s="9">
        <v>6</v>
      </c>
      <c r="R47" s="9">
        <v>4</v>
      </c>
      <c r="S47" s="9">
        <v>15</v>
      </c>
      <c r="T47" s="9">
        <v>5</v>
      </c>
      <c r="U47" s="9">
        <v>8</v>
      </c>
      <c r="W47" s="25">
        <v>1</v>
      </c>
      <c r="X47" s="25">
        <v>1</v>
      </c>
      <c r="Y47" s="25">
        <v>1</v>
      </c>
      <c r="Z47" s="25">
        <v>1</v>
      </c>
      <c r="AA47" s="25">
        <v>1</v>
      </c>
      <c r="AC47" s="149" t="str">
        <v>GK</v>
      </c>
      <c r="AD47" s="105">
        <v>0</v>
      </c>
      <c r="AE47" s="105">
        <v>9</v>
      </c>
      <c r="AF47" s="105">
        <v>44</v>
      </c>
      <c r="AG47" s="105">
        <v>10</v>
      </c>
      <c r="AH47" s="105">
        <v>0</v>
      </c>
      <c r="AI47" s="5"/>
      <c r="AJ47" s="149" t="str">
        <v>GK</v>
      </c>
      <c r="AK47" s="105">
        <v>0</v>
      </c>
      <c r="AL47" s="105">
        <v>9</v>
      </c>
      <c r="AM47" s="105">
        <v>44</v>
      </c>
      <c r="AN47" s="105">
        <v>10</v>
      </c>
      <c r="AO47" s="105">
        <v>0</v>
      </c>
    </row>
    <row r="48" spans="1:41" ht="16.5" customHeight="1">
      <c r="J48" s="25">
        <v>44</v>
      </c>
      <c r="K48" s="16" t="s">
        <v>22</v>
      </c>
      <c r="L48" s="16" t="s">
        <v>37</v>
      </c>
      <c r="M48" s="16" t="s">
        <v>119</v>
      </c>
      <c r="N48" s="16" t="s">
        <v>37</v>
      </c>
      <c r="O48" s="16" t="s">
        <v>136</v>
      </c>
      <c r="Q48" s="9">
        <v>3</v>
      </c>
      <c r="R48" s="9">
        <v>7</v>
      </c>
      <c r="S48" s="9">
        <v>17</v>
      </c>
      <c r="T48" s="9">
        <v>7</v>
      </c>
      <c r="U48" s="9">
        <v>6</v>
      </c>
      <c r="W48" s="25">
        <v>1</v>
      </c>
      <c r="X48" s="25">
        <v>1</v>
      </c>
      <c r="Y48" s="25">
        <v>1</v>
      </c>
      <c r="Z48" s="25">
        <v>1</v>
      </c>
      <c r="AA48" s="25">
        <v>1</v>
      </c>
      <c r="AC48" s="149" t="str">
        <v>GQ</v>
      </c>
      <c r="AD48" s="105">
        <v>0</v>
      </c>
      <c r="AE48" s="105">
        <v>3</v>
      </c>
      <c r="AF48" s="105">
        <v>6</v>
      </c>
      <c r="AG48" s="105">
        <v>1</v>
      </c>
      <c r="AH48" s="105">
        <v>0</v>
      </c>
      <c r="AI48" s="5"/>
      <c r="AJ48" s="149" t="str">
        <v>GQ</v>
      </c>
      <c r="AK48" s="105">
        <v>0</v>
      </c>
      <c r="AL48" s="105">
        <v>3</v>
      </c>
      <c r="AM48" s="105">
        <v>6</v>
      </c>
      <c r="AN48" s="105">
        <v>1</v>
      </c>
      <c r="AO48" s="105">
        <v>0</v>
      </c>
    </row>
    <row r="49" spans="10:41" ht="16.5" customHeight="1">
      <c r="J49" s="9">
        <v>45</v>
      </c>
      <c r="K49" s="16" t="s">
        <v>37</v>
      </c>
      <c r="L49" s="16" t="s">
        <v>136</v>
      </c>
      <c r="M49" s="16" t="s">
        <v>92</v>
      </c>
      <c r="N49" s="16" t="s">
        <v>137</v>
      </c>
      <c r="O49" s="16" t="s">
        <v>18</v>
      </c>
      <c r="Q49" s="9">
        <v>7</v>
      </c>
      <c r="R49" s="9">
        <v>6</v>
      </c>
      <c r="S49" s="9">
        <v>16</v>
      </c>
      <c r="T49" s="9">
        <v>15</v>
      </c>
      <c r="U49" s="9">
        <v>4</v>
      </c>
      <c r="W49" s="25">
        <v>1</v>
      </c>
      <c r="X49" s="25">
        <v>1</v>
      </c>
      <c r="Y49" s="25">
        <v>1</v>
      </c>
      <c r="Z49" s="25">
        <v>1</v>
      </c>
      <c r="AA49" s="25">
        <v>1</v>
      </c>
      <c r="AC49" s="149" t="str">
        <v>GJ</v>
      </c>
      <c r="AD49" s="105">
        <v>0</v>
      </c>
      <c r="AE49" s="105">
        <v>2</v>
      </c>
      <c r="AF49" s="105">
        <v>9</v>
      </c>
      <c r="AG49" s="105">
        <v>2</v>
      </c>
      <c r="AH49" s="105">
        <v>0</v>
      </c>
      <c r="AI49" s="5"/>
      <c r="AJ49" s="149" t="str">
        <v>GJ</v>
      </c>
      <c r="AK49" s="105">
        <v>0</v>
      </c>
      <c r="AL49" s="105">
        <v>2</v>
      </c>
      <c r="AM49" s="105">
        <v>9</v>
      </c>
      <c r="AN49" s="105">
        <v>2</v>
      </c>
      <c r="AO49" s="105">
        <v>0</v>
      </c>
    </row>
    <row r="50" spans="10:41" ht="16.5" customHeight="1">
      <c r="J50" s="25">
        <v>46</v>
      </c>
      <c r="K50" s="16" t="s">
        <v>136</v>
      </c>
      <c r="L50" s="16" t="s">
        <v>137</v>
      </c>
      <c r="M50" s="16" t="s">
        <v>137</v>
      </c>
      <c r="N50" s="16" t="s">
        <v>37</v>
      </c>
      <c r="O50" s="16" t="s">
        <v>37</v>
      </c>
      <c r="Q50" s="9">
        <v>6</v>
      </c>
      <c r="R50" s="9">
        <v>15</v>
      </c>
      <c r="S50" s="9">
        <v>15</v>
      </c>
      <c r="T50" s="9">
        <v>7</v>
      </c>
      <c r="U50" s="9">
        <v>7</v>
      </c>
      <c r="W50" s="25">
        <v>1</v>
      </c>
      <c r="X50" s="25">
        <v>1</v>
      </c>
      <c r="Y50" s="25">
        <v>1</v>
      </c>
      <c r="Z50" s="25">
        <v>1</v>
      </c>
      <c r="AA50" s="25">
        <v>1</v>
      </c>
      <c r="AD50" s="119">
        <f>SUM(AD30:AD49)</f>
        <v>199</v>
      </c>
      <c r="AE50" s="119">
        <f>SUM(AE30:AE49)</f>
        <v>199</v>
      </c>
      <c r="AF50" s="119">
        <f>SUM(AF30:AF49)</f>
        <v>199</v>
      </c>
      <c r="AG50" s="119">
        <f>SUM(AG30:AG49)</f>
        <v>198</v>
      </c>
      <c r="AH50" s="119">
        <f>SUM(AH30:AH49)</f>
        <v>198</v>
      </c>
      <c r="AI50" s="5"/>
      <c r="AK50" s="119">
        <f>SUM(AK30:AK49)</f>
        <v>199</v>
      </c>
      <c r="AL50" s="119">
        <f>SUM(AL30:AL49)</f>
        <v>199</v>
      </c>
      <c r="AM50" s="119">
        <f>SUM(AM30:AM49)</f>
        <v>199</v>
      </c>
      <c r="AN50" s="119">
        <f>SUM(AN30:AN49)</f>
        <v>198</v>
      </c>
      <c r="AO50" s="119">
        <f>SUM(AO30:AO49)</f>
        <v>198</v>
      </c>
    </row>
    <row r="51" spans="10:41" ht="16.5" customHeight="1">
      <c r="J51" s="9">
        <v>47</v>
      </c>
      <c r="K51" s="16" t="s">
        <v>35</v>
      </c>
      <c r="L51" s="16" t="s">
        <v>35</v>
      </c>
      <c r="M51" s="16" t="s">
        <v>92</v>
      </c>
      <c r="N51" s="16" t="s">
        <v>18</v>
      </c>
      <c r="O51" s="16" t="s">
        <v>36</v>
      </c>
      <c r="Q51" s="9">
        <v>8</v>
      </c>
      <c r="R51" s="9">
        <v>8</v>
      </c>
      <c r="S51" s="9">
        <v>16</v>
      </c>
      <c r="T51" s="9">
        <v>4</v>
      </c>
      <c r="U51" s="9">
        <v>10</v>
      </c>
      <c r="W51" s="25">
        <v>1</v>
      </c>
      <c r="X51" s="25">
        <v>1</v>
      </c>
      <c r="Y51" s="25">
        <v>1</v>
      </c>
      <c r="Z51" s="25">
        <v>1</v>
      </c>
      <c r="AA51" s="25">
        <v>1</v>
      </c>
      <c r="AH51" s="5"/>
      <c r="AI51" s="5"/>
      <c r="AO51" s="5"/>
    </row>
    <row r="52" spans="10:41" ht="16.5" customHeight="1">
      <c r="J52" s="25">
        <v>48</v>
      </c>
      <c r="K52" s="16" t="s">
        <v>19</v>
      </c>
      <c r="L52" s="16" t="s">
        <v>136</v>
      </c>
      <c r="M52" s="16" t="s">
        <v>119</v>
      </c>
      <c r="N52" s="16" t="s">
        <v>119</v>
      </c>
      <c r="O52" s="16" t="s">
        <v>21</v>
      </c>
      <c r="Q52" s="9">
        <v>5</v>
      </c>
      <c r="R52" s="9">
        <v>6</v>
      </c>
      <c r="S52" s="9">
        <v>17</v>
      </c>
      <c r="T52" s="9">
        <v>17</v>
      </c>
      <c r="U52" s="9">
        <v>2</v>
      </c>
      <c r="W52" s="25">
        <v>1</v>
      </c>
      <c r="X52" s="25">
        <v>1</v>
      </c>
      <c r="Y52" s="25">
        <v>1</v>
      </c>
      <c r="Z52" s="25">
        <v>1</v>
      </c>
      <c r="AA52" s="25">
        <v>1</v>
      </c>
      <c r="AC52" s="27" t="s">
        <v>141</v>
      </c>
      <c r="AH52" s="5"/>
      <c r="AI52" s="5"/>
      <c r="AJ52" s="27" t="s">
        <v>141</v>
      </c>
      <c r="AO52" s="5"/>
    </row>
    <row r="53" spans="10:41" ht="16.5" customHeight="1">
      <c r="J53" s="9">
        <v>49</v>
      </c>
      <c r="K53" s="16" t="s">
        <v>136</v>
      </c>
      <c r="L53" s="16" t="s">
        <v>35</v>
      </c>
      <c r="M53" s="16" t="s">
        <v>91</v>
      </c>
      <c r="N53" s="16" t="s">
        <v>35</v>
      </c>
      <c r="O53" s="16" t="s">
        <v>37</v>
      </c>
      <c r="Q53" s="9">
        <v>6</v>
      </c>
      <c r="R53" s="9">
        <v>8</v>
      </c>
      <c r="S53" s="9">
        <v>14</v>
      </c>
      <c r="T53" s="9">
        <v>8</v>
      </c>
      <c r="U53" s="9">
        <v>7</v>
      </c>
      <c r="W53" s="25">
        <v>1</v>
      </c>
      <c r="X53" s="25">
        <v>1</v>
      </c>
      <c r="Y53" s="25">
        <v>1</v>
      </c>
      <c r="Z53" s="25">
        <v>1</v>
      </c>
      <c r="AA53" s="25">
        <v>1</v>
      </c>
      <c r="AC53" s="146" t="s">
        <v>42</v>
      </c>
      <c r="AD53" s="146" t="s">
        <v>13</v>
      </c>
      <c r="AE53" s="146" t="s">
        <v>14</v>
      </c>
      <c r="AF53" s="146" t="s">
        <v>15</v>
      </c>
      <c r="AG53" s="146" t="s">
        <v>16</v>
      </c>
      <c r="AH53" s="146" t="s">
        <v>17</v>
      </c>
      <c r="AI53" s="5"/>
      <c r="AJ53" s="146" t="s">
        <v>42</v>
      </c>
      <c r="AK53" s="146" t="s">
        <v>13</v>
      </c>
      <c r="AL53" s="146" t="s">
        <v>14</v>
      </c>
      <c r="AM53" s="146" t="s">
        <v>15</v>
      </c>
      <c r="AN53" s="146" t="s">
        <v>16</v>
      </c>
      <c r="AO53" s="146" t="s">
        <v>17</v>
      </c>
    </row>
    <row r="54" spans="10:41" ht="16.5" customHeight="1">
      <c r="J54" s="25">
        <v>50</v>
      </c>
      <c r="K54" s="16" t="s">
        <v>37</v>
      </c>
      <c r="L54" s="16" t="s">
        <v>37</v>
      </c>
      <c r="M54" s="16" t="s">
        <v>92</v>
      </c>
      <c r="N54" s="16" t="s">
        <v>19</v>
      </c>
      <c r="O54" s="16" t="s">
        <v>35</v>
      </c>
      <c r="Q54" s="9">
        <v>7</v>
      </c>
      <c r="R54" s="9">
        <v>7</v>
      </c>
      <c r="S54" s="9">
        <v>16</v>
      </c>
      <c r="T54" s="9">
        <v>5</v>
      </c>
      <c r="U54" s="9">
        <v>8</v>
      </c>
      <c r="W54" s="25">
        <v>1</v>
      </c>
      <c r="X54" s="25">
        <v>1</v>
      </c>
      <c r="Y54" s="25">
        <v>1</v>
      </c>
      <c r="Z54" s="25">
        <v>1</v>
      </c>
      <c r="AA54" s="25">
        <v>1</v>
      </c>
      <c r="AC54" s="149" t="str" cm="1">
        <f t="array" ref="AC54:AC73">$A$4:$A$23</f>
        <v>WW</v>
      </c>
      <c r="AD54" s="150">
        <v>0</v>
      </c>
      <c r="AE54" s="150">
        <v>0</v>
      </c>
      <c r="AF54" s="150">
        <v>0</v>
      </c>
      <c r="AG54" s="150">
        <v>0</v>
      </c>
      <c r="AH54" s="150">
        <v>0</v>
      </c>
      <c r="AI54" s="5"/>
      <c r="AJ54" s="149" t="str" cm="1">
        <f t="array" ref="AJ54:AJ73">$A$4:$A$23</f>
        <v>WW</v>
      </c>
      <c r="AK54" s="150">
        <v>0</v>
      </c>
      <c r="AL54" s="150">
        <v>0</v>
      </c>
      <c r="AM54" s="150">
        <v>0</v>
      </c>
      <c r="AN54" s="150">
        <v>0</v>
      </c>
      <c r="AO54" s="150">
        <v>0</v>
      </c>
    </row>
    <row r="55" spans="10:41" ht="16.5" customHeight="1">
      <c r="J55" s="9">
        <v>51</v>
      </c>
      <c r="K55" s="16" t="s">
        <v>19</v>
      </c>
      <c r="L55" s="16" t="s">
        <v>22</v>
      </c>
      <c r="M55" s="16" t="s">
        <v>119</v>
      </c>
      <c r="N55" s="16" t="s">
        <v>91</v>
      </c>
      <c r="O55" s="16" t="s">
        <v>37</v>
      </c>
      <c r="Q55" s="9">
        <v>5</v>
      </c>
      <c r="R55" s="9">
        <v>3</v>
      </c>
      <c r="S55" s="9">
        <v>17</v>
      </c>
      <c r="T55" s="9">
        <v>14</v>
      </c>
      <c r="U55" s="9">
        <v>7</v>
      </c>
      <c r="W55" s="25">
        <v>1</v>
      </c>
      <c r="X55" s="25">
        <v>1</v>
      </c>
      <c r="Y55" s="25">
        <v>1</v>
      </c>
      <c r="Z55" s="25">
        <v>1</v>
      </c>
      <c r="AA55" s="25">
        <v>1</v>
      </c>
      <c r="AC55" s="149" t="str">
        <v>C1</v>
      </c>
      <c r="AD55" s="149">
        <v>1</v>
      </c>
      <c r="AE55" s="149">
        <v>1</v>
      </c>
      <c r="AF55" s="149">
        <v>1</v>
      </c>
      <c r="AG55" s="149">
        <v>1</v>
      </c>
      <c r="AH55" s="149">
        <v>1</v>
      </c>
      <c r="AI55" s="5"/>
      <c r="AJ55" s="149" t="str">
        <v>C1</v>
      </c>
      <c r="AK55" s="149">
        <v>1</v>
      </c>
      <c r="AL55" s="149">
        <v>1</v>
      </c>
      <c r="AM55" s="149">
        <v>1</v>
      </c>
      <c r="AN55" s="149">
        <v>1</v>
      </c>
      <c r="AO55" s="149">
        <v>1</v>
      </c>
    </row>
    <row r="56" spans="10:41" ht="16.5" customHeight="1">
      <c r="J56" s="25">
        <v>52</v>
      </c>
      <c r="K56" s="16" t="s">
        <v>35</v>
      </c>
      <c r="L56" s="16" t="s">
        <v>37</v>
      </c>
      <c r="M56" s="16" t="s">
        <v>91</v>
      </c>
      <c r="N56" s="16" t="s">
        <v>136</v>
      </c>
      <c r="O56" s="16" t="s">
        <v>35</v>
      </c>
      <c r="Q56" s="9">
        <v>8</v>
      </c>
      <c r="R56" s="9">
        <v>7</v>
      </c>
      <c r="S56" s="9">
        <v>14</v>
      </c>
      <c r="T56" s="9">
        <v>6</v>
      </c>
      <c r="U56" s="9">
        <v>8</v>
      </c>
      <c r="W56" s="25">
        <v>1</v>
      </c>
      <c r="X56" s="25">
        <v>1</v>
      </c>
      <c r="Y56" s="25">
        <v>1</v>
      </c>
      <c r="Z56" s="25">
        <v>1</v>
      </c>
      <c r="AA56" s="25">
        <v>1</v>
      </c>
      <c r="AC56" s="166" t="str">
        <v>M1</v>
      </c>
      <c r="AD56" s="144">
        <v>3</v>
      </c>
      <c r="AE56" s="144">
        <v>10</v>
      </c>
      <c r="AF56" s="144">
        <v>0</v>
      </c>
      <c r="AG56" s="144">
        <v>3</v>
      </c>
      <c r="AH56" s="144">
        <v>9</v>
      </c>
      <c r="AI56" s="5"/>
      <c r="AJ56" s="166" t="str">
        <v>M1</v>
      </c>
      <c r="AK56" s="144">
        <v>3</v>
      </c>
      <c r="AL56" s="144">
        <v>10</v>
      </c>
      <c r="AM56" s="144">
        <v>0</v>
      </c>
      <c r="AN56" s="144">
        <v>3</v>
      </c>
      <c r="AO56" s="144">
        <v>9</v>
      </c>
    </row>
    <row r="57" spans="10:41" ht="16.5" customHeight="1">
      <c r="J57" s="9">
        <v>53</v>
      </c>
      <c r="K57" s="16" t="s">
        <v>37</v>
      </c>
      <c r="L57" s="16" t="s">
        <v>91</v>
      </c>
      <c r="M57" s="16" t="s">
        <v>20</v>
      </c>
      <c r="N57" s="16" t="s">
        <v>18</v>
      </c>
      <c r="O57" s="16" t="s">
        <v>19</v>
      </c>
      <c r="Q57" s="9">
        <v>7</v>
      </c>
      <c r="R57" s="9">
        <v>14</v>
      </c>
      <c r="S57" s="9">
        <v>1</v>
      </c>
      <c r="T57" s="9">
        <v>4</v>
      </c>
      <c r="U57" s="9">
        <v>5</v>
      </c>
      <c r="W57" s="25">
        <v>1</v>
      </c>
      <c r="X57" s="25">
        <v>1</v>
      </c>
      <c r="Y57" s="25">
        <v>1</v>
      </c>
      <c r="Z57" s="25">
        <v>1</v>
      </c>
      <c r="AA57" s="25">
        <v>1</v>
      </c>
      <c r="AC57" s="166" t="str">
        <v>M2</v>
      </c>
      <c r="AD57" s="144">
        <v>3</v>
      </c>
      <c r="AE57" s="144">
        <v>12</v>
      </c>
      <c r="AF57" s="144">
        <v>0</v>
      </c>
      <c r="AG57" s="144">
        <v>3</v>
      </c>
      <c r="AH57" s="144">
        <v>8</v>
      </c>
      <c r="AI57" s="5"/>
      <c r="AJ57" s="166" t="str">
        <v>M2</v>
      </c>
      <c r="AK57" s="144">
        <v>3</v>
      </c>
      <c r="AL57" s="144">
        <v>12</v>
      </c>
      <c r="AM57" s="144">
        <v>0</v>
      </c>
      <c r="AN57" s="144">
        <v>3</v>
      </c>
      <c r="AO57" s="144">
        <v>8</v>
      </c>
    </row>
    <row r="58" spans="10:41" ht="16.5" customHeight="1">
      <c r="J58" s="25">
        <v>54</v>
      </c>
      <c r="K58" s="16" t="s">
        <v>19</v>
      </c>
      <c r="L58" s="16" t="s">
        <v>34</v>
      </c>
      <c r="M58" s="16" t="s">
        <v>119</v>
      </c>
      <c r="N58" s="16" t="s">
        <v>35</v>
      </c>
      <c r="O58" s="16" t="s">
        <v>37</v>
      </c>
      <c r="Q58" s="9">
        <v>5</v>
      </c>
      <c r="R58" s="9">
        <v>9</v>
      </c>
      <c r="S58" s="9">
        <v>17</v>
      </c>
      <c r="T58" s="9">
        <v>8</v>
      </c>
      <c r="U58" s="9">
        <v>7</v>
      </c>
      <c r="W58" s="25">
        <v>1</v>
      </c>
      <c r="X58" s="25">
        <v>1</v>
      </c>
      <c r="Y58" s="25">
        <v>1</v>
      </c>
      <c r="Z58" s="25">
        <v>1</v>
      </c>
      <c r="AA58" s="25">
        <v>1</v>
      </c>
      <c r="AC58" s="166" t="str">
        <v>M3</v>
      </c>
      <c r="AD58" s="144">
        <v>7</v>
      </c>
      <c r="AE58" s="144">
        <v>13</v>
      </c>
      <c r="AF58" s="144">
        <v>0</v>
      </c>
      <c r="AG58" s="144">
        <v>7</v>
      </c>
      <c r="AH58" s="144">
        <v>14</v>
      </c>
      <c r="AI58" s="5"/>
      <c r="AJ58" s="166" t="str">
        <v>M3</v>
      </c>
      <c r="AK58" s="144">
        <v>7</v>
      </c>
      <c r="AL58" s="144">
        <v>13</v>
      </c>
      <c r="AM58" s="144">
        <v>0</v>
      </c>
      <c r="AN58" s="144">
        <v>7</v>
      </c>
      <c r="AO58" s="144">
        <v>14</v>
      </c>
    </row>
    <row r="59" spans="10:41" ht="16.5" customHeight="1">
      <c r="J59" s="9">
        <v>55</v>
      </c>
      <c r="K59" s="16" t="s">
        <v>37</v>
      </c>
      <c r="L59" s="16" t="s">
        <v>18</v>
      </c>
      <c r="M59" s="16" t="s">
        <v>91</v>
      </c>
      <c r="N59" s="16" t="s">
        <v>34</v>
      </c>
      <c r="O59" s="16" t="s">
        <v>35</v>
      </c>
      <c r="Q59" s="9">
        <v>7</v>
      </c>
      <c r="R59" s="9">
        <v>4</v>
      </c>
      <c r="S59" s="9">
        <v>14</v>
      </c>
      <c r="T59" s="9">
        <v>9</v>
      </c>
      <c r="U59" s="9">
        <v>8</v>
      </c>
      <c r="W59" s="25">
        <v>1</v>
      </c>
      <c r="X59" s="25">
        <v>1</v>
      </c>
      <c r="Y59" s="25">
        <v>1</v>
      </c>
      <c r="Z59" s="25">
        <v>1</v>
      </c>
      <c r="AA59" s="25">
        <v>1</v>
      </c>
      <c r="AC59" s="166" t="str">
        <v>M4</v>
      </c>
      <c r="AD59" s="144">
        <v>43</v>
      </c>
      <c r="AE59" s="144">
        <v>22</v>
      </c>
      <c r="AF59" s="144">
        <v>0</v>
      </c>
      <c r="AG59" s="144">
        <v>31</v>
      </c>
      <c r="AH59" s="144">
        <v>36</v>
      </c>
      <c r="AI59" s="5"/>
      <c r="AJ59" s="166" t="str">
        <v>M4</v>
      </c>
      <c r="AK59" s="144">
        <v>43</v>
      </c>
      <c r="AL59" s="144">
        <v>22</v>
      </c>
      <c r="AM59" s="144">
        <v>0</v>
      </c>
      <c r="AN59" s="144">
        <v>31</v>
      </c>
      <c r="AO59" s="144">
        <v>36</v>
      </c>
    </row>
    <row r="60" spans="10:41" ht="16.5" customHeight="1">
      <c r="J60" s="25">
        <v>56</v>
      </c>
      <c r="K60" s="16" t="s">
        <v>18</v>
      </c>
      <c r="L60" s="16" t="s">
        <v>22</v>
      </c>
      <c r="M60" s="16" t="s">
        <v>95</v>
      </c>
      <c r="N60" s="16" t="s">
        <v>136</v>
      </c>
      <c r="O60" s="16" t="s">
        <v>136</v>
      </c>
      <c r="Q60" s="9">
        <v>4</v>
      </c>
      <c r="R60" s="9">
        <v>3</v>
      </c>
      <c r="S60" s="9">
        <v>18</v>
      </c>
      <c r="T60" s="9">
        <v>6</v>
      </c>
      <c r="U60" s="9">
        <v>6</v>
      </c>
      <c r="W60" s="25">
        <v>1</v>
      </c>
      <c r="X60" s="25">
        <v>1</v>
      </c>
      <c r="Y60" s="25">
        <v>1</v>
      </c>
      <c r="Z60" s="25">
        <v>1</v>
      </c>
      <c r="AA60" s="25">
        <v>1</v>
      </c>
      <c r="AC60" s="166" t="str">
        <v>M5</v>
      </c>
      <c r="AD60" s="144">
        <v>42</v>
      </c>
      <c r="AE60" s="144">
        <v>22</v>
      </c>
      <c r="AF60" s="144">
        <v>0</v>
      </c>
      <c r="AG60" s="144">
        <v>27</v>
      </c>
      <c r="AH60" s="144">
        <v>34</v>
      </c>
      <c r="AI60" s="5"/>
      <c r="AJ60" s="166" t="str">
        <v>M5</v>
      </c>
      <c r="AK60" s="144">
        <v>42</v>
      </c>
      <c r="AL60" s="144">
        <v>22</v>
      </c>
      <c r="AM60" s="144">
        <v>0</v>
      </c>
      <c r="AN60" s="144">
        <v>27</v>
      </c>
      <c r="AO60" s="144">
        <v>34</v>
      </c>
    </row>
    <row r="61" spans="10:41">
      <c r="J61" s="9">
        <v>57</v>
      </c>
      <c r="K61" s="16" t="s">
        <v>19</v>
      </c>
      <c r="L61" s="16" t="s">
        <v>35</v>
      </c>
      <c r="M61" s="16" t="s">
        <v>91</v>
      </c>
      <c r="N61" s="16" t="s">
        <v>91</v>
      </c>
      <c r="O61" s="16" t="s">
        <v>35</v>
      </c>
      <c r="Q61" s="9">
        <v>5</v>
      </c>
      <c r="R61" s="9">
        <v>8</v>
      </c>
      <c r="S61" s="9">
        <v>14</v>
      </c>
      <c r="T61" s="9">
        <v>14</v>
      </c>
      <c r="U61" s="9">
        <v>8</v>
      </c>
      <c r="W61" s="25">
        <v>1</v>
      </c>
      <c r="X61" s="25">
        <v>1</v>
      </c>
      <c r="Y61" s="25">
        <v>1</v>
      </c>
      <c r="Z61" s="25">
        <v>1</v>
      </c>
      <c r="AA61" s="25">
        <v>1</v>
      </c>
      <c r="AC61" s="166" t="str">
        <v>A</v>
      </c>
      <c r="AD61" s="144">
        <v>43</v>
      </c>
      <c r="AE61" s="144">
        <v>27</v>
      </c>
      <c r="AF61" s="144">
        <v>0</v>
      </c>
      <c r="AG61" s="144">
        <v>31</v>
      </c>
      <c r="AH61" s="144">
        <v>35</v>
      </c>
      <c r="AI61" s="5"/>
      <c r="AJ61" s="166" t="str">
        <v>A</v>
      </c>
      <c r="AK61" s="144">
        <v>43</v>
      </c>
      <c r="AL61" s="144">
        <v>27</v>
      </c>
      <c r="AM61" s="144">
        <v>0</v>
      </c>
      <c r="AN61" s="144">
        <v>31</v>
      </c>
      <c r="AO61" s="144">
        <v>35</v>
      </c>
    </row>
    <row r="62" spans="10:41">
      <c r="J62" s="25">
        <v>58</v>
      </c>
      <c r="K62" s="16" t="s">
        <v>136</v>
      </c>
      <c r="L62" s="16" t="s">
        <v>20</v>
      </c>
      <c r="M62" s="16" t="s">
        <v>137</v>
      </c>
      <c r="N62" s="16" t="s">
        <v>34</v>
      </c>
      <c r="O62" s="16" t="s">
        <v>19</v>
      </c>
      <c r="Q62" s="9">
        <v>6</v>
      </c>
      <c r="R62" s="9">
        <v>1</v>
      </c>
      <c r="S62" s="9">
        <v>15</v>
      </c>
      <c r="T62" s="9">
        <v>9</v>
      </c>
      <c r="U62" s="9">
        <v>5</v>
      </c>
      <c r="W62" s="25">
        <v>1</v>
      </c>
      <c r="X62" s="25">
        <v>1</v>
      </c>
      <c r="Y62" s="25">
        <v>1</v>
      </c>
      <c r="Z62" s="25">
        <v>1</v>
      </c>
      <c r="AA62" s="25">
        <v>1</v>
      </c>
      <c r="AC62" s="166" t="str">
        <v>K</v>
      </c>
      <c r="AD62" s="144">
        <v>43</v>
      </c>
      <c r="AE62" s="144">
        <v>24</v>
      </c>
      <c r="AF62" s="144">
        <v>0</v>
      </c>
      <c r="AG62" s="144">
        <v>32</v>
      </c>
      <c r="AH62" s="144">
        <v>34</v>
      </c>
      <c r="AI62" s="5"/>
      <c r="AJ62" s="166" t="str">
        <v>K</v>
      </c>
      <c r="AK62" s="144">
        <v>43</v>
      </c>
      <c r="AL62" s="144">
        <v>24</v>
      </c>
      <c r="AM62" s="144">
        <v>0</v>
      </c>
      <c r="AN62" s="144">
        <v>32</v>
      </c>
      <c r="AO62" s="144">
        <v>34</v>
      </c>
    </row>
    <row r="63" spans="10:41" ht="16.5" customHeight="1">
      <c r="J63" s="9">
        <v>59</v>
      </c>
      <c r="K63" s="16" t="s">
        <v>20</v>
      </c>
      <c r="L63" s="16" t="s">
        <v>22</v>
      </c>
      <c r="M63" s="16" t="s">
        <v>91</v>
      </c>
      <c r="N63" s="16" t="s">
        <v>21</v>
      </c>
      <c r="O63" s="16" t="s">
        <v>37</v>
      </c>
      <c r="Q63" s="9">
        <v>1</v>
      </c>
      <c r="R63" s="9">
        <v>3</v>
      </c>
      <c r="S63" s="9">
        <v>14</v>
      </c>
      <c r="T63" s="9">
        <v>2</v>
      </c>
      <c r="U63" s="9">
        <v>7</v>
      </c>
      <c r="W63" s="25">
        <v>1</v>
      </c>
      <c r="X63" s="25">
        <v>1</v>
      </c>
      <c r="Y63" s="25">
        <v>1</v>
      </c>
      <c r="Z63" s="25">
        <v>1</v>
      </c>
      <c r="AA63" s="25">
        <v>1</v>
      </c>
      <c r="AC63" s="166" t="str">
        <v>Q</v>
      </c>
      <c r="AD63" s="144">
        <v>7</v>
      </c>
      <c r="AE63" s="144">
        <v>12</v>
      </c>
      <c r="AF63" s="144">
        <v>0</v>
      </c>
      <c r="AG63" s="144">
        <v>6</v>
      </c>
      <c r="AH63" s="144">
        <v>13</v>
      </c>
      <c r="AI63" s="5"/>
      <c r="AJ63" s="166" t="str">
        <v>Q</v>
      </c>
      <c r="AK63" s="144">
        <v>7</v>
      </c>
      <c r="AL63" s="144">
        <v>12</v>
      </c>
      <c r="AM63" s="144">
        <v>0</v>
      </c>
      <c r="AN63" s="144">
        <v>6</v>
      </c>
      <c r="AO63" s="144">
        <v>13</v>
      </c>
    </row>
    <row r="64" spans="10:41" ht="16.5" customHeight="1">
      <c r="J64" s="25">
        <v>60</v>
      </c>
      <c r="K64" s="16" t="s">
        <v>35</v>
      </c>
      <c r="L64" s="16" t="s">
        <v>36</v>
      </c>
      <c r="M64" s="16" t="s">
        <v>119</v>
      </c>
      <c r="N64" s="16" t="s">
        <v>34</v>
      </c>
      <c r="O64" s="16" t="s">
        <v>19</v>
      </c>
      <c r="Q64" s="9">
        <v>8</v>
      </c>
      <c r="R64" s="9">
        <v>10</v>
      </c>
      <c r="S64" s="9">
        <v>17</v>
      </c>
      <c r="T64" s="9">
        <v>9</v>
      </c>
      <c r="U64" s="9">
        <v>5</v>
      </c>
      <c r="W64" s="25">
        <v>1</v>
      </c>
      <c r="X64" s="25">
        <v>1</v>
      </c>
      <c r="Y64" s="25">
        <v>1</v>
      </c>
      <c r="Z64" s="25">
        <v>1</v>
      </c>
      <c r="AA64" s="25">
        <v>1</v>
      </c>
      <c r="AC64" s="166" t="str">
        <v>J</v>
      </c>
      <c r="AD64" s="144">
        <v>7</v>
      </c>
      <c r="AE64" s="144">
        <v>8</v>
      </c>
      <c r="AF64" s="144">
        <v>0</v>
      </c>
      <c r="AG64" s="144">
        <v>7</v>
      </c>
      <c r="AH64" s="144">
        <v>14</v>
      </c>
      <c r="AI64" s="5"/>
      <c r="AJ64" s="166" t="str">
        <v>J</v>
      </c>
      <c r="AK64" s="144">
        <v>7</v>
      </c>
      <c r="AL64" s="144">
        <v>8</v>
      </c>
      <c r="AM64" s="144">
        <v>0</v>
      </c>
      <c r="AN64" s="144">
        <v>7</v>
      </c>
      <c r="AO64" s="144">
        <v>14</v>
      </c>
    </row>
    <row r="65" spans="10:41" ht="16.5" customHeight="1">
      <c r="J65" s="9">
        <v>61</v>
      </c>
      <c r="K65" s="16" t="s">
        <v>136</v>
      </c>
      <c r="L65" s="16" t="s">
        <v>37</v>
      </c>
      <c r="M65" s="16" t="s">
        <v>92</v>
      </c>
      <c r="N65" s="16" t="s">
        <v>92</v>
      </c>
      <c r="O65" s="16" t="s">
        <v>18</v>
      </c>
      <c r="Q65" s="9">
        <v>6</v>
      </c>
      <c r="R65" s="9">
        <v>7</v>
      </c>
      <c r="S65" s="9">
        <v>16</v>
      </c>
      <c r="T65" s="9">
        <v>16</v>
      </c>
      <c r="U65" s="9">
        <v>4</v>
      </c>
      <c r="W65" s="25">
        <v>1</v>
      </c>
      <c r="X65" s="25">
        <v>1</v>
      </c>
      <c r="Y65" s="25">
        <v>1</v>
      </c>
      <c r="Z65" s="25">
        <v>1</v>
      </c>
      <c r="AA65" s="25">
        <v>1</v>
      </c>
      <c r="AC65" s="149" t="str">
        <v>G1</v>
      </c>
      <c r="AD65" s="105">
        <v>0</v>
      </c>
      <c r="AE65" s="105">
        <v>2</v>
      </c>
      <c r="AF65" s="105">
        <v>3</v>
      </c>
      <c r="AG65" s="105">
        <v>1</v>
      </c>
      <c r="AH65" s="105">
        <v>0</v>
      </c>
      <c r="AI65" s="5"/>
      <c r="AJ65" s="149" t="str">
        <v>G1</v>
      </c>
      <c r="AK65" s="105">
        <v>0</v>
      </c>
      <c r="AL65" s="105">
        <v>2</v>
      </c>
      <c r="AM65" s="105">
        <v>3</v>
      </c>
      <c r="AN65" s="105">
        <v>1</v>
      </c>
      <c r="AO65" s="105">
        <v>0</v>
      </c>
    </row>
    <row r="66" spans="10:41" ht="16.5" customHeight="1">
      <c r="J66" s="25">
        <v>62</v>
      </c>
      <c r="K66" s="16" t="s">
        <v>35</v>
      </c>
      <c r="L66" s="16" t="s">
        <v>91</v>
      </c>
      <c r="M66" s="16" t="s">
        <v>91</v>
      </c>
      <c r="N66" s="16" t="s">
        <v>136</v>
      </c>
      <c r="O66" s="16" t="s">
        <v>36</v>
      </c>
      <c r="Q66" s="9">
        <v>8</v>
      </c>
      <c r="R66" s="9">
        <v>14</v>
      </c>
      <c r="S66" s="9">
        <v>14</v>
      </c>
      <c r="T66" s="9">
        <v>6</v>
      </c>
      <c r="U66" s="9">
        <v>10</v>
      </c>
      <c r="W66" s="25">
        <v>1</v>
      </c>
      <c r="X66" s="25">
        <v>1</v>
      </c>
      <c r="Y66" s="25">
        <v>1</v>
      </c>
      <c r="Z66" s="25">
        <v>1</v>
      </c>
      <c r="AA66" s="25">
        <v>1</v>
      </c>
      <c r="AC66" s="149" t="str">
        <v>G2</v>
      </c>
      <c r="AD66" s="105">
        <v>0</v>
      </c>
      <c r="AE66" s="105">
        <v>3</v>
      </c>
      <c r="AF66" s="105">
        <v>1</v>
      </c>
      <c r="AG66" s="105">
        <v>1</v>
      </c>
      <c r="AH66" s="105">
        <v>0</v>
      </c>
      <c r="AI66" s="5"/>
      <c r="AJ66" s="149" t="str">
        <v>G2</v>
      </c>
      <c r="AK66" s="105">
        <v>0</v>
      </c>
      <c r="AL66" s="105">
        <v>3</v>
      </c>
      <c r="AM66" s="105">
        <v>1</v>
      </c>
      <c r="AN66" s="105">
        <v>1</v>
      </c>
      <c r="AO66" s="105">
        <v>0</v>
      </c>
    </row>
    <row r="67" spans="10:41" ht="16.5" customHeight="1">
      <c r="J67" s="9">
        <v>63</v>
      </c>
      <c r="K67" s="16" t="s">
        <v>37</v>
      </c>
      <c r="L67" s="16" t="s">
        <v>19</v>
      </c>
      <c r="M67" s="16" t="s">
        <v>119</v>
      </c>
      <c r="N67" s="16" t="s">
        <v>19</v>
      </c>
      <c r="O67" s="16" t="s">
        <v>37</v>
      </c>
      <c r="Q67" s="9">
        <v>7</v>
      </c>
      <c r="R67" s="9">
        <v>5</v>
      </c>
      <c r="S67" s="9">
        <v>17</v>
      </c>
      <c r="T67" s="9">
        <v>5</v>
      </c>
      <c r="U67" s="9">
        <v>7</v>
      </c>
      <c r="W67" s="25">
        <v>1</v>
      </c>
      <c r="X67" s="25">
        <v>1</v>
      </c>
      <c r="Y67" s="25">
        <v>1</v>
      </c>
      <c r="Z67" s="25">
        <v>1</v>
      </c>
      <c r="AA67" s="25">
        <v>1</v>
      </c>
      <c r="AC67" s="149" t="str">
        <v>G3</v>
      </c>
      <c r="AD67" s="105">
        <v>0</v>
      </c>
      <c r="AE67" s="105">
        <v>3</v>
      </c>
      <c r="AF67" s="105">
        <v>8</v>
      </c>
      <c r="AG67" s="105">
        <v>2</v>
      </c>
      <c r="AH67" s="105">
        <v>0</v>
      </c>
      <c r="AI67" s="5"/>
      <c r="AJ67" s="149" t="str">
        <v>G3</v>
      </c>
      <c r="AK67" s="105">
        <v>0</v>
      </c>
      <c r="AL67" s="105">
        <v>3</v>
      </c>
      <c r="AM67" s="105">
        <v>8</v>
      </c>
      <c r="AN67" s="105">
        <v>2</v>
      </c>
      <c r="AO67" s="105">
        <v>0</v>
      </c>
    </row>
    <row r="68" spans="10:41" ht="16.5" customHeight="1">
      <c r="J68" s="25">
        <v>64</v>
      </c>
      <c r="K68" s="16" t="s">
        <v>35</v>
      </c>
      <c r="L68" s="16" t="s">
        <v>37</v>
      </c>
      <c r="M68" s="16" t="s">
        <v>20</v>
      </c>
      <c r="N68" s="16" t="s">
        <v>21</v>
      </c>
      <c r="O68" s="16" t="s">
        <v>18</v>
      </c>
      <c r="Q68" s="9">
        <v>8</v>
      </c>
      <c r="R68" s="9">
        <v>7</v>
      </c>
      <c r="S68" s="9">
        <v>1</v>
      </c>
      <c r="T68" s="9">
        <v>2</v>
      </c>
      <c r="U68" s="9">
        <v>4</v>
      </c>
      <c r="W68" s="25">
        <v>1</v>
      </c>
      <c r="X68" s="25">
        <v>1</v>
      </c>
      <c r="Y68" s="25">
        <v>1</v>
      </c>
      <c r="Z68" s="25">
        <v>1</v>
      </c>
      <c r="AA68" s="25">
        <v>1</v>
      </c>
      <c r="AC68" s="149" t="str">
        <v>G4</v>
      </c>
      <c r="AD68" s="105">
        <v>0</v>
      </c>
      <c r="AE68" s="105">
        <v>8</v>
      </c>
      <c r="AF68" s="105">
        <v>43</v>
      </c>
      <c r="AG68" s="105">
        <v>11</v>
      </c>
      <c r="AH68" s="105">
        <v>0</v>
      </c>
      <c r="AI68" s="5"/>
      <c r="AJ68" s="149" t="str">
        <v>G4</v>
      </c>
      <c r="AK68" s="105">
        <v>0</v>
      </c>
      <c r="AL68" s="105">
        <v>8</v>
      </c>
      <c r="AM68" s="105">
        <v>43</v>
      </c>
      <c r="AN68" s="105">
        <v>11</v>
      </c>
      <c r="AO68" s="105">
        <v>0</v>
      </c>
    </row>
    <row r="69" spans="10:41" ht="16.5" customHeight="1">
      <c r="J69" s="9">
        <v>65</v>
      </c>
      <c r="K69" s="16" t="s">
        <v>136</v>
      </c>
      <c r="L69" s="16" t="s">
        <v>34</v>
      </c>
      <c r="M69" s="16" t="s">
        <v>91</v>
      </c>
      <c r="N69" s="16" t="s">
        <v>35</v>
      </c>
      <c r="O69" s="16" t="s">
        <v>22</v>
      </c>
      <c r="Q69" s="9">
        <v>6</v>
      </c>
      <c r="R69" s="9">
        <v>9</v>
      </c>
      <c r="S69" s="9">
        <v>14</v>
      </c>
      <c r="T69" s="9">
        <v>8</v>
      </c>
      <c r="U69" s="9">
        <v>3</v>
      </c>
      <c r="W69" s="25">
        <v>1</v>
      </c>
      <c r="X69" s="25">
        <v>1</v>
      </c>
      <c r="Y69" s="25">
        <v>1</v>
      </c>
      <c r="Z69" s="25">
        <v>1</v>
      </c>
      <c r="AA69" s="25">
        <v>1</v>
      </c>
      <c r="AC69" s="149" t="str">
        <v>G5</v>
      </c>
      <c r="AD69" s="105">
        <v>0</v>
      </c>
      <c r="AE69" s="105">
        <v>8</v>
      </c>
      <c r="AF69" s="105">
        <v>42</v>
      </c>
      <c r="AG69" s="105">
        <v>12</v>
      </c>
      <c r="AH69" s="105">
        <v>0</v>
      </c>
      <c r="AI69" s="5"/>
      <c r="AJ69" s="149" t="str">
        <v>G5</v>
      </c>
      <c r="AK69" s="105">
        <v>0</v>
      </c>
      <c r="AL69" s="105">
        <v>8</v>
      </c>
      <c r="AM69" s="105">
        <v>42</v>
      </c>
      <c r="AN69" s="105">
        <v>12</v>
      </c>
      <c r="AO69" s="105">
        <v>0</v>
      </c>
    </row>
    <row r="70" spans="10:41" ht="16.5" customHeight="1">
      <c r="J70" s="25">
        <v>66</v>
      </c>
      <c r="K70" s="16" t="s">
        <v>35</v>
      </c>
      <c r="L70" s="16" t="s">
        <v>35</v>
      </c>
      <c r="M70" s="16" t="s">
        <v>137</v>
      </c>
      <c r="N70" s="16" t="s">
        <v>136</v>
      </c>
      <c r="O70" s="16" t="s">
        <v>19</v>
      </c>
      <c r="Q70" s="9">
        <v>8</v>
      </c>
      <c r="R70" s="9">
        <v>8</v>
      </c>
      <c r="S70" s="9">
        <v>15</v>
      </c>
      <c r="T70" s="9">
        <v>6</v>
      </c>
      <c r="U70" s="9">
        <v>5</v>
      </c>
      <c r="W70" s="25">
        <v>1</v>
      </c>
      <c r="X70" s="25">
        <v>1</v>
      </c>
      <c r="Y70" s="25">
        <v>1</v>
      </c>
      <c r="Z70" s="25">
        <v>1</v>
      </c>
      <c r="AA70" s="25">
        <v>1</v>
      </c>
      <c r="AC70" s="149" t="str">
        <v>GA</v>
      </c>
      <c r="AD70" s="105">
        <v>0</v>
      </c>
      <c r="AE70" s="105">
        <v>10</v>
      </c>
      <c r="AF70" s="105">
        <v>42</v>
      </c>
      <c r="AG70" s="105">
        <v>10</v>
      </c>
      <c r="AH70" s="105">
        <v>0</v>
      </c>
      <c r="AI70" s="5"/>
      <c r="AJ70" s="149" t="str">
        <v>GA</v>
      </c>
      <c r="AK70" s="105">
        <v>0</v>
      </c>
      <c r="AL70" s="105">
        <v>10</v>
      </c>
      <c r="AM70" s="105">
        <v>42</v>
      </c>
      <c r="AN70" s="105">
        <v>10</v>
      </c>
      <c r="AO70" s="105">
        <v>0</v>
      </c>
    </row>
    <row r="71" spans="10:41" ht="16.5" customHeight="1">
      <c r="J71" s="9">
        <v>67</v>
      </c>
      <c r="K71" s="16" t="s">
        <v>19</v>
      </c>
      <c r="L71" s="16" t="s">
        <v>19</v>
      </c>
      <c r="M71" s="16" t="s">
        <v>95</v>
      </c>
      <c r="N71" s="16" t="s">
        <v>19</v>
      </c>
      <c r="O71" s="16" t="s">
        <v>18</v>
      </c>
      <c r="Q71" s="9">
        <v>5</v>
      </c>
      <c r="R71" s="9">
        <v>5</v>
      </c>
      <c r="S71" s="9">
        <v>18</v>
      </c>
      <c r="T71" s="9">
        <v>5</v>
      </c>
      <c r="U71" s="9">
        <v>4</v>
      </c>
      <c r="W71" s="25">
        <v>1</v>
      </c>
      <c r="X71" s="25">
        <v>1</v>
      </c>
      <c r="Y71" s="25">
        <v>1</v>
      </c>
      <c r="Z71" s="25">
        <v>1</v>
      </c>
      <c r="AA71" s="25">
        <v>1</v>
      </c>
      <c r="AC71" s="149" t="str">
        <v>GK</v>
      </c>
      <c r="AD71" s="105">
        <v>0</v>
      </c>
      <c r="AE71" s="105">
        <v>9</v>
      </c>
      <c r="AF71" s="105">
        <v>44</v>
      </c>
      <c r="AG71" s="105">
        <v>10</v>
      </c>
      <c r="AH71" s="105">
        <v>0</v>
      </c>
      <c r="AI71" s="5"/>
      <c r="AJ71" s="149" t="str">
        <v>GK</v>
      </c>
      <c r="AK71" s="105">
        <v>0</v>
      </c>
      <c r="AL71" s="105">
        <v>9</v>
      </c>
      <c r="AM71" s="105">
        <v>44</v>
      </c>
      <c r="AN71" s="105">
        <v>10</v>
      </c>
      <c r="AO71" s="105">
        <v>0</v>
      </c>
    </row>
    <row r="72" spans="10:41" ht="16.5" customHeight="1">
      <c r="J72" s="25">
        <v>68</v>
      </c>
      <c r="K72" s="16" t="s">
        <v>35</v>
      </c>
      <c r="L72" s="16" t="s">
        <v>21</v>
      </c>
      <c r="M72" s="16" t="s">
        <v>92</v>
      </c>
      <c r="N72" s="16" t="s">
        <v>92</v>
      </c>
      <c r="O72" s="16" t="s">
        <v>22</v>
      </c>
      <c r="Q72" s="9">
        <v>8</v>
      </c>
      <c r="R72" s="9">
        <v>2</v>
      </c>
      <c r="S72" s="9">
        <v>16</v>
      </c>
      <c r="T72" s="9">
        <v>16</v>
      </c>
      <c r="U72" s="9">
        <v>3</v>
      </c>
      <c r="W72" s="25">
        <v>1</v>
      </c>
      <c r="X72" s="25">
        <v>1</v>
      </c>
      <c r="Y72" s="25">
        <v>1</v>
      </c>
      <c r="Z72" s="25">
        <v>1</v>
      </c>
      <c r="AA72" s="25">
        <v>1</v>
      </c>
      <c r="AC72" s="149" t="str">
        <v>GQ</v>
      </c>
      <c r="AD72" s="105">
        <v>0</v>
      </c>
      <c r="AE72" s="105">
        <v>3</v>
      </c>
      <c r="AF72" s="105">
        <v>6</v>
      </c>
      <c r="AG72" s="105">
        <v>1</v>
      </c>
      <c r="AH72" s="105">
        <v>0</v>
      </c>
      <c r="AI72" s="5"/>
      <c r="AJ72" s="149" t="str">
        <v>GQ</v>
      </c>
      <c r="AK72" s="105">
        <v>0</v>
      </c>
      <c r="AL72" s="105">
        <v>3</v>
      </c>
      <c r="AM72" s="105">
        <v>6</v>
      </c>
      <c r="AN72" s="105">
        <v>1</v>
      </c>
      <c r="AO72" s="105">
        <v>0</v>
      </c>
    </row>
    <row r="73" spans="10:41" ht="16.5" customHeight="1">
      <c r="J73" s="9">
        <v>69</v>
      </c>
      <c r="K73" s="16" t="s">
        <v>136</v>
      </c>
      <c r="L73" s="16" t="s">
        <v>34</v>
      </c>
      <c r="M73" s="16" t="s">
        <v>119</v>
      </c>
      <c r="N73" s="16" t="s">
        <v>36</v>
      </c>
      <c r="O73" s="16" t="s">
        <v>136</v>
      </c>
      <c r="Q73" s="9">
        <v>6</v>
      </c>
      <c r="R73" s="9">
        <v>9</v>
      </c>
      <c r="S73" s="9">
        <v>17</v>
      </c>
      <c r="T73" s="9">
        <v>10</v>
      </c>
      <c r="U73" s="9">
        <v>6</v>
      </c>
      <c r="W73" s="25">
        <v>1</v>
      </c>
      <c r="X73" s="25">
        <v>1</v>
      </c>
      <c r="Y73" s="25">
        <v>1</v>
      </c>
      <c r="Z73" s="25">
        <v>1</v>
      </c>
      <c r="AA73" s="25">
        <v>1</v>
      </c>
      <c r="AC73" s="149" t="str">
        <v>GJ</v>
      </c>
      <c r="AD73" s="105">
        <v>0</v>
      </c>
      <c r="AE73" s="105">
        <v>2</v>
      </c>
      <c r="AF73" s="105">
        <v>9</v>
      </c>
      <c r="AG73" s="105">
        <v>2</v>
      </c>
      <c r="AH73" s="105">
        <v>0</v>
      </c>
      <c r="AI73" s="5"/>
      <c r="AJ73" s="149" t="str">
        <v>GJ</v>
      </c>
      <c r="AK73" s="105">
        <v>0</v>
      </c>
      <c r="AL73" s="105">
        <v>2</v>
      </c>
      <c r="AM73" s="105">
        <v>9</v>
      </c>
      <c r="AN73" s="105">
        <v>2</v>
      </c>
      <c r="AO73" s="105">
        <v>0</v>
      </c>
    </row>
    <row r="74" spans="10:41" ht="16.5" customHeight="1">
      <c r="J74" s="25">
        <v>70</v>
      </c>
      <c r="K74" s="16" t="s">
        <v>35</v>
      </c>
      <c r="L74" s="16" t="s">
        <v>19</v>
      </c>
      <c r="M74" s="16" t="s">
        <v>137</v>
      </c>
      <c r="N74" s="16" t="s">
        <v>37</v>
      </c>
      <c r="O74" s="16" t="s">
        <v>19</v>
      </c>
      <c r="Q74" s="9">
        <v>8</v>
      </c>
      <c r="R74" s="9">
        <v>5</v>
      </c>
      <c r="S74" s="9">
        <v>15</v>
      </c>
      <c r="T74" s="9">
        <v>7</v>
      </c>
      <c r="U74" s="9">
        <v>5</v>
      </c>
      <c r="W74" s="25">
        <v>1</v>
      </c>
      <c r="X74" s="25">
        <v>1</v>
      </c>
      <c r="Y74" s="25">
        <v>1</v>
      </c>
      <c r="Z74" s="25">
        <v>1</v>
      </c>
      <c r="AA74" s="25">
        <v>1</v>
      </c>
      <c r="AD74" s="119">
        <f>SUM(AD54:AD73)</f>
        <v>199</v>
      </c>
      <c r="AE74" s="119">
        <f>SUM(AE54:AE73)</f>
        <v>199</v>
      </c>
      <c r="AF74" s="119">
        <f>SUM(AF54:AF73)</f>
        <v>199</v>
      </c>
      <c r="AG74" s="119">
        <f>SUM(AG54:AG73)</f>
        <v>198</v>
      </c>
      <c r="AH74" s="119">
        <f>SUM(AH54:AH73)</f>
        <v>198</v>
      </c>
      <c r="AI74" s="5"/>
      <c r="AK74" s="119">
        <f>SUM(AK54:AK73)</f>
        <v>199</v>
      </c>
      <c r="AL74" s="119">
        <f>SUM(AL54:AL73)</f>
        <v>199</v>
      </c>
      <c r="AM74" s="119">
        <f>SUM(AM54:AM73)</f>
        <v>199</v>
      </c>
      <c r="AN74" s="119">
        <f>SUM(AN54:AN73)</f>
        <v>198</v>
      </c>
      <c r="AO74" s="119">
        <f>SUM(AO54:AO73)</f>
        <v>198</v>
      </c>
    </row>
    <row r="75" spans="10:41" ht="16.5" customHeight="1">
      <c r="J75" s="9">
        <v>71</v>
      </c>
      <c r="K75" s="16" t="s">
        <v>36</v>
      </c>
      <c r="L75" s="16" t="s">
        <v>92</v>
      </c>
      <c r="M75" s="16" t="s">
        <v>92</v>
      </c>
      <c r="N75" s="16" t="s">
        <v>136</v>
      </c>
      <c r="O75" s="16" t="s">
        <v>34</v>
      </c>
      <c r="Q75" s="9">
        <v>10</v>
      </c>
      <c r="R75" s="9">
        <v>16</v>
      </c>
      <c r="S75" s="9">
        <v>16</v>
      </c>
      <c r="T75" s="9">
        <v>6</v>
      </c>
      <c r="U75" s="9">
        <v>9</v>
      </c>
      <c r="W75" s="25">
        <v>1</v>
      </c>
      <c r="X75" s="25">
        <v>1</v>
      </c>
      <c r="Y75" s="25">
        <v>1</v>
      </c>
      <c r="Z75" s="25">
        <v>1</v>
      </c>
      <c r="AA75" s="25">
        <v>1</v>
      </c>
      <c r="AH75" s="5"/>
      <c r="AI75" s="5"/>
      <c r="AO75" s="5"/>
    </row>
    <row r="76" spans="10:41" ht="16.5" customHeight="1">
      <c r="J76" s="25">
        <v>72</v>
      </c>
      <c r="K76" s="16" t="s">
        <v>37</v>
      </c>
      <c r="L76" s="16" t="s">
        <v>37</v>
      </c>
      <c r="M76" s="16" t="s">
        <v>137</v>
      </c>
      <c r="N76" s="16" t="s">
        <v>35</v>
      </c>
      <c r="O76" s="16" t="s">
        <v>136</v>
      </c>
      <c r="Q76" s="9">
        <v>7</v>
      </c>
      <c r="R76" s="9">
        <v>7</v>
      </c>
      <c r="S76" s="9">
        <v>15</v>
      </c>
      <c r="T76" s="9">
        <v>8</v>
      </c>
      <c r="U76" s="9">
        <v>6</v>
      </c>
      <c r="W76" s="25">
        <v>1</v>
      </c>
      <c r="X76" s="25">
        <v>1</v>
      </c>
      <c r="Y76" s="25">
        <v>1</v>
      </c>
      <c r="Z76" s="25">
        <v>1</v>
      </c>
      <c r="AA76" s="25">
        <v>1</v>
      </c>
      <c r="AH76" s="5"/>
      <c r="AI76" s="5"/>
      <c r="AO76" s="5"/>
    </row>
    <row r="77" spans="10:41" ht="16.5" customHeight="1">
      <c r="J77" s="9">
        <v>73</v>
      </c>
      <c r="K77" s="16" t="s">
        <v>136</v>
      </c>
      <c r="L77" s="16" t="s">
        <v>36</v>
      </c>
      <c r="M77" s="16" t="s">
        <v>88</v>
      </c>
      <c r="N77" s="16" t="s">
        <v>90</v>
      </c>
      <c r="O77" s="16" t="s">
        <v>19</v>
      </c>
      <c r="Q77" s="9">
        <v>6</v>
      </c>
      <c r="R77" s="9">
        <v>10</v>
      </c>
      <c r="S77" s="9">
        <v>11</v>
      </c>
      <c r="T77" s="9">
        <v>13</v>
      </c>
      <c r="U77" s="9">
        <v>5</v>
      </c>
      <c r="W77" s="25">
        <v>1</v>
      </c>
      <c r="X77" s="25">
        <v>1</v>
      </c>
      <c r="Y77" s="25">
        <v>1</v>
      </c>
      <c r="Z77" s="25">
        <v>1</v>
      </c>
      <c r="AA77" s="25">
        <v>1</v>
      </c>
      <c r="AH77" s="5"/>
      <c r="AI77" s="5"/>
      <c r="AO77" s="5"/>
    </row>
    <row r="78" spans="10:41" ht="16.5" customHeight="1">
      <c r="J78" s="25">
        <v>74</v>
      </c>
      <c r="K78" s="16" t="s">
        <v>37</v>
      </c>
      <c r="L78" s="16" t="s">
        <v>19</v>
      </c>
      <c r="M78" s="16" t="s">
        <v>137</v>
      </c>
      <c r="N78" s="16" t="s">
        <v>35</v>
      </c>
      <c r="O78" s="16" t="s">
        <v>37</v>
      </c>
      <c r="Q78" s="9">
        <v>7</v>
      </c>
      <c r="R78" s="9">
        <v>5</v>
      </c>
      <c r="S78" s="9">
        <v>15</v>
      </c>
      <c r="T78" s="9">
        <v>8</v>
      </c>
      <c r="U78" s="9">
        <v>7</v>
      </c>
      <c r="W78" s="25">
        <v>1</v>
      </c>
      <c r="X78" s="25">
        <v>1</v>
      </c>
      <c r="Y78" s="25">
        <v>1</v>
      </c>
      <c r="Z78" s="25">
        <v>1</v>
      </c>
      <c r="AA78" s="25">
        <v>1</v>
      </c>
      <c r="AH78" s="5"/>
      <c r="AI78" s="5"/>
      <c r="AO78" s="5"/>
    </row>
    <row r="79" spans="10:41" ht="16.5" customHeight="1">
      <c r="J79" s="9">
        <v>75</v>
      </c>
      <c r="K79" s="16" t="s">
        <v>35</v>
      </c>
      <c r="L79" s="16" t="s">
        <v>22</v>
      </c>
      <c r="M79" s="16" t="s">
        <v>91</v>
      </c>
      <c r="N79" s="16" t="s">
        <v>19</v>
      </c>
      <c r="O79" s="16" t="s">
        <v>19</v>
      </c>
      <c r="Q79" s="9">
        <v>8</v>
      </c>
      <c r="R79" s="9">
        <v>3</v>
      </c>
      <c r="S79" s="9">
        <v>14</v>
      </c>
      <c r="T79" s="9">
        <v>5</v>
      </c>
      <c r="U79" s="9">
        <v>5</v>
      </c>
      <c r="W79" s="25">
        <v>1</v>
      </c>
      <c r="X79" s="25">
        <v>1</v>
      </c>
      <c r="Y79" s="25">
        <v>1</v>
      </c>
      <c r="Z79" s="25">
        <v>1</v>
      </c>
      <c r="AA79" s="25">
        <v>1</v>
      </c>
      <c r="AH79" s="5"/>
      <c r="AI79" s="5"/>
      <c r="AO79" s="5"/>
    </row>
    <row r="80" spans="10:41">
      <c r="J80" s="25">
        <v>76</v>
      </c>
      <c r="K80" s="16" t="s">
        <v>37</v>
      </c>
      <c r="L80" s="16" t="s">
        <v>37</v>
      </c>
      <c r="M80" s="16" t="s">
        <v>92</v>
      </c>
      <c r="N80" s="16" t="s">
        <v>37</v>
      </c>
      <c r="O80" s="16" t="s">
        <v>136</v>
      </c>
      <c r="Q80" s="9">
        <v>7</v>
      </c>
      <c r="R80" s="9">
        <v>7</v>
      </c>
      <c r="S80" s="9">
        <v>16</v>
      </c>
      <c r="T80" s="9">
        <v>7</v>
      </c>
      <c r="U80" s="9">
        <v>6</v>
      </c>
      <c r="W80" s="25">
        <v>1</v>
      </c>
      <c r="X80" s="25">
        <v>1</v>
      </c>
      <c r="Y80" s="25">
        <v>1</v>
      </c>
      <c r="Z80" s="25">
        <v>1</v>
      </c>
      <c r="AA80" s="25">
        <v>1</v>
      </c>
      <c r="AH80" s="5"/>
      <c r="AI80" s="5"/>
      <c r="AO80" s="5"/>
    </row>
    <row r="81" spans="10:41">
      <c r="J81" s="9">
        <v>77</v>
      </c>
      <c r="K81" s="16" t="s">
        <v>35</v>
      </c>
      <c r="L81" s="16" t="s">
        <v>19</v>
      </c>
      <c r="M81" s="16" t="s">
        <v>91</v>
      </c>
      <c r="N81" s="16" t="s">
        <v>19</v>
      </c>
      <c r="O81" s="16" t="s">
        <v>37</v>
      </c>
      <c r="Q81" s="9">
        <v>8</v>
      </c>
      <c r="R81" s="9">
        <v>5</v>
      </c>
      <c r="S81" s="9">
        <v>14</v>
      </c>
      <c r="T81" s="9">
        <v>5</v>
      </c>
      <c r="U81" s="9">
        <v>7</v>
      </c>
      <c r="W81" s="25">
        <v>1</v>
      </c>
      <c r="X81" s="25">
        <v>1</v>
      </c>
      <c r="Y81" s="25">
        <v>1</v>
      </c>
      <c r="Z81" s="25">
        <v>1</v>
      </c>
      <c r="AA81" s="25">
        <v>1</v>
      </c>
      <c r="AH81" s="5"/>
      <c r="AI81" s="5"/>
      <c r="AO81" s="5"/>
    </row>
    <row r="82" spans="10:41">
      <c r="J82" s="25">
        <v>78</v>
      </c>
      <c r="K82" s="16" t="s">
        <v>37</v>
      </c>
      <c r="L82" s="16" t="s">
        <v>90</v>
      </c>
      <c r="M82" s="16" t="s">
        <v>92</v>
      </c>
      <c r="N82" s="16" t="s">
        <v>92</v>
      </c>
      <c r="O82" s="16" t="s">
        <v>36</v>
      </c>
      <c r="Q82" s="9">
        <v>7</v>
      </c>
      <c r="R82" s="9">
        <v>13</v>
      </c>
      <c r="S82" s="9">
        <v>16</v>
      </c>
      <c r="T82" s="9">
        <v>16</v>
      </c>
      <c r="U82" s="9">
        <v>10</v>
      </c>
      <c r="W82" s="25">
        <v>1</v>
      </c>
      <c r="X82" s="25">
        <v>1</v>
      </c>
      <c r="Y82" s="25">
        <v>1</v>
      </c>
      <c r="Z82" s="25">
        <v>1</v>
      </c>
      <c r="AA82" s="25">
        <v>1</v>
      </c>
      <c r="AH82" s="5"/>
      <c r="AI82" s="5"/>
      <c r="AO82" s="5"/>
    </row>
    <row r="83" spans="10:41">
      <c r="J83" s="9">
        <v>79</v>
      </c>
      <c r="K83" s="16" t="s">
        <v>19</v>
      </c>
      <c r="L83" s="16" t="s">
        <v>136</v>
      </c>
      <c r="M83" s="16" t="s">
        <v>97</v>
      </c>
      <c r="N83" s="16" t="s">
        <v>19</v>
      </c>
      <c r="O83" s="16" t="s">
        <v>21</v>
      </c>
      <c r="Q83" s="9">
        <v>5</v>
      </c>
      <c r="R83" s="9">
        <v>6</v>
      </c>
      <c r="S83" s="9">
        <v>19</v>
      </c>
      <c r="T83" s="9">
        <v>5</v>
      </c>
      <c r="U83" s="9">
        <v>2</v>
      </c>
      <c r="W83" s="25">
        <v>1</v>
      </c>
      <c r="X83" s="25">
        <v>1</v>
      </c>
      <c r="Y83" s="25">
        <v>1</v>
      </c>
      <c r="Z83" s="25">
        <v>1</v>
      </c>
      <c r="AA83" s="25">
        <v>1</v>
      </c>
      <c r="AH83" s="5"/>
      <c r="AI83" s="5"/>
      <c r="AO83" s="5"/>
    </row>
    <row r="84" spans="10:41">
      <c r="J84" s="25">
        <v>80</v>
      </c>
      <c r="K84" s="16" t="s">
        <v>18</v>
      </c>
      <c r="L84" s="16" t="s">
        <v>97</v>
      </c>
      <c r="M84" s="16" t="s">
        <v>137</v>
      </c>
      <c r="N84" s="16" t="s">
        <v>35</v>
      </c>
      <c r="O84" s="16" t="s">
        <v>18</v>
      </c>
      <c r="Q84" s="9">
        <v>4</v>
      </c>
      <c r="R84" s="9">
        <v>19</v>
      </c>
      <c r="S84" s="9">
        <v>15</v>
      </c>
      <c r="T84" s="9">
        <v>8</v>
      </c>
      <c r="U84" s="9">
        <v>4</v>
      </c>
      <c r="W84" s="25">
        <v>1</v>
      </c>
      <c r="X84" s="25">
        <v>1</v>
      </c>
      <c r="Y84" s="25">
        <v>1</v>
      </c>
      <c r="Z84" s="25">
        <v>1</v>
      </c>
      <c r="AA84" s="25">
        <v>1</v>
      </c>
      <c r="AH84" s="5"/>
      <c r="AI84" s="5"/>
      <c r="AO84" s="5"/>
    </row>
    <row r="85" spans="10:41">
      <c r="J85" s="9">
        <v>81</v>
      </c>
      <c r="K85" s="16" t="s">
        <v>36</v>
      </c>
      <c r="L85" s="16" t="s">
        <v>91</v>
      </c>
      <c r="M85" s="16" t="s">
        <v>119</v>
      </c>
      <c r="N85" s="16" t="s">
        <v>92</v>
      </c>
      <c r="O85" s="16" t="s">
        <v>37</v>
      </c>
      <c r="Q85" s="9">
        <v>10</v>
      </c>
      <c r="R85" s="9">
        <v>14</v>
      </c>
      <c r="S85" s="9">
        <v>17</v>
      </c>
      <c r="T85" s="9">
        <v>16</v>
      </c>
      <c r="U85" s="9">
        <v>7</v>
      </c>
      <c r="W85" s="25">
        <v>1</v>
      </c>
      <c r="X85" s="25">
        <v>1</v>
      </c>
      <c r="Y85" s="25">
        <v>1</v>
      </c>
      <c r="Z85" s="25">
        <v>1</v>
      </c>
      <c r="AA85" s="25">
        <v>1</v>
      </c>
      <c r="AH85" s="5"/>
      <c r="AI85" s="5"/>
      <c r="AO85" s="5"/>
    </row>
    <row r="86" spans="10:41">
      <c r="J86" s="25">
        <v>82</v>
      </c>
      <c r="K86" s="16" t="s">
        <v>19</v>
      </c>
      <c r="L86" s="16" t="s">
        <v>35</v>
      </c>
      <c r="M86" s="16" t="s">
        <v>97</v>
      </c>
      <c r="N86" s="16" t="s">
        <v>36</v>
      </c>
      <c r="O86" s="16" t="s">
        <v>35</v>
      </c>
      <c r="Q86" s="9">
        <v>5</v>
      </c>
      <c r="R86" s="9">
        <v>8</v>
      </c>
      <c r="S86" s="9">
        <v>19</v>
      </c>
      <c r="T86" s="9">
        <v>10</v>
      </c>
      <c r="U86" s="9">
        <v>8</v>
      </c>
      <c r="W86" s="25">
        <v>1</v>
      </c>
      <c r="X86" s="25">
        <v>1</v>
      </c>
      <c r="Y86" s="25">
        <v>1</v>
      </c>
      <c r="Z86" s="25">
        <v>1</v>
      </c>
      <c r="AA86" s="25">
        <v>1</v>
      </c>
      <c r="AH86" s="5"/>
      <c r="AI86" s="5"/>
      <c r="AO86" s="5"/>
    </row>
    <row r="87" spans="10:41">
      <c r="J87" s="9">
        <v>83</v>
      </c>
      <c r="K87" s="16" t="s">
        <v>37</v>
      </c>
      <c r="L87" s="16" t="s">
        <v>19</v>
      </c>
      <c r="M87" s="16" t="s">
        <v>90</v>
      </c>
      <c r="N87" s="16" t="s">
        <v>136</v>
      </c>
      <c r="O87" s="16" t="s">
        <v>136</v>
      </c>
      <c r="Q87" s="9">
        <v>7</v>
      </c>
      <c r="R87" s="9">
        <v>5</v>
      </c>
      <c r="S87" s="9">
        <v>13</v>
      </c>
      <c r="T87" s="9">
        <v>6</v>
      </c>
      <c r="U87" s="9">
        <v>6</v>
      </c>
      <c r="W87" s="25">
        <v>1</v>
      </c>
      <c r="X87" s="25">
        <v>1</v>
      </c>
      <c r="Y87" s="25">
        <v>1</v>
      </c>
      <c r="Z87" s="25">
        <v>1</v>
      </c>
      <c r="AA87" s="25">
        <v>1</v>
      </c>
      <c r="AH87" s="5"/>
      <c r="AI87" s="5"/>
      <c r="AO87" s="5"/>
    </row>
    <row r="88" spans="10:41">
      <c r="J88" s="25">
        <v>84</v>
      </c>
      <c r="K88" s="16" t="s">
        <v>35</v>
      </c>
      <c r="L88" s="16" t="s">
        <v>37</v>
      </c>
      <c r="M88" s="16" t="s">
        <v>137</v>
      </c>
      <c r="N88" s="16" t="s">
        <v>19</v>
      </c>
      <c r="O88" s="16" t="s">
        <v>19</v>
      </c>
      <c r="Q88" s="9">
        <v>8</v>
      </c>
      <c r="R88" s="9">
        <v>7</v>
      </c>
      <c r="S88" s="9">
        <v>15</v>
      </c>
      <c r="T88" s="9">
        <v>5</v>
      </c>
      <c r="U88" s="9">
        <v>5</v>
      </c>
      <c r="W88" s="25">
        <v>1</v>
      </c>
      <c r="X88" s="25">
        <v>1</v>
      </c>
      <c r="Y88" s="25">
        <v>1</v>
      </c>
      <c r="Z88" s="25">
        <v>1</v>
      </c>
      <c r="AA88" s="25">
        <v>1</v>
      </c>
      <c r="AH88" s="5"/>
      <c r="AI88" s="5"/>
      <c r="AO88" s="5"/>
    </row>
    <row r="89" spans="10:41">
      <c r="J89" s="9">
        <v>85</v>
      </c>
      <c r="K89" s="16" t="s">
        <v>19</v>
      </c>
      <c r="L89" s="16" t="s">
        <v>35</v>
      </c>
      <c r="M89" s="16" t="s">
        <v>119</v>
      </c>
      <c r="N89" s="16" t="s">
        <v>20</v>
      </c>
      <c r="O89" s="16" t="s">
        <v>36</v>
      </c>
      <c r="Q89" s="9">
        <v>5</v>
      </c>
      <c r="R89" s="9">
        <v>8</v>
      </c>
      <c r="S89" s="9">
        <v>17</v>
      </c>
      <c r="T89" s="9">
        <v>1</v>
      </c>
      <c r="U89" s="9">
        <v>10</v>
      </c>
      <c r="W89" s="25">
        <v>1</v>
      </c>
      <c r="X89" s="25">
        <v>1</v>
      </c>
      <c r="Y89" s="25">
        <v>1</v>
      </c>
      <c r="Z89" s="25">
        <v>1</v>
      </c>
      <c r="AA89" s="25">
        <v>1</v>
      </c>
      <c r="AH89" s="5"/>
      <c r="AI89" s="5"/>
      <c r="AO89" s="5"/>
    </row>
    <row r="90" spans="10:41">
      <c r="J90" s="25">
        <v>86</v>
      </c>
      <c r="K90" s="16" t="s">
        <v>37</v>
      </c>
      <c r="L90" s="16" t="s">
        <v>34</v>
      </c>
      <c r="M90" s="16" t="s">
        <v>137</v>
      </c>
      <c r="N90" s="16" t="s">
        <v>19</v>
      </c>
      <c r="O90" s="16" t="s">
        <v>37</v>
      </c>
      <c r="Q90" s="9">
        <v>7</v>
      </c>
      <c r="R90" s="9">
        <v>9</v>
      </c>
      <c r="S90" s="9">
        <v>15</v>
      </c>
      <c r="T90" s="9">
        <v>5</v>
      </c>
      <c r="U90" s="9">
        <v>7</v>
      </c>
      <c r="W90" s="25">
        <v>1</v>
      </c>
      <c r="X90" s="25">
        <v>1</v>
      </c>
      <c r="Y90" s="25">
        <v>1</v>
      </c>
      <c r="Z90" s="25">
        <v>1</v>
      </c>
      <c r="AA90" s="25">
        <v>1</v>
      </c>
      <c r="AH90" s="5"/>
      <c r="AI90" s="5"/>
      <c r="AO90" s="5"/>
    </row>
    <row r="91" spans="10:41">
      <c r="J91" s="9">
        <v>87</v>
      </c>
      <c r="K91" s="16" t="s">
        <v>136</v>
      </c>
      <c r="L91" s="16" t="s">
        <v>21</v>
      </c>
      <c r="M91" s="16" t="s">
        <v>88</v>
      </c>
      <c r="N91" s="16" t="s">
        <v>35</v>
      </c>
      <c r="O91" s="16" t="s">
        <v>35</v>
      </c>
      <c r="Q91" s="9">
        <v>6</v>
      </c>
      <c r="R91" s="9">
        <v>2</v>
      </c>
      <c r="S91" s="9">
        <v>11</v>
      </c>
      <c r="T91" s="9">
        <v>8</v>
      </c>
      <c r="U91" s="9">
        <v>8</v>
      </c>
      <c r="W91" s="25">
        <v>1</v>
      </c>
      <c r="X91" s="25">
        <v>1</v>
      </c>
      <c r="Y91" s="25">
        <v>1</v>
      </c>
      <c r="Z91" s="25">
        <v>1</v>
      </c>
      <c r="AA91" s="25">
        <v>1</v>
      </c>
      <c r="AH91" s="5"/>
      <c r="AI91" s="5"/>
      <c r="AO91" s="5"/>
    </row>
    <row r="92" spans="10:41">
      <c r="J92" s="25">
        <v>88</v>
      </c>
      <c r="K92" s="16" t="s">
        <v>19</v>
      </c>
      <c r="L92" s="16" t="s">
        <v>19</v>
      </c>
      <c r="M92" s="16" t="s">
        <v>119</v>
      </c>
      <c r="N92" s="16" t="s">
        <v>37</v>
      </c>
      <c r="O92" s="16" t="s">
        <v>34</v>
      </c>
      <c r="Q92" s="9">
        <v>5</v>
      </c>
      <c r="R92" s="9">
        <v>5</v>
      </c>
      <c r="S92" s="9">
        <v>17</v>
      </c>
      <c r="T92" s="9">
        <v>7</v>
      </c>
      <c r="U92" s="9">
        <v>9</v>
      </c>
      <c r="W92" s="25">
        <v>1</v>
      </c>
      <c r="X92" s="25">
        <v>1</v>
      </c>
      <c r="Y92" s="25">
        <v>1</v>
      </c>
      <c r="Z92" s="25">
        <v>1</v>
      </c>
      <c r="AA92" s="25">
        <v>1</v>
      </c>
      <c r="AH92" s="5"/>
      <c r="AI92" s="5"/>
      <c r="AO92" s="5"/>
    </row>
    <row r="93" spans="10:41">
      <c r="J93" s="9">
        <v>89</v>
      </c>
      <c r="K93" s="16" t="s">
        <v>36</v>
      </c>
      <c r="L93" s="16" t="s">
        <v>136</v>
      </c>
      <c r="M93" s="16" t="s">
        <v>91</v>
      </c>
      <c r="N93" s="16" t="s">
        <v>136</v>
      </c>
      <c r="O93" s="16" t="s">
        <v>35</v>
      </c>
      <c r="Q93" s="9">
        <v>10</v>
      </c>
      <c r="R93" s="9">
        <v>6</v>
      </c>
      <c r="S93" s="9">
        <v>14</v>
      </c>
      <c r="T93" s="9">
        <v>6</v>
      </c>
      <c r="U93" s="9">
        <v>8</v>
      </c>
      <c r="W93" s="25">
        <v>1</v>
      </c>
      <c r="X93" s="25">
        <v>1</v>
      </c>
      <c r="Y93" s="25">
        <v>1</v>
      </c>
      <c r="Z93" s="25">
        <v>1</v>
      </c>
      <c r="AA93" s="25">
        <v>1</v>
      </c>
      <c r="AH93" s="5"/>
      <c r="AI93" s="5"/>
      <c r="AO93" s="5"/>
    </row>
    <row r="94" spans="10:41">
      <c r="J94" s="25">
        <v>90</v>
      </c>
      <c r="K94" s="16" t="s">
        <v>35</v>
      </c>
      <c r="L94" s="16" t="s">
        <v>89</v>
      </c>
      <c r="M94" s="16" t="s">
        <v>119</v>
      </c>
      <c r="N94" s="16" t="s">
        <v>92</v>
      </c>
      <c r="O94" s="16" t="s">
        <v>20</v>
      </c>
      <c r="Q94" s="9">
        <v>8</v>
      </c>
      <c r="R94" s="9">
        <v>12</v>
      </c>
      <c r="S94" s="9">
        <v>17</v>
      </c>
      <c r="T94" s="9">
        <v>16</v>
      </c>
      <c r="U94" s="9">
        <v>1</v>
      </c>
      <c r="W94" s="25">
        <v>1</v>
      </c>
      <c r="X94" s="25">
        <v>1</v>
      </c>
      <c r="Y94" s="25">
        <v>1</v>
      </c>
      <c r="Z94" s="25">
        <v>1</v>
      </c>
      <c r="AA94" s="25">
        <v>1</v>
      </c>
      <c r="AH94" s="5"/>
      <c r="AI94" s="5"/>
      <c r="AO94" s="5"/>
    </row>
    <row r="95" spans="10:41">
      <c r="J95" s="9">
        <v>91</v>
      </c>
      <c r="K95" s="16" t="s">
        <v>136</v>
      </c>
      <c r="L95" s="16" t="s">
        <v>119</v>
      </c>
      <c r="M95" s="16" t="s">
        <v>88</v>
      </c>
      <c r="N95" s="16" t="s">
        <v>137</v>
      </c>
      <c r="O95" s="16" t="s">
        <v>35</v>
      </c>
      <c r="Q95" s="9">
        <v>6</v>
      </c>
      <c r="R95" s="9">
        <v>17</v>
      </c>
      <c r="S95" s="9">
        <v>11</v>
      </c>
      <c r="T95" s="9">
        <v>15</v>
      </c>
      <c r="U95" s="9">
        <v>8</v>
      </c>
      <c r="W95" s="25">
        <v>1</v>
      </c>
      <c r="X95" s="25">
        <v>1</v>
      </c>
      <c r="Y95" s="25">
        <v>1</v>
      </c>
      <c r="Z95" s="25">
        <v>1</v>
      </c>
      <c r="AA95" s="25">
        <v>1</v>
      </c>
      <c r="AH95" s="5"/>
      <c r="AI95" s="5"/>
      <c r="AO95" s="5"/>
    </row>
    <row r="96" spans="10:41">
      <c r="J96" s="25">
        <v>92</v>
      </c>
      <c r="K96" s="16" t="s">
        <v>19</v>
      </c>
      <c r="L96" s="16" t="s">
        <v>136</v>
      </c>
      <c r="M96" s="16" t="s">
        <v>95</v>
      </c>
      <c r="N96" s="16" t="s">
        <v>20</v>
      </c>
      <c r="O96" s="16" t="s">
        <v>19</v>
      </c>
      <c r="Q96" s="9">
        <v>5</v>
      </c>
      <c r="R96" s="9">
        <v>6</v>
      </c>
      <c r="S96" s="9">
        <v>18</v>
      </c>
      <c r="T96" s="9">
        <v>1</v>
      </c>
      <c r="U96" s="9">
        <v>5</v>
      </c>
      <c r="W96" s="25">
        <v>1</v>
      </c>
      <c r="X96" s="25">
        <v>1</v>
      </c>
      <c r="Y96" s="25">
        <v>1</v>
      </c>
      <c r="Z96" s="25">
        <v>1</v>
      </c>
      <c r="AA96" s="25">
        <v>1</v>
      </c>
      <c r="AH96" s="5"/>
      <c r="AI96" s="5"/>
      <c r="AO96" s="5"/>
    </row>
    <row r="97" spans="10:41">
      <c r="J97" s="9">
        <v>93</v>
      </c>
      <c r="K97" s="16" t="s">
        <v>37</v>
      </c>
      <c r="L97" s="16" t="s">
        <v>119</v>
      </c>
      <c r="M97" s="16" t="s">
        <v>137</v>
      </c>
      <c r="N97" s="16" t="s">
        <v>35</v>
      </c>
      <c r="O97" s="16" t="s">
        <v>36</v>
      </c>
      <c r="Q97" s="9">
        <v>7</v>
      </c>
      <c r="R97" s="9">
        <v>17</v>
      </c>
      <c r="S97" s="9">
        <v>15</v>
      </c>
      <c r="T97" s="9">
        <v>8</v>
      </c>
      <c r="U97" s="9">
        <v>10</v>
      </c>
      <c r="W97" s="25">
        <v>1</v>
      </c>
      <c r="X97" s="25">
        <v>1</v>
      </c>
      <c r="Y97" s="25">
        <v>1</v>
      </c>
      <c r="Z97" s="25">
        <v>1</v>
      </c>
      <c r="AA97" s="25">
        <v>1</v>
      </c>
      <c r="AH97" s="5"/>
      <c r="AI97" s="5"/>
      <c r="AO97" s="5"/>
    </row>
    <row r="98" spans="10:41">
      <c r="J98" s="25">
        <v>94</v>
      </c>
      <c r="K98" s="16" t="s">
        <v>35</v>
      </c>
      <c r="L98" s="16" t="s">
        <v>21</v>
      </c>
      <c r="M98" s="16" t="s">
        <v>91</v>
      </c>
      <c r="N98" s="16" t="s">
        <v>37</v>
      </c>
      <c r="O98" s="16" t="s">
        <v>19</v>
      </c>
      <c r="Q98" s="9">
        <v>8</v>
      </c>
      <c r="R98" s="9">
        <v>2</v>
      </c>
      <c r="S98" s="9">
        <v>14</v>
      </c>
      <c r="T98" s="9">
        <v>7</v>
      </c>
      <c r="U98" s="9">
        <v>5</v>
      </c>
      <c r="W98" s="25">
        <v>1</v>
      </c>
      <c r="X98" s="25">
        <v>1</v>
      </c>
      <c r="Y98" s="25">
        <v>1</v>
      </c>
      <c r="Z98" s="25">
        <v>1</v>
      </c>
      <c r="AA98" s="25">
        <v>1</v>
      </c>
      <c r="AH98" s="5"/>
      <c r="AI98" s="5"/>
      <c r="AO98" s="5"/>
    </row>
    <row r="99" spans="10:41">
      <c r="J99" s="9">
        <v>95</v>
      </c>
      <c r="K99" s="16" t="s">
        <v>136</v>
      </c>
      <c r="L99" s="16" t="s">
        <v>19</v>
      </c>
      <c r="M99" s="16" t="s">
        <v>137</v>
      </c>
      <c r="N99" s="16" t="s">
        <v>137</v>
      </c>
      <c r="O99" s="16" t="s">
        <v>136</v>
      </c>
      <c r="Q99" s="9">
        <v>6</v>
      </c>
      <c r="R99" s="9">
        <v>5</v>
      </c>
      <c r="S99" s="9">
        <v>15</v>
      </c>
      <c r="T99" s="9">
        <v>15</v>
      </c>
      <c r="U99" s="9">
        <v>6</v>
      </c>
      <c r="W99" s="25">
        <v>1</v>
      </c>
      <c r="X99" s="25">
        <v>1</v>
      </c>
      <c r="Y99" s="25">
        <v>1</v>
      </c>
      <c r="Z99" s="25">
        <v>1</v>
      </c>
      <c r="AA99" s="25">
        <v>1</v>
      </c>
      <c r="AH99" s="5"/>
      <c r="AI99" s="5"/>
      <c r="AO99" s="5"/>
    </row>
    <row r="100" spans="10:41">
      <c r="J100" s="25">
        <v>96</v>
      </c>
      <c r="K100" s="16" t="s">
        <v>19</v>
      </c>
      <c r="L100" s="16" t="s">
        <v>35</v>
      </c>
      <c r="M100" s="16" t="s">
        <v>119</v>
      </c>
      <c r="N100" s="16" t="s">
        <v>35</v>
      </c>
      <c r="O100" s="16" t="s">
        <v>35</v>
      </c>
      <c r="Q100" s="9">
        <v>5</v>
      </c>
      <c r="R100" s="9">
        <v>8</v>
      </c>
      <c r="S100" s="9">
        <v>17</v>
      </c>
      <c r="T100" s="9">
        <v>8</v>
      </c>
      <c r="U100" s="9">
        <v>8</v>
      </c>
      <c r="W100" s="25">
        <v>1</v>
      </c>
      <c r="X100" s="25">
        <v>1</v>
      </c>
      <c r="Y100" s="25">
        <v>1</v>
      </c>
      <c r="Z100" s="25">
        <v>1</v>
      </c>
      <c r="AA100" s="25">
        <v>1</v>
      </c>
      <c r="AH100" s="5"/>
      <c r="AI100" s="5"/>
      <c r="AO100" s="5"/>
    </row>
    <row r="101" spans="10:41">
      <c r="J101" s="9">
        <v>97</v>
      </c>
      <c r="K101" s="16" t="s">
        <v>37</v>
      </c>
      <c r="L101" s="16" t="s">
        <v>119</v>
      </c>
      <c r="M101" s="16" t="s">
        <v>91</v>
      </c>
      <c r="N101" s="16" t="s">
        <v>119</v>
      </c>
      <c r="O101" s="16" t="s">
        <v>34</v>
      </c>
      <c r="Q101" s="9">
        <v>7</v>
      </c>
      <c r="R101" s="9">
        <v>17</v>
      </c>
      <c r="S101" s="9">
        <v>14</v>
      </c>
      <c r="T101" s="9">
        <v>17</v>
      </c>
      <c r="U101" s="9">
        <v>9</v>
      </c>
      <c r="W101" s="25">
        <v>1</v>
      </c>
      <c r="X101" s="25">
        <v>1</v>
      </c>
      <c r="Y101" s="25">
        <v>1</v>
      </c>
      <c r="Z101" s="25">
        <v>1</v>
      </c>
      <c r="AA101" s="25">
        <v>1</v>
      </c>
      <c r="AH101" s="5"/>
      <c r="AI101" s="5"/>
      <c r="AO101" s="5"/>
    </row>
    <row r="102" spans="10:41">
      <c r="J102" s="25">
        <v>98</v>
      </c>
      <c r="K102" s="16" t="s">
        <v>21</v>
      </c>
      <c r="L102" s="16" t="s">
        <v>35</v>
      </c>
      <c r="M102" s="16" t="s">
        <v>92</v>
      </c>
      <c r="N102" s="16" t="s">
        <v>34</v>
      </c>
      <c r="O102" s="16" t="s">
        <v>21</v>
      </c>
      <c r="Q102" s="9">
        <v>2</v>
      </c>
      <c r="R102" s="9">
        <v>8</v>
      </c>
      <c r="S102" s="9">
        <v>16</v>
      </c>
      <c r="T102" s="9">
        <v>9</v>
      </c>
      <c r="U102" s="9">
        <v>2</v>
      </c>
      <c r="W102" s="25">
        <v>1</v>
      </c>
      <c r="X102" s="25">
        <v>1</v>
      </c>
      <c r="Y102" s="25">
        <v>1</v>
      </c>
      <c r="Z102" s="25">
        <v>1</v>
      </c>
      <c r="AA102" s="25">
        <v>1</v>
      </c>
      <c r="AH102" s="5"/>
      <c r="AI102" s="5"/>
      <c r="AO102" s="5"/>
    </row>
    <row r="103" spans="10:41">
      <c r="J103" s="9">
        <v>99</v>
      </c>
      <c r="K103" s="16" t="s">
        <v>37</v>
      </c>
      <c r="L103" s="16" t="s">
        <v>21</v>
      </c>
      <c r="M103" s="16" t="s">
        <v>91</v>
      </c>
      <c r="N103" s="16" t="s">
        <v>37</v>
      </c>
      <c r="O103" s="16" t="s">
        <v>35</v>
      </c>
      <c r="Q103" s="9">
        <v>7</v>
      </c>
      <c r="R103" s="9">
        <v>2</v>
      </c>
      <c r="S103" s="9">
        <v>14</v>
      </c>
      <c r="T103" s="9">
        <v>7</v>
      </c>
      <c r="U103" s="9">
        <v>8</v>
      </c>
      <c r="W103" s="25">
        <v>1</v>
      </c>
      <c r="X103" s="25">
        <v>1</v>
      </c>
      <c r="Y103" s="25">
        <v>1</v>
      </c>
      <c r="Z103" s="25">
        <v>1</v>
      </c>
      <c r="AA103" s="25">
        <v>1</v>
      </c>
      <c r="AH103" s="5"/>
      <c r="AI103" s="5"/>
      <c r="AO103" s="5"/>
    </row>
    <row r="104" spans="10:41">
      <c r="J104" s="25">
        <v>100</v>
      </c>
      <c r="K104" s="16" t="s">
        <v>19</v>
      </c>
      <c r="L104" s="16" t="s">
        <v>35</v>
      </c>
      <c r="M104" s="16" t="s">
        <v>119</v>
      </c>
      <c r="N104" s="16" t="s">
        <v>92</v>
      </c>
      <c r="O104" s="16" t="s">
        <v>136</v>
      </c>
      <c r="Q104" s="9">
        <v>5</v>
      </c>
      <c r="R104" s="9">
        <v>8</v>
      </c>
      <c r="S104" s="9">
        <v>17</v>
      </c>
      <c r="T104" s="9">
        <v>16</v>
      </c>
      <c r="U104" s="9">
        <v>6</v>
      </c>
      <c r="W104" s="25">
        <v>1</v>
      </c>
      <c r="X104" s="25">
        <v>1</v>
      </c>
      <c r="Y104" s="25">
        <v>1</v>
      </c>
      <c r="Z104" s="25">
        <v>1</v>
      </c>
      <c r="AA104" s="25">
        <v>1</v>
      </c>
      <c r="AH104" s="5"/>
      <c r="AI104" s="5"/>
      <c r="AO104" s="5"/>
    </row>
    <row r="105" spans="10:41">
      <c r="J105" s="25">
        <v>101</v>
      </c>
      <c r="K105" s="16" t="s">
        <v>136</v>
      </c>
      <c r="L105" s="16" t="s">
        <v>20</v>
      </c>
      <c r="M105" s="16" t="s">
        <v>91</v>
      </c>
      <c r="N105" s="16" t="s">
        <v>137</v>
      </c>
      <c r="O105" s="16" t="s">
        <v>35</v>
      </c>
      <c r="Q105" s="9">
        <v>6</v>
      </c>
      <c r="R105" s="9">
        <v>1</v>
      </c>
      <c r="S105" s="9">
        <v>14</v>
      </c>
      <c r="T105" s="9">
        <v>15</v>
      </c>
      <c r="U105" s="9">
        <v>8</v>
      </c>
      <c r="W105" s="25">
        <v>1</v>
      </c>
      <c r="X105" s="25">
        <v>1</v>
      </c>
      <c r="Y105" s="25">
        <v>1</v>
      </c>
      <c r="Z105" s="25">
        <v>1</v>
      </c>
      <c r="AA105" s="25">
        <v>1</v>
      </c>
      <c r="AH105" s="5"/>
      <c r="AI105" s="5"/>
      <c r="AO105" s="5"/>
    </row>
    <row r="106" spans="10:41">
      <c r="J106" s="9">
        <v>102</v>
      </c>
      <c r="K106" s="16" t="s">
        <v>19</v>
      </c>
      <c r="L106" s="16" t="s">
        <v>37</v>
      </c>
      <c r="M106" s="16" t="s">
        <v>137</v>
      </c>
      <c r="N106" s="16" t="s">
        <v>18</v>
      </c>
      <c r="O106" s="16" t="s">
        <v>19</v>
      </c>
      <c r="Q106" s="9">
        <v>5</v>
      </c>
      <c r="R106" s="9">
        <v>7</v>
      </c>
      <c r="S106" s="9">
        <v>15</v>
      </c>
      <c r="T106" s="9">
        <v>4</v>
      </c>
      <c r="U106" s="9">
        <v>5</v>
      </c>
      <c r="W106" s="25">
        <v>1</v>
      </c>
      <c r="X106" s="25">
        <v>1</v>
      </c>
      <c r="Y106" s="25">
        <v>1</v>
      </c>
      <c r="Z106" s="25">
        <v>1</v>
      </c>
      <c r="AA106" s="25">
        <v>1</v>
      </c>
      <c r="AH106" s="5"/>
      <c r="AI106" s="5"/>
      <c r="AO106" s="5"/>
    </row>
    <row r="107" spans="10:41">
      <c r="J107" s="25">
        <v>103</v>
      </c>
      <c r="K107" s="16" t="s">
        <v>37</v>
      </c>
      <c r="L107" s="16" t="s">
        <v>119</v>
      </c>
      <c r="M107" s="16" t="s">
        <v>91</v>
      </c>
      <c r="N107" s="16" t="s">
        <v>92</v>
      </c>
      <c r="O107" s="16" t="s">
        <v>34</v>
      </c>
      <c r="Q107" s="9">
        <v>7</v>
      </c>
      <c r="R107" s="9">
        <v>17</v>
      </c>
      <c r="S107" s="9">
        <v>14</v>
      </c>
      <c r="T107" s="9">
        <v>16</v>
      </c>
      <c r="U107" s="9">
        <v>9</v>
      </c>
      <c r="W107" s="25">
        <v>1</v>
      </c>
      <c r="X107" s="25">
        <v>1</v>
      </c>
      <c r="Y107" s="25">
        <v>1</v>
      </c>
      <c r="Z107" s="25">
        <v>1</v>
      </c>
      <c r="AA107" s="25">
        <v>1</v>
      </c>
      <c r="AH107" s="5"/>
      <c r="AI107" s="5"/>
      <c r="AO107" s="5"/>
    </row>
    <row r="108" spans="10:41">
      <c r="J108" s="9">
        <v>104</v>
      </c>
      <c r="K108" s="16" t="s">
        <v>136</v>
      </c>
      <c r="L108" s="16" t="s">
        <v>37</v>
      </c>
      <c r="M108" s="16" t="s">
        <v>137</v>
      </c>
      <c r="N108" s="16" t="s">
        <v>19</v>
      </c>
      <c r="O108" s="16" t="s">
        <v>35</v>
      </c>
      <c r="Q108" s="9">
        <v>6</v>
      </c>
      <c r="R108" s="9">
        <v>7</v>
      </c>
      <c r="S108" s="9">
        <v>15</v>
      </c>
      <c r="T108" s="9">
        <v>5</v>
      </c>
      <c r="U108" s="9">
        <v>8</v>
      </c>
      <c r="W108" s="25">
        <v>1</v>
      </c>
      <c r="X108" s="25">
        <v>1</v>
      </c>
      <c r="Y108" s="25">
        <v>1</v>
      </c>
      <c r="Z108" s="25">
        <v>1</v>
      </c>
      <c r="AA108" s="25">
        <v>1</v>
      </c>
      <c r="AH108" s="5"/>
      <c r="AI108" s="5"/>
      <c r="AO108" s="5"/>
    </row>
    <row r="109" spans="10:41">
      <c r="J109" s="25">
        <v>105</v>
      </c>
      <c r="K109" s="16" t="s">
        <v>37</v>
      </c>
      <c r="L109" s="16" t="s">
        <v>35</v>
      </c>
      <c r="M109" s="16" t="s">
        <v>90</v>
      </c>
      <c r="N109" s="16" t="s">
        <v>35</v>
      </c>
      <c r="O109" s="16" t="s">
        <v>37</v>
      </c>
      <c r="Q109" s="9">
        <v>7</v>
      </c>
      <c r="R109" s="9">
        <v>8</v>
      </c>
      <c r="S109" s="9">
        <v>13</v>
      </c>
      <c r="T109" s="9">
        <v>8</v>
      </c>
      <c r="U109" s="9">
        <v>7</v>
      </c>
      <c r="W109" s="25">
        <v>1</v>
      </c>
      <c r="X109" s="25">
        <v>1</v>
      </c>
      <c r="Y109" s="25">
        <v>1</v>
      </c>
      <c r="Z109" s="25">
        <v>1</v>
      </c>
      <c r="AA109" s="25">
        <v>1</v>
      </c>
      <c r="AH109" s="5"/>
      <c r="AI109" s="5"/>
      <c r="AO109" s="5"/>
    </row>
    <row r="110" spans="10:41">
      <c r="J110" s="9">
        <v>106</v>
      </c>
      <c r="K110" s="16" t="s">
        <v>19</v>
      </c>
      <c r="L110" s="16" t="s">
        <v>36</v>
      </c>
      <c r="M110" s="16" t="s">
        <v>91</v>
      </c>
      <c r="N110" s="16" t="s">
        <v>19</v>
      </c>
      <c r="O110" s="16" t="s">
        <v>35</v>
      </c>
      <c r="Q110" s="9">
        <v>5</v>
      </c>
      <c r="R110" s="9">
        <v>10</v>
      </c>
      <c r="S110" s="9">
        <v>14</v>
      </c>
      <c r="T110" s="9">
        <v>5</v>
      </c>
      <c r="U110" s="9">
        <v>8</v>
      </c>
      <c r="W110" s="25">
        <v>1</v>
      </c>
      <c r="X110" s="25">
        <v>1</v>
      </c>
      <c r="Y110" s="25">
        <v>1</v>
      </c>
      <c r="Z110" s="25">
        <v>1</v>
      </c>
      <c r="AA110" s="25">
        <v>1</v>
      </c>
      <c r="AH110" s="5"/>
      <c r="AI110" s="5"/>
      <c r="AO110" s="5"/>
    </row>
    <row r="111" spans="10:41">
      <c r="J111" s="25">
        <v>107</v>
      </c>
      <c r="K111" s="16" t="s">
        <v>37</v>
      </c>
      <c r="L111" s="16" t="s">
        <v>37</v>
      </c>
      <c r="M111" s="16" t="s">
        <v>119</v>
      </c>
      <c r="N111" s="16" t="s">
        <v>137</v>
      </c>
      <c r="O111" s="16" t="s">
        <v>136</v>
      </c>
      <c r="Q111" s="9">
        <v>7</v>
      </c>
      <c r="R111" s="9">
        <v>7</v>
      </c>
      <c r="S111" s="9">
        <v>17</v>
      </c>
      <c r="T111" s="9">
        <v>15</v>
      </c>
      <c r="U111" s="9">
        <v>6</v>
      </c>
      <c r="W111" s="25">
        <v>1</v>
      </c>
      <c r="X111" s="25">
        <v>1</v>
      </c>
      <c r="Y111" s="25">
        <v>1</v>
      </c>
      <c r="Z111" s="25">
        <v>1</v>
      </c>
      <c r="AA111" s="25">
        <v>1</v>
      </c>
      <c r="AH111" s="5"/>
      <c r="AI111" s="5"/>
      <c r="AO111" s="5"/>
    </row>
    <row r="112" spans="10:41">
      <c r="J112" s="9">
        <v>108</v>
      </c>
      <c r="K112" s="16" t="s">
        <v>19</v>
      </c>
      <c r="L112" s="16" t="s">
        <v>21</v>
      </c>
      <c r="M112" s="16" t="s">
        <v>92</v>
      </c>
      <c r="N112" s="16" t="s">
        <v>22</v>
      </c>
      <c r="O112" s="16" t="s">
        <v>37</v>
      </c>
      <c r="Q112" s="9">
        <v>5</v>
      </c>
      <c r="R112" s="9">
        <v>2</v>
      </c>
      <c r="S112" s="9">
        <v>16</v>
      </c>
      <c r="T112" s="9">
        <v>3</v>
      </c>
      <c r="U112" s="9">
        <v>7</v>
      </c>
      <c r="W112" s="25">
        <v>1</v>
      </c>
      <c r="X112" s="25">
        <v>1</v>
      </c>
      <c r="Y112" s="25">
        <v>1</v>
      </c>
      <c r="Z112" s="25">
        <v>1</v>
      </c>
      <c r="AA112" s="25">
        <v>1</v>
      </c>
      <c r="AH112" s="5"/>
      <c r="AI112" s="5"/>
      <c r="AO112" s="5"/>
    </row>
    <row r="113" spans="10:41">
      <c r="J113" s="25">
        <v>109</v>
      </c>
      <c r="K113" s="16" t="s">
        <v>34</v>
      </c>
      <c r="L113" s="16" t="s">
        <v>35</v>
      </c>
      <c r="M113" s="16" t="s">
        <v>137</v>
      </c>
      <c r="N113" s="16" t="s">
        <v>37</v>
      </c>
      <c r="O113" s="16" t="s">
        <v>22</v>
      </c>
      <c r="Q113" s="9">
        <v>9</v>
      </c>
      <c r="R113" s="9">
        <v>8</v>
      </c>
      <c r="S113" s="9">
        <v>15</v>
      </c>
      <c r="T113" s="9">
        <v>7</v>
      </c>
      <c r="U113" s="9">
        <v>3</v>
      </c>
      <c r="W113" s="25">
        <v>1</v>
      </c>
      <c r="X113" s="25">
        <v>1</v>
      </c>
      <c r="Y113" s="25">
        <v>1</v>
      </c>
      <c r="Z113" s="25">
        <v>1</v>
      </c>
      <c r="AA113" s="25">
        <v>1</v>
      </c>
      <c r="AH113" s="5"/>
      <c r="AI113" s="5"/>
      <c r="AO113" s="5"/>
    </row>
    <row r="114" spans="10:41">
      <c r="J114" s="9">
        <v>110</v>
      </c>
      <c r="K114" s="16" t="s">
        <v>37</v>
      </c>
      <c r="L114" s="16" t="s">
        <v>119</v>
      </c>
      <c r="M114" s="16" t="s">
        <v>91</v>
      </c>
      <c r="N114" s="16" t="s">
        <v>19</v>
      </c>
      <c r="O114" s="16" t="s">
        <v>35</v>
      </c>
      <c r="Q114" s="9">
        <v>7</v>
      </c>
      <c r="R114" s="9">
        <v>17</v>
      </c>
      <c r="S114" s="9">
        <v>14</v>
      </c>
      <c r="T114" s="9">
        <v>5</v>
      </c>
      <c r="U114" s="9">
        <v>8</v>
      </c>
      <c r="W114" s="25">
        <v>1</v>
      </c>
      <c r="X114" s="25">
        <v>1</v>
      </c>
      <c r="Y114" s="25">
        <v>1</v>
      </c>
      <c r="Z114" s="25">
        <v>1</v>
      </c>
      <c r="AA114" s="25">
        <v>1</v>
      </c>
      <c r="AH114" s="5"/>
      <c r="AI114" s="5"/>
      <c r="AO114" s="5"/>
    </row>
    <row r="115" spans="10:41">
      <c r="J115" s="25">
        <v>111</v>
      </c>
      <c r="K115" s="16" t="s">
        <v>19</v>
      </c>
      <c r="L115" s="16" t="s">
        <v>21</v>
      </c>
      <c r="M115" s="16" t="s">
        <v>92</v>
      </c>
      <c r="N115" s="16" t="s">
        <v>21</v>
      </c>
      <c r="O115" s="16" t="s">
        <v>19</v>
      </c>
      <c r="Q115" s="9">
        <v>5</v>
      </c>
      <c r="R115" s="9">
        <v>2</v>
      </c>
      <c r="S115" s="9">
        <v>16</v>
      </c>
      <c r="T115" s="9">
        <v>2</v>
      </c>
      <c r="U115" s="9">
        <v>5</v>
      </c>
      <c r="W115" s="25">
        <v>1</v>
      </c>
      <c r="X115" s="25">
        <v>1</v>
      </c>
      <c r="Y115" s="25">
        <v>1</v>
      </c>
      <c r="Z115" s="25">
        <v>1</v>
      </c>
      <c r="AA115" s="25">
        <v>1</v>
      </c>
      <c r="AH115" s="5"/>
      <c r="AI115" s="5"/>
      <c r="AO115" s="5"/>
    </row>
    <row r="116" spans="10:41">
      <c r="J116" s="9">
        <v>112</v>
      </c>
      <c r="K116" s="16" t="s">
        <v>37</v>
      </c>
      <c r="L116" s="16" t="s">
        <v>37</v>
      </c>
      <c r="M116" s="16" t="s">
        <v>91</v>
      </c>
      <c r="N116" s="16" t="s">
        <v>35</v>
      </c>
      <c r="O116" s="16" t="s">
        <v>34</v>
      </c>
      <c r="Q116" s="9">
        <v>7</v>
      </c>
      <c r="R116" s="9">
        <v>7</v>
      </c>
      <c r="S116" s="9">
        <v>14</v>
      </c>
      <c r="T116" s="9">
        <v>8</v>
      </c>
      <c r="U116" s="9">
        <v>9</v>
      </c>
      <c r="W116" s="25">
        <v>1</v>
      </c>
      <c r="X116" s="25">
        <v>1</v>
      </c>
      <c r="Y116" s="25">
        <v>1</v>
      </c>
      <c r="Z116" s="25">
        <v>1</v>
      </c>
      <c r="AA116" s="25">
        <v>1</v>
      </c>
      <c r="AH116" s="5"/>
      <c r="AI116" s="5"/>
      <c r="AO116" s="5"/>
    </row>
    <row r="117" spans="10:41">
      <c r="J117" s="25">
        <v>113</v>
      </c>
      <c r="K117" s="16" t="s">
        <v>19</v>
      </c>
      <c r="L117" s="16" t="s">
        <v>91</v>
      </c>
      <c r="M117" s="16" t="s">
        <v>119</v>
      </c>
      <c r="N117" s="16" t="s">
        <v>136</v>
      </c>
      <c r="O117" s="16" t="s">
        <v>20</v>
      </c>
      <c r="Q117" s="9">
        <v>5</v>
      </c>
      <c r="R117" s="9">
        <v>14</v>
      </c>
      <c r="S117" s="9">
        <v>17</v>
      </c>
      <c r="T117" s="9">
        <v>6</v>
      </c>
      <c r="U117" s="9">
        <v>1</v>
      </c>
      <c r="W117" s="25">
        <v>1</v>
      </c>
      <c r="X117" s="25">
        <v>1</v>
      </c>
      <c r="Y117" s="25">
        <v>1</v>
      </c>
      <c r="Z117" s="25">
        <v>1</v>
      </c>
      <c r="AA117" s="25">
        <v>1</v>
      </c>
      <c r="AH117" s="5"/>
      <c r="AI117" s="5"/>
      <c r="AO117" s="5"/>
    </row>
    <row r="118" spans="10:41">
      <c r="J118" s="9">
        <v>114</v>
      </c>
      <c r="K118" s="16" t="s">
        <v>37</v>
      </c>
      <c r="L118" s="16" t="s">
        <v>137</v>
      </c>
      <c r="M118" s="16" t="s">
        <v>92</v>
      </c>
      <c r="N118" s="16" t="s">
        <v>19</v>
      </c>
      <c r="O118" s="16" t="s">
        <v>22</v>
      </c>
      <c r="Q118" s="9">
        <v>7</v>
      </c>
      <c r="R118" s="9">
        <v>15</v>
      </c>
      <c r="S118" s="9">
        <v>16</v>
      </c>
      <c r="T118" s="9">
        <v>5</v>
      </c>
      <c r="U118" s="9">
        <v>3</v>
      </c>
      <c r="W118" s="25">
        <v>1</v>
      </c>
      <c r="X118" s="25">
        <v>1</v>
      </c>
      <c r="Y118" s="25">
        <v>1</v>
      </c>
      <c r="Z118" s="25">
        <v>1</v>
      </c>
      <c r="AA118" s="25">
        <v>1</v>
      </c>
      <c r="AH118" s="5"/>
      <c r="AI118" s="5"/>
      <c r="AO118" s="5"/>
    </row>
    <row r="119" spans="10:41">
      <c r="J119" s="25">
        <v>115</v>
      </c>
      <c r="K119" s="16" t="s">
        <v>19</v>
      </c>
      <c r="L119" s="16" t="s">
        <v>92</v>
      </c>
      <c r="M119" s="16" t="s">
        <v>91</v>
      </c>
      <c r="N119" s="16" t="s">
        <v>34</v>
      </c>
      <c r="O119" s="16" t="s">
        <v>19</v>
      </c>
      <c r="Q119" s="9">
        <v>5</v>
      </c>
      <c r="R119" s="9">
        <v>16</v>
      </c>
      <c r="S119" s="9">
        <v>14</v>
      </c>
      <c r="T119" s="9">
        <v>9</v>
      </c>
      <c r="U119" s="9">
        <v>5</v>
      </c>
      <c r="W119" s="25">
        <v>1</v>
      </c>
      <c r="X119" s="25">
        <v>1</v>
      </c>
      <c r="Y119" s="25">
        <v>1</v>
      </c>
      <c r="Z119" s="25">
        <v>1</v>
      </c>
      <c r="AA119" s="25">
        <v>1</v>
      </c>
      <c r="AH119" s="5"/>
      <c r="AI119" s="5"/>
      <c r="AO119" s="5"/>
    </row>
    <row r="120" spans="10:41">
      <c r="J120" s="9">
        <v>116</v>
      </c>
      <c r="K120" s="16" t="s">
        <v>37</v>
      </c>
      <c r="L120" s="16" t="s">
        <v>18</v>
      </c>
      <c r="M120" s="16" t="s">
        <v>137</v>
      </c>
      <c r="N120" s="16" t="s">
        <v>35</v>
      </c>
      <c r="O120" s="16" t="s">
        <v>136</v>
      </c>
      <c r="Q120" s="9">
        <v>7</v>
      </c>
      <c r="R120" s="9">
        <v>4</v>
      </c>
      <c r="S120" s="9">
        <v>15</v>
      </c>
      <c r="T120" s="9">
        <v>8</v>
      </c>
      <c r="U120" s="9">
        <v>6</v>
      </c>
      <c r="W120" s="25">
        <v>1</v>
      </c>
      <c r="X120" s="25">
        <v>1</v>
      </c>
      <c r="Y120" s="25">
        <v>1</v>
      </c>
      <c r="Z120" s="25">
        <v>1</v>
      </c>
      <c r="AA120" s="25">
        <v>1</v>
      </c>
      <c r="AH120" s="5"/>
      <c r="AI120" s="5"/>
      <c r="AO120" s="5"/>
    </row>
    <row r="121" spans="10:41">
      <c r="J121" s="25">
        <v>117</v>
      </c>
      <c r="K121" s="16" t="s">
        <v>35</v>
      </c>
      <c r="L121" s="16" t="s">
        <v>136</v>
      </c>
      <c r="M121" s="16" t="s">
        <v>119</v>
      </c>
      <c r="N121" s="16" t="s">
        <v>37</v>
      </c>
      <c r="O121" s="16" t="s">
        <v>18</v>
      </c>
      <c r="Q121" s="9">
        <v>8</v>
      </c>
      <c r="R121" s="9">
        <v>6</v>
      </c>
      <c r="S121" s="9">
        <v>17</v>
      </c>
      <c r="T121" s="9">
        <v>7</v>
      </c>
      <c r="U121" s="9">
        <v>4</v>
      </c>
      <c r="W121" s="25">
        <v>1</v>
      </c>
      <c r="X121" s="25">
        <v>1</v>
      </c>
      <c r="Y121" s="25">
        <v>1</v>
      </c>
      <c r="Z121" s="25">
        <v>1</v>
      </c>
      <c r="AA121" s="25">
        <v>1</v>
      </c>
      <c r="AH121" s="5"/>
      <c r="AI121" s="5"/>
      <c r="AO121" s="5"/>
    </row>
    <row r="122" spans="10:41">
      <c r="J122" s="9">
        <v>118</v>
      </c>
      <c r="K122" s="16" t="s">
        <v>136</v>
      </c>
      <c r="L122" s="16" t="s">
        <v>18</v>
      </c>
      <c r="M122" s="16" t="s">
        <v>91</v>
      </c>
      <c r="N122" s="16" t="s">
        <v>19</v>
      </c>
      <c r="O122" s="16" t="s">
        <v>37</v>
      </c>
      <c r="Q122" s="9">
        <v>6</v>
      </c>
      <c r="R122" s="9">
        <v>4</v>
      </c>
      <c r="S122" s="9">
        <v>14</v>
      </c>
      <c r="T122" s="9">
        <v>5</v>
      </c>
      <c r="U122" s="9">
        <v>7</v>
      </c>
      <c r="W122" s="25">
        <v>1</v>
      </c>
      <c r="X122" s="25">
        <v>1</v>
      </c>
      <c r="Y122" s="25">
        <v>1</v>
      </c>
      <c r="Z122" s="25">
        <v>1</v>
      </c>
      <c r="AA122" s="25">
        <v>1</v>
      </c>
      <c r="AH122" s="5"/>
      <c r="AI122" s="5"/>
      <c r="AO122" s="5"/>
    </row>
    <row r="123" spans="10:41">
      <c r="J123" s="25">
        <v>119</v>
      </c>
      <c r="K123" s="16" t="s">
        <v>37</v>
      </c>
      <c r="L123" s="16" t="s">
        <v>88</v>
      </c>
      <c r="M123" s="16" t="s">
        <v>119</v>
      </c>
      <c r="N123" s="16" t="s">
        <v>37</v>
      </c>
      <c r="O123" s="16" t="s">
        <v>35</v>
      </c>
      <c r="Q123" s="9">
        <v>7</v>
      </c>
      <c r="R123" s="9">
        <v>11</v>
      </c>
      <c r="S123" s="9">
        <v>17</v>
      </c>
      <c r="T123" s="9">
        <v>7</v>
      </c>
      <c r="U123" s="9">
        <v>8</v>
      </c>
      <c r="W123" s="25">
        <v>1</v>
      </c>
      <c r="X123" s="25">
        <v>1</v>
      </c>
      <c r="Y123" s="25">
        <v>1</v>
      </c>
      <c r="Z123" s="25">
        <v>1</v>
      </c>
      <c r="AA123" s="25">
        <v>1</v>
      </c>
      <c r="AH123" s="5"/>
      <c r="AI123" s="5"/>
      <c r="AO123" s="5"/>
    </row>
    <row r="124" spans="10:41">
      <c r="J124" s="9">
        <v>120</v>
      </c>
      <c r="K124" s="16" t="s">
        <v>35</v>
      </c>
      <c r="L124" s="16" t="s">
        <v>19</v>
      </c>
      <c r="M124" s="16" t="s">
        <v>137</v>
      </c>
      <c r="N124" s="16" t="s">
        <v>92</v>
      </c>
      <c r="O124" s="16" t="s">
        <v>136</v>
      </c>
      <c r="Q124" s="9">
        <v>8</v>
      </c>
      <c r="R124" s="9">
        <v>5</v>
      </c>
      <c r="S124" s="9">
        <v>15</v>
      </c>
      <c r="T124" s="9">
        <v>16</v>
      </c>
      <c r="U124" s="9">
        <v>6</v>
      </c>
      <c r="W124" s="25">
        <v>1</v>
      </c>
      <c r="X124" s="25">
        <v>1</v>
      </c>
      <c r="Y124" s="25">
        <v>1</v>
      </c>
      <c r="Z124" s="25">
        <v>1</v>
      </c>
      <c r="AA124" s="25">
        <v>1</v>
      </c>
      <c r="AH124" s="5"/>
      <c r="AI124" s="5"/>
      <c r="AO124" s="5"/>
    </row>
    <row r="125" spans="10:41">
      <c r="J125" s="25">
        <v>121</v>
      </c>
      <c r="K125" s="16" t="s">
        <v>19</v>
      </c>
      <c r="L125" s="16" t="s">
        <v>136</v>
      </c>
      <c r="M125" s="16" t="s">
        <v>89</v>
      </c>
      <c r="N125" s="16" t="s">
        <v>136</v>
      </c>
      <c r="O125" s="16" t="s">
        <v>20</v>
      </c>
      <c r="Q125" s="9">
        <v>5</v>
      </c>
      <c r="R125" s="9">
        <v>6</v>
      </c>
      <c r="S125" s="9">
        <v>12</v>
      </c>
      <c r="T125" s="9">
        <v>6</v>
      </c>
      <c r="U125" s="9">
        <v>1</v>
      </c>
      <c r="W125" s="25">
        <v>1</v>
      </c>
      <c r="X125" s="25">
        <v>1</v>
      </c>
      <c r="Y125" s="25">
        <v>1</v>
      </c>
      <c r="Z125" s="25">
        <v>1</v>
      </c>
      <c r="AA125" s="25">
        <v>1</v>
      </c>
      <c r="AH125" s="5"/>
      <c r="AI125" s="5"/>
      <c r="AO125" s="5"/>
    </row>
    <row r="126" spans="10:41">
      <c r="J126" s="9">
        <v>122</v>
      </c>
      <c r="K126" s="16" t="s">
        <v>37</v>
      </c>
      <c r="L126" s="16" t="s">
        <v>37</v>
      </c>
      <c r="M126" s="16" t="s">
        <v>137</v>
      </c>
      <c r="N126" s="16" t="s">
        <v>35</v>
      </c>
      <c r="O126" s="16" t="s">
        <v>35</v>
      </c>
      <c r="Q126" s="9">
        <v>7</v>
      </c>
      <c r="R126" s="9">
        <v>7</v>
      </c>
      <c r="S126" s="9">
        <v>15</v>
      </c>
      <c r="T126" s="9">
        <v>8</v>
      </c>
      <c r="U126" s="9">
        <v>8</v>
      </c>
      <c r="W126" s="25">
        <v>1</v>
      </c>
      <c r="X126" s="25">
        <v>1</v>
      </c>
      <c r="Y126" s="25">
        <v>1</v>
      </c>
      <c r="Z126" s="25">
        <v>1</v>
      </c>
      <c r="AA126" s="25">
        <v>1</v>
      </c>
      <c r="AH126" s="5"/>
      <c r="AI126" s="5"/>
      <c r="AO126" s="5"/>
    </row>
    <row r="127" spans="10:41">
      <c r="J127" s="25">
        <v>123</v>
      </c>
      <c r="K127" s="16" t="s">
        <v>136</v>
      </c>
      <c r="L127" s="16" t="s">
        <v>90</v>
      </c>
      <c r="M127" s="16" t="s">
        <v>92</v>
      </c>
      <c r="N127" s="16" t="s">
        <v>136</v>
      </c>
      <c r="O127" s="16" t="s">
        <v>37</v>
      </c>
      <c r="Q127" s="9">
        <v>6</v>
      </c>
      <c r="R127" s="9">
        <v>13</v>
      </c>
      <c r="S127" s="9">
        <v>16</v>
      </c>
      <c r="T127" s="9">
        <v>6</v>
      </c>
      <c r="U127" s="9">
        <v>7</v>
      </c>
      <c r="W127" s="25">
        <v>1</v>
      </c>
      <c r="X127" s="25">
        <v>1</v>
      </c>
      <c r="Y127" s="25">
        <v>1</v>
      </c>
      <c r="Z127" s="25">
        <v>1</v>
      </c>
      <c r="AA127" s="25">
        <v>1</v>
      </c>
      <c r="AH127" s="5"/>
      <c r="AI127" s="5"/>
      <c r="AO127" s="5"/>
    </row>
    <row r="128" spans="10:41">
      <c r="J128" s="9">
        <v>124</v>
      </c>
      <c r="K128" s="16" t="s">
        <v>18</v>
      </c>
      <c r="L128" s="16" t="s">
        <v>35</v>
      </c>
      <c r="M128" s="16" t="s">
        <v>137</v>
      </c>
      <c r="N128" s="16" t="s">
        <v>37</v>
      </c>
      <c r="O128" s="16" t="s">
        <v>36</v>
      </c>
      <c r="Q128" s="9">
        <v>4</v>
      </c>
      <c r="R128" s="9">
        <v>8</v>
      </c>
      <c r="S128" s="9">
        <v>15</v>
      </c>
      <c r="T128" s="9">
        <v>7</v>
      </c>
      <c r="U128" s="9">
        <v>10</v>
      </c>
      <c r="W128" s="25">
        <v>1</v>
      </c>
      <c r="X128" s="25">
        <v>1</v>
      </c>
      <c r="Y128" s="25">
        <v>1</v>
      </c>
      <c r="Z128" s="25">
        <v>1</v>
      </c>
      <c r="AA128" s="25">
        <v>1</v>
      </c>
      <c r="AH128" s="5"/>
      <c r="AI128" s="5"/>
      <c r="AO128" s="5"/>
    </row>
    <row r="129" spans="10:41">
      <c r="J129" s="25">
        <v>125</v>
      </c>
      <c r="K129" s="16" t="s">
        <v>19</v>
      </c>
      <c r="L129" s="16" t="s">
        <v>19</v>
      </c>
      <c r="M129" s="16" t="s">
        <v>91</v>
      </c>
      <c r="N129" s="16" t="s">
        <v>35</v>
      </c>
      <c r="O129" s="16" t="s">
        <v>136</v>
      </c>
      <c r="Q129" s="9">
        <v>5</v>
      </c>
      <c r="R129" s="9">
        <v>5</v>
      </c>
      <c r="S129" s="9">
        <v>14</v>
      </c>
      <c r="T129" s="9">
        <v>8</v>
      </c>
      <c r="U129" s="9">
        <v>6</v>
      </c>
      <c r="W129" s="25">
        <v>1</v>
      </c>
      <c r="X129" s="25">
        <v>1</v>
      </c>
      <c r="Y129" s="25">
        <v>1</v>
      </c>
      <c r="Z129" s="25">
        <v>1</v>
      </c>
      <c r="AA129" s="25">
        <v>1</v>
      </c>
      <c r="AH129" s="5"/>
      <c r="AI129" s="5"/>
      <c r="AO129" s="5"/>
    </row>
    <row r="130" spans="10:41">
      <c r="J130" s="9">
        <v>126</v>
      </c>
      <c r="K130" s="16" t="s">
        <v>35</v>
      </c>
      <c r="L130" s="16" t="s">
        <v>137</v>
      </c>
      <c r="M130" s="16" t="s">
        <v>90</v>
      </c>
      <c r="N130" s="16" t="s">
        <v>37</v>
      </c>
      <c r="O130" s="16" t="s">
        <v>19</v>
      </c>
      <c r="Q130" s="9">
        <v>8</v>
      </c>
      <c r="R130" s="9">
        <v>15</v>
      </c>
      <c r="S130" s="9">
        <v>13</v>
      </c>
      <c r="T130" s="9">
        <v>7</v>
      </c>
      <c r="U130" s="9">
        <v>5</v>
      </c>
      <c r="W130" s="25">
        <v>1</v>
      </c>
      <c r="X130" s="25">
        <v>1</v>
      </c>
      <c r="Y130" s="25">
        <v>1</v>
      </c>
      <c r="Z130" s="25">
        <v>1</v>
      </c>
      <c r="AA130" s="25">
        <v>1</v>
      </c>
      <c r="AH130" s="5"/>
      <c r="AI130" s="5"/>
      <c r="AO130" s="5"/>
    </row>
    <row r="131" spans="10:41">
      <c r="J131" s="25">
        <v>127</v>
      </c>
      <c r="K131" s="16" t="s">
        <v>136</v>
      </c>
      <c r="L131" s="16" t="s">
        <v>18</v>
      </c>
      <c r="M131" s="16" t="s">
        <v>92</v>
      </c>
      <c r="N131" s="16" t="s">
        <v>19</v>
      </c>
      <c r="O131" s="16" t="s">
        <v>22</v>
      </c>
      <c r="Q131" s="9">
        <v>6</v>
      </c>
      <c r="R131" s="9">
        <v>4</v>
      </c>
      <c r="S131" s="9">
        <v>16</v>
      </c>
      <c r="T131" s="9">
        <v>5</v>
      </c>
      <c r="U131" s="9">
        <v>3</v>
      </c>
      <c r="W131" s="25">
        <v>1</v>
      </c>
      <c r="X131" s="25">
        <v>1</v>
      </c>
      <c r="Y131" s="25">
        <v>1</v>
      </c>
      <c r="Z131" s="25">
        <v>1</v>
      </c>
      <c r="AA131" s="25">
        <v>1</v>
      </c>
      <c r="AH131" s="5"/>
      <c r="AI131" s="5"/>
      <c r="AO131" s="5"/>
    </row>
    <row r="132" spans="10:41">
      <c r="J132" s="9">
        <v>128</v>
      </c>
      <c r="K132" s="16" t="s">
        <v>35</v>
      </c>
      <c r="L132" s="16" t="s">
        <v>89</v>
      </c>
      <c r="M132" s="16" t="s">
        <v>97</v>
      </c>
      <c r="N132" s="16" t="s">
        <v>37</v>
      </c>
      <c r="O132" s="16" t="s">
        <v>136</v>
      </c>
      <c r="Q132" s="9">
        <v>8</v>
      </c>
      <c r="R132" s="9">
        <v>12</v>
      </c>
      <c r="S132" s="9">
        <v>19</v>
      </c>
      <c r="T132" s="9">
        <v>7</v>
      </c>
      <c r="U132" s="9">
        <v>6</v>
      </c>
      <c r="W132" s="25">
        <v>1</v>
      </c>
      <c r="X132" s="25">
        <v>1</v>
      </c>
      <c r="Y132" s="25">
        <v>1</v>
      </c>
      <c r="Z132" s="25">
        <v>1</v>
      </c>
      <c r="AA132" s="25">
        <v>1</v>
      </c>
      <c r="AH132" s="5"/>
      <c r="AI132" s="5"/>
      <c r="AO132" s="5"/>
    </row>
    <row r="133" spans="10:41">
      <c r="J133" s="25">
        <v>129</v>
      </c>
      <c r="K133" s="16" t="s">
        <v>37</v>
      </c>
      <c r="L133" s="16" t="s">
        <v>35</v>
      </c>
      <c r="M133" s="16" t="s">
        <v>119</v>
      </c>
      <c r="N133" s="16" t="s">
        <v>35</v>
      </c>
      <c r="O133" s="16" t="s">
        <v>19</v>
      </c>
      <c r="Q133" s="9">
        <v>7</v>
      </c>
      <c r="R133" s="9">
        <v>8</v>
      </c>
      <c r="S133" s="9">
        <v>17</v>
      </c>
      <c r="T133" s="9">
        <v>8</v>
      </c>
      <c r="U133" s="9">
        <v>5</v>
      </c>
      <c r="W133" s="25">
        <v>1</v>
      </c>
      <c r="X133" s="25">
        <v>1</v>
      </c>
      <c r="Y133" s="25">
        <v>1</v>
      </c>
      <c r="Z133" s="25">
        <v>1</v>
      </c>
      <c r="AA133" s="25">
        <v>1</v>
      </c>
      <c r="AH133" s="5"/>
      <c r="AI133" s="5"/>
      <c r="AO133" s="5"/>
    </row>
    <row r="134" spans="10:41">
      <c r="J134" s="9">
        <v>130</v>
      </c>
      <c r="K134" s="16" t="s">
        <v>22</v>
      </c>
      <c r="L134" s="16" t="s">
        <v>37</v>
      </c>
      <c r="M134" s="16" t="s">
        <v>91</v>
      </c>
      <c r="N134" s="16" t="s">
        <v>37</v>
      </c>
      <c r="O134" s="16" t="s">
        <v>22</v>
      </c>
      <c r="Q134" s="9">
        <v>3</v>
      </c>
      <c r="R134" s="9">
        <v>7</v>
      </c>
      <c r="S134" s="9">
        <v>14</v>
      </c>
      <c r="T134" s="9">
        <v>7</v>
      </c>
      <c r="U134" s="9">
        <v>3</v>
      </c>
      <c r="W134" s="25">
        <v>1</v>
      </c>
      <c r="X134" s="25">
        <v>1</v>
      </c>
      <c r="Y134" s="25">
        <v>1</v>
      </c>
      <c r="Z134" s="25">
        <v>1</v>
      </c>
      <c r="AA134" s="25">
        <v>1</v>
      </c>
      <c r="AH134" s="5"/>
      <c r="AI134" s="5"/>
      <c r="AO134" s="5"/>
    </row>
    <row r="135" spans="10:41">
      <c r="J135" s="25">
        <v>131</v>
      </c>
      <c r="K135" s="16" t="s">
        <v>35</v>
      </c>
      <c r="L135" s="16" t="s">
        <v>18</v>
      </c>
      <c r="M135" s="16" t="s">
        <v>95</v>
      </c>
      <c r="N135" s="16" t="s">
        <v>35</v>
      </c>
      <c r="O135" s="16" t="s">
        <v>136</v>
      </c>
      <c r="Q135" s="9">
        <v>8</v>
      </c>
      <c r="R135" s="9">
        <v>4</v>
      </c>
      <c r="S135" s="9">
        <v>18</v>
      </c>
      <c r="T135" s="9">
        <v>8</v>
      </c>
      <c r="U135" s="9">
        <v>6</v>
      </c>
      <c r="W135" s="25">
        <v>1</v>
      </c>
      <c r="X135" s="25">
        <v>1</v>
      </c>
      <c r="Y135" s="25">
        <v>1</v>
      </c>
      <c r="Z135" s="25">
        <v>1</v>
      </c>
      <c r="AA135" s="25">
        <v>1</v>
      </c>
      <c r="AH135" s="5"/>
      <c r="AI135" s="5"/>
      <c r="AO135" s="5"/>
    </row>
    <row r="136" spans="10:41">
      <c r="J136" s="9">
        <v>132</v>
      </c>
      <c r="K136" s="16" t="s">
        <v>136</v>
      </c>
      <c r="L136" s="16" t="s">
        <v>137</v>
      </c>
      <c r="M136" s="16" t="s">
        <v>137</v>
      </c>
      <c r="N136" s="16" t="s">
        <v>19</v>
      </c>
      <c r="O136" s="16" t="s">
        <v>19</v>
      </c>
      <c r="Q136" s="9">
        <v>6</v>
      </c>
      <c r="R136" s="9">
        <v>15</v>
      </c>
      <c r="S136" s="9">
        <v>15</v>
      </c>
      <c r="T136" s="9">
        <v>5</v>
      </c>
      <c r="U136" s="9">
        <v>5</v>
      </c>
      <c r="W136" s="25">
        <v>1</v>
      </c>
      <c r="X136" s="25">
        <v>1</v>
      </c>
      <c r="Y136" s="25">
        <v>1</v>
      </c>
      <c r="Z136" s="25">
        <v>1</v>
      </c>
      <c r="AA136" s="25">
        <v>1</v>
      </c>
      <c r="AH136" s="5"/>
      <c r="AI136" s="5"/>
      <c r="AO136" s="5"/>
    </row>
    <row r="137" spans="10:41">
      <c r="J137" s="25">
        <v>133</v>
      </c>
      <c r="K137" s="16" t="s">
        <v>19</v>
      </c>
      <c r="L137" s="16" t="s">
        <v>21</v>
      </c>
      <c r="M137" s="16" t="s">
        <v>92</v>
      </c>
      <c r="N137" s="16" t="s">
        <v>35</v>
      </c>
      <c r="O137" s="16" t="s">
        <v>37</v>
      </c>
      <c r="Q137" s="9">
        <v>5</v>
      </c>
      <c r="R137" s="9">
        <v>2</v>
      </c>
      <c r="S137" s="9">
        <v>16</v>
      </c>
      <c r="T137" s="9">
        <v>8</v>
      </c>
      <c r="U137" s="9">
        <v>7</v>
      </c>
      <c r="W137" s="25">
        <v>1</v>
      </c>
      <c r="X137" s="25">
        <v>1</v>
      </c>
      <c r="Y137" s="25">
        <v>1</v>
      </c>
      <c r="Z137" s="25">
        <v>1</v>
      </c>
      <c r="AA137" s="25">
        <v>1</v>
      </c>
      <c r="AH137" s="5"/>
      <c r="AI137" s="5"/>
      <c r="AO137" s="5"/>
    </row>
    <row r="138" spans="10:41">
      <c r="J138" s="9">
        <v>134</v>
      </c>
      <c r="K138" s="16" t="s">
        <v>35</v>
      </c>
      <c r="L138" s="16" t="s">
        <v>136</v>
      </c>
      <c r="M138" s="16" t="s">
        <v>119</v>
      </c>
      <c r="N138" s="16" t="s">
        <v>37</v>
      </c>
      <c r="O138" s="16" t="s">
        <v>18</v>
      </c>
      <c r="Q138" s="9">
        <v>8</v>
      </c>
      <c r="R138" s="9">
        <v>6</v>
      </c>
      <c r="S138" s="9">
        <v>17</v>
      </c>
      <c r="T138" s="9">
        <v>7</v>
      </c>
      <c r="U138" s="9">
        <v>4</v>
      </c>
      <c r="W138" s="25">
        <v>1</v>
      </c>
      <c r="X138" s="25">
        <v>1</v>
      </c>
      <c r="Y138" s="25">
        <v>1</v>
      </c>
      <c r="Z138" s="25">
        <v>1</v>
      </c>
      <c r="AA138" s="25">
        <v>1</v>
      </c>
      <c r="AH138" s="5"/>
      <c r="AI138" s="5"/>
      <c r="AO138" s="5"/>
    </row>
    <row r="139" spans="10:41">
      <c r="J139" s="25">
        <v>135</v>
      </c>
      <c r="K139" s="16" t="s">
        <v>136</v>
      </c>
      <c r="L139" s="16" t="s">
        <v>88</v>
      </c>
      <c r="M139" s="16" t="s">
        <v>92</v>
      </c>
      <c r="N139" s="16" t="s">
        <v>136</v>
      </c>
      <c r="O139" s="16" t="s">
        <v>19</v>
      </c>
      <c r="Q139" s="9">
        <v>6</v>
      </c>
      <c r="R139" s="9">
        <v>11</v>
      </c>
      <c r="S139" s="9">
        <v>16</v>
      </c>
      <c r="T139" s="9">
        <v>6</v>
      </c>
      <c r="U139" s="9">
        <v>5</v>
      </c>
      <c r="W139" s="25">
        <v>1</v>
      </c>
      <c r="X139" s="25">
        <v>1</v>
      </c>
      <c r="Y139" s="25">
        <v>1</v>
      </c>
      <c r="Z139" s="25">
        <v>1</v>
      </c>
      <c r="AA139" s="25">
        <v>1</v>
      </c>
      <c r="AH139" s="5"/>
      <c r="AI139" s="5"/>
      <c r="AO139" s="5"/>
    </row>
    <row r="140" spans="10:41">
      <c r="J140" s="9">
        <v>136</v>
      </c>
      <c r="K140" s="16" t="s">
        <v>35</v>
      </c>
      <c r="L140" s="16" t="s">
        <v>95</v>
      </c>
      <c r="M140" s="16" t="s">
        <v>91</v>
      </c>
      <c r="N140" s="16" t="s">
        <v>19</v>
      </c>
      <c r="O140" s="16" t="s">
        <v>36</v>
      </c>
      <c r="Q140" s="9">
        <v>8</v>
      </c>
      <c r="R140" s="9">
        <v>18</v>
      </c>
      <c r="S140" s="9">
        <v>14</v>
      </c>
      <c r="T140" s="9">
        <v>5</v>
      </c>
      <c r="U140" s="9">
        <v>10</v>
      </c>
      <c r="W140" s="25">
        <v>1</v>
      </c>
      <c r="X140" s="25">
        <v>1</v>
      </c>
      <c r="Y140" s="25">
        <v>1</v>
      </c>
      <c r="Z140" s="25">
        <v>1</v>
      </c>
      <c r="AA140" s="25">
        <v>1</v>
      </c>
      <c r="AH140" s="5"/>
      <c r="AI140" s="5"/>
      <c r="AO140" s="5"/>
    </row>
    <row r="141" spans="10:41">
      <c r="J141" s="25">
        <v>137</v>
      </c>
      <c r="K141" s="16" t="s">
        <v>136</v>
      </c>
      <c r="L141" s="16" t="s">
        <v>19</v>
      </c>
      <c r="M141" s="16" t="s">
        <v>137</v>
      </c>
      <c r="N141" s="16" t="s">
        <v>119</v>
      </c>
      <c r="O141" s="16" t="s">
        <v>37</v>
      </c>
      <c r="Q141" s="9">
        <v>6</v>
      </c>
      <c r="R141" s="9">
        <v>5</v>
      </c>
      <c r="S141" s="9">
        <v>15</v>
      </c>
      <c r="T141" s="9">
        <v>17</v>
      </c>
      <c r="U141" s="9">
        <v>7</v>
      </c>
      <c r="W141" s="25">
        <v>1</v>
      </c>
      <c r="X141" s="25">
        <v>1</v>
      </c>
      <c r="Y141" s="25">
        <v>1</v>
      </c>
      <c r="Z141" s="25">
        <v>1</v>
      </c>
      <c r="AA141" s="25">
        <v>1</v>
      </c>
      <c r="AH141" s="5"/>
      <c r="AI141" s="5"/>
      <c r="AO141" s="5"/>
    </row>
    <row r="142" spans="10:41">
      <c r="J142" s="9">
        <v>138</v>
      </c>
      <c r="K142" s="16" t="s">
        <v>35</v>
      </c>
      <c r="L142" s="16" t="s">
        <v>21</v>
      </c>
      <c r="M142" s="16" t="s">
        <v>119</v>
      </c>
      <c r="N142" s="16" t="s">
        <v>37</v>
      </c>
      <c r="O142" s="16" t="s">
        <v>136</v>
      </c>
      <c r="Q142" s="9">
        <v>8</v>
      </c>
      <c r="R142" s="9">
        <v>2</v>
      </c>
      <c r="S142" s="9">
        <v>17</v>
      </c>
      <c r="T142" s="9">
        <v>7</v>
      </c>
      <c r="U142" s="9">
        <v>6</v>
      </c>
      <c r="W142" s="25">
        <v>1</v>
      </c>
      <c r="X142" s="25">
        <v>1</v>
      </c>
      <c r="Y142" s="25">
        <v>1</v>
      </c>
      <c r="Z142" s="25">
        <v>1</v>
      </c>
      <c r="AA142" s="25">
        <v>1</v>
      </c>
      <c r="AH142" s="5"/>
      <c r="AI142" s="5"/>
      <c r="AO142" s="5"/>
    </row>
    <row r="143" spans="10:41">
      <c r="J143" s="25">
        <v>139</v>
      </c>
      <c r="K143" s="16" t="s">
        <v>19</v>
      </c>
      <c r="L143" s="16" t="s">
        <v>37</v>
      </c>
      <c r="M143" s="16" t="s">
        <v>137</v>
      </c>
      <c r="N143" s="16" t="s">
        <v>136</v>
      </c>
      <c r="O143" s="16" t="s">
        <v>37</v>
      </c>
      <c r="Q143" s="9">
        <v>5</v>
      </c>
      <c r="R143" s="9">
        <v>7</v>
      </c>
      <c r="S143" s="9">
        <v>15</v>
      </c>
      <c r="T143" s="9">
        <v>6</v>
      </c>
      <c r="U143" s="9">
        <v>7</v>
      </c>
      <c r="W143" s="25">
        <v>1</v>
      </c>
      <c r="X143" s="25">
        <v>1</v>
      </c>
      <c r="Y143" s="25">
        <v>1</v>
      </c>
      <c r="Z143" s="25">
        <v>1</v>
      </c>
      <c r="AA143" s="25">
        <v>1</v>
      </c>
      <c r="AH143" s="5"/>
      <c r="AI143" s="5"/>
      <c r="AO143" s="5"/>
    </row>
    <row r="144" spans="10:41">
      <c r="J144" s="9">
        <v>140</v>
      </c>
      <c r="K144" s="16" t="s">
        <v>136</v>
      </c>
      <c r="L144" s="16" t="s">
        <v>35</v>
      </c>
      <c r="M144" s="16" t="s">
        <v>95</v>
      </c>
      <c r="N144" s="16" t="s">
        <v>137</v>
      </c>
      <c r="O144" s="16" t="s">
        <v>136</v>
      </c>
      <c r="Q144" s="9">
        <v>6</v>
      </c>
      <c r="R144" s="9">
        <v>8</v>
      </c>
      <c r="S144" s="9">
        <v>18</v>
      </c>
      <c r="T144" s="9">
        <v>15</v>
      </c>
      <c r="U144" s="9">
        <v>6</v>
      </c>
      <c r="W144" s="25">
        <v>1</v>
      </c>
      <c r="X144" s="25">
        <v>1</v>
      </c>
      <c r="Y144" s="25">
        <v>1</v>
      </c>
      <c r="Z144" s="25">
        <v>1</v>
      </c>
      <c r="AA144" s="25">
        <v>1</v>
      </c>
      <c r="AH144" s="5"/>
      <c r="AI144" s="5"/>
      <c r="AO144" s="5"/>
    </row>
    <row r="145" spans="10:41">
      <c r="J145" s="25">
        <v>141</v>
      </c>
      <c r="K145" s="16" t="s">
        <v>37</v>
      </c>
      <c r="L145" s="16" t="s">
        <v>19</v>
      </c>
      <c r="M145" s="16" t="s">
        <v>119</v>
      </c>
      <c r="N145" s="16" t="s">
        <v>37</v>
      </c>
      <c r="O145" s="16" t="s">
        <v>18</v>
      </c>
      <c r="Q145" s="9">
        <v>7</v>
      </c>
      <c r="R145" s="9">
        <v>5</v>
      </c>
      <c r="S145" s="9">
        <v>17</v>
      </c>
      <c r="T145" s="9">
        <v>7</v>
      </c>
      <c r="U145" s="9">
        <v>4</v>
      </c>
      <c r="W145" s="25">
        <v>1</v>
      </c>
      <c r="X145" s="25">
        <v>1</v>
      </c>
      <c r="Y145" s="25">
        <v>1</v>
      </c>
      <c r="Z145" s="25">
        <v>1</v>
      </c>
      <c r="AA145" s="25">
        <v>1</v>
      </c>
      <c r="AH145" s="5"/>
      <c r="AI145" s="5"/>
      <c r="AO145" s="5"/>
    </row>
    <row r="146" spans="10:41">
      <c r="J146" s="9">
        <v>142</v>
      </c>
      <c r="K146" s="16" t="s">
        <v>136</v>
      </c>
      <c r="L146" s="16" t="s">
        <v>97</v>
      </c>
      <c r="M146" s="16" t="s">
        <v>91</v>
      </c>
      <c r="N146" s="16" t="s">
        <v>34</v>
      </c>
      <c r="O146" s="16" t="s">
        <v>136</v>
      </c>
      <c r="Q146" s="9">
        <v>6</v>
      </c>
      <c r="R146" s="9">
        <v>19</v>
      </c>
      <c r="S146" s="9">
        <v>14</v>
      </c>
      <c r="T146" s="9">
        <v>9</v>
      </c>
      <c r="U146" s="9">
        <v>6</v>
      </c>
      <c r="W146" s="25">
        <v>1</v>
      </c>
      <c r="X146" s="25">
        <v>1</v>
      </c>
      <c r="Y146" s="25">
        <v>1</v>
      </c>
      <c r="Z146" s="25">
        <v>1</v>
      </c>
      <c r="AA146" s="25">
        <v>1</v>
      </c>
      <c r="AH146" s="5"/>
      <c r="AI146" s="5"/>
      <c r="AO146" s="5"/>
    </row>
    <row r="147" spans="10:41">
      <c r="J147" s="25">
        <v>143</v>
      </c>
      <c r="K147" s="16" t="s">
        <v>19</v>
      </c>
      <c r="L147" s="16" t="s">
        <v>136</v>
      </c>
      <c r="M147" s="16" t="s">
        <v>137</v>
      </c>
      <c r="N147" s="16" t="s">
        <v>37</v>
      </c>
      <c r="O147" s="16" t="s">
        <v>19</v>
      </c>
      <c r="Q147" s="9">
        <v>5</v>
      </c>
      <c r="R147" s="9">
        <v>6</v>
      </c>
      <c r="S147" s="9">
        <v>15</v>
      </c>
      <c r="T147" s="9">
        <v>7</v>
      </c>
      <c r="U147" s="9">
        <v>5</v>
      </c>
      <c r="W147" s="25">
        <v>1</v>
      </c>
      <c r="X147" s="25">
        <v>1</v>
      </c>
      <c r="Y147" s="25">
        <v>1</v>
      </c>
      <c r="Z147" s="25">
        <v>1</v>
      </c>
      <c r="AA147" s="25">
        <v>1</v>
      </c>
      <c r="AH147" s="5"/>
      <c r="AI147" s="5"/>
      <c r="AO147" s="5"/>
    </row>
    <row r="148" spans="10:41">
      <c r="J148" s="9">
        <v>144</v>
      </c>
      <c r="K148" s="16" t="s">
        <v>136</v>
      </c>
      <c r="L148" s="16" t="s">
        <v>22</v>
      </c>
      <c r="M148" s="16" t="s">
        <v>92</v>
      </c>
      <c r="N148" s="16" t="s">
        <v>19</v>
      </c>
      <c r="O148" s="16" t="s">
        <v>136</v>
      </c>
      <c r="Q148" s="9">
        <v>6</v>
      </c>
      <c r="R148" s="9">
        <v>3</v>
      </c>
      <c r="S148" s="9">
        <v>16</v>
      </c>
      <c r="T148" s="9">
        <v>5</v>
      </c>
      <c r="U148" s="9">
        <v>6</v>
      </c>
      <c r="W148" s="25">
        <v>1</v>
      </c>
      <c r="X148" s="25">
        <v>1</v>
      </c>
      <c r="Y148" s="25">
        <v>1</v>
      </c>
      <c r="Z148" s="25">
        <v>1</v>
      </c>
      <c r="AA148" s="25">
        <v>1</v>
      </c>
      <c r="AH148" s="5"/>
      <c r="AI148" s="5"/>
      <c r="AO148" s="5"/>
    </row>
    <row r="149" spans="10:41">
      <c r="J149" s="25">
        <v>145</v>
      </c>
      <c r="K149" s="16" t="s">
        <v>35</v>
      </c>
      <c r="L149" s="16" t="s">
        <v>119</v>
      </c>
      <c r="M149" s="16" t="s">
        <v>119</v>
      </c>
      <c r="N149" s="16" t="s">
        <v>37</v>
      </c>
      <c r="O149" s="16" t="s">
        <v>19</v>
      </c>
      <c r="Q149" s="9">
        <v>8</v>
      </c>
      <c r="R149" s="9">
        <v>17</v>
      </c>
      <c r="S149" s="9">
        <v>17</v>
      </c>
      <c r="T149" s="9">
        <v>7</v>
      </c>
      <c r="U149" s="9">
        <v>5</v>
      </c>
      <c r="W149" s="25">
        <v>1</v>
      </c>
      <c r="X149" s="25">
        <v>1</v>
      </c>
      <c r="Y149" s="25">
        <v>1</v>
      </c>
      <c r="Z149" s="25">
        <v>1</v>
      </c>
      <c r="AA149" s="25">
        <v>1</v>
      </c>
      <c r="AH149" s="5"/>
      <c r="AI149" s="5"/>
      <c r="AO149" s="5"/>
    </row>
    <row r="150" spans="10:41">
      <c r="J150" s="9">
        <v>146</v>
      </c>
      <c r="K150" s="16" t="s">
        <v>136</v>
      </c>
      <c r="L150" s="16" t="s">
        <v>35</v>
      </c>
      <c r="M150" s="16" t="s">
        <v>91</v>
      </c>
      <c r="N150" s="16" t="s">
        <v>136</v>
      </c>
      <c r="O150" s="16" t="s">
        <v>34</v>
      </c>
      <c r="Q150" s="9">
        <v>6</v>
      </c>
      <c r="R150" s="9">
        <v>8</v>
      </c>
      <c r="S150" s="9">
        <v>14</v>
      </c>
      <c r="T150" s="9">
        <v>6</v>
      </c>
      <c r="U150" s="9">
        <v>9</v>
      </c>
      <c r="W150" s="25">
        <v>1</v>
      </c>
      <c r="X150" s="25">
        <v>1</v>
      </c>
      <c r="Y150" s="25">
        <v>1</v>
      </c>
      <c r="Z150" s="25">
        <v>1</v>
      </c>
      <c r="AA150" s="25">
        <v>1</v>
      </c>
      <c r="AH150" s="5"/>
      <c r="AI150" s="5"/>
      <c r="AO150" s="5"/>
    </row>
    <row r="151" spans="10:41">
      <c r="J151" s="25">
        <v>147</v>
      </c>
      <c r="K151" s="16" t="s">
        <v>37</v>
      </c>
      <c r="L151" s="16" t="s">
        <v>136</v>
      </c>
      <c r="M151" s="16" t="s">
        <v>137</v>
      </c>
      <c r="N151" s="16" t="s">
        <v>37</v>
      </c>
      <c r="O151" s="16" t="s">
        <v>37</v>
      </c>
      <c r="Q151" s="9">
        <v>7</v>
      </c>
      <c r="R151" s="9">
        <v>6</v>
      </c>
      <c r="S151" s="9">
        <v>15</v>
      </c>
      <c r="T151" s="9">
        <v>7</v>
      </c>
      <c r="U151" s="9">
        <v>7</v>
      </c>
      <c r="W151" s="25">
        <v>1</v>
      </c>
      <c r="X151" s="25">
        <v>1</v>
      </c>
      <c r="Y151" s="25">
        <v>1</v>
      </c>
      <c r="Z151" s="25">
        <v>1</v>
      </c>
      <c r="AA151" s="25">
        <v>1</v>
      </c>
      <c r="AH151" s="5"/>
      <c r="AI151" s="5"/>
      <c r="AO151" s="5"/>
    </row>
    <row r="152" spans="10:41">
      <c r="J152" s="9">
        <v>148</v>
      </c>
      <c r="K152" s="16" t="s">
        <v>19</v>
      </c>
      <c r="L152" s="16" t="s">
        <v>119</v>
      </c>
      <c r="M152" s="16" t="s">
        <v>90</v>
      </c>
      <c r="N152" s="16" t="s">
        <v>19</v>
      </c>
      <c r="O152" s="16" t="s">
        <v>136</v>
      </c>
      <c r="Q152" s="9">
        <v>5</v>
      </c>
      <c r="R152" s="9">
        <v>17</v>
      </c>
      <c r="S152" s="9">
        <v>13</v>
      </c>
      <c r="T152" s="9">
        <v>5</v>
      </c>
      <c r="U152" s="9">
        <v>6</v>
      </c>
      <c r="W152" s="25">
        <v>1</v>
      </c>
      <c r="X152" s="25">
        <v>1</v>
      </c>
      <c r="Y152" s="25">
        <v>1</v>
      </c>
      <c r="Z152" s="25">
        <v>1</v>
      </c>
      <c r="AA152" s="25">
        <v>1</v>
      </c>
      <c r="AH152" s="5"/>
      <c r="AI152" s="5"/>
      <c r="AO152" s="5"/>
    </row>
    <row r="153" spans="10:41">
      <c r="J153" s="25">
        <v>149</v>
      </c>
      <c r="K153" s="16" t="s">
        <v>136</v>
      </c>
      <c r="L153" s="16" t="s">
        <v>18</v>
      </c>
      <c r="M153" s="16" t="s">
        <v>91</v>
      </c>
      <c r="N153" s="16" t="s">
        <v>136</v>
      </c>
      <c r="O153" s="16" t="s">
        <v>34</v>
      </c>
      <c r="Q153" s="9">
        <v>6</v>
      </c>
      <c r="R153" s="9">
        <v>4</v>
      </c>
      <c r="S153" s="9">
        <v>14</v>
      </c>
      <c r="T153" s="9">
        <v>6</v>
      </c>
      <c r="U153" s="9">
        <v>9</v>
      </c>
      <c r="W153" s="25">
        <v>1</v>
      </c>
      <c r="X153" s="25">
        <v>1</v>
      </c>
      <c r="Y153" s="25">
        <v>1</v>
      </c>
      <c r="Z153" s="25">
        <v>1</v>
      </c>
      <c r="AA153" s="25">
        <v>1</v>
      </c>
      <c r="AH153" s="5"/>
      <c r="AI153" s="5"/>
      <c r="AO153" s="5"/>
    </row>
    <row r="154" spans="10:41">
      <c r="J154" s="9">
        <v>150</v>
      </c>
      <c r="K154" s="16" t="s">
        <v>19</v>
      </c>
      <c r="L154" s="16" t="s">
        <v>36</v>
      </c>
      <c r="M154" s="16" t="s">
        <v>137</v>
      </c>
      <c r="N154" s="16" t="s">
        <v>37</v>
      </c>
      <c r="O154" s="16" t="s">
        <v>35</v>
      </c>
      <c r="Q154" s="9">
        <v>5</v>
      </c>
      <c r="R154" s="9">
        <v>10</v>
      </c>
      <c r="S154" s="9">
        <v>15</v>
      </c>
      <c r="T154" s="9">
        <v>7</v>
      </c>
      <c r="U154" s="9">
        <v>8</v>
      </c>
      <c r="W154" s="25">
        <v>1</v>
      </c>
      <c r="X154" s="25">
        <v>1</v>
      </c>
      <c r="Y154" s="25">
        <v>1</v>
      </c>
      <c r="Z154" s="25">
        <v>1</v>
      </c>
      <c r="AA154" s="25">
        <v>1</v>
      </c>
      <c r="AH154" s="5"/>
      <c r="AI154" s="5"/>
      <c r="AO154" s="5"/>
    </row>
    <row r="155" spans="10:41">
      <c r="J155" s="25">
        <v>151</v>
      </c>
      <c r="K155" s="16" t="s">
        <v>21</v>
      </c>
      <c r="L155" s="16" t="s">
        <v>136</v>
      </c>
      <c r="M155" s="16" t="s">
        <v>119</v>
      </c>
      <c r="N155" s="16" t="s">
        <v>19</v>
      </c>
      <c r="O155" s="16" t="s">
        <v>21</v>
      </c>
      <c r="Q155" s="9">
        <v>2</v>
      </c>
      <c r="R155" s="9">
        <v>6</v>
      </c>
      <c r="S155" s="9">
        <v>17</v>
      </c>
      <c r="T155" s="9">
        <v>5</v>
      </c>
      <c r="U155" s="9">
        <v>2</v>
      </c>
      <c r="W155" s="25">
        <v>1</v>
      </c>
      <c r="X155" s="25">
        <v>1</v>
      </c>
      <c r="Y155" s="25">
        <v>1</v>
      </c>
      <c r="Z155" s="25">
        <v>1</v>
      </c>
      <c r="AA155" s="25">
        <v>1</v>
      </c>
      <c r="AH155" s="5"/>
      <c r="AI155" s="5"/>
      <c r="AO155" s="5"/>
    </row>
    <row r="156" spans="10:41">
      <c r="J156" s="9">
        <v>152</v>
      </c>
      <c r="K156" s="16" t="s">
        <v>35</v>
      </c>
      <c r="L156" s="16" t="s">
        <v>92</v>
      </c>
      <c r="M156" s="16" t="s">
        <v>97</v>
      </c>
      <c r="N156" s="16" t="s">
        <v>91</v>
      </c>
      <c r="O156" s="16" t="s">
        <v>37</v>
      </c>
      <c r="Q156" s="9">
        <v>8</v>
      </c>
      <c r="R156" s="9">
        <v>16</v>
      </c>
      <c r="S156" s="9">
        <v>19</v>
      </c>
      <c r="T156" s="9">
        <v>14</v>
      </c>
      <c r="U156" s="9">
        <v>7</v>
      </c>
      <c r="W156" s="25">
        <v>1</v>
      </c>
      <c r="X156" s="25">
        <v>1</v>
      </c>
      <c r="Y156" s="25">
        <v>1</v>
      </c>
      <c r="Z156" s="25">
        <v>1</v>
      </c>
      <c r="AA156" s="25">
        <v>1</v>
      </c>
      <c r="AH156" s="5"/>
      <c r="AI156" s="5"/>
      <c r="AO156" s="5"/>
    </row>
    <row r="157" spans="10:41">
      <c r="J157" s="25">
        <v>153</v>
      </c>
      <c r="K157" s="16" t="s">
        <v>37</v>
      </c>
      <c r="L157" s="16" t="s">
        <v>35</v>
      </c>
      <c r="M157" s="16" t="s">
        <v>137</v>
      </c>
      <c r="N157" s="16" t="s">
        <v>136</v>
      </c>
      <c r="O157" s="16" t="s">
        <v>35</v>
      </c>
      <c r="Q157" s="9">
        <v>7</v>
      </c>
      <c r="R157" s="9">
        <v>8</v>
      </c>
      <c r="S157" s="9">
        <v>15</v>
      </c>
      <c r="T157" s="9">
        <v>6</v>
      </c>
      <c r="U157" s="9">
        <v>8</v>
      </c>
      <c r="W157" s="25">
        <v>1</v>
      </c>
      <c r="X157" s="25">
        <v>1</v>
      </c>
      <c r="Y157" s="25">
        <v>1</v>
      </c>
      <c r="Z157" s="25">
        <v>1</v>
      </c>
      <c r="AA157" s="25">
        <v>1</v>
      </c>
      <c r="AH157" s="5"/>
      <c r="AI157" s="5"/>
      <c r="AO157" s="5"/>
    </row>
    <row r="158" spans="10:41">
      <c r="J158" s="9">
        <v>154</v>
      </c>
      <c r="K158" s="16" t="s">
        <v>35</v>
      </c>
      <c r="L158" s="16" t="s">
        <v>36</v>
      </c>
      <c r="M158" s="16" t="s">
        <v>119</v>
      </c>
      <c r="N158" s="16" t="s">
        <v>37</v>
      </c>
      <c r="O158" s="16" t="s">
        <v>19</v>
      </c>
      <c r="Q158" s="9">
        <v>8</v>
      </c>
      <c r="R158" s="9">
        <v>10</v>
      </c>
      <c r="S158" s="9">
        <v>17</v>
      </c>
      <c r="T158" s="9">
        <v>7</v>
      </c>
      <c r="U158" s="9">
        <v>5</v>
      </c>
      <c r="W158" s="25">
        <v>1</v>
      </c>
      <c r="X158" s="25">
        <v>1</v>
      </c>
      <c r="Y158" s="25">
        <v>1</v>
      </c>
      <c r="Z158" s="25">
        <v>1</v>
      </c>
      <c r="AA158" s="25">
        <v>1</v>
      </c>
      <c r="AH158" s="5"/>
      <c r="AI158" s="5"/>
      <c r="AO158" s="5"/>
    </row>
    <row r="159" spans="10:41">
      <c r="J159" s="25">
        <v>155</v>
      </c>
      <c r="K159" s="16" t="s">
        <v>19</v>
      </c>
      <c r="L159" s="16" t="s">
        <v>136</v>
      </c>
      <c r="M159" s="16" t="s">
        <v>90</v>
      </c>
      <c r="N159" s="16" t="s">
        <v>119</v>
      </c>
      <c r="O159" s="16" t="s">
        <v>37</v>
      </c>
      <c r="Q159" s="9">
        <v>5</v>
      </c>
      <c r="R159" s="9">
        <v>6</v>
      </c>
      <c r="S159" s="9">
        <v>13</v>
      </c>
      <c r="T159" s="9">
        <v>17</v>
      </c>
      <c r="U159" s="9">
        <v>7</v>
      </c>
      <c r="W159" s="25">
        <v>1</v>
      </c>
      <c r="X159" s="25">
        <v>1</v>
      </c>
      <c r="Y159" s="25">
        <v>1</v>
      </c>
      <c r="Z159" s="25">
        <v>1</v>
      </c>
      <c r="AA159" s="25">
        <v>1</v>
      </c>
      <c r="AH159" s="5"/>
      <c r="AI159" s="5"/>
      <c r="AO159" s="5"/>
    </row>
    <row r="160" spans="10:41">
      <c r="J160" s="9">
        <v>156</v>
      </c>
      <c r="K160" s="16" t="s">
        <v>37</v>
      </c>
      <c r="L160" s="16" t="s">
        <v>35</v>
      </c>
      <c r="M160" s="16" t="s">
        <v>137</v>
      </c>
      <c r="N160" s="16" t="s">
        <v>97</v>
      </c>
      <c r="O160" s="16" t="s">
        <v>35</v>
      </c>
      <c r="Q160" s="9">
        <v>7</v>
      </c>
      <c r="R160" s="9">
        <v>8</v>
      </c>
      <c r="S160" s="9">
        <v>15</v>
      </c>
      <c r="T160" s="9">
        <v>19</v>
      </c>
      <c r="U160" s="9">
        <v>8</v>
      </c>
      <c r="W160" s="25">
        <v>1</v>
      </c>
      <c r="X160" s="25">
        <v>1</v>
      </c>
      <c r="Y160" s="25">
        <v>1</v>
      </c>
      <c r="Z160" s="25">
        <v>1</v>
      </c>
      <c r="AA160" s="25">
        <v>1</v>
      </c>
      <c r="AH160" s="5"/>
      <c r="AI160" s="5"/>
      <c r="AO160" s="5"/>
    </row>
    <row r="161" spans="10:41">
      <c r="J161" s="25">
        <v>157</v>
      </c>
      <c r="K161" s="16" t="s">
        <v>35</v>
      </c>
      <c r="L161" s="16" t="s">
        <v>21</v>
      </c>
      <c r="M161" s="16" t="s">
        <v>119</v>
      </c>
      <c r="N161" s="16" t="s">
        <v>89</v>
      </c>
      <c r="O161" s="16" t="s">
        <v>136</v>
      </c>
      <c r="Q161" s="9">
        <v>8</v>
      </c>
      <c r="R161" s="9">
        <v>2</v>
      </c>
      <c r="S161" s="9">
        <v>17</v>
      </c>
      <c r="T161" s="9">
        <v>12</v>
      </c>
      <c r="U161" s="9">
        <v>6</v>
      </c>
      <c r="W161" s="25">
        <v>1</v>
      </c>
      <c r="X161" s="25">
        <v>1</v>
      </c>
      <c r="Y161" s="25">
        <v>1</v>
      </c>
      <c r="Z161" s="25">
        <v>1</v>
      </c>
      <c r="AA161" s="25">
        <v>1</v>
      </c>
      <c r="AH161" s="5"/>
      <c r="AI161" s="5"/>
      <c r="AO161" s="5"/>
    </row>
    <row r="162" spans="10:41">
      <c r="J162" s="9">
        <v>158</v>
      </c>
      <c r="K162" s="16" t="s">
        <v>19</v>
      </c>
      <c r="L162" s="16" t="s">
        <v>18</v>
      </c>
      <c r="M162" s="16" t="s">
        <v>137</v>
      </c>
      <c r="N162" s="16" t="s">
        <v>137</v>
      </c>
      <c r="O162" s="16" t="s">
        <v>35</v>
      </c>
      <c r="Q162" s="9">
        <v>5</v>
      </c>
      <c r="R162" s="9">
        <v>4</v>
      </c>
      <c r="S162" s="9">
        <v>15</v>
      </c>
      <c r="T162" s="9">
        <v>15</v>
      </c>
      <c r="U162" s="9">
        <v>8</v>
      </c>
      <c r="W162" s="25">
        <v>1</v>
      </c>
      <c r="X162" s="25">
        <v>1</v>
      </c>
      <c r="Y162" s="25">
        <v>1</v>
      </c>
      <c r="Z162" s="25">
        <v>1</v>
      </c>
      <c r="AA162" s="25">
        <v>1</v>
      </c>
      <c r="AH162" s="5"/>
      <c r="AI162" s="5"/>
      <c r="AO162" s="5"/>
    </row>
    <row r="163" spans="10:41">
      <c r="J163" s="25">
        <v>159</v>
      </c>
      <c r="K163" s="16" t="s">
        <v>35</v>
      </c>
      <c r="L163" s="16" t="s">
        <v>22</v>
      </c>
      <c r="M163" s="16" t="s">
        <v>92</v>
      </c>
      <c r="N163" s="16" t="s">
        <v>97</v>
      </c>
      <c r="O163" s="16" t="s">
        <v>37</v>
      </c>
      <c r="Q163" s="9">
        <v>8</v>
      </c>
      <c r="R163" s="9">
        <v>3</v>
      </c>
      <c r="S163" s="9">
        <v>16</v>
      </c>
      <c r="T163" s="9">
        <v>19</v>
      </c>
      <c r="U163" s="9">
        <v>7</v>
      </c>
      <c r="W163" s="25">
        <v>1</v>
      </c>
      <c r="X163" s="25">
        <v>1</v>
      </c>
      <c r="Y163" s="25">
        <v>1</v>
      </c>
      <c r="Z163" s="25">
        <v>1</v>
      </c>
      <c r="AA163" s="25">
        <v>1</v>
      </c>
      <c r="AH163" s="5"/>
      <c r="AI163" s="5"/>
      <c r="AO163" s="5"/>
    </row>
    <row r="164" spans="10:41">
      <c r="J164" s="9">
        <v>160</v>
      </c>
      <c r="K164" s="16" t="s">
        <v>34</v>
      </c>
      <c r="L164" s="16" t="s">
        <v>37</v>
      </c>
      <c r="M164" s="16" t="s">
        <v>119</v>
      </c>
      <c r="N164" s="16" t="s">
        <v>37</v>
      </c>
      <c r="O164" s="16" t="s">
        <v>18</v>
      </c>
      <c r="Q164" s="9">
        <v>9</v>
      </c>
      <c r="R164" s="9">
        <v>7</v>
      </c>
      <c r="S164" s="9">
        <v>17</v>
      </c>
      <c r="T164" s="9">
        <v>7</v>
      </c>
      <c r="U164" s="9">
        <v>4</v>
      </c>
      <c r="W164" s="25">
        <v>1</v>
      </c>
      <c r="X164" s="25">
        <v>1</v>
      </c>
      <c r="Y164" s="25">
        <v>1</v>
      </c>
      <c r="Z164" s="25">
        <v>1</v>
      </c>
      <c r="AA164" s="25">
        <v>1</v>
      </c>
      <c r="AH164" s="5"/>
      <c r="AI164" s="5"/>
      <c r="AO164" s="5"/>
    </row>
    <row r="165" spans="10:41">
      <c r="J165" s="25">
        <v>161</v>
      </c>
      <c r="K165" s="16" t="s">
        <v>19</v>
      </c>
      <c r="L165" s="16" t="s">
        <v>35</v>
      </c>
      <c r="M165" s="16" t="s">
        <v>137</v>
      </c>
      <c r="N165" s="16" t="s">
        <v>137</v>
      </c>
      <c r="O165" s="16" t="s">
        <v>136</v>
      </c>
      <c r="Q165" s="9">
        <v>5</v>
      </c>
      <c r="R165" s="9">
        <v>8</v>
      </c>
      <c r="S165" s="9">
        <v>15</v>
      </c>
      <c r="T165" s="9">
        <v>15</v>
      </c>
      <c r="U165" s="9">
        <v>6</v>
      </c>
      <c r="W165" s="25">
        <v>1</v>
      </c>
      <c r="X165" s="25">
        <v>1</v>
      </c>
      <c r="Y165" s="25">
        <v>1</v>
      </c>
      <c r="Z165" s="25">
        <v>1</v>
      </c>
      <c r="AA165" s="25">
        <v>1</v>
      </c>
      <c r="AH165" s="5"/>
      <c r="AI165" s="5"/>
      <c r="AO165" s="5"/>
    </row>
    <row r="166" spans="10:41">
      <c r="J166" s="9">
        <v>162</v>
      </c>
      <c r="K166" s="16" t="s">
        <v>34</v>
      </c>
      <c r="L166" s="16" t="s">
        <v>90</v>
      </c>
      <c r="M166" s="16" t="s">
        <v>119</v>
      </c>
      <c r="N166" s="16" t="s">
        <v>136</v>
      </c>
      <c r="O166" s="16" t="s">
        <v>37</v>
      </c>
      <c r="Q166" s="9">
        <v>9</v>
      </c>
      <c r="R166" s="9">
        <v>13</v>
      </c>
      <c r="S166" s="9">
        <v>17</v>
      </c>
      <c r="T166" s="9">
        <v>6</v>
      </c>
      <c r="U166" s="9">
        <v>7</v>
      </c>
      <c r="W166" s="25">
        <v>1</v>
      </c>
      <c r="X166" s="25">
        <v>1</v>
      </c>
      <c r="Y166" s="25">
        <v>1</v>
      </c>
      <c r="Z166" s="25">
        <v>1</v>
      </c>
      <c r="AA166" s="25">
        <v>1</v>
      </c>
      <c r="AH166" s="5"/>
      <c r="AI166" s="5"/>
      <c r="AO166" s="5"/>
    </row>
    <row r="167" spans="10:41">
      <c r="J167" s="25">
        <v>163</v>
      </c>
      <c r="K167" s="16" t="s">
        <v>136</v>
      </c>
      <c r="L167" s="16" t="s">
        <v>22</v>
      </c>
      <c r="M167" s="16" t="s">
        <v>91</v>
      </c>
      <c r="N167" s="16" t="s">
        <v>19</v>
      </c>
      <c r="O167" s="16" t="s">
        <v>36</v>
      </c>
      <c r="Q167" s="9">
        <v>6</v>
      </c>
      <c r="R167" s="9">
        <v>3</v>
      </c>
      <c r="S167" s="9">
        <v>14</v>
      </c>
      <c r="T167" s="9">
        <v>5</v>
      </c>
      <c r="U167" s="9">
        <v>10</v>
      </c>
      <c r="W167" s="25">
        <v>1</v>
      </c>
      <c r="X167" s="25">
        <v>1</v>
      </c>
      <c r="Y167" s="25">
        <v>1</v>
      </c>
      <c r="Z167" s="25">
        <v>1</v>
      </c>
      <c r="AA167" s="25">
        <v>1</v>
      </c>
      <c r="AH167" s="5"/>
      <c r="AI167" s="5"/>
      <c r="AO167" s="5"/>
    </row>
    <row r="168" spans="10:41">
      <c r="J168" s="9">
        <v>164</v>
      </c>
      <c r="K168" s="16" t="s">
        <v>19</v>
      </c>
      <c r="L168" s="16" t="s">
        <v>19</v>
      </c>
      <c r="M168" s="16" t="s">
        <v>137</v>
      </c>
      <c r="N168" s="16" t="s">
        <v>37</v>
      </c>
      <c r="O168" s="16" t="s">
        <v>19</v>
      </c>
      <c r="Q168" s="9">
        <v>5</v>
      </c>
      <c r="R168" s="9">
        <v>5</v>
      </c>
      <c r="S168" s="9">
        <v>15</v>
      </c>
      <c r="T168" s="9">
        <v>7</v>
      </c>
      <c r="U168" s="9">
        <v>5</v>
      </c>
      <c r="W168" s="25">
        <v>1</v>
      </c>
      <c r="X168" s="25">
        <v>1</v>
      </c>
      <c r="Y168" s="25">
        <v>1</v>
      </c>
      <c r="Z168" s="25">
        <v>1</v>
      </c>
      <c r="AA168" s="25">
        <v>1</v>
      </c>
      <c r="AH168" s="5"/>
      <c r="AI168" s="5"/>
      <c r="AO168" s="5"/>
    </row>
    <row r="169" spans="10:41">
      <c r="J169" s="25">
        <v>165</v>
      </c>
      <c r="K169" s="16" t="s">
        <v>35</v>
      </c>
      <c r="L169" s="16" t="s">
        <v>22</v>
      </c>
      <c r="M169" s="16" t="s">
        <v>119</v>
      </c>
      <c r="N169" s="16" t="s">
        <v>35</v>
      </c>
      <c r="O169" s="16" t="s">
        <v>36</v>
      </c>
      <c r="Q169" s="9">
        <v>8</v>
      </c>
      <c r="R169" s="9">
        <v>3</v>
      </c>
      <c r="S169" s="9">
        <v>17</v>
      </c>
      <c r="T169" s="9">
        <v>8</v>
      </c>
      <c r="U169" s="9">
        <v>10</v>
      </c>
      <c r="W169" s="25">
        <v>1</v>
      </c>
      <c r="X169" s="25">
        <v>1</v>
      </c>
      <c r="Y169" s="25">
        <v>1</v>
      </c>
      <c r="Z169" s="25">
        <v>1</v>
      </c>
      <c r="AA169" s="25">
        <v>1</v>
      </c>
      <c r="AH169" s="5"/>
      <c r="AI169" s="5"/>
      <c r="AO169" s="5"/>
    </row>
    <row r="170" spans="10:41">
      <c r="J170" s="9">
        <v>166</v>
      </c>
      <c r="K170" s="16" t="s">
        <v>34</v>
      </c>
      <c r="L170" s="16" t="s">
        <v>136</v>
      </c>
      <c r="M170" s="16" t="s">
        <v>92</v>
      </c>
      <c r="N170" s="16" t="s">
        <v>37</v>
      </c>
      <c r="O170" s="16" t="s">
        <v>37</v>
      </c>
      <c r="Q170" s="9">
        <v>9</v>
      </c>
      <c r="R170" s="9">
        <v>6</v>
      </c>
      <c r="S170" s="9">
        <v>16</v>
      </c>
      <c r="T170" s="9">
        <v>7</v>
      </c>
      <c r="U170" s="9">
        <v>7</v>
      </c>
      <c r="W170" s="25">
        <v>1</v>
      </c>
      <c r="X170" s="25">
        <v>1</v>
      </c>
      <c r="Y170" s="25">
        <v>1</v>
      </c>
      <c r="Z170" s="25">
        <v>1</v>
      </c>
      <c r="AA170" s="25">
        <v>1</v>
      </c>
      <c r="AH170" s="5"/>
      <c r="AI170" s="5"/>
      <c r="AO170" s="5"/>
    </row>
    <row r="171" spans="10:41">
      <c r="J171" s="25">
        <v>167</v>
      </c>
      <c r="K171" s="16" t="s">
        <v>136</v>
      </c>
      <c r="L171" s="16" t="s">
        <v>92</v>
      </c>
      <c r="M171" s="16" t="s">
        <v>137</v>
      </c>
      <c r="N171" s="16" t="s">
        <v>119</v>
      </c>
      <c r="O171" s="16" t="s">
        <v>35</v>
      </c>
      <c r="Q171" s="9">
        <v>6</v>
      </c>
      <c r="R171" s="9">
        <v>16</v>
      </c>
      <c r="S171" s="9">
        <v>15</v>
      </c>
      <c r="T171" s="9">
        <v>17</v>
      </c>
      <c r="U171" s="9">
        <v>8</v>
      </c>
      <c r="W171" s="25">
        <v>1</v>
      </c>
      <c r="X171" s="25">
        <v>1</v>
      </c>
      <c r="Y171" s="25">
        <v>1</v>
      </c>
      <c r="Z171" s="25">
        <v>1</v>
      </c>
      <c r="AA171" s="25">
        <v>1</v>
      </c>
      <c r="AH171" s="5"/>
      <c r="AI171" s="5"/>
      <c r="AO171" s="5"/>
    </row>
    <row r="172" spans="10:41">
      <c r="J172" s="9">
        <v>168</v>
      </c>
      <c r="K172" s="16" t="s">
        <v>37</v>
      </c>
      <c r="L172" s="16" t="s">
        <v>34</v>
      </c>
      <c r="M172" s="16" t="s">
        <v>119</v>
      </c>
      <c r="N172" s="16" t="s">
        <v>20</v>
      </c>
      <c r="O172" s="16" t="s">
        <v>34</v>
      </c>
      <c r="Q172" s="9">
        <v>7</v>
      </c>
      <c r="R172" s="9">
        <v>9</v>
      </c>
      <c r="S172" s="9">
        <v>17</v>
      </c>
      <c r="T172" s="9">
        <v>1</v>
      </c>
      <c r="U172" s="9">
        <v>9</v>
      </c>
      <c r="W172" s="25">
        <v>1</v>
      </c>
      <c r="X172" s="25">
        <v>1</v>
      </c>
      <c r="Y172" s="25">
        <v>1</v>
      </c>
      <c r="Z172" s="25">
        <v>1</v>
      </c>
      <c r="AA172" s="25">
        <v>1</v>
      </c>
      <c r="AH172" s="5"/>
      <c r="AI172" s="5"/>
      <c r="AO172" s="5"/>
    </row>
    <row r="173" spans="10:41">
      <c r="J173" s="25">
        <v>169</v>
      </c>
      <c r="K173" s="16" t="s">
        <v>35</v>
      </c>
      <c r="L173" s="16" t="s">
        <v>21</v>
      </c>
      <c r="M173" s="16" t="s">
        <v>92</v>
      </c>
      <c r="N173" s="16" t="s">
        <v>91</v>
      </c>
      <c r="O173" s="16" t="s">
        <v>19</v>
      </c>
      <c r="Q173" s="9">
        <v>8</v>
      </c>
      <c r="R173" s="9">
        <v>2</v>
      </c>
      <c r="S173" s="9">
        <v>16</v>
      </c>
      <c r="T173" s="9">
        <v>14</v>
      </c>
      <c r="U173" s="9">
        <v>5</v>
      </c>
      <c r="W173" s="25">
        <v>1</v>
      </c>
      <c r="X173" s="25">
        <v>1</v>
      </c>
      <c r="Y173" s="25">
        <v>1</v>
      </c>
      <c r="Z173" s="25">
        <v>1</v>
      </c>
      <c r="AA173" s="25">
        <v>1</v>
      </c>
      <c r="AH173" s="5"/>
      <c r="AI173" s="5"/>
      <c r="AO173" s="5"/>
    </row>
    <row r="174" spans="10:41">
      <c r="J174" s="9">
        <v>170</v>
      </c>
      <c r="K174" s="16" t="s">
        <v>37</v>
      </c>
      <c r="L174" s="16" t="s">
        <v>137</v>
      </c>
      <c r="M174" s="16" t="s">
        <v>91</v>
      </c>
      <c r="N174" s="16" t="s">
        <v>19</v>
      </c>
      <c r="O174" s="16" t="s">
        <v>37</v>
      </c>
      <c r="Q174" s="9">
        <v>7</v>
      </c>
      <c r="R174" s="9">
        <v>15</v>
      </c>
      <c r="S174" s="9">
        <v>14</v>
      </c>
      <c r="T174" s="9">
        <v>5</v>
      </c>
      <c r="U174" s="9">
        <v>7</v>
      </c>
      <c r="W174" s="25">
        <v>1</v>
      </c>
      <c r="X174" s="25">
        <v>1</v>
      </c>
      <c r="Y174" s="25">
        <v>1</v>
      </c>
      <c r="Z174" s="25">
        <v>1</v>
      </c>
      <c r="AA174" s="25">
        <v>1</v>
      </c>
      <c r="AH174" s="5"/>
      <c r="AI174" s="5"/>
      <c r="AO174" s="5"/>
    </row>
    <row r="175" spans="10:41">
      <c r="J175" s="25">
        <v>171</v>
      </c>
      <c r="K175" s="16" t="s">
        <v>35</v>
      </c>
      <c r="L175" s="16" t="s">
        <v>34</v>
      </c>
      <c r="M175" s="16" t="s">
        <v>92</v>
      </c>
      <c r="N175" s="16" t="s">
        <v>90</v>
      </c>
      <c r="O175" s="16" t="s">
        <v>22</v>
      </c>
      <c r="Q175" s="9">
        <v>8</v>
      </c>
      <c r="R175" s="9">
        <v>9</v>
      </c>
      <c r="S175" s="9">
        <v>16</v>
      </c>
      <c r="T175" s="9">
        <v>13</v>
      </c>
      <c r="U175" s="9">
        <v>3</v>
      </c>
      <c r="W175" s="25">
        <v>1</v>
      </c>
      <c r="X175" s="25">
        <v>1</v>
      </c>
      <c r="Y175" s="25">
        <v>1</v>
      </c>
      <c r="Z175" s="25">
        <v>1</v>
      </c>
      <c r="AA175" s="25">
        <v>1</v>
      </c>
      <c r="AH175" s="5"/>
      <c r="AI175" s="5"/>
      <c r="AO175" s="5"/>
    </row>
    <row r="176" spans="10:41">
      <c r="J176" s="9">
        <v>172</v>
      </c>
      <c r="K176" s="16" t="s">
        <v>18</v>
      </c>
      <c r="L176" s="16" t="s">
        <v>19</v>
      </c>
      <c r="M176" s="16" t="s">
        <v>97</v>
      </c>
      <c r="N176" s="16" t="s">
        <v>95</v>
      </c>
      <c r="O176" s="16" t="s">
        <v>19</v>
      </c>
      <c r="Q176" s="9">
        <v>4</v>
      </c>
      <c r="R176" s="9">
        <v>5</v>
      </c>
      <c r="S176" s="9">
        <v>19</v>
      </c>
      <c r="T176" s="9">
        <v>18</v>
      </c>
      <c r="U176" s="9">
        <v>5</v>
      </c>
      <c r="W176" s="25">
        <v>1</v>
      </c>
      <c r="X176" s="25">
        <v>1</v>
      </c>
      <c r="Y176" s="25">
        <v>1</v>
      </c>
      <c r="Z176" s="25">
        <v>1</v>
      </c>
      <c r="AA176" s="25">
        <v>1</v>
      </c>
      <c r="AH176" s="5"/>
      <c r="AI176" s="5"/>
      <c r="AO176" s="5"/>
    </row>
    <row r="177" spans="10:41">
      <c r="J177" s="25">
        <v>173</v>
      </c>
      <c r="K177" s="16" t="s">
        <v>19</v>
      </c>
      <c r="L177" s="16" t="s">
        <v>92</v>
      </c>
      <c r="M177" s="16" t="s">
        <v>119</v>
      </c>
      <c r="N177" s="16" t="s">
        <v>35</v>
      </c>
      <c r="O177" s="16" t="s">
        <v>136</v>
      </c>
      <c r="Q177" s="9">
        <v>5</v>
      </c>
      <c r="R177" s="9">
        <v>16</v>
      </c>
      <c r="S177" s="9">
        <v>17</v>
      </c>
      <c r="T177" s="9">
        <v>8</v>
      </c>
      <c r="U177" s="9">
        <v>6</v>
      </c>
      <c r="W177" s="25">
        <v>1</v>
      </c>
      <c r="X177" s="25">
        <v>1</v>
      </c>
      <c r="Y177" s="25">
        <v>1</v>
      </c>
      <c r="Z177" s="25">
        <v>1</v>
      </c>
      <c r="AA177" s="25">
        <v>1</v>
      </c>
      <c r="AH177" s="5"/>
      <c r="AI177" s="5"/>
      <c r="AO177" s="5"/>
    </row>
    <row r="178" spans="10:41">
      <c r="J178" s="9">
        <v>174</v>
      </c>
      <c r="K178" s="16" t="s">
        <v>35</v>
      </c>
      <c r="L178" s="16" t="s">
        <v>137</v>
      </c>
      <c r="M178" s="16" t="s">
        <v>137</v>
      </c>
      <c r="N178" s="16" t="s">
        <v>119</v>
      </c>
      <c r="O178" s="16" t="s">
        <v>37</v>
      </c>
      <c r="Q178" s="9">
        <v>8</v>
      </c>
      <c r="R178" s="9">
        <v>15</v>
      </c>
      <c r="S178" s="9">
        <v>15</v>
      </c>
      <c r="T178" s="9">
        <v>17</v>
      </c>
      <c r="U178" s="9">
        <v>7</v>
      </c>
      <c r="W178" s="25">
        <v>1</v>
      </c>
      <c r="X178" s="25">
        <v>1</v>
      </c>
      <c r="Y178" s="25">
        <v>1</v>
      </c>
      <c r="Z178" s="25">
        <v>1</v>
      </c>
      <c r="AA178" s="25">
        <v>1</v>
      </c>
      <c r="AH178" s="5"/>
      <c r="AI178" s="5"/>
      <c r="AO178" s="5"/>
    </row>
    <row r="179" spans="10:41">
      <c r="J179" s="25">
        <v>175</v>
      </c>
      <c r="K179" s="16" t="s">
        <v>37</v>
      </c>
      <c r="L179" s="16" t="s">
        <v>37</v>
      </c>
      <c r="M179" s="16" t="s">
        <v>92</v>
      </c>
      <c r="N179" s="16" t="s">
        <v>18</v>
      </c>
      <c r="O179" s="16" t="s">
        <v>19</v>
      </c>
      <c r="Q179" s="9">
        <v>7</v>
      </c>
      <c r="R179" s="9">
        <v>7</v>
      </c>
      <c r="S179" s="9">
        <v>16</v>
      </c>
      <c r="T179" s="9">
        <v>4</v>
      </c>
      <c r="U179" s="9">
        <v>5</v>
      </c>
      <c r="W179" s="25">
        <v>1</v>
      </c>
      <c r="X179" s="25">
        <v>1</v>
      </c>
      <c r="Y179" s="25">
        <v>1</v>
      </c>
      <c r="Z179" s="25">
        <v>1</v>
      </c>
      <c r="AA179" s="25">
        <v>1</v>
      </c>
      <c r="AH179" s="5"/>
      <c r="AI179" s="5"/>
      <c r="AO179" s="5"/>
    </row>
    <row r="180" spans="10:41">
      <c r="J180" s="9">
        <v>176</v>
      </c>
      <c r="K180" s="16" t="s">
        <v>136</v>
      </c>
      <c r="L180" s="16" t="s">
        <v>34</v>
      </c>
      <c r="M180" s="16" t="s">
        <v>137</v>
      </c>
      <c r="N180" s="16" t="s">
        <v>19</v>
      </c>
      <c r="O180" s="16" t="s">
        <v>37</v>
      </c>
      <c r="Q180" s="9">
        <v>6</v>
      </c>
      <c r="R180" s="9">
        <v>9</v>
      </c>
      <c r="S180" s="9">
        <v>15</v>
      </c>
      <c r="T180" s="9">
        <v>5</v>
      </c>
      <c r="U180" s="9">
        <v>7</v>
      </c>
      <c r="W180" s="25">
        <v>1</v>
      </c>
      <c r="X180" s="25">
        <v>1</v>
      </c>
      <c r="Y180" s="25">
        <v>1</v>
      </c>
      <c r="Z180" s="25">
        <v>1</v>
      </c>
      <c r="AA180" s="25">
        <v>1</v>
      </c>
      <c r="AH180" s="5"/>
      <c r="AI180" s="5"/>
      <c r="AO180" s="5"/>
    </row>
    <row r="181" spans="10:41">
      <c r="J181" s="25">
        <v>177</v>
      </c>
      <c r="K181" s="16" t="s">
        <v>19</v>
      </c>
      <c r="L181" s="16" t="s">
        <v>35</v>
      </c>
      <c r="M181" s="16" t="s">
        <v>91</v>
      </c>
      <c r="N181" s="16" t="s">
        <v>136</v>
      </c>
      <c r="O181" s="16" t="s">
        <v>19</v>
      </c>
      <c r="Q181" s="9">
        <v>5</v>
      </c>
      <c r="R181" s="9">
        <v>8</v>
      </c>
      <c r="S181" s="9">
        <v>14</v>
      </c>
      <c r="T181" s="9">
        <v>6</v>
      </c>
      <c r="U181" s="9">
        <v>5</v>
      </c>
      <c r="W181" s="25">
        <v>1</v>
      </c>
      <c r="X181" s="25">
        <v>1</v>
      </c>
      <c r="Y181" s="25">
        <v>1</v>
      </c>
      <c r="Z181" s="25">
        <v>1</v>
      </c>
      <c r="AA181" s="25">
        <v>1</v>
      </c>
      <c r="AH181" s="5"/>
      <c r="AI181" s="5"/>
      <c r="AO181" s="5"/>
    </row>
    <row r="182" spans="10:41">
      <c r="J182" s="9">
        <v>178</v>
      </c>
      <c r="K182" s="16" t="s">
        <v>35</v>
      </c>
      <c r="L182" s="16" t="s">
        <v>37</v>
      </c>
      <c r="M182" s="16" t="s">
        <v>92</v>
      </c>
      <c r="N182" s="16" t="s">
        <v>119</v>
      </c>
      <c r="O182" s="16" t="s">
        <v>35</v>
      </c>
      <c r="Q182" s="9">
        <v>8</v>
      </c>
      <c r="R182" s="9">
        <v>7</v>
      </c>
      <c r="S182" s="9">
        <v>16</v>
      </c>
      <c r="T182" s="9">
        <v>17</v>
      </c>
      <c r="U182" s="9">
        <v>8</v>
      </c>
      <c r="W182" s="25">
        <v>1</v>
      </c>
      <c r="X182" s="25">
        <v>1</v>
      </c>
      <c r="Y182" s="25">
        <v>1</v>
      </c>
      <c r="Z182" s="25">
        <v>1</v>
      </c>
      <c r="AA182" s="25">
        <v>1</v>
      </c>
      <c r="AH182" s="5"/>
      <c r="AI182" s="5"/>
      <c r="AO182" s="5"/>
    </row>
    <row r="183" spans="10:41">
      <c r="J183" s="25">
        <v>179</v>
      </c>
      <c r="K183" s="16" t="s">
        <v>136</v>
      </c>
      <c r="L183" s="16" t="s">
        <v>136</v>
      </c>
      <c r="M183" s="16" t="s">
        <v>91</v>
      </c>
      <c r="N183" s="16" t="s">
        <v>136</v>
      </c>
      <c r="O183" s="16" t="s">
        <v>136</v>
      </c>
      <c r="Q183" s="9">
        <v>6</v>
      </c>
      <c r="R183" s="9">
        <v>6</v>
      </c>
      <c r="S183" s="9">
        <v>14</v>
      </c>
      <c r="T183" s="9">
        <v>6</v>
      </c>
      <c r="U183" s="9">
        <v>6</v>
      </c>
      <c r="W183" s="25">
        <v>1</v>
      </c>
      <c r="X183" s="25">
        <v>1</v>
      </c>
      <c r="Y183" s="25">
        <v>1</v>
      </c>
      <c r="Z183" s="25">
        <v>1</v>
      </c>
      <c r="AA183" s="25">
        <v>1</v>
      </c>
      <c r="AH183" s="5"/>
      <c r="AI183" s="5"/>
      <c r="AO183" s="5"/>
    </row>
    <row r="184" spans="10:41">
      <c r="J184" s="9">
        <v>180</v>
      </c>
      <c r="K184" s="16" t="s">
        <v>19</v>
      </c>
      <c r="L184" s="16" t="s">
        <v>37</v>
      </c>
      <c r="M184" s="16" t="s">
        <v>92</v>
      </c>
      <c r="N184" s="16" t="s">
        <v>35</v>
      </c>
      <c r="O184" s="16" t="s">
        <v>36</v>
      </c>
      <c r="Q184" s="9">
        <v>5</v>
      </c>
      <c r="R184" s="9">
        <v>7</v>
      </c>
      <c r="S184" s="9">
        <v>16</v>
      </c>
      <c r="T184" s="9">
        <v>8</v>
      </c>
      <c r="U184" s="9">
        <v>10</v>
      </c>
      <c r="W184" s="25">
        <v>1</v>
      </c>
      <c r="X184" s="25">
        <v>1</v>
      </c>
      <c r="Y184" s="25">
        <v>1</v>
      </c>
      <c r="Z184" s="25">
        <v>1</v>
      </c>
      <c r="AA184" s="25">
        <v>1</v>
      </c>
      <c r="AH184" s="5"/>
      <c r="AI184" s="5"/>
      <c r="AO184" s="5"/>
    </row>
    <row r="185" spans="10:41">
      <c r="J185" s="25">
        <v>181</v>
      </c>
      <c r="K185" s="16" t="s">
        <v>37</v>
      </c>
      <c r="L185" s="16" t="s">
        <v>91</v>
      </c>
      <c r="M185" s="16" t="s">
        <v>137</v>
      </c>
      <c r="N185" s="16" t="s">
        <v>137</v>
      </c>
      <c r="O185" s="16" t="s">
        <v>19</v>
      </c>
      <c r="Q185" s="9">
        <v>7</v>
      </c>
      <c r="R185" s="9">
        <v>14</v>
      </c>
      <c r="S185" s="9">
        <v>15</v>
      </c>
      <c r="T185" s="9">
        <v>15</v>
      </c>
      <c r="U185" s="9">
        <v>5</v>
      </c>
      <c r="W185" s="25">
        <v>1</v>
      </c>
      <c r="X185" s="25">
        <v>1</v>
      </c>
      <c r="Y185" s="25">
        <v>1</v>
      </c>
      <c r="Z185" s="25">
        <v>1</v>
      </c>
      <c r="AA185" s="25">
        <v>1</v>
      </c>
      <c r="AH185" s="5"/>
      <c r="AI185" s="5"/>
      <c r="AO185" s="5"/>
    </row>
    <row r="186" spans="10:41">
      <c r="J186" s="9">
        <v>182</v>
      </c>
      <c r="K186" s="16" t="s">
        <v>136</v>
      </c>
      <c r="L186" s="16" t="s">
        <v>35</v>
      </c>
      <c r="M186" s="16" t="s">
        <v>92</v>
      </c>
      <c r="N186" s="16" t="s">
        <v>19</v>
      </c>
      <c r="O186" s="16" t="s">
        <v>35</v>
      </c>
      <c r="Q186" s="9">
        <v>6</v>
      </c>
      <c r="R186" s="9">
        <v>8</v>
      </c>
      <c r="S186" s="9">
        <v>16</v>
      </c>
      <c r="T186" s="9">
        <v>5</v>
      </c>
      <c r="U186" s="9">
        <v>8</v>
      </c>
      <c r="W186" s="25">
        <v>1</v>
      </c>
      <c r="X186" s="25">
        <v>1</v>
      </c>
      <c r="Y186" s="25">
        <v>1</v>
      </c>
      <c r="Z186" s="25">
        <v>1</v>
      </c>
      <c r="AA186" s="25">
        <v>1</v>
      </c>
      <c r="AH186" s="5"/>
      <c r="AI186" s="5"/>
      <c r="AO186" s="5"/>
    </row>
    <row r="187" spans="10:41">
      <c r="J187" s="25">
        <v>183</v>
      </c>
      <c r="K187" s="16" t="s">
        <v>35</v>
      </c>
      <c r="L187" s="16" t="s">
        <v>37</v>
      </c>
      <c r="M187" s="16" t="s">
        <v>91</v>
      </c>
      <c r="N187" s="16" t="s">
        <v>36</v>
      </c>
      <c r="O187" s="16" t="s">
        <v>37</v>
      </c>
      <c r="Q187" s="9">
        <v>8</v>
      </c>
      <c r="R187" s="9">
        <v>7</v>
      </c>
      <c r="S187" s="9">
        <v>14</v>
      </c>
      <c r="T187" s="9">
        <v>10</v>
      </c>
      <c r="U187" s="9">
        <v>7</v>
      </c>
      <c r="W187" s="25">
        <v>1</v>
      </c>
      <c r="X187" s="25">
        <v>1</v>
      </c>
      <c r="Y187" s="25">
        <v>1</v>
      </c>
      <c r="Z187" s="25">
        <v>1</v>
      </c>
      <c r="AA187" s="25">
        <v>1</v>
      </c>
      <c r="AH187" s="5"/>
      <c r="AI187" s="5"/>
      <c r="AO187" s="5"/>
    </row>
    <row r="188" spans="10:41">
      <c r="J188" s="9">
        <v>184</v>
      </c>
      <c r="K188" s="16" t="s">
        <v>19</v>
      </c>
      <c r="L188" s="16" t="s">
        <v>91</v>
      </c>
      <c r="M188" s="16" t="s">
        <v>137</v>
      </c>
      <c r="N188" s="16" t="s">
        <v>136</v>
      </c>
      <c r="O188" s="16" t="s">
        <v>35</v>
      </c>
      <c r="Q188" s="9">
        <v>5</v>
      </c>
      <c r="R188" s="9">
        <v>14</v>
      </c>
      <c r="S188" s="9">
        <v>15</v>
      </c>
      <c r="T188" s="9">
        <v>6</v>
      </c>
      <c r="U188" s="9">
        <v>8</v>
      </c>
      <c r="W188" s="25">
        <v>1</v>
      </c>
      <c r="X188" s="25">
        <v>1</v>
      </c>
      <c r="Y188" s="25">
        <v>1</v>
      </c>
      <c r="Z188" s="25">
        <v>1</v>
      </c>
      <c r="AA188" s="25">
        <v>1</v>
      </c>
      <c r="AH188" s="5"/>
      <c r="AI188" s="5"/>
      <c r="AO188" s="5"/>
    </row>
    <row r="189" spans="10:41">
      <c r="J189" s="25">
        <v>185</v>
      </c>
      <c r="K189" s="16" t="s">
        <v>18</v>
      </c>
      <c r="L189" s="16" t="s">
        <v>92</v>
      </c>
      <c r="M189" s="16" t="s">
        <v>119</v>
      </c>
      <c r="N189" s="16" t="s">
        <v>19</v>
      </c>
      <c r="O189" s="16" t="s">
        <v>136</v>
      </c>
      <c r="Q189" s="9">
        <v>4</v>
      </c>
      <c r="R189" s="9">
        <v>16</v>
      </c>
      <c r="S189" s="9">
        <v>17</v>
      </c>
      <c r="T189" s="9">
        <v>5</v>
      </c>
      <c r="U189" s="9">
        <v>6</v>
      </c>
      <c r="W189" s="25">
        <v>1</v>
      </c>
      <c r="X189" s="25">
        <v>1</v>
      </c>
      <c r="Y189" s="25">
        <v>1</v>
      </c>
      <c r="Z189" s="25">
        <v>1</v>
      </c>
      <c r="AA189" s="25">
        <v>1</v>
      </c>
      <c r="AH189" s="5"/>
      <c r="AI189" s="5"/>
      <c r="AO189" s="5"/>
    </row>
    <row r="190" spans="10:41">
      <c r="J190" s="9">
        <v>186</v>
      </c>
      <c r="K190" s="16" t="s">
        <v>19</v>
      </c>
      <c r="L190" s="16" t="s">
        <v>137</v>
      </c>
      <c r="M190" s="16" t="s">
        <v>137</v>
      </c>
      <c r="N190" s="16" t="s">
        <v>37</v>
      </c>
      <c r="O190" s="16" t="s">
        <v>19</v>
      </c>
      <c r="Q190" s="9">
        <v>5</v>
      </c>
      <c r="R190" s="9">
        <v>15</v>
      </c>
      <c r="S190" s="9">
        <v>15</v>
      </c>
      <c r="T190" s="9">
        <v>7</v>
      </c>
      <c r="U190" s="9">
        <v>5</v>
      </c>
      <c r="W190" s="25">
        <v>1</v>
      </c>
      <c r="X190" s="25">
        <v>1</v>
      </c>
      <c r="Y190" s="25">
        <v>1</v>
      </c>
      <c r="Z190" s="25">
        <v>1</v>
      </c>
      <c r="AA190" s="25">
        <v>1</v>
      </c>
      <c r="AH190" s="5"/>
      <c r="AI190" s="5"/>
      <c r="AO190" s="5"/>
    </row>
    <row r="191" spans="10:41">
      <c r="J191" s="25">
        <v>187</v>
      </c>
      <c r="K191" s="16" t="s">
        <v>136</v>
      </c>
      <c r="L191" s="16" t="s">
        <v>19</v>
      </c>
      <c r="M191" s="16" t="s">
        <v>91</v>
      </c>
      <c r="N191" s="16" t="s">
        <v>91</v>
      </c>
      <c r="O191" s="16" t="s">
        <v>34</v>
      </c>
      <c r="Q191" s="9">
        <v>6</v>
      </c>
      <c r="R191" s="9">
        <v>5</v>
      </c>
      <c r="S191" s="9">
        <v>14</v>
      </c>
      <c r="T191" s="9">
        <v>14</v>
      </c>
      <c r="U191" s="9">
        <v>9</v>
      </c>
      <c r="W191" s="25">
        <v>1</v>
      </c>
      <c r="X191" s="25">
        <v>1</v>
      </c>
      <c r="Y191" s="25">
        <v>1</v>
      </c>
      <c r="Z191" s="25">
        <v>1</v>
      </c>
      <c r="AA191" s="25">
        <v>1</v>
      </c>
      <c r="AH191" s="5"/>
      <c r="AI191" s="5"/>
      <c r="AO191" s="5"/>
    </row>
    <row r="192" spans="10:41">
      <c r="J192" s="9">
        <v>188</v>
      </c>
      <c r="K192" s="16" t="s">
        <v>19</v>
      </c>
      <c r="L192" s="16" t="s">
        <v>18</v>
      </c>
      <c r="M192" s="16" t="s">
        <v>119</v>
      </c>
      <c r="N192" s="16" t="s">
        <v>136</v>
      </c>
      <c r="O192" s="16" t="s">
        <v>19</v>
      </c>
      <c r="Q192" s="9">
        <v>5</v>
      </c>
      <c r="R192" s="9">
        <v>4</v>
      </c>
      <c r="S192" s="9">
        <v>17</v>
      </c>
      <c r="T192" s="9">
        <v>6</v>
      </c>
      <c r="U192" s="9">
        <v>5</v>
      </c>
      <c r="W192" s="25">
        <v>1</v>
      </c>
      <c r="X192" s="25">
        <v>1</v>
      </c>
      <c r="Y192" s="25">
        <v>1</v>
      </c>
      <c r="Z192" s="25">
        <v>1</v>
      </c>
      <c r="AA192" s="25">
        <v>1</v>
      </c>
      <c r="AH192" s="5"/>
      <c r="AI192" s="5"/>
      <c r="AO192" s="5"/>
    </row>
    <row r="193" spans="10:41">
      <c r="J193" s="25">
        <v>189</v>
      </c>
      <c r="K193" s="16" t="s">
        <v>136</v>
      </c>
      <c r="L193" s="16" t="s">
        <v>35</v>
      </c>
      <c r="M193" s="16" t="s">
        <v>92</v>
      </c>
      <c r="N193" s="16" t="s">
        <v>18</v>
      </c>
      <c r="O193" s="16" t="s">
        <v>136</v>
      </c>
      <c r="Q193" s="9">
        <v>6</v>
      </c>
      <c r="R193" s="9">
        <v>8</v>
      </c>
      <c r="S193" s="9">
        <v>16</v>
      </c>
      <c r="T193" s="9">
        <v>4</v>
      </c>
      <c r="U193" s="9">
        <v>6</v>
      </c>
      <c r="W193" s="25">
        <v>1</v>
      </c>
      <c r="X193" s="25">
        <v>1</v>
      </c>
      <c r="Y193" s="25">
        <v>1</v>
      </c>
      <c r="Z193" s="25">
        <v>1</v>
      </c>
      <c r="AA193" s="25">
        <v>1</v>
      </c>
      <c r="AH193" s="5"/>
      <c r="AI193" s="5"/>
      <c r="AO193" s="5"/>
    </row>
    <row r="194" spans="10:41">
      <c r="J194" s="9">
        <v>190</v>
      </c>
      <c r="K194" s="16" t="s">
        <v>35</v>
      </c>
      <c r="L194" s="16" t="s">
        <v>92</v>
      </c>
      <c r="M194" s="16" t="s">
        <v>137</v>
      </c>
      <c r="N194" s="16" t="s">
        <v>92</v>
      </c>
      <c r="O194" s="16" t="s">
        <v>36</v>
      </c>
      <c r="Q194" s="9">
        <v>8</v>
      </c>
      <c r="R194" s="9">
        <v>16</v>
      </c>
      <c r="S194" s="9">
        <v>15</v>
      </c>
      <c r="T194" s="9">
        <v>16</v>
      </c>
      <c r="U194" s="9">
        <v>10</v>
      </c>
      <c r="W194" s="25">
        <v>1</v>
      </c>
      <c r="X194" s="25">
        <v>1</v>
      </c>
      <c r="Y194" s="25">
        <v>1</v>
      </c>
      <c r="Z194" s="25">
        <v>1</v>
      </c>
      <c r="AA194" s="25">
        <v>1</v>
      </c>
      <c r="AH194" s="5"/>
      <c r="AI194" s="5"/>
      <c r="AO194" s="5"/>
    </row>
    <row r="195" spans="10:41">
      <c r="J195" s="25">
        <v>191</v>
      </c>
      <c r="K195" s="16" t="s">
        <v>37</v>
      </c>
      <c r="L195" s="16" t="s">
        <v>19</v>
      </c>
      <c r="M195" s="16" t="s">
        <v>92</v>
      </c>
      <c r="N195" s="16" t="s">
        <v>136</v>
      </c>
      <c r="O195" s="16" t="s">
        <v>35</v>
      </c>
      <c r="Q195" s="9">
        <v>7</v>
      </c>
      <c r="R195" s="9">
        <v>5</v>
      </c>
      <c r="S195" s="9">
        <v>16</v>
      </c>
      <c r="T195" s="9">
        <v>6</v>
      </c>
      <c r="U195" s="9">
        <v>8</v>
      </c>
      <c r="W195" s="25">
        <v>1</v>
      </c>
      <c r="X195" s="25">
        <v>1</v>
      </c>
      <c r="Y195" s="25">
        <v>1</v>
      </c>
      <c r="Z195" s="25">
        <v>1</v>
      </c>
      <c r="AA195" s="25">
        <v>1</v>
      </c>
      <c r="AH195" s="5"/>
      <c r="AI195" s="5"/>
      <c r="AO195" s="5"/>
    </row>
    <row r="196" spans="10:41">
      <c r="J196" s="9">
        <v>192</v>
      </c>
      <c r="K196" s="16" t="s">
        <v>35</v>
      </c>
      <c r="L196" s="16" t="s">
        <v>119</v>
      </c>
      <c r="M196" s="16" t="s">
        <v>119</v>
      </c>
      <c r="N196" s="16" t="s">
        <v>91</v>
      </c>
      <c r="O196" s="16" t="s">
        <v>19</v>
      </c>
      <c r="Q196" s="9">
        <v>8</v>
      </c>
      <c r="R196" s="9">
        <v>17</v>
      </c>
      <c r="S196" s="9">
        <v>17</v>
      </c>
      <c r="T196" s="9">
        <v>14</v>
      </c>
      <c r="U196" s="9">
        <v>5</v>
      </c>
      <c r="W196" s="25">
        <v>1</v>
      </c>
      <c r="X196" s="25">
        <v>1</v>
      </c>
      <c r="Y196" s="25">
        <v>1</v>
      </c>
      <c r="Z196" s="25">
        <v>1</v>
      </c>
      <c r="AA196" s="25">
        <v>1</v>
      </c>
      <c r="AH196" s="5"/>
      <c r="AI196" s="5"/>
      <c r="AO196" s="5"/>
    </row>
    <row r="197" spans="10:41">
      <c r="J197" s="25">
        <v>193</v>
      </c>
      <c r="K197" s="16" t="s">
        <v>19</v>
      </c>
      <c r="L197" s="16" t="s">
        <v>34</v>
      </c>
      <c r="M197" s="16" t="s">
        <v>91</v>
      </c>
      <c r="N197" s="16" t="s">
        <v>18</v>
      </c>
      <c r="O197" s="16" t="s">
        <v>136</v>
      </c>
      <c r="Q197" s="9">
        <v>5</v>
      </c>
      <c r="R197" s="9">
        <v>9</v>
      </c>
      <c r="S197" s="9">
        <v>14</v>
      </c>
      <c r="T197" s="9">
        <v>4</v>
      </c>
      <c r="U197" s="9">
        <v>6</v>
      </c>
      <c r="W197" s="25">
        <v>1</v>
      </c>
      <c r="X197" s="25">
        <v>1</v>
      </c>
      <c r="Y197" s="25">
        <v>1</v>
      </c>
      <c r="Z197" s="25">
        <v>1</v>
      </c>
      <c r="AA197" s="25">
        <v>1</v>
      </c>
      <c r="AH197" s="5"/>
      <c r="AI197" s="5"/>
      <c r="AO197" s="5"/>
    </row>
    <row r="198" spans="10:41">
      <c r="J198" s="9">
        <v>194</v>
      </c>
      <c r="K198" s="16" t="s">
        <v>35</v>
      </c>
      <c r="L198" s="16" t="s">
        <v>36</v>
      </c>
      <c r="M198" s="16" t="s">
        <v>119</v>
      </c>
      <c r="N198" s="16" t="s">
        <v>19</v>
      </c>
      <c r="O198" s="16" t="s">
        <v>35</v>
      </c>
      <c r="Q198" s="9">
        <v>8</v>
      </c>
      <c r="R198" s="9">
        <v>10</v>
      </c>
      <c r="S198" s="9">
        <v>17</v>
      </c>
      <c r="T198" s="9">
        <v>5</v>
      </c>
      <c r="U198" s="9">
        <v>8</v>
      </c>
      <c r="W198" s="25">
        <v>1</v>
      </c>
      <c r="X198" s="25">
        <v>1</v>
      </c>
      <c r="Y198" s="25">
        <v>1</v>
      </c>
      <c r="Z198" s="25">
        <v>1</v>
      </c>
      <c r="AA198" s="25">
        <v>1</v>
      </c>
      <c r="AH198" s="5"/>
      <c r="AI198" s="5"/>
      <c r="AO198" s="5"/>
    </row>
    <row r="199" spans="10:41">
      <c r="J199" s="25">
        <v>195</v>
      </c>
      <c r="K199" s="16" t="s">
        <v>136</v>
      </c>
      <c r="L199" s="16" t="s">
        <v>92</v>
      </c>
      <c r="M199" s="16" t="s">
        <v>90</v>
      </c>
      <c r="N199" s="16" t="s">
        <v>136</v>
      </c>
      <c r="O199" s="16" t="s">
        <v>18</v>
      </c>
      <c r="Q199" s="9">
        <v>6</v>
      </c>
      <c r="R199" s="9">
        <v>16</v>
      </c>
      <c r="S199" s="9">
        <v>13</v>
      </c>
      <c r="T199" s="9">
        <v>6</v>
      </c>
      <c r="U199" s="9">
        <v>4</v>
      </c>
      <c r="W199" s="25">
        <v>1</v>
      </c>
      <c r="X199" s="25">
        <v>1</v>
      </c>
      <c r="Y199" s="25">
        <v>1</v>
      </c>
      <c r="Z199" s="25">
        <v>1</v>
      </c>
      <c r="AA199" s="25">
        <v>1</v>
      </c>
      <c r="AH199" s="5"/>
      <c r="AI199" s="5"/>
      <c r="AO199" s="5"/>
    </row>
    <row r="200" spans="10:41">
      <c r="J200" s="9">
        <v>196</v>
      </c>
      <c r="K200" s="16" t="s">
        <v>19</v>
      </c>
      <c r="L200" s="16" t="s">
        <v>34</v>
      </c>
      <c r="M200" s="16" t="s">
        <v>119</v>
      </c>
      <c r="N200" s="16" t="s">
        <v>36</v>
      </c>
      <c r="O200" s="16" t="s">
        <v>136</v>
      </c>
      <c r="Q200" s="9">
        <v>5</v>
      </c>
      <c r="R200" s="9">
        <v>9</v>
      </c>
      <c r="S200" s="9">
        <v>17</v>
      </c>
      <c r="T200" s="9">
        <v>10</v>
      </c>
      <c r="U200" s="9">
        <v>6</v>
      </c>
      <c r="W200" s="25">
        <v>1</v>
      </c>
      <c r="X200" s="25">
        <v>1</v>
      </c>
      <c r="Y200" s="25">
        <v>1</v>
      </c>
      <c r="Z200" s="25">
        <v>1</v>
      </c>
      <c r="AA200" s="25">
        <v>1</v>
      </c>
      <c r="AH200" s="5"/>
      <c r="AI200" s="5"/>
      <c r="AO200" s="5"/>
    </row>
    <row r="201" spans="10:41">
      <c r="J201" s="25">
        <v>197</v>
      </c>
      <c r="K201" s="16" t="s">
        <v>37</v>
      </c>
      <c r="L201" s="16" t="s">
        <v>89</v>
      </c>
      <c r="M201" s="16" t="s">
        <v>91</v>
      </c>
      <c r="N201" s="16" t="s">
        <v>35</v>
      </c>
      <c r="O201" s="16" t="s">
        <v>36</v>
      </c>
      <c r="Q201" s="9">
        <v>7</v>
      </c>
      <c r="R201" s="9">
        <v>12</v>
      </c>
      <c r="S201" s="9">
        <v>14</v>
      </c>
      <c r="T201" s="9">
        <v>8</v>
      </c>
      <c r="U201" s="9">
        <v>10</v>
      </c>
      <c r="W201" s="25">
        <v>1</v>
      </c>
      <c r="X201" s="25">
        <v>1</v>
      </c>
      <c r="Y201" s="25">
        <v>1</v>
      </c>
      <c r="Z201" s="25">
        <v>1</v>
      </c>
      <c r="AA201" s="25">
        <v>1</v>
      </c>
      <c r="AH201" s="5"/>
      <c r="AI201" s="5"/>
      <c r="AO201" s="5"/>
    </row>
    <row r="202" spans="10:41">
      <c r="J202" s="9">
        <v>198</v>
      </c>
      <c r="K202" s="16" t="s">
        <v>35</v>
      </c>
      <c r="L202" s="16" t="s">
        <v>18</v>
      </c>
      <c r="M202" s="16" t="s">
        <v>137</v>
      </c>
      <c r="N202" s="16" t="s">
        <v>91</v>
      </c>
      <c r="O202" s="16" t="s">
        <v>136</v>
      </c>
      <c r="Q202" s="9">
        <v>8</v>
      </c>
      <c r="R202" s="9">
        <v>4</v>
      </c>
      <c r="S202" s="9">
        <v>15</v>
      </c>
      <c r="T202" s="9">
        <v>14</v>
      </c>
      <c r="U202" s="9">
        <v>6</v>
      </c>
      <c r="W202" s="25">
        <v>1</v>
      </c>
      <c r="X202" s="25">
        <v>1</v>
      </c>
      <c r="Y202" s="25">
        <v>1</v>
      </c>
      <c r="Z202" s="25">
        <v>1</v>
      </c>
      <c r="AA202" s="25">
        <v>1</v>
      </c>
      <c r="AH202" s="5"/>
      <c r="AI202" s="5"/>
      <c r="AO202" s="5"/>
    </row>
    <row r="203" spans="10:41">
      <c r="J203" s="25">
        <v>199</v>
      </c>
      <c r="K203" s="16" t="s">
        <v>19</v>
      </c>
      <c r="L203" s="16" t="s">
        <v>19</v>
      </c>
      <c r="M203" s="16" t="s">
        <v>91</v>
      </c>
      <c r="N203" s="16" t="s">
        <v>19</v>
      </c>
      <c r="O203" s="16" t="s">
        <v>19</v>
      </c>
      <c r="Q203" s="9">
        <v>5</v>
      </c>
      <c r="R203" s="9">
        <v>5</v>
      </c>
      <c r="S203" s="9">
        <v>14</v>
      </c>
      <c r="T203" s="9">
        <v>5</v>
      </c>
      <c r="U203" s="9">
        <v>5</v>
      </c>
      <c r="W203" s="25">
        <v>1</v>
      </c>
      <c r="X203" s="25">
        <v>1</v>
      </c>
      <c r="Y203" s="25">
        <v>1</v>
      </c>
      <c r="Z203" s="25">
        <v>1</v>
      </c>
      <c r="AA203" s="25">
        <v>1</v>
      </c>
      <c r="AH203" s="5"/>
      <c r="AI203" s="5"/>
      <c r="AO203" s="5"/>
    </row>
    <row r="204" spans="10:41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23" priority="10">
      <formula>_xlfn.LET(_xlpm.x, W4, AND(NOT(_xlfn.ISFORMULA(_xlpm.x)), _xlpm.x&lt;&gt;""))</formula>
    </cfRule>
  </conditionalFormatting>
  <conditionalFormatting sqref="W4:AA203">
    <cfRule type="expression" dxfId="22" priority="5">
      <formula>_xlfn.LET(_xlpm.x, W4, AND(NOT(_xlfn.ISFORMULA(_xlpm.x)), _xlpm.x&lt;&gt;""))</formula>
    </cfRule>
  </conditionalFormatting>
  <conditionalFormatting sqref="C27:G46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{5116E591-5DA0-44A2-8509-A991BF227031}</x14:id>
        </ext>
      </extLst>
    </cfRule>
  </conditionalFormatting>
  <conditionalFormatting sqref="K1:O1048576">
    <cfRule type="cellIs" dxfId="21" priority="1" operator="equal">
      <formula>"C1"</formula>
    </cfRule>
    <cfRule type="cellIs" dxfId="20" priority="2" operator="between">
      <formula>"G1"</formula>
      <formula>"G5"</formula>
    </cfRule>
    <cfRule type="cellIs" dxfId="19" priority="3" operator="between">
      <formula>"GA"</formula>
      <formula>"GJ"</formula>
    </cfRule>
    <cfRule type="cellIs" dxfId="18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16E591-5DA0-44A2-8509-A991BF2270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C27:G46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7" width="9.5546875" style="5" bestFit="1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>
      <c r="I2" s="15"/>
      <c r="J2" s="27" t="s">
        <v>144</v>
      </c>
      <c r="Q2" s="27" t="s">
        <v>145</v>
      </c>
      <c r="W2" s="27" t="s">
        <v>146</v>
      </c>
      <c r="AC2" s="27" t="s">
        <v>158</v>
      </c>
      <c r="AH2" s="5"/>
      <c r="AI2" s="5"/>
      <c r="AJ2" s="27" t="s">
        <v>110</v>
      </c>
      <c r="AO2" s="5"/>
    </row>
    <row r="3" spans="1:41" ht="15.9" customHeight="1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>
      <c r="A4" s="29" t="str" cm="1">
        <f t="array" ref="A4:B23">Overview!A38:B57</f>
        <v>WW</v>
      </c>
      <c r="B4" s="8" t="str">
        <v>Wild</v>
      </c>
      <c r="C4" s="105">
        <f t="shared" ref="C4:G23" si="0">COUNTIF(K:K, $A4)</f>
        <v>0</v>
      </c>
      <c r="D4" s="105">
        <f t="shared" si="0"/>
        <v>0</v>
      </c>
      <c r="E4" s="105">
        <f t="shared" si="0"/>
        <v>0</v>
      </c>
      <c r="F4" s="105">
        <f t="shared" si="0"/>
        <v>0</v>
      </c>
      <c r="G4" s="105">
        <f t="shared" si="0"/>
        <v>0</v>
      </c>
      <c r="H4" s="8" cm="1">
        <f t="array" ref="H4:H23">Overview!F38:F57</f>
        <v>0</v>
      </c>
      <c r="I4" s="87"/>
      <c r="J4" s="25" cm="1">
        <f t="array" ref="J4:J203">_xlfn.SEQUENCE(MAX(COUNTA(K:K), COUNTA(L:L), COUNTA(M:M), COUNTA(N:N), COUNTA(O:O))-1,,0)</f>
        <v>0</v>
      </c>
      <c r="K4" s="26" t="s">
        <v>37</v>
      </c>
      <c r="L4" s="26" t="s">
        <v>136</v>
      </c>
      <c r="M4" s="26" t="s">
        <v>91</v>
      </c>
      <c r="N4" s="26" t="s">
        <v>136</v>
      </c>
      <c r="O4" s="26" t="s">
        <v>37</v>
      </c>
      <c r="Q4" s="25" cm="1">
        <f t="array" ref="Q4:U304">_xlfn.LET(_xlpm.x, K4:O304, IF(_xlpm.x="", "", _xlfn.XLOOKUP(_xlpm.x, $A$4:$A$23,_xlfn.ANCHORARRAY( H4))))</f>
        <v>7</v>
      </c>
      <c r="R4" s="25">
        <v>6</v>
      </c>
      <c r="S4" s="25">
        <v>14</v>
      </c>
      <c r="T4" s="25">
        <v>6</v>
      </c>
      <c r="U4" s="25">
        <v>7</v>
      </c>
      <c r="W4" s="25">
        <v>1</v>
      </c>
      <c r="X4" s="25">
        <v>1</v>
      </c>
      <c r="Y4" s="25">
        <v>1</v>
      </c>
      <c r="Z4" s="25">
        <v>1</v>
      </c>
      <c r="AA4" s="25">
        <v>1</v>
      </c>
      <c r="AB4" s="43"/>
      <c r="AC4" s="27" t="s">
        <v>142</v>
      </c>
      <c r="AH4" s="5"/>
      <c r="AI4" s="5"/>
      <c r="AJ4" s="27" t="s">
        <v>142</v>
      </c>
      <c r="AO4" s="5"/>
    </row>
    <row r="5" spans="1:41" ht="15.9" customHeight="1">
      <c r="A5" s="29" t="str">
        <v>C1</v>
      </c>
      <c r="B5" s="8" t="str">
        <v>Scatter</v>
      </c>
      <c r="C5" s="105">
        <f t="shared" si="0"/>
        <v>3</v>
      </c>
      <c r="D5" s="105">
        <f t="shared" si="0"/>
        <v>3</v>
      </c>
      <c r="E5" s="105">
        <f t="shared" si="0"/>
        <v>3</v>
      </c>
      <c r="F5" s="105">
        <f t="shared" si="0"/>
        <v>5</v>
      </c>
      <c r="G5" s="105">
        <f t="shared" si="0"/>
        <v>5</v>
      </c>
      <c r="H5" s="8">
        <v>1</v>
      </c>
      <c r="I5" s="87"/>
      <c r="J5" s="9">
        <v>1</v>
      </c>
      <c r="K5" s="16" t="s">
        <v>136</v>
      </c>
      <c r="L5" s="16" t="s">
        <v>97</v>
      </c>
      <c r="M5" s="16" t="s">
        <v>119</v>
      </c>
      <c r="N5" s="16" t="s">
        <v>19</v>
      </c>
      <c r="O5" s="16" t="s">
        <v>22</v>
      </c>
      <c r="Q5" s="9">
        <v>6</v>
      </c>
      <c r="R5" s="9">
        <v>19</v>
      </c>
      <c r="S5" s="9">
        <v>17</v>
      </c>
      <c r="T5" s="9">
        <v>5</v>
      </c>
      <c r="U5" s="9">
        <v>3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C5" s="146" t="s">
        <v>42</v>
      </c>
      <c r="AD5" s="146" t="s">
        <v>13</v>
      </c>
      <c r="AE5" s="146" t="s">
        <v>14</v>
      </c>
      <c r="AF5" s="146" t="s">
        <v>15</v>
      </c>
      <c r="AG5" s="146" t="s">
        <v>16</v>
      </c>
      <c r="AH5" s="146" t="s">
        <v>17</v>
      </c>
      <c r="AI5" s="5"/>
      <c r="AJ5" s="146" t="s">
        <v>42</v>
      </c>
      <c r="AK5" s="146" t="s">
        <v>13</v>
      </c>
      <c r="AL5" s="146" t="s">
        <v>14</v>
      </c>
      <c r="AM5" s="146" t="s">
        <v>15</v>
      </c>
      <c r="AN5" s="146" t="s">
        <v>16</v>
      </c>
      <c r="AO5" s="146" t="s">
        <v>17</v>
      </c>
    </row>
    <row r="6" spans="1:41" ht="15.9" customHeight="1">
      <c r="A6" s="144" t="str">
        <v>M1</v>
      </c>
      <c r="B6" s="118" t="str">
        <v>M1</v>
      </c>
      <c r="C6" s="144">
        <f t="shared" si="0"/>
        <v>3</v>
      </c>
      <c r="D6" s="144">
        <f t="shared" si="0"/>
        <v>10</v>
      </c>
      <c r="E6" s="144">
        <f t="shared" si="0"/>
        <v>0</v>
      </c>
      <c r="F6" s="144">
        <f t="shared" si="0"/>
        <v>3</v>
      </c>
      <c r="G6" s="144">
        <f t="shared" si="0"/>
        <v>9</v>
      </c>
      <c r="H6" s="118">
        <v>2</v>
      </c>
      <c r="I6" s="87"/>
      <c r="J6" s="25">
        <v>2</v>
      </c>
      <c r="K6" s="16" t="s">
        <v>37</v>
      </c>
      <c r="L6" s="16" t="s">
        <v>92</v>
      </c>
      <c r="M6" s="16" t="s">
        <v>91</v>
      </c>
      <c r="N6" s="16" t="s">
        <v>36</v>
      </c>
      <c r="O6" s="16" t="s">
        <v>19</v>
      </c>
      <c r="Q6" s="9">
        <v>7</v>
      </c>
      <c r="R6" s="9">
        <v>16</v>
      </c>
      <c r="S6" s="9">
        <v>14</v>
      </c>
      <c r="T6" s="9">
        <v>10</v>
      </c>
      <c r="U6" s="9">
        <v>5</v>
      </c>
      <c r="W6" s="25">
        <v>1</v>
      </c>
      <c r="X6" s="25">
        <v>1</v>
      </c>
      <c r="Y6" s="25">
        <v>1</v>
      </c>
      <c r="Z6" s="25">
        <v>1</v>
      </c>
      <c r="AA6" s="25">
        <v>1</v>
      </c>
      <c r="AC6" s="149" t="str" cm="1">
        <f t="array" ref="AC6:AC25">$A$4:$A$23</f>
        <v>WW</v>
      </c>
      <c r="AD6" s="150">
        <v>0</v>
      </c>
      <c r="AE6" s="150">
        <v>0</v>
      </c>
      <c r="AF6" s="150">
        <v>0</v>
      </c>
      <c r="AG6" s="150">
        <v>0</v>
      </c>
      <c r="AH6" s="150">
        <v>0</v>
      </c>
      <c r="AI6" s="5"/>
      <c r="AJ6" s="149" t="str" cm="1">
        <f t="array" ref="AJ6:AJ25">$A$4:$A$23</f>
        <v>WW</v>
      </c>
      <c r="AK6" s="150">
        <v>0</v>
      </c>
      <c r="AL6" s="150">
        <v>0</v>
      </c>
      <c r="AM6" s="150">
        <v>0</v>
      </c>
      <c r="AN6" s="150">
        <v>0</v>
      </c>
      <c r="AO6" s="150">
        <v>0</v>
      </c>
    </row>
    <row r="7" spans="1:41" ht="15.9" customHeight="1">
      <c r="A7" s="144" t="str">
        <v>M2</v>
      </c>
      <c r="B7" s="118" t="str">
        <v>M2</v>
      </c>
      <c r="C7" s="144">
        <f t="shared" si="0"/>
        <v>3</v>
      </c>
      <c r="D7" s="144">
        <f t="shared" si="0"/>
        <v>12</v>
      </c>
      <c r="E7" s="144">
        <f t="shared" si="0"/>
        <v>0</v>
      </c>
      <c r="F7" s="144">
        <f t="shared" si="0"/>
        <v>3</v>
      </c>
      <c r="G7" s="144">
        <f t="shared" si="0"/>
        <v>8</v>
      </c>
      <c r="H7" s="118">
        <v>3</v>
      </c>
      <c r="I7" s="87"/>
      <c r="J7" s="9">
        <v>3</v>
      </c>
      <c r="K7" s="16" t="s">
        <v>35</v>
      </c>
      <c r="L7" s="26" t="s">
        <v>136</v>
      </c>
      <c r="M7" s="16" t="s">
        <v>137</v>
      </c>
      <c r="N7" s="16" t="s">
        <v>37</v>
      </c>
      <c r="O7" s="16" t="s">
        <v>136</v>
      </c>
      <c r="Q7" s="9">
        <v>8</v>
      </c>
      <c r="R7" s="9">
        <v>6</v>
      </c>
      <c r="S7" s="9">
        <v>15</v>
      </c>
      <c r="T7" s="9">
        <v>7</v>
      </c>
      <c r="U7" s="9">
        <v>6</v>
      </c>
      <c r="W7" s="25">
        <v>1</v>
      </c>
      <c r="X7" s="25">
        <v>1</v>
      </c>
      <c r="Y7" s="25">
        <v>1</v>
      </c>
      <c r="Z7" s="25">
        <v>1</v>
      </c>
      <c r="AA7" s="25">
        <v>1</v>
      </c>
      <c r="AC7" s="149" t="str">
        <v>C1</v>
      </c>
      <c r="AD7" s="149">
        <v>1</v>
      </c>
      <c r="AE7" s="149">
        <v>1</v>
      </c>
      <c r="AF7" s="149">
        <v>1</v>
      </c>
      <c r="AG7" s="149">
        <v>1</v>
      </c>
      <c r="AH7" s="149">
        <v>1</v>
      </c>
      <c r="AI7" s="5"/>
      <c r="AJ7" s="149" t="str">
        <v>C1</v>
      </c>
      <c r="AK7" s="149">
        <v>1</v>
      </c>
      <c r="AL7" s="149">
        <v>1</v>
      </c>
      <c r="AM7" s="149">
        <v>1</v>
      </c>
      <c r="AN7" s="149">
        <v>1</v>
      </c>
      <c r="AO7" s="149">
        <v>1</v>
      </c>
    </row>
    <row r="8" spans="1:41" ht="15.9" customHeight="1">
      <c r="A8" s="144" t="str">
        <v>M3</v>
      </c>
      <c r="B8" s="118" t="str">
        <v>M3</v>
      </c>
      <c r="C8" s="144">
        <f t="shared" si="0"/>
        <v>7</v>
      </c>
      <c r="D8" s="144">
        <f t="shared" si="0"/>
        <v>13</v>
      </c>
      <c r="E8" s="144">
        <f t="shared" si="0"/>
        <v>0</v>
      </c>
      <c r="F8" s="144">
        <f t="shared" si="0"/>
        <v>7</v>
      </c>
      <c r="G8" s="144">
        <f t="shared" si="0"/>
        <v>14</v>
      </c>
      <c r="H8" s="118">
        <v>4</v>
      </c>
      <c r="I8" s="87"/>
      <c r="J8" s="25">
        <v>4</v>
      </c>
      <c r="K8" s="16" t="s">
        <v>136</v>
      </c>
      <c r="L8" s="16" t="s">
        <v>137</v>
      </c>
      <c r="M8" s="16" t="s">
        <v>92</v>
      </c>
      <c r="N8" s="16" t="s">
        <v>35</v>
      </c>
      <c r="O8" s="16" t="s">
        <v>18</v>
      </c>
      <c r="Q8" s="9">
        <v>6</v>
      </c>
      <c r="R8" s="9">
        <v>15</v>
      </c>
      <c r="S8" s="9">
        <v>16</v>
      </c>
      <c r="T8" s="9">
        <v>8</v>
      </c>
      <c r="U8" s="9">
        <v>4</v>
      </c>
      <c r="W8" s="25">
        <v>1</v>
      </c>
      <c r="X8" s="25">
        <v>1</v>
      </c>
      <c r="Y8" s="25">
        <v>1</v>
      </c>
      <c r="Z8" s="25">
        <v>1</v>
      </c>
      <c r="AA8" s="25">
        <v>1</v>
      </c>
      <c r="AC8" s="166" t="str">
        <v>M1</v>
      </c>
      <c r="AD8" s="144">
        <v>3</v>
      </c>
      <c r="AE8" s="144">
        <v>10</v>
      </c>
      <c r="AF8" s="144">
        <v>0</v>
      </c>
      <c r="AG8" s="144">
        <v>3</v>
      </c>
      <c r="AH8" s="144">
        <v>9</v>
      </c>
      <c r="AI8" s="5"/>
      <c r="AJ8" s="166" t="str">
        <v>M1</v>
      </c>
      <c r="AK8" s="144">
        <v>3</v>
      </c>
      <c r="AL8" s="144">
        <v>10</v>
      </c>
      <c r="AM8" s="144">
        <v>0</v>
      </c>
      <c r="AN8" s="144">
        <v>3</v>
      </c>
      <c r="AO8" s="144">
        <v>9</v>
      </c>
    </row>
    <row r="9" spans="1:41" ht="15.9" customHeight="1">
      <c r="A9" s="144" t="str">
        <v>M4</v>
      </c>
      <c r="B9" s="118" t="str">
        <v>M4</v>
      </c>
      <c r="C9" s="144">
        <f t="shared" si="0"/>
        <v>43</v>
      </c>
      <c r="D9" s="144">
        <f t="shared" si="0"/>
        <v>23</v>
      </c>
      <c r="E9" s="144">
        <f t="shared" si="0"/>
        <v>0</v>
      </c>
      <c r="F9" s="144">
        <f t="shared" si="0"/>
        <v>33</v>
      </c>
      <c r="G9" s="144">
        <f t="shared" si="0"/>
        <v>35</v>
      </c>
      <c r="H9" s="118">
        <v>5</v>
      </c>
      <c r="I9" s="87"/>
      <c r="J9" s="9">
        <v>5</v>
      </c>
      <c r="K9" s="16" t="s">
        <v>20</v>
      </c>
      <c r="L9" s="16" t="s">
        <v>35</v>
      </c>
      <c r="M9" s="16" t="s">
        <v>91</v>
      </c>
      <c r="N9" s="16" t="s">
        <v>137</v>
      </c>
      <c r="O9" s="16" t="s">
        <v>21</v>
      </c>
      <c r="Q9" s="9">
        <v>1</v>
      </c>
      <c r="R9" s="9">
        <v>8</v>
      </c>
      <c r="S9" s="9">
        <v>14</v>
      </c>
      <c r="T9" s="9">
        <v>15</v>
      </c>
      <c r="U9" s="9">
        <v>2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C9" s="166" t="str">
        <v>M2</v>
      </c>
      <c r="AD9" s="144">
        <v>3</v>
      </c>
      <c r="AE9" s="144">
        <v>12</v>
      </c>
      <c r="AF9" s="144">
        <v>0</v>
      </c>
      <c r="AG9" s="144">
        <v>3</v>
      </c>
      <c r="AH9" s="144">
        <v>8</v>
      </c>
      <c r="AI9" s="5"/>
      <c r="AJ9" s="166" t="str">
        <v>M2</v>
      </c>
      <c r="AK9" s="144">
        <v>3</v>
      </c>
      <c r="AL9" s="144">
        <v>12</v>
      </c>
      <c r="AM9" s="144">
        <v>0</v>
      </c>
      <c r="AN9" s="144">
        <v>3</v>
      </c>
      <c r="AO9" s="144">
        <v>8</v>
      </c>
    </row>
    <row r="10" spans="1:41" ht="15.9" customHeight="1">
      <c r="A10" s="144" t="str">
        <v>M5</v>
      </c>
      <c r="B10" s="118" t="str">
        <v>M5</v>
      </c>
      <c r="C10" s="144">
        <f t="shared" si="0"/>
        <v>42</v>
      </c>
      <c r="D10" s="144">
        <f t="shared" si="0"/>
        <v>23</v>
      </c>
      <c r="E10" s="144">
        <f t="shared" si="0"/>
        <v>0</v>
      </c>
      <c r="F10" s="144">
        <f t="shared" si="0"/>
        <v>33</v>
      </c>
      <c r="G10" s="144">
        <f t="shared" si="0"/>
        <v>34</v>
      </c>
      <c r="H10" s="118">
        <v>6</v>
      </c>
      <c r="I10" s="87"/>
      <c r="J10" s="25">
        <v>6</v>
      </c>
      <c r="K10" s="16" t="s">
        <v>37</v>
      </c>
      <c r="L10" s="16" t="s">
        <v>21</v>
      </c>
      <c r="M10" s="16" t="s">
        <v>137</v>
      </c>
      <c r="N10" s="16" t="s">
        <v>19</v>
      </c>
      <c r="O10" s="16" t="s">
        <v>35</v>
      </c>
      <c r="Q10" s="9">
        <v>7</v>
      </c>
      <c r="R10" s="9">
        <v>2</v>
      </c>
      <c r="S10" s="9">
        <v>15</v>
      </c>
      <c r="T10" s="9">
        <v>5</v>
      </c>
      <c r="U10" s="9">
        <v>8</v>
      </c>
      <c r="W10" s="25">
        <v>1</v>
      </c>
      <c r="X10" s="25">
        <v>1</v>
      </c>
      <c r="Y10" s="25">
        <v>1</v>
      </c>
      <c r="Z10" s="25">
        <v>1</v>
      </c>
      <c r="AA10" s="25">
        <v>1</v>
      </c>
      <c r="AC10" s="166" t="str">
        <v>M3</v>
      </c>
      <c r="AD10" s="144">
        <v>7</v>
      </c>
      <c r="AE10" s="144">
        <v>13</v>
      </c>
      <c r="AF10" s="144">
        <v>0</v>
      </c>
      <c r="AG10" s="144">
        <v>7</v>
      </c>
      <c r="AH10" s="144">
        <v>14</v>
      </c>
      <c r="AI10" s="5"/>
      <c r="AJ10" s="166" t="str">
        <v>M3</v>
      </c>
      <c r="AK10" s="144">
        <v>7</v>
      </c>
      <c r="AL10" s="144">
        <v>13</v>
      </c>
      <c r="AM10" s="144">
        <v>0</v>
      </c>
      <c r="AN10" s="144">
        <v>7</v>
      </c>
      <c r="AO10" s="144">
        <v>14</v>
      </c>
    </row>
    <row r="11" spans="1:41" ht="15.9" customHeight="1">
      <c r="A11" s="144" t="str">
        <v>A</v>
      </c>
      <c r="B11" s="118" t="str">
        <v>A</v>
      </c>
      <c r="C11" s="144">
        <f t="shared" si="0"/>
        <v>43</v>
      </c>
      <c r="D11" s="144">
        <f t="shared" si="0"/>
        <v>27</v>
      </c>
      <c r="E11" s="144">
        <f t="shared" si="0"/>
        <v>0</v>
      </c>
      <c r="F11" s="144">
        <f t="shared" si="0"/>
        <v>33</v>
      </c>
      <c r="G11" s="144">
        <f t="shared" si="0"/>
        <v>34</v>
      </c>
      <c r="H11" s="118">
        <v>7</v>
      </c>
      <c r="I11" s="87"/>
      <c r="J11" s="9">
        <v>7</v>
      </c>
      <c r="K11" s="16" t="s">
        <v>35</v>
      </c>
      <c r="L11" s="16" t="s">
        <v>91</v>
      </c>
      <c r="M11" s="16" t="s">
        <v>119</v>
      </c>
      <c r="N11" s="16" t="s">
        <v>22</v>
      </c>
      <c r="O11" s="16" t="s">
        <v>37</v>
      </c>
      <c r="Q11" s="9">
        <v>8</v>
      </c>
      <c r="R11" s="9">
        <v>14</v>
      </c>
      <c r="S11" s="9">
        <v>17</v>
      </c>
      <c r="T11" s="9">
        <v>3</v>
      </c>
      <c r="U11" s="9">
        <v>7</v>
      </c>
      <c r="W11" s="25">
        <v>1</v>
      </c>
      <c r="X11" s="25">
        <v>1</v>
      </c>
      <c r="Y11" s="25">
        <v>1</v>
      </c>
      <c r="Z11" s="25">
        <v>1</v>
      </c>
      <c r="AA11" s="25">
        <v>1</v>
      </c>
      <c r="AC11" s="166" t="str">
        <v>M4</v>
      </c>
      <c r="AD11" s="144">
        <v>43</v>
      </c>
      <c r="AE11" s="144">
        <v>23</v>
      </c>
      <c r="AF11" s="144">
        <v>0</v>
      </c>
      <c r="AG11" s="144">
        <v>33</v>
      </c>
      <c r="AH11" s="144">
        <v>35</v>
      </c>
      <c r="AI11" s="5"/>
      <c r="AJ11" s="166" t="str">
        <v>M4</v>
      </c>
      <c r="AK11" s="144">
        <v>43</v>
      </c>
      <c r="AL11" s="144">
        <v>23</v>
      </c>
      <c r="AM11" s="144">
        <v>0</v>
      </c>
      <c r="AN11" s="144">
        <v>33</v>
      </c>
      <c r="AO11" s="144">
        <v>35</v>
      </c>
    </row>
    <row r="12" spans="1:41" ht="15.9" customHeight="1">
      <c r="A12" s="144" t="str">
        <v>K</v>
      </c>
      <c r="B12" s="118" t="str">
        <v>K</v>
      </c>
      <c r="C12" s="144">
        <f t="shared" si="0"/>
        <v>43</v>
      </c>
      <c r="D12" s="144">
        <f t="shared" si="0"/>
        <v>25</v>
      </c>
      <c r="E12" s="144">
        <f t="shared" si="0"/>
        <v>0</v>
      </c>
      <c r="F12" s="144">
        <f t="shared" si="0"/>
        <v>34</v>
      </c>
      <c r="G12" s="144">
        <f t="shared" si="0"/>
        <v>34</v>
      </c>
      <c r="H12" s="118">
        <v>8</v>
      </c>
      <c r="I12" s="87"/>
      <c r="J12" s="25">
        <v>8</v>
      </c>
      <c r="K12" s="16" t="s">
        <v>37</v>
      </c>
      <c r="L12" s="16" t="s">
        <v>35</v>
      </c>
      <c r="M12" s="16" t="s">
        <v>90</v>
      </c>
      <c r="N12" s="16" t="s">
        <v>137</v>
      </c>
      <c r="O12" s="16" t="s">
        <v>36</v>
      </c>
      <c r="Q12" s="9">
        <v>7</v>
      </c>
      <c r="R12" s="9">
        <v>8</v>
      </c>
      <c r="S12" s="9">
        <v>13</v>
      </c>
      <c r="T12" s="9">
        <v>15</v>
      </c>
      <c r="U12" s="9">
        <v>10</v>
      </c>
      <c r="W12" s="25">
        <v>1</v>
      </c>
      <c r="X12" s="25">
        <v>1</v>
      </c>
      <c r="Y12" s="25">
        <v>1</v>
      </c>
      <c r="Z12" s="25">
        <v>1</v>
      </c>
      <c r="AA12" s="25">
        <v>1</v>
      </c>
      <c r="AC12" s="166" t="str">
        <v>M5</v>
      </c>
      <c r="AD12" s="144">
        <v>42</v>
      </c>
      <c r="AE12" s="144">
        <v>23</v>
      </c>
      <c r="AF12" s="144">
        <v>0</v>
      </c>
      <c r="AG12" s="144">
        <v>33</v>
      </c>
      <c r="AH12" s="144">
        <v>34</v>
      </c>
      <c r="AI12" s="5"/>
      <c r="AJ12" s="166" t="str">
        <v>M5</v>
      </c>
      <c r="AK12" s="144">
        <v>42</v>
      </c>
      <c r="AL12" s="144">
        <v>23</v>
      </c>
      <c r="AM12" s="144">
        <v>0</v>
      </c>
      <c r="AN12" s="144">
        <v>33</v>
      </c>
      <c r="AO12" s="144">
        <v>34</v>
      </c>
    </row>
    <row r="13" spans="1:41" ht="15.9" customHeight="1">
      <c r="A13" s="144" t="str">
        <v>Q</v>
      </c>
      <c r="B13" s="118" t="str">
        <v>Q</v>
      </c>
      <c r="C13" s="144">
        <f t="shared" si="0"/>
        <v>7</v>
      </c>
      <c r="D13" s="144">
        <f t="shared" si="0"/>
        <v>12</v>
      </c>
      <c r="E13" s="144">
        <f t="shared" si="0"/>
        <v>0</v>
      </c>
      <c r="F13" s="144">
        <f t="shared" si="0"/>
        <v>6</v>
      </c>
      <c r="G13" s="144">
        <f t="shared" si="0"/>
        <v>13</v>
      </c>
      <c r="H13" s="118">
        <v>9</v>
      </c>
      <c r="I13" s="87"/>
      <c r="J13" s="9">
        <v>9</v>
      </c>
      <c r="K13" s="16" t="s">
        <v>36</v>
      </c>
      <c r="L13" s="16" t="s">
        <v>21</v>
      </c>
      <c r="M13" s="16" t="s">
        <v>137</v>
      </c>
      <c r="N13" s="16" t="s">
        <v>95</v>
      </c>
      <c r="O13" s="16" t="s">
        <v>18</v>
      </c>
      <c r="Q13" s="9">
        <v>10</v>
      </c>
      <c r="R13" s="9">
        <v>2</v>
      </c>
      <c r="S13" s="9">
        <v>15</v>
      </c>
      <c r="T13" s="9">
        <v>18</v>
      </c>
      <c r="U13" s="9">
        <v>4</v>
      </c>
      <c r="W13" s="25">
        <v>1</v>
      </c>
      <c r="X13" s="25">
        <v>1</v>
      </c>
      <c r="Y13" s="25">
        <v>1</v>
      </c>
      <c r="Z13" s="25">
        <v>1</v>
      </c>
      <c r="AA13" s="25">
        <v>1</v>
      </c>
      <c r="AC13" s="166" t="str">
        <v>A</v>
      </c>
      <c r="AD13" s="144">
        <v>43</v>
      </c>
      <c r="AE13" s="144">
        <v>27</v>
      </c>
      <c r="AF13" s="144">
        <v>0</v>
      </c>
      <c r="AG13" s="144">
        <v>33</v>
      </c>
      <c r="AH13" s="144">
        <v>34</v>
      </c>
      <c r="AI13" s="5"/>
      <c r="AJ13" s="166" t="str">
        <v>A</v>
      </c>
      <c r="AK13" s="144">
        <v>43</v>
      </c>
      <c r="AL13" s="144">
        <v>27</v>
      </c>
      <c r="AM13" s="144">
        <v>0</v>
      </c>
      <c r="AN13" s="144">
        <v>33</v>
      </c>
      <c r="AO13" s="144">
        <v>34</v>
      </c>
    </row>
    <row r="14" spans="1:41" ht="15.9" customHeight="1">
      <c r="A14" s="144" t="str">
        <v>J</v>
      </c>
      <c r="B14" s="118" t="str">
        <v>J</v>
      </c>
      <c r="C14" s="144">
        <f t="shared" si="0"/>
        <v>6</v>
      </c>
      <c r="D14" s="144">
        <f t="shared" si="0"/>
        <v>8</v>
      </c>
      <c r="E14" s="144">
        <f t="shared" si="0"/>
        <v>0</v>
      </c>
      <c r="F14" s="144">
        <f t="shared" si="0"/>
        <v>7</v>
      </c>
      <c r="G14" s="144">
        <f t="shared" si="0"/>
        <v>14</v>
      </c>
      <c r="H14" s="118">
        <v>10</v>
      </c>
      <c r="I14" s="87"/>
      <c r="J14" s="25">
        <v>10</v>
      </c>
      <c r="K14" s="16" t="s">
        <v>19</v>
      </c>
      <c r="L14" s="16" t="s">
        <v>136</v>
      </c>
      <c r="M14" s="16" t="s">
        <v>92</v>
      </c>
      <c r="N14" s="16" t="s">
        <v>137</v>
      </c>
      <c r="O14" s="16" t="s">
        <v>36</v>
      </c>
      <c r="Q14" s="9">
        <v>5</v>
      </c>
      <c r="R14" s="9">
        <v>6</v>
      </c>
      <c r="S14" s="9">
        <v>16</v>
      </c>
      <c r="T14" s="9">
        <v>15</v>
      </c>
      <c r="U14" s="9">
        <v>10</v>
      </c>
      <c r="W14" s="25">
        <v>1</v>
      </c>
      <c r="X14" s="25">
        <v>1</v>
      </c>
      <c r="Y14" s="25">
        <v>1</v>
      </c>
      <c r="Z14" s="25">
        <v>1</v>
      </c>
      <c r="AA14" s="25">
        <v>1</v>
      </c>
      <c r="AC14" s="166" t="str">
        <v>K</v>
      </c>
      <c r="AD14" s="144">
        <v>43</v>
      </c>
      <c r="AE14" s="144">
        <v>25</v>
      </c>
      <c r="AF14" s="144">
        <v>0</v>
      </c>
      <c r="AG14" s="144">
        <v>34</v>
      </c>
      <c r="AH14" s="144">
        <v>34</v>
      </c>
      <c r="AI14" s="5"/>
      <c r="AJ14" s="166" t="str">
        <v>K</v>
      </c>
      <c r="AK14" s="144">
        <v>43</v>
      </c>
      <c r="AL14" s="144">
        <v>25</v>
      </c>
      <c r="AM14" s="144">
        <v>0</v>
      </c>
      <c r="AN14" s="144">
        <v>34</v>
      </c>
      <c r="AO14" s="144">
        <v>34</v>
      </c>
    </row>
    <row r="15" spans="1:41" ht="15.9" customHeight="1">
      <c r="A15" s="29" t="str">
        <v>G1</v>
      </c>
      <c r="B15" s="8" t="str">
        <v>Gold M1</v>
      </c>
      <c r="C15" s="105">
        <f t="shared" si="0"/>
        <v>0</v>
      </c>
      <c r="D15" s="105">
        <f t="shared" si="0"/>
        <v>2</v>
      </c>
      <c r="E15" s="105">
        <f t="shared" si="0"/>
        <v>3</v>
      </c>
      <c r="F15" s="105">
        <f t="shared" si="0"/>
        <v>1</v>
      </c>
      <c r="G15" s="105">
        <f t="shared" si="0"/>
        <v>0</v>
      </c>
      <c r="H15" s="8">
        <v>11</v>
      </c>
      <c r="I15" s="87"/>
      <c r="J15" s="9">
        <v>11</v>
      </c>
      <c r="K15" s="16" t="s">
        <v>35</v>
      </c>
      <c r="L15" s="16" t="s">
        <v>19</v>
      </c>
      <c r="M15" s="16" t="s">
        <v>91</v>
      </c>
      <c r="N15" s="16" t="s">
        <v>91</v>
      </c>
      <c r="O15" s="16" t="s">
        <v>35</v>
      </c>
      <c r="Q15" s="9">
        <v>8</v>
      </c>
      <c r="R15" s="9">
        <v>5</v>
      </c>
      <c r="S15" s="9">
        <v>14</v>
      </c>
      <c r="T15" s="9">
        <v>14</v>
      </c>
      <c r="U15" s="9">
        <v>8</v>
      </c>
      <c r="W15" s="25">
        <v>1</v>
      </c>
      <c r="X15" s="25">
        <v>1</v>
      </c>
      <c r="Y15" s="25">
        <v>1</v>
      </c>
      <c r="Z15" s="25">
        <v>1</v>
      </c>
      <c r="AA15" s="25">
        <v>1</v>
      </c>
      <c r="AC15" s="166" t="str">
        <v>Q</v>
      </c>
      <c r="AD15" s="144">
        <v>7</v>
      </c>
      <c r="AE15" s="144">
        <v>12</v>
      </c>
      <c r="AF15" s="144">
        <v>0</v>
      </c>
      <c r="AG15" s="144">
        <v>6</v>
      </c>
      <c r="AH15" s="144">
        <v>13</v>
      </c>
      <c r="AI15" s="5"/>
      <c r="AJ15" s="166" t="str">
        <v>Q</v>
      </c>
      <c r="AK15" s="144">
        <v>7</v>
      </c>
      <c r="AL15" s="144">
        <v>12</v>
      </c>
      <c r="AM15" s="144">
        <v>0</v>
      </c>
      <c r="AN15" s="144">
        <v>6</v>
      </c>
      <c r="AO15" s="144">
        <v>13</v>
      </c>
    </row>
    <row r="16" spans="1:41" ht="15.9" customHeight="1">
      <c r="A16" s="29" t="str">
        <v>G2</v>
      </c>
      <c r="B16" s="8" t="str">
        <v>Gold M2</v>
      </c>
      <c r="C16" s="105">
        <f t="shared" si="0"/>
        <v>0</v>
      </c>
      <c r="D16" s="105">
        <f t="shared" si="0"/>
        <v>3</v>
      </c>
      <c r="E16" s="105">
        <f t="shared" si="0"/>
        <v>1</v>
      </c>
      <c r="F16" s="105">
        <f t="shared" si="0"/>
        <v>1</v>
      </c>
      <c r="G16" s="105">
        <f t="shared" si="0"/>
        <v>0</v>
      </c>
      <c r="H16" s="8">
        <v>12</v>
      </c>
      <c r="I16" s="87"/>
      <c r="J16" s="25">
        <v>12</v>
      </c>
      <c r="K16" s="16" t="s">
        <v>19</v>
      </c>
      <c r="L16" s="16" t="s">
        <v>22</v>
      </c>
      <c r="M16" s="16" t="s">
        <v>119</v>
      </c>
      <c r="N16" s="16" t="s">
        <v>19</v>
      </c>
      <c r="O16" s="16" t="s">
        <v>37</v>
      </c>
      <c r="Q16" s="9">
        <v>5</v>
      </c>
      <c r="R16" s="9">
        <v>3</v>
      </c>
      <c r="S16" s="9">
        <v>17</v>
      </c>
      <c r="T16" s="9">
        <v>5</v>
      </c>
      <c r="U16" s="9">
        <v>7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C16" s="166" t="str">
        <v>J</v>
      </c>
      <c r="AD16" s="144">
        <v>6</v>
      </c>
      <c r="AE16" s="144">
        <v>8</v>
      </c>
      <c r="AF16" s="144">
        <v>0</v>
      </c>
      <c r="AG16" s="144">
        <v>7</v>
      </c>
      <c r="AH16" s="144">
        <v>14</v>
      </c>
      <c r="AI16" s="5"/>
      <c r="AJ16" s="166" t="str">
        <v>J</v>
      </c>
      <c r="AK16" s="144">
        <v>6</v>
      </c>
      <c r="AL16" s="144">
        <v>8</v>
      </c>
      <c r="AM16" s="144">
        <v>0</v>
      </c>
      <c r="AN16" s="144">
        <v>7</v>
      </c>
      <c r="AO16" s="144">
        <v>14</v>
      </c>
    </row>
    <row r="17" spans="1:41" ht="15.9" customHeight="1">
      <c r="A17" s="29" t="str">
        <v>G3</v>
      </c>
      <c r="B17" s="8" t="str">
        <v>Gold M3</v>
      </c>
      <c r="C17" s="105">
        <f t="shared" si="0"/>
        <v>0</v>
      </c>
      <c r="D17" s="105">
        <f t="shared" si="0"/>
        <v>3</v>
      </c>
      <c r="E17" s="105">
        <f t="shared" si="0"/>
        <v>8</v>
      </c>
      <c r="F17" s="105">
        <f t="shared" si="0"/>
        <v>2</v>
      </c>
      <c r="G17" s="105">
        <f t="shared" si="0"/>
        <v>0</v>
      </c>
      <c r="H17" s="8">
        <v>13</v>
      </c>
      <c r="I17" s="87"/>
      <c r="J17" s="9">
        <v>13</v>
      </c>
      <c r="K17" s="16" t="s">
        <v>136</v>
      </c>
      <c r="L17" s="16" t="s">
        <v>35</v>
      </c>
      <c r="M17" s="16" t="s">
        <v>91</v>
      </c>
      <c r="N17" s="16" t="s">
        <v>34</v>
      </c>
      <c r="O17" s="16" t="s">
        <v>19</v>
      </c>
      <c r="Q17" s="9">
        <v>6</v>
      </c>
      <c r="R17" s="9">
        <v>8</v>
      </c>
      <c r="S17" s="9">
        <v>14</v>
      </c>
      <c r="T17" s="9">
        <v>9</v>
      </c>
      <c r="U17" s="9">
        <v>5</v>
      </c>
      <c r="W17" s="25">
        <v>1</v>
      </c>
      <c r="X17" s="25">
        <v>1</v>
      </c>
      <c r="Y17" s="25">
        <v>1</v>
      </c>
      <c r="Z17" s="25">
        <v>1</v>
      </c>
      <c r="AA17" s="25">
        <v>1</v>
      </c>
      <c r="AC17" s="149" t="str">
        <v>G1</v>
      </c>
      <c r="AD17" s="105">
        <v>0</v>
      </c>
      <c r="AE17" s="105">
        <v>2</v>
      </c>
      <c r="AF17" s="105">
        <v>3</v>
      </c>
      <c r="AG17" s="105">
        <v>1</v>
      </c>
      <c r="AH17" s="105">
        <v>0</v>
      </c>
      <c r="AI17" s="5"/>
      <c r="AJ17" s="149" t="str">
        <v>G1</v>
      </c>
      <c r="AK17" s="105">
        <v>0</v>
      </c>
      <c r="AL17" s="105">
        <v>2</v>
      </c>
      <c r="AM17" s="105">
        <v>3</v>
      </c>
      <c r="AN17" s="105">
        <v>1</v>
      </c>
      <c r="AO17" s="105">
        <v>0</v>
      </c>
    </row>
    <row r="18" spans="1:41" ht="15.9" customHeight="1">
      <c r="A18" s="29" t="str">
        <v>G4</v>
      </c>
      <c r="B18" s="8" t="str">
        <v>Gold M4</v>
      </c>
      <c r="C18" s="105">
        <f t="shared" si="0"/>
        <v>0</v>
      </c>
      <c r="D18" s="105">
        <f t="shared" si="0"/>
        <v>7</v>
      </c>
      <c r="E18" s="105">
        <f t="shared" si="0"/>
        <v>43</v>
      </c>
      <c r="F18" s="105">
        <f t="shared" si="0"/>
        <v>8</v>
      </c>
      <c r="G18" s="105">
        <f t="shared" si="0"/>
        <v>0</v>
      </c>
      <c r="H18" s="8">
        <v>14</v>
      </c>
      <c r="I18" s="87"/>
      <c r="J18" s="25">
        <v>14</v>
      </c>
      <c r="K18" s="16" t="s">
        <v>37</v>
      </c>
      <c r="L18" s="16" t="s">
        <v>37</v>
      </c>
      <c r="M18" s="16" t="s">
        <v>92</v>
      </c>
      <c r="N18" s="16" t="s">
        <v>37</v>
      </c>
      <c r="O18" s="16" t="s">
        <v>136</v>
      </c>
      <c r="Q18" s="9">
        <v>7</v>
      </c>
      <c r="R18" s="9">
        <v>7</v>
      </c>
      <c r="S18" s="9">
        <v>16</v>
      </c>
      <c r="T18" s="9">
        <v>7</v>
      </c>
      <c r="U18" s="9">
        <v>6</v>
      </c>
      <c r="W18" s="25">
        <v>1</v>
      </c>
      <c r="X18" s="25">
        <v>1</v>
      </c>
      <c r="Y18" s="25">
        <v>1</v>
      </c>
      <c r="Z18" s="25">
        <v>1</v>
      </c>
      <c r="AA18" s="25">
        <v>1</v>
      </c>
      <c r="AC18" s="149" t="str">
        <v>G2</v>
      </c>
      <c r="AD18" s="105">
        <v>0</v>
      </c>
      <c r="AE18" s="105">
        <v>3</v>
      </c>
      <c r="AF18" s="105">
        <v>1</v>
      </c>
      <c r="AG18" s="105">
        <v>1</v>
      </c>
      <c r="AH18" s="105">
        <v>0</v>
      </c>
      <c r="AI18" s="5"/>
      <c r="AJ18" s="149" t="str">
        <v>G2</v>
      </c>
      <c r="AK18" s="105">
        <v>0</v>
      </c>
      <c r="AL18" s="105">
        <v>3</v>
      </c>
      <c r="AM18" s="105">
        <v>1</v>
      </c>
      <c r="AN18" s="105">
        <v>1</v>
      </c>
      <c r="AO18" s="105">
        <v>0</v>
      </c>
    </row>
    <row r="19" spans="1:41" ht="15.9" customHeight="1">
      <c r="A19" s="29" t="str">
        <v>G5</v>
      </c>
      <c r="B19" s="8" t="str">
        <v>Gold M5</v>
      </c>
      <c r="C19" s="105">
        <f t="shared" si="0"/>
        <v>0</v>
      </c>
      <c r="D19" s="105">
        <f t="shared" si="0"/>
        <v>7</v>
      </c>
      <c r="E19" s="105">
        <f t="shared" si="0"/>
        <v>42</v>
      </c>
      <c r="F19" s="105">
        <f t="shared" si="0"/>
        <v>9</v>
      </c>
      <c r="G19" s="105">
        <f t="shared" si="0"/>
        <v>0</v>
      </c>
      <c r="H19" s="8">
        <v>15</v>
      </c>
      <c r="I19" s="87"/>
      <c r="J19" s="9">
        <v>15</v>
      </c>
      <c r="K19" s="16" t="s">
        <v>35</v>
      </c>
      <c r="L19" s="16" t="s">
        <v>35</v>
      </c>
      <c r="M19" s="16" t="s">
        <v>91</v>
      </c>
      <c r="N19" s="16" t="s">
        <v>136</v>
      </c>
      <c r="O19" s="16" t="s">
        <v>37</v>
      </c>
      <c r="Q19" s="9">
        <v>8</v>
      </c>
      <c r="R19" s="9">
        <v>8</v>
      </c>
      <c r="S19" s="9">
        <v>14</v>
      </c>
      <c r="T19" s="9">
        <v>6</v>
      </c>
      <c r="U19" s="9">
        <v>7</v>
      </c>
      <c r="W19" s="25">
        <v>1</v>
      </c>
      <c r="X19" s="25">
        <v>1</v>
      </c>
      <c r="Y19" s="25">
        <v>1</v>
      </c>
      <c r="Z19" s="25">
        <v>1</v>
      </c>
      <c r="AA19" s="25">
        <v>1</v>
      </c>
      <c r="AC19" s="149" t="str">
        <v>G3</v>
      </c>
      <c r="AD19" s="105">
        <v>0</v>
      </c>
      <c r="AE19" s="105">
        <v>3</v>
      </c>
      <c r="AF19" s="105">
        <v>8</v>
      </c>
      <c r="AG19" s="105">
        <v>2</v>
      </c>
      <c r="AH19" s="105">
        <v>0</v>
      </c>
      <c r="AI19" s="5"/>
      <c r="AJ19" s="149" t="str">
        <v>G3</v>
      </c>
      <c r="AK19" s="105">
        <v>0</v>
      </c>
      <c r="AL19" s="105">
        <v>3</v>
      </c>
      <c r="AM19" s="105">
        <v>8</v>
      </c>
      <c r="AN19" s="105">
        <v>2</v>
      </c>
      <c r="AO19" s="105">
        <v>0</v>
      </c>
    </row>
    <row r="20" spans="1:41" ht="15.9" customHeight="1">
      <c r="A20" s="29" t="str">
        <v>GA</v>
      </c>
      <c r="B20" s="8" t="str">
        <v>Gold A</v>
      </c>
      <c r="C20" s="105">
        <f t="shared" si="0"/>
        <v>0</v>
      </c>
      <c r="D20" s="105">
        <f t="shared" si="0"/>
        <v>10</v>
      </c>
      <c r="E20" s="105">
        <f t="shared" si="0"/>
        <v>42</v>
      </c>
      <c r="F20" s="105">
        <f t="shared" si="0"/>
        <v>6</v>
      </c>
      <c r="G20" s="105">
        <f t="shared" si="0"/>
        <v>0</v>
      </c>
      <c r="H20" s="8">
        <v>16</v>
      </c>
      <c r="I20" s="87"/>
      <c r="J20" s="25">
        <v>16</v>
      </c>
      <c r="K20" s="16" t="s">
        <v>19</v>
      </c>
      <c r="L20" s="16" t="s">
        <v>92</v>
      </c>
      <c r="M20" s="16" t="s">
        <v>90</v>
      </c>
      <c r="N20" s="16" t="s">
        <v>35</v>
      </c>
      <c r="O20" s="16" t="s">
        <v>136</v>
      </c>
      <c r="Q20" s="9">
        <v>5</v>
      </c>
      <c r="R20" s="9">
        <v>16</v>
      </c>
      <c r="S20" s="9">
        <v>13</v>
      </c>
      <c r="T20" s="9">
        <v>8</v>
      </c>
      <c r="U20" s="9">
        <v>6</v>
      </c>
      <c r="W20" s="25">
        <v>1</v>
      </c>
      <c r="X20" s="25">
        <v>1</v>
      </c>
      <c r="Y20" s="25">
        <v>1</v>
      </c>
      <c r="Z20" s="25">
        <v>1</v>
      </c>
      <c r="AA20" s="25">
        <v>1</v>
      </c>
      <c r="AC20" s="149" t="str">
        <v>G4</v>
      </c>
      <c r="AD20" s="105">
        <v>0</v>
      </c>
      <c r="AE20" s="105">
        <v>7</v>
      </c>
      <c r="AF20" s="105">
        <v>43</v>
      </c>
      <c r="AG20" s="105">
        <v>8</v>
      </c>
      <c r="AH20" s="105">
        <v>0</v>
      </c>
      <c r="AI20" s="5"/>
      <c r="AJ20" s="149" t="str">
        <v>G4</v>
      </c>
      <c r="AK20" s="105">
        <v>0</v>
      </c>
      <c r="AL20" s="105">
        <v>7</v>
      </c>
      <c r="AM20" s="105">
        <v>43</v>
      </c>
      <c r="AN20" s="105">
        <v>8</v>
      </c>
      <c r="AO20" s="105">
        <v>0</v>
      </c>
    </row>
    <row r="21" spans="1:41" ht="15.9" customHeight="1">
      <c r="A21" s="29" t="str">
        <v>GK</v>
      </c>
      <c r="B21" s="8" t="str">
        <v>Gold K</v>
      </c>
      <c r="C21" s="105">
        <f t="shared" si="0"/>
        <v>0</v>
      </c>
      <c r="D21" s="105">
        <f t="shared" si="0"/>
        <v>7</v>
      </c>
      <c r="E21" s="105">
        <f t="shared" si="0"/>
        <v>43</v>
      </c>
      <c r="F21" s="105">
        <f t="shared" si="0"/>
        <v>6</v>
      </c>
      <c r="G21" s="105">
        <f t="shared" si="0"/>
        <v>0</v>
      </c>
      <c r="H21" s="8">
        <v>17</v>
      </c>
      <c r="I21" s="87"/>
      <c r="J21" s="9">
        <v>17</v>
      </c>
      <c r="K21" s="16" t="s">
        <v>35</v>
      </c>
      <c r="L21" s="16" t="s">
        <v>35</v>
      </c>
      <c r="M21" s="16" t="s">
        <v>92</v>
      </c>
      <c r="N21" s="16" t="s">
        <v>37</v>
      </c>
      <c r="O21" s="16" t="s">
        <v>36</v>
      </c>
      <c r="Q21" s="9">
        <v>8</v>
      </c>
      <c r="R21" s="9">
        <v>8</v>
      </c>
      <c r="S21" s="9">
        <v>16</v>
      </c>
      <c r="T21" s="9">
        <v>7</v>
      </c>
      <c r="U21" s="9">
        <v>10</v>
      </c>
      <c r="W21" s="25">
        <v>1</v>
      </c>
      <c r="X21" s="25">
        <v>1</v>
      </c>
      <c r="Y21" s="25">
        <v>1</v>
      </c>
      <c r="Z21" s="25">
        <v>1</v>
      </c>
      <c r="AA21" s="25">
        <v>1</v>
      </c>
      <c r="AC21" s="149" t="str">
        <v>G5</v>
      </c>
      <c r="AD21" s="105">
        <v>0</v>
      </c>
      <c r="AE21" s="105">
        <v>7</v>
      </c>
      <c r="AF21" s="105">
        <v>42</v>
      </c>
      <c r="AG21" s="105">
        <v>9</v>
      </c>
      <c r="AH21" s="105">
        <v>0</v>
      </c>
      <c r="AI21" s="5"/>
      <c r="AJ21" s="149" t="str">
        <v>G5</v>
      </c>
      <c r="AK21" s="105">
        <v>0</v>
      </c>
      <c r="AL21" s="105">
        <v>7</v>
      </c>
      <c r="AM21" s="105">
        <v>42</v>
      </c>
      <c r="AN21" s="105">
        <v>9</v>
      </c>
      <c r="AO21" s="105">
        <v>0</v>
      </c>
    </row>
    <row r="22" spans="1:41" ht="15.9" customHeight="1">
      <c r="A22" s="29" t="str">
        <v>GQ</v>
      </c>
      <c r="B22" s="8" t="str">
        <v>Gold Q</v>
      </c>
      <c r="C22" s="105">
        <f t="shared" si="0"/>
        <v>0</v>
      </c>
      <c r="D22" s="105">
        <f t="shared" si="0"/>
        <v>3</v>
      </c>
      <c r="E22" s="105">
        <f t="shared" si="0"/>
        <v>6</v>
      </c>
      <c r="F22" s="105">
        <f t="shared" si="0"/>
        <v>1</v>
      </c>
      <c r="G22" s="105">
        <f t="shared" si="0"/>
        <v>0</v>
      </c>
      <c r="H22" s="8">
        <v>18</v>
      </c>
      <c r="I22" s="87"/>
      <c r="J22" s="25">
        <v>18</v>
      </c>
      <c r="K22" s="16" t="s">
        <v>37</v>
      </c>
      <c r="L22" s="16" t="s">
        <v>19</v>
      </c>
      <c r="M22" s="16" t="s">
        <v>91</v>
      </c>
      <c r="N22" s="16" t="s">
        <v>136</v>
      </c>
      <c r="O22" s="16" t="s">
        <v>20</v>
      </c>
      <c r="Q22" s="9">
        <v>7</v>
      </c>
      <c r="R22" s="9">
        <v>5</v>
      </c>
      <c r="S22" s="9">
        <v>14</v>
      </c>
      <c r="T22" s="9">
        <v>6</v>
      </c>
      <c r="U22" s="9">
        <v>1</v>
      </c>
      <c r="W22" s="25">
        <v>1</v>
      </c>
      <c r="X22" s="25">
        <v>1</v>
      </c>
      <c r="Y22" s="25">
        <v>1</v>
      </c>
      <c r="Z22" s="25">
        <v>1</v>
      </c>
      <c r="AA22" s="25">
        <v>1</v>
      </c>
      <c r="AC22" s="149" t="str">
        <v>GA</v>
      </c>
      <c r="AD22" s="105">
        <v>0</v>
      </c>
      <c r="AE22" s="105">
        <v>10</v>
      </c>
      <c r="AF22" s="105">
        <v>42</v>
      </c>
      <c r="AG22" s="105">
        <v>6</v>
      </c>
      <c r="AH22" s="105">
        <v>0</v>
      </c>
      <c r="AI22" s="5"/>
      <c r="AJ22" s="149" t="str">
        <v>GA</v>
      </c>
      <c r="AK22" s="105">
        <v>0</v>
      </c>
      <c r="AL22" s="105">
        <v>10</v>
      </c>
      <c r="AM22" s="105">
        <v>42</v>
      </c>
      <c r="AN22" s="105">
        <v>6</v>
      </c>
      <c r="AO22" s="105">
        <v>0</v>
      </c>
    </row>
    <row r="23" spans="1:41" ht="15.9" customHeight="1">
      <c r="A23" s="29" t="str">
        <v>GJ</v>
      </c>
      <c r="B23" s="8" t="str">
        <v>Gold J</v>
      </c>
      <c r="C23" s="105">
        <f t="shared" si="0"/>
        <v>0</v>
      </c>
      <c r="D23" s="105">
        <f t="shared" si="0"/>
        <v>2</v>
      </c>
      <c r="E23" s="105">
        <f t="shared" si="0"/>
        <v>9</v>
      </c>
      <c r="F23" s="105">
        <f t="shared" si="0"/>
        <v>2</v>
      </c>
      <c r="G23" s="105">
        <f t="shared" si="0"/>
        <v>0</v>
      </c>
      <c r="H23" s="8">
        <v>19</v>
      </c>
      <c r="I23" s="87"/>
      <c r="J23" s="9">
        <v>19</v>
      </c>
      <c r="K23" s="16" t="s">
        <v>18</v>
      </c>
      <c r="L23" s="16" t="s">
        <v>136</v>
      </c>
      <c r="M23" s="16" t="s">
        <v>95</v>
      </c>
      <c r="N23" s="16" t="s">
        <v>35</v>
      </c>
      <c r="O23" s="16" t="s">
        <v>34</v>
      </c>
      <c r="Q23" s="9">
        <v>4</v>
      </c>
      <c r="R23" s="9">
        <v>6</v>
      </c>
      <c r="S23" s="9">
        <v>18</v>
      </c>
      <c r="T23" s="9">
        <v>8</v>
      </c>
      <c r="U23" s="9">
        <v>9</v>
      </c>
      <c r="W23" s="25">
        <v>1</v>
      </c>
      <c r="X23" s="25">
        <v>1</v>
      </c>
      <c r="Y23" s="25">
        <v>1</v>
      </c>
      <c r="Z23" s="25">
        <v>1</v>
      </c>
      <c r="AA23" s="25">
        <v>1</v>
      </c>
      <c r="AC23" s="149" t="str">
        <v>GK</v>
      </c>
      <c r="AD23" s="105">
        <v>0</v>
      </c>
      <c r="AE23" s="105">
        <v>7</v>
      </c>
      <c r="AF23" s="105">
        <v>43</v>
      </c>
      <c r="AG23" s="105">
        <v>6</v>
      </c>
      <c r="AH23" s="105">
        <v>0</v>
      </c>
      <c r="AI23" s="5"/>
      <c r="AJ23" s="149" t="str">
        <v>GK</v>
      </c>
      <c r="AK23" s="105">
        <v>0</v>
      </c>
      <c r="AL23" s="105">
        <v>7</v>
      </c>
      <c r="AM23" s="105">
        <v>43</v>
      </c>
      <c r="AN23" s="105">
        <v>6</v>
      </c>
      <c r="AO23" s="105">
        <v>0</v>
      </c>
    </row>
    <row r="24" spans="1:41" ht="15.9" customHeight="1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7"/>
      <c r="J24" s="25">
        <v>20</v>
      </c>
      <c r="K24" s="16" t="s">
        <v>37</v>
      </c>
      <c r="L24" s="16" t="s">
        <v>37</v>
      </c>
      <c r="M24" s="16" t="s">
        <v>137</v>
      </c>
      <c r="N24" s="16" t="s">
        <v>89</v>
      </c>
      <c r="O24" s="16" t="s">
        <v>35</v>
      </c>
      <c r="Q24" s="9">
        <v>7</v>
      </c>
      <c r="R24" s="9">
        <v>7</v>
      </c>
      <c r="S24" s="9">
        <v>15</v>
      </c>
      <c r="T24" s="9">
        <v>12</v>
      </c>
      <c r="U24" s="9">
        <v>8</v>
      </c>
      <c r="W24" s="25">
        <v>1</v>
      </c>
      <c r="X24" s="25">
        <v>1</v>
      </c>
      <c r="Y24" s="25">
        <v>1</v>
      </c>
      <c r="Z24" s="25">
        <v>1</v>
      </c>
      <c r="AA24" s="25">
        <v>1</v>
      </c>
      <c r="AC24" s="149" t="str">
        <v>GQ</v>
      </c>
      <c r="AD24" s="105">
        <v>0</v>
      </c>
      <c r="AE24" s="105">
        <v>3</v>
      </c>
      <c r="AF24" s="105">
        <v>6</v>
      </c>
      <c r="AG24" s="105">
        <v>1</v>
      </c>
      <c r="AH24" s="105">
        <v>0</v>
      </c>
      <c r="AI24" s="5"/>
      <c r="AJ24" s="149" t="str">
        <v>GQ</v>
      </c>
      <c r="AK24" s="105">
        <v>0</v>
      </c>
      <c r="AL24" s="105">
        <v>3</v>
      </c>
      <c r="AM24" s="105">
        <v>6</v>
      </c>
      <c r="AN24" s="105">
        <v>1</v>
      </c>
      <c r="AO24" s="105">
        <v>0</v>
      </c>
    </row>
    <row r="25" spans="1:41" ht="16.5" customHeight="1">
      <c r="I25" s="87"/>
      <c r="J25" s="9">
        <v>21</v>
      </c>
      <c r="K25" s="16" t="s">
        <v>136</v>
      </c>
      <c r="L25" s="16" t="s">
        <v>89</v>
      </c>
      <c r="M25" s="16" t="s">
        <v>92</v>
      </c>
      <c r="N25" s="16" t="s">
        <v>136</v>
      </c>
      <c r="O25" s="16" t="s">
        <v>136</v>
      </c>
      <c r="Q25" s="9">
        <v>6</v>
      </c>
      <c r="R25" s="9">
        <v>12</v>
      </c>
      <c r="S25" s="9">
        <v>16</v>
      </c>
      <c r="T25" s="9">
        <v>6</v>
      </c>
      <c r="U25" s="9">
        <v>6</v>
      </c>
      <c r="W25" s="25">
        <v>1</v>
      </c>
      <c r="X25" s="25">
        <v>1</v>
      </c>
      <c r="Y25" s="25">
        <v>1</v>
      </c>
      <c r="Z25" s="25">
        <v>1</v>
      </c>
      <c r="AA25" s="25">
        <v>1</v>
      </c>
      <c r="AC25" s="149" t="str">
        <v>GJ</v>
      </c>
      <c r="AD25" s="105">
        <v>0</v>
      </c>
      <c r="AE25" s="105">
        <v>2</v>
      </c>
      <c r="AF25" s="105">
        <v>9</v>
      </c>
      <c r="AG25" s="105">
        <v>2</v>
      </c>
      <c r="AH25" s="105">
        <v>0</v>
      </c>
      <c r="AI25" s="5"/>
      <c r="AJ25" s="149" t="str">
        <v>GJ</v>
      </c>
      <c r="AK25" s="105">
        <v>0</v>
      </c>
      <c r="AL25" s="105">
        <v>2</v>
      </c>
      <c r="AM25" s="105">
        <v>9</v>
      </c>
      <c r="AN25" s="105">
        <v>2</v>
      </c>
      <c r="AO25" s="105">
        <v>0</v>
      </c>
    </row>
    <row r="26" spans="1:41" ht="16.5" customHeight="1">
      <c r="A26" s="20" t="s">
        <v>5</v>
      </c>
      <c r="B26" s="20" t="s">
        <v>12</v>
      </c>
      <c r="C26" s="20" t="s">
        <v>6</v>
      </c>
      <c r="D26" s="20" t="s">
        <v>7</v>
      </c>
      <c r="E26" s="20" t="s">
        <v>8</v>
      </c>
      <c r="F26" s="20" t="s">
        <v>9</v>
      </c>
      <c r="G26" s="20" t="s">
        <v>10</v>
      </c>
      <c r="H26" s="20" t="s">
        <v>11</v>
      </c>
      <c r="I26" s="87"/>
      <c r="J26" s="25">
        <v>22</v>
      </c>
      <c r="K26" s="16" t="s">
        <v>19</v>
      </c>
      <c r="L26" s="16" t="s">
        <v>35</v>
      </c>
      <c r="M26" s="16" t="s">
        <v>91</v>
      </c>
      <c r="N26" s="16" t="s">
        <v>35</v>
      </c>
      <c r="O26" s="16" t="s">
        <v>19</v>
      </c>
      <c r="Q26" s="9">
        <v>5</v>
      </c>
      <c r="R26" s="9">
        <v>8</v>
      </c>
      <c r="S26" s="9">
        <v>14</v>
      </c>
      <c r="T26" s="9">
        <v>8</v>
      </c>
      <c r="U26" s="9">
        <v>5</v>
      </c>
      <c r="W26" s="25">
        <v>1</v>
      </c>
      <c r="X26" s="25">
        <v>1</v>
      </c>
      <c r="Y26" s="25">
        <v>1</v>
      </c>
      <c r="Z26" s="25">
        <v>1</v>
      </c>
      <c r="AA26" s="25">
        <v>1</v>
      </c>
      <c r="AD26" s="119">
        <f>SUM(AD6:AD25)</f>
        <v>198</v>
      </c>
      <c r="AE26" s="119">
        <f>SUM(AE6:AE25)</f>
        <v>198</v>
      </c>
      <c r="AF26" s="119">
        <f>SUM(AF6:AF25)</f>
        <v>198</v>
      </c>
      <c r="AG26" s="119">
        <f>SUM(AG6:AG25)</f>
        <v>196</v>
      </c>
      <c r="AH26" s="119">
        <f>SUM(AH6:AH25)</f>
        <v>196</v>
      </c>
      <c r="AI26" s="5"/>
      <c r="AK26" s="119">
        <f>SUM(AK6:AK25)</f>
        <v>198</v>
      </c>
      <c r="AL26" s="119">
        <f>SUM(AL6:AL25)</f>
        <v>198</v>
      </c>
      <c r="AM26" s="119">
        <f>SUM(AM6:AM25)</f>
        <v>198</v>
      </c>
      <c r="AN26" s="119">
        <f>SUM(AN6:AN25)</f>
        <v>196</v>
      </c>
      <c r="AO26" s="119">
        <f>SUM(AO6:AO25)</f>
        <v>196</v>
      </c>
    </row>
    <row r="27" spans="1:41" ht="16.5" customHeight="1">
      <c r="A27" s="29" t="str" cm="1">
        <f t="array" ref="A27:B46">_xlfn.ANCHORARRAY(A4)</f>
        <v>WW</v>
      </c>
      <c r="B27" s="8" t="str">
        <v>Wild</v>
      </c>
      <c r="C27" s="143" cm="1">
        <f t="array" ref="C27:G46">C4:G23/C24:G24</f>
        <v>0</v>
      </c>
      <c r="D27" s="143">
        <v>0</v>
      </c>
      <c r="E27" s="143">
        <v>0</v>
      </c>
      <c r="F27" s="143">
        <v>0</v>
      </c>
      <c r="G27" s="143">
        <v>0</v>
      </c>
      <c r="H27" s="8" cm="1">
        <f t="array" ref="H27:H46">_xlfn.ANCHORARRAY(H4)</f>
        <v>0</v>
      </c>
      <c r="I27" s="87"/>
      <c r="J27" s="9">
        <v>23</v>
      </c>
      <c r="K27" s="16" t="s">
        <v>136</v>
      </c>
      <c r="L27" s="16" t="s">
        <v>136</v>
      </c>
      <c r="M27" s="16" t="s">
        <v>137</v>
      </c>
      <c r="N27" s="16" t="s">
        <v>119</v>
      </c>
      <c r="O27" s="16" t="s">
        <v>37</v>
      </c>
      <c r="Q27" s="9">
        <v>6</v>
      </c>
      <c r="R27" s="9">
        <v>6</v>
      </c>
      <c r="S27" s="9">
        <v>15</v>
      </c>
      <c r="T27" s="9">
        <v>17</v>
      </c>
      <c r="U27" s="9">
        <v>7</v>
      </c>
      <c r="W27" s="25">
        <v>1</v>
      </c>
      <c r="X27" s="25">
        <v>1</v>
      </c>
      <c r="Y27" s="25">
        <v>1</v>
      </c>
      <c r="Z27" s="25">
        <v>1</v>
      </c>
      <c r="AA27" s="25">
        <v>1</v>
      </c>
      <c r="AH27" s="5"/>
      <c r="AI27" s="5"/>
      <c r="AO27" s="5"/>
    </row>
    <row r="28" spans="1:41" ht="16.5" customHeight="1">
      <c r="A28" s="29" t="str">
        <v>C1</v>
      </c>
      <c r="B28" s="8" t="str">
        <v>Scatter</v>
      </c>
      <c r="C28" s="143">
        <v>1.4999999999999999E-2</v>
      </c>
      <c r="D28" s="143">
        <v>1.4999999999999999E-2</v>
      </c>
      <c r="E28" s="143">
        <v>1.4999999999999999E-2</v>
      </c>
      <c r="F28" s="143">
        <v>2.5000000000000001E-2</v>
      </c>
      <c r="G28" s="143">
        <v>2.5000000000000001E-2</v>
      </c>
      <c r="H28" s="8">
        <v>1</v>
      </c>
      <c r="I28" s="87"/>
      <c r="J28" s="25">
        <v>24</v>
      </c>
      <c r="K28" s="16" t="s">
        <v>37</v>
      </c>
      <c r="L28" s="16" t="s">
        <v>18</v>
      </c>
      <c r="M28" s="16" t="s">
        <v>92</v>
      </c>
      <c r="N28" s="16" t="s">
        <v>35</v>
      </c>
      <c r="O28" s="16" t="s">
        <v>21</v>
      </c>
      <c r="Q28" s="9">
        <v>7</v>
      </c>
      <c r="R28" s="9">
        <v>4</v>
      </c>
      <c r="S28" s="9">
        <v>16</v>
      </c>
      <c r="T28" s="9">
        <v>8</v>
      </c>
      <c r="U28" s="9">
        <v>2</v>
      </c>
      <c r="W28" s="25">
        <v>1</v>
      </c>
      <c r="X28" s="25">
        <v>1</v>
      </c>
      <c r="Y28" s="25">
        <v>1</v>
      </c>
      <c r="Z28" s="25">
        <v>1</v>
      </c>
      <c r="AA28" s="25">
        <v>1</v>
      </c>
      <c r="AC28" s="27" t="s">
        <v>143</v>
      </c>
      <c r="AH28" s="5"/>
      <c r="AI28" s="5"/>
      <c r="AJ28" s="27" t="s">
        <v>143</v>
      </c>
      <c r="AO28" s="5"/>
    </row>
    <row r="29" spans="1:41" ht="16.5" customHeight="1">
      <c r="A29" s="29" t="str">
        <v>M1</v>
      </c>
      <c r="B29" s="8" t="str">
        <v>M1</v>
      </c>
      <c r="C29" s="143">
        <v>1.4999999999999999E-2</v>
      </c>
      <c r="D29" s="143">
        <v>0.05</v>
      </c>
      <c r="E29" s="143">
        <v>0</v>
      </c>
      <c r="F29" s="143">
        <v>1.4999999999999999E-2</v>
      </c>
      <c r="G29" s="143">
        <v>4.4999999999999998E-2</v>
      </c>
      <c r="H29" s="8">
        <v>2</v>
      </c>
      <c r="I29" s="87"/>
      <c r="J29" s="9">
        <v>25</v>
      </c>
      <c r="K29" s="16" t="s">
        <v>35</v>
      </c>
      <c r="L29" s="16" t="s">
        <v>136</v>
      </c>
      <c r="M29" s="16" t="s">
        <v>91</v>
      </c>
      <c r="N29" s="16" t="s">
        <v>37</v>
      </c>
      <c r="O29" s="16" t="s">
        <v>37</v>
      </c>
      <c r="Q29" s="9">
        <v>8</v>
      </c>
      <c r="R29" s="9">
        <v>6</v>
      </c>
      <c r="S29" s="9">
        <v>14</v>
      </c>
      <c r="T29" s="9">
        <v>7</v>
      </c>
      <c r="U29" s="9">
        <v>7</v>
      </c>
      <c r="W29" s="25">
        <v>1</v>
      </c>
      <c r="X29" s="25">
        <v>1</v>
      </c>
      <c r="Y29" s="25">
        <v>1</v>
      </c>
      <c r="Z29" s="25">
        <v>1</v>
      </c>
      <c r="AA29" s="25">
        <v>1</v>
      </c>
      <c r="AC29" s="146" t="s">
        <v>42</v>
      </c>
      <c r="AD29" s="146" t="s">
        <v>13</v>
      </c>
      <c r="AE29" s="146" t="s">
        <v>14</v>
      </c>
      <c r="AF29" s="146" t="s">
        <v>15</v>
      </c>
      <c r="AG29" s="146" t="s">
        <v>16</v>
      </c>
      <c r="AH29" s="146" t="s">
        <v>17</v>
      </c>
      <c r="AI29" s="5"/>
      <c r="AJ29" s="146" t="s">
        <v>42</v>
      </c>
      <c r="AK29" s="146" t="s">
        <v>13</v>
      </c>
      <c r="AL29" s="146" t="s">
        <v>14</v>
      </c>
      <c r="AM29" s="146" t="s">
        <v>15</v>
      </c>
      <c r="AN29" s="146" t="s">
        <v>16</v>
      </c>
      <c r="AO29" s="146" t="s">
        <v>17</v>
      </c>
    </row>
    <row r="30" spans="1:41" ht="16.5" customHeight="1">
      <c r="A30" s="29" t="str">
        <v>M2</v>
      </c>
      <c r="B30" s="8" t="str">
        <v>M2</v>
      </c>
      <c r="C30" s="143">
        <v>1.4999999999999999E-2</v>
      </c>
      <c r="D30" s="143">
        <v>0.06</v>
      </c>
      <c r="E30" s="143">
        <v>0</v>
      </c>
      <c r="F30" s="143">
        <v>1.4999999999999999E-2</v>
      </c>
      <c r="G30" s="143">
        <v>0.04</v>
      </c>
      <c r="H30" s="8">
        <v>3</v>
      </c>
      <c r="I30" s="87"/>
      <c r="J30" s="25">
        <v>26</v>
      </c>
      <c r="K30" s="16" t="s">
        <v>19</v>
      </c>
      <c r="L30" s="16" t="s">
        <v>35</v>
      </c>
      <c r="M30" s="16" t="s">
        <v>137</v>
      </c>
      <c r="N30" s="16" t="s">
        <v>35</v>
      </c>
      <c r="O30" s="16" t="s">
        <v>19</v>
      </c>
      <c r="Q30" s="9">
        <v>5</v>
      </c>
      <c r="R30" s="9">
        <v>8</v>
      </c>
      <c r="S30" s="9">
        <v>15</v>
      </c>
      <c r="T30" s="9">
        <v>8</v>
      </c>
      <c r="U30" s="9">
        <v>5</v>
      </c>
      <c r="W30" s="25">
        <v>1</v>
      </c>
      <c r="X30" s="25">
        <v>1</v>
      </c>
      <c r="Y30" s="25">
        <v>1</v>
      </c>
      <c r="Z30" s="25">
        <v>1</v>
      </c>
      <c r="AA30" s="25">
        <v>1</v>
      </c>
      <c r="AC30" s="149" t="str" cm="1">
        <f t="array" ref="AC30:AC49">$A$4:$A$23</f>
        <v>WW</v>
      </c>
      <c r="AD30" s="150">
        <v>0</v>
      </c>
      <c r="AE30" s="150">
        <v>0</v>
      </c>
      <c r="AF30" s="150">
        <v>0</v>
      </c>
      <c r="AG30" s="150">
        <v>0</v>
      </c>
      <c r="AH30" s="150">
        <v>0</v>
      </c>
      <c r="AI30" s="5"/>
      <c r="AJ30" s="149" t="str" cm="1">
        <f t="array" ref="AJ30:AJ49">$A$4:$A$23</f>
        <v>WW</v>
      </c>
      <c r="AK30" s="150">
        <v>0</v>
      </c>
      <c r="AL30" s="150">
        <v>0</v>
      </c>
      <c r="AM30" s="150">
        <v>0</v>
      </c>
      <c r="AN30" s="150">
        <v>0</v>
      </c>
      <c r="AO30" s="150">
        <v>0</v>
      </c>
    </row>
    <row r="31" spans="1:41" ht="16.5" customHeight="1">
      <c r="A31" s="29" t="str">
        <v>M3</v>
      </c>
      <c r="B31" s="8" t="str">
        <v>M3</v>
      </c>
      <c r="C31" s="143">
        <v>3.5000000000000003E-2</v>
      </c>
      <c r="D31" s="143">
        <v>6.5000000000000002E-2</v>
      </c>
      <c r="E31" s="143">
        <v>0</v>
      </c>
      <c r="F31" s="143">
        <v>3.5000000000000003E-2</v>
      </c>
      <c r="G31" s="143">
        <v>7.0000000000000007E-2</v>
      </c>
      <c r="H31" s="8">
        <v>4</v>
      </c>
      <c r="I31" s="87"/>
      <c r="J31" s="9">
        <v>27</v>
      </c>
      <c r="K31" s="16" t="s">
        <v>136</v>
      </c>
      <c r="L31" s="16" t="s">
        <v>37</v>
      </c>
      <c r="M31" s="16" t="s">
        <v>92</v>
      </c>
      <c r="N31" s="16" t="s">
        <v>37</v>
      </c>
      <c r="O31" s="16" t="s">
        <v>37</v>
      </c>
      <c r="Q31" s="9">
        <v>6</v>
      </c>
      <c r="R31" s="9">
        <v>7</v>
      </c>
      <c r="S31" s="9">
        <v>16</v>
      </c>
      <c r="T31" s="9">
        <v>7</v>
      </c>
      <c r="U31" s="9">
        <v>7</v>
      </c>
      <c r="W31" s="25">
        <v>1</v>
      </c>
      <c r="X31" s="25">
        <v>1</v>
      </c>
      <c r="Y31" s="25">
        <v>1</v>
      </c>
      <c r="Z31" s="25">
        <v>1</v>
      </c>
      <c r="AA31" s="25">
        <v>1</v>
      </c>
      <c r="AC31" s="149" t="str">
        <v>C1</v>
      </c>
      <c r="AD31" s="149">
        <v>1</v>
      </c>
      <c r="AE31" s="149">
        <v>1</v>
      </c>
      <c r="AF31" s="149">
        <v>1</v>
      </c>
      <c r="AG31" s="149">
        <v>1</v>
      </c>
      <c r="AH31" s="149">
        <v>1</v>
      </c>
      <c r="AI31" s="5"/>
      <c r="AJ31" s="149" t="str">
        <v>C1</v>
      </c>
      <c r="AK31" s="149">
        <v>1</v>
      </c>
      <c r="AL31" s="149">
        <v>1</v>
      </c>
      <c r="AM31" s="149">
        <v>1</v>
      </c>
      <c r="AN31" s="149">
        <v>1</v>
      </c>
      <c r="AO31" s="149">
        <v>1</v>
      </c>
    </row>
    <row r="32" spans="1:41" ht="16.5" customHeight="1">
      <c r="A32" s="29" t="str">
        <v>M4</v>
      </c>
      <c r="B32" s="8" t="str">
        <v>M4</v>
      </c>
      <c r="C32" s="143">
        <v>0.215</v>
      </c>
      <c r="D32" s="143">
        <v>0.115</v>
      </c>
      <c r="E32" s="143">
        <v>0</v>
      </c>
      <c r="F32" s="143">
        <v>0.16500000000000001</v>
      </c>
      <c r="G32" s="143">
        <v>0.17499999999999999</v>
      </c>
      <c r="H32" s="8">
        <v>5</v>
      </c>
      <c r="J32" s="25">
        <v>28</v>
      </c>
      <c r="K32" s="16" t="s">
        <v>35</v>
      </c>
      <c r="L32" s="16" t="s">
        <v>34</v>
      </c>
      <c r="M32" s="16" t="s">
        <v>97</v>
      </c>
      <c r="N32" s="16" t="s">
        <v>136</v>
      </c>
      <c r="O32" s="16" t="s">
        <v>18</v>
      </c>
      <c r="Q32" s="9">
        <v>8</v>
      </c>
      <c r="R32" s="9">
        <v>9</v>
      </c>
      <c r="S32" s="9">
        <v>19</v>
      </c>
      <c r="T32" s="9">
        <v>6</v>
      </c>
      <c r="U32" s="9">
        <v>4</v>
      </c>
      <c r="W32" s="25">
        <v>1</v>
      </c>
      <c r="X32" s="25">
        <v>1</v>
      </c>
      <c r="Y32" s="25">
        <v>1</v>
      </c>
      <c r="Z32" s="25">
        <v>1</v>
      </c>
      <c r="AA32" s="25">
        <v>1</v>
      </c>
      <c r="AC32" s="166" t="str">
        <v>M1</v>
      </c>
      <c r="AD32" s="144">
        <v>3</v>
      </c>
      <c r="AE32" s="144">
        <v>10</v>
      </c>
      <c r="AF32" s="144">
        <v>0</v>
      </c>
      <c r="AG32" s="144">
        <v>3</v>
      </c>
      <c r="AH32" s="144">
        <v>9</v>
      </c>
      <c r="AI32" s="5"/>
      <c r="AJ32" s="166" t="str">
        <v>M1</v>
      </c>
      <c r="AK32" s="144">
        <v>3</v>
      </c>
      <c r="AL32" s="144">
        <v>10</v>
      </c>
      <c r="AM32" s="144">
        <v>0</v>
      </c>
      <c r="AN32" s="144">
        <v>3</v>
      </c>
      <c r="AO32" s="144">
        <v>9</v>
      </c>
    </row>
    <row r="33" spans="1:41" ht="16.5" customHeight="1">
      <c r="A33" s="29" t="str">
        <v>M5</v>
      </c>
      <c r="B33" s="8" t="str">
        <v>M5</v>
      </c>
      <c r="C33" s="143">
        <v>0.21</v>
      </c>
      <c r="D33" s="143">
        <v>0.115</v>
      </c>
      <c r="E33" s="143">
        <v>0</v>
      </c>
      <c r="F33" s="143">
        <v>0.16500000000000001</v>
      </c>
      <c r="G33" s="143">
        <v>0.17</v>
      </c>
      <c r="H33" s="8">
        <v>6</v>
      </c>
      <c r="J33" s="9">
        <v>29</v>
      </c>
      <c r="K33" s="16" t="s">
        <v>19</v>
      </c>
      <c r="L33" s="16" t="s">
        <v>18</v>
      </c>
      <c r="M33" s="16" t="s">
        <v>92</v>
      </c>
      <c r="N33" s="16" t="s">
        <v>92</v>
      </c>
      <c r="O33" s="16" t="s">
        <v>35</v>
      </c>
      <c r="Q33" s="9">
        <v>5</v>
      </c>
      <c r="R33" s="9">
        <v>4</v>
      </c>
      <c r="S33" s="9">
        <v>16</v>
      </c>
      <c r="T33" s="9">
        <v>16</v>
      </c>
      <c r="U33" s="9">
        <v>8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C33" s="166" t="str">
        <v>M2</v>
      </c>
      <c r="AD33" s="144">
        <v>3</v>
      </c>
      <c r="AE33" s="144">
        <v>12</v>
      </c>
      <c r="AF33" s="144">
        <v>0</v>
      </c>
      <c r="AG33" s="144">
        <v>3</v>
      </c>
      <c r="AH33" s="144">
        <v>8</v>
      </c>
      <c r="AI33" s="5"/>
      <c r="AJ33" s="166" t="str">
        <v>M2</v>
      </c>
      <c r="AK33" s="144">
        <v>3</v>
      </c>
      <c r="AL33" s="144">
        <v>12</v>
      </c>
      <c r="AM33" s="144">
        <v>0</v>
      </c>
      <c r="AN33" s="144">
        <v>3</v>
      </c>
      <c r="AO33" s="144">
        <v>8</v>
      </c>
    </row>
    <row r="34" spans="1:41" ht="16.5" customHeight="1">
      <c r="A34" s="29" t="str">
        <v>A</v>
      </c>
      <c r="B34" s="8" t="str">
        <v>A</v>
      </c>
      <c r="C34" s="143">
        <v>0.215</v>
      </c>
      <c r="D34" s="143">
        <v>0.13500000000000001</v>
      </c>
      <c r="E34" s="143">
        <v>0</v>
      </c>
      <c r="F34" s="143">
        <v>0.16500000000000001</v>
      </c>
      <c r="G34" s="143">
        <v>0.17</v>
      </c>
      <c r="H34" s="8">
        <v>7</v>
      </c>
      <c r="J34" s="25">
        <v>30</v>
      </c>
      <c r="K34" s="16" t="s">
        <v>37</v>
      </c>
      <c r="L34" s="16" t="s">
        <v>34</v>
      </c>
      <c r="M34" s="16" t="s">
        <v>90</v>
      </c>
      <c r="N34" s="16" t="s">
        <v>19</v>
      </c>
      <c r="O34" s="16" t="s">
        <v>136</v>
      </c>
      <c r="Q34" s="9">
        <v>7</v>
      </c>
      <c r="R34" s="9">
        <v>9</v>
      </c>
      <c r="S34" s="9">
        <v>13</v>
      </c>
      <c r="T34" s="9">
        <v>5</v>
      </c>
      <c r="U34" s="9">
        <v>6</v>
      </c>
      <c r="W34" s="25">
        <v>1</v>
      </c>
      <c r="X34" s="25">
        <v>1</v>
      </c>
      <c r="Y34" s="25">
        <v>1</v>
      </c>
      <c r="Z34" s="25">
        <v>1</v>
      </c>
      <c r="AA34" s="25">
        <v>1</v>
      </c>
      <c r="AC34" s="166" t="str">
        <v>M3</v>
      </c>
      <c r="AD34" s="144">
        <v>7</v>
      </c>
      <c r="AE34" s="144">
        <v>13</v>
      </c>
      <c r="AF34" s="144">
        <v>0</v>
      </c>
      <c r="AG34" s="144">
        <v>7</v>
      </c>
      <c r="AH34" s="144">
        <v>14</v>
      </c>
      <c r="AI34" s="5"/>
      <c r="AJ34" s="166" t="str">
        <v>M3</v>
      </c>
      <c r="AK34" s="144">
        <v>7</v>
      </c>
      <c r="AL34" s="144">
        <v>13</v>
      </c>
      <c r="AM34" s="144">
        <v>0</v>
      </c>
      <c r="AN34" s="144">
        <v>7</v>
      </c>
      <c r="AO34" s="144">
        <v>14</v>
      </c>
    </row>
    <row r="35" spans="1:41" ht="16.5" customHeight="1">
      <c r="A35" s="29" t="str">
        <v>K</v>
      </c>
      <c r="B35" s="8" t="str">
        <v>K</v>
      </c>
      <c r="C35" s="143">
        <v>0.215</v>
      </c>
      <c r="D35" s="143">
        <v>0.125</v>
      </c>
      <c r="E35" s="143">
        <v>0</v>
      </c>
      <c r="F35" s="143">
        <v>0.17</v>
      </c>
      <c r="G35" s="143">
        <v>0.17</v>
      </c>
      <c r="H35" s="8">
        <v>8</v>
      </c>
      <c r="J35" s="9">
        <v>31</v>
      </c>
      <c r="K35" s="16" t="s">
        <v>35</v>
      </c>
      <c r="L35" s="16" t="s">
        <v>119</v>
      </c>
      <c r="M35" s="16" t="s">
        <v>137</v>
      </c>
      <c r="N35" s="16" t="s">
        <v>137</v>
      </c>
      <c r="O35" s="16" t="s">
        <v>37</v>
      </c>
      <c r="Q35" s="9">
        <v>8</v>
      </c>
      <c r="R35" s="9">
        <v>17</v>
      </c>
      <c r="S35" s="9">
        <v>15</v>
      </c>
      <c r="T35" s="9">
        <v>15</v>
      </c>
      <c r="U35" s="9">
        <v>7</v>
      </c>
      <c r="W35" s="25">
        <v>1</v>
      </c>
      <c r="X35" s="25">
        <v>1</v>
      </c>
      <c r="Y35" s="25">
        <v>1</v>
      </c>
      <c r="Z35" s="25">
        <v>1</v>
      </c>
      <c r="AA35" s="25">
        <v>1</v>
      </c>
      <c r="AC35" s="166" t="str">
        <v>M4</v>
      </c>
      <c r="AD35" s="144">
        <v>43</v>
      </c>
      <c r="AE35" s="144">
        <v>23</v>
      </c>
      <c r="AF35" s="144">
        <v>0</v>
      </c>
      <c r="AG35" s="144">
        <v>33</v>
      </c>
      <c r="AH35" s="144">
        <v>35</v>
      </c>
      <c r="AI35" s="5"/>
      <c r="AJ35" s="166" t="str">
        <v>M4</v>
      </c>
      <c r="AK35" s="144">
        <v>43</v>
      </c>
      <c r="AL35" s="144">
        <v>23</v>
      </c>
      <c r="AM35" s="144">
        <v>0</v>
      </c>
      <c r="AN35" s="144">
        <v>33</v>
      </c>
      <c r="AO35" s="144">
        <v>35</v>
      </c>
    </row>
    <row r="36" spans="1:41" ht="16.5" customHeight="1">
      <c r="A36" s="29" t="str">
        <v>Q</v>
      </c>
      <c r="B36" s="8" t="str">
        <v>Q</v>
      </c>
      <c r="C36" s="143">
        <v>3.5000000000000003E-2</v>
      </c>
      <c r="D36" s="143">
        <v>0.06</v>
      </c>
      <c r="E36" s="143">
        <v>0</v>
      </c>
      <c r="F36" s="143">
        <v>0.03</v>
      </c>
      <c r="G36" s="143">
        <v>6.5000000000000002E-2</v>
      </c>
      <c r="H36" s="8">
        <v>9</v>
      </c>
      <c r="J36" s="25">
        <v>32</v>
      </c>
      <c r="K36" s="16" t="s">
        <v>37</v>
      </c>
      <c r="L36" s="16" t="s">
        <v>37</v>
      </c>
      <c r="M36" s="16" t="s">
        <v>119</v>
      </c>
      <c r="N36" s="16" t="s">
        <v>35</v>
      </c>
      <c r="O36" s="16" t="s">
        <v>34</v>
      </c>
      <c r="Q36" s="9">
        <v>7</v>
      </c>
      <c r="R36" s="9">
        <v>7</v>
      </c>
      <c r="S36" s="9">
        <v>17</v>
      </c>
      <c r="T36" s="9">
        <v>8</v>
      </c>
      <c r="U36" s="9">
        <v>9</v>
      </c>
      <c r="W36" s="25">
        <v>1</v>
      </c>
      <c r="X36" s="25">
        <v>1</v>
      </c>
      <c r="Y36" s="25">
        <v>1</v>
      </c>
      <c r="Z36" s="25">
        <v>1</v>
      </c>
      <c r="AA36" s="25">
        <v>1</v>
      </c>
      <c r="AC36" s="166" t="str">
        <v>M5</v>
      </c>
      <c r="AD36" s="144">
        <v>42</v>
      </c>
      <c r="AE36" s="144">
        <v>23</v>
      </c>
      <c r="AF36" s="144">
        <v>0</v>
      </c>
      <c r="AG36" s="144">
        <v>33</v>
      </c>
      <c r="AH36" s="144">
        <v>34</v>
      </c>
      <c r="AI36" s="5"/>
      <c r="AJ36" s="166" t="str">
        <v>M5</v>
      </c>
      <c r="AK36" s="144">
        <v>42</v>
      </c>
      <c r="AL36" s="144">
        <v>23</v>
      </c>
      <c r="AM36" s="144">
        <v>0</v>
      </c>
      <c r="AN36" s="144">
        <v>33</v>
      </c>
      <c r="AO36" s="144">
        <v>34</v>
      </c>
    </row>
    <row r="37" spans="1:41" ht="16.5" customHeight="1">
      <c r="A37" s="29" t="str">
        <v>J</v>
      </c>
      <c r="B37" s="8" t="str">
        <v>J</v>
      </c>
      <c r="C37" s="143">
        <v>0.03</v>
      </c>
      <c r="D37" s="143">
        <v>0.04</v>
      </c>
      <c r="E37" s="143">
        <v>0</v>
      </c>
      <c r="F37" s="143">
        <v>3.5000000000000003E-2</v>
      </c>
      <c r="G37" s="143">
        <v>7.0000000000000007E-2</v>
      </c>
      <c r="H37" s="8">
        <v>10</v>
      </c>
      <c r="J37" s="9">
        <v>33</v>
      </c>
      <c r="K37" s="16" t="s">
        <v>136</v>
      </c>
      <c r="L37" s="16" t="s">
        <v>19</v>
      </c>
      <c r="M37" s="16" t="s">
        <v>92</v>
      </c>
      <c r="N37" s="16" t="s">
        <v>19</v>
      </c>
      <c r="O37" s="16" t="s">
        <v>36</v>
      </c>
      <c r="Q37" s="9">
        <v>6</v>
      </c>
      <c r="R37" s="9">
        <v>5</v>
      </c>
      <c r="S37" s="9">
        <v>16</v>
      </c>
      <c r="T37" s="9">
        <v>5</v>
      </c>
      <c r="U37" s="9">
        <v>10</v>
      </c>
      <c r="W37" s="25">
        <v>1</v>
      </c>
      <c r="X37" s="25">
        <v>1</v>
      </c>
      <c r="Y37" s="25">
        <v>1</v>
      </c>
      <c r="Z37" s="25">
        <v>1</v>
      </c>
      <c r="AA37" s="25">
        <v>1</v>
      </c>
      <c r="AC37" s="166" t="str">
        <v>A</v>
      </c>
      <c r="AD37" s="144">
        <v>43</v>
      </c>
      <c r="AE37" s="144">
        <v>27</v>
      </c>
      <c r="AF37" s="144">
        <v>0</v>
      </c>
      <c r="AG37" s="144">
        <v>33</v>
      </c>
      <c r="AH37" s="144">
        <v>34</v>
      </c>
      <c r="AI37" s="5"/>
      <c r="AJ37" s="166" t="str">
        <v>A</v>
      </c>
      <c r="AK37" s="144">
        <v>43</v>
      </c>
      <c r="AL37" s="144">
        <v>27</v>
      </c>
      <c r="AM37" s="144">
        <v>0</v>
      </c>
      <c r="AN37" s="144">
        <v>33</v>
      </c>
      <c r="AO37" s="144">
        <v>34</v>
      </c>
    </row>
    <row r="38" spans="1:41" ht="16.5" customHeight="1">
      <c r="A38" s="29" t="str">
        <v>G1</v>
      </c>
      <c r="B38" s="8" t="str">
        <v>Gold M1</v>
      </c>
      <c r="C38" s="143">
        <v>0</v>
      </c>
      <c r="D38" s="143">
        <v>0.01</v>
      </c>
      <c r="E38" s="143">
        <v>1.4999999999999999E-2</v>
      </c>
      <c r="F38" s="143">
        <v>5.0000000000000001E-3</v>
      </c>
      <c r="G38" s="143">
        <v>0</v>
      </c>
      <c r="H38" s="8">
        <v>11</v>
      </c>
      <c r="J38" s="25">
        <v>34</v>
      </c>
      <c r="K38" s="16" t="s">
        <v>19</v>
      </c>
      <c r="L38" s="16" t="s">
        <v>18</v>
      </c>
      <c r="M38" s="16" t="s">
        <v>137</v>
      </c>
      <c r="N38" s="16" t="s">
        <v>37</v>
      </c>
      <c r="O38" s="16" t="s">
        <v>37</v>
      </c>
      <c r="Q38" s="9">
        <v>5</v>
      </c>
      <c r="R38" s="9">
        <v>4</v>
      </c>
      <c r="S38" s="9">
        <v>15</v>
      </c>
      <c r="T38" s="9">
        <v>7</v>
      </c>
      <c r="U38" s="9">
        <v>7</v>
      </c>
      <c r="W38" s="25">
        <v>1</v>
      </c>
      <c r="X38" s="25">
        <v>1</v>
      </c>
      <c r="Y38" s="25">
        <v>1</v>
      </c>
      <c r="Z38" s="25">
        <v>1</v>
      </c>
      <c r="AA38" s="25">
        <v>1</v>
      </c>
      <c r="AC38" s="166" t="str">
        <v>K</v>
      </c>
      <c r="AD38" s="144">
        <v>43</v>
      </c>
      <c r="AE38" s="144">
        <v>25</v>
      </c>
      <c r="AF38" s="144">
        <v>0</v>
      </c>
      <c r="AG38" s="144">
        <v>34</v>
      </c>
      <c r="AH38" s="144">
        <v>34</v>
      </c>
      <c r="AI38" s="5"/>
      <c r="AJ38" s="166" t="str">
        <v>K</v>
      </c>
      <c r="AK38" s="144">
        <v>43</v>
      </c>
      <c r="AL38" s="144">
        <v>25</v>
      </c>
      <c r="AM38" s="144">
        <v>0</v>
      </c>
      <c r="AN38" s="144">
        <v>34</v>
      </c>
      <c r="AO38" s="144">
        <v>34</v>
      </c>
    </row>
    <row r="39" spans="1:41" ht="16.5" customHeight="1">
      <c r="A39" s="29" t="str">
        <v>G2</v>
      </c>
      <c r="B39" s="8" t="str">
        <v>Gold M2</v>
      </c>
      <c r="C39" s="143">
        <v>0</v>
      </c>
      <c r="D39" s="143">
        <v>1.4999999999999999E-2</v>
      </c>
      <c r="E39" s="143">
        <v>5.0000000000000001E-3</v>
      </c>
      <c r="F39" s="143">
        <v>5.0000000000000001E-3</v>
      </c>
      <c r="G39" s="143">
        <v>0</v>
      </c>
      <c r="H39" s="8">
        <v>12</v>
      </c>
      <c r="J39" s="9">
        <v>35</v>
      </c>
      <c r="K39" s="16" t="s">
        <v>35</v>
      </c>
      <c r="L39" s="16" t="s">
        <v>22</v>
      </c>
      <c r="M39" s="16" t="s">
        <v>92</v>
      </c>
      <c r="N39" s="16" t="s">
        <v>119</v>
      </c>
      <c r="O39" s="16" t="s">
        <v>19</v>
      </c>
      <c r="Q39" s="9">
        <v>8</v>
      </c>
      <c r="R39" s="9">
        <v>3</v>
      </c>
      <c r="S39" s="9">
        <v>16</v>
      </c>
      <c r="T39" s="9">
        <v>17</v>
      </c>
      <c r="U39" s="9">
        <v>5</v>
      </c>
      <c r="W39" s="25">
        <v>1</v>
      </c>
      <c r="X39" s="25">
        <v>1</v>
      </c>
      <c r="Y39" s="25">
        <v>1</v>
      </c>
      <c r="Z39" s="25">
        <v>1</v>
      </c>
      <c r="AA39" s="25">
        <v>1</v>
      </c>
      <c r="AC39" s="166" t="str">
        <v>Q</v>
      </c>
      <c r="AD39" s="144">
        <v>7</v>
      </c>
      <c r="AE39" s="144">
        <v>12</v>
      </c>
      <c r="AF39" s="144">
        <v>0</v>
      </c>
      <c r="AG39" s="144">
        <v>6</v>
      </c>
      <c r="AH39" s="144">
        <v>13</v>
      </c>
      <c r="AI39" s="5"/>
      <c r="AJ39" s="166" t="str">
        <v>Q</v>
      </c>
      <c r="AK39" s="144">
        <v>7</v>
      </c>
      <c r="AL39" s="144">
        <v>12</v>
      </c>
      <c r="AM39" s="144">
        <v>0</v>
      </c>
      <c r="AN39" s="144">
        <v>6</v>
      </c>
      <c r="AO39" s="144">
        <v>13</v>
      </c>
    </row>
    <row r="40" spans="1:41" ht="16.5" customHeight="1">
      <c r="A40" s="29" t="str">
        <v>G3</v>
      </c>
      <c r="B40" s="8" t="str">
        <v>Gold M3</v>
      </c>
      <c r="C40" s="143">
        <v>0</v>
      </c>
      <c r="D40" s="143">
        <v>1.4999999999999999E-2</v>
      </c>
      <c r="E40" s="143">
        <v>0.04</v>
      </c>
      <c r="F40" s="143">
        <v>0.01</v>
      </c>
      <c r="G40" s="143">
        <v>0</v>
      </c>
      <c r="H40" s="8">
        <v>13</v>
      </c>
      <c r="J40" s="25">
        <v>36</v>
      </c>
      <c r="K40" s="16" t="s">
        <v>136</v>
      </c>
      <c r="L40" s="16" t="s">
        <v>20</v>
      </c>
      <c r="M40" s="16" t="s">
        <v>119</v>
      </c>
      <c r="N40" s="16" t="s">
        <v>36</v>
      </c>
      <c r="O40" s="16" t="s">
        <v>136</v>
      </c>
      <c r="Q40" s="9">
        <v>6</v>
      </c>
      <c r="R40" s="9">
        <v>1</v>
      </c>
      <c r="S40" s="9">
        <v>17</v>
      </c>
      <c r="T40" s="9">
        <v>10</v>
      </c>
      <c r="U40" s="9">
        <v>6</v>
      </c>
      <c r="W40" s="25">
        <v>1</v>
      </c>
      <c r="X40" s="25">
        <v>1</v>
      </c>
      <c r="Y40" s="25">
        <v>1</v>
      </c>
      <c r="Z40" s="25">
        <v>1</v>
      </c>
      <c r="AA40" s="25">
        <v>1</v>
      </c>
      <c r="AC40" s="166" t="str">
        <v>J</v>
      </c>
      <c r="AD40" s="144">
        <v>6</v>
      </c>
      <c r="AE40" s="144">
        <v>8</v>
      </c>
      <c r="AF40" s="144">
        <v>0</v>
      </c>
      <c r="AG40" s="144">
        <v>7</v>
      </c>
      <c r="AH40" s="144">
        <v>14</v>
      </c>
      <c r="AI40" s="5"/>
      <c r="AJ40" s="166" t="str">
        <v>J</v>
      </c>
      <c r="AK40" s="144">
        <v>6</v>
      </c>
      <c r="AL40" s="144">
        <v>8</v>
      </c>
      <c r="AM40" s="144">
        <v>0</v>
      </c>
      <c r="AN40" s="144">
        <v>7</v>
      </c>
      <c r="AO40" s="144">
        <v>14</v>
      </c>
    </row>
    <row r="41" spans="1:41" ht="16.5" customHeight="1">
      <c r="A41" s="29" t="str">
        <v>G4</v>
      </c>
      <c r="B41" s="8" t="str">
        <v>Gold M4</v>
      </c>
      <c r="C41" s="143">
        <v>0</v>
      </c>
      <c r="D41" s="143">
        <v>3.5000000000000003E-2</v>
      </c>
      <c r="E41" s="143">
        <v>0.215</v>
      </c>
      <c r="F41" s="143">
        <v>0.04</v>
      </c>
      <c r="G41" s="143">
        <v>0</v>
      </c>
      <c r="H41" s="8">
        <v>14</v>
      </c>
      <c r="J41" s="9">
        <v>37</v>
      </c>
      <c r="K41" s="16" t="s">
        <v>35</v>
      </c>
      <c r="L41" s="16" t="s">
        <v>137</v>
      </c>
      <c r="M41" s="16" t="s">
        <v>137</v>
      </c>
      <c r="N41" s="16" t="s">
        <v>136</v>
      </c>
      <c r="O41" s="16" t="s">
        <v>18</v>
      </c>
      <c r="Q41" s="9">
        <v>8</v>
      </c>
      <c r="R41" s="9">
        <v>15</v>
      </c>
      <c r="S41" s="9">
        <v>15</v>
      </c>
      <c r="T41" s="9">
        <v>6</v>
      </c>
      <c r="U41" s="9">
        <v>4</v>
      </c>
      <c r="W41" s="25">
        <v>1</v>
      </c>
      <c r="X41" s="25">
        <v>1</v>
      </c>
      <c r="Y41" s="25">
        <v>1</v>
      </c>
      <c r="Z41" s="25">
        <v>1</v>
      </c>
      <c r="AA41" s="25">
        <v>1</v>
      </c>
      <c r="AC41" s="149" t="str">
        <v>G1</v>
      </c>
      <c r="AD41" s="105">
        <v>0</v>
      </c>
      <c r="AE41" s="105">
        <v>2</v>
      </c>
      <c r="AF41" s="105">
        <v>3</v>
      </c>
      <c r="AG41" s="105">
        <v>1</v>
      </c>
      <c r="AH41" s="105">
        <v>0</v>
      </c>
      <c r="AI41" s="5"/>
      <c r="AJ41" s="149" t="str">
        <v>G1</v>
      </c>
      <c r="AK41" s="105">
        <v>0</v>
      </c>
      <c r="AL41" s="105">
        <v>2</v>
      </c>
      <c r="AM41" s="105">
        <v>3</v>
      </c>
      <c r="AN41" s="105">
        <v>1</v>
      </c>
      <c r="AO41" s="105">
        <v>0</v>
      </c>
    </row>
    <row r="42" spans="1:41" ht="16.5" customHeight="1">
      <c r="A42" s="29" t="str">
        <v>G5</v>
      </c>
      <c r="B42" s="8" t="str">
        <v>Gold M5</v>
      </c>
      <c r="C42" s="143">
        <v>0</v>
      </c>
      <c r="D42" s="143">
        <v>3.5000000000000003E-2</v>
      </c>
      <c r="E42" s="143">
        <v>0.21</v>
      </c>
      <c r="F42" s="143">
        <v>4.4999999999999998E-2</v>
      </c>
      <c r="G42" s="143">
        <v>0</v>
      </c>
      <c r="H42" s="8">
        <v>15</v>
      </c>
      <c r="J42" s="25">
        <v>38</v>
      </c>
      <c r="K42" s="16" t="s">
        <v>19</v>
      </c>
      <c r="L42" s="16" t="s">
        <v>19</v>
      </c>
      <c r="M42" s="16" t="s">
        <v>97</v>
      </c>
      <c r="N42" s="16" t="s">
        <v>18</v>
      </c>
      <c r="O42" s="16" t="s">
        <v>34</v>
      </c>
      <c r="Q42" s="9">
        <v>5</v>
      </c>
      <c r="R42" s="9">
        <v>5</v>
      </c>
      <c r="S42" s="9">
        <v>19</v>
      </c>
      <c r="T42" s="9">
        <v>4</v>
      </c>
      <c r="U42" s="9">
        <v>9</v>
      </c>
      <c r="W42" s="25">
        <v>1</v>
      </c>
      <c r="X42" s="25">
        <v>1</v>
      </c>
      <c r="Y42" s="25">
        <v>1</v>
      </c>
      <c r="Z42" s="25">
        <v>1</v>
      </c>
      <c r="AA42" s="25">
        <v>1</v>
      </c>
      <c r="AC42" s="149" t="str">
        <v>G2</v>
      </c>
      <c r="AD42" s="105">
        <v>0</v>
      </c>
      <c r="AE42" s="105">
        <v>3</v>
      </c>
      <c r="AF42" s="105">
        <v>1</v>
      </c>
      <c r="AG42" s="105">
        <v>1</v>
      </c>
      <c r="AH42" s="105">
        <v>0</v>
      </c>
      <c r="AI42" s="5"/>
      <c r="AJ42" s="149" t="str">
        <v>G2</v>
      </c>
      <c r="AK42" s="105">
        <v>0</v>
      </c>
      <c r="AL42" s="105">
        <v>3</v>
      </c>
      <c r="AM42" s="105">
        <v>1</v>
      </c>
      <c r="AN42" s="105">
        <v>1</v>
      </c>
      <c r="AO42" s="105">
        <v>0</v>
      </c>
    </row>
    <row r="43" spans="1:41" ht="16.5" customHeight="1">
      <c r="A43" s="29" t="str">
        <v>GA</v>
      </c>
      <c r="B43" s="8" t="str">
        <v>Gold A</v>
      </c>
      <c r="C43" s="143">
        <v>0</v>
      </c>
      <c r="D43" s="143">
        <v>0.05</v>
      </c>
      <c r="E43" s="143">
        <v>0.21</v>
      </c>
      <c r="F43" s="143">
        <v>0.03</v>
      </c>
      <c r="G43" s="143">
        <v>0</v>
      </c>
      <c r="H43" s="8">
        <v>16</v>
      </c>
      <c r="J43" s="9">
        <v>39</v>
      </c>
      <c r="K43" s="16" t="s">
        <v>35</v>
      </c>
      <c r="L43" s="16" t="s">
        <v>136</v>
      </c>
      <c r="M43" s="16" t="s">
        <v>88</v>
      </c>
      <c r="N43" s="16" t="s">
        <v>136</v>
      </c>
      <c r="O43" s="16" t="s">
        <v>37</v>
      </c>
      <c r="Q43" s="9">
        <v>8</v>
      </c>
      <c r="R43" s="9">
        <v>6</v>
      </c>
      <c r="S43" s="9">
        <v>11</v>
      </c>
      <c r="T43" s="9">
        <v>6</v>
      </c>
      <c r="U43" s="9">
        <v>7</v>
      </c>
      <c r="W43" s="25">
        <v>1</v>
      </c>
      <c r="X43" s="25">
        <v>1</v>
      </c>
      <c r="Y43" s="25">
        <v>1</v>
      </c>
      <c r="Z43" s="25">
        <v>1</v>
      </c>
      <c r="AA43" s="25">
        <v>1</v>
      </c>
      <c r="AC43" s="149" t="str">
        <v>G3</v>
      </c>
      <c r="AD43" s="105">
        <v>0</v>
      </c>
      <c r="AE43" s="105">
        <v>3</v>
      </c>
      <c r="AF43" s="105">
        <v>8</v>
      </c>
      <c r="AG43" s="105">
        <v>2</v>
      </c>
      <c r="AH43" s="105">
        <v>0</v>
      </c>
      <c r="AI43" s="5"/>
      <c r="AJ43" s="149" t="str">
        <v>G3</v>
      </c>
      <c r="AK43" s="105">
        <v>0</v>
      </c>
      <c r="AL43" s="105">
        <v>3</v>
      </c>
      <c r="AM43" s="105">
        <v>8</v>
      </c>
      <c r="AN43" s="105">
        <v>2</v>
      </c>
      <c r="AO43" s="105">
        <v>0</v>
      </c>
    </row>
    <row r="44" spans="1:41" ht="16.5" customHeight="1">
      <c r="A44" s="29" t="str">
        <v>GK</v>
      </c>
      <c r="B44" s="8" t="str">
        <v>Gold K</v>
      </c>
      <c r="C44" s="143">
        <v>0</v>
      </c>
      <c r="D44" s="143">
        <v>3.5000000000000003E-2</v>
      </c>
      <c r="E44" s="143">
        <v>0.215</v>
      </c>
      <c r="F44" s="143">
        <v>0.03</v>
      </c>
      <c r="G44" s="143">
        <v>0</v>
      </c>
      <c r="H44" s="8">
        <v>17</v>
      </c>
      <c r="J44" s="25">
        <v>40</v>
      </c>
      <c r="K44" s="16" t="s">
        <v>136</v>
      </c>
      <c r="L44" s="16" t="s">
        <v>36</v>
      </c>
      <c r="M44" s="16" t="s">
        <v>91</v>
      </c>
      <c r="N44" s="16" t="s">
        <v>35</v>
      </c>
      <c r="O44" s="16" t="s">
        <v>34</v>
      </c>
      <c r="Q44" s="9">
        <v>6</v>
      </c>
      <c r="R44" s="9">
        <v>10</v>
      </c>
      <c r="S44" s="9">
        <v>14</v>
      </c>
      <c r="T44" s="9">
        <v>8</v>
      </c>
      <c r="U44" s="9">
        <v>9</v>
      </c>
      <c r="W44" s="25">
        <v>1</v>
      </c>
      <c r="X44" s="25">
        <v>1</v>
      </c>
      <c r="Y44" s="25">
        <v>1</v>
      </c>
      <c r="Z44" s="25">
        <v>1</v>
      </c>
      <c r="AA44" s="25">
        <v>1</v>
      </c>
      <c r="AC44" s="149" t="str">
        <v>G4</v>
      </c>
      <c r="AD44" s="105">
        <v>0</v>
      </c>
      <c r="AE44" s="105">
        <v>7</v>
      </c>
      <c r="AF44" s="105">
        <v>43</v>
      </c>
      <c r="AG44" s="105">
        <v>8</v>
      </c>
      <c r="AH44" s="105">
        <v>0</v>
      </c>
      <c r="AI44" s="5"/>
      <c r="AJ44" s="149" t="str">
        <v>G4</v>
      </c>
      <c r="AK44" s="105">
        <v>0</v>
      </c>
      <c r="AL44" s="105">
        <v>7</v>
      </c>
      <c r="AM44" s="105">
        <v>43</v>
      </c>
      <c r="AN44" s="105">
        <v>8</v>
      </c>
      <c r="AO44" s="105">
        <v>0</v>
      </c>
    </row>
    <row r="45" spans="1:41" ht="16.5" customHeight="1">
      <c r="A45" s="29" t="str">
        <v>GQ</v>
      </c>
      <c r="B45" s="8" t="str">
        <v>Gold Q</v>
      </c>
      <c r="C45" s="143">
        <v>0</v>
      </c>
      <c r="D45" s="143">
        <v>1.4999999999999999E-2</v>
      </c>
      <c r="E45" s="143">
        <v>0.03</v>
      </c>
      <c r="F45" s="143">
        <v>5.0000000000000001E-3</v>
      </c>
      <c r="G45" s="143">
        <v>0</v>
      </c>
      <c r="H45" s="8">
        <v>18</v>
      </c>
      <c r="J45" s="9">
        <v>41</v>
      </c>
      <c r="K45" s="16" t="s">
        <v>37</v>
      </c>
      <c r="L45" s="16" t="s">
        <v>22</v>
      </c>
      <c r="M45" s="16" t="s">
        <v>92</v>
      </c>
      <c r="N45" s="16" t="s">
        <v>19</v>
      </c>
      <c r="O45" s="16" t="s">
        <v>19</v>
      </c>
      <c r="Q45" s="9">
        <v>7</v>
      </c>
      <c r="R45" s="9">
        <v>3</v>
      </c>
      <c r="S45" s="9">
        <v>16</v>
      </c>
      <c r="T45" s="9">
        <v>5</v>
      </c>
      <c r="U45" s="9">
        <v>5</v>
      </c>
      <c r="W45" s="25">
        <v>1</v>
      </c>
      <c r="X45" s="25">
        <v>1</v>
      </c>
      <c r="Y45" s="25">
        <v>1</v>
      </c>
      <c r="Z45" s="25">
        <v>1</v>
      </c>
      <c r="AA45" s="25">
        <v>1</v>
      </c>
      <c r="AC45" s="149" t="str">
        <v>G5</v>
      </c>
      <c r="AD45" s="105">
        <v>0</v>
      </c>
      <c r="AE45" s="105">
        <v>7</v>
      </c>
      <c r="AF45" s="105">
        <v>42</v>
      </c>
      <c r="AG45" s="105">
        <v>9</v>
      </c>
      <c r="AH45" s="105">
        <v>0</v>
      </c>
      <c r="AI45" s="5"/>
      <c r="AJ45" s="149" t="str">
        <v>G5</v>
      </c>
      <c r="AK45" s="105">
        <v>0</v>
      </c>
      <c r="AL45" s="105">
        <v>7</v>
      </c>
      <c r="AM45" s="105">
        <v>42</v>
      </c>
      <c r="AN45" s="105">
        <v>9</v>
      </c>
      <c r="AO45" s="105">
        <v>0</v>
      </c>
    </row>
    <row r="46" spans="1:41" ht="16.5" customHeight="1">
      <c r="A46" s="29" t="str">
        <v>GJ</v>
      </c>
      <c r="B46" s="8" t="str">
        <v>Gold J</v>
      </c>
      <c r="C46" s="143">
        <v>0</v>
      </c>
      <c r="D46" s="143">
        <v>0.01</v>
      </c>
      <c r="E46" s="143">
        <v>4.4999999999999998E-2</v>
      </c>
      <c r="F46" s="143">
        <v>0.01</v>
      </c>
      <c r="G46" s="143">
        <v>0</v>
      </c>
      <c r="H46" s="8">
        <v>19</v>
      </c>
      <c r="J46" s="25">
        <v>42</v>
      </c>
      <c r="K46" s="16" t="s">
        <v>19</v>
      </c>
      <c r="L46" s="16" t="s">
        <v>37</v>
      </c>
      <c r="M46" s="16" t="s">
        <v>119</v>
      </c>
      <c r="N46" s="16" t="s">
        <v>136</v>
      </c>
      <c r="O46" s="16" t="s">
        <v>35</v>
      </c>
      <c r="Q46" s="9">
        <v>5</v>
      </c>
      <c r="R46" s="9">
        <v>7</v>
      </c>
      <c r="S46" s="9">
        <v>17</v>
      </c>
      <c r="T46" s="9">
        <v>6</v>
      </c>
      <c r="U46" s="9">
        <v>8</v>
      </c>
      <c r="W46" s="25">
        <v>1</v>
      </c>
      <c r="X46" s="25">
        <v>1</v>
      </c>
      <c r="Y46" s="25">
        <v>1</v>
      </c>
      <c r="Z46" s="25">
        <v>1</v>
      </c>
      <c r="AA46" s="25">
        <v>1</v>
      </c>
      <c r="AC46" s="149" t="str">
        <v>GA</v>
      </c>
      <c r="AD46" s="105">
        <v>0</v>
      </c>
      <c r="AE46" s="105">
        <v>10</v>
      </c>
      <c r="AF46" s="105">
        <v>42</v>
      </c>
      <c r="AG46" s="105">
        <v>6</v>
      </c>
      <c r="AH46" s="105">
        <v>0</v>
      </c>
      <c r="AI46" s="5"/>
      <c r="AJ46" s="149" t="str">
        <v>GA</v>
      </c>
      <c r="AK46" s="105">
        <v>0</v>
      </c>
      <c r="AL46" s="105">
        <v>10</v>
      </c>
      <c r="AM46" s="105">
        <v>42</v>
      </c>
      <c r="AN46" s="105">
        <v>6</v>
      </c>
      <c r="AO46" s="105">
        <v>0</v>
      </c>
    </row>
    <row r="47" spans="1:41" ht="16.5" customHeight="1">
      <c r="J47" s="9">
        <v>43</v>
      </c>
      <c r="K47" s="16" t="s">
        <v>35</v>
      </c>
      <c r="L47" s="16" t="s">
        <v>36</v>
      </c>
      <c r="M47" s="16" t="s">
        <v>92</v>
      </c>
      <c r="N47" s="16" t="s">
        <v>36</v>
      </c>
      <c r="O47" s="16" t="s">
        <v>19</v>
      </c>
      <c r="Q47" s="9">
        <v>8</v>
      </c>
      <c r="R47" s="9">
        <v>10</v>
      </c>
      <c r="S47" s="9">
        <v>16</v>
      </c>
      <c r="T47" s="9">
        <v>10</v>
      </c>
      <c r="U47" s="9">
        <v>5</v>
      </c>
      <c r="W47" s="25">
        <v>1</v>
      </c>
      <c r="X47" s="25">
        <v>1</v>
      </c>
      <c r="Y47" s="25">
        <v>1</v>
      </c>
      <c r="Z47" s="25">
        <v>1</v>
      </c>
      <c r="AA47" s="25">
        <v>1</v>
      </c>
      <c r="AC47" s="149" t="str">
        <v>GK</v>
      </c>
      <c r="AD47" s="105">
        <v>0</v>
      </c>
      <c r="AE47" s="105">
        <v>7</v>
      </c>
      <c r="AF47" s="105">
        <v>43</v>
      </c>
      <c r="AG47" s="105">
        <v>6</v>
      </c>
      <c r="AH47" s="105">
        <v>0</v>
      </c>
      <c r="AI47" s="5"/>
      <c r="AJ47" s="149" t="str">
        <v>GK</v>
      </c>
      <c r="AK47" s="105">
        <v>0</v>
      </c>
      <c r="AL47" s="105">
        <v>7</v>
      </c>
      <c r="AM47" s="105">
        <v>43</v>
      </c>
      <c r="AN47" s="105">
        <v>6</v>
      </c>
      <c r="AO47" s="105">
        <v>0</v>
      </c>
    </row>
    <row r="48" spans="1:41" ht="16.5" customHeight="1">
      <c r="J48" s="25">
        <v>44</v>
      </c>
      <c r="K48" s="16" t="s">
        <v>37</v>
      </c>
      <c r="L48" s="16" t="s">
        <v>136</v>
      </c>
      <c r="M48" s="16" t="s">
        <v>137</v>
      </c>
      <c r="N48" s="16" t="s">
        <v>35</v>
      </c>
      <c r="O48" s="16" t="s">
        <v>35</v>
      </c>
      <c r="Q48" s="9">
        <v>7</v>
      </c>
      <c r="R48" s="9">
        <v>6</v>
      </c>
      <c r="S48" s="9">
        <v>15</v>
      </c>
      <c r="T48" s="9">
        <v>8</v>
      </c>
      <c r="U48" s="9">
        <v>8</v>
      </c>
      <c r="W48" s="25">
        <v>1</v>
      </c>
      <c r="X48" s="25">
        <v>1</v>
      </c>
      <c r="Y48" s="25">
        <v>1</v>
      </c>
      <c r="Z48" s="25">
        <v>1</v>
      </c>
      <c r="AA48" s="25">
        <v>1</v>
      </c>
      <c r="AC48" s="149" t="str">
        <v>GQ</v>
      </c>
      <c r="AD48" s="105">
        <v>0</v>
      </c>
      <c r="AE48" s="105">
        <v>3</v>
      </c>
      <c r="AF48" s="105">
        <v>6</v>
      </c>
      <c r="AG48" s="105">
        <v>1</v>
      </c>
      <c r="AH48" s="105">
        <v>0</v>
      </c>
      <c r="AI48" s="5"/>
      <c r="AJ48" s="149" t="str">
        <v>GQ</v>
      </c>
      <c r="AK48" s="105">
        <v>0</v>
      </c>
      <c r="AL48" s="105">
        <v>3</v>
      </c>
      <c r="AM48" s="105">
        <v>6</v>
      </c>
      <c r="AN48" s="105">
        <v>1</v>
      </c>
      <c r="AO48" s="105">
        <v>0</v>
      </c>
    </row>
    <row r="49" spans="10:41" ht="16.5" customHeight="1">
      <c r="J49" s="9">
        <v>45</v>
      </c>
      <c r="K49" s="16" t="s">
        <v>136</v>
      </c>
      <c r="L49" s="16" t="s">
        <v>19</v>
      </c>
      <c r="M49" s="16" t="s">
        <v>91</v>
      </c>
      <c r="N49" s="16" t="s">
        <v>136</v>
      </c>
      <c r="O49" s="16" t="s">
        <v>36</v>
      </c>
      <c r="Q49" s="9">
        <v>6</v>
      </c>
      <c r="R49" s="9">
        <v>5</v>
      </c>
      <c r="S49" s="9">
        <v>14</v>
      </c>
      <c r="T49" s="9">
        <v>6</v>
      </c>
      <c r="U49" s="9">
        <v>10</v>
      </c>
      <c r="W49" s="25">
        <v>1</v>
      </c>
      <c r="X49" s="25">
        <v>1</v>
      </c>
      <c r="Y49" s="25">
        <v>1</v>
      </c>
      <c r="Z49" s="25">
        <v>1</v>
      </c>
      <c r="AA49" s="25">
        <v>1</v>
      </c>
      <c r="AC49" s="149" t="str">
        <v>GJ</v>
      </c>
      <c r="AD49" s="105">
        <v>0</v>
      </c>
      <c r="AE49" s="105">
        <v>2</v>
      </c>
      <c r="AF49" s="105">
        <v>9</v>
      </c>
      <c r="AG49" s="105">
        <v>2</v>
      </c>
      <c r="AH49" s="105">
        <v>0</v>
      </c>
      <c r="AI49" s="5"/>
      <c r="AJ49" s="149" t="str">
        <v>GJ</v>
      </c>
      <c r="AK49" s="105">
        <v>0</v>
      </c>
      <c r="AL49" s="105">
        <v>2</v>
      </c>
      <c r="AM49" s="105">
        <v>9</v>
      </c>
      <c r="AN49" s="105">
        <v>2</v>
      </c>
      <c r="AO49" s="105">
        <v>0</v>
      </c>
    </row>
    <row r="50" spans="10:41" ht="16.5" customHeight="1">
      <c r="J50" s="25">
        <v>46</v>
      </c>
      <c r="K50" s="16" t="s">
        <v>35</v>
      </c>
      <c r="L50" s="16" t="s">
        <v>34</v>
      </c>
      <c r="M50" s="16" t="s">
        <v>97</v>
      </c>
      <c r="N50" s="16" t="s">
        <v>92</v>
      </c>
      <c r="O50" s="16" t="s">
        <v>19</v>
      </c>
      <c r="Q50" s="9">
        <v>8</v>
      </c>
      <c r="R50" s="9">
        <v>9</v>
      </c>
      <c r="S50" s="9">
        <v>19</v>
      </c>
      <c r="T50" s="9">
        <v>16</v>
      </c>
      <c r="U50" s="9">
        <v>5</v>
      </c>
      <c r="W50" s="25">
        <v>1</v>
      </c>
      <c r="X50" s="25">
        <v>1</v>
      </c>
      <c r="Y50" s="25">
        <v>1</v>
      </c>
      <c r="Z50" s="25">
        <v>1</v>
      </c>
      <c r="AA50" s="25">
        <v>1</v>
      </c>
      <c r="AD50" s="119">
        <f>SUM(AD30:AD49)</f>
        <v>198</v>
      </c>
      <c r="AE50" s="119">
        <f>SUM(AE30:AE49)</f>
        <v>198</v>
      </c>
      <c r="AF50" s="119">
        <f>SUM(AF30:AF49)</f>
        <v>198</v>
      </c>
      <c r="AG50" s="119">
        <f>SUM(AG30:AG49)</f>
        <v>196</v>
      </c>
      <c r="AH50" s="119">
        <f>SUM(AH30:AH49)</f>
        <v>196</v>
      </c>
      <c r="AI50" s="5"/>
      <c r="AK50" s="119">
        <f>SUM(AK30:AK49)</f>
        <v>198</v>
      </c>
      <c r="AL50" s="119">
        <f>SUM(AL30:AL49)</f>
        <v>198</v>
      </c>
      <c r="AM50" s="119">
        <f>SUM(AM30:AM49)</f>
        <v>198</v>
      </c>
      <c r="AN50" s="119">
        <f>SUM(AN30:AN49)</f>
        <v>196</v>
      </c>
      <c r="AO50" s="119">
        <f>SUM(AO30:AO49)</f>
        <v>196</v>
      </c>
    </row>
    <row r="51" spans="10:41" ht="16.5" customHeight="1">
      <c r="J51" s="9">
        <v>47</v>
      </c>
      <c r="K51" s="16" t="s">
        <v>19</v>
      </c>
      <c r="L51" s="16" t="s">
        <v>136</v>
      </c>
      <c r="M51" s="16" t="s">
        <v>92</v>
      </c>
      <c r="N51" s="16" t="s">
        <v>35</v>
      </c>
      <c r="O51" s="16" t="s">
        <v>136</v>
      </c>
      <c r="Q51" s="9">
        <v>5</v>
      </c>
      <c r="R51" s="9">
        <v>6</v>
      </c>
      <c r="S51" s="9">
        <v>16</v>
      </c>
      <c r="T51" s="9">
        <v>8</v>
      </c>
      <c r="U51" s="9">
        <v>6</v>
      </c>
      <c r="W51" s="25">
        <v>1</v>
      </c>
      <c r="X51" s="25">
        <v>1</v>
      </c>
      <c r="Y51" s="25">
        <v>1</v>
      </c>
      <c r="Z51" s="25">
        <v>1</v>
      </c>
      <c r="AA51" s="25">
        <v>1</v>
      </c>
      <c r="AH51" s="5"/>
      <c r="AI51" s="5"/>
      <c r="AO51" s="5"/>
    </row>
    <row r="52" spans="10:41" ht="16.5" customHeight="1">
      <c r="J52" s="25">
        <v>48</v>
      </c>
      <c r="K52" s="16" t="s">
        <v>36</v>
      </c>
      <c r="L52" s="16" t="s">
        <v>22</v>
      </c>
      <c r="M52" s="16" t="s">
        <v>119</v>
      </c>
      <c r="N52" s="16" t="s">
        <v>91</v>
      </c>
      <c r="O52" s="16" t="s">
        <v>18</v>
      </c>
      <c r="Q52" s="9">
        <v>10</v>
      </c>
      <c r="R52" s="9">
        <v>3</v>
      </c>
      <c r="S52" s="9">
        <v>17</v>
      </c>
      <c r="T52" s="9">
        <v>14</v>
      </c>
      <c r="U52" s="9">
        <v>4</v>
      </c>
      <c r="W52" s="25">
        <v>1</v>
      </c>
      <c r="X52" s="25">
        <v>1</v>
      </c>
      <c r="Y52" s="25">
        <v>1</v>
      </c>
      <c r="Z52" s="25">
        <v>1</v>
      </c>
      <c r="AA52" s="25">
        <v>1</v>
      </c>
      <c r="AC52" s="27" t="s">
        <v>141</v>
      </c>
      <c r="AH52" s="5"/>
      <c r="AI52" s="5"/>
      <c r="AJ52" s="27" t="s">
        <v>141</v>
      </c>
      <c r="AO52" s="5"/>
    </row>
    <row r="53" spans="10:41" ht="16.5" customHeight="1">
      <c r="J53" s="9">
        <v>49</v>
      </c>
      <c r="K53" s="16" t="s">
        <v>35</v>
      </c>
      <c r="L53" s="16" t="s">
        <v>37</v>
      </c>
      <c r="M53" s="16" t="s">
        <v>137</v>
      </c>
      <c r="N53" s="16" t="s">
        <v>137</v>
      </c>
      <c r="O53" s="16" t="s">
        <v>37</v>
      </c>
      <c r="Q53" s="9">
        <v>8</v>
      </c>
      <c r="R53" s="9">
        <v>7</v>
      </c>
      <c r="S53" s="9">
        <v>15</v>
      </c>
      <c r="T53" s="9">
        <v>15</v>
      </c>
      <c r="U53" s="9">
        <v>7</v>
      </c>
      <c r="W53" s="25">
        <v>1</v>
      </c>
      <c r="X53" s="25">
        <v>1</v>
      </c>
      <c r="Y53" s="25">
        <v>1</v>
      </c>
      <c r="Z53" s="25">
        <v>1</v>
      </c>
      <c r="AA53" s="25">
        <v>1</v>
      </c>
      <c r="AC53" s="146" t="s">
        <v>42</v>
      </c>
      <c r="AD53" s="146" t="s">
        <v>13</v>
      </c>
      <c r="AE53" s="146" t="s">
        <v>14</v>
      </c>
      <c r="AF53" s="146" t="s">
        <v>15</v>
      </c>
      <c r="AG53" s="146" t="s">
        <v>16</v>
      </c>
      <c r="AH53" s="146" t="s">
        <v>17</v>
      </c>
      <c r="AI53" s="5"/>
      <c r="AJ53" s="146" t="s">
        <v>42</v>
      </c>
      <c r="AK53" s="146" t="s">
        <v>13</v>
      </c>
      <c r="AL53" s="146" t="s">
        <v>14</v>
      </c>
      <c r="AM53" s="146" t="s">
        <v>15</v>
      </c>
      <c r="AN53" s="146" t="s">
        <v>16</v>
      </c>
      <c r="AO53" s="146" t="s">
        <v>17</v>
      </c>
    </row>
    <row r="54" spans="10:41" ht="16.5" customHeight="1">
      <c r="J54" s="25">
        <v>50</v>
      </c>
      <c r="K54" s="16" t="s">
        <v>34</v>
      </c>
      <c r="L54" s="16" t="s">
        <v>137</v>
      </c>
      <c r="M54" s="16" t="s">
        <v>90</v>
      </c>
      <c r="N54" s="16" t="s">
        <v>119</v>
      </c>
      <c r="O54" s="16" t="s">
        <v>21</v>
      </c>
      <c r="Q54" s="9">
        <v>9</v>
      </c>
      <c r="R54" s="9">
        <v>15</v>
      </c>
      <c r="S54" s="9">
        <v>13</v>
      </c>
      <c r="T54" s="9">
        <v>17</v>
      </c>
      <c r="U54" s="9">
        <v>2</v>
      </c>
      <c r="W54" s="25">
        <v>1</v>
      </c>
      <c r="X54" s="25">
        <v>1</v>
      </c>
      <c r="Y54" s="25">
        <v>1</v>
      </c>
      <c r="Z54" s="25">
        <v>1</v>
      </c>
      <c r="AA54" s="25">
        <v>1</v>
      </c>
      <c r="AC54" s="149" t="str" cm="1">
        <f t="array" ref="AC54:AC73">$A$4:$A$23</f>
        <v>WW</v>
      </c>
      <c r="AD54" s="150">
        <v>0</v>
      </c>
      <c r="AE54" s="150">
        <v>0</v>
      </c>
      <c r="AF54" s="150">
        <v>0</v>
      </c>
      <c r="AG54" s="150">
        <v>0</v>
      </c>
      <c r="AH54" s="150">
        <v>0</v>
      </c>
      <c r="AI54" s="5"/>
      <c r="AJ54" s="149" t="str" cm="1">
        <f t="array" ref="AJ54:AJ73">$A$4:$A$23</f>
        <v>WW</v>
      </c>
      <c r="AK54" s="150">
        <v>0</v>
      </c>
      <c r="AL54" s="150">
        <v>0</v>
      </c>
      <c r="AM54" s="150">
        <v>0</v>
      </c>
      <c r="AN54" s="150">
        <v>0</v>
      </c>
      <c r="AO54" s="150">
        <v>0</v>
      </c>
    </row>
    <row r="55" spans="10:41" ht="16.5" customHeight="1">
      <c r="J55" s="9">
        <v>51</v>
      </c>
      <c r="K55" s="16" t="s">
        <v>19</v>
      </c>
      <c r="L55" s="16" t="s">
        <v>22</v>
      </c>
      <c r="M55" s="16" t="s">
        <v>91</v>
      </c>
      <c r="N55" s="16" t="s">
        <v>136</v>
      </c>
      <c r="O55" s="16" t="s">
        <v>136</v>
      </c>
      <c r="Q55" s="9">
        <v>5</v>
      </c>
      <c r="R55" s="9">
        <v>3</v>
      </c>
      <c r="S55" s="9">
        <v>14</v>
      </c>
      <c r="T55" s="9">
        <v>6</v>
      </c>
      <c r="U55" s="9">
        <v>6</v>
      </c>
      <c r="W55" s="25">
        <v>1</v>
      </c>
      <c r="X55" s="25">
        <v>1</v>
      </c>
      <c r="Y55" s="25">
        <v>1</v>
      </c>
      <c r="Z55" s="25">
        <v>1</v>
      </c>
      <c r="AA55" s="25">
        <v>1</v>
      </c>
      <c r="AC55" s="149" t="str">
        <v>C1</v>
      </c>
      <c r="AD55" s="149">
        <v>1</v>
      </c>
      <c r="AE55" s="149">
        <v>1</v>
      </c>
      <c r="AF55" s="149">
        <v>1</v>
      </c>
      <c r="AG55" s="149">
        <v>1</v>
      </c>
      <c r="AH55" s="149">
        <v>1</v>
      </c>
      <c r="AI55" s="5"/>
      <c r="AJ55" s="149" t="str">
        <v>C1</v>
      </c>
      <c r="AK55" s="149">
        <v>1</v>
      </c>
      <c r="AL55" s="149">
        <v>1</v>
      </c>
      <c r="AM55" s="149">
        <v>1</v>
      </c>
      <c r="AN55" s="149">
        <v>1</v>
      </c>
      <c r="AO55" s="149">
        <v>1</v>
      </c>
    </row>
    <row r="56" spans="10:41" ht="16.5" customHeight="1">
      <c r="J56" s="25">
        <v>52</v>
      </c>
      <c r="K56" s="16" t="s">
        <v>35</v>
      </c>
      <c r="L56" s="16" t="s">
        <v>19</v>
      </c>
      <c r="M56" s="16" t="s">
        <v>90</v>
      </c>
      <c r="N56" s="16" t="s">
        <v>35</v>
      </c>
      <c r="O56" s="16" t="s">
        <v>37</v>
      </c>
      <c r="Q56" s="9">
        <v>8</v>
      </c>
      <c r="R56" s="9">
        <v>5</v>
      </c>
      <c r="S56" s="9">
        <v>13</v>
      </c>
      <c r="T56" s="9">
        <v>8</v>
      </c>
      <c r="U56" s="9">
        <v>7</v>
      </c>
      <c r="W56" s="25">
        <v>1</v>
      </c>
      <c r="X56" s="25">
        <v>1</v>
      </c>
      <c r="Y56" s="25">
        <v>1</v>
      </c>
      <c r="Z56" s="25">
        <v>1</v>
      </c>
      <c r="AA56" s="25">
        <v>1</v>
      </c>
      <c r="AC56" s="166" t="str">
        <v>M1</v>
      </c>
      <c r="AD56" s="144">
        <v>3</v>
      </c>
      <c r="AE56" s="144">
        <v>10</v>
      </c>
      <c r="AF56" s="144">
        <v>0</v>
      </c>
      <c r="AG56" s="144">
        <v>3</v>
      </c>
      <c r="AH56" s="144">
        <v>9</v>
      </c>
      <c r="AI56" s="5"/>
      <c r="AJ56" s="166" t="str">
        <v>M1</v>
      </c>
      <c r="AK56" s="144">
        <v>3</v>
      </c>
      <c r="AL56" s="144">
        <v>10</v>
      </c>
      <c r="AM56" s="144">
        <v>0</v>
      </c>
      <c r="AN56" s="144">
        <v>3</v>
      </c>
      <c r="AO56" s="144">
        <v>9</v>
      </c>
    </row>
    <row r="57" spans="10:41" ht="16.5" customHeight="1">
      <c r="J57" s="9">
        <v>53</v>
      </c>
      <c r="K57" s="16" t="s">
        <v>21</v>
      </c>
      <c r="L57" s="16" t="s">
        <v>88</v>
      </c>
      <c r="M57" s="16" t="s">
        <v>119</v>
      </c>
      <c r="N57" s="16" t="s">
        <v>92</v>
      </c>
      <c r="O57" s="16" t="s">
        <v>19</v>
      </c>
      <c r="Q57" s="9">
        <v>2</v>
      </c>
      <c r="R57" s="9">
        <v>11</v>
      </c>
      <c r="S57" s="9">
        <v>17</v>
      </c>
      <c r="T57" s="9">
        <v>16</v>
      </c>
      <c r="U57" s="9">
        <v>5</v>
      </c>
      <c r="W57" s="25">
        <v>1</v>
      </c>
      <c r="X57" s="25">
        <v>1</v>
      </c>
      <c r="Y57" s="25">
        <v>1</v>
      </c>
      <c r="Z57" s="25">
        <v>1</v>
      </c>
      <c r="AA57" s="25">
        <v>1</v>
      </c>
      <c r="AC57" s="166" t="str">
        <v>M2</v>
      </c>
      <c r="AD57" s="144">
        <v>3</v>
      </c>
      <c r="AE57" s="144">
        <v>12</v>
      </c>
      <c r="AF57" s="144">
        <v>0</v>
      </c>
      <c r="AG57" s="144">
        <v>3</v>
      </c>
      <c r="AH57" s="144">
        <v>8</v>
      </c>
      <c r="AI57" s="5"/>
      <c r="AJ57" s="166" t="str">
        <v>M2</v>
      </c>
      <c r="AK57" s="144">
        <v>3</v>
      </c>
      <c r="AL57" s="144">
        <v>12</v>
      </c>
      <c r="AM57" s="144">
        <v>0</v>
      </c>
      <c r="AN57" s="144">
        <v>3</v>
      </c>
      <c r="AO57" s="144">
        <v>8</v>
      </c>
    </row>
    <row r="58" spans="10:41" ht="16.5" customHeight="1">
      <c r="J58" s="25">
        <v>54</v>
      </c>
      <c r="K58" s="16" t="s">
        <v>35</v>
      </c>
      <c r="L58" s="16" t="s">
        <v>20</v>
      </c>
      <c r="M58" s="16" t="s">
        <v>91</v>
      </c>
      <c r="N58" s="16" t="s">
        <v>119</v>
      </c>
      <c r="O58" s="16" t="s">
        <v>35</v>
      </c>
      <c r="Q58" s="9">
        <v>8</v>
      </c>
      <c r="R58" s="9">
        <v>1</v>
      </c>
      <c r="S58" s="9">
        <v>14</v>
      </c>
      <c r="T58" s="9">
        <v>17</v>
      </c>
      <c r="U58" s="9">
        <v>8</v>
      </c>
      <c r="W58" s="25">
        <v>1</v>
      </c>
      <c r="X58" s="25">
        <v>1</v>
      </c>
      <c r="Y58" s="25">
        <v>1</v>
      </c>
      <c r="Z58" s="25">
        <v>1</v>
      </c>
      <c r="AA58" s="25">
        <v>1</v>
      </c>
      <c r="AC58" s="166" t="str">
        <v>M3</v>
      </c>
      <c r="AD58" s="144">
        <v>7</v>
      </c>
      <c r="AE58" s="144">
        <v>13</v>
      </c>
      <c r="AF58" s="144">
        <v>0</v>
      </c>
      <c r="AG58" s="144">
        <v>7</v>
      </c>
      <c r="AH58" s="144">
        <v>14</v>
      </c>
      <c r="AI58" s="5"/>
      <c r="AJ58" s="166" t="str">
        <v>M3</v>
      </c>
      <c r="AK58" s="144">
        <v>7</v>
      </c>
      <c r="AL58" s="144">
        <v>13</v>
      </c>
      <c r="AM58" s="144">
        <v>0</v>
      </c>
      <c r="AN58" s="144">
        <v>7</v>
      </c>
      <c r="AO58" s="144">
        <v>14</v>
      </c>
    </row>
    <row r="59" spans="10:41" ht="16.5" customHeight="1">
      <c r="J59" s="9">
        <v>55</v>
      </c>
      <c r="K59" s="16" t="s">
        <v>136</v>
      </c>
      <c r="L59" s="16" t="s">
        <v>92</v>
      </c>
      <c r="M59" s="16" t="s">
        <v>137</v>
      </c>
      <c r="N59" s="16" t="s">
        <v>35</v>
      </c>
      <c r="O59" s="16" t="s">
        <v>34</v>
      </c>
      <c r="Q59" s="9">
        <v>6</v>
      </c>
      <c r="R59" s="9">
        <v>16</v>
      </c>
      <c r="S59" s="9">
        <v>15</v>
      </c>
      <c r="T59" s="9">
        <v>8</v>
      </c>
      <c r="U59" s="9">
        <v>9</v>
      </c>
      <c r="W59" s="25">
        <v>1</v>
      </c>
      <c r="X59" s="25">
        <v>1</v>
      </c>
      <c r="Y59" s="25">
        <v>1</v>
      </c>
      <c r="Z59" s="25">
        <v>1</v>
      </c>
      <c r="AA59" s="25">
        <v>1</v>
      </c>
      <c r="AC59" s="166" t="str">
        <v>M4</v>
      </c>
      <c r="AD59" s="144">
        <v>43</v>
      </c>
      <c r="AE59" s="144">
        <v>23</v>
      </c>
      <c r="AF59" s="144">
        <v>0</v>
      </c>
      <c r="AG59" s="144">
        <v>33</v>
      </c>
      <c r="AH59" s="144">
        <v>35</v>
      </c>
      <c r="AI59" s="5"/>
      <c r="AJ59" s="166" t="str">
        <v>M4</v>
      </c>
      <c r="AK59" s="144">
        <v>43</v>
      </c>
      <c r="AL59" s="144">
        <v>23</v>
      </c>
      <c r="AM59" s="144">
        <v>0</v>
      </c>
      <c r="AN59" s="144">
        <v>33</v>
      </c>
      <c r="AO59" s="144">
        <v>35</v>
      </c>
    </row>
    <row r="60" spans="10:41" ht="16.5" customHeight="1">
      <c r="J60" s="25">
        <v>56</v>
      </c>
      <c r="K60" s="16" t="s">
        <v>18</v>
      </c>
      <c r="L60" s="16" t="s">
        <v>19</v>
      </c>
      <c r="M60" s="16" t="s">
        <v>119</v>
      </c>
      <c r="N60" s="16" t="s">
        <v>136</v>
      </c>
      <c r="O60" s="16" t="s">
        <v>35</v>
      </c>
      <c r="Q60" s="9">
        <v>4</v>
      </c>
      <c r="R60" s="9">
        <v>5</v>
      </c>
      <c r="S60" s="9">
        <v>17</v>
      </c>
      <c r="T60" s="9">
        <v>6</v>
      </c>
      <c r="U60" s="9">
        <v>8</v>
      </c>
      <c r="W60" s="25">
        <v>1</v>
      </c>
      <c r="X60" s="25">
        <v>1</v>
      </c>
      <c r="Y60" s="25">
        <v>1</v>
      </c>
      <c r="Z60" s="25">
        <v>1</v>
      </c>
      <c r="AA60" s="25">
        <v>1</v>
      </c>
      <c r="AC60" s="166" t="str">
        <v>M5</v>
      </c>
      <c r="AD60" s="144">
        <v>42</v>
      </c>
      <c r="AE60" s="144">
        <v>23</v>
      </c>
      <c r="AF60" s="144">
        <v>0</v>
      </c>
      <c r="AG60" s="144">
        <v>33</v>
      </c>
      <c r="AH60" s="144">
        <v>34</v>
      </c>
      <c r="AI60" s="5"/>
      <c r="AJ60" s="166" t="str">
        <v>M5</v>
      </c>
      <c r="AK60" s="144">
        <v>42</v>
      </c>
      <c r="AL60" s="144">
        <v>23</v>
      </c>
      <c r="AM60" s="144">
        <v>0</v>
      </c>
      <c r="AN60" s="144">
        <v>33</v>
      </c>
      <c r="AO60" s="144">
        <v>34</v>
      </c>
    </row>
    <row r="61" spans="10:41">
      <c r="J61" s="9">
        <v>57</v>
      </c>
      <c r="K61" s="16" t="s">
        <v>35</v>
      </c>
      <c r="L61" s="16" t="s">
        <v>136</v>
      </c>
      <c r="M61" s="16" t="s">
        <v>137</v>
      </c>
      <c r="N61" s="16" t="s">
        <v>21</v>
      </c>
      <c r="O61" s="16" t="s">
        <v>18</v>
      </c>
      <c r="Q61" s="9">
        <v>8</v>
      </c>
      <c r="R61" s="9">
        <v>6</v>
      </c>
      <c r="S61" s="9">
        <v>15</v>
      </c>
      <c r="T61" s="9">
        <v>2</v>
      </c>
      <c r="U61" s="9">
        <v>4</v>
      </c>
      <c r="W61" s="25">
        <v>1</v>
      </c>
      <c r="X61" s="25">
        <v>1</v>
      </c>
      <c r="Y61" s="25">
        <v>1</v>
      </c>
      <c r="Z61" s="25">
        <v>1</v>
      </c>
      <c r="AA61" s="25">
        <v>1</v>
      </c>
      <c r="AC61" s="166" t="str">
        <v>A</v>
      </c>
      <c r="AD61" s="144">
        <v>43</v>
      </c>
      <c r="AE61" s="144">
        <v>27</v>
      </c>
      <c r="AF61" s="144">
        <v>0</v>
      </c>
      <c r="AG61" s="144">
        <v>33</v>
      </c>
      <c r="AH61" s="144">
        <v>34</v>
      </c>
      <c r="AI61" s="5"/>
      <c r="AJ61" s="166" t="str">
        <v>A</v>
      </c>
      <c r="AK61" s="144">
        <v>43</v>
      </c>
      <c r="AL61" s="144">
        <v>27</v>
      </c>
      <c r="AM61" s="144">
        <v>0</v>
      </c>
      <c r="AN61" s="144">
        <v>33</v>
      </c>
      <c r="AO61" s="144">
        <v>34</v>
      </c>
    </row>
    <row r="62" spans="10:41">
      <c r="J62" s="25">
        <v>58</v>
      </c>
      <c r="K62" s="16" t="s">
        <v>136</v>
      </c>
      <c r="L62" s="16" t="s">
        <v>91</v>
      </c>
      <c r="M62" s="16" t="s">
        <v>92</v>
      </c>
      <c r="N62" s="16" t="s">
        <v>91</v>
      </c>
      <c r="O62" s="16" t="s">
        <v>36</v>
      </c>
      <c r="Q62" s="9">
        <v>6</v>
      </c>
      <c r="R62" s="9">
        <v>14</v>
      </c>
      <c r="S62" s="9">
        <v>16</v>
      </c>
      <c r="T62" s="9">
        <v>14</v>
      </c>
      <c r="U62" s="9">
        <v>10</v>
      </c>
      <c r="W62" s="25">
        <v>1</v>
      </c>
      <c r="X62" s="25">
        <v>1</v>
      </c>
      <c r="Y62" s="25">
        <v>1</v>
      </c>
      <c r="Z62" s="25">
        <v>1</v>
      </c>
      <c r="AA62" s="25">
        <v>1</v>
      </c>
      <c r="AC62" s="166" t="str">
        <v>K</v>
      </c>
      <c r="AD62" s="144">
        <v>43</v>
      </c>
      <c r="AE62" s="144">
        <v>25</v>
      </c>
      <c r="AF62" s="144">
        <v>0</v>
      </c>
      <c r="AG62" s="144">
        <v>34</v>
      </c>
      <c r="AH62" s="144">
        <v>34</v>
      </c>
      <c r="AI62" s="5"/>
      <c r="AJ62" s="166" t="str">
        <v>K</v>
      </c>
      <c r="AK62" s="144">
        <v>43</v>
      </c>
      <c r="AL62" s="144">
        <v>25</v>
      </c>
      <c r="AM62" s="144">
        <v>0</v>
      </c>
      <c r="AN62" s="144">
        <v>34</v>
      </c>
      <c r="AO62" s="144">
        <v>34</v>
      </c>
    </row>
    <row r="63" spans="10:41" ht="16.5" customHeight="1">
      <c r="J63" s="9">
        <v>59</v>
      </c>
      <c r="K63" s="16" t="s">
        <v>35</v>
      </c>
      <c r="L63" s="16" t="s">
        <v>21</v>
      </c>
      <c r="M63" s="16" t="s">
        <v>137</v>
      </c>
      <c r="N63" s="16" t="s">
        <v>35</v>
      </c>
      <c r="O63" s="16" t="s">
        <v>18</v>
      </c>
      <c r="Q63" s="9">
        <v>8</v>
      </c>
      <c r="R63" s="9">
        <v>2</v>
      </c>
      <c r="S63" s="9">
        <v>15</v>
      </c>
      <c r="T63" s="9">
        <v>8</v>
      </c>
      <c r="U63" s="9">
        <v>4</v>
      </c>
      <c r="W63" s="25">
        <v>1</v>
      </c>
      <c r="X63" s="25">
        <v>1</v>
      </c>
      <c r="Y63" s="25">
        <v>1</v>
      </c>
      <c r="Z63" s="25">
        <v>1</v>
      </c>
      <c r="AA63" s="25">
        <v>1</v>
      </c>
      <c r="AC63" s="166" t="str">
        <v>Q</v>
      </c>
      <c r="AD63" s="144">
        <v>7</v>
      </c>
      <c r="AE63" s="144">
        <v>12</v>
      </c>
      <c r="AF63" s="144">
        <v>0</v>
      </c>
      <c r="AG63" s="144">
        <v>6</v>
      </c>
      <c r="AH63" s="144">
        <v>13</v>
      </c>
      <c r="AI63" s="5"/>
      <c r="AJ63" s="166" t="str">
        <v>Q</v>
      </c>
      <c r="AK63" s="144">
        <v>7</v>
      </c>
      <c r="AL63" s="144">
        <v>12</v>
      </c>
      <c r="AM63" s="144">
        <v>0</v>
      </c>
      <c r="AN63" s="144">
        <v>6</v>
      </c>
      <c r="AO63" s="144">
        <v>13</v>
      </c>
    </row>
    <row r="64" spans="10:41" ht="16.5" customHeight="1">
      <c r="J64" s="25">
        <v>60</v>
      </c>
      <c r="K64" s="16" t="s">
        <v>19</v>
      </c>
      <c r="L64" s="16" t="s">
        <v>89</v>
      </c>
      <c r="M64" s="16" t="s">
        <v>119</v>
      </c>
      <c r="N64" s="16" t="s">
        <v>136</v>
      </c>
      <c r="O64" s="16" t="s">
        <v>37</v>
      </c>
      <c r="Q64" s="9">
        <v>5</v>
      </c>
      <c r="R64" s="9">
        <v>12</v>
      </c>
      <c r="S64" s="9">
        <v>17</v>
      </c>
      <c r="T64" s="9">
        <v>6</v>
      </c>
      <c r="U64" s="9">
        <v>7</v>
      </c>
      <c r="W64" s="25">
        <v>1</v>
      </c>
      <c r="X64" s="25">
        <v>1</v>
      </c>
      <c r="Y64" s="25">
        <v>1</v>
      </c>
      <c r="Z64" s="25">
        <v>1</v>
      </c>
      <c r="AA64" s="25">
        <v>1</v>
      </c>
      <c r="AC64" s="166" t="str">
        <v>J</v>
      </c>
      <c r="AD64" s="144">
        <v>6</v>
      </c>
      <c r="AE64" s="144">
        <v>8</v>
      </c>
      <c r="AF64" s="144">
        <v>0</v>
      </c>
      <c r="AG64" s="144">
        <v>7</v>
      </c>
      <c r="AH64" s="144">
        <v>14</v>
      </c>
      <c r="AI64" s="5"/>
      <c r="AJ64" s="166" t="str">
        <v>J</v>
      </c>
      <c r="AK64" s="144">
        <v>6</v>
      </c>
      <c r="AL64" s="144">
        <v>8</v>
      </c>
      <c r="AM64" s="144">
        <v>0</v>
      </c>
      <c r="AN64" s="144">
        <v>7</v>
      </c>
      <c r="AO64" s="144">
        <v>14</v>
      </c>
    </row>
    <row r="65" spans="10:41" ht="16.5" customHeight="1">
      <c r="J65" s="9">
        <v>61</v>
      </c>
      <c r="K65" s="16" t="s">
        <v>136</v>
      </c>
      <c r="L65" s="16" t="s">
        <v>136</v>
      </c>
      <c r="M65" s="16" t="s">
        <v>90</v>
      </c>
      <c r="N65" s="16" t="s">
        <v>19</v>
      </c>
      <c r="O65" s="16" t="s">
        <v>35</v>
      </c>
      <c r="Q65" s="9">
        <v>6</v>
      </c>
      <c r="R65" s="9">
        <v>6</v>
      </c>
      <c r="S65" s="9">
        <v>13</v>
      </c>
      <c r="T65" s="9">
        <v>5</v>
      </c>
      <c r="U65" s="9">
        <v>8</v>
      </c>
      <c r="W65" s="25">
        <v>1</v>
      </c>
      <c r="X65" s="25">
        <v>1</v>
      </c>
      <c r="Y65" s="25">
        <v>1</v>
      </c>
      <c r="Z65" s="25">
        <v>1</v>
      </c>
      <c r="AA65" s="25">
        <v>1</v>
      </c>
      <c r="AC65" s="149" t="str">
        <v>G1</v>
      </c>
      <c r="AD65" s="105">
        <v>0</v>
      </c>
      <c r="AE65" s="105">
        <v>2</v>
      </c>
      <c r="AF65" s="105">
        <v>3</v>
      </c>
      <c r="AG65" s="105">
        <v>1</v>
      </c>
      <c r="AH65" s="105">
        <v>0</v>
      </c>
      <c r="AI65" s="5"/>
      <c r="AJ65" s="149" t="str">
        <v>G1</v>
      </c>
      <c r="AK65" s="105">
        <v>0</v>
      </c>
      <c r="AL65" s="105">
        <v>2</v>
      </c>
      <c r="AM65" s="105">
        <v>3</v>
      </c>
      <c r="AN65" s="105">
        <v>1</v>
      </c>
      <c r="AO65" s="105">
        <v>0</v>
      </c>
    </row>
    <row r="66" spans="10:41" ht="16.5" customHeight="1">
      <c r="J66" s="25">
        <v>62</v>
      </c>
      <c r="K66" s="16" t="s">
        <v>37</v>
      </c>
      <c r="L66" s="16" t="s">
        <v>95</v>
      </c>
      <c r="M66" s="16" t="s">
        <v>119</v>
      </c>
      <c r="N66" s="16" t="s">
        <v>136</v>
      </c>
      <c r="O66" s="16" t="s">
        <v>136</v>
      </c>
      <c r="Q66" s="9">
        <v>7</v>
      </c>
      <c r="R66" s="9">
        <v>18</v>
      </c>
      <c r="S66" s="9">
        <v>17</v>
      </c>
      <c r="T66" s="9">
        <v>6</v>
      </c>
      <c r="U66" s="9">
        <v>6</v>
      </c>
      <c r="W66" s="25">
        <v>1</v>
      </c>
      <c r="X66" s="25">
        <v>1</v>
      </c>
      <c r="Y66" s="25">
        <v>1</v>
      </c>
      <c r="Z66" s="25">
        <v>1</v>
      </c>
      <c r="AA66" s="25">
        <v>1</v>
      </c>
      <c r="AC66" s="149" t="str">
        <v>G2</v>
      </c>
      <c r="AD66" s="105">
        <v>0</v>
      </c>
      <c r="AE66" s="105">
        <v>3</v>
      </c>
      <c r="AF66" s="105">
        <v>1</v>
      </c>
      <c r="AG66" s="105">
        <v>1</v>
      </c>
      <c r="AH66" s="105">
        <v>0</v>
      </c>
      <c r="AI66" s="5"/>
      <c r="AJ66" s="149" t="str">
        <v>G2</v>
      </c>
      <c r="AK66" s="105">
        <v>0</v>
      </c>
      <c r="AL66" s="105">
        <v>3</v>
      </c>
      <c r="AM66" s="105">
        <v>1</v>
      </c>
      <c r="AN66" s="105">
        <v>1</v>
      </c>
      <c r="AO66" s="105">
        <v>0</v>
      </c>
    </row>
    <row r="67" spans="10:41" ht="16.5" customHeight="1">
      <c r="J67" s="9">
        <v>63</v>
      </c>
      <c r="K67" s="16" t="s">
        <v>19</v>
      </c>
      <c r="L67" s="16" t="s">
        <v>18</v>
      </c>
      <c r="M67" s="16" t="s">
        <v>92</v>
      </c>
      <c r="N67" s="16" t="s">
        <v>35</v>
      </c>
      <c r="O67" s="16" t="s">
        <v>35</v>
      </c>
      <c r="Q67" s="9">
        <v>5</v>
      </c>
      <c r="R67" s="9">
        <v>4</v>
      </c>
      <c r="S67" s="9">
        <v>16</v>
      </c>
      <c r="T67" s="9">
        <v>8</v>
      </c>
      <c r="U67" s="9">
        <v>8</v>
      </c>
      <c r="W67" s="25">
        <v>1</v>
      </c>
      <c r="X67" s="25">
        <v>1</v>
      </c>
      <c r="Y67" s="25">
        <v>1</v>
      </c>
      <c r="Z67" s="25">
        <v>1</v>
      </c>
      <c r="AA67" s="25">
        <v>1</v>
      </c>
      <c r="AC67" s="149" t="str">
        <v>G3</v>
      </c>
      <c r="AD67" s="105">
        <v>0</v>
      </c>
      <c r="AE67" s="105">
        <v>3</v>
      </c>
      <c r="AF67" s="105">
        <v>8</v>
      </c>
      <c r="AG67" s="105">
        <v>2</v>
      </c>
      <c r="AH67" s="105">
        <v>0</v>
      </c>
      <c r="AI67" s="5"/>
      <c r="AJ67" s="149" t="str">
        <v>G3</v>
      </c>
      <c r="AK67" s="105">
        <v>0</v>
      </c>
      <c r="AL67" s="105">
        <v>3</v>
      </c>
      <c r="AM67" s="105">
        <v>8</v>
      </c>
      <c r="AN67" s="105">
        <v>2</v>
      </c>
      <c r="AO67" s="105">
        <v>0</v>
      </c>
    </row>
    <row r="68" spans="10:41" ht="16.5" customHeight="1">
      <c r="J68" s="25">
        <v>64</v>
      </c>
      <c r="K68" s="16" t="s">
        <v>37</v>
      </c>
      <c r="L68" s="16" t="s">
        <v>37</v>
      </c>
      <c r="M68" s="16" t="s">
        <v>91</v>
      </c>
      <c r="N68" s="16" t="s">
        <v>19</v>
      </c>
      <c r="O68" s="16" t="s">
        <v>19</v>
      </c>
      <c r="Q68" s="9">
        <v>7</v>
      </c>
      <c r="R68" s="9">
        <v>7</v>
      </c>
      <c r="S68" s="9">
        <v>14</v>
      </c>
      <c r="T68" s="9">
        <v>5</v>
      </c>
      <c r="U68" s="9">
        <v>5</v>
      </c>
      <c r="W68" s="25">
        <v>1</v>
      </c>
      <c r="X68" s="25">
        <v>1</v>
      </c>
      <c r="Y68" s="25">
        <v>1</v>
      </c>
      <c r="Z68" s="25">
        <v>1</v>
      </c>
      <c r="AA68" s="25">
        <v>1</v>
      </c>
      <c r="AC68" s="149" t="str">
        <v>G4</v>
      </c>
      <c r="AD68" s="105">
        <v>0</v>
      </c>
      <c r="AE68" s="105">
        <v>7</v>
      </c>
      <c r="AF68" s="105">
        <v>43</v>
      </c>
      <c r="AG68" s="105">
        <v>8</v>
      </c>
      <c r="AH68" s="105">
        <v>0</v>
      </c>
      <c r="AI68" s="5"/>
      <c r="AJ68" s="149" t="str">
        <v>G4</v>
      </c>
      <c r="AK68" s="105">
        <v>0</v>
      </c>
      <c r="AL68" s="105">
        <v>7</v>
      </c>
      <c r="AM68" s="105">
        <v>43</v>
      </c>
      <c r="AN68" s="105">
        <v>8</v>
      </c>
      <c r="AO68" s="105">
        <v>0</v>
      </c>
    </row>
    <row r="69" spans="10:41" ht="16.5" customHeight="1">
      <c r="J69" s="9">
        <v>65</v>
      </c>
      <c r="K69" s="16" t="s">
        <v>35</v>
      </c>
      <c r="L69" s="16" t="s">
        <v>18</v>
      </c>
      <c r="M69" s="16" t="s">
        <v>137</v>
      </c>
      <c r="N69" s="16" t="s">
        <v>136</v>
      </c>
      <c r="O69" s="16" t="s">
        <v>136</v>
      </c>
      <c r="Q69" s="9">
        <v>8</v>
      </c>
      <c r="R69" s="9">
        <v>4</v>
      </c>
      <c r="S69" s="9">
        <v>15</v>
      </c>
      <c r="T69" s="9">
        <v>6</v>
      </c>
      <c r="U69" s="9">
        <v>6</v>
      </c>
      <c r="W69" s="25">
        <v>1</v>
      </c>
      <c r="X69" s="25">
        <v>1</v>
      </c>
      <c r="Y69" s="25">
        <v>1</v>
      </c>
      <c r="Z69" s="25">
        <v>1</v>
      </c>
      <c r="AA69" s="25">
        <v>1</v>
      </c>
      <c r="AC69" s="149" t="str">
        <v>G5</v>
      </c>
      <c r="AD69" s="105">
        <v>0</v>
      </c>
      <c r="AE69" s="105">
        <v>7</v>
      </c>
      <c r="AF69" s="105">
        <v>42</v>
      </c>
      <c r="AG69" s="105">
        <v>9</v>
      </c>
      <c r="AH69" s="105">
        <v>0</v>
      </c>
      <c r="AI69" s="5"/>
      <c r="AJ69" s="149" t="str">
        <v>G5</v>
      </c>
      <c r="AK69" s="105">
        <v>0</v>
      </c>
      <c r="AL69" s="105">
        <v>7</v>
      </c>
      <c r="AM69" s="105">
        <v>42</v>
      </c>
      <c r="AN69" s="105">
        <v>9</v>
      </c>
      <c r="AO69" s="105">
        <v>0</v>
      </c>
    </row>
    <row r="70" spans="10:41" ht="16.5" customHeight="1">
      <c r="J70" s="25">
        <v>66</v>
      </c>
      <c r="K70" s="16" t="s">
        <v>37</v>
      </c>
      <c r="L70" s="16" t="s">
        <v>119</v>
      </c>
      <c r="M70" s="16" t="s">
        <v>119</v>
      </c>
      <c r="N70" s="16" t="s">
        <v>20</v>
      </c>
      <c r="O70" s="16" t="s">
        <v>36</v>
      </c>
      <c r="Q70" s="9">
        <v>7</v>
      </c>
      <c r="R70" s="9">
        <v>17</v>
      </c>
      <c r="S70" s="9">
        <v>17</v>
      </c>
      <c r="T70" s="9">
        <v>1</v>
      </c>
      <c r="U70" s="9">
        <v>10</v>
      </c>
      <c r="W70" s="25">
        <v>1</v>
      </c>
      <c r="X70" s="25">
        <v>1</v>
      </c>
      <c r="Y70" s="25">
        <v>1</v>
      </c>
      <c r="Z70" s="25">
        <v>1</v>
      </c>
      <c r="AA70" s="25">
        <v>1</v>
      </c>
      <c r="AC70" s="149" t="str">
        <v>GA</v>
      </c>
      <c r="AD70" s="105">
        <v>0</v>
      </c>
      <c r="AE70" s="105">
        <v>10</v>
      </c>
      <c r="AF70" s="105">
        <v>42</v>
      </c>
      <c r="AG70" s="105">
        <v>6</v>
      </c>
      <c r="AH70" s="105">
        <v>0</v>
      </c>
      <c r="AI70" s="5"/>
      <c r="AJ70" s="149" t="str">
        <v>GA</v>
      </c>
      <c r="AK70" s="105">
        <v>0</v>
      </c>
      <c r="AL70" s="105">
        <v>10</v>
      </c>
      <c r="AM70" s="105">
        <v>42</v>
      </c>
      <c r="AN70" s="105">
        <v>6</v>
      </c>
      <c r="AO70" s="105">
        <v>0</v>
      </c>
    </row>
    <row r="71" spans="10:41" ht="16.5" customHeight="1">
      <c r="J71" s="9">
        <v>67</v>
      </c>
      <c r="K71" s="16" t="s">
        <v>136</v>
      </c>
      <c r="L71" s="16" t="s">
        <v>19</v>
      </c>
      <c r="M71" s="16" t="s">
        <v>91</v>
      </c>
      <c r="N71" s="16" t="s">
        <v>19</v>
      </c>
      <c r="O71" s="16" t="s">
        <v>35</v>
      </c>
      <c r="Q71" s="9">
        <v>6</v>
      </c>
      <c r="R71" s="9">
        <v>5</v>
      </c>
      <c r="S71" s="9">
        <v>14</v>
      </c>
      <c r="T71" s="9">
        <v>5</v>
      </c>
      <c r="U71" s="9">
        <v>8</v>
      </c>
      <c r="W71" s="25">
        <v>1</v>
      </c>
      <c r="X71" s="25">
        <v>1</v>
      </c>
      <c r="Y71" s="25">
        <v>1</v>
      </c>
      <c r="Z71" s="25">
        <v>1</v>
      </c>
      <c r="AA71" s="25">
        <v>1</v>
      </c>
      <c r="AC71" s="149" t="str">
        <v>GK</v>
      </c>
      <c r="AD71" s="105">
        <v>0</v>
      </c>
      <c r="AE71" s="105">
        <v>7</v>
      </c>
      <c r="AF71" s="105">
        <v>43</v>
      </c>
      <c r="AG71" s="105">
        <v>6</v>
      </c>
      <c r="AH71" s="105">
        <v>0</v>
      </c>
      <c r="AI71" s="5"/>
      <c r="AJ71" s="149" t="str">
        <v>GK</v>
      </c>
      <c r="AK71" s="105">
        <v>0</v>
      </c>
      <c r="AL71" s="105">
        <v>7</v>
      </c>
      <c r="AM71" s="105">
        <v>43</v>
      </c>
      <c r="AN71" s="105">
        <v>6</v>
      </c>
      <c r="AO71" s="105">
        <v>0</v>
      </c>
    </row>
    <row r="72" spans="10:41" ht="16.5" customHeight="1">
      <c r="J72" s="25">
        <v>68</v>
      </c>
      <c r="K72" s="16" t="s">
        <v>19</v>
      </c>
      <c r="L72" s="16" t="s">
        <v>34</v>
      </c>
      <c r="M72" s="16" t="s">
        <v>119</v>
      </c>
      <c r="N72" s="16" t="s">
        <v>136</v>
      </c>
      <c r="O72" s="16" t="s">
        <v>36</v>
      </c>
      <c r="Q72" s="9">
        <v>5</v>
      </c>
      <c r="R72" s="9">
        <v>9</v>
      </c>
      <c r="S72" s="9">
        <v>17</v>
      </c>
      <c r="T72" s="9">
        <v>6</v>
      </c>
      <c r="U72" s="9">
        <v>10</v>
      </c>
      <c r="W72" s="25">
        <v>1</v>
      </c>
      <c r="X72" s="25">
        <v>1</v>
      </c>
      <c r="Y72" s="25">
        <v>1</v>
      </c>
      <c r="Z72" s="25">
        <v>1</v>
      </c>
      <c r="AA72" s="25">
        <v>1</v>
      </c>
      <c r="AC72" s="149" t="str">
        <v>GQ</v>
      </c>
      <c r="AD72" s="105">
        <v>0</v>
      </c>
      <c r="AE72" s="105">
        <v>3</v>
      </c>
      <c r="AF72" s="105">
        <v>6</v>
      </c>
      <c r="AG72" s="105">
        <v>1</v>
      </c>
      <c r="AH72" s="105">
        <v>0</v>
      </c>
      <c r="AI72" s="5"/>
      <c r="AJ72" s="149" t="str">
        <v>GQ</v>
      </c>
      <c r="AK72" s="105">
        <v>0</v>
      </c>
      <c r="AL72" s="105">
        <v>3</v>
      </c>
      <c r="AM72" s="105">
        <v>6</v>
      </c>
      <c r="AN72" s="105">
        <v>1</v>
      </c>
      <c r="AO72" s="105">
        <v>0</v>
      </c>
    </row>
    <row r="73" spans="10:41" ht="16.5" customHeight="1">
      <c r="J73" s="9">
        <v>69</v>
      </c>
      <c r="K73" s="16" t="s">
        <v>35</v>
      </c>
      <c r="L73" s="16" t="s">
        <v>19</v>
      </c>
      <c r="M73" s="16" t="s">
        <v>137</v>
      </c>
      <c r="N73" s="16" t="s">
        <v>35</v>
      </c>
      <c r="O73" s="16" t="s">
        <v>19</v>
      </c>
      <c r="Q73" s="9">
        <v>8</v>
      </c>
      <c r="R73" s="9">
        <v>5</v>
      </c>
      <c r="S73" s="9">
        <v>15</v>
      </c>
      <c r="T73" s="9">
        <v>8</v>
      </c>
      <c r="U73" s="9">
        <v>5</v>
      </c>
      <c r="W73" s="25">
        <v>1</v>
      </c>
      <c r="X73" s="25">
        <v>1</v>
      </c>
      <c r="Y73" s="25">
        <v>1</v>
      </c>
      <c r="Z73" s="25">
        <v>1</v>
      </c>
      <c r="AA73" s="25">
        <v>1</v>
      </c>
      <c r="AC73" s="149" t="str">
        <v>GJ</v>
      </c>
      <c r="AD73" s="105">
        <v>0</v>
      </c>
      <c r="AE73" s="105">
        <v>2</v>
      </c>
      <c r="AF73" s="105">
        <v>9</v>
      </c>
      <c r="AG73" s="105">
        <v>2</v>
      </c>
      <c r="AH73" s="105">
        <v>0</v>
      </c>
      <c r="AI73" s="5"/>
      <c r="AJ73" s="149" t="str">
        <v>GJ</v>
      </c>
      <c r="AK73" s="105">
        <v>0</v>
      </c>
      <c r="AL73" s="105">
        <v>2</v>
      </c>
      <c r="AM73" s="105">
        <v>9</v>
      </c>
      <c r="AN73" s="105">
        <v>2</v>
      </c>
      <c r="AO73" s="105">
        <v>0</v>
      </c>
    </row>
    <row r="74" spans="10:41" ht="16.5" customHeight="1">
      <c r="J74" s="25">
        <v>70</v>
      </c>
      <c r="K74" s="16" t="s">
        <v>19</v>
      </c>
      <c r="L74" s="16" t="s">
        <v>136</v>
      </c>
      <c r="M74" s="16" t="s">
        <v>119</v>
      </c>
      <c r="N74" s="16" t="s">
        <v>136</v>
      </c>
      <c r="O74" s="16" t="s">
        <v>21</v>
      </c>
      <c r="Q74" s="9">
        <v>5</v>
      </c>
      <c r="R74" s="9">
        <v>6</v>
      </c>
      <c r="S74" s="9">
        <v>17</v>
      </c>
      <c r="T74" s="9">
        <v>6</v>
      </c>
      <c r="U74" s="9">
        <v>2</v>
      </c>
      <c r="W74" s="25">
        <v>1</v>
      </c>
      <c r="X74" s="25">
        <v>1</v>
      </c>
      <c r="Y74" s="25">
        <v>1</v>
      </c>
      <c r="Z74" s="25">
        <v>1</v>
      </c>
      <c r="AA74" s="25">
        <v>1</v>
      </c>
      <c r="AD74" s="119">
        <f>SUM(AD54:AD73)</f>
        <v>198</v>
      </c>
      <c r="AE74" s="119">
        <f>SUM(AE54:AE73)</f>
        <v>198</v>
      </c>
      <c r="AF74" s="119">
        <f>SUM(AF54:AF73)</f>
        <v>198</v>
      </c>
      <c r="AG74" s="119">
        <f>SUM(AG54:AG73)</f>
        <v>196</v>
      </c>
      <c r="AH74" s="119">
        <f>SUM(AH54:AH73)</f>
        <v>196</v>
      </c>
      <c r="AI74" s="5"/>
      <c r="AK74" s="119">
        <f>SUM(AK54:AK73)</f>
        <v>198</v>
      </c>
      <c r="AL74" s="119">
        <f>SUM(AL54:AL73)</f>
        <v>198</v>
      </c>
      <c r="AM74" s="119">
        <f>SUM(AM54:AM73)</f>
        <v>198</v>
      </c>
      <c r="AN74" s="119">
        <f>SUM(AN54:AN73)</f>
        <v>196</v>
      </c>
      <c r="AO74" s="119">
        <f>SUM(AO54:AO73)</f>
        <v>196</v>
      </c>
    </row>
    <row r="75" spans="10:41" ht="16.5" customHeight="1">
      <c r="J75" s="9">
        <v>71</v>
      </c>
      <c r="K75" s="16" t="s">
        <v>35</v>
      </c>
      <c r="L75" s="16" t="s">
        <v>18</v>
      </c>
      <c r="M75" s="16" t="s">
        <v>90</v>
      </c>
      <c r="N75" s="16" t="s">
        <v>19</v>
      </c>
      <c r="O75" s="16" t="s">
        <v>22</v>
      </c>
      <c r="Q75" s="9">
        <v>8</v>
      </c>
      <c r="R75" s="9">
        <v>4</v>
      </c>
      <c r="S75" s="9">
        <v>13</v>
      </c>
      <c r="T75" s="9">
        <v>5</v>
      </c>
      <c r="U75" s="9">
        <v>3</v>
      </c>
      <c r="W75" s="25">
        <v>1</v>
      </c>
      <c r="X75" s="25">
        <v>1</v>
      </c>
      <c r="Y75" s="25">
        <v>1</v>
      </c>
      <c r="Z75" s="25">
        <v>1</v>
      </c>
      <c r="AA75" s="25">
        <v>1</v>
      </c>
      <c r="AH75" s="5"/>
      <c r="AI75" s="5"/>
      <c r="AO75" s="5"/>
    </row>
    <row r="76" spans="10:41" ht="16.5" customHeight="1">
      <c r="J76" s="25">
        <v>72</v>
      </c>
      <c r="K76" s="16" t="s">
        <v>21</v>
      </c>
      <c r="L76" s="16" t="s">
        <v>119</v>
      </c>
      <c r="M76" s="16" t="s">
        <v>119</v>
      </c>
      <c r="N76" s="16" t="s">
        <v>35</v>
      </c>
      <c r="O76" s="16" t="s">
        <v>37</v>
      </c>
      <c r="Q76" s="9">
        <v>2</v>
      </c>
      <c r="R76" s="9">
        <v>17</v>
      </c>
      <c r="S76" s="9">
        <v>17</v>
      </c>
      <c r="T76" s="9">
        <v>8</v>
      </c>
      <c r="U76" s="9">
        <v>7</v>
      </c>
      <c r="W76" s="25">
        <v>1</v>
      </c>
      <c r="X76" s="25">
        <v>1</v>
      </c>
      <c r="Y76" s="25">
        <v>1</v>
      </c>
      <c r="Z76" s="25">
        <v>1</v>
      </c>
      <c r="AA76" s="25">
        <v>1</v>
      </c>
      <c r="AH76" s="5"/>
      <c r="AI76" s="5"/>
      <c r="AO76" s="5"/>
    </row>
    <row r="77" spans="10:41" ht="16.5" customHeight="1">
      <c r="J77" s="9">
        <v>73</v>
      </c>
      <c r="K77" s="16" t="s">
        <v>34</v>
      </c>
      <c r="L77" s="16" t="s">
        <v>18</v>
      </c>
      <c r="M77" s="16" t="s">
        <v>88</v>
      </c>
      <c r="N77" s="16" t="s">
        <v>136</v>
      </c>
      <c r="O77" s="16" t="s">
        <v>20</v>
      </c>
      <c r="Q77" s="9">
        <v>9</v>
      </c>
      <c r="R77" s="9">
        <v>4</v>
      </c>
      <c r="S77" s="9">
        <v>11</v>
      </c>
      <c r="T77" s="9">
        <v>6</v>
      </c>
      <c r="U77" s="9">
        <v>1</v>
      </c>
      <c r="W77" s="25">
        <v>1</v>
      </c>
      <c r="X77" s="25">
        <v>1</v>
      </c>
      <c r="Y77" s="25">
        <v>1</v>
      </c>
      <c r="Z77" s="25">
        <v>1</v>
      </c>
      <c r="AA77" s="25">
        <v>1</v>
      </c>
      <c r="AH77" s="5"/>
      <c r="AI77" s="5"/>
      <c r="AO77" s="5"/>
    </row>
    <row r="78" spans="10:41" ht="16.5" customHeight="1">
      <c r="J78" s="25">
        <v>74</v>
      </c>
      <c r="K78" s="16" t="s">
        <v>136</v>
      </c>
      <c r="L78" s="16" t="s">
        <v>21</v>
      </c>
      <c r="M78" s="16" t="s">
        <v>91</v>
      </c>
      <c r="N78" s="16" t="s">
        <v>37</v>
      </c>
      <c r="O78" s="16" t="s">
        <v>34</v>
      </c>
      <c r="Q78" s="9">
        <v>6</v>
      </c>
      <c r="R78" s="9">
        <v>2</v>
      </c>
      <c r="S78" s="9">
        <v>14</v>
      </c>
      <c r="T78" s="9">
        <v>7</v>
      </c>
      <c r="U78" s="9">
        <v>9</v>
      </c>
      <c r="W78" s="25">
        <v>1</v>
      </c>
      <c r="X78" s="25">
        <v>1</v>
      </c>
      <c r="Y78" s="25">
        <v>1</v>
      </c>
      <c r="Z78" s="25">
        <v>1</v>
      </c>
      <c r="AA78" s="25">
        <v>1</v>
      </c>
      <c r="AH78" s="5"/>
      <c r="AI78" s="5"/>
      <c r="AO78" s="5"/>
    </row>
    <row r="79" spans="10:41" ht="16.5" customHeight="1">
      <c r="J79" s="9">
        <v>75</v>
      </c>
      <c r="K79" s="16" t="s">
        <v>35</v>
      </c>
      <c r="L79" s="16" t="s">
        <v>19</v>
      </c>
      <c r="M79" s="16" t="s">
        <v>92</v>
      </c>
      <c r="N79" s="16" t="s">
        <v>35</v>
      </c>
      <c r="O79" s="16" t="s">
        <v>136</v>
      </c>
      <c r="Q79" s="9">
        <v>8</v>
      </c>
      <c r="R79" s="9">
        <v>5</v>
      </c>
      <c r="S79" s="9">
        <v>16</v>
      </c>
      <c r="T79" s="9">
        <v>8</v>
      </c>
      <c r="U79" s="9">
        <v>6</v>
      </c>
      <c r="W79" s="25">
        <v>1</v>
      </c>
      <c r="X79" s="25">
        <v>1</v>
      </c>
      <c r="Y79" s="25">
        <v>1</v>
      </c>
      <c r="Z79" s="25">
        <v>1</v>
      </c>
      <c r="AA79" s="25">
        <v>1</v>
      </c>
      <c r="AH79" s="5"/>
      <c r="AI79" s="5"/>
      <c r="AO79" s="5"/>
    </row>
    <row r="80" spans="10:41">
      <c r="J80" s="25">
        <v>76</v>
      </c>
      <c r="K80" s="16" t="s">
        <v>37</v>
      </c>
      <c r="L80" s="16" t="s">
        <v>136</v>
      </c>
      <c r="M80" s="16" t="s">
        <v>90</v>
      </c>
      <c r="N80" s="16" t="s">
        <v>19</v>
      </c>
      <c r="O80" s="16" t="s">
        <v>19</v>
      </c>
      <c r="Q80" s="9">
        <v>7</v>
      </c>
      <c r="R80" s="9">
        <v>6</v>
      </c>
      <c r="S80" s="9">
        <v>13</v>
      </c>
      <c r="T80" s="9">
        <v>5</v>
      </c>
      <c r="U80" s="9">
        <v>5</v>
      </c>
      <c r="W80" s="25">
        <v>1</v>
      </c>
      <c r="X80" s="25">
        <v>1</v>
      </c>
      <c r="Y80" s="25">
        <v>1</v>
      </c>
      <c r="Z80" s="25">
        <v>1</v>
      </c>
      <c r="AA80" s="25">
        <v>1</v>
      </c>
      <c r="AH80" s="5"/>
      <c r="AI80" s="5"/>
      <c r="AO80" s="5"/>
    </row>
    <row r="81" spans="10:41">
      <c r="J81" s="9">
        <v>77</v>
      </c>
      <c r="K81" s="16" t="s">
        <v>136</v>
      </c>
      <c r="L81" s="16" t="s">
        <v>37</v>
      </c>
      <c r="M81" s="16" t="s">
        <v>91</v>
      </c>
      <c r="N81" s="16" t="s">
        <v>18</v>
      </c>
      <c r="O81" s="16" t="s">
        <v>37</v>
      </c>
      <c r="Q81" s="9">
        <v>6</v>
      </c>
      <c r="R81" s="9">
        <v>7</v>
      </c>
      <c r="S81" s="9">
        <v>14</v>
      </c>
      <c r="T81" s="9">
        <v>4</v>
      </c>
      <c r="U81" s="9">
        <v>7</v>
      </c>
      <c r="W81" s="25">
        <v>1</v>
      </c>
      <c r="X81" s="25">
        <v>1</v>
      </c>
      <c r="Y81" s="25">
        <v>1</v>
      </c>
      <c r="Z81" s="25">
        <v>1</v>
      </c>
      <c r="AA81" s="25">
        <v>1</v>
      </c>
      <c r="AH81" s="5"/>
      <c r="AI81" s="5"/>
      <c r="AO81" s="5"/>
    </row>
    <row r="82" spans="10:41">
      <c r="J82" s="25">
        <v>78</v>
      </c>
      <c r="K82" s="16" t="s">
        <v>37</v>
      </c>
      <c r="L82" s="16" t="s">
        <v>95</v>
      </c>
      <c r="M82" s="16" t="s">
        <v>92</v>
      </c>
      <c r="N82" s="16" t="s">
        <v>19</v>
      </c>
      <c r="O82" s="16" t="s">
        <v>35</v>
      </c>
      <c r="Q82" s="9">
        <v>7</v>
      </c>
      <c r="R82" s="9">
        <v>18</v>
      </c>
      <c r="S82" s="9">
        <v>16</v>
      </c>
      <c r="T82" s="9">
        <v>5</v>
      </c>
      <c r="U82" s="9">
        <v>8</v>
      </c>
      <c r="W82" s="25">
        <v>1</v>
      </c>
      <c r="X82" s="25">
        <v>1</v>
      </c>
      <c r="Y82" s="25">
        <v>1</v>
      </c>
      <c r="Z82" s="25">
        <v>1</v>
      </c>
      <c r="AA82" s="25">
        <v>1</v>
      </c>
      <c r="AH82" s="5"/>
      <c r="AI82" s="5"/>
      <c r="AO82" s="5"/>
    </row>
    <row r="83" spans="10:41">
      <c r="J83" s="9">
        <v>79</v>
      </c>
      <c r="K83" s="16" t="s">
        <v>136</v>
      </c>
      <c r="L83" s="16" t="s">
        <v>19</v>
      </c>
      <c r="M83" s="16" t="s">
        <v>91</v>
      </c>
      <c r="N83" s="16" t="s">
        <v>35</v>
      </c>
      <c r="O83" s="16" t="s">
        <v>21</v>
      </c>
      <c r="Q83" s="9">
        <v>6</v>
      </c>
      <c r="R83" s="9">
        <v>5</v>
      </c>
      <c r="S83" s="9">
        <v>14</v>
      </c>
      <c r="T83" s="9">
        <v>8</v>
      </c>
      <c r="U83" s="9">
        <v>2</v>
      </c>
      <c r="W83" s="25">
        <v>1</v>
      </c>
      <c r="X83" s="25">
        <v>1</v>
      </c>
      <c r="Y83" s="25">
        <v>1</v>
      </c>
      <c r="Z83" s="25">
        <v>1</v>
      </c>
      <c r="AA83" s="25">
        <v>1</v>
      </c>
      <c r="AH83" s="5"/>
      <c r="AI83" s="5"/>
      <c r="AO83" s="5"/>
    </row>
    <row r="84" spans="10:41">
      <c r="J84" s="25">
        <v>80</v>
      </c>
      <c r="K84" s="16" t="s">
        <v>35</v>
      </c>
      <c r="L84" s="16" t="s">
        <v>34</v>
      </c>
      <c r="M84" s="16" t="s">
        <v>119</v>
      </c>
      <c r="N84" s="16" t="s">
        <v>19</v>
      </c>
      <c r="O84" s="16" t="s">
        <v>35</v>
      </c>
      <c r="Q84" s="9">
        <v>8</v>
      </c>
      <c r="R84" s="9">
        <v>9</v>
      </c>
      <c r="S84" s="9">
        <v>17</v>
      </c>
      <c r="T84" s="9">
        <v>5</v>
      </c>
      <c r="U84" s="9">
        <v>8</v>
      </c>
      <c r="W84" s="25">
        <v>1</v>
      </c>
      <c r="X84" s="25">
        <v>1</v>
      </c>
      <c r="Y84" s="25">
        <v>1</v>
      </c>
      <c r="Z84" s="25">
        <v>1</v>
      </c>
      <c r="AA84" s="25">
        <v>1</v>
      </c>
      <c r="AH84" s="5"/>
      <c r="AI84" s="5"/>
      <c r="AO84" s="5"/>
    </row>
    <row r="85" spans="10:41">
      <c r="J85" s="9">
        <v>81</v>
      </c>
      <c r="K85" s="16" t="s">
        <v>19</v>
      </c>
      <c r="L85" s="16" t="s">
        <v>136</v>
      </c>
      <c r="M85" s="16" t="s">
        <v>137</v>
      </c>
      <c r="N85" s="16" t="s">
        <v>35</v>
      </c>
      <c r="O85" s="16" t="s">
        <v>18</v>
      </c>
      <c r="Q85" s="9">
        <v>5</v>
      </c>
      <c r="R85" s="9">
        <v>6</v>
      </c>
      <c r="S85" s="9">
        <v>15</v>
      </c>
      <c r="T85" s="9">
        <v>8</v>
      </c>
      <c r="U85" s="9">
        <v>4</v>
      </c>
      <c r="W85" s="25">
        <v>1</v>
      </c>
      <c r="X85" s="25">
        <v>1</v>
      </c>
      <c r="Y85" s="25">
        <v>1</v>
      </c>
      <c r="Z85" s="25">
        <v>1</v>
      </c>
      <c r="AA85" s="25">
        <v>1</v>
      </c>
      <c r="AH85" s="5"/>
      <c r="AI85" s="5"/>
      <c r="AO85" s="5"/>
    </row>
    <row r="86" spans="10:41">
      <c r="J86" s="25">
        <v>82</v>
      </c>
      <c r="K86" s="16" t="s">
        <v>35</v>
      </c>
      <c r="L86" s="16" t="s">
        <v>37</v>
      </c>
      <c r="M86" s="16" t="s">
        <v>91</v>
      </c>
      <c r="N86" s="16" t="s">
        <v>19</v>
      </c>
      <c r="O86" s="16" t="s">
        <v>19</v>
      </c>
      <c r="Q86" s="9">
        <v>8</v>
      </c>
      <c r="R86" s="9">
        <v>7</v>
      </c>
      <c r="S86" s="9">
        <v>14</v>
      </c>
      <c r="T86" s="9">
        <v>5</v>
      </c>
      <c r="U86" s="9">
        <v>5</v>
      </c>
      <c r="W86" s="25">
        <v>1</v>
      </c>
      <c r="X86" s="25">
        <v>1</v>
      </c>
      <c r="Y86" s="25">
        <v>1</v>
      </c>
      <c r="Z86" s="25">
        <v>1</v>
      </c>
      <c r="AA86" s="25">
        <v>1</v>
      </c>
      <c r="AH86" s="5"/>
      <c r="AI86" s="5"/>
      <c r="AO86" s="5"/>
    </row>
    <row r="87" spans="10:41">
      <c r="J87" s="9">
        <v>83</v>
      </c>
      <c r="K87" s="16" t="s">
        <v>136</v>
      </c>
      <c r="L87" s="16" t="s">
        <v>137</v>
      </c>
      <c r="M87" s="16" t="s">
        <v>137</v>
      </c>
      <c r="N87" s="16" t="s">
        <v>137</v>
      </c>
      <c r="O87" s="16" t="s">
        <v>37</v>
      </c>
      <c r="Q87" s="9">
        <v>6</v>
      </c>
      <c r="R87" s="9">
        <v>15</v>
      </c>
      <c r="S87" s="9">
        <v>15</v>
      </c>
      <c r="T87" s="9">
        <v>15</v>
      </c>
      <c r="U87" s="9">
        <v>7</v>
      </c>
      <c r="W87" s="25">
        <v>1</v>
      </c>
      <c r="X87" s="25">
        <v>1</v>
      </c>
      <c r="Y87" s="25">
        <v>1</v>
      </c>
      <c r="Z87" s="25">
        <v>1</v>
      </c>
      <c r="AA87" s="25">
        <v>1</v>
      </c>
      <c r="AH87" s="5"/>
      <c r="AI87" s="5"/>
      <c r="AO87" s="5"/>
    </row>
    <row r="88" spans="10:41">
      <c r="J88" s="25">
        <v>84</v>
      </c>
      <c r="K88" s="16" t="s">
        <v>19</v>
      </c>
      <c r="L88" s="16" t="s">
        <v>37</v>
      </c>
      <c r="M88" s="16" t="s">
        <v>119</v>
      </c>
      <c r="N88" s="16" t="s">
        <v>35</v>
      </c>
      <c r="O88" s="16" t="s">
        <v>19</v>
      </c>
      <c r="Q88" s="9">
        <v>5</v>
      </c>
      <c r="R88" s="9">
        <v>7</v>
      </c>
      <c r="S88" s="9">
        <v>17</v>
      </c>
      <c r="T88" s="9">
        <v>8</v>
      </c>
      <c r="U88" s="9">
        <v>5</v>
      </c>
      <c r="W88" s="25">
        <v>1</v>
      </c>
      <c r="X88" s="25">
        <v>1</v>
      </c>
      <c r="Y88" s="25">
        <v>1</v>
      </c>
      <c r="Z88" s="25">
        <v>1</v>
      </c>
      <c r="AA88" s="25">
        <v>1</v>
      </c>
      <c r="AH88" s="5"/>
      <c r="AI88" s="5"/>
      <c r="AO88" s="5"/>
    </row>
    <row r="89" spans="10:41">
      <c r="J89" s="9">
        <v>85</v>
      </c>
      <c r="K89" s="16" t="s">
        <v>18</v>
      </c>
      <c r="L89" s="16" t="s">
        <v>18</v>
      </c>
      <c r="M89" s="16" t="s">
        <v>91</v>
      </c>
      <c r="N89" s="16" t="s">
        <v>19</v>
      </c>
      <c r="O89" s="16" t="s">
        <v>35</v>
      </c>
      <c r="Q89" s="9">
        <v>4</v>
      </c>
      <c r="R89" s="9">
        <v>4</v>
      </c>
      <c r="S89" s="9">
        <v>14</v>
      </c>
      <c r="T89" s="9">
        <v>5</v>
      </c>
      <c r="U89" s="9">
        <v>8</v>
      </c>
      <c r="W89" s="25">
        <v>1</v>
      </c>
      <c r="X89" s="25">
        <v>1</v>
      </c>
      <c r="Y89" s="25">
        <v>1</v>
      </c>
      <c r="Z89" s="25">
        <v>1</v>
      </c>
      <c r="AA89" s="25">
        <v>1</v>
      </c>
      <c r="AH89" s="5"/>
      <c r="AI89" s="5"/>
      <c r="AO89" s="5"/>
    </row>
    <row r="90" spans="10:41">
      <c r="J90" s="25">
        <v>86</v>
      </c>
      <c r="K90" s="16" t="s">
        <v>19</v>
      </c>
      <c r="L90" s="16" t="s">
        <v>35</v>
      </c>
      <c r="M90" s="16" t="s">
        <v>137</v>
      </c>
      <c r="N90" s="16" t="s">
        <v>37</v>
      </c>
      <c r="O90" s="16" t="s">
        <v>36</v>
      </c>
      <c r="Q90" s="9">
        <v>5</v>
      </c>
      <c r="R90" s="9">
        <v>8</v>
      </c>
      <c r="S90" s="9">
        <v>15</v>
      </c>
      <c r="T90" s="9">
        <v>7</v>
      </c>
      <c r="U90" s="9">
        <v>10</v>
      </c>
      <c r="W90" s="25">
        <v>1</v>
      </c>
      <c r="X90" s="25">
        <v>1</v>
      </c>
      <c r="Y90" s="25">
        <v>1</v>
      </c>
      <c r="Z90" s="25">
        <v>1</v>
      </c>
      <c r="AA90" s="25">
        <v>1</v>
      </c>
      <c r="AH90" s="5"/>
      <c r="AI90" s="5"/>
      <c r="AO90" s="5"/>
    </row>
    <row r="91" spans="10:41">
      <c r="J91" s="9">
        <v>87</v>
      </c>
      <c r="K91" s="16" t="s">
        <v>136</v>
      </c>
      <c r="L91" s="16" t="s">
        <v>136</v>
      </c>
      <c r="M91" s="16" t="s">
        <v>91</v>
      </c>
      <c r="N91" s="16" t="s">
        <v>136</v>
      </c>
      <c r="O91" s="16" t="s">
        <v>35</v>
      </c>
      <c r="Q91" s="9">
        <v>6</v>
      </c>
      <c r="R91" s="9">
        <v>6</v>
      </c>
      <c r="S91" s="9">
        <v>14</v>
      </c>
      <c r="T91" s="9">
        <v>6</v>
      </c>
      <c r="U91" s="9">
        <v>8</v>
      </c>
      <c r="W91" s="25">
        <v>1</v>
      </c>
      <c r="X91" s="25">
        <v>1</v>
      </c>
      <c r="Y91" s="25">
        <v>1</v>
      </c>
      <c r="Z91" s="25">
        <v>1</v>
      </c>
      <c r="AA91" s="25">
        <v>1</v>
      </c>
      <c r="AH91" s="5"/>
      <c r="AI91" s="5"/>
      <c r="AO91" s="5"/>
    </row>
    <row r="92" spans="10:41">
      <c r="J92" s="25">
        <v>88</v>
      </c>
      <c r="K92" s="16" t="s">
        <v>19</v>
      </c>
      <c r="L92" s="16" t="s">
        <v>91</v>
      </c>
      <c r="M92" s="16" t="s">
        <v>89</v>
      </c>
      <c r="N92" s="16" t="s">
        <v>92</v>
      </c>
      <c r="O92" s="16" t="s">
        <v>19</v>
      </c>
      <c r="Q92" s="9">
        <v>5</v>
      </c>
      <c r="R92" s="9">
        <v>14</v>
      </c>
      <c r="S92" s="9">
        <v>12</v>
      </c>
      <c r="T92" s="9">
        <v>16</v>
      </c>
      <c r="U92" s="9">
        <v>5</v>
      </c>
      <c r="W92" s="25">
        <v>1</v>
      </c>
      <c r="X92" s="25">
        <v>1</v>
      </c>
      <c r="Y92" s="25">
        <v>1</v>
      </c>
      <c r="Z92" s="25">
        <v>1</v>
      </c>
      <c r="AA92" s="25">
        <v>1</v>
      </c>
      <c r="AH92" s="5"/>
      <c r="AI92" s="5"/>
      <c r="AO92" s="5"/>
    </row>
    <row r="93" spans="10:41">
      <c r="J93" s="9">
        <v>89</v>
      </c>
      <c r="K93" s="16" t="s">
        <v>35</v>
      </c>
      <c r="L93" s="16" t="s">
        <v>37</v>
      </c>
      <c r="M93" s="16" t="s">
        <v>92</v>
      </c>
      <c r="N93" s="16" t="s">
        <v>20</v>
      </c>
      <c r="O93" s="16" t="s">
        <v>136</v>
      </c>
      <c r="Q93" s="9">
        <v>8</v>
      </c>
      <c r="R93" s="9">
        <v>7</v>
      </c>
      <c r="S93" s="9">
        <v>16</v>
      </c>
      <c r="T93" s="9">
        <v>1</v>
      </c>
      <c r="U93" s="9">
        <v>6</v>
      </c>
      <c r="W93" s="25">
        <v>1</v>
      </c>
      <c r="X93" s="25">
        <v>1</v>
      </c>
      <c r="Y93" s="25">
        <v>1</v>
      </c>
      <c r="Z93" s="25">
        <v>1</v>
      </c>
      <c r="AA93" s="25">
        <v>1</v>
      </c>
      <c r="AH93" s="5"/>
      <c r="AI93" s="5"/>
      <c r="AO93" s="5"/>
    </row>
    <row r="94" spans="10:41">
      <c r="J94" s="25">
        <v>90</v>
      </c>
      <c r="K94" s="16" t="s">
        <v>136</v>
      </c>
      <c r="L94" s="16" t="s">
        <v>35</v>
      </c>
      <c r="M94" s="16" t="s">
        <v>119</v>
      </c>
      <c r="N94" s="16" t="s">
        <v>136</v>
      </c>
      <c r="O94" s="16" t="s">
        <v>35</v>
      </c>
      <c r="Q94" s="9">
        <v>6</v>
      </c>
      <c r="R94" s="9">
        <v>8</v>
      </c>
      <c r="S94" s="9">
        <v>17</v>
      </c>
      <c r="T94" s="9">
        <v>6</v>
      </c>
      <c r="U94" s="9">
        <v>8</v>
      </c>
      <c r="W94" s="25">
        <v>1</v>
      </c>
      <c r="X94" s="25">
        <v>1</v>
      </c>
      <c r="Y94" s="25">
        <v>1</v>
      </c>
      <c r="Z94" s="25">
        <v>1</v>
      </c>
      <c r="AA94" s="25">
        <v>1</v>
      </c>
      <c r="AH94" s="5"/>
      <c r="AI94" s="5"/>
      <c r="AO94" s="5"/>
    </row>
    <row r="95" spans="10:41">
      <c r="J95" s="9">
        <v>91</v>
      </c>
      <c r="K95" s="16" t="s">
        <v>37</v>
      </c>
      <c r="L95" s="16" t="s">
        <v>36</v>
      </c>
      <c r="M95" s="16" t="s">
        <v>92</v>
      </c>
      <c r="N95" s="16" t="s">
        <v>19</v>
      </c>
      <c r="O95" s="16" t="s">
        <v>36</v>
      </c>
      <c r="Q95" s="9">
        <v>7</v>
      </c>
      <c r="R95" s="9">
        <v>10</v>
      </c>
      <c r="S95" s="9">
        <v>16</v>
      </c>
      <c r="T95" s="9">
        <v>5</v>
      </c>
      <c r="U95" s="9">
        <v>10</v>
      </c>
      <c r="W95" s="25">
        <v>1</v>
      </c>
      <c r="X95" s="25">
        <v>1</v>
      </c>
      <c r="Y95" s="25">
        <v>1</v>
      </c>
      <c r="Z95" s="25">
        <v>1</v>
      </c>
      <c r="AA95" s="25">
        <v>1</v>
      </c>
      <c r="AH95" s="5"/>
      <c r="AI95" s="5"/>
      <c r="AO95" s="5"/>
    </row>
    <row r="96" spans="10:41">
      <c r="J96" s="25">
        <v>92</v>
      </c>
      <c r="K96" s="16" t="s">
        <v>136</v>
      </c>
      <c r="L96" s="16" t="s">
        <v>136</v>
      </c>
      <c r="M96" s="16" t="s">
        <v>119</v>
      </c>
      <c r="N96" s="16" t="s">
        <v>36</v>
      </c>
      <c r="O96" s="16" t="s">
        <v>19</v>
      </c>
      <c r="Q96" s="9">
        <v>6</v>
      </c>
      <c r="R96" s="9">
        <v>6</v>
      </c>
      <c r="S96" s="9">
        <v>17</v>
      </c>
      <c r="T96" s="9">
        <v>10</v>
      </c>
      <c r="U96" s="9">
        <v>5</v>
      </c>
      <c r="W96" s="25">
        <v>1</v>
      </c>
      <c r="X96" s="25">
        <v>1</v>
      </c>
      <c r="Y96" s="25">
        <v>1</v>
      </c>
      <c r="Z96" s="25">
        <v>1</v>
      </c>
      <c r="AA96" s="25">
        <v>1</v>
      </c>
      <c r="AH96" s="5"/>
      <c r="AI96" s="5"/>
      <c r="AO96" s="5"/>
    </row>
    <row r="97" spans="10:41">
      <c r="J97" s="9">
        <v>93</v>
      </c>
      <c r="K97" s="16" t="s">
        <v>37</v>
      </c>
      <c r="L97" s="16" t="s">
        <v>34</v>
      </c>
      <c r="M97" s="16" t="s">
        <v>91</v>
      </c>
      <c r="N97" s="16" t="s">
        <v>37</v>
      </c>
      <c r="O97" s="16" t="s">
        <v>37</v>
      </c>
      <c r="Q97" s="9">
        <v>7</v>
      </c>
      <c r="R97" s="9">
        <v>9</v>
      </c>
      <c r="S97" s="9">
        <v>14</v>
      </c>
      <c r="T97" s="9">
        <v>7</v>
      </c>
      <c r="U97" s="9">
        <v>7</v>
      </c>
      <c r="W97" s="25">
        <v>1</v>
      </c>
      <c r="X97" s="25">
        <v>1</v>
      </c>
      <c r="Y97" s="25">
        <v>1</v>
      </c>
      <c r="Z97" s="25">
        <v>1</v>
      </c>
      <c r="AA97" s="25">
        <v>1</v>
      </c>
      <c r="AH97" s="5"/>
      <c r="AI97" s="5"/>
      <c r="AO97" s="5"/>
    </row>
    <row r="98" spans="10:41">
      <c r="J98" s="25">
        <v>94</v>
      </c>
      <c r="K98" s="16" t="s">
        <v>35</v>
      </c>
      <c r="L98" s="16" t="s">
        <v>95</v>
      </c>
      <c r="M98" s="16" t="s">
        <v>92</v>
      </c>
      <c r="N98" s="16" t="s">
        <v>35</v>
      </c>
      <c r="O98" s="16" t="s">
        <v>19</v>
      </c>
      <c r="Q98" s="9">
        <v>8</v>
      </c>
      <c r="R98" s="9">
        <v>18</v>
      </c>
      <c r="S98" s="9">
        <v>16</v>
      </c>
      <c r="T98" s="9">
        <v>8</v>
      </c>
      <c r="U98" s="9">
        <v>5</v>
      </c>
      <c r="W98" s="25">
        <v>1</v>
      </c>
      <c r="X98" s="25">
        <v>1</v>
      </c>
      <c r="Y98" s="25">
        <v>1</v>
      </c>
      <c r="Z98" s="25">
        <v>1</v>
      </c>
      <c r="AA98" s="25">
        <v>1</v>
      </c>
      <c r="AH98" s="5"/>
      <c r="AI98" s="5"/>
      <c r="AO98" s="5"/>
    </row>
    <row r="99" spans="10:41">
      <c r="J99" s="9">
        <v>95</v>
      </c>
      <c r="K99" s="16" t="s">
        <v>37</v>
      </c>
      <c r="L99" s="16" t="s">
        <v>21</v>
      </c>
      <c r="M99" s="16" t="s">
        <v>119</v>
      </c>
      <c r="N99" s="16" t="s">
        <v>91</v>
      </c>
      <c r="O99" s="16" t="s">
        <v>136</v>
      </c>
      <c r="Q99" s="9">
        <v>7</v>
      </c>
      <c r="R99" s="9">
        <v>2</v>
      </c>
      <c r="S99" s="9">
        <v>17</v>
      </c>
      <c r="T99" s="9">
        <v>14</v>
      </c>
      <c r="U99" s="9">
        <v>6</v>
      </c>
      <c r="W99" s="25">
        <v>1</v>
      </c>
      <c r="X99" s="25">
        <v>1</v>
      </c>
      <c r="Y99" s="25">
        <v>1</v>
      </c>
      <c r="Z99" s="25">
        <v>1</v>
      </c>
      <c r="AA99" s="25">
        <v>1</v>
      </c>
      <c r="AH99" s="5"/>
      <c r="AI99" s="5"/>
      <c r="AO99" s="5"/>
    </row>
    <row r="100" spans="10:41">
      <c r="J100" s="25">
        <v>96</v>
      </c>
      <c r="K100" s="16" t="s">
        <v>19</v>
      </c>
      <c r="L100" s="16" t="s">
        <v>36</v>
      </c>
      <c r="M100" s="16" t="s">
        <v>137</v>
      </c>
      <c r="N100" s="16" t="s">
        <v>97</v>
      </c>
      <c r="O100" s="16" t="s">
        <v>18</v>
      </c>
      <c r="Q100" s="9">
        <v>5</v>
      </c>
      <c r="R100" s="9">
        <v>10</v>
      </c>
      <c r="S100" s="9">
        <v>15</v>
      </c>
      <c r="T100" s="9">
        <v>19</v>
      </c>
      <c r="U100" s="9">
        <v>4</v>
      </c>
      <c r="W100" s="25">
        <v>1</v>
      </c>
      <c r="X100" s="25">
        <v>1</v>
      </c>
      <c r="Y100" s="25">
        <v>1</v>
      </c>
      <c r="Z100" s="25">
        <v>1</v>
      </c>
      <c r="AA100" s="25">
        <v>1</v>
      </c>
      <c r="AH100" s="5"/>
      <c r="AI100" s="5"/>
      <c r="AO100" s="5"/>
    </row>
    <row r="101" spans="10:41">
      <c r="J101" s="9">
        <v>97</v>
      </c>
      <c r="K101" s="16" t="s">
        <v>136</v>
      </c>
      <c r="L101" s="16" t="s">
        <v>34</v>
      </c>
      <c r="M101" s="16" t="s">
        <v>119</v>
      </c>
      <c r="N101" s="16" t="s">
        <v>37</v>
      </c>
      <c r="O101" s="16" t="s">
        <v>136</v>
      </c>
      <c r="Q101" s="9">
        <v>6</v>
      </c>
      <c r="R101" s="9">
        <v>9</v>
      </c>
      <c r="S101" s="9">
        <v>17</v>
      </c>
      <c r="T101" s="9">
        <v>7</v>
      </c>
      <c r="U101" s="9">
        <v>6</v>
      </c>
      <c r="W101" s="25">
        <v>1</v>
      </c>
      <c r="X101" s="25">
        <v>1</v>
      </c>
      <c r="Y101" s="25">
        <v>1</v>
      </c>
      <c r="Z101" s="25">
        <v>1</v>
      </c>
      <c r="AA101" s="25">
        <v>1</v>
      </c>
      <c r="AH101" s="5"/>
      <c r="AI101" s="5"/>
      <c r="AO101" s="5"/>
    </row>
    <row r="102" spans="10:41">
      <c r="J102" s="25">
        <v>98</v>
      </c>
      <c r="K102" s="16" t="s">
        <v>35</v>
      </c>
      <c r="L102" s="16" t="s">
        <v>37</v>
      </c>
      <c r="M102" s="16" t="s">
        <v>137</v>
      </c>
      <c r="N102" s="16" t="s">
        <v>97</v>
      </c>
      <c r="O102" s="16" t="s">
        <v>35</v>
      </c>
      <c r="Q102" s="9">
        <v>8</v>
      </c>
      <c r="R102" s="9">
        <v>7</v>
      </c>
      <c r="S102" s="9">
        <v>15</v>
      </c>
      <c r="T102" s="9">
        <v>19</v>
      </c>
      <c r="U102" s="9">
        <v>8</v>
      </c>
      <c r="W102" s="25">
        <v>1</v>
      </c>
      <c r="X102" s="25">
        <v>1</v>
      </c>
      <c r="Y102" s="25">
        <v>1</v>
      </c>
      <c r="Z102" s="25">
        <v>1</v>
      </c>
      <c r="AA102" s="25">
        <v>1</v>
      </c>
      <c r="AH102" s="5"/>
      <c r="AI102" s="5"/>
      <c r="AO102" s="5"/>
    </row>
    <row r="103" spans="10:41">
      <c r="J103" s="9">
        <v>99</v>
      </c>
      <c r="K103" s="16" t="s">
        <v>37</v>
      </c>
      <c r="L103" s="16" t="s">
        <v>90</v>
      </c>
      <c r="M103" s="16" t="s">
        <v>119</v>
      </c>
      <c r="N103" s="16" t="s">
        <v>35</v>
      </c>
      <c r="O103" s="16" t="s">
        <v>18</v>
      </c>
      <c r="Q103" s="9">
        <v>7</v>
      </c>
      <c r="R103" s="9">
        <v>13</v>
      </c>
      <c r="S103" s="9">
        <v>17</v>
      </c>
      <c r="T103" s="9">
        <v>8</v>
      </c>
      <c r="U103" s="9">
        <v>4</v>
      </c>
      <c r="W103" s="25">
        <v>1</v>
      </c>
      <c r="X103" s="25">
        <v>1</v>
      </c>
      <c r="Y103" s="25">
        <v>1</v>
      </c>
      <c r="Z103" s="25">
        <v>1</v>
      </c>
      <c r="AA103" s="25">
        <v>1</v>
      </c>
      <c r="AH103" s="5"/>
      <c r="AI103" s="5"/>
      <c r="AO103" s="5"/>
    </row>
    <row r="104" spans="10:41">
      <c r="J104" s="25">
        <v>100</v>
      </c>
      <c r="K104" s="16" t="s">
        <v>19</v>
      </c>
      <c r="L104" s="16" t="s">
        <v>92</v>
      </c>
      <c r="M104" s="16" t="s">
        <v>91</v>
      </c>
      <c r="N104" s="16" t="s">
        <v>91</v>
      </c>
      <c r="O104" s="16" t="s">
        <v>136</v>
      </c>
      <c r="Q104" s="9">
        <v>5</v>
      </c>
      <c r="R104" s="9">
        <v>16</v>
      </c>
      <c r="S104" s="9">
        <v>14</v>
      </c>
      <c r="T104" s="9">
        <v>14</v>
      </c>
      <c r="U104" s="9">
        <v>6</v>
      </c>
      <c r="W104" s="25">
        <v>1</v>
      </c>
      <c r="X104" s="25">
        <v>1</v>
      </c>
      <c r="Y104" s="25">
        <v>1</v>
      </c>
      <c r="Z104" s="25">
        <v>1</v>
      </c>
      <c r="AA104" s="25">
        <v>1</v>
      </c>
      <c r="AH104" s="5"/>
      <c r="AI104" s="5"/>
      <c r="AO104" s="5"/>
    </row>
    <row r="105" spans="10:41">
      <c r="J105" s="25">
        <v>101</v>
      </c>
      <c r="K105" s="16" t="s">
        <v>36</v>
      </c>
      <c r="L105" s="16" t="s">
        <v>36</v>
      </c>
      <c r="M105" s="16" t="s">
        <v>137</v>
      </c>
      <c r="N105" s="16" t="s">
        <v>136</v>
      </c>
      <c r="O105" s="16" t="s">
        <v>21</v>
      </c>
      <c r="Q105" s="9">
        <v>10</v>
      </c>
      <c r="R105" s="9">
        <v>10</v>
      </c>
      <c r="S105" s="9">
        <v>15</v>
      </c>
      <c r="T105" s="9">
        <v>6</v>
      </c>
      <c r="U105" s="9">
        <v>2</v>
      </c>
      <c r="W105" s="25">
        <v>1</v>
      </c>
      <c r="X105" s="25">
        <v>1</v>
      </c>
      <c r="Y105" s="25">
        <v>1</v>
      </c>
      <c r="Z105" s="25">
        <v>1</v>
      </c>
      <c r="AA105" s="25">
        <v>1</v>
      </c>
      <c r="AH105" s="5"/>
      <c r="AI105" s="5"/>
      <c r="AO105" s="5"/>
    </row>
    <row r="106" spans="10:41">
      <c r="J106" s="9">
        <v>102</v>
      </c>
      <c r="K106" s="16" t="s">
        <v>136</v>
      </c>
      <c r="L106" s="16" t="s">
        <v>37</v>
      </c>
      <c r="M106" s="16" t="s">
        <v>95</v>
      </c>
      <c r="N106" s="16" t="s">
        <v>18</v>
      </c>
      <c r="O106" s="16" t="s">
        <v>18</v>
      </c>
      <c r="Q106" s="9">
        <v>6</v>
      </c>
      <c r="R106" s="9">
        <v>7</v>
      </c>
      <c r="S106" s="9">
        <v>18</v>
      </c>
      <c r="T106" s="9">
        <v>4</v>
      </c>
      <c r="U106" s="9">
        <v>4</v>
      </c>
      <c r="W106" s="25">
        <v>1</v>
      </c>
      <c r="X106" s="25">
        <v>1</v>
      </c>
      <c r="Y106" s="25">
        <v>1</v>
      </c>
      <c r="Z106" s="25">
        <v>1</v>
      </c>
      <c r="AA106" s="25">
        <v>1</v>
      </c>
      <c r="AH106" s="5"/>
      <c r="AI106" s="5"/>
      <c r="AO106" s="5"/>
    </row>
    <row r="107" spans="10:41">
      <c r="J107" s="25">
        <v>103</v>
      </c>
      <c r="K107" s="16" t="s">
        <v>19</v>
      </c>
      <c r="L107" s="16" t="s">
        <v>92</v>
      </c>
      <c r="M107" s="16" t="s">
        <v>119</v>
      </c>
      <c r="N107" s="16" t="s">
        <v>137</v>
      </c>
      <c r="O107" s="16" t="s">
        <v>136</v>
      </c>
      <c r="Q107" s="9">
        <v>5</v>
      </c>
      <c r="R107" s="9">
        <v>16</v>
      </c>
      <c r="S107" s="9">
        <v>17</v>
      </c>
      <c r="T107" s="9">
        <v>15</v>
      </c>
      <c r="U107" s="9">
        <v>6</v>
      </c>
      <c r="W107" s="25">
        <v>1</v>
      </c>
      <c r="X107" s="25">
        <v>1</v>
      </c>
      <c r="Y107" s="25">
        <v>1</v>
      </c>
      <c r="Z107" s="25">
        <v>1</v>
      </c>
      <c r="AA107" s="25">
        <v>1</v>
      </c>
      <c r="AH107" s="5"/>
      <c r="AI107" s="5"/>
      <c r="AO107" s="5"/>
    </row>
    <row r="108" spans="10:41">
      <c r="J108" s="9">
        <v>104</v>
      </c>
      <c r="K108" s="16" t="s">
        <v>37</v>
      </c>
      <c r="L108" s="16" t="s">
        <v>37</v>
      </c>
      <c r="M108" s="16" t="s">
        <v>137</v>
      </c>
      <c r="N108" s="16" t="s">
        <v>19</v>
      </c>
      <c r="O108" s="16" t="s">
        <v>37</v>
      </c>
      <c r="Q108" s="9">
        <v>7</v>
      </c>
      <c r="R108" s="9">
        <v>7</v>
      </c>
      <c r="S108" s="9">
        <v>15</v>
      </c>
      <c r="T108" s="9">
        <v>5</v>
      </c>
      <c r="U108" s="9">
        <v>7</v>
      </c>
      <c r="W108" s="25">
        <v>1</v>
      </c>
      <c r="X108" s="25">
        <v>1</v>
      </c>
      <c r="Y108" s="25">
        <v>1</v>
      </c>
      <c r="Z108" s="25">
        <v>1</v>
      </c>
      <c r="AA108" s="25">
        <v>1</v>
      </c>
      <c r="AH108" s="5"/>
      <c r="AI108" s="5"/>
      <c r="AO108" s="5"/>
    </row>
    <row r="109" spans="10:41">
      <c r="J109" s="25">
        <v>105</v>
      </c>
      <c r="K109" s="16" t="s">
        <v>19</v>
      </c>
      <c r="L109" s="16" t="s">
        <v>92</v>
      </c>
      <c r="M109" s="16" t="s">
        <v>119</v>
      </c>
      <c r="N109" s="16" t="s">
        <v>35</v>
      </c>
      <c r="O109" s="16" t="s">
        <v>34</v>
      </c>
      <c r="Q109" s="9">
        <v>5</v>
      </c>
      <c r="R109" s="9">
        <v>16</v>
      </c>
      <c r="S109" s="9">
        <v>17</v>
      </c>
      <c r="T109" s="9">
        <v>8</v>
      </c>
      <c r="U109" s="9">
        <v>9</v>
      </c>
      <c r="W109" s="25">
        <v>1</v>
      </c>
      <c r="X109" s="25">
        <v>1</v>
      </c>
      <c r="Y109" s="25">
        <v>1</v>
      </c>
      <c r="Z109" s="25">
        <v>1</v>
      </c>
      <c r="AA109" s="25">
        <v>1</v>
      </c>
      <c r="AH109" s="5"/>
      <c r="AI109" s="5"/>
      <c r="AO109" s="5"/>
    </row>
    <row r="110" spans="10:41">
      <c r="J110" s="9">
        <v>106</v>
      </c>
      <c r="K110" s="16" t="s">
        <v>37</v>
      </c>
      <c r="L110" s="16" t="s">
        <v>97</v>
      </c>
      <c r="M110" s="16" t="s">
        <v>91</v>
      </c>
      <c r="N110" s="16" t="s">
        <v>19</v>
      </c>
      <c r="O110" s="16" t="s">
        <v>37</v>
      </c>
      <c r="Q110" s="9">
        <v>7</v>
      </c>
      <c r="R110" s="9">
        <v>19</v>
      </c>
      <c r="S110" s="9">
        <v>14</v>
      </c>
      <c r="T110" s="9">
        <v>5</v>
      </c>
      <c r="U110" s="9">
        <v>7</v>
      </c>
      <c r="W110" s="25">
        <v>1</v>
      </c>
      <c r="X110" s="25">
        <v>1</v>
      </c>
      <c r="Y110" s="25">
        <v>1</v>
      </c>
      <c r="Z110" s="25">
        <v>1</v>
      </c>
      <c r="AA110" s="25">
        <v>1</v>
      </c>
      <c r="AH110" s="5"/>
      <c r="AI110" s="5"/>
      <c r="AO110" s="5"/>
    </row>
    <row r="111" spans="10:41">
      <c r="J111" s="25">
        <v>107</v>
      </c>
      <c r="K111" s="16" t="s">
        <v>35</v>
      </c>
      <c r="L111" s="16" t="s">
        <v>22</v>
      </c>
      <c r="M111" s="16" t="s">
        <v>92</v>
      </c>
      <c r="N111" s="16" t="s">
        <v>37</v>
      </c>
      <c r="O111" s="16" t="s">
        <v>21</v>
      </c>
      <c r="Q111" s="9">
        <v>8</v>
      </c>
      <c r="R111" s="9">
        <v>3</v>
      </c>
      <c r="S111" s="9">
        <v>16</v>
      </c>
      <c r="T111" s="9">
        <v>7</v>
      </c>
      <c r="U111" s="9">
        <v>2</v>
      </c>
      <c r="W111" s="25">
        <v>1</v>
      </c>
      <c r="X111" s="25">
        <v>1</v>
      </c>
      <c r="Y111" s="25">
        <v>1</v>
      </c>
      <c r="Z111" s="25">
        <v>1</v>
      </c>
      <c r="AA111" s="25">
        <v>1</v>
      </c>
      <c r="AH111" s="5"/>
      <c r="AI111" s="5"/>
      <c r="AO111" s="5"/>
    </row>
    <row r="112" spans="10:41">
      <c r="J112" s="9">
        <v>108</v>
      </c>
      <c r="K112" s="16" t="s">
        <v>19</v>
      </c>
      <c r="L112" s="16" t="s">
        <v>88</v>
      </c>
      <c r="M112" s="16" t="s">
        <v>137</v>
      </c>
      <c r="N112" s="16" t="s">
        <v>136</v>
      </c>
      <c r="O112" s="16" t="s">
        <v>37</v>
      </c>
      <c r="Q112" s="9">
        <v>5</v>
      </c>
      <c r="R112" s="9">
        <v>11</v>
      </c>
      <c r="S112" s="9">
        <v>15</v>
      </c>
      <c r="T112" s="9">
        <v>6</v>
      </c>
      <c r="U112" s="9">
        <v>7</v>
      </c>
      <c r="W112" s="25">
        <v>1</v>
      </c>
      <c r="X112" s="25">
        <v>1</v>
      </c>
      <c r="Y112" s="25">
        <v>1</v>
      </c>
      <c r="Z112" s="25">
        <v>1</v>
      </c>
      <c r="AA112" s="25">
        <v>1</v>
      </c>
      <c r="AH112" s="5"/>
      <c r="AI112" s="5"/>
      <c r="AO112" s="5"/>
    </row>
    <row r="113" spans="10:41">
      <c r="J113" s="25">
        <v>109</v>
      </c>
      <c r="K113" s="16" t="s">
        <v>136</v>
      </c>
      <c r="L113" s="16" t="s">
        <v>18</v>
      </c>
      <c r="M113" s="16" t="s">
        <v>97</v>
      </c>
      <c r="N113" s="16" t="s">
        <v>34</v>
      </c>
      <c r="O113" s="16" t="s">
        <v>19</v>
      </c>
      <c r="Q113" s="9">
        <v>6</v>
      </c>
      <c r="R113" s="9">
        <v>4</v>
      </c>
      <c r="S113" s="9">
        <v>19</v>
      </c>
      <c r="T113" s="9">
        <v>9</v>
      </c>
      <c r="U113" s="9">
        <v>5</v>
      </c>
      <c r="W113" s="25">
        <v>1</v>
      </c>
      <c r="X113" s="25">
        <v>1</v>
      </c>
      <c r="Y113" s="25">
        <v>1</v>
      </c>
      <c r="Z113" s="25">
        <v>1</v>
      </c>
      <c r="AA113" s="25">
        <v>1</v>
      </c>
      <c r="AH113" s="5"/>
      <c r="AI113" s="5"/>
      <c r="AO113" s="5"/>
    </row>
    <row r="114" spans="10:41">
      <c r="J114" s="9">
        <v>110</v>
      </c>
      <c r="K114" s="16" t="s">
        <v>19</v>
      </c>
      <c r="L114" s="16" t="s">
        <v>37</v>
      </c>
      <c r="M114" s="16" t="s">
        <v>92</v>
      </c>
      <c r="N114" s="16" t="s">
        <v>19</v>
      </c>
      <c r="O114" s="16" t="s">
        <v>136</v>
      </c>
      <c r="Q114" s="9">
        <v>5</v>
      </c>
      <c r="R114" s="9">
        <v>7</v>
      </c>
      <c r="S114" s="9">
        <v>16</v>
      </c>
      <c r="T114" s="9">
        <v>5</v>
      </c>
      <c r="U114" s="9">
        <v>6</v>
      </c>
      <c r="W114" s="25">
        <v>1</v>
      </c>
      <c r="X114" s="25">
        <v>1</v>
      </c>
      <c r="Y114" s="25">
        <v>1</v>
      </c>
      <c r="Z114" s="25">
        <v>1</v>
      </c>
      <c r="AA114" s="25">
        <v>1</v>
      </c>
      <c r="AH114" s="5"/>
      <c r="AI114" s="5"/>
      <c r="AO114" s="5"/>
    </row>
    <row r="115" spans="10:41">
      <c r="J115" s="25">
        <v>111</v>
      </c>
      <c r="K115" s="16" t="s">
        <v>20</v>
      </c>
      <c r="L115" s="16" t="s">
        <v>18</v>
      </c>
      <c r="M115" s="16" t="s">
        <v>137</v>
      </c>
      <c r="N115" s="16" t="s">
        <v>37</v>
      </c>
      <c r="O115" s="16" t="s">
        <v>35</v>
      </c>
      <c r="Q115" s="9">
        <v>1</v>
      </c>
      <c r="R115" s="9">
        <v>4</v>
      </c>
      <c r="S115" s="9">
        <v>15</v>
      </c>
      <c r="T115" s="9">
        <v>7</v>
      </c>
      <c r="U115" s="9">
        <v>8</v>
      </c>
      <c r="W115" s="25">
        <v>1</v>
      </c>
      <c r="X115" s="25">
        <v>1</v>
      </c>
      <c r="Y115" s="25">
        <v>1</v>
      </c>
      <c r="Z115" s="25">
        <v>1</v>
      </c>
      <c r="AA115" s="25">
        <v>1</v>
      </c>
      <c r="AH115" s="5"/>
      <c r="AI115" s="5"/>
      <c r="AO115" s="5"/>
    </row>
    <row r="116" spans="10:41">
      <c r="J116" s="9">
        <v>112</v>
      </c>
      <c r="K116" s="16" t="s">
        <v>136</v>
      </c>
      <c r="L116" s="16" t="s">
        <v>92</v>
      </c>
      <c r="M116" s="16" t="s">
        <v>20</v>
      </c>
      <c r="N116" s="16" t="s">
        <v>19</v>
      </c>
      <c r="O116" s="16" t="s">
        <v>37</v>
      </c>
      <c r="Q116" s="9">
        <v>6</v>
      </c>
      <c r="R116" s="9">
        <v>16</v>
      </c>
      <c r="S116" s="9">
        <v>1</v>
      </c>
      <c r="T116" s="9">
        <v>5</v>
      </c>
      <c r="U116" s="9">
        <v>7</v>
      </c>
      <c r="W116" s="25">
        <v>1</v>
      </c>
      <c r="X116" s="25">
        <v>1</v>
      </c>
      <c r="Y116" s="25">
        <v>1</v>
      </c>
      <c r="Z116" s="25">
        <v>1</v>
      </c>
      <c r="AA116" s="25">
        <v>1</v>
      </c>
      <c r="AH116" s="5"/>
      <c r="AI116" s="5"/>
      <c r="AO116" s="5"/>
    </row>
    <row r="117" spans="10:41">
      <c r="J117" s="25">
        <v>113</v>
      </c>
      <c r="K117" s="16" t="s">
        <v>34</v>
      </c>
      <c r="L117" s="16" t="s">
        <v>22</v>
      </c>
      <c r="M117" s="16" t="s">
        <v>91</v>
      </c>
      <c r="N117" s="16" t="s">
        <v>35</v>
      </c>
      <c r="O117" s="16" t="s">
        <v>136</v>
      </c>
      <c r="Q117" s="9">
        <v>9</v>
      </c>
      <c r="R117" s="9">
        <v>3</v>
      </c>
      <c r="S117" s="9">
        <v>14</v>
      </c>
      <c r="T117" s="9">
        <v>8</v>
      </c>
      <c r="U117" s="9">
        <v>6</v>
      </c>
      <c r="W117" s="25">
        <v>1</v>
      </c>
      <c r="X117" s="25">
        <v>1</v>
      </c>
      <c r="Y117" s="25">
        <v>1</v>
      </c>
      <c r="Z117" s="25">
        <v>1</v>
      </c>
      <c r="AA117" s="25">
        <v>1</v>
      </c>
      <c r="AH117" s="5"/>
      <c r="AI117" s="5"/>
      <c r="AO117" s="5"/>
    </row>
    <row r="118" spans="10:41">
      <c r="J118" s="9">
        <v>114</v>
      </c>
      <c r="K118" s="16" t="s">
        <v>35</v>
      </c>
      <c r="L118" s="16" t="s">
        <v>19</v>
      </c>
      <c r="M118" s="16" t="s">
        <v>92</v>
      </c>
      <c r="N118" s="16" t="s">
        <v>18</v>
      </c>
      <c r="O118" s="16" t="s">
        <v>19</v>
      </c>
      <c r="Q118" s="9">
        <v>8</v>
      </c>
      <c r="R118" s="9">
        <v>5</v>
      </c>
      <c r="S118" s="9">
        <v>16</v>
      </c>
      <c r="T118" s="9">
        <v>4</v>
      </c>
      <c r="U118" s="9">
        <v>5</v>
      </c>
      <c r="W118" s="25">
        <v>1</v>
      </c>
      <c r="X118" s="25">
        <v>1</v>
      </c>
      <c r="Y118" s="25">
        <v>1</v>
      </c>
      <c r="Z118" s="25">
        <v>1</v>
      </c>
      <c r="AA118" s="25">
        <v>1</v>
      </c>
      <c r="AH118" s="5"/>
      <c r="AI118" s="5"/>
      <c r="AO118" s="5"/>
    </row>
    <row r="119" spans="10:41">
      <c r="J119" s="25">
        <v>115</v>
      </c>
      <c r="K119" s="16" t="s">
        <v>37</v>
      </c>
      <c r="L119" s="16" t="s">
        <v>22</v>
      </c>
      <c r="M119" s="16" t="s">
        <v>91</v>
      </c>
      <c r="N119" s="16" t="s">
        <v>37</v>
      </c>
      <c r="O119" s="16" t="s">
        <v>136</v>
      </c>
      <c r="Q119" s="9">
        <v>7</v>
      </c>
      <c r="R119" s="9">
        <v>3</v>
      </c>
      <c r="S119" s="9">
        <v>14</v>
      </c>
      <c r="T119" s="9">
        <v>7</v>
      </c>
      <c r="U119" s="9">
        <v>6</v>
      </c>
      <c r="W119" s="25">
        <v>1</v>
      </c>
      <c r="X119" s="25">
        <v>1</v>
      </c>
      <c r="Y119" s="25">
        <v>1</v>
      </c>
      <c r="Z119" s="25">
        <v>1</v>
      </c>
      <c r="AA119" s="25">
        <v>1</v>
      </c>
      <c r="AH119" s="5"/>
      <c r="AI119" s="5"/>
      <c r="AO119" s="5"/>
    </row>
    <row r="120" spans="10:41">
      <c r="J120" s="9">
        <v>116</v>
      </c>
      <c r="K120" s="16" t="s">
        <v>36</v>
      </c>
      <c r="L120" s="16" t="s">
        <v>92</v>
      </c>
      <c r="M120" s="16" t="s">
        <v>137</v>
      </c>
      <c r="N120" s="16" t="s">
        <v>22</v>
      </c>
      <c r="O120" s="16" t="s">
        <v>35</v>
      </c>
      <c r="Q120" s="9">
        <v>10</v>
      </c>
      <c r="R120" s="9">
        <v>16</v>
      </c>
      <c r="S120" s="9">
        <v>15</v>
      </c>
      <c r="T120" s="9">
        <v>3</v>
      </c>
      <c r="U120" s="9">
        <v>8</v>
      </c>
      <c r="W120" s="25">
        <v>1</v>
      </c>
      <c r="X120" s="25">
        <v>1</v>
      </c>
      <c r="Y120" s="25">
        <v>1</v>
      </c>
      <c r="Z120" s="25">
        <v>1</v>
      </c>
      <c r="AA120" s="25">
        <v>1</v>
      </c>
      <c r="AH120" s="5"/>
      <c r="AI120" s="5"/>
      <c r="AO120" s="5"/>
    </row>
    <row r="121" spans="10:41">
      <c r="J121" s="25">
        <v>117</v>
      </c>
      <c r="K121" s="16" t="s">
        <v>37</v>
      </c>
      <c r="L121" s="16" t="s">
        <v>18</v>
      </c>
      <c r="M121" s="16" t="s">
        <v>92</v>
      </c>
      <c r="N121" s="16" t="s">
        <v>37</v>
      </c>
      <c r="O121" s="16" t="s">
        <v>136</v>
      </c>
      <c r="Q121" s="9">
        <v>7</v>
      </c>
      <c r="R121" s="9">
        <v>4</v>
      </c>
      <c r="S121" s="9">
        <v>16</v>
      </c>
      <c r="T121" s="9">
        <v>7</v>
      </c>
      <c r="U121" s="9">
        <v>6</v>
      </c>
      <c r="W121" s="25">
        <v>1</v>
      </c>
      <c r="X121" s="25">
        <v>1</v>
      </c>
      <c r="Y121" s="25">
        <v>1</v>
      </c>
      <c r="Z121" s="25">
        <v>1</v>
      </c>
      <c r="AA121" s="25">
        <v>1</v>
      </c>
      <c r="AH121" s="5"/>
      <c r="AI121" s="5"/>
      <c r="AO121" s="5"/>
    </row>
    <row r="122" spans="10:41">
      <c r="J122" s="9">
        <v>118</v>
      </c>
      <c r="K122" s="16" t="s">
        <v>34</v>
      </c>
      <c r="L122" s="16" t="s">
        <v>137</v>
      </c>
      <c r="M122" s="16" t="s">
        <v>119</v>
      </c>
      <c r="N122" s="16" t="s">
        <v>136</v>
      </c>
      <c r="O122" s="16" t="s">
        <v>22</v>
      </c>
      <c r="Q122" s="9">
        <v>9</v>
      </c>
      <c r="R122" s="9">
        <v>15</v>
      </c>
      <c r="S122" s="9">
        <v>17</v>
      </c>
      <c r="T122" s="9">
        <v>6</v>
      </c>
      <c r="U122" s="9">
        <v>3</v>
      </c>
      <c r="W122" s="25">
        <v>1</v>
      </c>
      <c r="X122" s="25">
        <v>1</v>
      </c>
      <c r="Y122" s="25">
        <v>1</v>
      </c>
      <c r="Z122" s="25">
        <v>1</v>
      </c>
      <c r="AA122" s="25">
        <v>1</v>
      </c>
      <c r="AH122" s="5"/>
      <c r="AI122" s="5"/>
      <c r="AO122" s="5"/>
    </row>
    <row r="123" spans="10:41">
      <c r="J123" s="25">
        <v>119</v>
      </c>
      <c r="K123" s="16" t="s">
        <v>136</v>
      </c>
      <c r="L123" s="16" t="s">
        <v>136</v>
      </c>
      <c r="M123" s="16" t="s">
        <v>92</v>
      </c>
      <c r="N123" s="16" t="s">
        <v>19</v>
      </c>
      <c r="O123" s="16" t="s">
        <v>19</v>
      </c>
      <c r="Q123" s="9">
        <v>6</v>
      </c>
      <c r="R123" s="9">
        <v>6</v>
      </c>
      <c r="S123" s="9">
        <v>16</v>
      </c>
      <c r="T123" s="9">
        <v>5</v>
      </c>
      <c r="U123" s="9">
        <v>5</v>
      </c>
      <c r="W123" s="25">
        <v>1</v>
      </c>
      <c r="X123" s="25">
        <v>1</v>
      </c>
      <c r="Y123" s="25">
        <v>1</v>
      </c>
      <c r="Z123" s="25">
        <v>1</v>
      </c>
      <c r="AA123" s="25">
        <v>1</v>
      </c>
      <c r="AH123" s="5"/>
      <c r="AI123" s="5"/>
      <c r="AO123" s="5"/>
    </row>
    <row r="124" spans="10:41">
      <c r="J124" s="9">
        <v>120</v>
      </c>
      <c r="K124" s="16" t="s">
        <v>35</v>
      </c>
      <c r="L124" s="16" t="s">
        <v>22</v>
      </c>
      <c r="M124" s="16" t="s">
        <v>91</v>
      </c>
      <c r="N124" s="16" t="s">
        <v>35</v>
      </c>
      <c r="O124" s="16" t="s">
        <v>35</v>
      </c>
      <c r="Q124" s="9">
        <v>8</v>
      </c>
      <c r="R124" s="9">
        <v>3</v>
      </c>
      <c r="S124" s="9">
        <v>14</v>
      </c>
      <c r="T124" s="9">
        <v>8</v>
      </c>
      <c r="U124" s="9">
        <v>8</v>
      </c>
      <c r="W124" s="25">
        <v>1</v>
      </c>
      <c r="X124" s="25">
        <v>1</v>
      </c>
      <c r="Y124" s="25">
        <v>1</v>
      </c>
      <c r="Z124" s="25">
        <v>1</v>
      </c>
      <c r="AA124" s="25">
        <v>1</v>
      </c>
      <c r="AH124" s="5"/>
      <c r="AI124" s="5"/>
      <c r="AO124" s="5"/>
    </row>
    <row r="125" spans="10:41">
      <c r="J125" s="25">
        <v>121</v>
      </c>
      <c r="K125" s="16" t="s">
        <v>19</v>
      </c>
      <c r="L125" s="16" t="s">
        <v>36</v>
      </c>
      <c r="M125" s="16" t="s">
        <v>92</v>
      </c>
      <c r="N125" s="16" t="s">
        <v>37</v>
      </c>
      <c r="O125" s="16" t="s">
        <v>37</v>
      </c>
      <c r="Q125" s="9">
        <v>5</v>
      </c>
      <c r="R125" s="9">
        <v>10</v>
      </c>
      <c r="S125" s="9">
        <v>16</v>
      </c>
      <c r="T125" s="9">
        <v>7</v>
      </c>
      <c r="U125" s="9">
        <v>7</v>
      </c>
      <c r="W125" s="25">
        <v>1</v>
      </c>
      <c r="X125" s="25">
        <v>1</v>
      </c>
      <c r="Y125" s="25">
        <v>1</v>
      </c>
      <c r="Z125" s="25">
        <v>1</v>
      </c>
      <c r="AA125" s="25">
        <v>1</v>
      </c>
      <c r="AH125" s="5"/>
      <c r="AI125" s="5"/>
      <c r="AO125" s="5"/>
    </row>
    <row r="126" spans="10:41">
      <c r="J126" s="9">
        <v>122</v>
      </c>
      <c r="K126" s="16" t="s">
        <v>136</v>
      </c>
      <c r="L126" s="16" t="s">
        <v>35</v>
      </c>
      <c r="M126" s="16" t="s">
        <v>119</v>
      </c>
      <c r="N126" s="16" t="s">
        <v>19</v>
      </c>
      <c r="O126" s="16" t="s">
        <v>35</v>
      </c>
      <c r="Q126" s="9">
        <v>6</v>
      </c>
      <c r="R126" s="9">
        <v>8</v>
      </c>
      <c r="S126" s="9">
        <v>17</v>
      </c>
      <c r="T126" s="9">
        <v>5</v>
      </c>
      <c r="U126" s="9">
        <v>8</v>
      </c>
      <c r="W126" s="25">
        <v>1</v>
      </c>
      <c r="X126" s="25">
        <v>1</v>
      </c>
      <c r="Y126" s="25">
        <v>1</v>
      </c>
      <c r="Z126" s="25">
        <v>1</v>
      </c>
      <c r="AA126" s="25">
        <v>1</v>
      </c>
      <c r="AH126" s="5"/>
      <c r="AI126" s="5"/>
      <c r="AO126" s="5"/>
    </row>
    <row r="127" spans="10:41">
      <c r="J127" s="25">
        <v>123</v>
      </c>
      <c r="K127" s="16" t="s">
        <v>34</v>
      </c>
      <c r="L127" s="16" t="s">
        <v>91</v>
      </c>
      <c r="M127" s="16" t="s">
        <v>91</v>
      </c>
      <c r="N127" s="16" t="s">
        <v>88</v>
      </c>
      <c r="O127" s="16" t="s">
        <v>19</v>
      </c>
      <c r="Q127" s="9">
        <v>9</v>
      </c>
      <c r="R127" s="9">
        <v>14</v>
      </c>
      <c r="S127" s="9">
        <v>14</v>
      </c>
      <c r="T127" s="9">
        <v>11</v>
      </c>
      <c r="U127" s="9">
        <v>5</v>
      </c>
      <c r="W127" s="25">
        <v>1</v>
      </c>
      <c r="X127" s="25">
        <v>1</v>
      </c>
      <c r="Y127" s="25">
        <v>1</v>
      </c>
      <c r="Z127" s="25">
        <v>1</v>
      </c>
      <c r="AA127" s="25">
        <v>1</v>
      </c>
      <c r="AH127" s="5"/>
      <c r="AI127" s="5"/>
      <c r="AO127" s="5"/>
    </row>
    <row r="128" spans="10:41">
      <c r="J128" s="9">
        <v>124</v>
      </c>
      <c r="K128" s="16" t="s">
        <v>136</v>
      </c>
      <c r="L128" s="16" t="s">
        <v>92</v>
      </c>
      <c r="M128" s="16" t="s">
        <v>137</v>
      </c>
      <c r="N128" s="16" t="s">
        <v>37</v>
      </c>
      <c r="O128" s="16" t="s">
        <v>36</v>
      </c>
      <c r="Q128" s="9">
        <v>6</v>
      </c>
      <c r="R128" s="9">
        <v>16</v>
      </c>
      <c r="S128" s="9">
        <v>15</v>
      </c>
      <c r="T128" s="9">
        <v>7</v>
      </c>
      <c r="U128" s="9">
        <v>10</v>
      </c>
      <c r="W128" s="25">
        <v>1</v>
      </c>
      <c r="X128" s="25">
        <v>1</v>
      </c>
      <c r="Y128" s="25">
        <v>1</v>
      </c>
      <c r="Z128" s="25">
        <v>1</v>
      </c>
      <c r="AA128" s="25">
        <v>1</v>
      </c>
      <c r="AH128" s="5"/>
      <c r="AI128" s="5"/>
      <c r="AO128" s="5"/>
    </row>
    <row r="129" spans="10:41">
      <c r="J129" s="25">
        <v>125</v>
      </c>
      <c r="K129" s="16" t="s">
        <v>36</v>
      </c>
      <c r="L129" s="16" t="s">
        <v>35</v>
      </c>
      <c r="M129" s="16" t="s">
        <v>92</v>
      </c>
      <c r="N129" s="16" t="s">
        <v>36</v>
      </c>
      <c r="O129" s="16" t="s">
        <v>19</v>
      </c>
      <c r="Q129" s="9">
        <v>10</v>
      </c>
      <c r="R129" s="9">
        <v>8</v>
      </c>
      <c r="S129" s="9">
        <v>16</v>
      </c>
      <c r="T129" s="9">
        <v>10</v>
      </c>
      <c r="U129" s="9">
        <v>5</v>
      </c>
      <c r="W129" s="25">
        <v>1</v>
      </c>
      <c r="X129" s="25">
        <v>1</v>
      </c>
      <c r="Y129" s="25">
        <v>1</v>
      </c>
      <c r="Z129" s="25">
        <v>1</v>
      </c>
      <c r="AA129" s="25">
        <v>1</v>
      </c>
      <c r="AH129" s="5"/>
      <c r="AI129" s="5"/>
      <c r="AO129" s="5"/>
    </row>
    <row r="130" spans="10:41">
      <c r="J130" s="9">
        <v>126</v>
      </c>
      <c r="K130" s="16" t="s">
        <v>19</v>
      </c>
      <c r="L130" s="16" t="s">
        <v>91</v>
      </c>
      <c r="M130" s="16" t="s">
        <v>95</v>
      </c>
      <c r="N130" s="16" t="s">
        <v>18</v>
      </c>
      <c r="O130" s="16" t="s">
        <v>35</v>
      </c>
      <c r="Q130" s="9">
        <v>5</v>
      </c>
      <c r="R130" s="9">
        <v>14</v>
      </c>
      <c r="S130" s="9">
        <v>18</v>
      </c>
      <c r="T130" s="9">
        <v>4</v>
      </c>
      <c r="U130" s="9">
        <v>8</v>
      </c>
      <c r="W130" s="25">
        <v>1</v>
      </c>
      <c r="X130" s="25">
        <v>1</v>
      </c>
      <c r="Y130" s="25">
        <v>1</v>
      </c>
      <c r="Z130" s="25">
        <v>1</v>
      </c>
      <c r="AA130" s="25">
        <v>1</v>
      </c>
      <c r="AH130" s="5"/>
      <c r="AI130" s="5"/>
      <c r="AO130" s="5"/>
    </row>
    <row r="131" spans="10:41">
      <c r="J131" s="25">
        <v>127</v>
      </c>
      <c r="K131" s="16" t="s">
        <v>136</v>
      </c>
      <c r="L131" s="16" t="s">
        <v>35</v>
      </c>
      <c r="M131" s="16" t="s">
        <v>91</v>
      </c>
      <c r="N131" s="16" t="s">
        <v>136</v>
      </c>
      <c r="O131" s="16" t="s">
        <v>19</v>
      </c>
      <c r="Q131" s="9">
        <v>6</v>
      </c>
      <c r="R131" s="9">
        <v>8</v>
      </c>
      <c r="S131" s="9">
        <v>14</v>
      </c>
      <c r="T131" s="9">
        <v>6</v>
      </c>
      <c r="U131" s="9">
        <v>5</v>
      </c>
      <c r="W131" s="25">
        <v>1</v>
      </c>
      <c r="X131" s="25">
        <v>1</v>
      </c>
      <c r="Y131" s="25">
        <v>1</v>
      </c>
      <c r="Z131" s="25">
        <v>1</v>
      </c>
      <c r="AA131" s="25">
        <v>1</v>
      </c>
      <c r="AH131" s="5"/>
      <c r="AI131" s="5"/>
      <c r="AO131" s="5"/>
    </row>
    <row r="132" spans="10:41">
      <c r="J132" s="9">
        <v>128</v>
      </c>
      <c r="K132" s="16" t="s">
        <v>18</v>
      </c>
      <c r="L132" s="16" t="s">
        <v>136</v>
      </c>
      <c r="M132" s="16" t="s">
        <v>137</v>
      </c>
      <c r="N132" s="16" t="s">
        <v>37</v>
      </c>
      <c r="O132" s="16" t="s">
        <v>35</v>
      </c>
      <c r="Q132" s="9">
        <v>4</v>
      </c>
      <c r="R132" s="9">
        <v>6</v>
      </c>
      <c r="S132" s="9">
        <v>15</v>
      </c>
      <c r="T132" s="9">
        <v>7</v>
      </c>
      <c r="U132" s="9">
        <v>8</v>
      </c>
      <c r="W132" s="25">
        <v>1</v>
      </c>
      <c r="X132" s="25">
        <v>1</v>
      </c>
      <c r="Y132" s="25">
        <v>1</v>
      </c>
      <c r="Z132" s="25">
        <v>1</v>
      </c>
      <c r="AA132" s="25">
        <v>1</v>
      </c>
      <c r="AH132" s="5"/>
      <c r="AI132" s="5"/>
      <c r="AO132" s="5"/>
    </row>
    <row r="133" spans="10:41">
      <c r="J133" s="25">
        <v>129</v>
      </c>
      <c r="K133" s="16" t="s">
        <v>37</v>
      </c>
      <c r="L133" s="16" t="s">
        <v>19</v>
      </c>
      <c r="M133" s="16" t="s">
        <v>92</v>
      </c>
      <c r="N133" s="16" t="s">
        <v>35</v>
      </c>
      <c r="O133" s="16" t="s">
        <v>34</v>
      </c>
      <c r="Q133" s="9">
        <v>7</v>
      </c>
      <c r="R133" s="9">
        <v>5</v>
      </c>
      <c r="S133" s="9">
        <v>16</v>
      </c>
      <c r="T133" s="9">
        <v>8</v>
      </c>
      <c r="U133" s="9">
        <v>9</v>
      </c>
      <c r="W133" s="25">
        <v>1</v>
      </c>
      <c r="X133" s="25">
        <v>1</v>
      </c>
      <c r="Y133" s="25">
        <v>1</v>
      </c>
      <c r="Z133" s="25">
        <v>1</v>
      </c>
      <c r="AA133" s="25">
        <v>1</v>
      </c>
      <c r="AH133" s="5"/>
      <c r="AI133" s="5"/>
      <c r="AO133" s="5"/>
    </row>
    <row r="134" spans="10:41">
      <c r="J134" s="9">
        <v>130</v>
      </c>
      <c r="K134" s="16" t="s">
        <v>136</v>
      </c>
      <c r="L134" s="16" t="s">
        <v>35</v>
      </c>
      <c r="M134" s="16" t="s">
        <v>95</v>
      </c>
      <c r="N134" s="16" t="s">
        <v>21</v>
      </c>
      <c r="O134" s="16" t="s">
        <v>21</v>
      </c>
      <c r="Q134" s="9">
        <v>6</v>
      </c>
      <c r="R134" s="9">
        <v>8</v>
      </c>
      <c r="S134" s="9">
        <v>18</v>
      </c>
      <c r="T134" s="9">
        <v>2</v>
      </c>
      <c r="U134" s="9">
        <v>2</v>
      </c>
      <c r="W134" s="25">
        <v>1</v>
      </c>
      <c r="X134" s="25">
        <v>1</v>
      </c>
      <c r="Y134" s="25">
        <v>1</v>
      </c>
      <c r="Z134" s="25">
        <v>1</v>
      </c>
      <c r="AA134" s="25">
        <v>1</v>
      </c>
      <c r="AH134" s="5"/>
      <c r="AI134" s="5"/>
      <c r="AO134" s="5"/>
    </row>
    <row r="135" spans="10:41">
      <c r="J135" s="25">
        <v>131</v>
      </c>
      <c r="K135" s="16" t="s">
        <v>37</v>
      </c>
      <c r="L135" s="16" t="s">
        <v>90</v>
      </c>
      <c r="M135" s="16" t="s">
        <v>91</v>
      </c>
      <c r="N135" s="16" t="s">
        <v>91</v>
      </c>
      <c r="O135" s="16" t="s">
        <v>22</v>
      </c>
      <c r="Q135" s="9">
        <v>7</v>
      </c>
      <c r="R135" s="9">
        <v>13</v>
      </c>
      <c r="S135" s="9">
        <v>14</v>
      </c>
      <c r="T135" s="9">
        <v>14</v>
      </c>
      <c r="U135" s="9">
        <v>3</v>
      </c>
      <c r="W135" s="25">
        <v>1</v>
      </c>
      <c r="X135" s="25">
        <v>1</v>
      </c>
      <c r="Y135" s="25">
        <v>1</v>
      </c>
      <c r="Z135" s="25">
        <v>1</v>
      </c>
      <c r="AA135" s="25">
        <v>1</v>
      </c>
      <c r="AH135" s="5"/>
      <c r="AI135" s="5"/>
      <c r="AO135" s="5"/>
    </row>
    <row r="136" spans="10:41">
      <c r="J136" s="9">
        <v>132</v>
      </c>
      <c r="K136" s="16" t="s">
        <v>35</v>
      </c>
      <c r="L136" s="16" t="s">
        <v>119</v>
      </c>
      <c r="M136" s="16" t="s">
        <v>92</v>
      </c>
      <c r="N136" s="16" t="s">
        <v>37</v>
      </c>
      <c r="O136" s="16" t="s">
        <v>35</v>
      </c>
      <c r="Q136" s="9">
        <v>8</v>
      </c>
      <c r="R136" s="9">
        <v>17</v>
      </c>
      <c r="S136" s="9">
        <v>16</v>
      </c>
      <c r="T136" s="9">
        <v>7</v>
      </c>
      <c r="U136" s="9">
        <v>8</v>
      </c>
      <c r="W136" s="25">
        <v>1</v>
      </c>
      <c r="X136" s="25">
        <v>1</v>
      </c>
      <c r="Y136" s="25">
        <v>1</v>
      </c>
      <c r="Z136" s="25">
        <v>1</v>
      </c>
      <c r="AA136" s="25">
        <v>1</v>
      </c>
      <c r="AH136" s="5"/>
      <c r="AI136" s="5"/>
      <c r="AO136" s="5"/>
    </row>
    <row r="137" spans="10:41">
      <c r="J137" s="25">
        <v>133</v>
      </c>
      <c r="K137" s="16" t="s">
        <v>19</v>
      </c>
      <c r="L137" s="16" t="s">
        <v>36</v>
      </c>
      <c r="M137" s="16" t="s">
        <v>137</v>
      </c>
      <c r="N137" s="16" t="s">
        <v>136</v>
      </c>
      <c r="O137" s="16" t="s">
        <v>19</v>
      </c>
      <c r="Q137" s="9">
        <v>5</v>
      </c>
      <c r="R137" s="9">
        <v>10</v>
      </c>
      <c r="S137" s="9">
        <v>15</v>
      </c>
      <c r="T137" s="9">
        <v>6</v>
      </c>
      <c r="U137" s="9">
        <v>5</v>
      </c>
      <c r="W137" s="25">
        <v>1</v>
      </c>
      <c r="X137" s="25">
        <v>1</v>
      </c>
      <c r="Y137" s="25">
        <v>1</v>
      </c>
      <c r="Z137" s="25">
        <v>1</v>
      </c>
      <c r="AA137" s="25">
        <v>1</v>
      </c>
      <c r="AH137" s="5"/>
      <c r="AI137" s="5"/>
      <c r="AO137" s="5"/>
    </row>
    <row r="138" spans="10:41">
      <c r="J138" s="9">
        <v>134</v>
      </c>
      <c r="K138" s="16" t="s">
        <v>37</v>
      </c>
      <c r="L138" s="16" t="s">
        <v>35</v>
      </c>
      <c r="M138" s="16" t="s">
        <v>91</v>
      </c>
      <c r="N138" s="16" t="s">
        <v>37</v>
      </c>
      <c r="O138" s="16" t="s">
        <v>34</v>
      </c>
      <c r="Q138" s="9">
        <v>7</v>
      </c>
      <c r="R138" s="9">
        <v>8</v>
      </c>
      <c r="S138" s="9">
        <v>14</v>
      </c>
      <c r="T138" s="9">
        <v>7</v>
      </c>
      <c r="U138" s="9">
        <v>9</v>
      </c>
      <c r="W138" s="25">
        <v>1</v>
      </c>
      <c r="X138" s="25">
        <v>1</v>
      </c>
      <c r="Y138" s="25">
        <v>1</v>
      </c>
      <c r="Z138" s="25">
        <v>1</v>
      </c>
      <c r="AA138" s="25">
        <v>1</v>
      </c>
      <c r="AH138" s="5"/>
      <c r="AI138" s="5"/>
      <c r="AO138" s="5"/>
    </row>
    <row r="139" spans="10:41">
      <c r="J139" s="25">
        <v>135</v>
      </c>
      <c r="K139" s="16" t="s">
        <v>19</v>
      </c>
      <c r="L139" s="16" t="s">
        <v>34</v>
      </c>
      <c r="M139" s="16" t="s">
        <v>137</v>
      </c>
      <c r="N139" s="16" t="s">
        <v>35</v>
      </c>
      <c r="O139" s="16" t="s">
        <v>37</v>
      </c>
      <c r="Q139" s="9">
        <v>5</v>
      </c>
      <c r="R139" s="9">
        <v>9</v>
      </c>
      <c r="S139" s="9">
        <v>15</v>
      </c>
      <c r="T139" s="9">
        <v>8</v>
      </c>
      <c r="U139" s="9">
        <v>7</v>
      </c>
      <c r="W139" s="25">
        <v>1</v>
      </c>
      <c r="X139" s="25">
        <v>1</v>
      </c>
      <c r="Y139" s="25">
        <v>1</v>
      </c>
      <c r="Z139" s="25">
        <v>1</v>
      </c>
      <c r="AA139" s="25">
        <v>1</v>
      </c>
      <c r="AH139" s="5"/>
      <c r="AI139" s="5"/>
      <c r="AO139" s="5"/>
    </row>
    <row r="140" spans="10:41">
      <c r="J140" s="9">
        <v>136</v>
      </c>
      <c r="K140" s="16" t="s">
        <v>136</v>
      </c>
      <c r="L140" s="16" t="s">
        <v>22</v>
      </c>
      <c r="M140" s="16" t="s">
        <v>119</v>
      </c>
      <c r="N140" s="16" t="s">
        <v>137</v>
      </c>
      <c r="O140" s="16" t="s">
        <v>22</v>
      </c>
      <c r="Q140" s="9">
        <v>6</v>
      </c>
      <c r="R140" s="9">
        <v>3</v>
      </c>
      <c r="S140" s="9">
        <v>17</v>
      </c>
      <c r="T140" s="9">
        <v>15</v>
      </c>
      <c r="U140" s="9">
        <v>3</v>
      </c>
      <c r="W140" s="25">
        <v>1</v>
      </c>
      <c r="X140" s="25">
        <v>1</v>
      </c>
      <c r="Y140" s="25">
        <v>1</v>
      </c>
      <c r="Z140" s="25">
        <v>1</v>
      </c>
      <c r="AA140" s="25">
        <v>1</v>
      </c>
      <c r="AH140" s="5"/>
      <c r="AI140" s="5"/>
      <c r="AO140" s="5"/>
    </row>
    <row r="141" spans="10:41">
      <c r="J141" s="25">
        <v>137</v>
      </c>
      <c r="K141" s="16" t="s">
        <v>19</v>
      </c>
      <c r="L141" s="16" t="s">
        <v>91</v>
      </c>
      <c r="M141" s="16" t="s">
        <v>92</v>
      </c>
      <c r="N141" s="16" t="s">
        <v>35</v>
      </c>
      <c r="O141" s="16" t="s">
        <v>37</v>
      </c>
      <c r="Q141" s="9">
        <v>5</v>
      </c>
      <c r="R141" s="9">
        <v>14</v>
      </c>
      <c r="S141" s="9">
        <v>16</v>
      </c>
      <c r="T141" s="9">
        <v>8</v>
      </c>
      <c r="U141" s="9">
        <v>7</v>
      </c>
      <c r="W141" s="25">
        <v>1</v>
      </c>
      <c r="X141" s="25">
        <v>1</v>
      </c>
      <c r="Y141" s="25">
        <v>1</v>
      </c>
      <c r="Z141" s="25">
        <v>1</v>
      </c>
      <c r="AA141" s="25">
        <v>1</v>
      </c>
      <c r="AH141" s="5"/>
      <c r="AI141" s="5"/>
      <c r="AO141" s="5"/>
    </row>
    <row r="142" spans="10:41">
      <c r="J142" s="9">
        <v>138</v>
      </c>
      <c r="K142" s="16" t="s">
        <v>37</v>
      </c>
      <c r="L142" s="16" t="s">
        <v>119</v>
      </c>
      <c r="M142" s="16" t="s">
        <v>119</v>
      </c>
      <c r="N142" s="16" t="s">
        <v>37</v>
      </c>
      <c r="O142" s="16" t="s">
        <v>35</v>
      </c>
      <c r="Q142" s="9">
        <v>7</v>
      </c>
      <c r="R142" s="9">
        <v>17</v>
      </c>
      <c r="S142" s="9">
        <v>17</v>
      </c>
      <c r="T142" s="9">
        <v>7</v>
      </c>
      <c r="U142" s="9">
        <v>8</v>
      </c>
      <c r="W142" s="25">
        <v>1</v>
      </c>
      <c r="X142" s="25">
        <v>1</v>
      </c>
      <c r="Y142" s="25">
        <v>1</v>
      </c>
      <c r="Z142" s="25">
        <v>1</v>
      </c>
      <c r="AA142" s="25">
        <v>1</v>
      </c>
      <c r="AH142" s="5"/>
      <c r="AI142" s="5"/>
      <c r="AO142" s="5"/>
    </row>
    <row r="143" spans="10:41">
      <c r="J143" s="25">
        <v>139</v>
      </c>
      <c r="K143" s="16" t="s">
        <v>35</v>
      </c>
      <c r="L143" s="16" t="s">
        <v>37</v>
      </c>
      <c r="M143" s="16" t="s">
        <v>88</v>
      </c>
      <c r="N143" s="16" t="s">
        <v>35</v>
      </c>
      <c r="O143" s="16" t="s">
        <v>19</v>
      </c>
      <c r="Q143" s="9">
        <v>8</v>
      </c>
      <c r="R143" s="9">
        <v>7</v>
      </c>
      <c r="S143" s="9">
        <v>11</v>
      </c>
      <c r="T143" s="9">
        <v>8</v>
      </c>
      <c r="U143" s="9">
        <v>5</v>
      </c>
      <c r="W143" s="25">
        <v>1</v>
      </c>
      <c r="X143" s="25">
        <v>1</v>
      </c>
      <c r="Y143" s="25">
        <v>1</v>
      </c>
      <c r="Z143" s="25">
        <v>1</v>
      </c>
      <c r="AA143" s="25">
        <v>1</v>
      </c>
      <c r="AH143" s="5"/>
      <c r="AI143" s="5"/>
      <c r="AO143" s="5"/>
    </row>
    <row r="144" spans="10:41">
      <c r="J144" s="9">
        <v>140</v>
      </c>
      <c r="K144" s="16" t="s">
        <v>136</v>
      </c>
      <c r="L144" s="16" t="s">
        <v>34</v>
      </c>
      <c r="M144" s="16" t="s">
        <v>137</v>
      </c>
      <c r="N144" s="16" t="s">
        <v>34</v>
      </c>
      <c r="O144" s="16" t="s">
        <v>34</v>
      </c>
      <c r="Q144" s="9">
        <v>6</v>
      </c>
      <c r="R144" s="9">
        <v>9</v>
      </c>
      <c r="S144" s="9">
        <v>15</v>
      </c>
      <c r="T144" s="9">
        <v>9</v>
      </c>
      <c r="U144" s="9">
        <v>9</v>
      </c>
      <c r="W144" s="25">
        <v>1</v>
      </c>
      <c r="X144" s="25">
        <v>1</v>
      </c>
      <c r="Y144" s="25">
        <v>1</v>
      </c>
      <c r="Z144" s="25">
        <v>1</v>
      </c>
      <c r="AA144" s="25">
        <v>1</v>
      </c>
      <c r="AH144" s="5"/>
      <c r="AI144" s="5"/>
      <c r="AO144" s="5"/>
    </row>
    <row r="145" spans="10:41">
      <c r="J145" s="25">
        <v>141</v>
      </c>
      <c r="K145" s="16" t="s">
        <v>19</v>
      </c>
      <c r="L145" s="16" t="s">
        <v>20</v>
      </c>
      <c r="M145" s="16" t="s">
        <v>92</v>
      </c>
      <c r="N145" s="16" t="s">
        <v>19</v>
      </c>
      <c r="O145" s="16" t="s">
        <v>36</v>
      </c>
      <c r="Q145" s="9">
        <v>5</v>
      </c>
      <c r="R145" s="9">
        <v>1</v>
      </c>
      <c r="S145" s="9">
        <v>16</v>
      </c>
      <c r="T145" s="9">
        <v>5</v>
      </c>
      <c r="U145" s="9">
        <v>10</v>
      </c>
      <c r="W145" s="25">
        <v>1</v>
      </c>
      <c r="X145" s="25">
        <v>1</v>
      </c>
      <c r="Y145" s="25">
        <v>1</v>
      </c>
      <c r="Z145" s="25">
        <v>1</v>
      </c>
      <c r="AA145" s="25">
        <v>1</v>
      </c>
      <c r="AH145" s="5"/>
      <c r="AI145" s="5"/>
      <c r="AO145" s="5"/>
    </row>
    <row r="146" spans="10:41">
      <c r="J146" s="9">
        <v>142</v>
      </c>
      <c r="K146" s="16" t="s">
        <v>35</v>
      </c>
      <c r="L146" s="16" t="s">
        <v>22</v>
      </c>
      <c r="M146" s="16" t="s">
        <v>97</v>
      </c>
      <c r="N146" s="16" t="s">
        <v>37</v>
      </c>
      <c r="O146" s="16" t="s">
        <v>20</v>
      </c>
      <c r="Q146" s="9">
        <v>8</v>
      </c>
      <c r="R146" s="9">
        <v>3</v>
      </c>
      <c r="S146" s="9">
        <v>19</v>
      </c>
      <c r="T146" s="9">
        <v>7</v>
      </c>
      <c r="U146" s="9">
        <v>1</v>
      </c>
      <c r="W146" s="25">
        <v>1</v>
      </c>
      <c r="X146" s="25">
        <v>1</v>
      </c>
      <c r="Y146" s="25">
        <v>1</v>
      </c>
      <c r="Z146" s="25">
        <v>1</v>
      </c>
      <c r="AA146" s="25">
        <v>1</v>
      </c>
      <c r="AH146" s="5"/>
      <c r="AI146" s="5"/>
      <c r="AO146" s="5"/>
    </row>
    <row r="147" spans="10:41">
      <c r="J147" s="25">
        <v>143</v>
      </c>
      <c r="K147" s="16" t="s">
        <v>37</v>
      </c>
      <c r="L147" s="16" t="s">
        <v>19</v>
      </c>
      <c r="M147" s="16" t="s">
        <v>137</v>
      </c>
      <c r="N147" s="16" t="s">
        <v>137</v>
      </c>
      <c r="O147" s="16" t="s">
        <v>136</v>
      </c>
      <c r="Q147" s="9">
        <v>7</v>
      </c>
      <c r="R147" s="9">
        <v>5</v>
      </c>
      <c r="S147" s="9">
        <v>15</v>
      </c>
      <c r="T147" s="9">
        <v>15</v>
      </c>
      <c r="U147" s="9">
        <v>6</v>
      </c>
      <c r="W147" s="25">
        <v>1</v>
      </c>
      <c r="X147" s="25">
        <v>1</v>
      </c>
      <c r="Y147" s="25">
        <v>1</v>
      </c>
      <c r="Z147" s="25">
        <v>1</v>
      </c>
      <c r="AA147" s="25">
        <v>1</v>
      </c>
      <c r="AH147" s="5"/>
      <c r="AI147" s="5"/>
      <c r="AO147" s="5"/>
    </row>
    <row r="148" spans="10:41">
      <c r="J148" s="9">
        <v>144</v>
      </c>
      <c r="K148" s="16" t="s">
        <v>136</v>
      </c>
      <c r="L148" s="16" t="s">
        <v>34</v>
      </c>
      <c r="M148" s="16" t="s">
        <v>91</v>
      </c>
      <c r="N148" s="16" t="s">
        <v>37</v>
      </c>
      <c r="O148" s="16" t="s">
        <v>35</v>
      </c>
      <c r="Q148" s="9">
        <v>6</v>
      </c>
      <c r="R148" s="9">
        <v>9</v>
      </c>
      <c r="S148" s="9">
        <v>14</v>
      </c>
      <c r="T148" s="9">
        <v>7</v>
      </c>
      <c r="U148" s="9">
        <v>8</v>
      </c>
      <c r="W148" s="25">
        <v>1</v>
      </c>
      <c r="X148" s="25">
        <v>1</v>
      </c>
      <c r="Y148" s="25">
        <v>1</v>
      </c>
      <c r="Z148" s="25">
        <v>1</v>
      </c>
      <c r="AA148" s="25">
        <v>1</v>
      </c>
      <c r="AH148" s="5"/>
      <c r="AI148" s="5"/>
      <c r="AO148" s="5"/>
    </row>
    <row r="149" spans="10:41">
      <c r="J149" s="25">
        <v>145</v>
      </c>
      <c r="K149" s="16" t="s">
        <v>37</v>
      </c>
      <c r="L149" s="16" t="s">
        <v>21</v>
      </c>
      <c r="M149" s="16" t="s">
        <v>119</v>
      </c>
      <c r="N149" s="16" t="s">
        <v>90</v>
      </c>
      <c r="O149" s="16" t="s">
        <v>136</v>
      </c>
      <c r="Q149" s="9">
        <v>7</v>
      </c>
      <c r="R149" s="9">
        <v>2</v>
      </c>
      <c r="S149" s="9">
        <v>17</v>
      </c>
      <c r="T149" s="9">
        <v>13</v>
      </c>
      <c r="U149" s="9">
        <v>6</v>
      </c>
      <c r="W149" s="25">
        <v>1</v>
      </c>
      <c r="X149" s="25">
        <v>1</v>
      </c>
      <c r="Y149" s="25">
        <v>1</v>
      </c>
      <c r="Z149" s="25">
        <v>1</v>
      </c>
      <c r="AA149" s="25">
        <v>1</v>
      </c>
      <c r="AH149" s="5"/>
      <c r="AI149" s="5"/>
      <c r="AO149" s="5"/>
    </row>
    <row r="150" spans="10:41">
      <c r="J150" s="9">
        <v>146</v>
      </c>
      <c r="K150" s="16" t="s">
        <v>19</v>
      </c>
      <c r="L150" s="16" t="s">
        <v>91</v>
      </c>
      <c r="M150" s="16" t="s">
        <v>92</v>
      </c>
      <c r="N150" s="16" t="s">
        <v>136</v>
      </c>
      <c r="O150" s="16" t="s">
        <v>36</v>
      </c>
      <c r="Q150" s="9">
        <v>5</v>
      </c>
      <c r="R150" s="9">
        <v>14</v>
      </c>
      <c r="S150" s="9">
        <v>16</v>
      </c>
      <c r="T150" s="9">
        <v>6</v>
      </c>
      <c r="U150" s="9">
        <v>10</v>
      </c>
      <c r="W150" s="25">
        <v>1</v>
      </c>
      <c r="X150" s="25">
        <v>1</v>
      </c>
      <c r="Y150" s="25">
        <v>1</v>
      </c>
      <c r="Z150" s="25">
        <v>1</v>
      </c>
      <c r="AA150" s="25">
        <v>1</v>
      </c>
      <c r="AH150" s="5"/>
      <c r="AI150" s="5"/>
      <c r="AO150" s="5"/>
    </row>
    <row r="151" spans="10:41">
      <c r="J151" s="25">
        <v>147</v>
      </c>
      <c r="K151" s="16" t="s">
        <v>136</v>
      </c>
      <c r="L151" s="16" t="s">
        <v>21</v>
      </c>
      <c r="M151" s="16" t="s">
        <v>119</v>
      </c>
      <c r="N151" s="16" t="s">
        <v>37</v>
      </c>
      <c r="O151" s="16" t="s">
        <v>19</v>
      </c>
      <c r="Q151" s="9">
        <v>6</v>
      </c>
      <c r="R151" s="9">
        <v>2</v>
      </c>
      <c r="S151" s="9">
        <v>17</v>
      </c>
      <c r="T151" s="9">
        <v>7</v>
      </c>
      <c r="U151" s="9">
        <v>5</v>
      </c>
      <c r="W151" s="25">
        <v>1</v>
      </c>
      <c r="X151" s="25">
        <v>1</v>
      </c>
      <c r="Y151" s="25">
        <v>1</v>
      </c>
      <c r="Z151" s="25">
        <v>1</v>
      </c>
      <c r="AA151" s="25">
        <v>1</v>
      </c>
      <c r="AH151" s="5"/>
      <c r="AI151" s="5"/>
      <c r="AO151" s="5"/>
    </row>
    <row r="152" spans="10:41">
      <c r="J152" s="9">
        <v>148</v>
      </c>
      <c r="K152" s="16" t="s">
        <v>19</v>
      </c>
      <c r="L152" s="16" t="s">
        <v>37</v>
      </c>
      <c r="M152" s="16" t="s">
        <v>137</v>
      </c>
      <c r="N152" s="16" t="s">
        <v>136</v>
      </c>
      <c r="O152" s="16" t="s">
        <v>35</v>
      </c>
      <c r="Q152" s="9">
        <v>5</v>
      </c>
      <c r="R152" s="9">
        <v>7</v>
      </c>
      <c r="S152" s="9">
        <v>15</v>
      </c>
      <c r="T152" s="9">
        <v>6</v>
      </c>
      <c r="U152" s="9">
        <v>8</v>
      </c>
      <c r="W152" s="25">
        <v>1</v>
      </c>
      <c r="X152" s="25">
        <v>1</v>
      </c>
      <c r="Y152" s="25">
        <v>1</v>
      </c>
      <c r="Z152" s="25">
        <v>1</v>
      </c>
      <c r="AA152" s="25">
        <v>1</v>
      </c>
      <c r="AH152" s="5"/>
      <c r="AI152" s="5"/>
      <c r="AO152" s="5"/>
    </row>
    <row r="153" spans="10:41">
      <c r="J153" s="25">
        <v>149</v>
      </c>
      <c r="K153" s="16" t="s">
        <v>136</v>
      </c>
      <c r="L153" s="16" t="s">
        <v>35</v>
      </c>
      <c r="M153" s="16" t="s">
        <v>91</v>
      </c>
      <c r="N153" s="16" t="s">
        <v>37</v>
      </c>
      <c r="O153" s="16" t="s">
        <v>136</v>
      </c>
      <c r="Q153" s="9">
        <v>6</v>
      </c>
      <c r="R153" s="9">
        <v>8</v>
      </c>
      <c r="S153" s="9">
        <v>14</v>
      </c>
      <c r="T153" s="9">
        <v>7</v>
      </c>
      <c r="U153" s="9">
        <v>6</v>
      </c>
      <c r="W153" s="25">
        <v>1</v>
      </c>
      <c r="X153" s="25">
        <v>1</v>
      </c>
      <c r="Y153" s="25">
        <v>1</v>
      </c>
      <c r="Z153" s="25">
        <v>1</v>
      </c>
      <c r="AA153" s="25">
        <v>1</v>
      </c>
      <c r="AH153" s="5"/>
      <c r="AI153" s="5"/>
      <c r="AO153" s="5"/>
    </row>
    <row r="154" spans="10:41">
      <c r="J154" s="9">
        <v>150</v>
      </c>
      <c r="K154" s="16" t="s">
        <v>35</v>
      </c>
      <c r="L154" s="16" t="s">
        <v>37</v>
      </c>
      <c r="M154" s="16" t="s">
        <v>97</v>
      </c>
      <c r="N154" s="16" t="s">
        <v>136</v>
      </c>
      <c r="O154" s="16" t="s">
        <v>35</v>
      </c>
      <c r="Q154" s="9">
        <v>8</v>
      </c>
      <c r="R154" s="9">
        <v>7</v>
      </c>
      <c r="S154" s="9">
        <v>19</v>
      </c>
      <c r="T154" s="9">
        <v>6</v>
      </c>
      <c r="U154" s="9">
        <v>8</v>
      </c>
      <c r="W154" s="25">
        <v>1</v>
      </c>
      <c r="X154" s="25">
        <v>1</v>
      </c>
      <c r="Y154" s="25">
        <v>1</v>
      </c>
      <c r="Z154" s="25">
        <v>1</v>
      </c>
      <c r="AA154" s="25">
        <v>1</v>
      </c>
      <c r="AH154" s="5"/>
      <c r="AI154" s="5"/>
      <c r="AO154" s="5"/>
    </row>
    <row r="155" spans="10:41">
      <c r="J155" s="25">
        <v>151</v>
      </c>
      <c r="K155" s="16" t="s">
        <v>19</v>
      </c>
      <c r="L155" s="16" t="s">
        <v>19</v>
      </c>
      <c r="M155" s="16" t="s">
        <v>91</v>
      </c>
      <c r="N155" s="16" t="s">
        <v>34</v>
      </c>
      <c r="O155" s="16" t="s">
        <v>19</v>
      </c>
      <c r="Q155" s="9">
        <v>5</v>
      </c>
      <c r="R155" s="9">
        <v>5</v>
      </c>
      <c r="S155" s="9">
        <v>14</v>
      </c>
      <c r="T155" s="9">
        <v>9</v>
      </c>
      <c r="U155" s="9">
        <v>5</v>
      </c>
      <c r="W155" s="25">
        <v>1</v>
      </c>
      <c r="X155" s="25">
        <v>1</v>
      </c>
      <c r="Y155" s="25">
        <v>1</v>
      </c>
      <c r="Z155" s="25">
        <v>1</v>
      </c>
      <c r="AA155" s="25">
        <v>1</v>
      </c>
      <c r="AH155" s="5"/>
      <c r="AI155" s="5"/>
      <c r="AO155" s="5"/>
    </row>
    <row r="156" spans="10:41">
      <c r="J156" s="9">
        <v>152</v>
      </c>
      <c r="K156" s="16" t="s">
        <v>22</v>
      </c>
      <c r="L156" s="16" t="s">
        <v>35</v>
      </c>
      <c r="M156" s="16" t="s">
        <v>92</v>
      </c>
      <c r="N156" s="16" t="s">
        <v>20</v>
      </c>
      <c r="O156" s="16" t="s">
        <v>37</v>
      </c>
      <c r="Q156" s="9">
        <v>3</v>
      </c>
      <c r="R156" s="9">
        <v>8</v>
      </c>
      <c r="S156" s="9">
        <v>16</v>
      </c>
      <c r="T156" s="9">
        <v>1</v>
      </c>
      <c r="U156" s="9">
        <v>7</v>
      </c>
      <c r="W156" s="25">
        <v>1</v>
      </c>
      <c r="X156" s="25">
        <v>1</v>
      </c>
      <c r="Y156" s="25">
        <v>1</v>
      </c>
      <c r="Z156" s="25">
        <v>1</v>
      </c>
      <c r="AA156" s="25">
        <v>1</v>
      </c>
      <c r="AH156" s="5"/>
      <c r="AI156" s="5"/>
      <c r="AO156" s="5"/>
    </row>
    <row r="157" spans="10:41">
      <c r="J157" s="25">
        <v>153</v>
      </c>
      <c r="K157" s="16" t="s">
        <v>35</v>
      </c>
      <c r="L157" s="16" t="s">
        <v>89</v>
      </c>
      <c r="M157" s="16" t="s">
        <v>119</v>
      </c>
      <c r="N157" s="16" t="s">
        <v>119</v>
      </c>
      <c r="O157" s="16" t="s">
        <v>34</v>
      </c>
      <c r="Q157" s="9">
        <v>8</v>
      </c>
      <c r="R157" s="9">
        <v>12</v>
      </c>
      <c r="S157" s="9">
        <v>17</v>
      </c>
      <c r="T157" s="9">
        <v>17</v>
      </c>
      <c r="U157" s="9">
        <v>9</v>
      </c>
      <c r="W157" s="25">
        <v>1</v>
      </c>
      <c r="X157" s="25">
        <v>1</v>
      </c>
      <c r="Y157" s="25">
        <v>1</v>
      </c>
      <c r="Z157" s="25">
        <v>1</v>
      </c>
      <c r="AA157" s="25">
        <v>1</v>
      </c>
      <c r="AH157" s="5"/>
      <c r="AI157" s="5"/>
      <c r="AO157" s="5"/>
    </row>
    <row r="158" spans="10:41">
      <c r="J158" s="9">
        <v>154</v>
      </c>
      <c r="K158" s="16" t="s">
        <v>22</v>
      </c>
      <c r="L158" s="16" t="s">
        <v>36</v>
      </c>
      <c r="M158" s="16" t="s">
        <v>92</v>
      </c>
      <c r="N158" s="16" t="s">
        <v>37</v>
      </c>
      <c r="O158" s="16" t="s">
        <v>19</v>
      </c>
      <c r="Q158" s="9">
        <v>3</v>
      </c>
      <c r="R158" s="9">
        <v>10</v>
      </c>
      <c r="S158" s="9">
        <v>16</v>
      </c>
      <c r="T158" s="9">
        <v>7</v>
      </c>
      <c r="U158" s="9">
        <v>5</v>
      </c>
      <c r="W158" s="25">
        <v>1</v>
      </c>
      <c r="X158" s="25">
        <v>1</v>
      </c>
      <c r="Y158" s="25">
        <v>1</v>
      </c>
      <c r="Z158" s="25">
        <v>1</v>
      </c>
      <c r="AA158" s="25">
        <v>1</v>
      </c>
      <c r="AH158" s="5"/>
      <c r="AI158" s="5"/>
      <c r="AO158" s="5"/>
    </row>
    <row r="159" spans="10:41">
      <c r="J159" s="25">
        <v>155</v>
      </c>
      <c r="K159" s="16" t="s">
        <v>35</v>
      </c>
      <c r="L159" s="16" t="s">
        <v>136</v>
      </c>
      <c r="M159" s="16" t="s">
        <v>119</v>
      </c>
      <c r="N159" s="16" t="s">
        <v>136</v>
      </c>
      <c r="O159" s="16" t="s">
        <v>136</v>
      </c>
      <c r="Q159" s="9">
        <v>8</v>
      </c>
      <c r="R159" s="9">
        <v>6</v>
      </c>
      <c r="S159" s="9">
        <v>17</v>
      </c>
      <c r="T159" s="9">
        <v>6</v>
      </c>
      <c r="U159" s="9">
        <v>6</v>
      </c>
      <c r="W159" s="25">
        <v>1</v>
      </c>
      <c r="X159" s="25">
        <v>1</v>
      </c>
      <c r="Y159" s="25">
        <v>1</v>
      </c>
      <c r="Z159" s="25">
        <v>1</v>
      </c>
      <c r="AA159" s="25">
        <v>1</v>
      </c>
      <c r="AH159" s="5"/>
      <c r="AI159" s="5"/>
      <c r="AO159" s="5"/>
    </row>
    <row r="160" spans="10:41">
      <c r="J160" s="9">
        <v>156</v>
      </c>
      <c r="K160" s="16" t="s">
        <v>37</v>
      </c>
      <c r="L160" s="16" t="s">
        <v>19</v>
      </c>
      <c r="M160" s="16" t="s">
        <v>20</v>
      </c>
      <c r="N160" s="16" t="s">
        <v>19</v>
      </c>
      <c r="O160" s="16" t="s">
        <v>18</v>
      </c>
      <c r="Q160" s="9">
        <v>7</v>
      </c>
      <c r="R160" s="9">
        <v>5</v>
      </c>
      <c r="S160" s="9">
        <v>1</v>
      </c>
      <c r="T160" s="9">
        <v>5</v>
      </c>
      <c r="U160" s="9">
        <v>4</v>
      </c>
      <c r="W160" s="25">
        <v>1</v>
      </c>
      <c r="X160" s="25">
        <v>1</v>
      </c>
      <c r="Y160" s="25">
        <v>1</v>
      </c>
      <c r="Z160" s="25">
        <v>1</v>
      </c>
      <c r="AA160" s="25">
        <v>1</v>
      </c>
      <c r="AH160" s="5"/>
      <c r="AI160" s="5"/>
      <c r="AO160" s="5"/>
    </row>
    <row r="161" spans="10:41">
      <c r="J161" s="25">
        <v>157</v>
      </c>
      <c r="K161" s="16" t="s">
        <v>19</v>
      </c>
      <c r="L161" s="16" t="s">
        <v>37</v>
      </c>
      <c r="M161" s="16" t="s">
        <v>91</v>
      </c>
      <c r="N161" s="16" t="s">
        <v>36</v>
      </c>
      <c r="O161" s="16" t="s">
        <v>22</v>
      </c>
      <c r="Q161" s="9">
        <v>5</v>
      </c>
      <c r="R161" s="9">
        <v>7</v>
      </c>
      <c r="S161" s="9">
        <v>14</v>
      </c>
      <c r="T161" s="9">
        <v>10</v>
      </c>
      <c r="U161" s="9">
        <v>3</v>
      </c>
      <c r="W161" s="25">
        <v>1</v>
      </c>
      <c r="X161" s="25">
        <v>1</v>
      </c>
      <c r="Y161" s="25">
        <v>1</v>
      </c>
      <c r="Z161" s="25">
        <v>1</v>
      </c>
      <c r="AA161" s="25">
        <v>1</v>
      </c>
      <c r="AH161" s="5"/>
      <c r="AI161" s="5"/>
      <c r="AO161" s="5"/>
    </row>
    <row r="162" spans="10:41">
      <c r="J162" s="9">
        <v>158</v>
      </c>
      <c r="K162" s="16" t="s">
        <v>136</v>
      </c>
      <c r="L162" s="16" t="s">
        <v>137</v>
      </c>
      <c r="M162" s="16" t="s">
        <v>137</v>
      </c>
      <c r="N162" s="16" t="s">
        <v>19</v>
      </c>
      <c r="O162" s="16" t="s">
        <v>35</v>
      </c>
      <c r="Q162" s="9">
        <v>6</v>
      </c>
      <c r="R162" s="9">
        <v>15</v>
      </c>
      <c r="S162" s="9">
        <v>15</v>
      </c>
      <c r="T162" s="9">
        <v>5</v>
      </c>
      <c r="U162" s="9">
        <v>8</v>
      </c>
      <c r="W162" s="25">
        <v>1</v>
      </c>
      <c r="X162" s="25">
        <v>1</v>
      </c>
      <c r="Y162" s="25">
        <v>1</v>
      </c>
      <c r="Z162" s="25">
        <v>1</v>
      </c>
      <c r="AA162" s="25">
        <v>1</v>
      </c>
      <c r="AH162" s="5"/>
      <c r="AI162" s="5"/>
      <c r="AO162" s="5"/>
    </row>
    <row r="163" spans="10:41">
      <c r="J163" s="25">
        <v>159</v>
      </c>
      <c r="K163" s="16" t="s">
        <v>20</v>
      </c>
      <c r="L163" s="16" t="s">
        <v>19</v>
      </c>
      <c r="M163" s="16" t="s">
        <v>119</v>
      </c>
      <c r="N163" s="16" t="s">
        <v>37</v>
      </c>
      <c r="O163" s="16" t="s">
        <v>136</v>
      </c>
      <c r="Q163" s="9">
        <v>1</v>
      </c>
      <c r="R163" s="9">
        <v>5</v>
      </c>
      <c r="S163" s="9">
        <v>17</v>
      </c>
      <c r="T163" s="9">
        <v>7</v>
      </c>
      <c r="U163" s="9">
        <v>6</v>
      </c>
      <c r="W163" s="25">
        <v>1</v>
      </c>
      <c r="X163" s="25">
        <v>1</v>
      </c>
      <c r="Y163" s="25">
        <v>1</v>
      </c>
      <c r="Z163" s="25">
        <v>1</v>
      </c>
      <c r="AA163" s="25">
        <v>1</v>
      </c>
      <c r="AH163" s="5"/>
      <c r="AI163" s="5"/>
      <c r="AO163" s="5"/>
    </row>
    <row r="164" spans="10:41">
      <c r="J164" s="9">
        <v>160</v>
      </c>
      <c r="K164" s="16" t="s">
        <v>19</v>
      </c>
      <c r="L164" s="16" t="s">
        <v>90</v>
      </c>
      <c r="M164" s="16" t="s">
        <v>95</v>
      </c>
      <c r="N164" s="16" t="s">
        <v>34</v>
      </c>
      <c r="O164" s="16" t="s">
        <v>35</v>
      </c>
      <c r="Q164" s="9">
        <v>5</v>
      </c>
      <c r="R164" s="9">
        <v>13</v>
      </c>
      <c r="S164" s="9">
        <v>18</v>
      </c>
      <c r="T164" s="9">
        <v>9</v>
      </c>
      <c r="U164" s="9">
        <v>8</v>
      </c>
      <c r="W164" s="25">
        <v>1</v>
      </c>
      <c r="X164" s="25">
        <v>1</v>
      </c>
      <c r="Y164" s="25">
        <v>1</v>
      </c>
      <c r="Z164" s="25">
        <v>1</v>
      </c>
      <c r="AA164" s="25">
        <v>1</v>
      </c>
      <c r="AH164" s="5"/>
      <c r="AI164" s="5"/>
      <c r="AO164" s="5"/>
    </row>
    <row r="165" spans="10:41">
      <c r="J165" s="25">
        <v>161</v>
      </c>
      <c r="K165" s="16" t="s">
        <v>37</v>
      </c>
      <c r="L165" s="16" t="s">
        <v>35</v>
      </c>
      <c r="M165" s="16" t="s">
        <v>91</v>
      </c>
      <c r="N165" s="16" t="s">
        <v>22</v>
      </c>
      <c r="O165" s="16" t="s">
        <v>136</v>
      </c>
      <c r="Q165" s="9">
        <v>7</v>
      </c>
      <c r="R165" s="9">
        <v>8</v>
      </c>
      <c r="S165" s="9">
        <v>14</v>
      </c>
      <c r="T165" s="9">
        <v>3</v>
      </c>
      <c r="U165" s="9">
        <v>6</v>
      </c>
      <c r="W165" s="25">
        <v>1</v>
      </c>
      <c r="X165" s="25">
        <v>1</v>
      </c>
      <c r="Y165" s="25">
        <v>1</v>
      </c>
      <c r="Z165" s="25">
        <v>1</v>
      </c>
      <c r="AA165" s="25">
        <v>1</v>
      </c>
      <c r="AH165" s="5"/>
      <c r="AI165" s="5"/>
      <c r="AO165" s="5"/>
    </row>
    <row r="166" spans="10:41">
      <c r="J166" s="9">
        <v>162</v>
      </c>
      <c r="K166" s="16" t="s">
        <v>19</v>
      </c>
      <c r="L166" s="16" t="s">
        <v>137</v>
      </c>
      <c r="M166" s="16" t="s">
        <v>119</v>
      </c>
      <c r="N166" s="16" t="s">
        <v>34</v>
      </c>
      <c r="O166" s="16" t="s">
        <v>19</v>
      </c>
      <c r="Q166" s="9">
        <v>5</v>
      </c>
      <c r="R166" s="9">
        <v>15</v>
      </c>
      <c r="S166" s="9">
        <v>17</v>
      </c>
      <c r="T166" s="9">
        <v>9</v>
      </c>
      <c r="U166" s="9">
        <v>5</v>
      </c>
      <c r="W166" s="25">
        <v>1</v>
      </c>
      <c r="X166" s="25">
        <v>1</v>
      </c>
      <c r="Y166" s="25">
        <v>1</v>
      </c>
      <c r="Z166" s="25">
        <v>1</v>
      </c>
      <c r="AA166" s="25">
        <v>1</v>
      </c>
      <c r="AH166" s="5"/>
      <c r="AI166" s="5"/>
      <c r="AO166" s="5"/>
    </row>
    <row r="167" spans="10:41">
      <c r="J167" s="25">
        <v>163</v>
      </c>
      <c r="K167" s="16" t="s">
        <v>37</v>
      </c>
      <c r="L167" s="16" t="s">
        <v>37</v>
      </c>
      <c r="M167" s="16" t="s">
        <v>92</v>
      </c>
      <c r="N167" s="16" t="s">
        <v>21</v>
      </c>
      <c r="O167" s="16" t="s">
        <v>18</v>
      </c>
      <c r="Q167" s="9">
        <v>7</v>
      </c>
      <c r="R167" s="9">
        <v>7</v>
      </c>
      <c r="S167" s="9">
        <v>16</v>
      </c>
      <c r="T167" s="9">
        <v>2</v>
      </c>
      <c r="U167" s="9">
        <v>4</v>
      </c>
      <c r="W167" s="25">
        <v>1</v>
      </c>
      <c r="X167" s="25">
        <v>1</v>
      </c>
      <c r="Y167" s="25">
        <v>1</v>
      </c>
      <c r="Z167" s="25">
        <v>1</v>
      </c>
      <c r="AA167" s="25">
        <v>1</v>
      </c>
      <c r="AH167" s="5"/>
      <c r="AI167" s="5"/>
      <c r="AO167" s="5"/>
    </row>
    <row r="168" spans="10:41">
      <c r="J168" s="9">
        <v>164</v>
      </c>
      <c r="K168" s="16" t="s">
        <v>136</v>
      </c>
      <c r="L168" s="16" t="s">
        <v>35</v>
      </c>
      <c r="M168" s="16" t="s">
        <v>91</v>
      </c>
      <c r="N168" s="16" t="s">
        <v>91</v>
      </c>
      <c r="O168" s="16" t="s">
        <v>136</v>
      </c>
      <c r="Q168" s="9">
        <v>6</v>
      </c>
      <c r="R168" s="9">
        <v>8</v>
      </c>
      <c r="S168" s="9">
        <v>14</v>
      </c>
      <c r="T168" s="9">
        <v>14</v>
      </c>
      <c r="U168" s="9">
        <v>6</v>
      </c>
      <c r="W168" s="25">
        <v>1</v>
      </c>
      <c r="X168" s="25">
        <v>1</v>
      </c>
      <c r="Y168" s="25">
        <v>1</v>
      </c>
      <c r="Z168" s="25">
        <v>1</v>
      </c>
      <c r="AA168" s="25">
        <v>1</v>
      </c>
      <c r="AH168" s="5"/>
      <c r="AI168" s="5"/>
      <c r="AO168" s="5"/>
    </row>
    <row r="169" spans="10:41">
      <c r="J169" s="25">
        <v>165</v>
      </c>
      <c r="K169" s="16" t="s">
        <v>35</v>
      </c>
      <c r="L169" s="16" t="s">
        <v>37</v>
      </c>
      <c r="M169" s="16" t="s">
        <v>92</v>
      </c>
      <c r="N169" s="16" t="s">
        <v>35</v>
      </c>
      <c r="O169" s="16" t="s">
        <v>22</v>
      </c>
      <c r="Q169" s="9">
        <v>8</v>
      </c>
      <c r="R169" s="9">
        <v>7</v>
      </c>
      <c r="S169" s="9">
        <v>16</v>
      </c>
      <c r="T169" s="9">
        <v>8</v>
      </c>
      <c r="U169" s="9">
        <v>3</v>
      </c>
      <c r="W169" s="25">
        <v>1</v>
      </c>
      <c r="X169" s="25">
        <v>1</v>
      </c>
      <c r="Y169" s="25">
        <v>1</v>
      </c>
      <c r="Z169" s="25">
        <v>1</v>
      </c>
      <c r="AA169" s="25">
        <v>1</v>
      </c>
      <c r="AH169" s="5"/>
      <c r="AI169" s="5"/>
      <c r="AO169" s="5"/>
    </row>
    <row r="170" spans="10:41">
      <c r="J170" s="9">
        <v>166</v>
      </c>
      <c r="K170" s="16" t="s">
        <v>18</v>
      </c>
      <c r="L170" s="16" t="s">
        <v>18</v>
      </c>
      <c r="M170" s="16" t="s">
        <v>137</v>
      </c>
      <c r="N170" s="16" t="s">
        <v>37</v>
      </c>
      <c r="O170" s="16" t="s">
        <v>37</v>
      </c>
      <c r="Q170" s="9">
        <v>4</v>
      </c>
      <c r="R170" s="9">
        <v>4</v>
      </c>
      <c r="S170" s="9">
        <v>15</v>
      </c>
      <c r="T170" s="9">
        <v>7</v>
      </c>
      <c r="U170" s="9">
        <v>7</v>
      </c>
      <c r="W170" s="25">
        <v>1</v>
      </c>
      <c r="X170" s="25">
        <v>1</v>
      </c>
      <c r="Y170" s="25">
        <v>1</v>
      </c>
      <c r="Z170" s="25">
        <v>1</v>
      </c>
      <c r="AA170" s="25">
        <v>1</v>
      </c>
      <c r="AH170" s="5"/>
      <c r="AI170" s="5"/>
      <c r="AO170" s="5"/>
    </row>
    <row r="171" spans="10:41">
      <c r="J171" s="25">
        <v>167</v>
      </c>
      <c r="K171" s="16" t="s">
        <v>37</v>
      </c>
      <c r="L171" s="16" t="s">
        <v>37</v>
      </c>
      <c r="M171" s="16" t="s">
        <v>119</v>
      </c>
      <c r="N171" s="16" t="s">
        <v>35</v>
      </c>
      <c r="O171" s="16" t="s">
        <v>136</v>
      </c>
      <c r="Q171" s="9">
        <v>7</v>
      </c>
      <c r="R171" s="9">
        <v>7</v>
      </c>
      <c r="S171" s="9">
        <v>17</v>
      </c>
      <c r="T171" s="9">
        <v>8</v>
      </c>
      <c r="U171" s="9">
        <v>6</v>
      </c>
      <c r="W171" s="25">
        <v>1</v>
      </c>
      <c r="X171" s="25">
        <v>1</v>
      </c>
      <c r="Y171" s="25">
        <v>1</v>
      </c>
      <c r="Z171" s="25">
        <v>1</v>
      </c>
      <c r="AA171" s="25">
        <v>1</v>
      </c>
      <c r="AH171" s="5"/>
      <c r="AI171" s="5"/>
      <c r="AO171" s="5"/>
    </row>
    <row r="172" spans="10:41">
      <c r="J172" s="9">
        <v>168</v>
      </c>
      <c r="K172" s="16" t="s">
        <v>35</v>
      </c>
      <c r="L172" s="16" t="s">
        <v>19</v>
      </c>
      <c r="M172" s="16" t="s">
        <v>20</v>
      </c>
      <c r="N172" s="16" t="s">
        <v>136</v>
      </c>
      <c r="O172" s="16" t="s">
        <v>35</v>
      </c>
      <c r="Q172" s="9">
        <v>8</v>
      </c>
      <c r="R172" s="9">
        <v>5</v>
      </c>
      <c r="S172" s="9">
        <v>1</v>
      </c>
      <c r="T172" s="9">
        <v>6</v>
      </c>
      <c r="U172" s="9">
        <v>8</v>
      </c>
      <c r="W172" s="25">
        <v>1</v>
      </c>
      <c r="X172" s="25">
        <v>1</v>
      </c>
      <c r="Y172" s="25">
        <v>1</v>
      </c>
      <c r="Z172" s="25">
        <v>1</v>
      </c>
      <c r="AA172" s="25">
        <v>1</v>
      </c>
      <c r="AH172" s="5"/>
      <c r="AI172" s="5"/>
      <c r="AO172" s="5"/>
    </row>
    <row r="173" spans="10:41">
      <c r="J173" s="25">
        <v>169</v>
      </c>
      <c r="K173" s="16" t="s">
        <v>36</v>
      </c>
      <c r="L173" s="16" t="s">
        <v>37</v>
      </c>
      <c r="M173" s="16" t="s">
        <v>119</v>
      </c>
      <c r="N173" s="16" t="s">
        <v>35</v>
      </c>
      <c r="O173" s="16" t="s">
        <v>136</v>
      </c>
      <c r="Q173" s="9">
        <v>10</v>
      </c>
      <c r="R173" s="9">
        <v>7</v>
      </c>
      <c r="S173" s="9">
        <v>17</v>
      </c>
      <c r="T173" s="9">
        <v>8</v>
      </c>
      <c r="U173" s="9">
        <v>6</v>
      </c>
      <c r="W173" s="25">
        <v>1</v>
      </c>
      <c r="X173" s="25">
        <v>1</v>
      </c>
      <c r="Y173" s="25">
        <v>1</v>
      </c>
      <c r="Z173" s="25">
        <v>1</v>
      </c>
      <c r="AA173" s="25">
        <v>1</v>
      </c>
      <c r="AH173" s="5"/>
      <c r="AI173" s="5"/>
      <c r="AO173" s="5"/>
    </row>
    <row r="174" spans="10:41">
      <c r="J174" s="9">
        <v>170</v>
      </c>
      <c r="K174" s="16" t="s">
        <v>19</v>
      </c>
      <c r="L174" s="16" t="s">
        <v>136</v>
      </c>
      <c r="M174" s="16" t="s">
        <v>91</v>
      </c>
      <c r="N174" s="16" t="s">
        <v>18</v>
      </c>
      <c r="O174" s="16" t="s">
        <v>20</v>
      </c>
      <c r="Q174" s="9">
        <v>5</v>
      </c>
      <c r="R174" s="9">
        <v>6</v>
      </c>
      <c r="S174" s="9">
        <v>14</v>
      </c>
      <c r="T174" s="9">
        <v>4</v>
      </c>
      <c r="U174" s="9">
        <v>1</v>
      </c>
      <c r="W174" s="25">
        <v>1</v>
      </c>
      <c r="X174" s="25">
        <v>1</v>
      </c>
      <c r="Y174" s="25">
        <v>1</v>
      </c>
      <c r="Z174" s="25">
        <v>1</v>
      </c>
      <c r="AA174" s="25">
        <v>1</v>
      </c>
      <c r="AH174" s="5"/>
      <c r="AI174" s="5"/>
      <c r="AO174" s="5"/>
    </row>
    <row r="175" spans="10:41">
      <c r="J175" s="25">
        <v>171</v>
      </c>
      <c r="K175" s="16" t="s">
        <v>37</v>
      </c>
      <c r="L175" s="16" t="s">
        <v>34</v>
      </c>
      <c r="M175" s="16" t="s">
        <v>137</v>
      </c>
      <c r="N175" s="16" t="s">
        <v>19</v>
      </c>
      <c r="O175" s="16" t="s">
        <v>136</v>
      </c>
      <c r="Q175" s="9">
        <v>7</v>
      </c>
      <c r="R175" s="9">
        <v>9</v>
      </c>
      <c r="S175" s="9">
        <v>15</v>
      </c>
      <c r="T175" s="9">
        <v>5</v>
      </c>
      <c r="U175" s="9">
        <v>6</v>
      </c>
      <c r="W175" s="25">
        <v>1</v>
      </c>
      <c r="X175" s="25">
        <v>1</v>
      </c>
      <c r="Y175" s="25">
        <v>1</v>
      </c>
      <c r="Z175" s="25">
        <v>1</v>
      </c>
      <c r="AA175" s="25">
        <v>1</v>
      </c>
      <c r="AH175" s="5"/>
      <c r="AI175" s="5"/>
      <c r="AO175" s="5"/>
    </row>
    <row r="176" spans="10:41">
      <c r="J176" s="9">
        <v>172</v>
      </c>
      <c r="K176" s="16" t="s">
        <v>19</v>
      </c>
      <c r="L176" s="16" t="s">
        <v>35</v>
      </c>
      <c r="M176" s="16" t="s">
        <v>97</v>
      </c>
      <c r="N176" s="16" t="s">
        <v>136</v>
      </c>
      <c r="O176" s="16" t="s">
        <v>19</v>
      </c>
      <c r="Q176" s="9">
        <v>5</v>
      </c>
      <c r="R176" s="9">
        <v>8</v>
      </c>
      <c r="S176" s="9">
        <v>19</v>
      </c>
      <c r="T176" s="9">
        <v>6</v>
      </c>
      <c r="U176" s="9">
        <v>5</v>
      </c>
      <c r="W176" s="25">
        <v>1</v>
      </c>
      <c r="X176" s="25">
        <v>1</v>
      </c>
      <c r="Y176" s="25">
        <v>1</v>
      </c>
      <c r="Z176" s="25">
        <v>1</v>
      </c>
      <c r="AA176" s="25">
        <v>1</v>
      </c>
      <c r="AH176" s="5"/>
      <c r="AI176" s="5"/>
      <c r="AO176" s="5"/>
    </row>
    <row r="177" spans="10:41">
      <c r="J177" s="25">
        <v>173</v>
      </c>
      <c r="K177" s="16" t="s">
        <v>37</v>
      </c>
      <c r="L177" s="16" t="s">
        <v>21</v>
      </c>
      <c r="M177" s="16" t="s">
        <v>119</v>
      </c>
      <c r="N177" s="16" t="s">
        <v>35</v>
      </c>
      <c r="O177" s="16" t="s">
        <v>136</v>
      </c>
      <c r="Q177" s="9">
        <v>7</v>
      </c>
      <c r="R177" s="9">
        <v>2</v>
      </c>
      <c r="S177" s="9">
        <v>17</v>
      </c>
      <c r="T177" s="9">
        <v>8</v>
      </c>
      <c r="U177" s="9">
        <v>6</v>
      </c>
      <c r="W177" s="25">
        <v>1</v>
      </c>
      <c r="X177" s="25">
        <v>1</v>
      </c>
      <c r="Y177" s="25">
        <v>1</v>
      </c>
      <c r="Z177" s="25">
        <v>1</v>
      </c>
      <c r="AA177" s="25">
        <v>1</v>
      </c>
      <c r="AH177" s="5"/>
      <c r="AI177" s="5"/>
      <c r="AO177" s="5"/>
    </row>
    <row r="178" spans="10:41">
      <c r="J178" s="9">
        <v>174</v>
      </c>
      <c r="K178" s="16" t="s">
        <v>34</v>
      </c>
      <c r="L178" s="16" t="s">
        <v>19</v>
      </c>
      <c r="M178" s="16" t="s">
        <v>92</v>
      </c>
      <c r="N178" s="16" t="s">
        <v>136</v>
      </c>
      <c r="O178" s="16" t="s">
        <v>19</v>
      </c>
      <c r="Q178" s="9">
        <v>9</v>
      </c>
      <c r="R178" s="9">
        <v>5</v>
      </c>
      <c r="S178" s="9">
        <v>16</v>
      </c>
      <c r="T178" s="9">
        <v>6</v>
      </c>
      <c r="U178" s="9">
        <v>5</v>
      </c>
      <c r="W178" s="25">
        <v>1</v>
      </c>
      <c r="X178" s="25">
        <v>1</v>
      </c>
      <c r="Y178" s="25">
        <v>1</v>
      </c>
      <c r="Z178" s="25">
        <v>1</v>
      </c>
      <c r="AA178" s="25">
        <v>1</v>
      </c>
      <c r="AH178" s="5"/>
      <c r="AI178" s="5"/>
      <c r="AO178" s="5"/>
    </row>
    <row r="179" spans="10:41">
      <c r="J179" s="25">
        <v>175</v>
      </c>
      <c r="K179" s="16" t="s">
        <v>37</v>
      </c>
      <c r="L179" s="16" t="s">
        <v>35</v>
      </c>
      <c r="M179" s="16" t="s">
        <v>119</v>
      </c>
      <c r="N179" s="16" t="s">
        <v>20</v>
      </c>
      <c r="O179" s="16" t="s">
        <v>34</v>
      </c>
      <c r="Q179" s="9">
        <v>7</v>
      </c>
      <c r="R179" s="9">
        <v>8</v>
      </c>
      <c r="S179" s="9">
        <v>17</v>
      </c>
      <c r="T179" s="9">
        <v>1</v>
      </c>
      <c r="U179" s="9">
        <v>9</v>
      </c>
      <c r="W179" s="25">
        <v>1</v>
      </c>
      <c r="X179" s="25">
        <v>1</v>
      </c>
      <c r="Y179" s="25">
        <v>1</v>
      </c>
      <c r="Z179" s="25">
        <v>1</v>
      </c>
      <c r="AA179" s="25">
        <v>1</v>
      </c>
      <c r="AH179" s="5"/>
      <c r="AI179" s="5"/>
      <c r="AO179" s="5"/>
    </row>
    <row r="180" spans="10:41">
      <c r="J180" s="9">
        <v>176</v>
      </c>
      <c r="K180" s="16" t="s">
        <v>22</v>
      </c>
      <c r="L180" s="16" t="s">
        <v>21</v>
      </c>
      <c r="M180" s="16" t="s">
        <v>92</v>
      </c>
      <c r="N180" s="16" t="s">
        <v>19</v>
      </c>
      <c r="O180" s="16" t="s">
        <v>19</v>
      </c>
      <c r="Q180" s="9">
        <v>3</v>
      </c>
      <c r="R180" s="9">
        <v>2</v>
      </c>
      <c r="S180" s="9">
        <v>16</v>
      </c>
      <c r="T180" s="9">
        <v>5</v>
      </c>
      <c r="U180" s="9">
        <v>5</v>
      </c>
      <c r="W180" s="25">
        <v>1</v>
      </c>
      <c r="X180" s="25">
        <v>1</v>
      </c>
      <c r="Y180" s="25">
        <v>1</v>
      </c>
      <c r="Z180" s="25">
        <v>1</v>
      </c>
      <c r="AA180" s="25">
        <v>1</v>
      </c>
      <c r="AH180" s="5"/>
      <c r="AI180" s="5"/>
      <c r="AO180" s="5"/>
    </row>
    <row r="181" spans="10:41">
      <c r="J181" s="25">
        <v>177</v>
      </c>
      <c r="K181" s="16" t="s">
        <v>35</v>
      </c>
      <c r="L181" s="16" t="s">
        <v>19</v>
      </c>
      <c r="M181" s="16" t="s">
        <v>137</v>
      </c>
      <c r="N181" s="16" t="s">
        <v>119</v>
      </c>
      <c r="O181" s="16" t="s">
        <v>37</v>
      </c>
      <c r="Q181" s="9">
        <v>8</v>
      </c>
      <c r="R181" s="9">
        <v>5</v>
      </c>
      <c r="S181" s="9">
        <v>15</v>
      </c>
      <c r="T181" s="9">
        <v>17</v>
      </c>
      <c r="U181" s="9">
        <v>7</v>
      </c>
      <c r="W181" s="25">
        <v>1</v>
      </c>
      <c r="X181" s="25">
        <v>1</v>
      </c>
      <c r="Y181" s="25">
        <v>1</v>
      </c>
      <c r="Z181" s="25">
        <v>1</v>
      </c>
      <c r="AA181" s="25">
        <v>1</v>
      </c>
      <c r="AH181" s="5"/>
      <c r="AI181" s="5"/>
      <c r="AO181" s="5"/>
    </row>
    <row r="182" spans="10:41">
      <c r="J182" s="9">
        <v>178</v>
      </c>
      <c r="K182" s="16" t="s">
        <v>19</v>
      </c>
      <c r="L182" s="16" t="s">
        <v>119</v>
      </c>
      <c r="M182" s="16" t="s">
        <v>91</v>
      </c>
      <c r="N182" s="16" t="s">
        <v>35</v>
      </c>
      <c r="O182" s="16" t="s">
        <v>18</v>
      </c>
      <c r="Q182" s="9">
        <v>5</v>
      </c>
      <c r="R182" s="9">
        <v>17</v>
      </c>
      <c r="S182" s="9">
        <v>14</v>
      </c>
      <c r="T182" s="9">
        <v>8</v>
      </c>
      <c r="U182" s="9">
        <v>4</v>
      </c>
      <c r="W182" s="25">
        <v>1</v>
      </c>
      <c r="X182" s="25">
        <v>1</v>
      </c>
      <c r="Y182" s="25">
        <v>1</v>
      </c>
      <c r="Z182" s="25">
        <v>1</v>
      </c>
      <c r="AA182" s="25">
        <v>1</v>
      </c>
      <c r="AH182" s="5"/>
      <c r="AI182" s="5"/>
      <c r="AO182" s="5"/>
    </row>
    <row r="183" spans="10:41">
      <c r="J183" s="25">
        <v>179</v>
      </c>
      <c r="K183" s="16" t="s">
        <v>37</v>
      </c>
      <c r="L183" s="16" t="s">
        <v>136</v>
      </c>
      <c r="M183" s="16" t="s">
        <v>137</v>
      </c>
      <c r="N183" s="16" t="s">
        <v>37</v>
      </c>
      <c r="O183" s="16" t="s">
        <v>34</v>
      </c>
      <c r="Q183" s="9">
        <v>7</v>
      </c>
      <c r="R183" s="9">
        <v>6</v>
      </c>
      <c r="S183" s="9">
        <v>15</v>
      </c>
      <c r="T183" s="9">
        <v>7</v>
      </c>
      <c r="U183" s="9">
        <v>9</v>
      </c>
      <c r="W183" s="25">
        <v>1</v>
      </c>
      <c r="X183" s="25">
        <v>1</v>
      </c>
      <c r="Y183" s="25">
        <v>1</v>
      </c>
      <c r="Z183" s="25">
        <v>1</v>
      </c>
      <c r="AA183" s="25">
        <v>1</v>
      </c>
      <c r="AH183" s="5"/>
      <c r="AI183" s="5"/>
      <c r="AO183" s="5"/>
    </row>
    <row r="184" spans="10:41">
      <c r="J184" s="9">
        <v>180</v>
      </c>
      <c r="K184" s="16" t="s">
        <v>35</v>
      </c>
      <c r="L184" s="16" t="s">
        <v>37</v>
      </c>
      <c r="M184" s="16" t="s">
        <v>119</v>
      </c>
      <c r="N184" s="16" t="s">
        <v>136</v>
      </c>
      <c r="O184" s="16" t="s">
        <v>37</v>
      </c>
      <c r="Q184" s="9">
        <v>8</v>
      </c>
      <c r="R184" s="9">
        <v>7</v>
      </c>
      <c r="S184" s="9">
        <v>17</v>
      </c>
      <c r="T184" s="9">
        <v>6</v>
      </c>
      <c r="U184" s="9">
        <v>7</v>
      </c>
      <c r="W184" s="25">
        <v>1</v>
      </c>
      <c r="X184" s="25">
        <v>1</v>
      </c>
      <c r="Y184" s="25">
        <v>1</v>
      </c>
      <c r="Z184" s="25">
        <v>1</v>
      </c>
      <c r="AA184" s="25">
        <v>1</v>
      </c>
      <c r="AH184" s="5"/>
      <c r="AI184" s="5"/>
      <c r="AO184" s="5"/>
    </row>
    <row r="185" spans="10:41">
      <c r="J185" s="25">
        <v>181</v>
      </c>
      <c r="K185" s="16" t="s">
        <v>19</v>
      </c>
      <c r="L185" s="16" t="s">
        <v>19</v>
      </c>
      <c r="M185" s="16" t="s">
        <v>97</v>
      </c>
      <c r="N185" s="16" t="s">
        <v>19</v>
      </c>
      <c r="O185" s="16" t="s">
        <v>35</v>
      </c>
      <c r="Q185" s="9">
        <v>5</v>
      </c>
      <c r="R185" s="9">
        <v>5</v>
      </c>
      <c r="S185" s="9">
        <v>19</v>
      </c>
      <c r="T185" s="9">
        <v>5</v>
      </c>
      <c r="U185" s="9">
        <v>8</v>
      </c>
      <c r="W185" s="25">
        <v>1</v>
      </c>
      <c r="X185" s="25">
        <v>1</v>
      </c>
      <c r="Y185" s="25">
        <v>1</v>
      </c>
      <c r="Z185" s="25">
        <v>1</v>
      </c>
      <c r="AA185" s="25">
        <v>1</v>
      </c>
      <c r="AH185" s="5"/>
      <c r="AI185" s="5"/>
      <c r="AO185" s="5"/>
    </row>
    <row r="186" spans="10:41">
      <c r="J186" s="9">
        <v>182</v>
      </c>
      <c r="K186" s="16" t="s">
        <v>21</v>
      </c>
      <c r="L186" s="16" t="s">
        <v>21</v>
      </c>
      <c r="M186" s="16" t="s">
        <v>119</v>
      </c>
      <c r="N186" s="16" t="s">
        <v>37</v>
      </c>
      <c r="O186" s="16" t="s">
        <v>20</v>
      </c>
      <c r="Q186" s="9">
        <v>2</v>
      </c>
      <c r="R186" s="9">
        <v>2</v>
      </c>
      <c r="S186" s="9">
        <v>17</v>
      </c>
      <c r="T186" s="9">
        <v>7</v>
      </c>
      <c r="U186" s="9">
        <v>1</v>
      </c>
      <c r="W186" s="25">
        <v>1</v>
      </c>
      <c r="X186" s="25">
        <v>1</v>
      </c>
      <c r="Y186" s="25">
        <v>1</v>
      </c>
      <c r="Z186" s="25">
        <v>1</v>
      </c>
      <c r="AA186" s="25">
        <v>1</v>
      </c>
      <c r="AH186" s="5"/>
      <c r="AI186" s="5"/>
      <c r="AO186" s="5"/>
    </row>
    <row r="187" spans="10:41">
      <c r="J187" s="25">
        <v>183</v>
      </c>
      <c r="K187" s="16" t="s">
        <v>37</v>
      </c>
      <c r="L187" s="16" t="s">
        <v>37</v>
      </c>
      <c r="M187" s="16" t="s">
        <v>91</v>
      </c>
      <c r="N187" s="16" t="s">
        <v>19</v>
      </c>
      <c r="O187" s="16" t="s">
        <v>136</v>
      </c>
      <c r="Q187" s="9">
        <v>7</v>
      </c>
      <c r="R187" s="9">
        <v>7</v>
      </c>
      <c r="S187" s="9">
        <v>14</v>
      </c>
      <c r="T187" s="9">
        <v>5</v>
      </c>
      <c r="U187" s="9">
        <v>6</v>
      </c>
      <c r="W187" s="25">
        <v>1</v>
      </c>
      <c r="X187" s="25">
        <v>1</v>
      </c>
      <c r="Y187" s="25">
        <v>1</v>
      </c>
      <c r="Z187" s="25">
        <v>1</v>
      </c>
      <c r="AA187" s="25">
        <v>1</v>
      </c>
      <c r="AH187" s="5"/>
      <c r="AI187" s="5"/>
      <c r="AO187" s="5"/>
    </row>
    <row r="188" spans="10:41">
      <c r="J188" s="9">
        <v>184</v>
      </c>
      <c r="K188" s="16" t="s">
        <v>35</v>
      </c>
      <c r="L188" s="16" t="s">
        <v>136</v>
      </c>
      <c r="M188" s="16" t="s">
        <v>137</v>
      </c>
      <c r="N188" s="16" t="s">
        <v>136</v>
      </c>
      <c r="O188" s="16" t="s">
        <v>22</v>
      </c>
      <c r="Q188" s="9">
        <v>8</v>
      </c>
      <c r="R188" s="9">
        <v>6</v>
      </c>
      <c r="S188" s="9">
        <v>15</v>
      </c>
      <c r="T188" s="9">
        <v>6</v>
      </c>
      <c r="U188" s="9">
        <v>3</v>
      </c>
      <c r="W188" s="25">
        <v>1</v>
      </c>
      <c r="X188" s="25">
        <v>1</v>
      </c>
      <c r="Y188" s="25">
        <v>1</v>
      </c>
      <c r="Z188" s="25">
        <v>1</v>
      </c>
      <c r="AA188" s="25">
        <v>1</v>
      </c>
      <c r="AH188" s="5"/>
      <c r="AI188" s="5"/>
      <c r="AO188" s="5"/>
    </row>
    <row r="189" spans="10:41">
      <c r="J189" s="25">
        <v>185</v>
      </c>
      <c r="K189" s="16" t="s">
        <v>136</v>
      </c>
      <c r="L189" s="16" t="s">
        <v>19</v>
      </c>
      <c r="M189" s="16" t="s">
        <v>91</v>
      </c>
      <c r="N189" s="16" t="s">
        <v>37</v>
      </c>
      <c r="O189" s="16" t="s">
        <v>35</v>
      </c>
      <c r="Q189" s="9">
        <v>6</v>
      </c>
      <c r="R189" s="9">
        <v>5</v>
      </c>
      <c r="S189" s="9">
        <v>14</v>
      </c>
      <c r="T189" s="9">
        <v>7</v>
      </c>
      <c r="U189" s="9">
        <v>8</v>
      </c>
      <c r="W189" s="25">
        <v>1</v>
      </c>
      <c r="X189" s="25">
        <v>1</v>
      </c>
      <c r="Y189" s="25">
        <v>1</v>
      </c>
      <c r="Z189" s="25">
        <v>1</v>
      </c>
      <c r="AA189" s="25">
        <v>1</v>
      </c>
      <c r="AH189" s="5"/>
      <c r="AI189" s="5"/>
      <c r="AO189" s="5"/>
    </row>
    <row r="190" spans="10:41">
      <c r="J190" s="9">
        <v>186</v>
      </c>
      <c r="K190" s="16" t="s">
        <v>37</v>
      </c>
      <c r="L190" s="16" t="s">
        <v>119</v>
      </c>
      <c r="M190" s="16" t="s">
        <v>119</v>
      </c>
      <c r="N190" s="16" t="s">
        <v>19</v>
      </c>
      <c r="O190" s="16" t="s">
        <v>37</v>
      </c>
      <c r="Q190" s="9">
        <v>7</v>
      </c>
      <c r="R190" s="9">
        <v>17</v>
      </c>
      <c r="S190" s="9">
        <v>17</v>
      </c>
      <c r="T190" s="9">
        <v>5</v>
      </c>
      <c r="U190" s="9">
        <v>7</v>
      </c>
      <c r="W190" s="25">
        <v>1</v>
      </c>
      <c r="X190" s="25">
        <v>1</v>
      </c>
      <c r="Y190" s="25">
        <v>1</v>
      </c>
      <c r="Z190" s="25">
        <v>1</v>
      </c>
      <c r="AA190" s="25">
        <v>1</v>
      </c>
      <c r="AH190" s="5"/>
      <c r="AI190" s="5"/>
      <c r="AO190" s="5"/>
    </row>
    <row r="191" spans="10:41">
      <c r="J191" s="25">
        <v>187</v>
      </c>
      <c r="K191" s="16" t="s">
        <v>19</v>
      </c>
      <c r="L191" s="16" t="s">
        <v>37</v>
      </c>
      <c r="M191" s="16" t="s">
        <v>92</v>
      </c>
      <c r="N191" s="16" t="s">
        <v>37</v>
      </c>
      <c r="O191" s="16" t="s">
        <v>21</v>
      </c>
      <c r="Q191" s="9">
        <v>5</v>
      </c>
      <c r="R191" s="9">
        <v>7</v>
      </c>
      <c r="S191" s="9">
        <v>16</v>
      </c>
      <c r="T191" s="9">
        <v>7</v>
      </c>
      <c r="U191" s="9">
        <v>2</v>
      </c>
      <c r="W191" s="25">
        <v>1</v>
      </c>
      <c r="X191" s="25">
        <v>1</v>
      </c>
      <c r="Y191" s="25">
        <v>1</v>
      </c>
      <c r="Z191" s="25">
        <v>1</v>
      </c>
      <c r="AA191" s="25">
        <v>1</v>
      </c>
      <c r="AH191" s="5"/>
      <c r="AI191" s="5"/>
      <c r="AO191" s="5"/>
    </row>
    <row r="192" spans="10:41">
      <c r="J192" s="9">
        <v>188</v>
      </c>
      <c r="K192" s="16" t="s">
        <v>136</v>
      </c>
      <c r="L192" s="16" t="s">
        <v>35</v>
      </c>
      <c r="M192" s="16" t="s">
        <v>137</v>
      </c>
      <c r="N192" s="16" t="s">
        <v>19</v>
      </c>
      <c r="O192" s="16" t="s">
        <v>37</v>
      </c>
      <c r="Q192" s="9">
        <v>6</v>
      </c>
      <c r="R192" s="9">
        <v>8</v>
      </c>
      <c r="S192" s="9">
        <v>15</v>
      </c>
      <c r="T192" s="9">
        <v>5</v>
      </c>
      <c r="U192" s="9">
        <v>7</v>
      </c>
      <c r="W192" s="25">
        <v>1</v>
      </c>
      <c r="X192" s="25">
        <v>1</v>
      </c>
      <c r="Y192" s="25">
        <v>1</v>
      </c>
      <c r="Z192" s="25">
        <v>1</v>
      </c>
      <c r="AA192" s="25">
        <v>1</v>
      </c>
      <c r="AH192" s="5"/>
      <c r="AI192" s="5"/>
      <c r="AO192" s="5"/>
    </row>
    <row r="193" spans="10:41">
      <c r="J193" s="25">
        <v>189</v>
      </c>
      <c r="K193" s="16" t="s">
        <v>37</v>
      </c>
      <c r="L193" s="16" t="s">
        <v>92</v>
      </c>
      <c r="M193" s="16" t="s">
        <v>119</v>
      </c>
      <c r="N193" s="16" t="s">
        <v>36</v>
      </c>
      <c r="O193" s="16" t="s">
        <v>36</v>
      </c>
      <c r="Q193" s="9">
        <v>7</v>
      </c>
      <c r="R193" s="9">
        <v>16</v>
      </c>
      <c r="S193" s="9">
        <v>17</v>
      </c>
      <c r="T193" s="9">
        <v>10</v>
      </c>
      <c r="U193" s="9">
        <v>10</v>
      </c>
      <c r="W193" s="25">
        <v>1</v>
      </c>
      <c r="X193" s="25">
        <v>1</v>
      </c>
      <c r="Y193" s="25">
        <v>1</v>
      </c>
      <c r="Z193" s="25">
        <v>1</v>
      </c>
      <c r="AA193" s="25">
        <v>1</v>
      </c>
      <c r="AH193" s="5"/>
      <c r="AI193" s="5"/>
      <c r="AO193" s="5"/>
    </row>
    <row r="194" spans="10:41">
      <c r="J194" s="9">
        <v>190</v>
      </c>
      <c r="K194" s="16" t="s">
        <v>136</v>
      </c>
      <c r="L194" s="16" t="s">
        <v>37</v>
      </c>
      <c r="M194" s="16" t="s">
        <v>92</v>
      </c>
      <c r="N194" s="16" t="s">
        <v>20</v>
      </c>
      <c r="O194" s="16" t="s">
        <v>136</v>
      </c>
      <c r="Q194" s="9">
        <v>6</v>
      </c>
      <c r="R194" s="9">
        <v>7</v>
      </c>
      <c r="S194" s="9">
        <v>16</v>
      </c>
      <c r="T194" s="9">
        <v>1</v>
      </c>
      <c r="U194" s="9">
        <v>6</v>
      </c>
      <c r="W194" s="25">
        <v>1</v>
      </c>
      <c r="X194" s="25">
        <v>1</v>
      </c>
      <c r="Y194" s="25">
        <v>1</v>
      </c>
      <c r="Z194" s="25">
        <v>1</v>
      </c>
      <c r="AA194" s="25">
        <v>1</v>
      </c>
      <c r="AH194" s="5"/>
      <c r="AI194" s="5"/>
      <c r="AO194" s="5"/>
    </row>
    <row r="195" spans="10:41">
      <c r="J195" s="25">
        <v>191</v>
      </c>
      <c r="K195" s="16" t="s">
        <v>35</v>
      </c>
      <c r="L195" s="16" t="s">
        <v>35</v>
      </c>
      <c r="M195" s="16" t="s">
        <v>95</v>
      </c>
      <c r="N195" s="16" t="s">
        <v>18</v>
      </c>
      <c r="O195" s="16" t="s">
        <v>19</v>
      </c>
      <c r="Q195" s="9">
        <v>8</v>
      </c>
      <c r="R195" s="9">
        <v>8</v>
      </c>
      <c r="S195" s="9">
        <v>18</v>
      </c>
      <c r="T195" s="9">
        <v>4</v>
      </c>
      <c r="U195" s="9">
        <v>5</v>
      </c>
      <c r="W195" s="25">
        <v>1</v>
      </c>
      <c r="X195" s="25">
        <v>1</v>
      </c>
      <c r="Y195" s="25">
        <v>1</v>
      </c>
      <c r="Z195" s="25">
        <v>1</v>
      </c>
      <c r="AA195" s="25">
        <v>1</v>
      </c>
      <c r="AH195" s="5"/>
      <c r="AI195" s="5"/>
      <c r="AO195" s="5"/>
    </row>
    <row r="196" spans="10:41">
      <c r="J196" s="9">
        <v>192</v>
      </c>
      <c r="K196" s="16" t="s">
        <v>37</v>
      </c>
      <c r="L196" s="16" t="s">
        <v>34</v>
      </c>
      <c r="M196" s="16" t="s">
        <v>137</v>
      </c>
      <c r="N196" s="16" t="s">
        <v>91</v>
      </c>
      <c r="O196" s="16" t="s">
        <v>37</v>
      </c>
      <c r="Q196" s="9">
        <v>7</v>
      </c>
      <c r="R196" s="9">
        <v>9</v>
      </c>
      <c r="S196" s="9">
        <v>15</v>
      </c>
      <c r="T196" s="9">
        <v>14</v>
      </c>
      <c r="U196" s="9">
        <v>7</v>
      </c>
      <c r="W196" s="25">
        <v>1</v>
      </c>
      <c r="X196" s="25">
        <v>1</v>
      </c>
      <c r="Y196" s="25">
        <v>1</v>
      </c>
      <c r="Z196" s="25">
        <v>1</v>
      </c>
      <c r="AA196" s="25">
        <v>1</v>
      </c>
      <c r="AH196" s="5"/>
      <c r="AI196" s="5"/>
      <c r="AO196" s="5"/>
    </row>
    <row r="197" spans="10:41">
      <c r="J197" s="25">
        <v>193</v>
      </c>
      <c r="K197" s="16" t="s">
        <v>136</v>
      </c>
      <c r="L197" s="16" t="s">
        <v>35</v>
      </c>
      <c r="M197" s="16" t="s">
        <v>91</v>
      </c>
      <c r="N197" s="16" t="s">
        <v>37</v>
      </c>
      <c r="O197" s="16" t="s">
        <v>19</v>
      </c>
      <c r="Q197" s="9">
        <v>6</v>
      </c>
      <c r="R197" s="9">
        <v>8</v>
      </c>
      <c r="S197" s="9">
        <v>14</v>
      </c>
      <c r="T197" s="9">
        <v>7</v>
      </c>
      <c r="U197" s="9">
        <v>5</v>
      </c>
      <c r="W197" s="25">
        <v>1</v>
      </c>
      <c r="X197" s="25">
        <v>1</v>
      </c>
      <c r="Y197" s="25">
        <v>1</v>
      </c>
      <c r="Z197" s="25">
        <v>1</v>
      </c>
      <c r="AA197" s="25">
        <v>1</v>
      </c>
      <c r="AH197" s="5"/>
      <c r="AI197" s="5"/>
      <c r="AO197" s="5"/>
    </row>
    <row r="198" spans="10:41">
      <c r="J198" s="9">
        <v>194</v>
      </c>
      <c r="K198" s="16" t="s">
        <v>34</v>
      </c>
      <c r="L198" s="16" t="s">
        <v>19</v>
      </c>
      <c r="M198" s="16" t="s">
        <v>92</v>
      </c>
      <c r="N198" s="16" t="s">
        <v>90</v>
      </c>
      <c r="O198" s="16" t="s">
        <v>35</v>
      </c>
      <c r="Q198" s="9">
        <v>9</v>
      </c>
      <c r="R198" s="9">
        <v>5</v>
      </c>
      <c r="S198" s="9">
        <v>16</v>
      </c>
      <c r="T198" s="9">
        <v>13</v>
      </c>
      <c r="U198" s="9">
        <v>8</v>
      </c>
      <c r="W198" s="25">
        <v>1</v>
      </c>
      <c r="X198" s="25">
        <v>1</v>
      </c>
      <c r="Y198" s="25">
        <v>1</v>
      </c>
      <c r="Z198" s="25">
        <v>1</v>
      </c>
      <c r="AA198" s="25">
        <v>1</v>
      </c>
      <c r="AH198" s="5"/>
      <c r="AI198" s="5"/>
      <c r="AO198" s="5"/>
    </row>
    <row r="199" spans="10:41">
      <c r="J199" s="25">
        <v>195</v>
      </c>
      <c r="K199" s="16" t="s">
        <v>18</v>
      </c>
      <c r="L199" s="16" t="s">
        <v>18</v>
      </c>
      <c r="M199" s="16" t="s">
        <v>91</v>
      </c>
      <c r="N199" s="16" t="s">
        <v>19</v>
      </c>
      <c r="O199" s="16" t="s">
        <v>37</v>
      </c>
      <c r="Q199" s="9">
        <v>4</v>
      </c>
      <c r="R199" s="9">
        <v>4</v>
      </c>
      <c r="S199" s="9">
        <v>14</v>
      </c>
      <c r="T199" s="9">
        <v>5</v>
      </c>
      <c r="U199" s="9">
        <v>7</v>
      </c>
      <c r="W199" s="25">
        <v>1</v>
      </c>
      <c r="X199" s="25">
        <v>1</v>
      </c>
      <c r="Y199" s="25">
        <v>1</v>
      </c>
      <c r="Z199" s="25">
        <v>1</v>
      </c>
      <c r="AA199" s="25">
        <v>1</v>
      </c>
      <c r="AH199" s="5"/>
      <c r="AI199" s="5"/>
      <c r="AO199" s="5"/>
    </row>
    <row r="200" spans="10:41">
      <c r="J200" s="9">
        <v>196</v>
      </c>
      <c r="K200" s="16" t="s">
        <v>136</v>
      </c>
      <c r="L200" s="16" t="s">
        <v>22</v>
      </c>
      <c r="M200" s="16" t="s">
        <v>137</v>
      </c>
      <c r="N200" s="16" t="s">
        <v>92</v>
      </c>
      <c r="O200" s="16" t="s">
        <v>136</v>
      </c>
      <c r="Q200" s="9">
        <v>6</v>
      </c>
      <c r="R200" s="9">
        <v>3</v>
      </c>
      <c r="S200" s="9">
        <v>15</v>
      </c>
      <c r="T200" s="9">
        <v>16</v>
      </c>
      <c r="U200" s="9">
        <v>6</v>
      </c>
      <c r="W200" s="25">
        <v>1</v>
      </c>
      <c r="X200" s="25">
        <v>1</v>
      </c>
      <c r="Y200" s="25">
        <v>1</v>
      </c>
      <c r="Z200" s="25">
        <v>1</v>
      </c>
      <c r="AA200" s="25">
        <v>1</v>
      </c>
      <c r="AH200" s="5"/>
      <c r="AI200" s="5"/>
      <c r="AO200" s="5"/>
    </row>
    <row r="201" spans="10:41">
      <c r="J201" s="25">
        <v>197</v>
      </c>
      <c r="K201" s="16" t="s">
        <v>19</v>
      </c>
      <c r="L201" s="16" t="s">
        <v>35</v>
      </c>
      <c r="M201" s="16" t="s">
        <v>97</v>
      </c>
      <c r="N201" s="16" t="s">
        <v>19</v>
      </c>
      <c r="O201" s="16" t="s">
        <v>37</v>
      </c>
      <c r="Q201" s="9">
        <v>5</v>
      </c>
      <c r="R201" s="9">
        <v>8</v>
      </c>
      <c r="S201" s="9">
        <v>19</v>
      </c>
      <c r="T201" s="9">
        <v>5</v>
      </c>
      <c r="U201" s="9">
        <v>7</v>
      </c>
      <c r="W201" s="25">
        <v>1</v>
      </c>
      <c r="X201" s="25">
        <v>1</v>
      </c>
      <c r="Y201" s="25">
        <v>1</v>
      </c>
      <c r="Z201" s="25">
        <v>1</v>
      </c>
      <c r="AA201" s="25">
        <v>1</v>
      </c>
      <c r="AH201" s="5"/>
      <c r="AI201" s="5"/>
      <c r="AO201" s="5"/>
    </row>
    <row r="202" spans="10:41">
      <c r="J202" s="9">
        <v>198</v>
      </c>
      <c r="K202" s="16" t="s">
        <v>35</v>
      </c>
      <c r="L202" s="16" t="s">
        <v>136</v>
      </c>
      <c r="M202" s="16" t="s">
        <v>92</v>
      </c>
      <c r="N202" s="16" t="s">
        <v>92</v>
      </c>
      <c r="O202" s="16" t="s">
        <v>19</v>
      </c>
      <c r="Q202" s="9">
        <v>8</v>
      </c>
      <c r="R202" s="9">
        <v>6</v>
      </c>
      <c r="S202" s="9">
        <v>16</v>
      </c>
      <c r="T202" s="9">
        <v>16</v>
      </c>
      <c r="U202" s="9">
        <v>5</v>
      </c>
      <c r="W202" s="25">
        <v>1</v>
      </c>
      <c r="X202" s="25">
        <v>1</v>
      </c>
      <c r="Y202" s="25">
        <v>1</v>
      </c>
      <c r="Z202" s="25">
        <v>1</v>
      </c>
      <c r="AA202" s="25">
        <v>1</v>
      </c>
      <c r="AH202" s="5"/>
      <c r="AI202" s="5"/>
      <c r="AO202" s="5"/>
    </row>
    <row r="203" spans="10:41">
      <c r="J203" s="25">
        <v>199</v>
      </c>
      <c r="K203" s="16" t="s">
        <v>18</v>
      </c>
      <c r="L203" s="16" t="s">
        <v>35</v>
      </c>
      <c r="M203" s="16" t="s">
        <v>119</v>
      </c>
      <c r="N203" s="16" t="s">
        <v>37</v>
      </c>
      <c r="O203" s="16" t="s">
        <v>37</v>
      </c>
      <c r="Q203" s="9">
        <v>4</v>
      </c>
      <c r="R203" s="9">
        <v>8</v>
      </c>
      <c r="S203" s="9">
        <v>17</v>
      </c>
      <c r="T203" s="9">
        <v>7</v>
      </c>
      <c r="U203" s="9">
        <v>7</v>
      </c>
      <c r="W203" s="25">
        <v>1</v>
      </c>
      <c r="X203" s="25">
        <v>1</v>
      </c>
      <c r="Y203" s="25">
        <v>1</v>
      </c>
      <c r="Z203" s="25">
        <v>1</v>
      </c>
      <c r="AA203" s="25">
        <v>1</v>
      </c>
      <c r="AH203" s="5"/>
      <c r="AI203" s="5"/>
      <c r="AO203" s="5"/>
    </row>
    <row r="204" spans="10:41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7" priority="10">
      <formula>_xlfn.LET(_xlpm.x, W4, AND(NOT(_xlfn.ISFORMULA(_xlpm.x)), _xlpm.x&lt;&gt;""))</formula>
    </cfRule>
  </conditionalFormatting>
  <conditionalFormatting sqref="W4:AA203">
    <cfRule type="expression" dxfId="16" priority="5">
      <formula>_xlfn.LET(_xlpm.x, W4, AND(NOT(_xlfn.ISFORMULA(_xlpm.x)), _xlpm.x&lt;&gt;""))</formula>
    </cfRule>
  </conditionalFormatting>
  <conditionalFormatting sqref="C27:G46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{600BE669-CA3E-4DE5-9CFA-BE56CF569108}</x14:id>
        </ext>
      </extLst>
    </cfRule>
  </conditionalFormatting>
  <conditionalFormatting sqref="K1:O1048576">
    <cfRule type="cellIs" dxfId="15" priority="1" operator="equal">
      <formula>"C1"</formula>
    </cfRule>
    <cfRule type="cellIs" dxfId="14" priority="2" operator="between">
      <formula>"G1"</formula>
      <formula>"G5"</formula>
    </cfRule>
    <cfRule type="cellIs" dxfId="13" priority="3" operator="between">
      <formula>"GA"</formula>
      <formula>"GJ"</formula>
    </cfRule>
    <cfRule type="cellIs" dxfId="12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0BE669-CA3E-4DE5-9CFA-BE56CF5691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C27:G46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7" width="9.5546875" style="5" bestFit="1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>
      <c r="I2" s="15"/>
      <c r="J2" s="27" t="s">
        <v>144</v>
      </c>
      <c r="Q2" s="27" t="s">
        <v>145</v>
      </c>
      <c r="W2" s="27" t="s">
        <v>146</v>
      </c>
      <c r="AC2" s="27" t="s">
        <v>158</v>
      </c>
      <c r="AH2" s="5"/>
      <c r="AI2" s="5"/>
      <c r="AJ2" s="27" t="s">
        <v>110</v>
      </c>
      <c r="AO2" s="5"/>
    </row>
    <row r="3" spans="1:41" ht="15.9" customHeight="1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>
      <c r="A4" s="29" t="str" cm="1">
        <f t="array" ref="A4:B23">Overview!A38:B57</f>
        <v>WW</v>
      </c>
      <c r="B4" s="8" t="str">
        <v>Wild</v>
      </c>
      <c r="C4" s="105">
        <f t="shared" ref="C4:G23" si="0">COUNTIF(K:K, $A4)</f>
        <v>0</v>
      </c>
      <c r="D4" s="105">
        <f t="shared" si="0"/>
        <v>0</v>
      </c>
      <c r="E4" s="105">
        <f t="shared" si="0"/>
        <v>0</v>
      </c>
      <c r="F4" s="105">
        <f t="shared" si="0"/>
        <v>0</v>
      </c>
      <c r="G4" s="105">
        <f t="shared" si="0"/>
        <v>0</v>
      </c>
      <c r="H4" s="8" cm="1">
        <f t="array" ref="H4:H23">Overview!F38:F57</f>
        <v>0</v>
      </c>
      <c r="I4" s="87"/>
      <c r="J4" s="25" cm="1">
        <f t="array" ref="J4:J203">_xlfn.SEQUENCE(MAX(COUNTA(K:K), COUNTA(L:L), COUNTA(M:M), COUNTA(N:N), COUNTA(O:O))-1,,0)</f>
        <v>0</v>
      </c>
      <c r="K4" s="26" t="s">
        <v>34</v>
      </c>
      <c r="L4" s="26" t="s">
        <v>136</v>
      </c>
      <c r="M4" s="26" t="s">
        <v>137</v>
      </c>
      <c r="N4" s="26" t="s">
        <v>35</v>
      </c>
      <c r="O4" s="26" t="s">
        <v>21</v>
      </c>
      <c r="Q4" s="25" cm="1">
        <f t="array" ref="Q4:U304">_xlfn.LET(_xlpm.x, K4:O304, IF(_xlpm.x="", "", _xlfn.XLOOKUP(_xlpm.x, $A$4:$A$23,_xlfn.ANCHORARRAY( H4))))</f>
        <v>9</v>
      </c>
      <c r="R4" s="25">
        <v>6</v>
      </c>
      <c r="S4" s="25">
        <v>15</v>
      </c>
      <c r="T4" s="25">
        <v>8</v>
      </c>
      <c r="U4" s="25">
        <v>2</v>
      </c>
      <c r="W4" s="25">
        <v>1</v>
      </c>
      <c r="X4" s="25">
        <v>1</v>
      </c>
      <c r="Y4" s="25">
        <v>1</v>
      </c>
      <c r="Z4" s="25">
        <v>1</v>
      </c>
      <c r="AA4" s="25">
        <v>1</v>
      </c>
      <c r="AB4" s="43"/>
      <c r="AC4" s="27" t="s">
        <v>142</v>
      </c>
      <c r="AH4" s="5"/>
      <c r="AI4" s="5"/>
      <c r="AJ4" s="27" t="s">
        <v>142</v>
      </c>
      <c r="AO4" s="5"/>
    </row>
    <row r="5" spans="1:41" ht="15.9" customHeight="1">
      <c r="A5" s="29" t="str">
        <v>C1</v>
      </c>
      <c r="B5" s="8" t="str">
        <v>Scatter</v>
      </c>
      <c r="C5" s="105">
        <f t="shared" si="0"/>
        <v>5</v>
      </c>
      <c r="D5" s="105">
        <f t="shared" si="0"/>
        <v>5</v>
      </c>
      <c r="E5" s="105">
        <f t="shared" si="0"/>
        <v>5</v>
      </c>
      <c r="F5" s="105">
        <f t="shared" si="0"/>
        <v>8</v>
      </c>
      <c r="G5" s="105">
        <f t="shared" si="0"/>
        <v>8</v>
      </c>
      <c r="H5" s="8">
        <v>1</v>
      </c>
      <c r="I5" s="87"/>
      <c r="J5" s="9">
        <v>1</v>
      </c>
      <c r="K5" s="16" t="s">
        <v>136</v>
      </c>
      <c r="L5" s="16" t="s">
        <v>21</v>
      </c>
      <c r="M5" s="16" t="s">
        <v>91</v>
      </c>
      <c r="N5" s="16" t="s">
        <v>34</v>
      </c>
      <c r="O5" s="16" t="s">
        <v>36</v>
      </c>
      <c r="Q5" s="9">
        <v>6</v>
      </c>
      <c r="R5" s="9">
        <v>2</v>
      </c>
      <c r="S5" s="9">
        <v>14</v>
      </c>
      <c r="T5" s="9">
        <v>9</v>
      </c>
      <c r="U5" s="9">
        <v>10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C5" s="146" t="s">
        <v>42</v>
      </c>
      <c r="AD5" s="146" t="s">
        <v>13</v>
      </c>
      <c r="AE5" s="146" t="s">
        <v>14</v>
      </c>
      <c r="AF5" s="146" t="s">
        <v>15</v>
      </c>
      <c r="AG5" s="146" t="s">
        <v>16</v>
      </c>
      <c r="AH5" s="146" t="s">
        <v>17</v>
      </c>
      <c r="AI5" s="5"/>
      <c r="AJ5" s="146" t="s">
        <v>42</v>
      </c>
      <c r="AK5" s="146" t="s">
        <v>13</v>
      </c>
      <c r="AL5" s="146" t="s">
        <v>14</v>
      </c>
      <c r="AM5" s="146" t="s">
        <v>15</v>
      </c>
      <c r="AN5" s="146" t="s">
        <v>16</v>
      </c>
      <c r="AO5" s="146" t="s">
        <v>17</v>
      </c>
    </row>
    <row r="6" spans="1:41" ht="15.9" customHeight="1">
      <c r="A6" s="144" t="str">
        <v>M1</v>
      </c>
      <c r="B6" s="118" t="str">
        <v>M1</v>
      </c>
      <c r="C6" s="144">
        <f t="shared" si="0"/>
        <v>3</v>
      </c>
      <c r="D6" s="144">
        <f t="shared" si="0"/>
        <v>10</v>
      </c>
      <c r="E6" s="144">
        <f t="shared" si="0"/>
        <v>0</v>
      </c>
      <c r="F6" s="144">
        <f t="shared" si="0"/>
        <v>3</v>
      </c>
      <c r="G6" s="144">
        <f t="shared" si="0"/>
        <v>9</v>
      </c>
      <c r="H6" s="118">
        <v>2</v>
      </c>
      <c r="I6" s="87"/>
      <c r="J6" s="25">
        <v>2</v>
      </c>
      <c r="K6" s="16" t="s">
        <v>19</v>
      </c>
      <c r="L6" s="16" t="s">
        <v>136</v>
      </c>
      <c r="M6" s="16" t="s">
        <v>137</v>
      </c>
      <c r="N6" s="16" t="s">
        <v>35</v>
      </c>
      <c r="O6" s="16" t="s">
        <v>136</v>
      </c>
      <c r="Q6" s="9">
        <v>5</v>
      </c>
      <c r="R6" s="9">
        <v>6</v>
      </c>
      <c r="S6" s="9">
        <v>15</v>
      </c>
      <c r="T6" s="9">
        <v>8</v>
      </c>
      <c r="U6" s="9">
        <v>6</v>
      </c>
      <c r="W6" s="25">
        <v>1</v>
      </c>
      <c r="X6" s="25">
        <v>1</v>
      </c>
      <c r="Y6" s="25">
        <v>1</v>
      </c>
      <c r="Z6" s="25">
        <v>1</v>
      </c>
      <c r="AA6" s="25">
        <v>1</v>
      </c>
      <c r="AC6" s="149" t="str" cm="1">
        <f t="array" ref="AC6:AC25">$A$4:$A$23</f>
        <v>WW</v>
      </c>
      <c r="AD6" s="150">
        <v>0</v>
      </c>
      <c r="AE6" s="150">
        <v>0</v>
      </c>
      <c r="AF6" s="150">
        <v>0</v>
      </c>
      <c r="AG6" s="150">
        <v>0</v>
      </c>
      <c r="AH6" s="150">
        <v>0</v>
      </c>
      <c r="AI6" s="5"/>
      <c r="AJ6" s="149" t="str" cm="1">
        <f t="array" ref="AJ6:AJ25">$A$4:$A$23</f>
        <v>WW</v>
      </c>
      <c r="AK6" s="150">
        <v>0</v>
      </c>
      <c r="AL6" s="150">
        <v>0</v>
      </c>
      <c r="AM6" s="150">
        <v>0</v>
      </c>
      <c r="AN6" s="150">
        <v>0</v>
      </c>
      <c r="AO6" s="150">
        <v>0</v>
      </c>
    </row>
    <row r="7" spans="1:41" ht="15.9" customHeight="1">
      <c r="A7" s="144" t="str">
        <v>M2</v>
      </c>
      <c r="B7" s="118" t="str">
        <v>M2</v>
      </c>
      <c r="C7" s="144">
        <f t="shared" si="0"/>
        <v>3</v>
      </c>
      <c r="D7" s="144">
        <f t="shared" si="0"/>
        <v>13</v>
      </c>
      <c r="E7" s="144">
        <f t="shared" si="0"/>
        <v>0</v>
      </c>
      <c r="F7" s="144">
        <f t="shared" si="0"/>
        <v>3</v>
      </c>
      <c r="G7" s="144">
        <f t="shared" si="0"/>
        <v>8</v>
      </c>
      <c r="H7" s="118">
        <v>3</v>
      </c>
      <c r="I7" s="87"/>
      <c r="J7" s="9">
        <v>3</v>
      </c>
      <c r="K7" s="16" t="s">
        <v>35</v>
      </c>
      <c r="L7" s="26" t="s">
        <v>22</v>
      </c>
      <c r="M7" s="16" t="s">
        <v>92</v>
      </c>
      <c r="N7" s="16" t="s">
        <v>36</v>
      </c>
      <c r="O7" s="16" t="s">
        <v>21</v>
      </c>
      <c r="Q7" s="9">
        <v>8</v>
      </c>
      <c r="R7" s="9">
        <v>3</v>
      </c>
      <c r="S7" s="9">
        <v>16</v>
      </c>
      <c r="T7" s="9">
        <v>10</v>
      </c>
      <c r="U7" s="9">
        <v>2</v>
      </c>
      <c r="W7" s="25">
        <v>1</v>
      </c>
      <c r="X7" s="25">
        <v>1</v>
      </c>
      <c r="Y7" s="25">
        <v>1</v>
      </c>
      <c r="Z7" s="25">
        <v>1</v>
      </c>
      <c r="AA7" s="25">
        <v>1</v>
      </c>
      <c r="AC7" s="149" t="str">
        <v>C1</v>
      </c>
      <c r="AD7" s="149">
        <v>1</v>
      </c>
      <c r="AE7" s="149">
        <v>1</v>
      </c>
      <c r="AF7" s="149">
        <v>1</v>
      </c>
      <c r="AG7" s="149">
        <v>1</v>
      </c>
      <c r="AH7" s="149">
        <v>1</v>
      </c>
      <c r="AI7" s="5"/>
      <c r="AJ7" s="149" t="str">
        <v>C1</v>
      </c>
      <c r="AK7" s="149">
        <v>1</v>
      </c>
      <c r="AL7" s="149">
        <v>1</v>
      </c>
      <c r="AM7" s="149">
        <v>1</v>
      </c>
      <c r="AN7" s="149">
        <v>1</v>
      </c>
      <c r="AO7" s="149">
        <v>1</v>
      </c>
    </row>
    <row r="8" spans="1:41" ht="15.9" customHeight="1">
      <c r="A8" s="144" t="str">
        <v>M3</v>
      </c>
      <c r="B8" s="118" t="str">
        <v>M3</v>
      </c>
      <c r="C8" s="144">
        <f t="shared" si="0"/>
        <v>7</v>
      </c>
      <c r="D8" s="144">
        <f t="shared" si="0"/>
        <v>14</v>
      </c>
      <c r="E8" s="144">
        <f t="shared" si="0"/>
        <v>0</v>
      </c>
      <c r="F8" s="144">
        <f t="shared" si="0"/>
        <v>7</v>
      </c>
      <c r="G8" s="144">
        <f t="shared" si="0"/>
        <v>14</v>
      </c>
      <c r="H8" s="118">
        <v>4</v>
      </c>
      <c r="I8" s="87"/>
      <c r="J8" s="25">
        <v>4</v>
      </c>
      <c r="K8" s="16" t="s">
        <v>136</v>
      </c>
      <c r="L8" s="16" t="s">
        <v>37</v>
      </c>
      <c r="M8" s="16" t="s">
        <v>119</v>
      </c>
      <c r="N8" s="16" t="s">
        <v>19</v>
      </c>
      <c r="O8" s="16" t="s">
        <v>37</v>
      </c>
      <c r="Q8" s="9">
        <v>6</v>
      </c>
      <c r="R8" s="9">
        <v>7</v>
      </c>
      <c r="S8" s="9">
        <v>17</v>
      </c>
      <c r="T8" s="9">
        <v>5</v>
      </c>
      <c r="U8" s="9">
        <v>7</v>
      </c>
      <c r="W8" s="25">
        <v>1</v>
      </c>
      <c r="X8" s="25">
        <v>1</v>
      </c>
      <c r="Y8" s="25">
        <v>1</v>
      </c>
      <c r="Z8" s="25">
        <v>1</v>
      </c>
      <c r="AA8" s="25">
        <v>1</v>
      </c>
      <c r="AC8" s="166" t="str">
        <v>M1</v>
      </c>
      <c r="AD8" s="144">
        <v>3</v>
      </c>
      <c r="AE8" s="144">
        <v>10</v>
      </c>
      <c r="AF8" s="144">
        <v>0</v>
      </c>
      <c r="AG8" s="144">
        <v>3</v>
      </c>
      <c r="AH8" s="144">
        <v>9</v>
      </c>
      <c r="AI8" s="5"/>
      <c r="AJ8" s="166" t="str">
        <v>M1</v>
      </c>
      <c r="AK8" s="144">
        <v>3</v>
      </c>
      <c r="AL8" s="144">
        <v>10</v>
      </c>
      <c r="AM8" s="144">
        <v>0</v>
      </c>
      <c r="AN8" s="144">
        <v>3</v>
      </c>
      <c r="AO8" s="144">
        <v>9</v>
      </c>
    </row>
    <row r="9" spans="1:41" ht="15.9" customHeight="1">
      <c r="A9" s="144" t="str">
        <v>M4</v>
      </c>
      <c r="B9" s="118" t="str">
        <v>M4</v>
      </c>
      <c r="C9" s="144">
        <f t="shared" si="0"/>
        <v>42</v>
      </c>
      <c r="D9" s="144">
        <f t="shared" si="0"/>
        <v>25</v>
      </c>
      <c r="E9" s="144">
        <f t="shared" si="0"/>
        <v>0</v>
      </c>
      <c r="F9" s="144">
        <f t="shared" si="0"/>
        <v>33</v>
      </c>
      <c r="G9" s="144">
        <f t="shared" si="0"/>
        <v>34</v>
      </c>
      <c r="H9" s="118">
        <v>5</v>
      </c>
      <c r="I9" s="87"/>
      <c r="J9" s="9">
        <v>5</v>
      </c>
      <c r="K9" s="16" t="s">
        <v>19</v>
      </c>
      <c r="L9" s="16" t="s">
        <v>34</v>
      </c>
      <c r="M9" s="16" t="s">
        <v>20</v>
      </c>
      <c r="N9" s="16" t="s">
        <v>137</v>
      </c>
      <c r="O9" s="16" t="s">
        <v>18</v>
      </c>
      <c r="Q9" s="9">
        <v>5</v>
      </c>
      <c r="R9" s="9">
        <v>9</v>
      </c>
      <c r="S9" s="9">
        <v>1</v>
      </c>
      <c r="T9" s="9">
        <v>15</v>
      </c>
      <c r="U9" s="9">
        <v>4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C9" s="166" t="str">
        <v>M2</v>
      </c>
      <c r="AD9" s="144">
        <v>3</v>
      </c>
      <c r="AE9" s="144">
        <v>13</v>
      </c>
      <c r="AF9" s="144">
        <v>0</v>
      </c>
      <c r="AG9" s="144">
        <v>3</v>
      </c>
      <c r="AH9" s="144">
        <v>8</v>
      </c>
      <c r="AI9" s="5"/>
      <c r="AJ9" s="166" t="str">
        <v>M2</v>
      </c>
      <c r="AK9" s="144">
        <v>3</v>
      </c>
      <c r="AL9" s="144">
        <v>13</v>
      </c>
      <c r="AM9" s="144">
        <v>0</v>
      </c>
      <c r="AN9" s="144">
        <v>3</v>
      </c>
      <c r="AO9" s="144">
        <v>8</v>
      </c>
    </row>
    <row r="10" spans="1:41" ht="15.9" customHeight="1">
      <c r="A10" s="144" t="str">
        <v>M5</v>
      </c>
      <c r="B10" s="118" t="str">
        <v>M5</v>
      </c>
      <c r="C10" s="144">
        <f t="shared" si="0"/>
        <v>42</v>
      </c>
      <c r="D10" s="144">
        <f t="shared" si="0"/>
        <v>25</v>
      </c>
      <c r="E10" s="144">
        <f t="shared" si="0"/>
        <v>0</v>
      </c>
      <c r="F10" s="144">
        <f t="shared" si="0"/>
        <v>34</v>
      </c>
      <c r="G10" s="144">
        <f t="shared" si="0"/>
        <v>34</v>
      </c>
      <c r="H10" s="118">
        <v>6</v>
      </c>
      <c r="I10" s="87"/>
      <c r="J10" s="25">
        <v>6</v>
      </c>
      <c r="K10" s="16" t="s">
        <v>37</v>
      </c>
      <c r="L10" s="16" t="s">
        <v>97</v>
      </c>
      <c r="M10" s="16" t="s">
        <v>119</v>
      </c>
      <c r="N10" s="16" t="s">
        <v>37</v>
      </c>
      <c r="O10" s="16" t="s">
        <v>36</v>
      </c>
      <c r="Q10" s="9">
        <v>7</v>
      </c>
      <c r="R10" s="9">
        <v>19</v>
      </c>
      <c r="S10" s="9">
        <v>17</v>
      </c>
      <c r="T10" s="9">
        <v>7</v>
      </c>
      <c r="U10" s="9">
        <v>10</v>
      </c>
      <c r="W10" s="25">
        <v>1</v>
      </c>
      <c r="X10" s="25">
        <v>1</v>
      </c>
      <c r="Y10" s="25">
        <v>1</v>
      </c>
      <c r="Z10" s="25">
        <v>1</v>
      </c>
      <c r="AA10" s="25">
        <v>1</v>
      </c>
      <c r="AC10" s="166" t="str">
        <v>M3</v>
      </c>
      <c r="AD10" s="144">
        <v>7</v>
      </c>
      <c r="AE10" s="144">
        <v>14</v>
      </c>
      <c r="AF10" s="144">
        <v>0</v>
      </c>
      <c r="AG10" s="144">
        <v>7</v>
      </c>
      <c r="AH10" s="144">
        <v>14</v>
      </c>
      <c r="AI10" s="5"/>
      <c r="AJ10" s="166" t="str">
        <v>M3</v>
      </c>
      <c r="AK10" s="144">
        <v>7</v>
      </c>
      <c r="AL10" s="144">
        <v>14</v>
      </c>
      <c r="AM10" s="144">
        <v>0</v>
      </c>
      <c r="AN10" s="144">
        <v>7</v>
      </c>
      <c r="AO10" s="144">
        <v>14</v>
      </c>
    </row>
    <row r="11" spans="1:41" ht="15.9" customHeight="1">
      <c r="A11" s="144" t="str">
        <v>A</v>
      </c>
      <c r="B11" s="118" t="str">
        <v>A</v>
      </c>
      <c r="C11" s="144">
        <f t="shared" si="0"/>
        <v>42</v>
      </c>
      <c r="D11" s="144">
        <f t="shared" si="0"/>
        <v>29</v>
      </c>
      <c r="E11" s="144">
        <f t="shared" si="0"/>
        <v>0</v>
      </c>
      <c r="F11" s="144">
        <f t="shared" si="0"/>
        <v>33</v>
      </c>
      <c r="G11" s="144">
        <f t="shared" si="0"/>
        <v>33</v>
      </c>
      <c r="H11" s="118">
        <v>7</v>
      </c>
      <c r="I11" s="87"/>
      <c r="J11" s="9">
        <v>7</v>
      </c>
      <c r="K11" s="16" t="s">
        <v>19</v>
      </c>
      <c r="L11" s="16" t="s">
        <v>19</v>
      </c>
      <c r="M11" s="16" t="s">
        <v>137</v>
      </c>
      <c r="N11" s="16" t="s">
        <v>136</v>
      </c>
      <c r="O11" s="16" t="s">
        <v>37</v>
      </c>
      <c r="Q11" s="9">
        <v>5</v>
      </c>
      <c r="R11" s="9">
        <v>5</v>
      </c>
      <c r="S11" s="9">
        <v>15</v>
      </c>
      <c r="T11" s="9">
        <v>6</v>
      </c>
      <c r="U11" s="9">
        <v>7</v>
      </c>
      <c r="W11" s="25">
        <v>1</v>
      </c>
      <c r="X11" s="25">
        <v>1</v>
      </c>
      <c r="Y11" s="25">
        <v>1</v>
      </c>
      <c r="Z11" s="25">
        <v>1</v>
      </c>
      <c r="AA11" s="25">
        <v>1</v>
      </c>
      <c r="AC11" s="166" t="str">
        <v>M4</v>
      </c>
      <c r="AD11" s="144">
        <v>42</v>
      </c>
      <c r="AE11" s="144">
        <v>25</v>
      </c>
      <c r="AF11" s="144">
        <v>0</v>
      </c>
      <c r="AG11" s="144">
        <v>33</v>
      </c>
      <c r="AH11" s="144">
        <v>34</v>
      </c>
      <c r="AI11" s="5"/>
      <c r="AJ11" s="166" t="str">
        <v>M4</v>
      </c>
      <c r="AK11" s="144">
        <v>42</v>
      </c>
      <c r="AL11" s="144">
        <v>25</v>
      </c>
      <c r="AM11" s="144">
        <v>0</v>
      </c>
      <c r="AN11" s="144">
        <v>33</v>
      </c>
      <c r="AO11" s="144">
        <v>34</v>
      </c>
    </row>
    <row r="12" spans="1:41" ht="15.9" customHeight="1">
      <c r="A12" s="144" t="str">
        <v>K</v>
      </c>
      <c r="B12" s="118" t="str">
        <v>K</v>
      </c>
      <c r="C12" s="144">
        <f t="shared" si="0"/>
        <v>43</v>
      </c>
      <c r="D12" s="144">
        <f t="shared" si="0"/>
        <v>26</v>
      </c>
      <c r="E12" s="144">
        <f t="shared" si="0"/>
        <v>0</v>
      </c>
      <c r="F12" s="144">
        <f t="shared" si="0"/>
        <v>34</v>
      </c>
      <c r="G12" s="144">
        <f t="shared" si="0"/>
        <v>33</v>
      </c>
      <c r="H12" s="118">
        <v>8</v>
      </c>
      <c r="I12" s="87"/>
      <c r="J12" s="25">
        <v>8</v>
      </c>
      <c r="K12" s="16" t="s">
        <v>136</v>
      </c>
      <c r="L12" s="16" t="s">
        <v>36</v>
      </c>
      <c r="M12" s="16" t="s">
        <v>90</v>
      </c>
      <c r="N12" s="16" t="s">
        <v>36</v>
      </c>
      <c r="O12" s="16" t="s">
        <v>18</v>
      </c>
      <c r="Q12" s="9">
        <v>6</v>
      </c>
      <c r="R12" s="9">
        <v>10</v>
      </c>
      <c r="S12" s="9">
        <v>13</v>
      </c>
      <c r="T12" s="9">
        <v>10</v>
      </c>
      <c r="U12" s="9">
        <v>4</v>
      </c>
      <c r="W12" s="25">
        <v>1</v>
      </c>
      <c r="X12" s="25">
        <v>1</v>
      </c>
      <c r="Y12" s="25">
        <v>1</v>
      </c>
      <c r="Z12" s="25">
        <v>1</v>
      </c>
      <c r="AA12" s="25">
        <v>1</v>
      </c>
      <c r="AC12" s="166" t="str">
        <v>M5</v>
      </c>
      <c r="AD12" s="144">
        <v>42</v>
      </c>
      <c r="AE12" s="144">
        <v>25</v>
      </c>
      <c r="AF12" s="144">
        <v>0</v>
      </c>
      <c r="AG12" s="144">
        <v>34</v>
      </c>
      <c r="AH12" s="144">
        <v>34</v>
      </c>
      <c r="AI12" s="5"/>
      <c r="AJ12" s="166" t="str">
        <v>M5</v>
      </c>
      <c r="AK12" s="144">
        <v>42</v>
      </c>
      <c r="AL12" s="144">
        <v>25</v>
      </c>
      <c r="AM12" s="144">
        <v>0</v>
      </c>
      <c r="AN12" s="144">
        <v>34</v>
      </c>
      <c r="AO12" s="144">
        <v>34</v>
      </c>
    </row>
    <row r="13" spans="1:41" ht="15.9" customHeight="1">
      <c r="A13" s="144" t="str">
        <v>Q</v>
      </c>
      <c r="B13" s="118" t="str">
        <v>Q</v>
      </c>
      <c r="C13" s="144">
        <f t="shared" si="0"/>
        <v>7</v>
      </c>
      <c r="D13" s="144">
        <f t="shared" si="0"/>
        <v>13</v>
      </c>
      <c r="E13" s="144">
        <f t="shared" si="0"/>
        <v>0</v>
      </c>
      <c r="F13" s="144">
        <f t="shared" si="0"/>
        <v>6</v>
      </c>
      <c r="G13" s="144">
        <f t="shared" si="0"/>
        <v>13</v>
      </c>
      <c r="H13" s="118">
        <v>9</v>
      </c>
      <c r="I13" s="87"/>
      <c r="J13" s="9">
        <v>9</v>
      </c>
      <c r="K13" s="16" t="s">
        <v>21</v>
      </c>
      <c r="L13" s="16" t="s">
        <v>92</v>
      </c>
      <c r="M13" s="16" t="s">
        <v>92</v>
      </c>
      <c r="N13" s="16" t="s">
        <v>136</v>
      </c>
      <c r="O13" s="16" t="s">
        <v>19</v>
      </c>
      <c r="Q13" s="9">
        <v>2</v>
      </c>
      <c r="R13" s="9">
        <v>16</v>
      </c>
      <c r="S13" s="9">
        <v>16</v>
      </c>
      <c r="T13" s="9">
        <v>6</v>
      </c>
      <c r="U13" s="9">
        <v>5</v>
      </c>
      <c r="W13" s="25">
        <v>1</v>
      </c>
      <c r="X13" s="25">
        <v>1</v>
      </c>
      <c r="Y13" s="25">
        <v>1</v>
      </c>
      <c r="Z13" s="25">
        <v>1</v>
      </c>
      <c r="AA13" s="25">
        <v>1</v>
      </c>
      <c r="AC13" s="166" t="str">
        <v>A</v>
      </c>
      <c r="AD13" s="144">
        <v>42</v>
      </c>
      <c r="AE13" s="144">
        <v>29</v>
      </c>
      <c r="AF13" s="144">
        <v>0</v>
      </c>
      <c r="AG13" s="144">
        <v>33</v>
      </c>
      <c r="AH13" s="144">
        <v>33</v>
      </c>
      <c r="AI13" s="5"/>
      <c r="AJ13" s="166" t="str">
        <v>A</v>
      </c>
      <c r="AK13" s="144">
        <v>42</v>
      </c>
      <c r="AL13" s="144">
        <v>29</v>
      </c>
      <c r="AM13" s="144">
        <v>0</v>
      </c>
      <c r="AN13" s="144">
        <v>33</v>
      </c>
      <c r="AO13" s="144">
        <v>33</v>
      </c>
    </row>
    <row r="14" spans="1:41" ht="15.9" customHeight="1">
      <c r="A14" s="144" t="str">
        <v>J</v>
      </c>
      <c r="B14" s="118" t="str">
        <v>J</v>
      </c>
      <c r="C14" s="144">
        <f t="shared" si="0"/>
        <v>6</v>
      </c>
      <c r="D14" s="144">
        <f t="shared" si="0"/>
        <v>8</v>
      </c>
      <c r="E14" s="144">
        <f t="shared" si="0"/>
        <v>0</v>
      </c>
      <c r="F14" s="144">
        <f t="shared" si="0"/>
        <v>7</v>
      </c>
      <c r="G14" s="144">
        <f t="shared" si="0"/>
        <v>14</v>
      </c>
      <c r="H14" s="118">
        <v>10</v>
      </c>
      <c r="I14" s="87"/>
      <c r="J14" s="25">
        <v>10</v>
      </c>
      <c r="K14" s="16" t="s">
        <v>19</v>
      </c>
      <c r="L14" s="16" t="s">
        <v>20</v>
      </c>
      <c r="M14" s="16" t="s">
        <v>119</v>
      </c>
      <c r="N14" s="16" t="s">
        <v>19</v>
      </c>
      <c r="O14" s="16" t="s">
        <v>36</v>
      </c>
      <c r="Q14" s="9">
        <v>5</v>
      </c>
      <c r="R14" s="9">
        <v>1</v>
      </c>
      <c r="S14" s="9">
        <v>17</v>
      </c>
      <c r="T14" s="9">
        <v>5</v>
      </c>
      <c r="U14" s="9">
        <v>10</v>
      </c>
      <c r="W14" s="25">
        <v>1</v>
      </c>
      <c r="X14" s="25">
        <v>1</v>
      </c>
      <c r="Y14" s="25">
        <v>1</v>
      </c>
      <c r="Z14" s="25">
        <v>1</v>
      </c>
      <c r="AA14" s="25">
        <v>1</v>
      </c>
      <c r="AC14" s="166" t="str">
        <v>K</v>
      </c>
      <c r="AD14" s="144">
        <v>43</v>
      </c>
      <c r="AE14" s="144">
        <v>26</v>
      </c>
      <c r="AF14" s="144">
        <v>0</v>
      </c>
      <c r="AG14" s="144">
        <v>34</v>
      </c>
      <c r="AH14" s="144">
        <v>33</v>
      </c>
      <c r="AI14" s="5"/>
      <c r="AJ14" s="166" t="str">
        <v>K</v>
      </c>
      <c r="AK14" s="144">
        <v>43</v>
      </c>
      <c r="AL14" s="144">
        <v>26</v>
      </c>
      <c r="AM14" s="144">
        <v>0</v>
      </c>
      <c r="AN14" s="144">
        <v>34</v>
      </c>
      <c r="AO14" s="144">
        <v>33</v>
      </c>
    </row>
    <row r="15" spans="1:41" ht="15.9" customHeight="1">
      <c r="A15" s="29" t="str">
        <v>G1</v>
      </c>
      <c r="B15" s="8" t="str">
        <v>Gold M1</v>
      </c>
      <c r="C15" s="105">
        <f t="shared" si="0"/>
        <v>0</v>
      </c>
      <c r="D15" s="105">
        <f t="shared" si="0"/>
        <v>2</v>
      </c>
      <c r="E15" s="105">
        <f t="shared" si="0"/>
        <v>3</v>
      </c>
      <c r="F15" s="105">
        <f t="shared" si="0"/>
        <v>1</v>
      </c>
      <c r="G15" s="105">
        <f t="shared" si="0"/>
        <v>0</v>
      </c>
      <c r="H15" s="8">
        <v>11</v>
      </c>
      <c r="I15" s="87"/>
      <c r="J15" s="9">
        <v>11</v>
      </c>
      <c r="K15" s="16" t="s">
        <v>136</v>
      </c>
      <c r="L15" s="16" t="s">
        <v>22</v>
      </c>
      <c r="M15" s="16" t="s">
        <v>92</v>
      </c>
      <c r="N15" s="16" t="s">
        <v>20</v>
      </c>
      <c r="O15" s="16" t="s">
        <v>19</v>
      </c>
      <c r="Q15" s="9">
        <v>6</v>
      </c>
      <c r="R15" s="9">
        <v>3</v>
      </c>
      <c r="S15" s="9">
        <v>16</v>
      </c>
      <c r="T15" s="9">
        <v>1</v>
      </c>
      <c r="U15" s="9">
        <v>5</v>
      </c>
      <c r="W15" s="25">
        <v>1</v>
      </c>
      <c r="X15" s="25">
        <v>1</v>
      </c>
      <c r="Y15" s="25">
        <v>1</v>
      </c>
      <c r="Z15" s="25">
        <v>1</v>
      </c>
      <c r="AA15" s="25">
        <v>1</v>
      </c>
      <c r="AC15" s="166" t="str">
        <v>Q</v>
      </c>
      <c r="AD15" s="144">
        <v>7</v>
      </c>
      <c r="AE15" s="144">
        <v>13</v>
      </c>
      <c r="AF15" s="144">
        <v>0</v>
      </c>
      <c r="AG15" s="144">
        <v>6</v>
      </c>
      <c r="AH15" s="144">
        <v>13</v>
      </c>
      <c r="AI15" s="5"/>
      <c r="AJ15" s="166" t="str">
        <v>Q</v>
      </c>
      <c r="AK15" s="144">
        <v>7</v>
      </c>
      <c r="AL15" s="144">
        <v>13</v>
      </c>
      <c r="AM15" s="144">
        <v>0</v>
      </c>
      <c r="AN15" s="144">
        <v>6</v>
      </c>
      <c r="AO15" s="144">
        <v>13</v>
      </c>
    </row>
    <row r="16" spans="1:41" ht="15.9" customHeight="1">
      <c r="A16" s="29" t="str">
        <v>G2</v>
      </c>
      <c r="B16" s="8" t="str">
        <v>Gold M2</v>
      </c>
      <c r="C16" s="105">
        <f t="shared" si="0"/>
        <v>0</v>
      </c>
      <c r="D16" s="105">
        <f t="shared" si="0"/>
        <v>2</v>
      </c>
      <c r="E16" s="105">
        <f t="shared" si="0"/>
        <v>1</v>
      </c>
      <c r="F16" s="105">
        <f t="shared" si="0"/>
        <v>1</v>
      </c>
      <c r="G16" s="105">
        <f t="shared" si="0"/>
        <v>0</v>
      </c>
      <c r="H16" s="8">
        <v>12</v>
      </c>
      <c r="I16" s="87"/>
      <c r="J16" s="25">
        <v>12</v>
      </c>
      <c r="K16" s="16" t="s">
        <v>35</v>
      </c>
      <c r="L16" s="16" t="s">
        <v>136</v>
      </c>
      <c r="M16" s="16" t="s">
        <v>119</v>
      </c>
      <c r="N16" s="16" t="s">
        <v>137</v>
      </c>
      <c r="O16" s="16" t="s">
        <v>34</v>
      </c>
      <c r="Q16" s="9">
        <v>8</v>
      </c>
      <c r="R16" s="9">
        <v>6</v>
      </c>
      <c r="S16" s="9">
        <v>17</v>
      </c>
      <c r="T16" s="9">
        <v>15</v>
      </c>
      <c r="U16" s="9">
        <v>9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C16" s="166" t="str">
        <v>J</v>
      </c>
      <c r="AD16" s="144">
        <v>6</v>
      </c>
      <c r="AE16" s="144">
        <v>8</v>
      </c>
      <c r="AF16" s="144">
        <v>0</v>
      </c>
      <c r="AG16" s="144">
        <v>7</v>
      </c>
      <c r="AH16" s="144">
        <v>14</v>
      </c>
      <c r="AI16" s="5"/>
      <c r="AJ16" s="166" t="str">
        <v>J</v>
      </c>
      <c r="AK16" s="144">
        <v>6</v>
      </c>
      <c r="AL16" s="144">
        <v>8</v>
      </c>
      <c r="AM16" s="144">
        <v>0</v>
      </c>
      <c r="AN16" s="144">
        <v>7</v>
      </c>
      <c r="AO16" s="144">
        <v>14</v>
      </c>
    </row>
    <row r="17" spans="1:41" ht="15.9" customHeight="1">
      <c r="A17" s="29" t="str">
        <v>G3</v>
      </c>
      <c r="B17" s="8" t="str">
        <v>Gold M3</v>
      </c>
      <c r="C17" s="105">
        <f t="shared" si="0"/>
        <v>0</v>
      </c>
      <c r="D17" s="105">
        <f t="shared" si="0"/>
        <v>2</v>
      </c>
      <c r="E17" s="105">
        <f t="shared" si="0"/>
        <v>8</v>
      </c>
      <c r="F17" s="105">
        <f t="shared" si="0"/>
        <v>2</v>
      </c>
      <c r="G17" s="105">
        <f t="shared" si="0"/>
        <v>0</v>
      </c>
      <c r="H17" s="8">
        <v>13</v>
      </c>
      <c r="I17" s="87"/>
      <c r="J17" s="9">
        <v>13</v>
      </c>
      <c r="K17" s="16" t="s">
        <v>37</v>
      </c>
      <c r="L17" s="16" t="s">
        <v>35</v>
      </c>
      <c r="M17" s="16" t="s">
        <v>137</v>
      </c>
      <c r="N17" s="16" t="s">
        <v>37</v>
      </c>
      <c r="O17" s="16" t="s">
        <v>19</v>
      </c>
      <c r="Q17" s="9">
        <v>7</v>
      </c>
      <c r="R17" s="9">
        <v>8</v>
      </c>
      <c r="S17" s="9">
        <v>15</v>
      </c>
      <c r="T17" s="9">
        <v>7</v>
      </c>
      <c r="U17" s="9">
        <v>5</v>
      </c>
      <c r="W17" s="25">
        <v>1</v>
      </c>
      <c r="X17" s="25">
        <v>1</v>
      </c>
      <c r="Y17" s="25">
        <v>1</v>
      </c>
      <c r="Z17" s="25">
        <v>1</v>
      </c>
      <c r="AA17" s="25">
        <v>1</v>
      </c>
      <c r="AC17" s="149" t="str">
        <v>G1</v>
      </c>
      <c r="AD17" s="105">
        <v>0</v>
      </c>
      <c r="AE17" s="105">
        <v>2</v>
      </c>
      <c r="AF17" s="105">
        <v>3</v>
      </c>
      <c r="AG17" s="105">
        <v>1</v>
      </c>
      <c r="AH17" s="105">
        <v>0</v>
      </c>
      <c r="AI17" s="5"/>
      <c r="AJ17" s="149" t="str">
        <v>G1</v>
      </c>
      <c r="AK17" s="105">
        <v>0</v>
      </c>
      <c r="AL17" s="105">
        <v>2</v>
      </c>
      <c r="AM17" s="105">
        <v>3</v>
      </c>
      <c r="AN17" s="105">
        <v>1</v>
      </c>
      <c r="AO17" s="105">
        <v>0</v>
      </c>
    </row>
    <row r="18" spans="1:41" ht="15.9" customHeight="1">
      <c r="A18" s="29" t="str">
        <v>G4</v>
      </c>
      <c r="B18" s="8" t="str">
        <v>Gold M4</v>
      </c>
      <c r="C18" s="105">
        <f t="shared" si="0"/>
        <v>0</v>
      </c>
      <c r="D18" s="105">
        <f t="shared" si="0"/>
        <v>5</v>
      </c>
      <c r="E18" s="105">
        <f t="shared" si="0"/>
        <v>42</v>
      </c>
      <c r="F18" s="105">
        <f t="shared" si="0"/>
        <v>7</v>
      </c>
      <c r="G18" s="105">
        <f t="shared" si="0"/>
        <v>0</v>
      </c>
      <c r="H18" s="8">
        <v>14</v>
      </c>
      <c r="I18" s="87"/>
      <c r="J18" s="25">
        <v>14</v>
      </c>
      <c r="K18" s="16" t="s">
        <v>34</v>
      </c>
      <c r="L18" s="16" t="s">
        <v>22</v>
      </c>
      <c r="M18" s="16" t="s">
        <v>91</v>
      </c>
      <c r="N18" s="16" t="s">
        <v>137</v>
      </c>
      <c r="O18" s="16" t="s">
        <v>136</v>
      </c>
      <c r="Q18" s="9">
        <v>9</v>
      </c>
      <c r="R18" s="9">
        <v>3</v>
      </c>
      <c r="S18" s="9">
        <v>14</v>
      </c>
      <c r="T18" s="9">
        <v>15</v>
      </c>
      <c r="U18" s="9">
        <v>6</v>
      </c>
      <c r="W18" s="25">
        <v>1</v>
      </c>
      <c r="X18" s="25">
        <v>1</v>
      </c>
      <c r="Y18" s="25">
        <v>1</v>
      </c>
      <c r="Z18" s="25">
        <v>1</v>
      </c>
      <c r="AA18" s="25">
        <v>1</v>
      </c>
      <c r="AC18" s="149" t="str">
        <v>G2</v>
      </c>
      <c r="AD18" s="105">
        <v>0</v>
      </c>
      <c r="AE18" s="105">
        <v>2</v>
      </c>
      <c r="AF18" s="105">
        <v>1</v>
      </c>
      <c r="AG18" s="105">
        <v>1</v>
      </c>
      <c r="AH18" s="105">
        <v>0</v>
      </c>
      <c r="AI18" s="5"/>
      <c r="AJ18" s="149" t="str">
        <v>G2</v>
      </c>
      <c r="AK18" s="105">
        <v>0</v>
      </c>
      <c r="AL18" s="105">
        <v>2</v>
      </c>
      <c r="AM18" s="105">
        <v>1</v>
      </c>
      <c r="AN18" s="105">
        <v>1</v>
      </c>
      <c r="AO18" s="105">
        <v>0</v>
      </c>
    </row>
    <row r="19" spans="1:41" ht="15.9" customHeight="1">
      <c r="A19" s="29" t="str">
        <v>G5</v>
      </c>
      <c r="B19" s="8" t="str">
        <v>Gold M5</v>
      </c>
      <c r="C19" s="105">
        <f t="shared" si="0"/>
        <v>0</v>
      </c>
      <c r="D19" s="105">
        <f t="shared" si="0"/>
        <v>5</v>
      </c>
      <c r="E19" s="105">
        <f t="shared" si="0"/>
        <v>42</v>
      </c>
      <c r="F19" s="105">
        <f t="shared" si="0"/>
        <v>6</v>
      </c>
      <c r="G19" s="105">
        <f t="shared" si="0"/>
        <v>0</v>
      </c>
      <c r="H19" s="8">
        <v>15</v>
      </c>
      <c r="I19" s="87"/>
      <c r="J19" s="9">
        <v>15</v>
      </c>
      <c r="K19" s="16" t="s">
        <v>37</v>
      </c>
      <c r="L19" s="16" t="s">
        <v>119</v>
      </c>
      <c r="M19" s="16" t="s">
        <v>119</v>
      </c>
      <c r="N19" s="16" t="s">
        <v>89</v>
      </c>
      <c r="O19" s="16" t="s">
        <v>34</v>
      </c>
      <c r="Q19" s="9">
        <v>7</v>
      </c>
      <c r="R19" s="9">
        <v>17</v>
      </c>
      <c r="S19" s="9">
        <v>17</v>
      </c>
      <c r="T19" s="9">
        <v>12</v>
      </c>
      <c r="U19" s="9">
        <v>9</v>
      </c>
      <c r="W19" s="25">
        <v>1</v>
      </c>
      <c r="X19" s="25">
        <v>1</v>
      </c>
      <c r="Y19" s="25">
        <v>1</v>
      </c>
      <c r="Z19" s="25">
        <v>1</v>
      </c>
      <c r="AA19" s="25">
        <v>1</v>
      </c>
      <c r="AC19" s="149" t="str">
        <v>G3</v>
      </c>
      <c r="AD19" s="105">
        <v>0</v>
      </c>
      <c r="AE19" s="105">
        <v>2</v>
      </c>
      <c r="AF19" s="105">
        <v>8</v>
      </c>
      <c r="AG19" s="105">
        <v>2</v>
      </c>
      <c r="AH19" s="105">
        <v>0</v>
      </c>
      <c r="AI19" s="5"/>
      <c r="AJ19" s="149" t="str">
        <v>G3</v>
      </c>
      <c r="AK19" s="105">
        <v>0</v>
      </c>
      <c r="AL19" s="105">
        <v>2</v>
      </c>
      <c r="AM19" s="105">
        <v>8</v>
      </c>
      <c r="AN19" s="105">
        <v>2</v>
      </c>
      <c r="AO19" s="105">
        <v>0</v>
      </c>
    </row>
    <row r="20" spans="1:41" ht="15.9" customHeight="1">
      <c r="A20" s="29" t="str">
        <v>GA</v>
      </c>
      <c r="B20" s="8" t="str">
        <v>Gold A</v>
      </c>
      <c r="C20" s="105">
        <f t="shared" si="0"/>
        <v>0</v>
      </c>
      <c r="D20" s="105">
        <f t="shared" si="0"/>
        <v>7</v>
      </c>
      <c r="E20" s="105">
        <f t="shared" si="0"/>
        <v>42</v>
      </c>
      <c r="F20" s="105">
        <f t="shared" si="0"/>
        <v>6</v>
      </c>
      <c r="G20" s="105">
        <f t="shared" si="0"/>
        <v>0</v>
      </c>
      <c r="H20" s="8">
        <v>16</v>
      </c>
      <c r="I20" s="87"/>
      <c r="J20" s="25">
        <v>16</v>
      </c>
      <c r="K20" s="16" t="s">
        <v>19</v>
      </c>
      <c r="L20" s="16" t="s">
        <v>18</v>
      </c>
      <c r="M20" s="16" t="s">
        <v>92</v>
      </c>
      <c r="N20" s="16" t="s">
        <v>136</v>
      </c>
      <c r="O20" s="16" t="s">
        <v>35</v>
      </c>
      <c r="Q20" s="9">
        <v>5</v>
      </c>
      <c r="R20" s="9">
        <v>4</v>
      </c>
      <c r="S20" s="9">
        <v>16</v>
      </c>
      <c r="T20" s="9">
        <v>6</v>
      </c>
      <c r="U20" s="9">
        <v>8</v>
      </c>
      <c r="W20" s="25">
        <v>1</v>
      </c>
      <c r="X20" s="25">
        <v>1</v>
      </c>
      <c r="Y20" s="25">
        <v>1</v>
      </c>
      <c r="Z20" s="25">
        <v>1</v>
      </c>
      <c r="AA20" s="25">
        <v>1</v>
      </c>
      <c r="AC20" s="149" t="str">
        <v>G4</v>
      </c>
      <c r="AD20" s="105">
        <v>0</v>
      </c>
      <c r="AE20" s="105">
        <v>5</v>
      </c>
      <c r="AF20" s="105">
        <v>42</v>
      </c>
      <c r="AG20" s="105">
        <v>7</v>
      </c>
      <c r="AH20" s="105">
        <v>0</v>
      </c>
      <c r="AI20" s="5"/>
      <c r="AJ20" s="149" t="str">
        <v>G4</v>
      </c>
      <c r="AK20" s="105">
        <v>0</v>
      </c>
      <c r="AL20" s="105">
        <v>5</v>
      </c>
      <c r="AM20" s="105">
        <v>42</v>
      </c>
      <c r="AN20" s="105">
        <v>7</v>
      </c>
      <c r="AO20" s="105">
        <v>0</v>
      </c>
    </row>
    <row r="21" spans="1:41" ht="15.9" customHeight="1">
      <c r="A21" s="29" t="str">
        <v>GK</v>
      </c>
      <c r="B21" s="8" t="str">
        <v>Gold K</v>
      </c>
      <c r="C21" s="105">
        <f t="shared" si="0"/>
        <v>0</v>
      </c>
      <c r="D21" s="105">
        <f t="shared" si="0"/>
        <v>5</v>
      </c>
      <c r="E21" s="105">
        <f t="shared" si="0"/>
        <v>42</v>
      </c>
      <c r="F21" s="105">
        <f t="shared" si="0"/>
        <v>6</v>
      </c>
      <c r="G21" s="105">
        <f t="shared" si="0"/>
        <v>0</v>
      </c>
      <c r="H21" s="8">
        <v>17</v>
      </c>
      <c r="I21" s="87"/>
      <c r="J21" s="9">
        <v>17</v>
      </c>
      <c r="K21" s="16" t="s">
        <v>22</v>
      </c>
      <c r="L21" s="16" t="s">
        <v>36</v>
      </c>
      <c r="M21" s="16" t="s">
        <v>119</v>
      </c>
      <c r="N21" s="16" t="s">
        <v>19</v>
      </c>
      <c r="O21" s="16" t="s">
        <v>21</v>
      </c>
      <c r="Q21" s="9">
        <v>3</v>
      </c>
      <c r="R21" s="9">
        <v>10</v>
      </c>
      <c r="S21" s="9">
        <v>17</v>
      </c>
      <c r="T21" s="9">
        <v>5</v>
      </c>
      <c r="U21" s="9">
        <v>2</v>
      </c>
      <c r="W21" s="25">
        <v>1</v>
      </c>
      <c r="X21" s="25">
        <v>1</v>
      </c>
      <c r="Y21" s="25">
        <v>1</v>
      </c>
      <c r="Z21" s="25">
        <v>1</v>
      </c>
      <c r="AA21" s="25">
        <v>1</v>
      </c>
      <c r="AC21" s="149" t="str">
        <v>G5</v>
      </c>
      <c r="AD21" s="105">
        <v>0</v>
      </c>
      <c r="AE21" s="105">
        <v>5</v>
      </c>
      <c r="AF21" s="105">
        <v>42</v>
      </c>
      <c r="AG21" s="105">
        <v>6</v>
      </c>
      <c r="AH21" s="105">
        <v>0</v>
      </c>
      <c r="AI21" s="5"/>
      <c r="AJ21" s="149" t="str">
        <v>G5</v>
      </c>
      <c r="AK21" s="105">
        <v>0</v>
      </c>
      <c r="AL21" s="105">
        <v>5</v>
      </c>
      <c r="AM21" s="105">
        <v>42</v>
      </c>
      <c r="AN21" s="105">
        <v>6</v>
      </c>
      <c r="AO21" s="105">
        <v>0</v>
      </c>
    </row>
    <row r="22" spans="1:41" ht="15.9" customHeight="1">
      <c r="A22" s="29" t="str">
        <v>GQ</v>
      </c>
      <c r="B22" s="8" t="str">
        <v>Gold Q</v>
      </c>
      <c r="C22" s="105">
        <f t="shared" si="0"/>
        <v>0</v>
      </c>
      <c r="D22" s="105">
        <f t="shared" si="0"/>
        <v>2</v>
      </c>
      <c r="E22" s="105">
        <f t="shared" si="0"/>
        <v>6</v>
      </c>
      <c r="F22" s="105">
        <f t="shared" si="0"/>
        <v>1</v>
      </c>
      <c r="G22" s="105">
        <f t="shared" si="0"/>
        <v>0</v>
      </c>
      <c r="H22" s="8">
        <v>18</v>
      </c>
      <c r="I22" s="87"/>
      <c r="J22" s="25">
        <v>18</v>
      </c>
      <c r="K22" s="16" t="s">
        <v>35</v>
      </c>
      <c r="L22" s="16" t="s">
        <v>18</v>
      </c>
      <c r="M22" s="16" t="s">
        <v>91</v>
      </c>
      <c r="N22" s="16" t="s">
        <v>136</v>
      </c>
      <c r="O22" s="16" t="s">
        <v>19</v>
      </c>
      <c r="Q22" s="9">
        <v>8</v>
      </c>
      <c r="R22" s="9">
        <v>4</v>
      </c>
      <c r="S22" s="9">
        <v>14</v>
      </c>
      <c r="T22" s="9">
        <v>6</v>
      </c>
      <c r="U22" s="9">
        <v>5</v>
      </c>
      <c r="W22" s="25">
        <v>1</v>
      </c>
      <c r="X22" s="25">
        <v>1</v>
      </c>
      <c r="Y22" s="25">
        <v>1</v>
      </c>
      <c r="Z22" s="25">
        <v>1</v>
      </c>
      <c r="AA22" s="25">
        <v>1</v>
      </c>
      <c r="AC22" s="149" t="str">
        <v>GA</v>
      </c>
      <c r="AD22" s="105">
        <v>0</v>
      </c>
      <c r="AE22" s="105">
        <v>7</v>
      </c>
      <c r="AF22" s="105">
        <v>42</v>
      </c>
      <c r="AG22" s="105">
        <v>6</v>
      </c>
      <c r="AH22" s="105">
        <v>0</v>
      </c>
      <c r="AI22" s="5"/>
      <c r="AJ22" s="149" t="str">
        <v>GA</v>
      </c>
      <c r="AK22" s="105">
        <v>0</v>
      </c>
      <c r="AL22" s="105">
        <v>7</v>
      </c>
      <c r="AM22" s="105">
        <v>42</v>
      </c>
      <c r="AN22" s="105">
        <v>6</v>
      </c>
      <c r="AO22" s="105">
        <v>0</v>
      </c>
    </row>
    <row r="23" spans="1:41" ht="15.9" customHeight="1">
      <c r="A23" s="29" t="str">
        <v>GJ</v>
      </c>
      <c r="B23" s="8" t="str">
        <v>Gold J</v>
      </c>
      <c r="C23" s="105">
        <f t="shared" si="0"/>
        <v>0</v>
      </c>
      <c r="D23" s="105">
        <f t="shared" si="0"/>
        <v>2</v>
      </c>
      <c r="E23" s="105">
        <f t="shared" si="0"/>
        <v>9</v>
      </c>
      <c r="F23" s="105">
        <f t="shared" si="0"/>
        <v>2</v>
      </c>
      <c r="G23" s="105">
        <f t="shared" si="0"/>
        <v>0</v>
      </c>
      <c r="H23" s="8">
        <v>19</v>
      </c>
      <c r="I23" s="87"/>
      <c r="J23" s="9">
        <v>19</v>
      </c>
      <c r="K23" s="16" t="s">
        <v>19</v>
      </c>
      <c r="L23" s="16" t="s">
        <v>19</v>
      </c>
      <c r="M23" s="16" t="s">
        <v>90</v>
      </c>
      <c r="N23" s="16" t="s">
        <v>19</v>
      </c>
      <c r="O23" s="16" t="s">
        <v>136</v>
      </c>
      <c r="Q23" s="9">
        <v>5</v>
      </c>
      <c r="R23" s="9">
        <v>5</v>
      </c>
      <c r="S23" s="9">
        <v>13</v>
      </c>
      <c r="T23" s="9">
        <v>5</v>
      </c>
      <c r="U23" s="9">
        <v>6</v>
      </c>
      <c r="W23" s="25">
        <v>1</v>
      </c>
      <c r="X23" s="25">
        <v>1</v>
      </c>
      <c r="Y23" s="25">
        <v>1</v>
      </c>
      <c r="Z23" s="25">
        <v>1</v>
      </c>
      <c r="AA23" s="25">
        <v>1</v>
      </c>
      <c r="AC23" s="149" t="str">
        <v>GK</v>
      </c>
      <c r="AD23" s="105">
        <v>0</v>
      </c>
      <c r="AE23" s="105">
        <v>5</v>
      </c>
      <c r="AF23" s="105">
        <v>42</v>
      </c>
      <c r="AG23" s="105">
        <v>6</v>
      </c>
      <c r="AH23" s="105">
        <v>0</v>
      </c>
      <c r="AI23" s="5"/>
      <c r="AJ23" s="149" t="str">
        <v>GK</v>
      </c>
      <c r="AK23" s="105">
        <v>0</v>
      </c>
      <c r="AL23" s="105">
        <v>5</v>
      </c>
      <c r="AM23" s="105">
        <v>42</v>
      </c>
      <c r="AN23" s="105">
        <v>6</v>
      </c>
      <c r="AO23" s="105">
        <v>0</v>
      </c>
    </row>
    <row r="24" spans="1:41" ht="15.9" customHeight="1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7"/>
      <c r="J24" s="25">
        <v>20</v>
      </c>
      <c r="K24" s="16" t="s">
        <v>35</v>
      </c>
      <c r="L24" s="16" t="s">
        <v>37</v>
      </c>
      <c r="M24" s="16" t="s">
        <v>92</v>
      </c>
      <c r="N24" s="16" t="s">
        <v>20</v>
      </c>
      <c r="O24" s="16" t="s">
        <v>36</v>
      </c>
      <c r="Q24" s="9">
        <v>8</v>
      </c>
      <c r="R24" s="9">
        <v>7</v>
      </c>
      <c r="S24" s="9">
        <v>16</v>
      </c>
      <c r="T24" s="9">
        <v>1</v>
      </c>
      <c r="U24" s="9">
        <v>10</v>
      </c>
      <c r="W24" s="25">
        <v>1</v>
      </c>
      <c r="X24" s="25">
        <v>1</v>
      </c>
      <c r="Y24" s="25">
        <v>1</v>
      </c>
      <c r="Z24" s="25">
        <v>1</v>
      </c>
      <c r="AA24" s="25">
        <v>1</v>
      </c>
      <c r="AC24" s="149" t="str">
        <v>GQ</v>
      </c>
      <c r="AD24" s="105">
        <v>0</v>
      </c>
      <c r="AE24" s="105">
        <v>2</v>
      </c>
      <c r="AF24" s="105">
        <v>6</v>
      </c>
      <c r="AG24" s="105">
        <v>1</v>
      </c>
      <c r="AH24" s="105">
        <v>0</v>
      </c>
      <c r="AI24" s="5"/>
      <c r="AJ24" s="149" t="str">
        <v>GQ</v>
      </c>
      <c r="AK24" s="105">
        <v>0</v>
      </c>
      <c r="AL24" s="105">
        <v>2</v>
      </c>
      <c r="AM24" s="105">
        <v>6</v>
      </c>
      <c r="AN24" s="105">
        <v>1</v>
      </c>
      <c r="AO24" s="105">
        <v>0</v>
      </c>
    </row>
    <row r="25" spans="1:41" ht="16.5" customHeight="1">
      <c r="I25" s="87"/>
      <c r="J25" s="9">
        <v>21</v>
      </c>
      <c r="K25" s="16" t="s">
        <v>19</v>
      </c>
      <c r="L25" s="16" t="s">
        <v>21</v>
      </c>
      <c r="M25" s="16" t="s">
        <v>137</v>
      </c>
      <c r="N25" s="16" t="s">
        <v>37</v>
      </c>
      <c r="O25" s="16" t="s">
        <v>37</v>
      </c>
      <c r="Q25" s="9">
        <v>5</v>
      </c>
      <c r="R25" s="9">
        <v>2</v>
      </c>
      <c r="S25" s="9">
        <v>15</v>
      </c>
      <c r="T25" s="9">
        <v>7</v>
      </c>
      <c r="U25" s="9">
        <v>7</v>
      </c>
      <c r="W25" s="25">
        <v>1</v>
      </c>
      <c r="X25" s="25">
        <v>1</v>
      </c>
      <c r="Y25" s="25">
        <v>1</v>
      </c>
      <c r="Z25" s="25">
        <v>1</v>
      </c>
      <c r="AA25" s="25">
        <v>1</v>
      </c>
      <c r="AC25" s="149" t="str">
        <v>GJ</v>
      </c>
      <c r="AD25" s="105">
        <v>0</v>
      </c>
      <c r="AE25" s="105">
        <v>2</v>
      </c>
      <c r="AF25" s="105">
        <v>9</v>
      </c>
      <c r="AG25" s="105">
        <v>2</v>
      </c>
      <c r="AH25" s="105">
        <v>0</v>
      </c>
      <c r="AI25" s="5"/>
      <c r="AJ25" s="149" t="str">
        <v>GJ</v>
      </c>
      <c r="AK25" s="105">
        <v>0</v>
      </c>
      <c r="AL25" s="105">
        <v>2</v>
      </c>
      <c r="AM25" s="105">
        <v>9</v>
      </c>
      <c r="AN25" s="105">
        <v>2</v>
      </c>
      <c r="AO25" s="105">
        <v>0</v>
      </c>
    </row>
    <row r="26" spans="1:41" ht="16.5" customHeight="1">
      <c r="A26" s="20" t="s">
        <v>5</v>
      </c>
      <c r="B26" s="20" t="s">
        <v>12</v>
      </c>
      <c r="C26" s="20" t="s">
        <v>6</v>
      </c>
      <c r="D26" s="20" t="s">
        <v>7</v>
      </c>
      <c r="E26" s="20" t="s">
        <v>8</v>
      </c>
      <c r="F26" s="20" t="s">
        <v>9</v>
      </c>
      <c r="G26" s="20" t="s">
        <v>10</v>
      </c>
      <c r="H26" s="20" t="s">
        <v>11</v>
      </c>
      <c r="I26" s="87"/>
      <c r="J26" s="25">
        <v>22</v>
      </c>
      <c r="K26" s="16" t="s">
        <v>136</v>
      </c>
      <c r="L26" s="16" t="s">
        <v>36</v>
      </c>
      <c r="M26" s="16" t="s">
        <v>88</v>
      </c>
      <c r="N26" s="16" t="s">
        <v>136</v>
      </c>
      <c r="O26" s="16" t="s">
        <v>136</v>
      </c>
      <c r="Q26" s="9">
        <v>6</v>
      </c>
      <c r="R26" s="9">
        <v>10</v>
      </c>
      <c r="S26" s="9">
        <v>11</v>
      </c>
      <c r="T26" s="9">
        <v>6</v>
      </c>
      <c r="U26" s="9">
        <v>6</v>
      </c>
      <c r="W26" s="25">
        <v>1</v>
      </c>
      <c r="X26" s="25">
        <v>1</v>
      </c>
      <c r="Y26" s="25">
        <v>1</v>
      </c>
      <c r="Z26" s="25">
        <v>1</v>
      </c>
      <c r="AA26" s="25">
        <v>1</v>
      </c>
      <c r="AD26" s="119">
        <f>SUM(AD6:AD25)</f>
        <v>196</v>
      </c>
      <c r="AE26" s="119">
        <f>SUM(AE6:AE25)</f>
        <v>196</v>
      </c>
      <c r="AF26" s="119">
        <f>SUM(AF6:AF25)</f>
        <v>196</v>
      </c>
      <c r="AG26" s="119">
        <f>SUM(AG6:AG25)</f>
        <v>193</v>
      </c>
      <c r="AH26" s="119">
        <f>SUM(AH6:AH25)</f>
        <v>193</v>
      </c>
      <c r="AI26" s="5"/>
      <c r="AK26" s="119">
        <f>SUM(AK6:AK25)</f>
        <v>196</v>
      </c>
      <c r="AL26" s="119">
        <f>SUM(AL6:AL25)</f>
        <v>196</v>
      </c>
      <c r="AM26" s="119">
        <f>SUM(AM6:AM25)</f>
        <v>196</v>
      </c>
      <c r="AN26" s="119">
        <f>SUM(AN6:AN25)</f>
        <v>193</v>
      </c>
      <c r="AO26" s="119">
        <f>SUM(AO6:AO25)</f>
        <v>193</v>
      </c>
    </row>
    <row r="27" spans="1:41" ht="16.5" customHeight="1">
      <c r="A27" s="29" t="str" cm="1">
        <f t="array" ref="A27:B46">_xlfn.ANCHORARRAY(A4)</f>
        <v>WW</v>
      </c>
      <c r="B27" s="8" t="str">
        <v>Wild</v>
      </c>
      <c r="C27" s="143" cm="1">
        <f t="array" ref="C27:G46">C4:G23/C24:G24</f>
        <v>0</v>
      </c>
      <c r="D27" s="143">
        <v>0</v>
      </c>
      <c r="E27" s="143">
        <v>0</v>
      </c>
      <c r="F27" s="143">
        <v>0</v>
      </c>
      <c r="G27" s="143">
        <v>0</v>
      </c>
      <c r="H27" s="8" cm="1">
        <f t="array" ref="H27:H46">_xlfn.ANCHORARRAY(H4)</f>
        <v>0</v>
      </c>
      <c r="I27" s="87"/>
      <c r="J27" s="9">
        <v>23</v>
      </c>
      <c r="K27" s="16" t="s">
        <v>19</v>
      </c>
      <c r="L27" s="16" t="s">
        <v>19</v>
      </c>
      <c r="M27" s="16" t="s">
        <v>137</v>
      </c>
      <c r="N27" s="16" t="s">
        <v>35</v>
      </c>
      <c r="O27" s="16" t="s">
        <v>20</v>
      </c>
      <c r="Q27" s="9">
        <v>5</v>
      </c>
      <c r="R27" s="9">
        <v>5</v>
      </c>
      <c r="S27" s="9">
        <v>15</v>
      </c>
      <c r="T27" s="9">
        <v>8</v>
      </c>
      <c r="U27" s="9">
        <v>1</v>
      </c>
      <c r="W27" s="25">
        <v>1</v>
      </c>
      <c r="X27" s="25">
        <v>1</v>
      </c>
      <c r="Y27" s="25">
        <v>1</v>
      </c>
      <c r="Z27" s="25">
        <v>1</v>
      </c>
      <c r="AA27" s="25">
        <v>1</v>
      </c>
      <c r="AH27" s="5"/>
      <c r="AI27" s="5"/>
      <c r="AO27" s="5"/>
    </row>
    <row r="28" spans="1:41" ht="16.5" customHeight="1">
      <c r="A28" s="29" t="str">
        <v>C1</v>
      </c>
      <c r="B28" s="8" t="str">
        <v>Scatter</v>
      </c>
      <c r="C28" s="143">
        <v>2.5000000000000001E-2</v>
      </c>
      <c r="D28" s="143">
        <v>2.5000000000000001E-2</v>
      </c>
      <c r="E28" s="143">
        <v>2.5000000000000001E-2</v>
      </c>
      <c r="F28" s="143">
        <v>0.04</v>
      </c>
      <c r="G28" s="143">
        <v>0.04</v>
      </c>
      <c r="H28" s="8">
        <v>1</v>
      </c>
      <c r="I28" s="87"/>
      <c r="J28" s="25">
        <v>24</v>
      </c>
      <c r="K28" s="16" t="s">
        <v>18</v>
      </c>
      <c r="L28" s="16" t="s">
        <v>22</v>
      </c>
      <c r="M28" s="16" t="s">
        <v>91</v>
      </c>
      <c r="N28" s="16" t="s">
        <v>18</v>
      </c>
      <c r="O28" s="16" t="s">
        <v>37</v>
      </c>
      <c r="Q28" s="9">
        <v>4</v>
      </c>
      <c r="R28" s="9">
        <v>3</v>
      </c>
      <c r="S28" s="9">
        <v>14</v>
      </c>
      <c r="T28" s="9">
        <v>4</v>
      </c>
      <c r="U28" s="9">
        <v>7</v>
      </c>
      <c r="W28" s="25">
        <v>1</v>
      </c>
      <c r="X28" s="25">
        <v>1</v>
      </c>
      <c r="Y28" s="25">
        <v>1</v>
      </c>
      <c r="Z28" s="25">
        <v>1</v>
      </c>
      <c r="AA28" s="25">
        <v>1</v>
      </c>
      <c r="AC28" s="27" t="s">
        <v>143</v>
      </c>
      <c r="AH28" s="5"/>
      <c r="AI28" s="5"/>
      <c r="AJ28" s="27" t="s">
        <v>143</v>
      </c>
      <c r="AO28" s="5"/>
    </row>
    <row r="29" spans="1:41" ht="16.5" customHeight="1">
      <c r="A29" s="29" t="str">
        <v>M1</v>
      </c>
      <c r="B29" s="8" t="str">
        <v>M1</v>
      </c>
      <c r="C29" s="143">
        <v>1.4999999999999999E-2</v>
      </c>
      <c r="D29" s="143">
        <v>0.05</v>
      </c>
      <c r="E29" s="143">
        <v>0</v>
      </c>
      <c r="F29" s="143">
        <v>1.4999999999999999E-2</v>
      </c>
      <c r="G29" s="143">
        <v>4.4999999999999998E-2</v>
      </c>
      <c r="H29" s="8">
        <v>2</v>
      </c>
      <c r="I29" s="87"/>
      <c r="J29" s="9">
        <v>25</v>
      </c>
      <c r="K29" s="16" t="s">
        <v>37</v>
      </c>
      <c r="L29" s="16" t="s">
        <v>35</v>
      </c>
      <c r="M29" s="16" t="s">
        <v>137</v>
      </c>
      <c r="N29" s="16" t="s">
        <v>37</v>
      </c>
      <c r="O29" s="16" t="s">
        <v>19</v>
      </c>
      <c r="Q29" s="9">
        <v>7</v>
      </c>
      <c r="R29" s="9">
        <v>8</v>
      </c>
      <c r="S29" s="9">
        <v>15</v>
      </c>
      <c r="T29" s="9">
        <v>7</v>
      </c>
      <c r="U29" s="9">
        <v>5</v>
      </c>
      <c r="W29" s="25">
        <v>1</v>
      </c>
      <c r="X29" s="25">
        <v>1</v>
      </c>
      <c r="Y29" s="25">
        <v>1</v>
      </c>
      <c r="Z29" s="25">
        <v>1</v>
      </c>
      <c r="AA29" s="25">
        <v>1</v>
      </c>
      <c r="AC29" s="146" t="s">
        <v>42</v>
      </c>
      <c r="AD29" s="146" t="s">
        <v>13</v>
      </c>
      <c r="AE29" s="146" t="s">
        <v>14</v>
      </c>
      <c r="AF29" s="146" t="s">
        <v>15</v>
      </c>
      <c r="AG29" s="146" t="s">
        <v>16</v>
      </c>
      <c r="AH29" s="146" t="s">
        <v>17</v>
      </c>
      <c r="AI29" s="5"/>
      <c r="AJ29" s="146" t="s">
        <v>42</v>
      </c>
      <c r="AK29" s="146" t="s">
        <v>13</v>
      </c>
      <c r="AL29" s="146" t="s">
        <v>14</v>
      </c>
      <c r="AM29" s="146" t="s">
        <v>15</v>
      </c>
      <c r="AN29" s="146" t="s">
        <v>16</v>
      </c>
      <c r="AO29" s="146" t="s">
        <v>17</v>
      </c>
    </row>
    <row r="30" spans="1:41" ht="16.5" customHeight="1">
      <c r="A30" s="29" t="str">
        <v>M2</v>
      </c>
      <c r="B30" s="8" t="str">
        <v>M2</v>
      </c>
      <c r="C30" s="143">
        <v>1.4999999999999999E-2</v>
      </c>
      <c r="D30" s="143">
        <v>6.5000000000000002E-2</v>
      </c>
      <c r="E30" s="143">
        <v>0</v>
      </c>
      <c r="F30" s="143">
        <v>1.4999999999999999E-2</v>
      </c>
      <c r="G30" s="143">
        <v>0.04</v>
      </c>
      <c r="H30" s="8">
        <v>3</v>
      </c>
      <c r="I30" s="87"/>
      <c r="J30" s="25">
        <v>26</v>
      </c>
      <c r="K30" s="16" t="s">
        <v>19</v>
      </c>
      <c r="L30" s="16" t="s">
        <v>92</v>
      </c>
      <c r="M30" s="16" t="s">
        <v>92</v>
      </c>
      <c r="N30" s="16" t="s">
        <v>136</v>
      </c>
      <c r="O30" s="16" t="s">
        <v>35</v>
      </c>
      <c r="Q30" s="9">
        <v>5</v>
      </c>
      <c r="R30" s="9">
        <v>16</v>
      </c>
      <c r="S30" s="9">
        <v>16</v>
      </c>
      <c r="T30" s="9">
        <v>6</v>
      </c>
      <c r="U30" s="9">
        <v>8</v>
      </c>
      <c r="W30" s="25">
        <v>1</v>
      </c>
      <c r="X30" s="25">
        <v>1</v>
      </c>
      <c r="Y30" s="25">
        <v>1</v>
      </c>
      <c r="Z30" s="25">
        <v>1</v>
      </c>
      <c r="AA30" s="25">
        <v>1</v>
      </c>
      <c r="AC30" s="149" t="str" cm="1">
        <f t="array" ref="AC30:AC49">$A$4:$A$23</f>
        <v>WW</v>
      </c>
      <c r="AD30" s="150">
        <v>0</v>
      </c>
      <c r="AE30" s="150">
        <v>0</v>
      </c>
      <c r="AF30" s="150">
        <v>0</v>
      </c>
      <c r="AG30" s="150">
        <v>0</v>
      </c>
      <c r="AH30" s="150">
        <v>0</v>
      </c>
      <c r="AI30" s="5"/>
      <c r="AJ30" s="149" t="str" cm="1">
        <f t="array" ref="AJ30:AJ49">$A$4:$A$23</f>
        <v>WW</v>
      </c>
      <c r="AK30" s="150">
        <v>0</v>
      </c>
      <c r="AL30" s="150">
        <v>0</v>
      </c>
      <c r="AM30" s="150">
        <v>0</v>
      </c>
      <c r="AN30" s="150">
        <v>0</v>
      </c>
      <c r="AO30" s="150">
        <v>0</v>
      </c>
    </row>
    <row r="31" spans="1:41" ht="16.5" customHeight="1">
      <c r="A31" s="29" t="str">
        <v>M3</v>
      </c>
      <c r="B31" s="8" t="str">
        <v>M3</v>
      </c>
      <c r="C31" s="143">
        <v>3.5000000000000003E-2</v>
      </c>
      <c r="D31" s="143">
        <v>7.0000000000000007E-2</v>
      </c>
      <c r="E31" s="143">
        <v>0</v>
      </c>
      <c r="F31" s="143">
        <v>3.5000000000000003E-2</v>
      </c>
      <c r="G31" s="143">
        <v>7.0000000000000007E-2</v>
      </c>
      <c r="H31" s="8">
        <v>4</v>
      </c>
      <c r="I31" s="87"/>
      <c r="J31" s="9">
        <v>27</v>
      </c>
      <c r="K31" s="16" t="s">
        <v>37</v>
      </c>
      <c r="L31" s="16" t="s">
        <v>21</v>
      </c>
      <c r="M31" s="16" t="s">
        <v>91</v>
      </c>
      <c r="N31" s="16" t="s">
        <v>35</v>
      </c>
      <c r="O31" s="16" t="s">
        <v>18</v>
      </c>
      <c r="Q31" s="9">
        <v>7</v>
      </c>
      <c r="R31" s="9">
        <v>2</v>
      </c>
      <c r="S31" s="9">
        <v>14</v>
      </c>
      <c r="T31" s="9">
        <v>8</v>
      </c>
      <c r="U31" s="9">
        <v>4</v>
      </c>
      <c r="W31" s="25">
        <v>1</v>
      </c>
      <c r="X31" s="25">
        <v>1</v>
      </c>
      <c r="Y31" s="25">
        <v>1</v>
      </c>
      <c r="Z31" s="25">
        <v>1</v>
      </c>
      <c r="AA31" s="25">
        <v>1</v>
      </c>
      <c r="AC31" s="149" t="str">
        <v>C1</v>
      </c>
      <c r="AD31" s="149">
        <v>1</v>
      </c>
      <c r="AE31" s="149">
        <v>1</v>
      </c>
      <c r="AF31" s="149">
        <v>1</v>
      </c>
      <c r="AG31" s="149">
        <v>1</v>
      </c>
      <c r="AH31" s="149">
        <v>1</v>
      </c>
      <c r="AI31" s="5"/>
      <c r="AJ31" s="149" t="str">
        <v>C1</v>
      </c>
      <c r="AK31" s="149">
        <v>1</v>
      </c>
      <c r="AL31" s="149">
        <v>1</v>
      </c>
      <c r="AM31" s="149">
        <v>1</v>
      </c>
      <c r="AN31" s="149">
        <v>1</v>
      </c>
      <c r="AO31" s="149">
        <v>1</v>
      </c>
    </row>
    <row r="32" spans="1:41" ht="16.5" customHeight="1">
      <c r="A32" s="29" t="str">
        <v>M4</v>
      </c>
      <c r="B32" s="8" t="str">
        <v>M4</v>
      </c>
      <c r="C32" s="143">
        <v>0.21</v>
      </c>
      <c r="D32" s="143">
        <v>0.125</v>
      </c>
      <c r="E32" s="143">
        <v>0</v>
      </c>
      <c r="F32" s="143">
        <v>0.16500000000000001</v>
      </c>
      <c r="G32" s="143">
        <v>0.17</v>
      </c>
      <c r="H32" s="8">
        <v>5</v>
      </c>
      <c r="J32" s="25">
        <v>28</v>
      </c>
      <c r="K32" s="16" t="s">
        <v>19</v>
      </c>
      <c r="L32" s="16" t="s">
        <v>37</v>
      </c>
      <c r="M32" s="16" t="s">
        <v>90</v>
      </c>
      <c r="N32" s="16" t="s">
        <v>136</v>
      </c>
      <c r="O32" s="16" t="s">
        <v>37</v>
      </c>
      <c r="Q32" s="9">
        <v>5</v>
      </c>
      <c r="R32" s="9">
        <v>7</v>
      </c>
      <c r="S32" s="9">
        <v>13</v>
      </c>
      <c r="T32" s="9">
        <v>6</v>
      </c>
      <c r="U32" s="9">
        <v>7</v>
      </c>
      <c r="W32" s="25">
        <v>1</v>
      </c>
      <c r="X32" s="25">
        <v>1</v>
      </c>
      <c r="Y32" s="25">
        <v>1</v>
      </c>
      <c r="Z32" s="25">
        <v>1</v>
      </c>
      <c r="AA32" s="25">
        <v>1</v>
      </c>
      <c r="AC32" s="166" t="str">
        <v>M1</v>
      </c>
      <c r="AD32" s="144">
        <v>3</v>
      </c>
      <c r="AE32" s="144">
        <v>10</v>
      </c>
      <c r="AF32" s="144">
        <v>0</v>
      </c>
      <c r="AG32" s="144">
        <v>3</v>
      </c>
      <c r="AH32" s="144">
        <v>9</v>
      </c>
      <c r="AI32" s="5"/>
      <c r="AJ32" s="166" t="str">
        <v>M1</v>
      </c>
      <c r="AK32" s="144">
        <v>3</v>
      </c>
      <c r="AL32" s="144">
        <v>10</v>
      </c>
      <c r="AM32" s="144">
        <v>0</v>
      </c>
      <c r="AN32" s="144">
        <v>3</v>
      </c>
      <c r="AO32" s="144">
        <v>9</v>
      </c>
    </row>
    <row r="33" spans="1:41" ht="16.5" customHeight="1">
      <c r="A33" s="29" t="str">
        <v>M5</v>
      </c>
      <c r="B33" s="8" t="str">
        <v>M5</v>
      </c>
      <c r="C33" s="143">
        <v>0.21</v>
      </c>
      <c r="D33" s="143">
        <v>0.125</v>
      </c>
      <c r="E33" s="143">
        <v>0</v>
      </c>
      <c r="F33" s="143">
        <v>0.17</v>
      </c>
      <c r="G33" s="143">
        <v>0.17</v>
      </c>
      <c r="H33" s="8">
        <v>6</v>
      </c>
      <c r="J33" s="9">
        <v>29</v>
      </c>
      <c r="K33" s="16" t="s">
        <v>136</v>
      </c>
      <c r="L33" s="16" t="s">
        <v>35</v>
      </c>
      <c r="M33" s="16" t="s">
        <v>92</v>
      </c>
      <c r="N33" s="16" t="s">
        <v>95</v>
      </c>
      <c r="O33" s="16" t="s">
        <v>19</v>
      </c>
      <c r="Q33" s="9">
        <v>6</v>
      </c>
      <c r="R33" s="9">
        <v>8</v>
      </c>
      <c r="S33" s="9">
        <v>16</v>
      </c>
      <c r="T33" s="9">
        <v>18</v>
      </c>
      <c r="U33" s="9">
        <v>5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C33" s="166" t="str">
        <v>M2</v>
      </c>
      <c r="AD33" s="144">
        <v>3</v>
      </c>
      <c r="AE33" s="144">
        <v>13</v>
      </c>
      <c r="AF33" s="144">
        <v>0</v>
      </c>
      <c r="AG33" s="144">
        <v>3</v>
      </c>
      <c r="AH33" s="144">
        <v>8</v>
      </c>
      <c r="AI33" s="5"/>
      <c r="AJ33" s="166" t="str">
        <v>M2</v>
      </c>
      <c r="AK33" s="144">
        <v>3</v>
      </c>
      <c r="AL33" s="144">
        <v>13</v>
      </c>
      <c r="AM33" s="144">
        <v>0</v>
      </c>
      <c r="AN33" s="144">
        <v>3</v>
      </c>
      <c r="AO33" s="144">
        <v>8</v>
      </c>
    </row>
    <row r="34" spans="1:41" ht="16.5" customHeight="1">
      <c r="A34" s="29" t="str">
        <v>A</v>
      </c>
      <c r="B34" s="8" t="str">
        <v>A</v>
      </c>
      <c r="C34" s="143">
        <v>0.21</v>
      </c>
      <c r="D34" s="143">
        <v>0.14499999999999999</v>
      </c>
      <c r="E34" s="143">
        <v>0</v>
      </c>
      <c r="F34" s="143">
        <v>0.16500000000000001</v>
      </c>
      <c r="G34" s="143">
        <v>0.16500000000000001</v>
      </c>
      <c r="H34" s="8">
        <v>7</v>
      </c>
      <c r="J34" s="25">
        <v>30</v>
      </c>
      <c r="K34" s="16" t="s">
        <v>19</v>
      </c>
      <c r="L34" s="16" t="s">
        <v>21</v>
      </c>
      <c r="M34" s="16" t="s">
        <v>91</v>
      </c>
      <c r="N34" s="16" t="s">
        <v>19</v>
      </c>
      <c r="O34" s="16" t="s">
        <v>37</v>
      </c>
      <c r="Q34" s="9">
        <v>5</v>
      </c>
      <c r="R34" s="9">
        <v>2</v>
      </c>
      <c r="S34" s="9">
        <v>14</v>
      </c>
      <c r="T34" s="9">
        <v>5</v>
      </c>
      <c r="U34" s="9">
        <v>7</v>
      </c>
      <c r="W34" s="25">
        <v>1</v>
      </c>
      <c r="X34" s="25">
        <v>1</v>
      </c>
      <c r="Y34" s="25">
        <v>1</v>
      </c>
      <c r="Z34" s="25">
        <v>1</v>
      </c>
      <c r="AA34" s="25">
        <v>1</v>
      </c>
      <c r="AC34" s="166" t="str">
        <v>M3</v>
      </c>
      <c r="AD34" s="144">
        <v>7</v>
      </c>
      <c r="AE34" s="144">
        <v>14</v>
      </c>
      <c r="AF34" s="144">
        <v>0</v>
      </c>
      <c r="AG34" s="144">
        <v>7</v>
      </c>
      <c r="AH34" s="144">
        <v>14</v>
      </c>
      <c r="AI34" s="5"/>
      <c r="AJ34" s="166" t="str">
        <v>M3</v>
      </c>
      <c r="AK34" s="144">
        <v>7</v>
      </c>
      <c r="AL34" s="144">
        <v>14</v>
      </c>
      <c r="AM34" s="144">
        <v>0</v>
      </c>
      <c r="AN34" s="144">
        <v>7</v>
      </c>
      <c r="AO34" s="144">
        <v>14</v>
      </c>
    </row>
    <row r="35" spans="1:41" ht="16.5" customHeight="1">
      <c r="A35" s="29" t="str">
        <v>K</v>
      </c>
      <c r="B35" s="8" t="str">
        <v>K</v>
      </c>
      <c r="C35" s="143">
        <v>0.215</v>
      </c>
      <c r="D35" s="143">
        <v>0.13</v>
      </c>
      <c r="E35" s="143">
        <v>0</v>
      </c>
      <c r="F35" s="143">
        <v>0.17</v>
      </c>
      <c r="G35" s="143">
        <v>0.16500000000000001</v>
      </c>
      <c r="H35" s="8">
        <v>8</v>
      </c>
      <c r="J35" s="9">
        <v>31</v>
      </c>
      <c r="K35" s="16" t="s">
        <v>136</v>
      </c>
      <c r="L35" s="16" t="s">
        <v>92</v>
      </c>
      <c r="M35" s="16" t="s">
        <v>95</v>
      </c>
      <c r="N35" s="16" t="s">
        <v>91</v>
      </c>
      <c r="O35" s="16" t="s">
        <v>22</v>
      </c>
      <c r="Q35" s="9">
        <v>6</v>
      </c>
      <c r="R35" s="9">
        <v>16</v>
      </c>
      <c r="S35" s="9">
        <v>18</v>
      </c>
      <c r="T35" s="9">
        <v>14</v>
      </c>
      <c r="U35" s="9">
        <v>3</v>
      </c>
      <c r="W35" s="25">
        <v>1</v>
      </c>
      <c r="X35" s="25">
        <v>1</v>
      </c>
      <c r="Y35" s="25">
        <v>1</v>
      </c>
      <c r="Z35" s="25">
        <v>1</v>
      </c>
      <c r="AA35" s="25">
        <v>1</v>
      </c>
      <c r="AC35" s="166" t="str">
        <v>M4</v>
      </c>
      <c r="AD35" s="144">
        <v>42</v>
      </c>
      <c r="AE35" s="144">
        <v>25</v>
      </c>
      <c r="AF35" s="144">
        <v>0</v>
      </c>
      <c r="AG35" s="144">
        <v>33</v>
      </c>
      <c r="AH35" s="144">
        <v>34</v>
      </c>
      <c r="AI35" s="5"/>
      <c r="AJ35" s="166" t="str">
        <v>M4</v>
      </c>
      <c r="AK35" s="144">
        <v>42</v>
      </c>
      <c r="AL35" s="144">
        <v>25</v>
      </c>
      <c r="AM35" s="144">
        <v>0</v>
      </c>
      <c r="AN35" s="144">
        <v>33</v>
      </c>
      <c r="AO35" s="144">
        <v>34</v>
      </c>
    </row>
    <row r="36" spans="1:41" ht="16.5" customHeight="1">
      <c r="A36" s="29" t="str">
        <v>Q</v>
      </c>
      <c r="B36" s="8" t="str">
        <v>Q</v>
      </c>
      <c r="C36" s="143">
        <v>3.5000000000000003E-2</v>
      </c>
      <c r="D36" s="143">
        <v>6.5000000000000002E-2</v>
      </c>
      <c r="E36" s="143">
        <v>0</v>
      </c>
      <c r="F36" s="143">
        <v>0.03</v>
      </c>
      <c r="G36" s="143">
        <v>6.5000000000000002E-2</v>
      </c>
      <c r="H36" s="8">
        <v>9</v>
      </c>
      <c r="J36" s="25">
        <v>32</v>
      </c>
      <c r="K36" s="16" t="s">
        <v>20</v>
      </c>
      <c r="L36" s="16" t="s">
        <v>19</v>
      </c>
      <c r="M36" s="16" t="s">
        <v>91</v>
      </c>
      <c r="N36" s="16" t="s">
        <v>34</v>
      </c>
      <c r="O36" s="16" t="s">
        <v>136</v>
      </c>
      <c r="Q36" s="9">
        <v>1</v>
      </c>
      <c r="R36" s="9">
        <v>5</v>
      </c>
      <c r="S36" s="9">
        <v>14</v>
      </c>
      <c r="T36" s="9">
        <v>9</v>
      </c>
      <c r="U36" s="9">
        <v>6</v>
      </c>
      <c r="W36" s="25">
        <v>1</v>
      </c>
      <c r="X36" s="25">
        <v>1</v>
      </c>
      <c r="Y36" s="25">
        <v>1</v>
      </c>
      <c r="Z36" s="25">
        <v>1</v>
      </c>
      <c r="AA36" s="25">
        <v>1</v>
      </c>
      <c r="AC36" s="166" t="str">
        <v>M5</v>
      </c>
      <c r="AD36" s="144">
        <v>42</v>
      </c>
      <c r="AE36" s="144">
        <v>25</v>
      </c>
      <c r="AF36" s="144">
        <v>0</v>
      </c>
      <c r="AG36" s="144">
        <v>34</v>
      </c>
      <c r="AH36" s="144">
        <v>34</v>
      </c>
      <c r="AI36" s="5"/>
      <c r="AJ36" s="166" t="str">
        <v>M5</v>
      </c>
      <c r="AK36" s="144">
        <v>42</v>
      </c>
      <c r="AL36" s="144">
        <v>25</v>
      </c>
      <c r="AM36" s="144">
        <v>0</v>
      </c>
      <c r="AN36" s="144">
        <v>34</v>
      </c>
      <c r="AO36" s="144">
        <v>34</v>
      </c>
    </row>
    <row r="37" spans="1:41" ht="16.5" customHeight="1">
      <c r="A37" s="29" t="str">
        <v>J</v>
      </c>
      <c r="B37" s="8" t="str">
        <v>J</v>
      </c>
      <c r="C37" s="143">
        <v>0.03</v>
      </c>
      <c r="D37" s="143">
        <v>0.04</v>
      </c>
      <c r="E37" s="143">
        <v>0</v>
      </c>
      <c r="F37" s="143">
        <v>3.5000000000000003E-2</v>
      </c>
      <c r="G37" s="143">
        <v>7.0000000000000007E-2</v>
      </c>
      <c r="H37" s="8">
        <v>10</v>
      </c>
      <c r="J37" s="9">
        <v>33</v>
      </c>
      <c r="K37" s="16" t="s">
        <v>35</v>
      </c>
      <c r="L37" s="16" t="s">
        <v>35</v>
      </c>
      <c r="M37" s="16" t="s">
        <v>119</v>
      </c>
      <c r="N37" s="16" t="s">
        <v>19</v>
      </c>
      <c r="O37" s="16" t="s">
        <v>18</v>
      </c>
      <c r="Q37" s="9">
        <v>8</v>
      </c>
      <c r="R37" s="9">
        <v>8</v>
      </c>
      <c r="S37" s="9">
        <v>17</v>
      </c>
      <c r="T37" s="9">
        <v>5</v>
      </c>
      <c r="U37" s="9">
        <v>4</v>
      </c>
      <c r="W37" s="25">
        <v>1</v>
      </c>
      <c r="X37" s="25">
        <v>1</v>
      </c>
      <c r="Y37" s="25">
        <v>1</v>
      </c>
      <c r="Z37" s="25">
        <v>1</v>
      </c>
      <c r="AA37" s="25">
        <v>1</v>
      </c>
      <c r="AC37" s="166" t="str">
        <v>A</v>
      </c>
      <c r="AD37" s="144">
        <v>42</v>
      </c>
      <c r="AE37" s="144">
        <v>29</v>
      </c>
      <c r="AF37" s="144">
        <v>0</v>
      </c>
      <c r="AG37" s="144">
        <v>33</v>
      </c>
      <c r="AH37" s="144">
        <v>33</v>
      </c>
      <c r="AI37" s="5"/>
      <c r="AJ37" s="166" t="str">
        <v>A</v>
      </c>
      <c r="AK37" s="144">
        <v>42</v>
      </c>
      <c r="AL37" s="144">
        <v>29</v>
      </c>
      <c r="AM37" s="144">
        <v>0</v>
      </c>
      <c r="AN37" s="144">
        <v>33</v>
      </c>
      <c r="AO37" s="144">
        <v>33</v>
      </c>
    </row>
    <row r="38" spans="1:41" ht="16.5" customHeight="1">
      <c r="A38" s="29" t="str">
        <v>G1</v>
      </c>
      <c r="B38" s="8" t="str">
        <v>Gold M1</v>
      </c>
      <c r="C38" s="143">
        <v>0</v>
      </c>
      <c r="D38" s="143">
        <v>0.01</v>
      </c>
      <c r="E38" s="143">
        <v>1.4999999999999999E-2</v>
      </c>
      <c r="F38" s="143">
        <v>5.0000000000000001E-3</v>
      </c>
      <c r="G38" s="143">
        <v>0</v>
      </c>
      <c r="H38" s="8">
        <v>11</v>
      </c>
      <c r="J38" s="25">
        <v>34</v>
      </c>
      <c r="K38" s="16" t="s">
        <v>19</v>
      </c>
      <c r="L38" s="16" t="s">
        <v>19</v>
      </c>
      <c r="M38" s="16" t="s">
        <v>91</v>
      </c>
      <c r="N38" s="16" t="s">
        <v>88</v>
      </c>
      <c r="O38" s="16" t="s">
        <v>35</v>
      </c>
      <c r="Q38" s="9">
        <v>5</v>
      </c>
      <c r="R38" s="9">
        <v>5</v>
      </c>
      <c r="S38" s="9">
        <v>14</v>
      </c>
      <c r="T38" s="9">
        <v>11</v>
      </c>
      <c r="U38" s="9">
        <v>8</v>
      </c>
      <c r="W38" s="25">
        <v>1</v>
      </c>
      <c r="X38" s="25">
        <v>1</v>
      </c>
      <c r="Y38" s="25">
        <v>1</v>
      </c>
      <c r="Z38" s="25">
        <v>1</v>
      </c>
      <c r="AA38" s="25">
        <v>1</v>
      </c>
      <c r="AC38" s="166" t="str">
        <v>K</v>
      </c>
      <c r="AD38" s="144">
        <v>43</v>
      </c>
      <c r="AE38" s="144">
        <v>26</v>
      </c>
      <c r="AF38" s="144">
        <v>0</v>
      </c>
      <c r="AG38" s="144">
        <v>34</v>
      </c>
      <c r="AH38" s="144">
        <v>33</v>
      </c>
      <c r="AI38" s="5"/>
      <c r="AJ38" s="166" t="str">
        <v>K</v>
      </c>
      <c r="AK38" s="144">
        <v>43</v>
      </c>
      <c r="AL38" s="144">
        <v>26</v>
      </c>
      <c r="AM38" s="144">
        <v>0</v>
      </c>
      <c r="AN38" s="144">
        <v>34</v>
      </c>
      <c r="AO38" s="144">
        <v>33</v>
      </c>
    </row>
    <row r="39" spans="1:41" ht="16.5" customHeight="1">
      <c r="A39" s="29" t="str">
        <v>G2</v>
      </c>
      <c r="B39" s="8" t="str">
        <v>Gold M2</v>
      </c>
      <c r="C39" s="143">
        <v>0</v>
      </c>
      <c r="D39" s="143">
        <v>0.01</v>
      </c>
      <c r="E39" s="143">
        <v>5.0000000000000001E-3</v>
      </c>
      <c r="F39" s="143">
        <v>5.0000000000000001E-3</v>
      </c>
      <c r="G39" s="143">
        <v>0</v>
      </c>
      <c r="H39" s="8">
        <v>12</v>
      </c>
      <c r="J39" s="9">
        <v>35</v>
      </c>
      <c r="K39" s="16" t="s">
        <v>35</v>
      </c>
      <c r="L39" s="16" t="s">
        <v>37</v>
      </c>
      <c r="M39" s="16" t="s">
        <v>92</v>
      </c>
      <c r="N39" s="16" t="s">
        <v>35</v>
      </c>
      <c r="O39" s="16" t="s">
        <v>21</v>
      </c>
      <c r="Q39" s="9">
        <v>8</v>
      </c>
      <c r="R39" s="9">
        <v>7</v>
      </c>
      <c r="S39" s="9">
        <v>16</v>
      </c>
      <c r="T39" s="9">
        <v>8</v>
      </c>
      <c r="U39" s="9">
        <v>2</v>
      </c>
      <c r="W39" s="25">
        <v>1</v>
      </c>
      <c r="X39" s="25">
        <v>1</v>
      </c>
      <c r="Y39" s="25">
        <v>1</v>
      </c>
      <c r="Z39" s="25">
        <v>1</v>
      </c>
      <c r="AA39" s="25">
        <v>1</v>
      </c>
      <c r="AC39" s="166" t="str">
        <v>Q</v>
      </c>
      <c r="AD39" s="144">
        <v>7</v>
      </c>
      <c r="AE39" s="144">
        <v>13</v>
      </c>
      <c r="AF39" s="144">
        <v>0</v>
      </c>
      <c r="AG39" s="144">
        <v>6</v>
      </c>
      <c r="AH39" s="144">
        <v>13</v>
      </c>
      <c r="AI39" s="5"/>
      <c r="AJ39" s="166" t="str">
        <v>Q</v>
      </c>
      <c r="AK39" s="144">
        <v>7</v>
      </c>
      <c r="AL39" s="144">
        <v>13</v>
      </c>
      <c r="AM39" s="144">
        <v>0</v>
      </c>
      <c r="AN39" s="144">
        <v>6</v>
      </c>
      <c r="AO39" s="144">
        <v>13</v>
      </c>
    </row>
    <row r="40" spans="1:41" ht="16.5" customHeight="1">
      <c r="A40" s="29" t="str">
        <v>G3</v>
      </c>
      <c r="B40" s="8" t="str">
        <v>Gold M3</v>
      </c>
      <c r="C40" s="143">
        <v>0</v>
      </c>
      <c r="D40" s="143">
        <v>0.01</v>
      </c>
      <c r="E40" s="143">
        <v>0.04</v>
      </c>
      <c r="F40" s="143">
        <v>0.01</v>
      </c>
      <c r="G40" s="143">
        <v>0</v>
      </c>
      <c r="H40" s="8">
        <v>13</v>
      </c>
      <c r="J40" s="25">
        <v>36</v>
      </c>
      <c r="K40" s="16" t="s">
        <v>37</v>
      </c>
      <c r="L40" s="16" t="s">
        <v>35</v>
      </c>
      <c r="M40" s="16" t="s">
        <v>20</v>
      </c>
      <c r="N40" s="16" t="s">
        <v>136</v>
      </c>
      <c r="O40" s="16" t="s">
        <v>35</v>
      </c>
      <c r="Q40" s="9">
        <v>7</v>
      </c>
      <c r="R40" s="9">
        <v>8</v>
      </c>
      <c r="S40" s="9">
        <v>1</v>
      </c>
      <c r="T40" s="9">
        <v>6</v>
      </c>
      <c r="U40" s="9">
        <v>8</v>
      </c>
      <c r="W40" s="25">
        <v>1</v>
      </c>
      <c r="X40" s="25">
        <v>1</v>
      </c>
      <c r="Y40" s="25">
        <v>1</v>
      </c>
      <c r="Z40" s="25">
        <v>1</v>
      </c>
      <c r="AA40" s="25">
        <v>1</v>
      </c>
      <c r="AC40" s="166" t="str">
        <v>J</v>
      </c>
      <c r="AD40" s="144">
        <v>6</v>
      </c>
      <c r="AE40" s="144">
        <v>8</v>
      </c>
      <c r="AF40" s="144">
        <v>0</v>
      </c>
      <c r="AG40" s="144">
        <v>7</v>
      </c>
      <c r="AH40" s="144">
        <v>14</v>
      </c>
      <c r="AI40" s="5"/>
      <c r="AJ40" s="166" t="str">
        <v>J</v>
      </c>
      <c r="AK40" s="144">
        <v>6</v>
      </c>
      <c r="AL40" s="144">
        <v>8</v>
      </c>
      <c r="AM40" s="144">
        <v>0</v>
      </c>
      <c r="AN40" s="144">
        <v>7</v>
      </c>
      <c r="AO40" s="144">
        <v>14</v>
      </c>
    </row>
    <row r="41" spans="1:41" ht="16.5" customHeight="1">
      <c r="A41" s="29" t="str">
        <v>G4</v>
      </c>
      <c r="B41" s="8" t="str">
        <v>Gold M4</v>
      </c>
      <c r="C41" s="143">
        <v>0</v>
      </c>
      <c r="D41" s="143">
        <v>2.5000000000000001E-2</v>
      </c>
      <c r="E41" s="143">
        <v>0.21</v>
      </c>
      <c r="F41" s="143">
        <v>3.5000000000000003E-2</v>
      </c>
      <c r="G41" s="143">
        <v>0</v>
      </c>
      <c r="H41" s="8">
        <v>14</v>
      </c>
      <c r="J41" s="9">
        <v>37</v>
      </c>
      <c r="K41" s="16" t="s">
        <v>19</v>
      </c>
      <c r="L41" s="16" t="s">
        <v>22</v>
      </c>
      <c r="M41" s="16" t="s">
        <v>91</v>
      </c>
      <c r="N41" s="16" t="s">
        <v>35</v>
      </c>
      <c r="O41" s="16" t="s">
        <v>19</v>
      </c>
      <c r="Q41" s="9">
        <v>5</v>
      </c>
      <c r="R41" s="9">
        <v>3</v>
      </c>
      <c r="S41" s="9">
        <v>14</v>
      </c>
      <c r="T41" s="9">
        <v>8</v>
      </c>
      <c r="U41" s="9">
        <v>5</v>
      </c>
      <c r="W41" s="25">
        <v>1</v>
      </c>
      <c r="X41" s="25">
        <v>1</v>
      </c>
      <c r="Y41" s="25">
        <v>1</v>
      </c>
      <c r="Z41" s="25">
        <v>1</v>
      </c>
      <c r="AA41" s="25">
        <v>1</v>
      </c>
      <c r="AC41" s="149" t="str">
        <v>G1</v>
      </c>
      <c r="AD41" s="105">
        <v>0</v>
      </c>
      <c r="AE41" s="105">
        <v>2</v>
      </c>
      <c r="AF41" s="105">
        <v>3</v>
      </c>
      <c r="AG41" s="105">
        <v>1</v>
      </c>
      <c r="AH41" s="105">
        <v>0</v>
      </c>
      <c r="AI41" s="5"/>
      <c r="AJ41" s="149" t="str">
        <v>G1</v>
      </c>
      <c r="AK41" s="105">
        <v>0</v>
      </c>
      <c r="AL41" s="105">
        <v>2</v>
      </c>
      <c r="AM41" s="105">
        <v>3</v>
      </c>
      <c r="AN41" s="105">
        <v>1</v>
      </c>
      <c r="AO41" s="105">
        <v>0</v>
      </c>
    </row>
    <row r="42" spans="1:41" ht="16.5" customHeight="1">
      <c r="A42" s="29" t="str">
        <v>G5</v>
      </c>
      <c r="B42" s="8" t="str">
        <v>Gold M5</v>
      </c>
      <c r="C42" s="143">
        <v>0</v>
      </c>
      <c r="D42" s="143">
        <v>2.5000000000000001E-2</v>
      </c>
      <c r="E42" s="143">
        <v>0.21</v>
      </c>
      <c r="F42" s="143">
        <v>0.03</v>
      </c>
      <c r="G42" s="143">
        <v>0</v>
      </c>
      <c r="H42" s="8">
        <v>15</v>
      </c>
      <c r="J42" s="25">
        <v>38</v>
      </c>
      <c r="K42" s="16" t="s">
        <v>22</v>
      </c>
      <c r="L42" s="16" t="s">
        <v>18</v>
      </c>
      <c r="M42" s="16" t="s">
        <v>92</v>
      </c>
      <c r="N42" s="16" t="s">
        <v>18</v>
      </c>
      <c r="O42" s="16" t="s">
        <v>37</v>
      </c>
      <c r="Q42" s="9">
        <v>3</v>
      </c>
      <c r="R42" s="9">
        <v>4</v>
      </c>
      <c r="S42" s="9">
        <v>16</v>
      </c>
      <c r="T42" s="9">
        <v>4</v>
      </c>
      <c r="U42" s="9">
        <v>7</v>
      </c>
      <c r="W42" s="25">
        <v>1</v>
      </c>
      <c r="X42" s="25">
        <v>1</v>
      </c>
      <c r="Y42" s="25">
        <v>1</v>
      </c>
      <c r="Z42" s="25">
        <v>1</v>
      </c>
      <c r="AA42" s="25">
        <v>1</v>
      </c>
      <c r="AC42" s="149" t="str">
        <v>G2</v>
      </c>
      <c r="AD42" s="105">
        <v>0</v>
      </c>
      <c r="AE42" s="105">
        <v>2</v>
      </c>
      <c r="AF42" s="105">
        <v>1</v>
      </c>
      <c r="AG42" s="105">
        <v>1</v>
      </c>
      <c r="AH42" s="105">
        <v>0</v>
      </c>
      <c r="AI42" s="5"/>
      <c r="AJ42" s="149" t="str">
        <v>G2</v>
      </c>
      <c r="AK42" s="105">
        <v>0</v>
      </c>
      <c r="AL42" s="105">
        <v>2</v>
      </c>
      <c r="AM42" s="105">
        <v>1</v>
      </c>
      <c r="AN42" s="105">
        <v>1</v>
      </c>
      <c r="AO42" s="105">
        <v>0</v>
      </c>
    </row>
    <row r="43" spans="1:41" ht="16.5" customHeight="1">
      <c r="A43" s="29" t="str">
        <v>GA</v>
      </c>
      <c r="B43" s="8" t="str">
        <v>Gold A</v>
      </c>
      <c r="C43" s="143">
        <v>0</v>
      </c>
      <c r="D43" s="143">
        <v>3.5000000000000003E-2</v>
      </c>
      <c r="E43" s="143">
        <v>0.21</v>
      </c>
      <c r="F43" s="143">
        <v>0.03</v>
      </c>
      <c r="G43" s="143">
        <v>0</v>
      </c>
      <c r="H43" s="8">
        <v>16</v>
      </c>
      <c r="J43" s="9">
        <v>39</v>
      </c>
      <c r="K43" s="16" t="s">
        <v>35</v>
      </c>
      <c r="L43" s="16" t="s">
        <v>35</v>
      </c>
      <c r="M43" s="16" t="s">
        <v>97</v>
      </c>
      <c r="N43" s="16" t="s">
        <v>36</v>
      </c>
      <c r="O43" s="16" t="s">
        <v>19</v>
      </c>
      <c r="Q43" s="9">
        <v>8</v>
      </c>
      <c r="R43" s="9">
        <v>8</v>
      </c>
      <c r="S43" s="9">
        <v>19</v>
      </c>
      <c r="T43" s="9">
        <v>10</v>
      </c>
      <c r="U43" s="9">
        <v>5</v>
      </c>
      <c r="W43" s="25">
        <v>1</v>
      </c>
      <c r="X43" s="25">
        <v>1</v>
      </c>
      <c r="Y43" s="25">
        <v>1</v>
      </c>
      <c r="Z43" s="25">
        <v>1</v>
      </c>
      <c r="AA43" s="25">
        <v>1</v>
      </c>
      <c r="AC43" s="149" t="str">
        <v>G3</v>
      </c>
      <c r="AD43" s="105">
        <v>0</v>
      </c>
      <c r="AE43" s="105">
        <v>2</v>
      </c>
      <c r="AF43" s="105">
        <v>8</v>
      </c>
      <c r="AG43" s="105">
        <v>2</v>
      </c>
      <c r="AH43" s="105">
        <v>0</v>
      </c>
      <c r="AI43" s="5"/>
      <c r="AJ43" s="149" t="str">
        <v>G3</v>
      </c>
      <c r="AK43" s="105">
        <v>0</v>
      </c>
      <c r="AL43" s="105">
        <v>2</v>
      </c>
      <c r="AM43" s="105">
        <v>8</v>
      </c>
      <c r="AN43" s="105">
        <v>2</v>
      </c>
      <c r="AO43" s="105">
        <v>0</v>
      </c>
    </row>
    <row r="44" spans="1:41" ht="16.5" customHeight="1">
      <c r="A44" s="29" t="str">
        <v>GK</v>
      </c>
      <c r="B44" s="8" t="str">
        <v>Gold K</v>
      </c>
      <c r="C44" s="143">
        <v>0</v>
      </c>
      <c r="D44" s="143">
        <v>2.5000000000000001E-2</v>
      </c>
      <c r="E44" s="143">
        <v>0.21</v>
      </c>
      <c r="F44" s="143">
        <v>0.03</v>
      </c>
      <c r="G44" s="143">
        <v>0</v>
      </c>
      <c r="H44" s="8">
        <v>17</v>
      </c>
      <c r="J44" s="25">
        <v>40</v>
      </c>
      <c r="K44" s="16" t="s">
        <v>19</v>
      </c>
      <c r="L44" s="16" t="s">
        <v>19</v>
      </c>
      <c r="M44" s="16" t="s">
        <v>119</v>
      </c>
      <c r="N44" s="16" t="s">
        <v>37</v>
      </c>
      <c r="O44" s="16" t="s">
        <v>35</v>
      </c>
      <c r="Q44" s="9">
        <v>5</v>
      </c>
      <c r="R44" s="9">
        <v>5</v>
      </c>
      <c r="S44" s="9">
        <v>17</v>
      </c>
      <c r="T44" s="9">
        <v>7</v>
      </c>
      <c r="U44" s="9">
        <v>8</v>
      </c>
      <c r="W44" s="25">
        <v>1</v>
      </c>
      <c r="X44" s="25">
        <v>1</v>
      </c>
      <c r="Y44" s="25">
        <v>1</v>
      </c>
      <c r="Z44" s="25">
        <v>1</v>
      </c>
      <c r="AA44" s="25">
        <v>1</v>
      </c>
      <c r="AC44" s="149" t="str">
        <v>G4</v>
      </c>
      <c r="AD44" s="105">
        <v>0</v>
      </c>
      <c r="AE44" s="105">
        <v>5</v>
      </c>
      <c r="AF44" s="105">
        <v>42</v>
      </c>
      <c r="AG44" s="105">
        <v>7</v>
      </c>
      <c r="AH44" s="105">
        <v>0</v>
      </c>
      <c r="AI44" s="5"/>
      <c r="AJ44" s="149" t="str">
        <v>G4</v>
      </c>
      <c r="AK44" s="105">
        <v>0</v>
      </c>
      <c r="AL44" s="105">
        <v>5</v>
      </c>
      <c r="AM44" s="105">
        <v>42</v>
      </c>
      <c r="AN44" s="105">
        <v>7</v>
      </c>
      <c r="AO44" s="105">
        <v>0</v>
      </c>
    </row>
    <row r="45" spans="1:41" ht="16.5" customHeight="1">
      <c r="A45" s="29" t="str">
        <v>GQ</v>
      </c>
      <c r="B45" s="8" t="str">
        <v>Gold Q</v>
      </c>
      <c r="C45" s="143">
        <v>0</v>
      </c>
      <c r="D45" s="143">
        <v>0.01</v>
      </c>
      <c r="E45" s="143">
        <v>0.03</v>
      </c>
      <c r="F45" s="143">
        <v>5.0000000000000001E-3</v>
      </c>
      <c r="G45" s="143">
        <v>0</v>
      </c>
      <c r="H45" s="8">
        <v>18</v>
      </c>
      <c r="J45" s="9">
        <v>41</v>
      </c>
      <c r="K45" s="16" t="s">
        <v>35</v>
      </c>
      <c r="L45" s="16" t="s">
        <v>35</v>
      </c>
      <c r="M45" s="16" t="s">
        <v>97</v>
      </c>
      <c r="N45" s="16" t="s">
        <v>18</v>
      </c>
      <c r="O45" s="16" t="s">
        <v>19</v>
      </c>
      <c r="Q45" s="9">
        <v>8</v>
      </c>
      <c r="R45" s="9">
        <v>8</v>
      </c>
      <c r="S45" s="9">
        <v>19</v>
      </c>
      <c r="T45" s="9">
        <v>4</v>
      </c>
      <c r="U45" s="9">
        <v>5</v>
      </c>
      <c r="W45" s="25">
        <v>1</v>
      </c>
      <c r="X45" s="25">
        <v>1</v>
      </c>
      <c r="Y45" s="25">
        <v>1</v>
      </c>
      <c r="Z45" s="25">
        <v>1</v>
      </c>
      <c r="AA45" s="25">
        <v>1</v>
      </c>
      <c r="AC45" s="149" t="str">
        <v>G5</v>
      </c>
      <c r="AD45" s="105">
        <v>0</v>
      </c>
      <c r="AE45" s="105">
        <v>5</v>
      </c>
      <c r="AF45" s="105">
        <v>42</v>
      </c>
      <c r="AG45" s="105">
        <v>6</v>
      </c>
      <c r="AH45" s="105">
        <v>0</v>
      </c>
      <c r="AI45" s="5"/>
      <c r="AJ45" s="149" t="str">
        <v>G5</v>
      </c>
      <c r="AK45" s="105">
        <v>0</v>
      </c>
      <c r="AL45" s="105">
        <v>5</v>
      </c>
      <c r="AM45" s="105">
        <v>42</v>
      </c>
      <c r="AN45" s="105">
        <v>6</v>
      </c>
      <c r="AO45" s="105">
        <v>0</v>
      </c>
    </row>
    <row r="46" spans="1:41" ht="16.5" customHeight="1">
      <c r="A46" s="29" t="str">
        <v>GJ</v>
      </c>
      <c r="B46" s="8" t="str">
        <v>Gold J</v>
      </c>
      <c r="C46" s="143">
        <v>0</v>
      </c>
      <c r="D46" s="143">
        <v>0.01</v>
      </c>
      <c r="E46" s="143">
        <v>4.4999999999999998E-2</v>
      </c>
      <c r="F46" s="143">
        <v>0.01</v>
      </c>
      <c r="G46" s="143">
        <v>0</v>
      </c>
      <c r="H46" s="8">
        <v>19</v>
      </c>
      <c r="J46" s="25">
        <v>42</v>
      </c>
      <c r="K46" s="16" t="s">
        <v>19</v>
      </c>
      <c r="L46" s="16" t="s">
        <v>136</v>
      </c>
      <c r="M46" s="16" t="s">
        <v>91</v>
      </c>
      <c r="N46" s="16" t="s">
        <v>35</v>
      </c>
      <c r="O46" s="16" t="s">
        <v>37</v>
      </c>
      <c r="Q46" s="9">
        <v>5</v>
      </c>
      <c r="R46" s="9">
        <v>6</v>
      </c>
      <c r="S46" s="9">
        <v>14</v>
      </c>
      <c r="T46" s="9">
        <v>8</v>
      </c>
      <c r="U46" s="9">
        <v>7</v>
      </c>
      <c r="W46" s="25">
        <v>1</v>
      </c>
      <c r="X46" s="25">
        <v>1</v>
      </c>
      <c r="Y46" s="25">
        <v>1</v>
      </c>
      <c r="Z46" s="25">
        <v>1</v>
      </c>
      <c r="AA46" s="25">
        <v>1</v>
      </c>
      <c r="AC46" s="149" t="str">
        <v>GA</v>
      </c>
      <c r="AD46" s="105">
        <v>0</v>
      </c>
      <c r="AE46" s="105">
        <v>7</v>
      </c>
      <c r="AF46" s="105">
        <v>42</v>
      </c>
      <c r="AG46" s="105">
        <v>6</v>
      </c>
      <c r="AH46" s="105">
        <v>0</v>
      </c>
      <c r="AI46" s="5"/>
      <c r="AJ46" s="149" t="str">
        <v>GA</v>
      </c>
      <c r="AK46" s="105">
        <v>0</v>
      </c>
      <c r="AL46" s="105">
        <v>7</v>
      </c>
      <c r="AM46" s="105">
        <v>42</v>
      </c>
      <c r="AN46" s="105">
        <v>6</v>
      </c>
      <c r="AO46" s="105">
        <v>0</v>
      </c>
    </row>
    <row r="47" spans="1:41" ht="16.5" customHeight="1">
      <c r="J47" s="9">
        <v>43</v>
      </c>
      <c r="K47" s="16" t="s">
        <v>18</v>
      </c>
      <c r="L47" s="16" t="s">
        <v>35</v>
      </c>
      <c r="M47" s="16" t="s">
        <v>119</v>
      </c>
      <c r="N47" s="16" t="s">
        <v>37</v>
      </c>
      <c r="O47" s="16" t="s">
        <v>136</v>
      </c>
      <c r="Q47" s="9">
        <v>4</v>
      </c>
      <c r="R47" s="9">
        <v>8</v>
      </c>
      <c r="S47" s="9">
        <v>17</v>
      </c>
      <c r="T47" s="9">
        <v>7</v>
      </c>
      <c r="U47" s="9">
        <v>6</v>
      </c>
      <c r="W47" s="25">
        <v>1</v>
      </c>
      <c r="X47" s="25">
        <v>1</v>
      </c>
      <c r="Y47" s="25">
        <v>1</v>
      </c>
      <c r="Z47" s="25">
        <v>1</v>
      </c>
      <c r="AA47" s="25">
        <v>1</v>
      </c>
      <c r="AC47" s="149" t="str">
        <v>GK</v>
      </c>
      <c r="AD47" s="105">
        <v>0</v>
      </c>
      <c r="AE47" s="105">
        <v>5</v>
      </c>
      <c r="AF47" s="105">
        <v>42</v>
      </c>
      <c r="AG47" s="105">
        <v>6</v>
      </c>
      <c r="AH47" s="105">
        <v>0</v>
      </c>
      <c r="AI47" s="5"/>
      <c r="AJ47" s="149" t="str">
        <v>GK</v>
      </c>
      <c r="AK47" s="105">
        <v>0</v>
      </c>
      <c r="AL47" s="105">
        <v>5</v>
      </c>
      <c r="AM47" s="105">
        <v>42</v>
      </c>
      <c r="AN47" s="105">
        <v>6</v>
      </c>
      <c r="AO47" s="105">
        <v>0</v>
      </c>
    </row>
    <row r="48" spans="1:41" ht="16.5" customHeight="1">
      <c r="J48" s="25">
        <v>44</v>
      </c>
      <c r="K48" s="16" t="s">
        <v>37</v>
      </c>
      <c r="L48" s="16" t="s">
        <v>37</v>
      </c>
      <c r="M48" s="16" t="s">
        <v>91</v>
      </c>
      <c r="N48" s="16" t="s">
        <v>136</v>
      </c>
      <c r="O48" s="16" t="s">
        <v>18</v>
      </c>
      <c r="Q48" s="9">
        <v>7</v>
      </c>
      <c r="R48" s="9">
        <v>7</v>
      </c>
      <c r="S48" s="9">
        <v>14</v>
      </c>
      <c r="T48" s="9">
        <v>6</v>
      </c>
      <c r="U48" s="9">
        <v>4</v>
      </c>
      <c r="W48" s="25">
        <v>1</v>
      </c>
      <c r="X48" s="25">
        <v>1</v>
      </c>
      <c r="Y48" s="25">
        <v>1</v>
      </c>
      <c r="Z48" s="25">
        <v>1</v>
      </c>
      <c r="AA48" s="25">
        <v>1</v>
      </c>
      <c r="AC48" s="149" t="str">
        <v>GQ</v>
      </c>
      <c r="AD48" s="105">
        <v>0</v>
      </c>
      <c r="AE48" s="105">
        <v>2</v>
      </c>
      <c r="AF48" s="105">
        <v>6</v>
      </c>
      <c r="AG48" s="105">
        <v>1</v>
      </c>
      <c r="AH48" s="105">
        <v>0</v>
      </c>
      <c r="AI48" s="5"/>
      <c r="AJ48" s="149" t="str">
        <v>GQ</v>
      </c>
      <c r="AK48" s="105">
        <v>0</v>
      </c>
      <c r="AL48" s="105">
        <v>2</v>
      </c>
      <c r="AM48" s="105">
        <v>6</v>
      </c>
      <c r="AN48" s="105">
        <v>1</v>
      </c>
      <c r="AO48" s="105">
        <v>0</v>
      </c>
    </row>
    <row r="49" spans="10:41" ht="16.5" customHeight="1">
      <c r="J49" s="9">
        <v>45</v>
      </c>
      <c r="K49" s="16" t="s">
        <v>136</v>
      </c>
      <c r="L49" s="16" t="s">
        <v>91</v>
      </c>
      <c r="M49" s="16" t="s">
        <v>119</v>
      </c>
      <c r="N49" s="16" t="s">
        <v>92</v>
      </c>
      <c r="O49" s="16" t="s">
        <v>19</v>
      </c>
      <c r="Q49" s="9">
        <v>6</v>
      </c>
      <c r="R49" s="9">
        <v>14</v>
      </c>
      <c r="S49" s="9">
        <v>17</v>
      </c>
      <c r="T49" s="9">
        <v>16</v>
      </c>
      <c r="U49" s="9">
        <v>5</v>
      </c>
      <c r="W49" s="25">
        <v>1</v>
      </c>
      <c r="X49" s="25">
        <v>1</v>
      </c>
      <c r="Y49" s="25">
        <v>1</v>
      </c>
      <c r="Z49" s="25">
        <v>1</v>
      </c>
      <c r="AA49" s="25">
        <v>1</v>
      </c>
      <c r="AC49" s="149" t="str">
        <v>GJ</v>
      </c>
      <c r="AD49" s="105">
        <v>0</v>
      </c>
      <c r="AE49" s="105">
        <v>2</v>
      </c>
      <c r="AF49" s="105">
        <v>9</v>
      </c>
      <c r="AG49" s="105">
        <v>2</v>
      </c>
      <c r="AH49" s="105">
        <v>0</v>
      </c>
      <c r="AI49" s="5"/>
      <c r="AJ49" s="149" t="str">
        <v>GJ</v>
      </c>
      <c r="AK49" s="105">
        <v>0</v>
      </c>
      <c r="AL49" s="105">
        <v>2</v>
      </c>
      <c r="AM49" s="105">
        <v>9</v>
      </c>
      <c r="AN49" s="105">
        <v>2</v>
      </c>
      <c r="AO49" s="105">
        <v>0</v>
      </c>
    </row>
    <row r="50" spans="10:41" ht="16.5" customHeight="1">
      <c r="J50" s="25">
        <v>46</v>
      </c>
      <c r="K50" s="16" t="s">
        <v>19</v>
      </c>
      <c r="L50" s="16" t="s">
        <v>37</v>
      </c>
      <c r="M50" s="16" t="s">
        <v>91</v>
      </c>
      <c r="N50" s="16" t="s">
        <v>37</v>
      </c>
      <c r="O50" s="16" t="s">
        <v>20</v>
      </c>
      <c r="Q50" s="9">
        <v>5</v>
      </c>
      <c r="R50" s="9">
        <v>7</v>
      </c>
      <c r="S50" s="9">
        <v>14</v>
      </c>
      <c r="T50" s="9">
        <v>7</v>
      </c>
      <c r="U50" s="9">
        <v>1</v>
      </c>
      <c r="W50" s="25">
        <v>1</v>
      </c>
      <c r="X50" s="25">
        <v>1</v>
      </c>
      <c r="Y50" s="25">
        <v>1</v>
      </c>
      <c r="Z50" s="25">
        <v>1</v>
      </c>
      <c r="AA50" s="25">
        <v>1</v>
      </c>
      <c r="AD50" s="119">
        <f>SUM(AD30:AD49)</f>
        <v>196</v>
      </c>
      <c r="AE50" s="119">
        <f>SUM(AE30:AE49)</f>
        <v>196</v>
      </c>
      <c r="AF50" s="119">
        <f>SUM(AF30:AF49)</f>
        <v>196</v>
      </c>
      <c r="AG50" s="119">
        <f>SUM(AG30:AG49)</f>
        <v>193</v>
      </c>
      <c r="AH50" s="119">
        <f>SUM(AH30:AH49)</f>
        <v>193</v>
      </c>
      <c r="AI50" s="5"/>
      <c r="AK50" s="119">
        <f>SUM(AK30:AK49)</f>
        <v>196</v>
      </c>
      <c r="AL50" s="119">
        <f>SUM(AL30:AL49)</f>
        <v>196</v>
      </c>
      <c r="AM50" s="119">
        <f>SUM(AM30:AM49)</f>
        <v>196</v>
      </c>
      <c r="AN50" s="119">
        <f>SUM(AN30:AN49)</f>
        <v>193</v>
      </c>
      <c r="AO50" s="119">
        <f>SUM(AO30:AO49)</f>
        <v>193</v>
      </c>
    </row>
    <row r="51" spans="10:41" ht="16.5" customHeight="1">
      <c r="J51" s="9">
        <v>47</v>
      </c>
      <c r="K51" s="16" t="s">
        <v>37</v>
      </c>
      <c r="L51" s="16" t="s">
        <v>34</v>
      </c>
      <c r="M51" s="16" t="s">
        <v>95</v>
      </c>
      <c r="N51" s="16" t="s">
        <v>136</v>
      </c>
      <c r="O51" s="16" t="s">
        <v>19</v>
      </c>
      <c r="Q51" s="9">
        <v>7</v>
      </c>
      <c r="R51" s="9">
        <v>9</v>
      </c>
      <c r="S51" s="9">
        <v>18</v>
      </c>
      <c r="T51" s="9">
        <v>6</v>
      </c>
      <c r="U51" s="9">
        <v>5</v>
      </c>
      <c r="W51" s="25">
        <v>1</v>
      </c>
      <c r="X51" s="25">
        <v>1</v>
      </c>
      <c r="Y51" s="25">
        <v>1</v>
      </c>
      <c r="Z51" s="25">
        <v>1</v>
      </c>
      <c r="AA51" s="25">
        <v>1</v>
      </c>
      <c r="AH51" s="5"/>
      <c r="AI51" s="5"/>
      <c r="AO51" s="5"/>
    </row>
    <row r="52" spans="10:41" ht="16.5" customHeight="1">
      <c r="J52" s="25">
        <v>48</v>
      </c>
      <c r="K52" s="16" t="s">
        <v>34</v>
      </c>
      <c r="L52" s="16" t="s">
        <v>35</v>
      </c>
      <c r="M52" s="16" t="s">
        <v>119</v>
      </c>
      <c r="N52" s="16" t="s">
        <v>35</v>
      </c>
      <c r="O52" s="16" t="s">
        <v>37</v>
      </c>
      <c r="Q52" s="9">
        <v>9</v>
      </c>
      <c r="R52" s="9">
        <v>8</v>
      </c>
      <c r="S52" s="9">
        <v>17</v>
      </c>
      <c r="T52" s="9">
        <v>8</v>
      </c>
      <c r="U52" s="9">
        <v>7</v>
      </c>
      <c r="W52" s="25">
        <v>1</v>
      </c>
      <c r="X52" s="25">
        <v>1</v>
      </c>
      <c r="Y52" s="25">
        <v>1</v>
      </c>
      <c r="Z52" s="25">
        <v>1</v>
      </c>
      <c r="AA52" s="25">
        <v>1</v>
      </c>
      <c r="AC52" s="27" t="s">
        <v>141</v>
      </c>
      <c r="AH52" s="5"/>
      <c r="AI52" s="5"/>
      <c r="AJ52" s="27" t="s">
        <v>141</v>
      </c>
      <c r="AO52" s="5"/>
    </row>
    <row r="53" spans="10:41" ht="16.5" customHeight="1">
      <c r="J53" s="9">
        <v>49</v>
      </c>
      <c r="K53" s="16" t="s">
        <v>35</v>
      </c>
      <c r="L53" s="16" t="s">
        <v>89</v>
      </c>
      <c r="M53" s="16" t="s">
        <v>137</v>
      </c>
      <c r="N53" s="16" t="s">
        <v>37</v>
      </c>
      <c r="O53" s="16" t="s">
        <v>21</v>
      </c>
      <c r="Q53" s="9">
        <v>8</v>
      </c>
      <c r="R53" s="9">
        <v>12</v>
      </c>
      <c r="S53" s="9">
        <v>15</v>
      </c>
      <c r="T53" s="9">
        <v>7</v>
      </c>
      <c r="U53" s="9">
        <v>2</v>
      </c>
      <c r="W53" s="25">
        <v>1</v>
      </c>
      <c r="X53" s="25">
        <v>1</v>
      </c>
      <c r="Y53" s="25">
        <v>1</v>
      </c>
      <c r="Z53" s="25">
        <v>1</v>
      </c>
      <c r="AA53" s="25">
        <v>1</v>
      </c>
      <c r="AC53" s="146" t="s">
        <v>42</v>
      </c>
      <c r="AD53" s="146" t="s">
        <v>13</v>
      </c>
      <c r="AE53" s="146" t="s">
        <v>14</v>
      </c>
      <c r="AF53" s="146" t="s">
        <v>15</v>
      </c>
      <c r="AG53" s="146" t="s">
        <v>16</v>
      </c>
      <c r="AH53" s="146" t="s">
        <v>17</v>
      </c>
      <c r="AI53" s="5"/>
      <c r="AJ53" s="146" t="s">
        <v>42</v>
      </c>
      <c r="AK53" s="146" t="s">
        <v>13</v>
      </c>
      <c r="AL53" s="146" t="s">
        <v>14</v>
      </c>
      <c r="AM53" s="146" t="s">
        <v>15</v>
      </c>
      <c r="AN53" s="146" t="s">
        <v>16</v>
      </c>
      <c r="AO53" s="146" t="s">
        <v>17</v>
      </c>
    </row>
    <row r="54" spans="10:41" ht="16.5" customHeight="1">
      <c r="J54" s="25">
        <v>50</v>
      </c>
      <c r="K54" s="16" t="s">
        <v>136</v>
      </c>
      <c r="L54" s="16" t="s">
        <v>19</v>
      </c>
      <c r="M54" s="16" t="s">
        <v>88</v>
      </c>
      <c r="N54" s="16" t="s">
        <v>20</v>
      </c>
      <c r="O54" s="16" t="s">
        <v>18</v>
      </c>
      <c r="Q54" s="9">
        <v>6</v>
      </c>
      <c r="R54" s="9">
        <v>5</v>
      </c>
      <c r="S54" s="9">
        <v>11</v>
      </c>
      <c r="T54" s="9">
        <v>1</v>
      </c>
      <c r="U54" s="9">
        <v>4</v>
      </c>
      <c r="W54" s="25">
        <v>1</v>
      </c>
      <c r="X54" s="25">
        <v>1</v>
      </c>
      <c r="Y54" s="25">
        <v>1</v>
      </c>
      <c r="Z54" s="25">
        <v>1</v>
      </c>
      <c r="AA54" s="25">
        <v>1</v>
      </c>
      <c r="AC54" s="149" t="str" cm="1">
        <f t="array" ref="AC54:AC73">$A$4:$A$23</f>
        <v>WW</v>
      </c>
      <c r="AD54" s="150">
        <v>0</v>
      </c>
      <c r="AE54" s="150">
        <v>0</v>
      </c>
      <c r="AF54" s="150">
        <v>0</v>
      </c>
      <c r="AG54" s="150">
        <v>0</v>
      </c>
      <c r="AH54" s="150">
        <v>0</v>
      </c>
      <c r="AI54" s="5"/>
      <c r="AJ54" s="149" t="str" cm="1">
        <f t="array" ref="AJ54:AJ73">$A$4:$A$23</f>
        <v>WW</v>
      </c>
      <c r="AK54" s="150">
        <v>0</v>
      </c>
      <c r="AL54" s="150">
        <v>0</v>
      </c>
      <c r="AM54" s="150">
        <v>0</v>
      </c>
      <c r="AN54" s="150">
        <v>0</v>
      </c>
      <c r="AO54" s="150">
        <v>0</v>
      </c>
    </row>
    <row r="55" spans="10:41" ht="16.5" customHeight="1">
      <c r="J55" s="9">
        <v>51</v>
      </c>
      <c r="K55" s="16" t="s">
        <v>35</v>
      </c>
      <c r="L55" s="16" t="s">
        <v>136</v>
      </c>
      <c r="M55" s="16" t="s">
        <v>91</v>
      </c>
      <c r="N55" s="16" t="s">
        <v>35</v>
      </c>
      <c r="O55" s="16" t="s">
        <v>22</v>
      </c>
      <c r="Q55" s="9">
        <v>8</v>
      </c>
      <c r="R55" s="9">
        <v>6</v>
      </c>
      <c r="S55" s="9">
        <v>14</v>
      </c>
      <c r="T55" s="9">
        <v>8</v>
      </c>
      <c r="U55" s="9">
        <v>3</v>
      </c>
      <c r="W55" s="25">
        <v>1</v>
      </c>
      <c r="X55" s="25">
        <v>1</v>
      </c>
      <c r="Y55" s="25">
        <v>1</v>
      </c>
      <c r="Z55" s="25">
        <v>1</v>
      </c>
      <c r="AA55" s="25">
        <v>1</v>
      </c>
      <c r="AC55" s="149" t="str">
        <v>C1</v>
      </c>
      <c r="AD55" s="149">
        <v>1</v>
      </c>
      <c r="AE55" s="149">
        <v>1</v>
      </c>
      <c r="AF55" s="149">
        <v>1</v>
      </c>
      <c r="AG55" s="149">
        <v>1</v>
      </c>
      <c r="AH55" s="149">
        <v>1</v>
      </c>
      <c r="AI55" s="5"/>
      <c r="AJ55" s="149" t="str">
        <v>C1</v>
      </c>
      <c r="AK55" s="149">
        <v>1</v>
      </c>
      <c r="AL55" s="149">
        <v>1</v>
      </c>
      <c r="AM55" s="149">
        <v>1</v>
      </c>
      <c r="AN55" s="149">
        <v>1</v>
      </c>
      <c r="AO55" s="149">
        <v>1</v>
      </c>
    </row>
    <row r="56" spans="10:41" ht="16.5" customHeight="1">
      <c r="J56" s="25">
        <v>52</v>
      </c>
      <c r="K56" s="16" t="s">
        <v>136</v>
      </c>
      <c r="L56" s="16" t="s">
        <v>21</v>
      </c>
      <c r="M56" s="16" t="s">
        <v>92</v>
      </c>
      <c r="N56" s="16" t="s">
        <v>19</v>
      </c>
      <c r="O56" s="16" t="s">
        <v>36</v>
      </c>
      <c r="Q56" s="9">
        <v>6</v>
      </c>
      <c r="R56" s="9">
        <v>2</v>
      </c>
      <c r="S56" s="9">
        <v>16</v>
      </c>
      <c r="T56" s="9">
        <v>5</v>
      </c>
      <c r="U56" s="9">
        <v>10</v>
      </c>
      <c r="W56" s="25">
        <v>1</v>
      </c>
      <c r="X56" s="25">
        <v>1</v>
      </c>
      <c r="Y56" s="25">
        <v>1</v>
      </c>
      <c r="Z56" s="25">
        <v>1</v>
      </c>
      <c r="AA56" s="25">
        <v>1</v>
      </c>
      <c r="AC56" s="166" t="str">
        <v>M1</v>
      </c>
      <c r="AD56" s="144">
        <v>3</v>
      </c>
      <c r="AE56" s="144">
        <v>10</v>
      </c>
      <c r="AF56" s="144">
        <v>0</v>
      </c>
      <c r="AG56" s="144">
        <v>3</v>
      </c>
      <c r="AH56" s="144">
        <v>9</v>
      </c>
      <c r="AI56" s="5"/>
      <c r="AJ56" s="166" t="str">
        <v>M1</v>
      </c>
      <c r="AK56" s="144">
        <v>3</v>
      </c>
      <c r="AL56" s="144">
        <v>10</v>
      </c>
      <c r="AM56" s="144">
        <v>0</v>
      </c>
      <c r="AN56" s="144">
        <v>3</v>
      </c>
      <c r="AO56" s="144">
        <v>9</v>
      </c>
    </row>
    <row r="57" spans="10:41" ht="16.5" customHeight="1">
      <c r="J57" s="9">
        <v>53</v>
      </c>
      <c r="K57" s="16" t="s">
        <v>20</v>
      </c>
      <c r="L57" s="16" t="s">
        <v>37</v>
      </c>
      <c r="M57" s="16" t="s">
        <v>91</v>
      </c>
      <c r="N57" s="16" t="s">
        <v>136</v>
      </c>
      <c r="O57" s="16" t="s">
        <v>136</v>
      </c>
      <c r="Q57" s="9">
        <v>1</v>
      </c>
      <c r="R57" s="9">
        <v>7</v>
      </c>
      <c r="S57" s="9">
        <v>14</v>
      </c>
      <c r="T57" s="9">
        <v>6</v>
      </c>
      <c r="U57" s="9">
        <v>6</v>
      </c>
      <c r="W57" s="25">
        <v>1</v>
      </c>
      <c r="X57" s="25">
        <v>1</v>
      </c>
      <c r="Y57" s="25">
        <v>1</v>
      </c>
      <c r="Z57" s="25">
        <v>1</v>
      </c>
      <c r="AA57" s="25">
        <v>1</v>
      </c>
      <c r="AC57" s="166" t="str">
        <v>M2</v>
      </c>
      <c r="AD57" s="144">
        <v>3</v>
      </c>
      <c r="AE57" s="144">
        <v>13</v>
      </c>
      <c r="AF57" s="144">
        <v>0</v>
      </c>
      <c r="AG57" s="144">
        <v>3</v>
      </c>
      <c r="AH57" s="144">
        <v>8</v>
      </c>
      <c r="AI57" s="5"/>
      <c r="AJ57" s="166" t="str">
        <v>M2</v>
      </c>
      <c r="AK57" s="144">
        <v>3</v>
      </c>
      <c r="AL57" s="144">
        <v>13</v>
      </c>
      <c r="AM57" s="144">
        <v>0</v>
      </c>
      <c r="AN57" s="144">
        <v>3</v>
      </c>
      <c r="AO57" s="144">
        <v>8</v>
      </c>
    </row>
    <row r="58" spans="10:41" ht="16.5" customHeight="1">
      <c r="J58" s="25">
        <v>54</v>
      </c>
      <c r="K58" s="16" t="s">
        <v>136</v>
      </c>
      <c r="L58" s="16" t="s">
        <v>36</v>
      </c>
      <c r="M58" s="16" t="s">
        <v>137</v>
      </c>
      <c r="N58" s="16" t="s">
        <v>18</v>
      </c>
      <c r="O58" s="16" t="s">
        <v>22</v>
      </c>
      <c r="Q58" s="9">
        <v>6</v>
      </c>
      <c r="R58" s="9">
        <v>10</v>
      </c>
      <c r="S58" s="9">
        <v>15</v>
      </c>
      <c r="T58" s="9">
        <v>4</v>
      </c>
      <c r="U58" s="9">
        <v>3</v>
      </c>
      <c r="W58" s="25">
        <v>1</v>
      </c>
      <c r="X58" s="25">
        <v>1</v>
      </c>
      <c r="Y58" s="25">
        <v>1</v>
      </c>
      <c r="Z58" s="25">
        <v>1</v>
      </c>
      <c r="AA58" s="25">
        <v>1</v>
      </c>
      <c r="AC58" s="166" t="str">
        <v>M3</v>
      </c>
      <c r="AD58" s="144">
        <v>7</v>
      </c>
      <c r="AE58" s="144">
        <v>14</v>
      </c>
      <c r="AF58" s="144">
        <v>0</v>
      </c>
      <c r="AG58" s="144">
        <v>7</v>
      </c>
      <c r="AH58" s="144">
        <v>14</v>
      </c>
      <c r="AI58" s="5"/>
      <c r="AJ58" s="166" t="str">
        <v>M3</v>
      </c>
      <c r="AK58" s="144">
        <v>7</v>
      </c>
      <c r="AL58" s="144">
        <v>14</v>
      </c>
      <c r="AM58" s="144">
        <v>0</v>
      </c>
      <c r="AN58" s="144">
        <v>7</v>
      </c>
      <c r="AO58" s="144">
        <v>14</v>
      </c>
    </row>
    <row r="59" spans="10:41" ht="16.5" customHeight="1">
      <c r="J59" s="9">
        <v>55</v>
      </c>
      <c r="K59" s="16" t="s">
        <v>37</v>
      </c>
      <c r="L59" s="16" t="s">
        <v>18</v>
      </c>
      <c r="M59" s="16" t="s">
        <v>95</v>
      </c>
      <c r="N59" s="16" t="s">
        <v>91</v>
      </c>
      <c r="O59" s="16" t="s">
        <v>21</v>
      </c>
      <c r="Q59" s="9">
        <v>7</v>
      </c>
      <c r="R59" s="9">
        <v>4</v>
      </c>
      <c r="S59" s="9">
        <v>18</v>
      </c>
      <c r="T59" s="9">
        <v>14</v>
      </c>
      <c r="U59" s="9">
        <v>2</v>
      </c>
      <c r="W59" s="25">
        <v>1</v>
      </c>
      <c r="X59" s="25">
        <v>1</v>
      </c>
      <c r="Y59" s="25">
        <v>1</v>
      </c>
      <c r="Z59" s="25">
        <v>1</v>
      </c>
      <c r="AA59" s="25">
        <v>1</v>
      </c>
      <c r="AC59" s="166" t="str">
        <v>M4</v>
      </c>
      <c r="AD59" s="144">
        <v>42</v>
      </c>
      <c r="AE59" s="144">
        <v>25</v>
      </c>
      <c r="AF59" s="144">
        <v>0</v>
      </c>
      <c r="AG59" s="144">
        <v>33</v>
      </c>
      <c r="AH59" s="144">
        <v>34</v>
      </c>
      <c r="AI59" s="5"/>
      <c r="AJ59" s="166" t="str">
        <v>M4</v>
      </c>
      <c r="AK59" s="144">
        <v>42</v>
      </c>
      <c r="AL59" s="144">
        <v>25</v>
      </c>
      <c r="AM59" s="144">
        <v>0</v>
      </c>
      <c r="AN59" s="144">
        <v>33</v>
      </c>
      <c r="AO59" s="144">
        <v>34</v>
      </c>
    </row>
    <row r="60" spans="10:41" ht="16.5" customHeight="1">
      <c r="J60" s="25">
        <v>56</v>
      </c>
      <c r="K60" s="16" t="s">
        <v>136</v>
      </c>
      <c r="L60" s="16" t="s">
        <v>137</v>
      </c>
      <c r="M60" s="16" t="s">
        <v>92</v>
      </c>
      <c r="N60" s="16" t="s">
        <v>37</v>
      </c>
      <c r="O60" s="16" t="s">
        <v>37</v>
      </c>
      <c r="Q60" s="9">
        <v>6</v>
      </c>
      <c r="R60" s="9">
        <v>15</v>
      </c>
      <c r="S60" s="9">
        <v>16</v>
      </c>
      <c r="T60" s="9">
        <v>7</v>
      </c>
      <c r="U60" s="9">
        <v>7</v>
      </c>
      <c r="W60" s="25">
        <v>1</v>
      </c>
      <c r="X60" s="25">
        <v>1</v>
      </c>
      <c r="Y60" s="25">
        <v>1</v>
      </c>
      <c r="Z60" s="25">
        <v>1</v>
      </c>
      <c r="AA60" s="25">
        <v>1</v>
      </c>
      <c r="AC60" s="166" t="str">
        <v>M5</v>
      </c>
      <c r="AD60" s="144">
        <v>42</v>
      </c>
      <c r="AE60" s="144">
        <v>25</v>
      </c>
      <c r="AF60" s="144">
        <v>0</v>
      </c>
      <c r="AG60" s="144">
        <v>34</v>
      </c>
      <c r="AH60" s="144">
        <v>34</v>
      </c>
      <c r="AI60" s="5"/>
      <c r="AJ60" s="166" t="str">
        <v>M5</v>
      </c>
      <c r="AK60" s="144">
        <v>42</v>
      </c>
      <c r="AL60" s="144">
        <v>25</v>
      </c>
      <c r="AM60" s="144">
        <v>0</v>
      </c>
      <c r="AN60" s="144">
        <v>34</v>
      </c>
      <c r="AO60" s="144">
        <v>34</v>
      </c>
    </row>
    <row r="61" spans="10:41">
      <c r="J61" s="9">
        <v>57</v>
      </c>
      <c r="K61" s="16" t="s">
        <v>19</v>
      </c>
      <c r="L61" s="16" t="s">
        <v>19</v>
      </c>
      <c r="M61" s="16" t="s">
        <v>137</v>
      </c>
      <c r="N61" s="16" t="s">
        <v>136</v>
      </c>
      <c r="O61" s="16" t="s">
        <v>35</v>
      </c>
      <c r="Q61" s="9">
        <v>5</v>
      </c>
      <c r="R61" s="9">
        <v>5</v>
      </c>
      <c r="S61" s="9">
        <v>15</v>
      </c>
      <c r="T61" s="9">
        <v>6</v>
      </c>
      <c r="U61" s="9">
        <v>8</v>
      </c>
      <c r="W61" s="25">
        <v>1</v>
      </c>
      <c r="X61" s="25">
        <v>1</v>
      </c>
      <c r="Y61" s="25">
        <v>1</v>
      </c>
      <c r="Z61" s="25">
        <v>1</v>
      </c>
      <c r="AA61" s="25">
        <v>1</v>
      </c>
      <c r="AC61" s="166" t="str">
        <v>A</v>
      </c>
      <c r="AD61" s="144">
        <v>42</v>
      </c>
      <c r="AE61" s="144">
        <v>29</v>
      </c>
      <c r="AF61" s="144">
        <v>0</v>
      </c>
      <c r="AG61" s="144">
        <v>33</v>
      </c>
      <c r="AH61" s="144">
        <v>33</v>
      </c>
      <c r="AI61" s="5"/>
      <c r="AJ61" s="166" t="str">
        <v>A</v>
      </c>
      <c r="AK61" s="144">
        <v>42</v>
      </c>
      <c r="AL61" s="144">
        <v>29</v>
      </c>
      <c r="AM61" s="144">
        <v>0</v>
      </c>
      <c r="AN61" s="144">
        <v>33</v>
      </c>
      <c r="AO61" s="144">
        <v>33</v>
      </c>
    </row>
    <row r="62" spans="10:41">
      <c r="J62" s="25">
        <v>58</v>
      </c>
      <c r="K62" s="16" t="s">
        <v>136</v>
      </c>
      <c r="L62" s="16" t="s">
        <v>35</v>
      </c>
      <c r="M62" s="16" t="s">
        <v>119</v>
      </c>
      <c r="N62" s="16" t="s">
        <v>19</v>
      </c>
      <c r="O62" s="16" t="s">
        <v>37</v>
      </c>
      <c r="Q62" s="9">
        <v>6</v>
      </c>
      <c r="R62" s="9">
        <v>8</v>
      </c>
      <c r="S62" s="9">
        <v>17</v>
      </c>
      <c r="T62" s="9">
        <v>5</v>
      </c>
      <c r="U62" s="9">
        <v>7</v>
      </c>
      <c r="W62" s="25">
        <v>1</v>
      </c>
      <c r="X62" s="25">
        <v>1</v>
      </c>
      <c r="Y62" s="25">
        <v>1</v>
      </c>
      <c r="Z62" s="25">
        <v>1</v>
      </c>
      <c r="AA62" s="25">
        <v>1</v>
      </c>
      <c r="AC62" s="166" t="str">
        <v>K</v>
      </c>
      <c r="AD62" s="144">
        <v>43</v>
      </c>
      <c r="AE62" s="144">
        <v>26</v>
      </c>
      <c r="AF62" s="144">
        <v>0</v>
      </c>
      <c r="AG62" s="144">
        <v>34</v>
      </c>
      <c r="AH62" s="144">
        <v>33</v>
      </c>
      <c r="AI62" s="5"/>
      <c r="AJ62" s="166" t="str">
        <v>K</v>
      </c>
      <c r="AK62" s="144">
        <v>43</v>
      </c>
      <c r="AL62" s="144">
        <v>26</v>
      </c>
      <c r="AM62" s="144">
        <v>0</v>
      </c>
      <c r="AN62" s="144">
        <v>34</v>
      </c>
      <c r="AO62" s="144">
        <v>33</v>
      </c>
    </row>
    <row r="63" spans="10:41" ht="16.5" customHeight="1">
      <c r="J63" s="9">
        <v>59</v>
      </c>
      <c r="K63" s="16" t="s">
        <v>37</v>
      </c>
      <c r="L63" s="16" t="s">
        <v>18</v>
      </c>
      <c r="M63" s="16" t="s">
        <v>91</v>
      </c>
      <c r="N63" s="16" t="s">
        <v>35</v>
      </c>
      <c r="O63" s="16" t="s">
        <v>35</v>
      </c>
      <c r="Q63" s="9">
        <v>7</v>
      </c>
      <c r="R63" s="9">
        <v>4</v>
      </c>
      <c r="S63" s="9">
        <v>14</v>
      </c>
      <c r="T63" s="9">
        <v>8</v>
      </c>
      <c r="U63" s="9">
        <v>8</v>
      </c>
      <c r="W63" s="25">
        <v>1</v>
      </c>
      <c r="X63" s="25">
        <v>1</v>
      </c>
      <c r="Y63" s="25">
        <v>1</v>
      </c>
      <c r="Z63" s="25">
        <v>1</v>
      </c>
      <c r="AA63" s="25">
        <v>1</v>
      </c>
      <c r="AC63" s="166" t="str">
        <v>Q</v>
      </c>
      <c r="AD63" s="144">
        <v>7</v>
      </c>
      <c r="AE63" s="144">
        <v>13</v>
      </c>
      <c r="AF63" s="144">
        <v>0</v>
      </c>
      <c r="AG63" s="144">
        <v>6</v>
      </c>
      <c r="AH63" s="144">
        <v>13</v>
      </c>
      <c r="AI63" s="5"/>
      <c r="AJ63" s="166" t="str">
        <v>Q</v>
      </c>
      <c r="AK63" s="144">
        <v>7</v>
      </c>
      <c r="AL63" s="144">
        <v>13</v>
      </c>
      <c r="AM63" s="144">
        <v>0</v>
      </c>
      <c r="AN63" s="144">
        <v>6</v>
      </c>
      <c r="AO63" s="144">
        <v>13</v>
      </c>
    </row>
    <row r="64" spans="10:41" ht="16.5" customHeight="1">
      <c r="J64" s="25">
        <v>60</v>
      </c>
      <c r="K64" s="16" t="s">
        <v>35</v>
      </c>
      <c r="L64" s="16" t="s">
        <v>35</v>
      </c>
      <c r="M64" s="16" t="s">
        <v>137</v>
      </c>
      <c r="N64" s="16" t="s">
        <v>92</v>
      </c>
      <c r="O64" s="16" t="s">
        <v>19</v>
      </c>
      <c r="Q64" s="9">
        <v>8</v>
      </c>
      <c r="R64" s="9">
        <v>8</v>
      </c>
      <c r="S64" s="9">
        <v>15</v>
      </c>
      <c r="T64" s="9">
        <v>16</v>
      </c>
      <c r="U64" s="9">
        <v>5</v>
      </c>
      <c r="W64" s="25">
        <v>1</v>
      </c>
      <c r="X64" s="25">
        <v>1</v>
      </c>
      <c r="Y64" s="25">
        <v>1</v>
      </c>
      <c r="Z64" s="25">
        <v>1</v>
      </c>
      <c r="AA64" s="25">
        <v>1</v>
      </c>
      <c r="AC64" s="166" t="str">
        <v>J</v>
      </c>
      <c r="AD64" s="144">
        <v>6</v>
      </c>
      <c r="AE64" s="144">
        <v>8</v>
      </c>
      <c r="AF64" s="144">
        <v>0</v>
      </c>
      <c r="AG64" s="144">
        <v>7</v>
      </c>
      <c r="AH64" s="144">
        <v>14</v>
      </c>
      <c r="AI64" s="5"/>
      <c r="AJ64" s="166" t="str">
        <v>J</v>
      </c>
      <c r="AK64" s="144">
        <v>6</v>
      </c>
      <c r="AL64" s="144">
        <v>8</v>
      </c>
      <c r="AM64" s="144">
        <v>0</v>
      </c>
      <c r="AN64" s="144">
        <v>7</v>
      </c>
      <c r="AO64" s="144">
        <v>14</v>
      </c>
    </row>
    <row r="65" spans="10:41" ht="16.5" customHeight="1">
      <c r="J65" s="9">
        <v>61</v>
      </c>
      <c r="K65" s="16" t="s">
        <v>37</v>
      </c>
      <c r="L65" s="16" t="s">
        <v>92</v>
      </c>
      <c r="M65" s="16" t="s">
        <v>91</v>
      </c>
      <c r="N65" s="16" t="s">
        <v>22</v>
      </c>
      <c r="O65" s="16" t="s">
        <v>20</v>
      </c>
      <c r="Q65" s="9">
        <v>7</v>
      </c>
      <c r="R65" s="9">
        <v>16</v>
      </c>
      <c r="S65" s="9">
        <v>14</v>
      </c>
      <c r="T65" s="9">
        <v>3</v>
      </c>
      <c r="U65" s="9">
        <v>1</v>
      </c>
      <c r="W65" s="25">
        <v>1</v>
      </c>
      <c r="X65" s="25">
        <v>1</v>
      </c>
      <c r="Y65" s="25">
        <v>1</v>
      </c>
      <c r="Z65" s="25">
        <v>1</v>
      </c>
      <c r="AA65" s="25">
        <v>1</v>
      </c>
      <c r="AC65" s="149" t="str">
        <v>G1</v>
      </c>
      <c r="AD65" s="105">
        <v>0</v>
      </c>
      <c r="AE65" s="105">
        <v>2</v>
      </c>
      <c r="AF65" s="105">
        <v>3</v>
      </c>
      <c r="AG65" s="105">
        <v>1</v>
      </c>
      <c r="AH65" s="105">
        <v>0</v>
      </c>
      <c r="AI65" s="5"/>
      <c r="AJ65" s="149" t="str">
        <v>G1</v>
      </c>
      <c r="AK65" s="105">
        <v>0</v>
      </c>
      <c r="AL65" s="105">
        <v>2</v>
      </c>
      <c r="AM65" s="105">
        <v>3</v>
      </c>
      <c r="AN65" s="105">
        <v>1</v>
      </c>
      <c r="AO65" s="105">
        <v>0</v>
      </c>
    </row>
    <row r="66" spans="10:41" ht="16.5" customHeight="1">
      <c r="J66" s="25">
        <v>62</v>
      </c>
      <c r="K66" s="16" t="s">
        <v>35</v>
      </c>
      <c r="L66" s="16" t="s">
        <v>19</v>
      </c>
      <c r="M66" s="16" t="s">
        <v>137</v>
      </c>
      <c r="N66" s="16" t="s">
        <v>37</v>
      </c>
      <c r="O66" s="16" t="s">
        <v>136</v>
      </c>
      <c r="Q66" s="9">
        <v>8</v>
      </c>
      <c r="R66" s="9">
        <v>5</v>
      </c>
      <c r="S66" s="9">
        <v>15</v>
      </c>
      <c r="T66" s="9">
        <v>7</v>
      </c>
      <c r="U66" s="9">
        <v>6</v>
      </c>
      <c r="W66" s="25">
        <v>1</v>
      </c>
      <c r="X66" s="25">
        <v>1</v>
      </c>
      <c r="Y66" s="25">
        <v>1</v>
      </c>
      <c r="Z66" s="25">
        <v>1</v>
      </c>
      <c r="AA66" s="25">
        <v>1</v>
      </c>
      <c r="AC66" s="149" t="str">
        <v>G2</v>
      </c>
      <c r="AD66" s="105">
        <v>0</v>
      </c>
      <c r="AE66" s="105">
        <v>2</v>
      </c>
      <c r="AF66" s="105">
        <v>1</v>
      </c>
      <c r="AG66" s="105">
        <v>1</v>
      </c>
      <c r="AH66" s="105">
        <v>0</v>
      </c>
      <c r="AI66" s="5"/>
      <c r="AJ66" s="149" t="str">
        <v>G2</v>
      </c>
      <c r="AK66" s="105">
        <v>0</v>
      </c>
      <c r="AL66" s="105">
        <v>2</v>
      </c>
      <c r="AM66" s="105">
        <v>1</v>
      </c>
      <c r="AN66" s="105">
        <v>1</v>
      </c>
      <c r="AO66" s="105">
        <v>0</v>
      </c>
    </row>
    <row r="67" spans="10:41" ht="16.5" customHeight="1">
      <c r="J67" s="9">
        <v>63</v>
      </c>
      <c r="K67" s="16" t="s">
        <v>37</v>
      </c>
      <c r="L67" s="16" t="s">
        <v>20</v>
      </c>
      <c r="M67" s="16" t="s">
        <v>92</v>
      </c>
      <c r="N67" s="16" t="s">
        <v>19</v>
      </c>
      <c r="O67" s="16" t="s">
        <v>37</v>
      </c>
      <c r="Q67" s="9">
        <v>7</v>
      </c>
      <c r="R67" s="9">
        <v>1</v>
      </c>
      <c r="S67" s="9">
        <v>16</v>
      </c>
      <c r="T67" s="9">
        <v>5</v>
      </c>
      <c r="U67" s="9">
        <v>7</v>
      </c>
      <c r="W67" s="25">
        <v>1</v>
      </c>
      <c r="X67" s="25">
        <v>1</v>
      </c>
      <c r="Y67" s="25">
        <v>1</v>
      </c>
      <c r="Z67" s="25">
        <v>1</v>
      </c>
      <c r="AA67" s="25">
        <v>1</v>
      </c>
      <c r="AC67" s="149" t="str">
        <v>G3</v>
      </c>
      <c r="AD67" s="105">
        <v>0</v>
      </c>
      <c r="AE67" s="105">
        <v>2</v>
      </c>
      <c r="AF67" s="105">
        <v>8</v>
      </c>
      <c r="AG67" s="105">
        <v>2</v>
      </c>
      <c r="AH67" s="105">
        <v>0</v>
      </c>
      <c r="AI67" s="5"/>
      <c r="AJ67" s="149" t="str">
        <v>G3</v>
      </c>
      <c r="AK67" s="105">
        <v>0</v>
      </c>
      <c r="AL67" s="105">
        <v>2</v>
      </c>
      <c r="AM67" s="105">
        <v>8</v>
      </c>
      <c r="AN67" s="105">
        <v>2</v>
      </c>
      <c r="AO67" s="105">
        <v>0</v>
      </c>
    </row>
    <row r="68" spans="10:41" ht="16.5" customHeight="1">
      <c r="J68" s="25">
        <v>64</v>
      </c>
      <c r="K68" s="16" t="s">
        <v>18</v>
      </c>
      <c r="L68" s="16" t="s">
        <v>34</v>
      </c>
      <c r="M68" s="16" t="s">
        <v>137</v>
      </c>
      <c r="N68" s="16" t="s">
        <v>37</v>
      </c>
      <c r="O68" s="16" t="s">
        <v>136</v>
      </c>
      <c r="Q68" s="9">
        <v>4</v>
      </c>
      <c r="R68" s="9">
        <v>9</v>
      </c>
      <c r="S68" s="9">
        <v>15</v>
      </c>
      <c r="T68" s="9">
        <v>7</v>
      </c>
      <c r="U68" s="9">
        <v>6</v>
      </c>
      <c r="W68" s="25">
        <v>1</v>
      </c>
      <c r="X68" s="25">
        <v>1</v>
      </c>
      <c r="Y68" s="25">
        <v>1</v>
      </c>
      <c r="Z68" s="25">
        <v>1</v>
      </c>
      <c r="AA68" s="25">
        <v>1</v>
      </c>
      <c r="AC68" s="149" t="str">
        <v>G4</v>
      </c>
      <c r="AD68" s="105">
        <v>0</v>
      </c>
      <c r="AE68" s="105">
        <v>5</v>
      </c>
      <c r="AF68" s="105">
        <v>42</v>
      </c>
      <c r="AG68" s="105">
        <v>7</v>
      </c>
      <c r="AH68" s="105">
        <v>0</v>
      </c>
      <c r="AI68" s="5"/>
      <c r="AJ68" s="149" t="str">
        <v>G4</v>
      </c>
      <c r="AK68" s="105">
        <v>0</v>
      </c>
      <c r="AL68" s="105">
        <v>5</v>
      </c>
      <c r="AM68" s="105">
        <v>42</v>
      </c>
      <c r="AN68" s="105">
        <v>7</v>
      </c>
      <c r="AO68" s="105">
        <v>0</v>
      </c>
    </row>
    <row r="69" spans="10:41" ht="16.5" customHeight="1">
      <c r="J69" s="9">
        <v>65</v>
      </c>
      <c r="K69" s="16" t="s">
        <v>19</v>
      </c>
      <c r="L69" s="16" t="s">
        <v>18</v>
      </c>
      <c r="M69" s="16" t="s">
        <v>91</v>
      </c>
      <c r="N69" s="16" t="s">
        <v>19</v>
      </c>
      <c r="O69" s="16" t="s">
        <v>37</v>
      </c>
      <c r="Q69" s="9">
        <v>5</v>
      </c>
      <c r="R69" s="9">
        <v>4</v>
      </c>
      <c r="S69" s="9">
        <v>14</v>
      </c>
      <c r="T69" s="9">
        <v>5</v>
      </c>
      <c r="U69" s="9">
        <v>7</v>
      </c>
      <c r="W69" s="25">
        <v>1</v>
      </c>
      <c r="X69" s="25">
        <v>1</v>
      </c>
      <c r="Y69" s="25">
        <v>1</v>
      </c>
      <c r="Z69" s="25">
        <v>1</v>
      </c>
      <c r="AA69" s="25">
        <v>1</v>
      </c>
      <c r="AC69" s="149" t="str">
        <v>G5</v>
      </c>
      <c r="AD69" s="105">
        <v>0</v>
      </c>
      <c r="AE69" s="105">
        <v>5</v>
      </c>
      <c r="AF69" s="105">
        <v>42</v>
      </c>
      <c r="AG69" s="105">
        <v>6</v>
      </c>
      <c r="AH69" s="105">
        <v>0</v>
      </c>
      <c r="AI69" s="5"/>
      <c r="AJ69" s="149" t="str">
        <v>G5</v>
      </c>
      <c r="AK69" s="105">
        <v>0</v>
      </c>
      <c r="AL69" s="105">
        <v>5</v>
      </c>
      <c r="AM69" s="105">
        <v>42</v>
      </c>
      <c r="AN69" s="105">
        <v>6</v>
      </c>
      <c r="AO69" s="105">
        <v>0</v>
      </c>
    </row>
    <row r="70" spans="10:41" ht="16.5" customHeight="1">
      <c r="J70" s="25">
        <v>66</v>
      </c>
      <c r="K70" s="16" t="s">
        <v>136</v>
      </c>
      <c r="L70" s="16" t="s">
        <v>21</v>
      </c>
      <c r="M70" s="16" t="s">
        <v>119</v>
      </c>
      <c r="N70" s="16" t="s">
        <v>91</v>
      </c>
      <c r="O70" s="16" t="s">
        <v>136</v>
      </c>
      <c r="Q70" s="9">
        <v>6</v>
      </c>
      <c r="R70" s="9">
        <v>2</v>
      </c>
      <c r="S70" s="9">
        <v>17</v>
      </c>
      <c r="T70" s="9">
        <v>14</v>
      </c>
      <c r="U70" s="9">
        <v>6</v>
      </c>
      <c r="W70" s="25">
        <v>1</v>
      </c>
      <c r="X70" s="25">
        <v>1</v>
      </c>
      <c r="Y70" s="25">
        <v>1</v>
      </c>
      <c r="Z70" s="25">
        <v>1</v>
      </c>
      <c r="AA70" s="25">
        <v>1</v>
      </c>
      <c r="AC70" s="149" t="str">
        <v>GA</v>
      </c>
      <c r="AD70" s="105">
        <v>0</v>
      </c>
      <c r="AE70" s="105">
        <v>7</v>
      </c>
      <c r="AF70" s="105">
        <v>42</v>
      </c>
      <c r="AG70" s="105">
        <v>6</v>
      </c>
      <c r="AH70" s="105">
        <v>0</v>
      </c>
      <c r="AI70" s="5"/>
      <c r="AJ70" s="149" t="str">
        <v>GA</v>
      </c>
      <c r="AK70" s="105">
        <v>0</v>
      </c>
      <c r="AL70" s="105">
        <v>7</v>
      </c>
      <c r="AM70" s="105">
        <v>42</v>
      </c>
      <c r="AN70" s="105">
        <v>6</v>
      </c>
      <c r="AO70" s="105">
        <v>0</v>
      </c>
    </row>
    <row r="71" spans="10:41" ht="16.5" customHeight="1">
      <c r="J71" s="9">
        <v>67</v>
      </c>
      <c r="K71" s="16" t="s">
        <v>36</v>
      </c>
      <c r="L71" s="16" t="s">
        <v>19</v>
      </c>
      <c r="M71" s="16" t="s">
        <v>90</v>
      </c>
      <c r="N71" s="16" t="s">
        <v>37</v>
      </c>
      <c r="O71" s="16" t="s">
        <v>35</v>
      </c>
      <c r="Q71" s="9">
        <v>10</v>
      </c>
      <c r="R71" s="9">
        <v>5</v>
      </c>
      <c r="S71" s="9">
        <v>13</v>
      </c>
      <c r="T71" s="9">
        <v>7</v>
      </c>
      <c r="U71" s="9">
        <v>8</v>
      </c>
      <c r="W71" s="25">
        <v>1</v>
      </c>
      <c r="X71" s="25">
        <v>1</v>
      </c>
      <c r="Y71" s="25">
        <v>1</v>
      </c>
      <c r="Z71" s="25">
        <v>1</v>
      </c>
      <c r="AA71" s="25">
        <v>1</v>
      </c>
      <c r="AC71" s="149" t="str">
        <v>GK</v>
      </c>
      <c r="AD71" s="105">
        <v>0</v>
      </c>
      <c r="AE71" s="105">
        <v>5</v>
      </c>
      <c r="AF71" s="105">
        <v>42</v>
      </c>
      <c r="AG71" s="105">
        <v>6</v>
      </c>
      <c r="AH71" s="105">
        <v>0</v>
      </c>
      <c r="AI71" s="5"/>
      <c r="AJ71" s="149" t="str">
        <v>GK</v>
      </c>
      <c r="AK71" s="105">
        <v>0</v>
      </c>
      <c r="AL71" s="105">
        <v>5</v>
      </c>
      <c r="AM71" s="105">
        <v>42</v>
      </c>
      <c r="AN71" s="105">
        <v>6</v>
      </c>
      <c r="AO71" s="105">
        <v>0</v>
      </c>
    </row>
    <row r="72" spans="10:41" ht="16.5" customHeight="1">
      <c r="J72" s="25">
        <v>68</v>
      </c>
      <c r="K72" s="16" t="s">
        <v>35</v>
      </c>
      <c r="L72" s="16" t="s">
        <v>35</v>
      </c>
      <c r="M72" s="16" t="s">
        <v>137</v>
      </c>
      <c r="N72" s="16" t="s">
        <v>136</v>
      </c>
      <c r="O72" s="16" t="s">
        <v>136</v>
      </c>
      <c r="Q72" s="9">
        <v>8</v>
      </c>
      <c r="R72" s="9">
        <v>8</v>
      </c>
      <c r="S72" s="9">
        <v>15</v>
      </c>
      <c r="T72" s="9">
        <v>6</v>
      </c>
      <c r="U72" s="9">
        <v>6</v>
      </c>
      <c r="W72" s="25">
        <v>1</v>
      </c>
      <c r="X72" s="25">
        <v>1</v>
      </c>
      <c r="Y72" s="25">
        <v>1</v>
      </c>
      <c r="Z72" s="25">
        <v>1</v>
      </c>
      <c r="AA72" s="25">
        <v>1</v>
      </c>
      <c r="AC72" s="149" t="str">
        <v>GQ</v>
      </c>
      <c r="AD72" s="105">
        <v>0</v>
      </c>
      <c r="AE72" s="105">
        <v>2</v>
      </c>
      <c r="AF72" s="105">
        <v>6</v>
      </c>
      <c r="AG72" s="105">
        <v>1</v>
      </c>
      <c r="AH72" s="105">
        <v>0</v>
      </c>
      <c r="AI72" s="5"/>
      <c r="AJ72" s="149" t="str">
        <v>GQ</v>
      </c>
      <c r="AK72" s="105">
        <v>0</v>
      </c>
      <c r="AL72" s="105">
        <v>2</v>
      </c>
      <c r="AM72" s="105">
        <v>6</v>
      </c>
      <c r="AN72" s="105">
        <v>1</v>
      </c>
      <c r="AO72" s="105">
        <v>0</v>
      </c>
    </row>
    <row r="73" spans="10:41" ht="16.5" customHeight="1">
      <c r="J73" s="9">
        <v>69</v>
      </c>
      <c r="K73" s="16" t="s">
        <v>19</v>
      </c>
      <c r="L73" s="16" t="s">
        <v>137</v>
      </c>
      <c r="M73" s="16" t="s">
        <v>119</v>
      </c>
      <c r="N73" s="16" t="s">
        <v>19</v>
      </c>
      <c r="O73" s="16" t="s">
        <v>34</v>
      </c>
      <c r="Q73" s="9">
        <v>5</v>
      </c>
      <c r="R73" s="9">
        <v>15</v>
      </c>
      <c r="S73" s="9">
        <v>17</v>
      </c>
      <c r="T73" s="9">
        <v>5</v>
      </c>
      <c r="U73" s="9">
        <v>9</v>
      </c>
      <c r="W73" s="25">
        <v>1</v>
      </c>
      <c r="X73" s="25">
        <v>1</v>
      </c>
      <c r="Y73" s="25">
        <v>1</v>
      </c>
      <c r="Z73" s="25">
        <v>1</v>
      </c>
      <c r="AA73" s="25">
        <v>1</v>
      </c>
      <c r="AC73" s="149" t="str">
        <v>GJ</v>
      </c>
      <c r="AD73" s="105">
        <v>0</v>
      </c>
      <c r="AE73" s="105">
        <v>2</v>
      </c>
      <c r="AF73" s="105">
        <v>9</v>
      </c>
      <c r="AG73" s="105">
        <v>2</v>
      </c>
      <c r="AH73" s="105">
        <v>0</v>
      </c>
      <c r="AI73" s="5"/>
      <c r="AJ73" s="149" t="str">
        <v>GJ</v>
      </c>
      <c r="AK73" s="105">
        <v>0</v>
      </c>
      <c r="AL73" s="105">
        <v>2</v>
      </c>
      <c r="AM73" s="105">
        <v>9</v>
      </c>
      <c r="AN73" s="105">
        <v>2</v>
      </c>
      <c r="AO73" s="105">
        <v>0</v>
      </c>
    </row>
    <row r="74" spans="10:41" ht="16.5" customHeight="1">
      <c r="J74" s="25">
        <v>70</v>
      </c>
      <c r="K74" s="16" t="s">
        <v>22</v>
      </c>
      <c r="L74" s="16" t="s">
        <v>21</v>
      </c>
      <c r="M74" s="16" t="s">
        <v>92</v>
      </c>
      <c r="N74" s="16" t="s">
        <v>35</v>
      </c>
      <c r="O74" s="16" t="s">
        <v>136</v>
      </c>
      <c r="Q74" s="9">
        <v>3</v>
      </c>
      <c r="R74" s="9">
        <v>2</v>
      </c>
      <c r="S74" s="9">
        <v>16</v>
      </c>
      <c r="T74" s="9">
        <v>8</v>
      </c>
      <c r="U74" s="9">
        <v>6</v>
      </c>
      <c r="W74" s="25">
        <v>1</v>
      </c>
      <c r="X74" s="25">
        <v>1</v>
      </c>
      <c r="Y74" s="25">
        <v>1</v>
      </c>
      <c r="Z74" s="25">
        <v>1</v>
      </c>
      <c r="AA74" s="25">
        <v>1</v>
      </c>
      <c r="AD74" s="119">
        <f>SUM(AD54:AD73)</f>
        <v>196</v>
      </c>
      <c r="AE74" s="119">
        <f>SUM(AE54:AE73)</f>
        <v>196</v>
      </c>
      <c r="AF74" s="119">
        <f>SUM(AF54:AF73)</f>
        <v>196</v>
      </c>
      <c r="AG74" s="119">
        <f>SUM(AG54:AG73)</f>
        <v>193</v>
      </c>
      <c r="AH74" s="119">
        <f>SUM(AH54:AH73)</f>
        <v>193</v>
      </c>
      <c r="AI74" s="5"/>
      <c r="AK74" s="119">
        <f>SUM(AK54:AK73)</f>
        <v>196</v>
      </c>
      <c r="AL74" s="119">
        <f>SUM(AL54:AL73)</f>
        <v>196</v>
      </c>
      <c r="AM74" s="119">
        <f>SUM(AM54:AM73)</f>
        <v>196</v>
      </c>
      <c r="AN74" s="119">
        <f>SUM(AN54:AN73)</f>
        <v>193</v>
      </c>
      <c r="AO74" s="119">
        <f>SUM(AO54:AO73)</f>
        <v>193</v>
      </c>
    </row>
    <row r="75" spans="10:41" ht="16.5" customHeight="1">
      <c r="J75" s="9">
        <v>71</v>
      </c>
      <c r="K75" s="16" t="s">
        <v>35</v>
      </c>
      <c r="L75" s="16" t="s">
        <v>37</v>
      </c>
      <c r="M75" s="16" t="s">
        <v>119</v>
      </c>
      <c r="N75" s="16" t="s">
        <v>136</v>
      </c>
      <c r="O75" s="16" t="s">
        <v>19</v>
      </c>
      <c r="Q75" s="9">
        <v>8</v>
      </c>
      <c r="R75" s="9">
        <v>7</v>
      </c>
      <c r="S75" s="9">
        <v>17</v>
      </c>
      <c r="T75" s="9">
        <v>6</v>
      </c>
      <c r="U75" s="9">
        <v>5</v>
      </c>
      <c r="W75" s="25">
        <v>1</v>
      </c>
      <c r="X75" s="25">
        <v>1</v>
      </c>
      <c r="Y75" s="25">
        <v>1</v>
      </c>
      <c r="Z75" s="25">
        <v>1</v>
      </c>
      <c r="AA75" s="25">
        <v>1</v>
      </c>
      <c r="AH75" s="5"/>
      <c r="AI75" s="5"/>
      <c r="AO75" s="5"/>
    </row>
    <row r="76" spans="10:41" ht="16.5" customHeight="1">
      <c r="J76" s="25">
        <v>72</v>
      </c>
      <c r="K76" s="16" t="s">
        <v>136</v>
      </c>
      <c r="L76" s="16" t="s">
        <v>136</v>
      </c>
      <c r="M76" s="16" t="s">
        <v>91</v>
      </c>
      <c r="N76" s="16" t="s">
        <v>35</v>
      </c>
      <c r="O76" s="16" t="s">
        <v>22</v>
      </c>
      <c r="Q76" s="9">
        <v>6</v>
      </c>
      <c r="R76" s="9">
        <v>6</v>
      </c>
      <c r="S76" s="9">
        <v>14</v>
      </c>
      <c r="T76" s="9">
        <v>8</v>
      </c>
      <c r="U76" s="9">
        <v>3</v>
      </c>
      <c r="W76" s="25">
        <v>1</v>
      </c>
      <c r="X76" s="25">
        <v>1</v>
      </c>
      <c r="Y76" s="25">
        <v>1</v>
      </c>
      <c r="Z76" s="25">
        <v>1</v>
      </c>
      <c r="AA76" s="25">
        <v>1</v>
      </c>
      <c r="AH76" s="5"/>
      <c r="AI76" s="5"/>
      <c r="AO76" s="5"/>
    </row>
    <row r="77" spans="10:41" ht="16.5" customHeight="1">
      <c r="J77" s="9">
        <v>73</v>
      </c>
      <c r="K77" s="16" t="s">
        <v>37</v>
      </c>
      <c r="L77" s="16" t="s">
        <v>22</v>
      </c>
      <c r="M77" s="16" t="s">
        <v>137</v>
      </c>
      <c r="N77" s="16" t="s">
        <v>136</v>
      </c>
      <c r="O77" s="16" t="s">
        <v>136</v>
      </c>
      <c r="Q77" s="9">
        <v>7</v>
      </c>
      <c r="R77" s="9">
        <v>3</v>
      </c>
      <c r="S77" s="9">
        <v>15</v>
      </c>
      <c r="T77" s="9">
        <v>6</v>
      </c>
      <c r="U77" s="9">
        <v>6</v>
      </c>
      <c r="W77" s="25">
        <v>1</v>
      </c>
      <c r="X77" s="25">
        <v>1</v>
      </c>
      <c r="Y77" s="25">
        <v>1</v>
      </c>
      <c r="Z77" s="25">
        <v>1</v>
      </c>
      <c r="AA77" s="25">
        <v>1</v>
      </c>
      <c r="AH77" s="5"/>
      <c r="AI77" s="5"/>
      <c r="AO77" s="5"/>
    </row>
    <row r="78" spans="10:41" ht="16.5" customHeight="1">
      <c r="J78" s="25">
        <v>74</v>
      </c>
      <c r="K78" s="16" t="s">
        <v>35</v>
      </c>
      <c r="L78" s="16" t="s">
        <v>35</v>
      </c>
      <c r="M78" s="16" t="s">
        <v>91</v>
      </c>
      <c r="N78" s="16" t="s">
        <v>19</v>
      </c>
      <c r="O78" s="16" t="s">
        <v>35</v>
      </c>
      <c r="Q78" s="9">
        <v>8</v>
      </c>
      <c r="R78" s="9">
        <v>8</v>
      </c>
      <c r="S78" s="9">
        <v>14</v>
      </c>
      <c r="T78" s="9">
        <v>5</v>
      </c>
      <c r="U78" s="9">
        <v>8</v>
      </c>
      <c r="W78" s="25">
        <v>1</v>
      </c>
      <c r="X78" s="25">
        <v>1</v>
      </c>
      <c r="Y78" s="25">
        <v>1</v>
      </c>
      <c r="Z78" s="25">
        <v>1</v>
      </c>
      <c r="AA78" s="25">
        <v>1</v>
      </c>
      <c r="AH78" s="5"/>
      <c r="AI78" s="5"/>
      <c r="AO78" s="5"/>
    </row>
    <row r="79" spans="10:41" ht="16.5" customHeight="1">
      <c r="J79" s="9">
        <v>75</v>
      </c>
      <c r="K79" s="16" t="s">
        <v>19</v>
      </c>
      <c r="L79" s="16" t="s">
        <v>19</v>
      </c>
      <c r="M79" s="16" t="s">
        <v>137</v>
      </c>
      <c r="N79" s="16" t="s">
        <v>35</v>
      </c>
      <c r="O79" s="16" t="s">
        <v>19</v>
      </c>
      <c r="Q79" s="9">
        <v>5</v>
      </c>
      <c r="R79" s="9">
        <v>5</v>
      </c>
      <c r="S79" s="9">
        <v>15</v>
      </c>
      <c r="T79" s="9">
        <v>8</v>
      </c>
      <c r="U79" s="9">
        <v>5</v>
      </c>
      <c r="W79" s="25">
        <v>1</v>
      </c>
      <c r="X79" s="25">
        <v>1</v>
      </c>
      <c r="Y79" s="25">
        <v>1</v>
      </c>
      <c r="Z79" s="25">
        <v>1</v>
      </c>
      <c r="AA79" s="25">
        <v>1</v>
      </c>
      <c r="AH79" s="5"/>
      <c r="AI79" s="5"/>
      <c r="AO79" s="5"/>
    </row>
    <row r="80" spans="10:41">
      <c r="J80" s="25">
        <v>76</v>
      </c>
      <c r="K80" s="16" t="s">
        <v>35</v>
      </c>
      <c r="L80" s="16" t="s">
        <v>34</v>
      </c>
      <c r="M80" s="16" t="s">
        <v>91</v>
      </c>
      <c r="N80" s="16" t="s">
        <v>34</v>
      </c>
      <c r="O80" s="16" t="s">
        <v>36</v>
      </c>
      <c r="Q80" s="9">
        <v>8</v>
      </c>
      <c r="R80" s="9">
        <v>9</v>
      </c>
      <c r="S80" s="9">
        <v>14</v>
      </c>
      <c r="T80" s="9">
        <v>9</v>
      </c>
      <c r="U80" s="9">
        <v>10</v>
      </c>
      <c r="W80" s="25">
        <v>1</v>
      </c>
      <c r="X80" s="25">
        <v>1</v>
      </c>
      <c r="Y80" s="25">
        <v>1</v>
      </c>
      <c r="Z80" s="25">
        <v>1</v>
      </c>
      <c r="AA80" s="25">
        <v>1</v>
      </c>
      <c r="AH80" s="5"/>
      <c r="AI80" s="5"/>
      <c r="AO80" s="5"/>
    </row>
    <row r="81" spans="10:41">
      <c r="J81" s="9">
        <v>77</v>
      </c>
      <c r="K81" s="16" t="s">
        <v>136</v>
      </c>
      <c r="L81" s="16" t="s">
        <v>136</v>
      </c>
      <c r="M81" s="16" t="s">
        <v>137</v>
      </c>
      <c r="N81" s="16" t="s">
        <v>19</v>
      </c>
      <c r="O81" s="16" t="s">
        <v>35</v>
      </c>
      <c r="Q81" s="9">
        <v>6</v>
      </c>
      <c r="R81" s="9">
        <v>6</v>
      </c>
      <c r="S81" s="9">
        <v>15</v>
      </c>
      <c r="T81" s="9">
        <v>5</v>
      </c>
      <c r="U81" s="9">
        <v>8</v>
      </c>
      <c r="W81" s="25">
        <v>1</v>
      </c>
      <c r="X81" s="25">
        <v>1</v>
      </c>
      <c r="Y81" s="25">
        <v>1</v>
      </c>
      <c r="Z81" s="25">
        <v>1</v>
      </c>
      <c r="AA81" s="25">
        <v>1</v>
      </c>
      <c r="AH81" s="5"/>
      <c r="AI81" s="5"/>
      <c r="AO81" s="5"/>
    </row>
    <row r="82" spans="10:41">
      <c r="J82" s="25">
        <v>78</v>
      </c>
      <c r="K82" s="16" t="s">
        <v>35</v>
      </c>
      <c r="L82" s="16" t="s">
        <v>22</v>
      </c>
      <c r="M82" s="16" t="s">
        <v>91</v>
      </c>
      <c r="N82" s="16" t="s">
        <v>35</v>
      </c>
      <c r="O82" s="16" t="s">
        <v>136</v>
      </c>
      <c r="Q82" s="9">
        <v>8</v>
      </c>
      <c r="R82" s="9">
        <v>3</v>
      </c>
      <c r="S82" s="9">
        <v>14</v>
      </c>
      <c r="T82" s="9">
        <v>8</v>
      </c>
      <c r="U82" s="9">
        <v>6</v>
      </c>
      <c r="W82" s="25">
        <v>1</v>
      </c>
      <c r="X82" s="25">
        <v>1</v>
      </c>
      <c r="Y82" s="25">
        <v>1</v>
      </c>
      <c r="Z82" s="25">
        <v>1</v>
      </c>
      <c r="AA82" s="25">
        <v>1</v>
      </c>
      <c r="AH82" s="5"/>
      <c r="AI82" s="5"/>
      <c r="AO82" s="5"/>
    </row>
    <row r="83" spans="10:41">
      <c r="J83" s="9">
        <v>79</v>
      </c>
      <c r="K83" s="16" t="s">
        <v>136</v>
      </c>
      <c r="L83" s="16" t="s">
        <v>20</v>
      </c>
      <c r="M83" s="16" t="s">
        <v>90</v>
      </c>
      <c r="N83" s="16" t="s">
        <v>19</v>
      </c>
      <c r="O83" s="16" t="s">
        <v>19</v>
      </c>
      <c r="Q83" s="9">
        <v>6</v>
      </c>
      <c r="R83" s="9">
        <v>1</v>
      </c>
      <c r="S83" s="9">
        <v>13</v>
      </c>
      <c r="T83" s="9">
        <v>5</v>
      </c>
      <c r="U83" s="9">
        <v>5</v>
      </c>
      <c r="W83" s="25">
        <v>1</v>
      </c>
      <c r="X83" s="25">
        <v>1</v>
      </c>
      <c r="Y83" s="25">
        <v>1</v>
      </c>
      <c r="Z83" s="25">
        <v>1</v>
      </c>
      <c r="AA83" s="25">
        <v>1</v>
      </c>
      <c r="AH83" s="5"/>
      <c r="AI83" s="5"/>
      <c r="AO83" s="5"/>
    </row>
    <row r="84" spans="10:41">
      <c r="J84" s="25">
        <v>80</v>
      </c>
      <c r="K84" s="16" t="s">
        <v>18</v>
      </c>
      <c r="L84" s="16" t="s">
        <v>136</v>
      </c>
      <c r="M84" s="16" t="s">
        <v>91</v>
      </c>
      <c r="N84" s="16" t="s">
        <v>35</v>
      </c>
      <c r="O84" s="16" t="s">
        <v>37</v>
      </c>
      <c r="Q84" s="9">
        <v>4</v>
      </c>
      <c r="R84" s="9">
        <v>6</v>
      </c>
      <c r="S84" s="9">
        <v>14</v>
      </c>
      <c r="T84" s="9">
        <v>8</v>
      </c>
      <c r="U84" s="9">
        <v>7</v>
      </c>
      <c r="W84" s="25">
        <v>1</v>
      </c>
      <c r="X84" s="25">
        <v>1</v>
      </c>
      <c r="Y84" s="25">
        <v>1</v>
      </c>
      <c r="Z84" s="25">
        <v>1</v>
      </c>
      <c r="AA84" s="25">
        <v>1</v>
      </c>
      <c r="AH84" s="5"/>
      <c r="AI84" s="5"/>
      <c r="AO84" s="5"/>
    </row>
    <row r="85" spans="10:41">
      <c r="J85" s="9">
        <v>81</v>
      </c>
      <c r="K85" s="16" t="s">
        <v>19</v>
      </c>
      <c r="L85" s="16" t="s">
        <v>35</v>
      </c>
      <c r="M85" s="16" t="s">
        <v>95</v>
      </c>
      <c r="N85" s="16" t="s">
        <v>20</v>
      </c>
      <c r="O85" s="16" t="s">
        <v>36</v>
      </c>
      <c r="Q85" s="9">
        <v>5</v>
      </c>
      <c r="R85" s="9">
        <v>8</v>
      </c>
      <c r="S85" s="9">
        <v>18</v>
      </c>
      <c r="T85" s="9">
        <v>1</v>
      </c>
      <c r="U85" s="9">
        <v>10</v>
      </c>
      <c r="W85" s="25">
        <v>1</v>
      </c>
      <c r="X85" s="25">
        <v>1</v>
      </c>
      <c r="Y85" s="25">
        <v>1</v>
      </c>
      <c r="Z85" s="25">
        <v>1</v>
      </c>
      <c r="AA85" s="25">
        <v>1</v>
      </c>
      <c r="AH85" s="5"/>
      <c r="AI85" s="5"/>
      <c r="AO85" s="5"/>
    </row>
    <row r="86" spans="10:41">
      <c r="J86" s="25">
        <v>82</v>
      </c>
      <c r="K86" s="16" t="s">
        <v>35</v>
      </c>
      <c r="L86" s="16" t="s">
        <v>34</v>
      </c>
      <c r="M86" s="16" t="s">
        <v>92</v>
      </c>
      <c r="N86" s="16" t="s">
        <v>136</v>
      </c>
      <c r="O86" s="16" t="s">
        <v>37</v>
      </c>
      <c r="Q86" s="9">
        <v>8</v>
      </c>
      <c r="R86" s="9">
        <v>9</v>
      </c>
      <c r="S86" s="9">
        <v>16</v>
      </c>
      <c r="T86" s="9">
        <v>6</v>
      </c>
      <c r="U86" s="9">
        <v>7</v>
      </c>
      <c r="W86" s="25">
        <v>1</v>
      </c>
      <c r="X86" s="25">
        <v>1</v>
      </c>
      <c r="Y86" s="25">
        <v>1</v>
      </c>
      <c r="Z86" s="25">
        <v>1</v>
      </c>
      <c r="AA86" s="25">
        <v>1</v>
      </c>
      <c r="AH86" s="5"/>
      <c r="AI86" s="5"/>
      <c r="AO86" s="5"/>
    </row>
    <row r="87" spans="10:41">
      <c r="J87" s="9">
        <v>83</v>
      </c>
      <c r="K87" s="16" t="s">
        <v>36</v>
      </c>
      <c r="L87" s="16" t="s">
        <v>91</v>
      </c>
      <c r="M87" s="16" t="s">
        <v>137</v>
      </c>
      <c r="N87" s="16" t="s">
        <v>22</v>
      </c>
      <c r="O87" s="16" t="s">
        <v>19</v>
      </c>
      <c r="Q87" s="9">
        <v>10</v>
      </c>
      <c r="R87" s="9">
        <v>14</v>
      </c>
      <c r="S87" s="9">
        <v>15</v>
      </c>
      <c r="T87" s="9">
        <v>3</v>
      </c>
      <c r="U87" s="9">
        <v>5</v>
      </c>
      <c r="W87" s="25">
        <v>1</v>
      </c>
      <c r="X87" s="25">
        <v>1</v>
      </c>
      <c r="Y87" s="25">
        <v>1</v>
      </c>
      <c r="Z87" s="25">
        <v>1</v>
      </c>
      <c r="AA87" s="25">
        <v>1</v>
      </c>
      <c r="AH87" s="5"/>
      <c r="AI87" s="5"/>
      <c r="AO87" s="5"/>
    </row>
    <row r="88" spans="10:41">
      <c r="J88" s="25">
        <v>84</v>
      </c>
      <c r="K88" s="16" t="s">
        <v>136</v>
      </c>
      <c r="L88" s="16" t="s">
        <v>36</v>
      </c>
      <c r="M88" s="16" t="s">
        <v>119</v>
      </c>
      <c r="N88" s="16" t="s">
        <v>37</v>
      </c>
      <c r="O88" s="16" t="s">
        <v>34</v>
      </c>
      <c r="Q88" s="9">
        <v>6</v>
      </c>
      <c r="R88" s="9">
        <v>10</v>
      </c>
      <c r="S88" s="9">
        <v>17</v>
      </c>
      <c r="T88" s="9">
        <v>7</v>
      </c>
      <c r="U88" s="9">
        <v>9</v>
      </c>
      <c r="W88" s="25">
        <v>1</v>
      </c>
      <c r="X88" s="25">
        <v>1</v>
      </c>
      <c r="Y88" s="25">
        <v>1</v>
      </c>
      <c r="Z88" s="25">
        <v>1</v>
      </c>
      <c r="AA88" s="25">
        <v>1</v>
      </c>
      <c r="AH88" s="5"/>
      <c r="AI88" s="5"/>
      <c r="AO88" s="5"/>
    </row>
    <row r="89" spans="10:41">
      <c r="J89" s="9">
        <v>85</v>
      </c>
      <c r="K89" s="16" t="s">
        <v>37</v>
      </c>
      <c r="L89" s="16" t="s">
        <v>95</v>
      </c>
      <c r="M89" s="16" t="s">
        <v>92</v>
      </c>
      <c r="N89" s="16" t="s">
        <v>136</v>
      </c>
      <c r="O89" s="16" t="s">
        <v>19</v>
      </c>
      <c r="Q89" s="9">
        <v>7</v>
      </c>
      <c r="R89" s="9">
        <v>18</v>
      </c>
      <c r="S89" s="9">
        <v>16</v>
      </c>
      <c r="T89" s="9">
        <v>6</v>
      </c>
      <c r="U89" s="9">
        <v>5</v>
      </c>
      <c r="W89" s="25">
        <v>1</v>
      </c>
      <c r="X89" s="25">
        <v>1</v>
      </c>
      <c r="Y89" s="25">
        <v>1</v>
      </c>
      <c r="Z89" s="25">
        <v>1</v>
      </c>
      <c r="AA89" s="25">
        <v>1</v>
      </c>
      <c r="AH89" s="5"/>
      <c r="AI89" s="5"/>
      <c r="AO89" s="5"/>
    </row>
    <row r="90" spans="10:41">
      <c r="J90" s="25">
        <v>86</v>
      </c>
      <c r="K90" s="16" t="s">
        <v>136</v>
      </c>
      <c r="L90" s="16" t="s">
        <v>21</v>
      </c>
      <c r="M90" s="16" t="s">
        <v>137</v>
      </c>
      <c r="N90" s="16" t="s">
        <v>19</v>
      </c>
      <c r="O90" s="16" t="s">
        <v>34</v>
      </c>
      <c r="Q90" s="9">
        <v>6</v>
      </c>
      <c r="R90" s="9">
        <v>2</v>
      </c>
      <c r="S90" s="9">
        <v>15</v>
      </c>
      <c r="T90" s="9">
        <v>5</v>
      </c>
      <c r="U90" s="9">
        <v>9</v>
      </c>
      <c r="W90" s="25">
        <v>1</v>
      </c>
      <c r="X90" s="25">
        <v>1</v>
      </c>
      <c r="Y90" s="25">
        <v>1</v>
      </c>
      <c r="Z90" s="25">
        <v>1</v>
      </c>
      <c r="AA90" s="25">
        <v>1</v>
      </c>
      <c r="AH90" s="5"/>
      <c r="AI90" s="5"/>
      <c r="AO90" s="5"/>
    </row>
    <row r="91" spans="10:41">
      <c r="J91" s="9">
        <v>87</v>
      </c>
      <c r="K91" s="16" t="s">
        <v>36</v>
      </c>
      <c r="L91" s="16" t="s">
        <v>90</v>
      </c>
      <c r="M91" s="16" t="s">
        <v>20</v>
      </c>
      <c r="N91" s="16" t="s">
        <v>37</v>
      </c>
      <c r="O91" s="16" t="s">
        <v>36</v>
      </c>
      <c r="Q91" s="9">
        <v>10</v>
      </c>
      <c r="R91" s="9">
        <v>13</v>
      </c>
      <c r="S91" s="9">
        <v>1</v>
      </c>
      <c r="T91" s="9">
        <v>7</v>
      </c>
      <c r="U91" s="9">
        <v>10</v>
      </c>
      <c r="W91" s="25">
        <v>1</v>
      </c>
      <c r="X91" s="25">
        <v>1</v>
      </c>
      <c r="Y91" s="25">
        <v>1</v>
      </c>
      <c r="Z91" s="25">
        <v>1</v>
      </c>
      <c r="AA91" s="25">
        <v>1</v>
      </c>
      <c r="AH91" s="5"/>
      <c r="AI91" s="5"/>
      <c r="AO91" s="5"/>
    </row>
    <row r="92" spans="10:41">
      <c r="J92" s="25">
        <v>88</v>
      </c>
      <c r="K92" s="16" t="s">
        <v>34</v>
      </c>
      <c r="L92" s="16" t="s">
        <v>37</v>
      </c>
      <c r="M92" s="16" t="s">
        <v>97</v>
      </c>
      <c r="N92" s="16" t="s">
        <v>136</v>
      </c>
      <c r="O92" s="16" t="s">
        <v>34</v>
      </c>
      <c r="Q92" s="9">
        <v>9</v>
      </c>
      <c r="R92" s="9">
        <v>7</v>
      </c>
      <c r="S92" s="9">
        <v>19</v>
      </c>
      <c r="T92" s="9">
        <v>6</v>
      </c>
      <c r="U92" s="9">
        <v>9</v>
      </c>
      <c r="W92" s="25">
        <v>1</v>
      </c>
      <c r="X92" s="25">
        <v>1</v>
      </c>
      <c r="Y92" s="25">
        <v>1</v>
      </c>
      <c r="Z92" s="25">
        <v>1</v>
      </c>
      <c r="AA92" s="25">
        <v>1</v>
      </c>
      <c r="AH92" s="5"/>
      <c r="AI92" s="5"/>
      <c r="AO92" s="5"/>
    </row>
    <row r="93" spans="10:41">
      <c r="J93" s="9">
        <v>89</v>
      </c>
      <c r="K93" s="16" t="s">
        <v>35</v>
      </c>
      <c r="L93" s="16" t="s">
        <v>34</v>
      </c>
      <c r="M93" s="16" t="s">
        <v>137</v>
      </c>
      <c r="N93" s="16" t="s">
        <v>119</v>
      </c>
      <c r="O93" s="16" t="s">
        <v>22</v>
      </c>
      <c r="Q93" s="9">
        <v>8</v>
      </c>
      <c r="R93" s="9">
        <v>9</v>
      </c>
      <c r="S93" s="9">
        <v>15</v>
      </c>
      <c r="T93" s="9">
        <v>17</v>
      </c>
      <c r="U93" s="9">
        <v>3</v>
      </c>
      <c r="W93" s="25">
        <v>1</v>
      </c>
      <c r="X93" s="25">
        <v>1</v>
      </c>
      <c r="Y93" s="25">
        <v>1</v>
      </c>
      <c r="Z93" s="25">
        <v>1</v>
      </c>
      <c r="AA93" s="25">
        <v>1</v>
      </c>
      <c r="AH93" s="5"/>
      <c r="AI93" s="5"/>
      <c r="AO93" s="5"/>
    </row>
    <row r="94" spans="10:41">
      <c r="J94" s="25">
        <v>90</v>
      </c>
      <c r="K94" s="16" t="s">
        <v>19</v>
      </c>
      <c r="L94" s="16" t="s">
        <v>136</v>
      </c>
      <c r="M94" s="16" t="s">
        <v>119</v>
      </c>
      <c r="N94" s="16" t="s">
        <v>35</v>
      </c>
      <c r="O94" s="16" t="s">
        <v>21</v>
      </c>
      <c r="Q94" s="9">
        <v>5</v>
      </c>
      <c r="R94" s="9">
        <v>6</v>
      </c>
      <c r="S94" s="9">
        <v>17</v>
      </c>
      <c r="T94" s="9">
        <v>8</v>
      </c>
      <c r="U94" s="9">
        <v>2</v>
      </c>
      <c r="W94" s="25">
        <v>1</v>
      </c>
      <c r="X94" s="25">
        <v>1</v>
      </c>
      <c r="Y94" s="25">
        <v>1</v>
      </c>
      <c r="Z94" s="25">
        <v>1</v>
      </c>
      <c r="AA94" s="25">
        <v>1</v>
      </c>
      <c r="AH94" s="5"/>
      <c r="AI94" s="5"/>
      <c r="AO94" s="5"/>
    </row>
    <row r="95" spans="10:41">
      <c r="J95" s="9">
        <v>91</v>
      </c>
      <c r="K95" s="16" t="s">
        <v>37</v>
      </c>
      <c r="L95" s="16" t="s">
        <v>92</v>
      </c>
      <c r="M95" s="16" t="s">
        <v>92</v>
      </c>
      <c r="N95" s="16" t="s">
        <v>90</v>
      </c>
      <c r="O95" s="16" t="s">
        <v>36</v>
      </c>
      <c r="Q95" s="9">
        <v>7</v>
      </c>
      <c r="R95" s="9">
        <v>16</v>
      </c>
      <c r="S95" s="9">
        <v>16</v>
      </c>
      <c r="T95" s="9">
        <v>13</v>
      </c>
      <c r="U95" s="9">
        <v>10</v>
      </c>
      <c r="W95" s="25">
        <v>1</v>
      </c>
      <c r="X95" s="25">
        <v>1</v>
      </c>
      <c r="Y95" s="25">
        <v>1</v>
      </c>
      <c r="Z95" s="25">
        <v>1</v>
      </c>
      <c r="AA95" s="25">
        <v>1</v>
      </c>
      <c r="AH95" s="5"/>
      <c r="AI95" s="5"/>
      <c r="AO95" s="5"/>
    </row>
    <row r="96" spans="10:41">
      <c r="J96" s="25">
        <v>92</v>
      </c>
      <c r="K96" s="16" t="s">
        <v>19</v>
      </c>
      <c r="L96" s="16" t="s">
        <v>19</v>
      </c>
      <c r="M96" s="16" t="s">
        <v>91</v>
      </c>
      <c r="N96" s="16" t="s">
        <v>19</v>
      </c>
      <c r="O96" s="16" t="s">
        <v>35</v>
      </c>
      <c r="Q96" s="9">
        <v>5</v>
      </c>
      <c r="R96" s="9">
        <v>5</v>
      </c>
      <c r="S96" s="9">
        <v>14</v>
      </c>
      <c r="T96" s="9">
        <v>5</v>
      </c>
      <c r="U96" s="9">
        <v>8</v>
      </c>
      <c r="W96" s="25">
        <v>1</v>
      </c>
      <c r="X96" s="25">
        <v>1</v>
      </c>
      <c r="Y96" s="25">
        <v>1</v>
      </c>
      <c r="Z96" s="25">
        <v>1</v>
      </c>
      <c r="AA96" s="25">
        <v>1</v>
      </c>
      <c r="AH96" s="5"/>
      <c r="AI96" s="5"/>
      <c r="AO96" s="5"/>
    </row>
    <row r="97" spans="10:41">
      <c r="J97" s="9">
        <v>93</v>
      </c>
      <c r="K97" s="16" t="s">
        <v>136</v>
      </c>
      <c r="L97" s="16" t="s">
        <v>36</v>
      </c>
      <c r="M97" s="16" t="s">
        <v>137</v>
      </c>
      <c r="N97" s="16" t="s">
        <v>91</v>
      </c>
      <c r="O97" s="16" t="s">
        <v>20</v>
      </c>
      <c r="Q97" s="9">
        <v>6</v>
      </c>
      <c r="R97" s="9">
        <v>10</v>
      </c>
      <c r="S97" s="9">
        <v>15</v>
      </c>
      <c r="T97" s="9">
        <v>14</v>
      </c>
      <c r="U97" s="9">
        <v>1</v>
      </c>
      <c r="W97" s="25">
        <v>1</v>
      </c>
      <c r="X97" s="25">
        <v>1</v>
      </c>
      <c r="Y97" s="25">
        <v>1</v>
      </c>
      <c r="Z97" s="25">
        <v>1</v>
      </c>
      <c r="AA97" s="25">
        <v>1</v>
      </c>
      <c r="AH97" s="5"/>
      <c r="AI97" s="5"/>
      <c r="AO97" s="5"/>
    </row>
    <row r="98" spans="10:41">
      <c r="J98" s="25">
        <v>94</v>
      </c>
      <c r="K98" s="16" t="s">
        <v>37</v>
      </c>
      <c r="L98" s="16" t="s">
        <v>136</v>
      </c>
      <c r="M98" s="16" t="s">
        <v>119</v>
      </c>
      <c r="N98" s="16" t="s">
        <v>35</v>
      </c>
      <c r="O98" s="16" t="s">
        <v>37</v>
      </c>
      <c r="Q98" s="9">
        <v>7</v>
      </c>
      <c r="R98" s="9">
        <v>6</v>
      </c>
      <c r="S98" s="9">
        <v>17</v>
      </c>
      <c r="T98" s="9">
        <v>8</v>
      </c>
      <c r="U98" s="9">
        <v>7</v>
      </c>
      <c r="W98" s="25">
        <v>1</v>
      </c>
      <c r="X98" s="25">
        <v>1</v>
      </c>
      <c r="Y98" s="25">
        <v>1</v>
      </c>
      <c r="Z98" s="25">
        <v>1</v>
      </c>
      <c r="AA98" s="25">
        <v>1</v>
      </c>
      <c r="AH98" s="5"/>
      <c r="AI98" s="5"/>
      <c r="AO98" s="5"/>
    </row>
    <row r="99" spans="10:41">
      <c r="J99" s="9">
        <v>95</v>
      </c>
      <c r="K99" s="16" t="s">
        <v>35</v>
      </c>
      <c r="L99" s="16" t="s">
        <v>37</v>
      </c>
      <c r="M99" s="16" t="s">
        <v>91</v>
      </c>
      <c r="N99" s="16" t="s">
        <v>19</v>
      </c>
      <c r="O99" s="16" t="s">
        <v>136</v>
      </c>
      <c r="Q99" s="9">
        <v>8</v>
      </c>
      <c r="R99" s="9">
        <v>7</v>
      </c>
      <c r="S99" s="9">
        <v>14</v>
      </c>
      <c r="T99" s="9">
        <v>5</v>
      </c>
      <c r="U99" s="9">
        <v>6</v>
      </c>
      <c r="W99" s="25">
        <v>1</v>
      </c>
      <c r="X99" s="25">
        <v>1</v>
      </c>
      <c r="Y99" s="25">
        <v>1</v>
      </c>
      <c r="Z99" s="25">
        <v>1</v>
      </c>
      <c r="AA99" s="25">
        <v>1</v>
      </c>
      <c r="AH99" s="5"/>
      <c r="AI99" s="5"/>
      <c r="AO99" s="5"/>
    </row>
    <row r="100" spans="10:41">
      <c r="J100" s="25">
        <v>96</v>
      </c>
      <c r="K100" s="16" t="s">
        <v>20</v>
      </c>
      <c r="L100" s="16" t="s">
        <v>35</v>
      </c>
      <c r="M100" s="16" t="s">
        <v>119</v>
      </c>
      <c r="N100" s="16" t="s">
        <v>37</v>
      </c>
      <c r="O100" s="16" t="s">
        <v>18</v>
      </c>
      <c r="Q100" s="9">
        <v>1</v>
      </c>
      <c r="R100" s="9">
        <v>8</v>
      </c>
      <c r="S100" s="9">
        <v>17</v>
      </c>
      <c r="T100" s="9">
        <v>7</v>
      </c>
      <c r="U100" s="9">
        <v>4</v>
      </c>
      <c r="W100" s="25">
        <v>1</v>
      </c>
      <c r="X100" s="25">
        <v>1</v>
      </c>
      <c r="Y100" s="25">
        <v>1</v>
      </c>
      <c r="Z100" s="25">
        <v>1</v>
      </c>
      <c r="AA100" s="25">
        <v>1</v>
      </c>
      <c r="AH100" s="5"/>
      <c r="AI100" s="5"/>
      <c r="AO100" s="5"/>
    </row>
    <row r="101" spans="10:41">
      <c r="J101" s="9">
        <v>97</v>
      </c>
      <c r="K101" s="16" t="s">
        <v>136</v>
      </c>
      <c r="L101" s="16" t="s">
        <v>136</v>
      </c>
      <c r="M101" s="16" t="s">
        <v>92</v>
      </c>
      <c r="N101" s="16" t="s">
        <v>19</v>
      </c>
      <c r="O101" s="16" t="s">
        <v>35</v>
      </c>
      <c r="Q101" s="9">
        <v>6</v>
      </c>
      <c r="R101" s="9">
        <v>6</v>
      </c>
      <c r="S101" s="9">
        <v>16</v>
      </c>
      <c r="T101" s="9">
        <v>5</v>
      </c>
      <c r="U101" s="9">
        <v>8</v>
      </c>
      <c r="W101" s="25">
        <v>1</v>
      </c>
      <c r="X101" s="25">
        <v>1</v>
      </c>
      <c r="Y101" s="25">
        <v>1</v>
      </c>
      <c r="Z101" s="25">
        <v>1</v>
      </c>
      <c r="AA101" s="25">
        <v>1</v>
      </c>
      <c r="AH101" s="5"/>
      <c r="AI101" s="5"/>
      <c r="AO101" s="5"/>
    </row>
    <row r="102" spans="10:41">
      <c r="J102" s="25">
        <v>98</v>
      </c>
      <c r="K102" s="16" t="s">
        <v>35</v>
      </c>
      <c r="L102" s="16" t="s">
        <v>34</v>
      </c>
      <c r="M102" s="16" t="s">
        <v>91</v>
      </c>
      <c r="N102" s="16" t="s">
        <v>97</v>
      </c>
      <c r="O102" s="16" t="s">
        <v>34</v>
      </c>
      <c r="Q102" s="9">
        <v>8</v>
      </c>
      <c r="R102" s="9">
        <v>9</v>
      </c>
      <c r="S102" s="9">
        <v>14</v>
      </c>
      <c r="T102" s="9">
        <v>19</v>
      </c>
      <c r="U102" s="9">
        <v>9</v>
      </c>
      <c r="W102" s="25">
        <v>1</v>
      </c>
      <c r="X102" s="25">
        <v>1</v>
      </c>
      <c r="Y102" s="25">
        <v>1</v>
      </c>
      <c r="Z102" s="25">
        <v>1</v>
      </c>
      <c r="AA102" s="25">
        <v>1</v>
      </c>
      <c r="AH102" s="5"/>
      <c r="AI102" s="5"/>
      <c r="AO102" s="5"/>
    </row>
    <row r="103" spans="10:41">
      <c r="J103" s="9">
        <v>99</v>
      </c>
      <c r="K103" s="16" t="s">
        <v>19</v>
      </c>
      <c r="L103" s="16" t="s">
        <v>136</v>
      </c>
      <c r="M103" s="16" t="s">
        <v>20</v>
      </c>
      <c r="N103" s="16" t="s">
        <v>35</v>
      </c>
      <c r="O103" s="16" t="s">
        <v>35</v>
      </c>
      <c r="Q103" s="9">
        <v>5</v>
      </c>
      <c r="R103" s="9">
        <v>6</v>
      </c>
      <c r="S103" s="9">
        <v>1</v>
      </c>
      <c r="T103" s="9">
        <v>8</v>
      </c>
      <c r="U103" s="9">
        <v>8</v>
      </c>
      <c r="W103" s="25">
        <v>1</v>
      </c>
      <c r="X103" s="25">
        <v>1</v>
      </c>
      <c r="Y103" s="25">
        <v>1</v>
      </c>
      <c r="Z103" s="25">
        <v>1</v>
      </c>
      <c r="AA103" s="25">
        <v>1</v>
      </c>
      <c r="AH103" s="5"/>
      <c r="AI103" s="5"/>
      <c r="AO103" s="5"/>
    </row>
    <row r="104" spans="10:41">
      <c r="J104" s="25">
        <v>100</v>
      </c>
      <c r="K104" s="16" t="s">
        <v>35</v>
      </c>
      <c r="L104" s="16" t="s">
        <v>119</v>
      </c>
      <c r="M104" s="16" t="s">
        <v>92</v>
      </c>
      <c r="N104" s="16" t="s">
        <v>137</v>
      </c>
      <c r="O104" s="16" t="s">
        <v>19</v>
      </c>
      <c r="Q104" s="9">
        <v>8</v>
      </c>
      <c r="R104" s="9">
        <v>17</v>
      </c>
      <c r="S104" s="9">
        <v>16</v>
      </c>
      <c r="T104" s="9">
        <v>15</v>
      </c>
      <c r="U104" s="9">
        <v>5</v>
      </c>
      <c r="W104" s="25">
        <v>1</v>
      </c>
      <c r="X104" s="25">
        <v>1</v>
      </c>
      <c r="Y104" s="25">
        <v>1</v>
      </c>
      <c r="Z104" s="25">
        <v>1</v>
      </c>
      <c r="AA104" s="25">
        <v>1</v>
      </c>
      <c r="AH104" s="5"/>
      <c r="AI104" s="5"/>
      <c r="AO104" s="5"/>
    </row>
    <row r="105" spans="10:41">
      <c r="J105" s="25">
        <v>101</v>
      </c>
      <c r="K105" s="16" t="s">
        <v>136</v>
      </c>
      <c r="L105" s="16" t="s">
        <v>20</v>
      </c>
      <c r="M105" s="16" t="s">
        <v>119</v>
      </c>
      <c r="N105" s="16" t="s">
        <v>19</v>
      </c>
      <c r="O105" s="16" t="s">
        <v>136</v>
      </c>
      <c r="Q105" s="9">
        <v>6</v>
      </c>
      <c r="R105" s="9">
        <v>1</v>
      </c>
      <c r="S105" s="9">
        <v>17</v>
      </c>
      <c r="T105" s="9">
        <v>5</v>
      </c>
      <c r="U105" s="9">
        <v>6</v>
      </c>
      <c r="W105" s="25">
        <v>1</v>
      </c>
      <c r="X105" s="25">
        <v>1</v>
      </c>
      <c r="Y105" s="25">
        <v>1</v>
      </c>
      <c r="Z105" s="25">
        <v>1</v>
      </c>
      <c r="AA105" s="25">
        <v>1</v>
      </c>
      <c r="AH105" s="5"/>
      <c r="AI105" s="5"/>
      <c r="AO105" s="5"/>
    </row>
    <row r="106" spans="10:41">
      <c r="J106" s="9">
        <v>102</v>
      </c>
      <c r="K106" s="16" t="s">
        <v>37</v>
      </c>
      <c r="L106" s="16" t="s">
        <v>35</v>
      </c>
      <c r="M106" s="16" t="s">
        <v>137</v>
      </c>
      <c r="N106" s="16" t="s">
        <v>35</v>
      </c>
      <c r="O106" s="16" t="s">
        <v>19</v>
      </c>
      <c r="Q106" s="9">
        <v>7</v>
      </c>
      <c r="R106" s="9">
        <v>8</v>
      </c>
      <c r="S106" s="9">
        <v>15</v>
      </c>
      <c r="T106" s="9">
        <v>8</v>
      </c>
      <c r="U106" s="9">
        <v>5</v>
      </c>
      <c r="W106" s="25">
        <v>1</v>
      </c>
      <c r="X106" s="25">
        <v>1</v>
      </c>
      <c r="Y106" s="25">
        <v>1</v>
      </c>
      <c r="Z106" s="25">
        <v>1</v>
      </c>
      <c r="AA106" s="25">
        <v>1</v>
      </c>
      <c r="AH106" s="5"/>
      <c r="AI106" s="5"/>
      <c r="AO106" s="5"/>
    </row>
    <row r="107" spans="10:41">
      <c r="J107" s="25">
        <v>103</v>
      </c>
      <c r="K107" s="16" t="s">
        <v>36</v>
      </c>
      <c r="L107" s="16" t="s">
        <v>37</v>
      </c>
      <c r="M107" s="16" t="s">
        <v>91</v>
      </c>
      <c r="N107" s="16" t="s">
        <v>119</v>
      </c>
      <c r="O107" s="16" t="s">
        <v>37</v>
      </c>
      <c r="Q107" s="9">
        <v>10</v>
      </c>
      <c r="R107" s="9">
        <v>7</v>
      </c>
      <c r="S107" s="9">
        <v>14</v>
      </c>
      <c r="T107" s="9">
        <v>17</v>
      </c>
      <c r="U107" s="9">
        <v>7</v>
      </c>
      <c r="W107" s="25">
        <v>1</v>
      </c>
      <c r="X107" s="25">
        <v>1</v>
      </c>
      <c r="Y107" s="25">
        <v>1</v>
      </c>
      <c r="Z107" s="25">
        <v>1</v>
      </c>
      <c r="AA107" s="25">
        <v>1</v>
      </c>
      <c r="AH107" s="5"/>
      <c r="AI107" s="5"/>
      <c r="AO107" s="5"/>
    </row>
    <row r="108" spans="10:41">
      <c r="J108" s="9">
        <v>104</v>
      </c>
      <c r="K108" s="16" t="s">
        <v>34</v>
      </c>
      <c r="L108" s="16" t="s">
        <v>136</v>
      </c>
      <c r="M108" s="16" t="s">
        <v>92</v>
      </c>
      <c r="N108" s="16" t="s">
        <v>37</v>
      </c>
      <c r="O108" s="16" t="s">
        <v>136</v>
      </c>
      <c r="Q108" s="9">
        <v>9</v>
      </c>
      <c r="R108" s="9">
        <v>6</v>
      </c>
      <c r="S108" s="9">
        <v>16</v>
      </c>
      <c r="T108" s="9">
        <v>7</v>
      </c>
      <c r="U108" s="9">
        <v>6</v>
      </c>
      <c r="W108" s="25">
        <v>1</v>
      </c>
      <c r="X108" s="25">
        <v>1</v>
      </c>
      <c r="Y108" s="25">
        <v>1</v>
      </c>
      <c r="Z108" s="25">
        <v>1</v>
      </c>
      <c r="AA108" s="25">
        <v>1</v>
      </c>
      <c r="AH108" s="5"/>
      <c r="AI108" s="5"/>
      <c r="AO108" s="5"/>
    </row>
    <row r="109" spans="10:41">
      <c r="J109" s="25">
        <v>105</v>
      </c>
      <c r="K109" s="16" t="s">
        <v>19</v>
      </c>
      <c r="L109" s="16" t="s">
        <v>88</v>
      </c>
      <c r="M109" s="16" t="s">
        <v>91</v>
      </c>
      <c r="N109" s="16" t="s">
        <v>36</v>
      </c>
      <c r="O109" s="16" t="s">
        <v>18</v>
      </c>
      <c r="Q109" s="9">
        <v>5</v>
      </c>
      <c r="R109" s="9">
        <v>11</v>
      </c>
      <c r="S109" s="9">
        <v>14</v>
      </c>
      <c r="T109" s="9">
        <v>10</v>
      </c>
      <c r="U109" s="9">
        <v>4</v>
      </c>
      <c r="W109" s="25">
        <v>1</v>
      </c>
      <c r="X109" s="25">
        <v>1</v>
      </c>
      <c r="Y109" s="25">
        <v>1</v>
      </c>
      <c r="Z109" s="25">
        <v>1</v>
      </c>
      <c r="AA109" s="25">
        <v>1</v>
      </c>
      <c r="AH109" s="5"/>
      <c r="AI109" s="5"/>
      <c r="AO109" s="5"/>
    </row>
    <row r="110" spans="10:41">
      <c r="J110" s="9">
        <v>106</v>
      </c>
      <c r="K110" s="16" t="s">
        <v>136</v>
      </c>
      <c r="L110" s="16" t="s">
        <v>137</v>
      </c>
      <c r="M110" s="16" t="s">
        <v>119</v>
      </c>
      <c r="N110" s="16" t="s">
        <v>20</v>
      </c>
      <c r="O110" s="16" t="s">
        <v>22</v>
      </c>
      <c r="Q110" s="9">
        <v>6</v>
      </c>
      <c r="R110" s="9">
        <v>15</v>
      </c>
      <c r="S110" s="9">
        <v>17</v>
      </c>
      <c r="T110" s="9">
        <v>1</v>
      </c>
      <c r="U110" s="9">
        <v>3</v>
      </c>
      <c r="W110" s="25">
        <v>1</v>
      </c>
      <c r="X110" s="25">
        <v>1</v>
      </c>
      <c r="Y110" s="25">
        <v>1</v>
      </c>
      <c r="Z110" s="25">
        <v>1</v>
      </c>
      <c r="AA110" s="25">
        <v>1</v>
      </c>
      <c r="AH110" s="5"/>
      <c r="AI110" s="5"/>
      <c r="AO110" s="5"/>
    </row>
    <row r="111" spans="10:41">
      <c r="J111" s="25">
        <v>107</v>
      </c>
      <c r="K111" s="16" t="s">
        <v>35</v>
      </c>
      <c r="L111" s="16" t="s">
        <v>35</v>
      </c>
      <c r="M111" s="16" t="s">
        <v>91</v>
      </c>
      <c r="N111" s="16" t="s">
        <v>21</v>
      </c>
      <c r="O111" s="16" t="s">
        <v>35</v>
      </c>
      <c r="Q111" s="9">
        <v>8</v>
      </c>
      <c r="R111" s="9">
        <v>8</v>
      </c>
      <c r="S111" s="9">
        <v>14</v>
      </c>
      <c r="T111" s="9">
        <v>2</v>
      </c>
      <c r="U111" s="9">
        <v>8</v>
      </c>
      <c r="W111" s="25">
        <v>1</v>
      </c>
      <c r="X111" s="25">
        <v>1</v>
      </c>
      <c r="Y111" s="25">
        <v>1</v>
      </c>
      <c r="Z111" s="25">
        <v>1</v>
      </c>
      <c r="AA111" s="25">
        <v>1</v>
      </c>
      <c r="AH111" s="5"/>
      <c r="AI111" s="5"/>
      <c r="AO111" s="5"/>
    </row>
    <row r="112" spans="10:41">
      <c r="J112" s="9">
        <v>108</v>
      </c>
      <c r="K112" s="16" t="s">
        <v>136</v>
      </c>
      <c r="L112" s="16" t="s">
        <v>119</v>
      </c>
      <c r="M112" s="16" t="s">
        <v>119</v>
      </c>
      <c r="N112" s="16" t="s">
        <v>19</v>
      </c>
      <c r="O112" s="16" t="s">
        <v>19</v>
      </c>
      <c r="Q112" s="9">
        <v>6</v>
      </c>
      <c r="R112" s="9">
        <v>17</v>
      </c>
      <c r="S112" s="9">
        <v>17</v>
      </c>
      <c r="T112" s="9">
        <v>5</v>
      </c>
      <c r="U112" s="9">
        <v>5</v>
      </c>
      <c r="W112" s="25">
        <v>1</v>
      </c>
      <c r="X112" s="25">
        <v>1</v>
      </c>
      <c r="Y112" s="25">
        <v>1</v>
      </c>
      <c r="Z112" s="25">
        <v>1</v>
      </c>
      <c r="AA112" s="25">
        <v>1</v>
      </c>
      <c r="AH112" s="5"/>
      <c r="AI112" s="5"/>
      <c r="AO112" s="5"/>
    </row>
    <row r="113" spans="10:41">
      <c r="J113" s="25">
        <v>109</v>
      </c>
      <c r="K113" s="16" t="s">
        <v>35</v>
      </c>
      <c r="L113" s="16" t="s">
        <v>18</v>
      </c>
      <c r="M113" s="16" t="s">
        <v>91</v>
      </c>
      <c r="N113" s="16" t="s">
        <v>137</v>
      </c>
      <c r="O113" s="16" t="s">
        <v>35</v>
      </c>
      <c r="Q113" s="9">
        <v>8</v>
      </c>
      <c r="R113" s="9">
        <v>4</v>
      </c>
      <c r="S113" s="9">
        <v>14</v>
      </c>
      <c r="T113" s="9">
        <v>15</v>
      </c>
      <c r="U113" s="9">
        <v>8</v>
      </c>
      <c r="W113" s="25">
        <v>1</v>
      </c>
      <c r="X113" s="25">
        <v>1</v>
      </c>
      <c r="Y113" s="25">
        <v>1</v>
      </c>
      <c r="Z113" s="25">
        <v>1</v>
      </c>
      <c r="AA113" s="25">
        <v>1</v>
      </c>
      <c r="AH113" s="5"/>
      <c r="AI113" s="5"/>
      <c r="AO113" s="5"/>
    </row>
    <row r="114" spans="10:41">
      <c r="J114" s="9">
        <v>110</v>
      </c>
      <c r="K114" s="16" t="s">
        <v>19</v>
      </c>
      <c r="L114" s="16" t="s">
        <v>37</v>
      </c>
      <c r="M114" s="16" t="s">
        <v>119</v>
      </c>
      <c r="N114" s="16" t="s">
        <v>37</v>
      </c>
      <c r="O114" s="16" t="s">
        <v>34</v>
      </c>
      <c r="Q114" s="9">
        <v>5</v>
      </c>
      <c r="R114" s="9">
        <v>7</v>
      </c>
      <c r="S114" s="9">
        <v>17</v>
      </c>
      <c r="T114" s="9">
        <v>7</v>
      </c>
      <c r="U114" s="9">
        <v>9</v>
      </c>
      <c r="W114" s="25">
        <v>1</v>
      </c>
      <c r="X114" s="25">
        <v>1</v>
      </c>
      <c r="Y114" s="25">
        <v>1</v>
      </c>
      <c r="Z114" s="25">
        <v>1</v>
      </c>
      <c r="AA114" s="25">
        <v>1</v>
      </c>
      <c r="AH114" s="5"/>
      <c r="AI114" s="5"/>
      <c r="AO114" s="5"/>
    </row>
    <row r="115" spans="10:41">
      <c r="J115" s="25">
        <v>111</v>
      </c>
      <c r="K115" s="16" t="s">
        <v>37</v>
      </c>
      <c r="L115" s="16" t="s">
        <v>89</v>
      </c>
      <c r="M115" s="16" t="s">
        <v>92</v>
      </c>
      <c r="N115" s="16" t="s">
        <v>21</v>
      </c>
      <c r="O115" s="16" t="s">
        <v>136</v>
      </c>
      <c r="Q115" s="9">
        <v>7</v>
      </c>
      <c r="R115" s="9">
        <v>12</v>
      </c>
      <c r="S115" s="9">
        <v>16</v>
      </c>
      <c r="T115" s="9">
        <v>2</v>
      </c>
      <c r="U115" s="9">
        <v>6</v>
      </c>
      <c r="W115" s="25">
        <v>1</v>
      </c>
      <c r="X115" s="25">
        <v>1</v>
      </c>
      <c r="Y115" s="25">
        <v>1</v>
      </c>
      <c r="Z115" s="25">
        <v>1</v>
      </c>
      <c r="AA115" s="25">
        <v>1</v>
      </c>
      <c r="AH115" s="5"/>
      <c r="AI115" s="5"/>
      <c r="AO115" s="5"/>
    </row>
    <row r="116" spans="10:41">
      <c r="J116" s="9">
        <v>112</v>
      </c>
      <c r="K116" s="16" t="s">
        <v>34</v>
      </c>
      <c r="L116" s="16" t="s">
        <v>136</v>
      </c>
      <c r="M116" s="16" t="s">
        <v>91</v>
      </c>
      <c r="N116" s="16" t="s">
        <v>34</v>
      </c>
      <c r="O116" s="16" t="s">
        <v>18</v>
      </c>
      <c r="Q116" s="9">
        <v>9</v>
      </c>
      <c r="R116" s="9">
        <v>6</v>
      </c>
      <c r="S116" s="9">
        <v>14</v>
      </c>
      <c r="T116" s="9">
        <v>9</v>
      </c>
      <c r="U116" s="9">
        <v>4</v>
      </c>
      <c r="W116" s="25">
        <v>1</v>
      </c>
      <c r="X116" s="25">
        <v>1</v>
      </c>
      <c r="Y116" s="25">
        <v>1</v>
      </c>
      <c r="Z116" s="25">
        <v>1</v>
      </c>
      <c r="AA116" s="25">
        <v>1</v>
      </c>
      <c r="AH116" s="5"/>
      <c r="AI116" s="5"/>
      <c r="AO116" s="5"/>
    </row>
    <row r="117" spans="10:41">
      <c r="J117" s="25">
        <v>113</v>
      </c>
      <c r="K117" s="16" t="s">
        <v>35</v>
      </c>
      <c r="L117" s="16" t="s">
        <v>22</v>
      </c>
      <c r="M117" s="16" t="s">
        <v>119</v>
      </c>
      <c r="N117" s="16" t="s">
        <v>35</v>
      </c>
      <c r="O117" s="16" t="s">
        <v>19</v>
      </c>
      <c r="Q117" s="9">
        <v>8</v>
      </c>
      <c r="R117" s="9">
        <v>3</v>
      </c>
      <c r="S117" s="9">
        <v>17</v>
      </c>
      <c r="T117" s="9">
        <v>8</v>
      </c>
      <c r="U117" s="9">
        <v>5</v>
      </c>
      <c r="W117" s="25">
        <v>1</v>
      </c>
      <c r="X117" s="25">
        <v>1</v>
      </c>
      <c r="Y117" s="25">
        <v>1</v>
      </c>
      <c r="Z117" s="25">
        <v>1</v>
      </c>
      <c r="AA117" s="25">
        <v>1</v>
      </c>
      <c r="AH117" s="5"/>
      <c r="AI117" s="5"/>
      <c r="AO117" s="5"/>
    </row>
    <row r="118" spans="10:41">
      <c r="J118" s="9">
        <v>114</v>
      </c>
      <c r="K118" s="16" t="s">
        <v>37</v>
      </c>
      <c r="L118" s="16" t="s">
        <v>136</v>
      </c>
      <c r="M118" s="16" t="s">
        <v>91</v>
      </c>
      <c r="N118" s="16" t="s">
        <v>37</v>
      </c>
      <c r="O118" s="16" t="s">
        <v>136</v>
      </c>
      <c r="Q118" s="9">
        <v>7</v>
      </c>
      <c r="R118" s="9">
        <v>6</v>
      </c>
      <c r="S118" s="9">
        <v>14</v>
      </c>
      <c r="T118" s="9">
        <v>7</v>
      </c>
      <c r="U118" s="9">
        <v>6</v>
      </c>
      <c r="W118" s="25">
        <v>1</v>
      </c>
      <c r="X118" s="25">
        <v>1</v>
      </c>
      <c r="Y118" s="25">
        <v>1</v>
      </c>
      <c r="Z118" s="25">
        <v>1</v>
      </c>
      <c r="AA118" s="25">
        <v>1</v>
      </c>
      <c r="AH118" s="5"/>
      <c r="AI118" s="5"/>
      <c r="AO118" s="5"/>
    </row>
    <row r="119" spans="10:41">
      <c r="J119" s="25">
        <v>115</v>
      </c>
      <c r="K119" s="16" t="s">
        <v>19</v>
      </c>
      <c r="L119" s="16" t="s">
        <v>92</v>
      </c>
      <c r="M119" s="16" t="s">
        <v>137</v>
      </c>
      <c r="N119" s="16" t="s">
        <v>20</v>
      </c>
      <c r="O119" s="16" t="s">
        <v>37</v>
      </c>
      <c r="Q119" s="9">
        <v>5</v>
      </c>
      <c r="R119" s="9">
        <v>16</v>
      </c>
      <c r="S119" s="9">
        <v>15</v>
      </c>
      <c r="T119" s="9">
        <v>1</v>
      </c>
      <c r="U119" s="9">
        <v>7</v>
      </c>
      <c r="W119" s="25">
        <v>1</v>
      </c>
      <c r="X119" s="25">
        <v>1</v>
      </c>
      <c r="Y119" s="25">
        <v>1</v>
      </c>
      <c r="Z119" s="25">
        <v>1</v>
      </c>
      <c r="AA119" s="25">
        <v>1</v>
      </c>
      <c r="AH119" s="5"/>
      <c r="AI119" s="5"/>
      <c r="AO119" s="5"/>
    </row>
    <row r="120" spans="10:41">
      <c r="J120" s="9">
        <v>116</v>
      </c>
      <c r="K120" s="16" t="s">
        <v>37</v>
      </c>
      <c r="L120" s="16" t="s">
        <v>37</v>
      </c>
      <c r="M120" s="16" t="s">
        <v>119</v>
      </c>
      <c r="N120" s="16" t="s">
        <v>136</v>
      </c>
      <c r="O120" s="16" t="s">
        <v>36</v>
      </c>
      <c r="Q120" s="9">
        <v>7</v>
      </c>
      <c r="R120" s="9">
        <v>7</v>
      </c>
      <c r="S120" s="9">
        <v>17</v>
      </c>
      <c r="T120" s="9">
        <v>6</v>
      </c>
      <c r="U120" s="9">
        <v>10</v>
      </c>
      <c r="W120" s="25">
        <v>1</v>
      </c>
      <c r="X120" s="25">
        <v>1</v>
      </c>
      <c r="Y120" s="25">
        <v>1</v>
      </c>
      <c r="Z120" s="25">
        <v>1</v>
      </c>
      <c r="AA120" s="25">
        <v>1</v>
      </c>
      <c r="AH120" s="5"/>
      <c r="AI120" s="5"/>
      <c r="AO120" s="5"/>
    </row>
    <row r="121" spans="10:41">
      <c r="J121" s="25">
        <v>117</v>
      </c>
      <c r="K121" s="16" t="s">
        <v>136</v>
      </c>
      <c r="L121" s="16" t="s">
        <v>136</v>
      </c>
      <c r="M121" s="16" t="s">
        <v>95</v>
      </c>
      <c r="N121" s="16" t="s">
        <v>18</v>
      </c>
      <c r="O121" s="16" t="s">
        <v>35</v>
      </c>
      <c r="Q121" s="9">
        <v>6</v>
      </c>
      <c r="R121" s="9">
        <v>6</v>
      </c>
      <c r="S121" s="9">
        <v>18</v>
      </c>
      <c r="T121" s="9">
        <v>4</v>
      </c>
      <c r="U121" s="9">
        <v>8</v>
      </c>
      <c r="W121" s="25">
        <v>1</v>
      </c>
      <c r="X121" s="25">
        <v>1</v>
      </c>
      <c r="Y121" s="25">
        <v>1</v>
      </c>
      <c r="Z121" s="25">
        <v>1</v>
      </c>
      <c r="AA121" s="25">
        <v>1</v>
      </c>
      <c r="AH121" s="5"/>
      <c r="AI121" s="5"/>
      <c r="AO121" s="5"/>
    </row>
    <row r="122" spans="10:41">
      <c r="J122" s="9">
        <v>118</v>
      </c>
      <c r="K122" s="16" t="s">
        <v>37</v>
      </c>
      <c r="L122" s="16" t="s">
        <v>19</v>
      </c>
      <c r="M122" s="16" t="s">
        <v>90</v>
      </c>
      <c r="N122" s="16" t="s">
        <v>19</v>
      </c>
      <c r="O122" s="16" t="s">
        <v>19</v>
      </c>
      <c r="Q122" s="9">
        <v>7</v>
      </c>
      <c r="R122" s="9">
        <v>5</v>
      </c>
      <c r="S122" s="9">
        <v>13</v>
      </c>
      <c r="T122" s="9">
        <v>5</v>
      </c>
      <c r="U122" s="9">
        <v>5</v>
      </c>
      <c r="W122" s="25">
        <v>1</v>
      </c>
      <c r="X122" s="25">
        <v>1</v>
      </c>
      <c r="Y122" s="25">
        <v>1</v>
      </c>
      <c r="Z122" s="25">
        <v>1</v>
      </c>
      <c r="AA122" s="25">
        <v>1</v>
      </c>
      <c r="AH122" s="5"/>
      <c r="AI122" s="5"/>
      <c r="AO122" s="5"/>
    </row>
    <row r="123" spans="10:41">
      <c r="J123" s="25">
        <v>119</v>
      </c>
      <c r="K123" s="16" t="s">
        <v>19</v>
      </c>
      <c r="L123" s="16" t="s">
        <v>37</v>
      </c>
      <c r="M123" s="16" t="s">
        <v>137</v>
      </c>
      <c r="N123" s="16" t="s">
        <v>37</v>
      </c>
      <c r="O123" s="16" t="s">
        <v>34</v>
      </c>
      <c r="Q123" s="9">
        <v>5</v>
      </c>
      <c r="R123" s="9">
        <v>7</v>
      </c>
      <c r="S123" s="9">
        <v>15</v>
      </c>
      <c r="T123" s="9">
        <v>7</v>
      </c>
      <c r="U123" s="9">
        <v>9</v>
      </c>
      <c r="W123" s="25">
        <v>1</v>
      </c>
      <c r="X123" s="25">
        <v>1</v>
      </c>
      <c r="Y123" s="25">
        <v>1</v>
      </c>
      <c r="Z123" s="25">
        <v>1</v>
      </c>
      <c r="AA123" s="25">
        <v>1</v>
      </c>
      <c r="AH123" s="5"/>
      <c r="AI123" s="5"/>
      <c r="AO123" s="5"/>
    </row>
    <row r="124" spans="10:41">
      <c r="J124" s="9">
        <v>120</v>
      </c>
      <c r="K124" s="16" t="s">
        <v>35</v>
      </c>
      <c r="L124" s="16" t="s">
        <v>97</v>
      </c>
      <c r="M124" s="16" t="s">
        <v>92</v>
      </c>
      <c r="N124" s="16" t="s">
        <v>19</v>
      </c>
      <c r="O124" s="16" t="s">
        <v>35</v>
      </c>
      <c r="Q124" s="9">
        <v>8</v>
      </c>
      <c r="R124" s="9">
        <v>19</v>
      </c>
      <c r="S124" s="9">
        <v>16</v>
      </c>
      <c r="T124" s="9">
        <v>5</v>
      </c>
      <c r="U124" s="9">
        <v>8</v>
      </c>
      <c r="W124" s="25">
        <v>1</v>
      </c>
      <c r="X124" s="25">
        <v>1</v>
      </c>
      <c r="Y124" s="25">
        <v>1</v>
      </c>
      <c r="Z124" s="25">
        <v>1</v>
      </c>
      <c r="AA124" s="25">
        <v>1</v>
      </c>
      <c r="AH124" s="5"/>
      <c r="AI124" s="5"/>
      <c r="AO124" s="5"/>
    </row>
    <row r="125" spans="10:41">
      <c r="J125" s="25">
        <v>121</v>
      </c>
      <c r="K125" s="16" t="s">
        <v>136</v>
      </c>
      <c r="L125" s="16" t="s">
        <v>36</v>
      </c>
      <c r="M125" s="16" t="s">
        <v>137</v>
      </c>
      <c r="N125" s="16" t="s">
        <v>37</v>
      </c>
      <c r="O125" s="16" t="s">
        <v>37</v>
      </c>
      <c r="Q125" s="9">
        <v>6</v>
      </c>
      <c r="R125" s="9">
        <v>10</v>
      </c>
      <c r="S125" s="9">
        <v>15</v>
      </c>
      <c r="T125" s="9">
        <v>7</v>
      </c>
      <c r="U125" s="9">
        <v>7</v>
      </c>
      <c r="W125" s="25">
        <v>1</v>
      </c>
      <c r="X125" s="25">
        <v>1</v>
      </c>
      <c r="Y125" s="25">
        <v>1</v>
      </c>
      <c r="Z125" s="25">
        <v>1</v>
      </c>
      <c r="AA125" s="25">
        <v>1</v>
      </c>
      <c r="AH125" s="5"/>
      <c r="AI125" s="5"/>
      <c r="AO125" s="5"/>
    </row>
    <row r="126" spans="10:41">
      <c r="J126" s="9">
        <v>122</v>
      </c>
      <c r="K126" s="16" t="s">
        <v>37</v>
      </c>
      <c r="L126" s="16" t="s">
        <v>91</v>
      </c>
      <c r="M126" s="16" t="s">
        <v>91</v>
      </c>
      <c r="N126" s="16" t="s">
        <v>137</v>
      </c>
      <c r="O126" s="16" t="s">
        <v>136</v>
      </c>
      <c r="Q126" s="9">
        <v>7</v>
      </c>
      <c r="R126" s="9">
        <v>14</v>
      </c>
      <c r="S126" s="9">
        <v>14</v>
      </c>
      <c r="T126" s="9">
        <v>15</v>
      </c>
      <c r="U126" s="9">
        <v>6</v>
      </c>
      <c r="W126" s="25">
        <v>1</v>
      </c>
      <c r="X126" s="25">
        <v>1</v>
      </c>
      <c r="Y126" s="25">
        <v>1</v>
      </c>
      <c r="Z126" s="25">
        <v>1</v>
      </c>
      <c r="AA126" s="25">
        <v>1</v>
      </c>
      <c r="AH126" s="5"/>
      <c r="AI126" s="5"/>
      <c r="AO126" s="5"/>
    </row>
    <row r="127" spans="10:41">
      <c r="J127" s="25">
        <v>123</v>
      </c>
      <c r="K127" s="16" t="s">
        <v>35</v>
      </c>
      <c r="L127" s="16" t="s">
        <v>136</v>
      </c>
      <c r="M127" s="16" t="s">
        <v>137</v>
      </c>
      <c r="N127" s="16" t="s">
        <v>36</v>
      </c>
      <c r="O127" s="16" t="s">
        <v>35</v>
      </c>
      <c r="Q127" s="9">
        <v>8</v>
      </c>
      <c r="R127" s="9">
        <v>6</v>
      </c>
      <c r="S127" s="9">
        <v>15</v>
      </c>
      <c r="T127" s="9">
        <v>10</v>
      </c>
      <c r="U127" s="9">
        <v>8</v>
      </c>
      <c r="W127" s="25">
        <v>1</v>
      </c>
      <c r="X127" s="25">
        <v>1</v>
      </c>
      <c r="Y127" s="25">
        <v>1</v>
      </c>
      <c r="Z127" s="25">
        <v>1</v>
      </c>
      <c r="AA127" s="25">
        <v>1</v>
      </c>
      <c r="AH127" s="5"/>
      <c r="AI127" s="5"/>
      <c r="AO127" s="5"/>
    </row>
    <row r="128" spans="10:41">
      <c r="J128" s="9">
        <v>124</v>
      </c>
      <c r="K128" s="16" t="s">
        <v>136</v>
      </c>
      <c r="L128" s="16" t="s">
        <v>37</v>
      </c>
      <c r="M128" s="16" t="s">
        <v>119</v>
      </c>
      <c r="N128" s="16" t="s">
        <v>119</v>
      </c>
      <c r="O128" s="16" t="s">
        <v>21</v>
      </c>
      <c r="Q128" s="9">
        <v>6</v>
      </c>
      <c r="R128" s="9">
        <v>7</v>
      </c>
      <c r="S128" s="9">
        <v>17</v>
      </c>
      <c r="T128" s="9">
        <v>17</v>
      </c>
      <c r="U128" s="9">
        <v>2</v>
      </c>
      <c r="W128" s="25">
        <v>1</v>
      </c>
      <c r="X128" s="25">
        <v>1</v>
      </c>
      <c r="Y128" s="25">
        <v>1</v>
      </c>
      <c r="Z128" s="25">
        <v>1</v>
      </c>
      <c r="AA128" s="25">
        <v>1</v>
      </c>
      <c r="AH128" s="5"/>
      <c r="AI128" s="5"/>
      <c r="AO128" s="5"/>
    </row>
    <row r="129" spans="10:41">
      <c r="J129" s="25">
        <v>125</v>
      </c>
      <c r="K129" s="16" t="s">
        <v>19</v>
      </c>
      <c r="L129" s="16" t="s">
        <v>119</v>
      </c>
      <c r="M129" s="16" t="s">
        <v>89</v>
      </c>
      <c r="N129" s="16" t="s">
        <v>92</v>
      </c>
      <c r="O129" s="16" t="s">
        <v>35</v>
      </c>
      <c r="Q129" s="9">
        <v>5</v>
      </c>
      <c r="R129" s="9">
        <v>17</v>
      </c>
      <c r="S129" s="9">
        <v>12</v>
      </c>
      <c r="T129" s="9">
        <v>16</v>
      </c>
      <c r="U129" s="9">
        <v>8</v>
      </c>
      <c r="W129" s="25">
        <v>1</v>
      </c>
      <c r="X129" s="25">
        <v>1</v>
      </c>
      <c r="Y129" s="25">
        <v>1</v>
      </c>
      <c r="Z129" s="25">
        <v>1</v>
      </c>
      <c r="AA129" s="25">
        <v>1</v>
      </c>
      <c r="AH129" s="5"/>
      <c r="AI129" s="5"/>
      <c r="AO129" s="5"/>
    </row>
    <row r="130" spans="10:41">
      <c r="J130" s="9">
        <v>126</v>
      </c>
      <c r="K130" s="16" t="s">
        <v>37</v>
      </c>
      <c r="L130" s="16" t="s">
        <v>22</v>
      </c>
      <c r="M130" s="16" t="s">
        <v>97</v>
      </c>
      <c r="N130" s="16" t="s">
        <v>19</v>
      </c>
      <c r="O130" s="16" t="s">
        <v>37</v>
      </c>
      <c r="Q130" s="9">
        <v>7</v>
      </c>
      <c r="R130" s="9">
        <v>3</v>
      </c>
      <c r="S130" s="9">
        <v>19</v>
      </c>
      <c r="T130" s="9">
        <v>5</v>
      </c>
      <c r="U130" s="9">
        <v>7</v>
      </c>
      <c r="W130" s="25">
        <v>1</v>
      </c>
      <c r="X130" s="25">
        <v>1</v>
      </c>
      <c r="Y130" s="25">
        <v>1</v>
      </c>
      <c r="Z130" s="25">
        <v>1</v>
      </c>
      <c r="AA130" s="25">
        <v>1</v>
      </c>
      <c r="AH130" s="5"/>
      <c r="AI130" s="5"/>
      <c r="AO130" s="5"/>
    </row>
    <row r="131" spans="10:41">
      <c r="J131" s="25">
        <v>127</v>
      </c>
      <c r="K131" s="16" t="s">
        <v>19</v>
      </c>
      <c r="L131" s="16" t="s">
        <v>37</v>
      </c>
      <c r="M131" s="16" t="s">
        <v>92</v>
      </c>
      <c r="N131" s="16" t="s">
        <v>136</v>
      </c>
      <c r="O131" s="16" t="s">
        <v>34</v>
      </c>
      <c r="Q131" s="9">
        <v>5</v>
      </c>
      <c r="R131" s="9">
        <v>7</v>
      </c>
      <c r="S131" s="9">
        <v>16</v>
      </c>
      <c r="T131" s="9">
        <v>6</v>
      </c>
      <c r="U131" s="9">
        <v>9</v>
      </c>
      <c r="W131" s="25">
        <v>1</v>
      </c>
      <c r="X131" s="25">
        <v>1</v>
      </c>
      <c r="Y131" s="25">
        <v>1</v>
      </c>
      <c r="Z131" s="25">
        <v>1</v>
      </c>
      <c r="AA131" s="25">
        <v>1</v>
      </c>
      <c r="AH131" s="5"/>
      <c r="AI131" s="5"/>
      <c r="AO131" s="5"/>
    </row>
    <row r="132" spans="10:41">
      <c r="J132" s="9">
        <v>128</v>
      </c>
      <c r="K132" s="16" t="s">
        <v>37</v>
      </c>
      <c r="L132" s="16" t="s">
        <v>35</v>
      </c>
      <c r="M132" s="16" t="s">
        <v>119</v>
      </c>
      <c r="N132" s="16" t="s">
        <v>19</v>
      </c>
      <c r="O132" s="16" t="s">
        <v>36</v>
      </c>
      <c r="Q132" s="9">
        <v>7</v>
      </c>
      <c r="R132" s="9">
        <v>8</v>
      </c>
      <c r="S132" s="9">
        <v>17</v>
      </c>
      <c r="T132" s="9">
        <v>5</v>
      </c>
      <c r="U132" s="9">
        <v>10</v>
      </c>
      <c r="W132" s="25">
        <v>1</v>
      </c>
      <c r="X132" s="25">
        <v>1</v>
      </c>
      <c r="Y132" s="25">
        <v>1</v>
      </c>
      <c r="Z132" s="25">
        <v>1</v>
      </c>
      <c r="AA132" s="25">
        <v>1</v>
      </c>
      <c r="AH132" s="5"/>
      <c r="AI132" s="5"/>
      <c r="AO132" s="5"/>
    </row>
    <row r="133" spans="10:41">
      <c r="J133" s="25">
        <v>129</v>
      </c>
      <c r="K133" s="16" t="s">
        <v>136</v>
      </c>
      <c r="L133" s="16" t="s">
        <v>136</v>
      </c>
      <c r="M133" s="16" t="s">
        <v>137</v>
      </c>
      <c r="N133" s="16" t="s">
        <v>119</v>
      </c>
      <c r="O133" s="16" t="s">
        <v>136</v>
      </c>
      <c r="Q133" s="9">
        <v>6</v>
      </c>
      <c r="R133" s="9">
        <v>6</v>
      </c>
      <c r="S133" s="9">
        <v>15</v>
      </c>
      <c r="T133" s="9">
        <v>17</v>
      </c>
      <c r="U133" s="9">
        <v>6</v>
      </c>
      <c r="W133" s="25">
        <v>1</v>
      </c>
      <c r="X133" s="25">
        <v>1</v>
      </c>
      <c r="Y133" s="25">
        <v>1</v>
      </c>
      <c r="Z133" s="25">
        <v>1</v>
      </c>
      <c r="AA133" s="25">
        <v>1</v>
      </c>
      <c r="AH133" s="5"/>
      <c r="AI133" s="5"/>
      <c r="AO133" s="5"/>
    </row>
    <row r="134" spans="10:41">
      <c r="J134" s="9">
        <v>130</v>
      </c>
      <c r="K134" s="16" t="s">
        <v>37</v>
      </c>
      <c r="L134" s="16" t="s">
        <v>22</v>
      </c>
      <c r="M134" s="16" t="s">
        <v>91</v>
      </c>
      <c r="N134" s="16" t="s">
        <v>37</v>
      </c>
      <c r="O134" s="16" t="s">
        <v>37</v>
      </c>
      <c r="Q134" s="9">
        <v>7</v>
      </c>
      <c r="R134" s="9">
        <v>3</v>
      </c>
      <c r="S134" s="9">
        <v>14</v>
      </c>
      <c r="T134" s="9">
        <v>7</v>
      </c>
      <c r="U134" s="9">
        <v>7</v>
      </c>
      <c r="W134" s="25">
        <v>1</v>
      </c>
      <c r="X134" s="25">
        <v>1</v>
      </c>
      <c r="Y134" s="25">
        <v>1</v>
      </c>
      <c r="Z134" s="25">
        <v>1</v>
      </c>
      <c r="AA134" s="25">
        <v>1</v>
      </c>
      <c r="AH134" s="5"/>
      <c r="AI134" s="5"/>
      <c r="AO134" s="5"/>
    </row>
    <row r="135" spans="10:41">
      <c r="J135" s="25">
        <v>131</v>
      </c>
      <c r="K135" s="16" t="s">
        <v>35</v>
      </c>
      <c r="L135" s="16" t="s">
        <v>34</v>
      </c>
      <c r="M135" s="16" t="s">
        <v>119</v>
      </c>
      <c r="N135" s="16" t="s">
        <v>35</v>
      </c>
      <c r="O135" s="16" t="s">
        <v>19</v>
      </c>
      <c r="Q135" s="9">
        <v>8</v>
      </c>
      <c r="R135" s="9">
        <v>9</v>
      </c>
      <c r="S135" s="9">
        <v>17</v>
      </c>
      <c r="T135" s="9">
        <v>8</v>
      </c>
      <c r="U135" s="9">
        <v>5</v>
      </c>
      <c r="W135" s="25">
        <v>1</v>
      </c>
      <c r="X135" s="25">
        <v>1</v>
      </c>
      <c r="Y135" s="25">
        <v>1</v>
      </c>
      <c r="Z135" s="25">
        <v>1</v>
      </c>
      <c r="AA135" s="25">
        <v>1</v>
      </c>
      <c r="AH135" s="5"/>
      <c r="AI135" s="5"/>
      <c r="AO135" s="5"/>
    </row>
    <row r="136" spans="10:41">
      <c r="J136" s="9">
        <v>132</v>
      </c>
      <c r="K136" s="16" t="s">
        <v>136</v>
      </c>
      <c r="L136" s="16" t="s">
        <v>20</v>
      </c>
      <c r="M136" s="16" t="s">
        <v>92</v>
      </c>
      <c r="N136" s="16" t="s">
        <v>37</v>
      </c>
      <c r="O136" s="16" t="s">
        <v>37</v>
      </c>
      <c r="Q136" s="9">
        <v>6</v>
      </c>
      <c r="R136" s="9">
        <v>1</v>
      </c>
      <c r="S136" s="9">
        <v>16</v>
      </c>
      <c r="T136" s="9">
        <v>7</v>
      </c>
      <c r="U136" s="9">
        <v>7</v>
      </c>
      <c r="W136" s="25">
        <v>1</v>
      </c>
      <c r="X136" s="25">
        <v>1</v>
      </c>
      <c r="Y136" s="25">
        <v>1</v>
      </c>
      <c r="Z136" s="25">
        <v>1</v>
      </c>
      <c r="AA136" s="25">
        <v>1</v>
      </c>
      <c r="AH136" s="5"/>
      <c r="AI136" s="5"/>
      <c r="AO136" s="5"/>
    </row>
    <row r="137" spans="10:41">
      <c r="J137" s="25">
        <v>133</v>
      </c>
      <c r="K137" s="16" t="s">
        <v>19</v>
      </c>
      <c r="L137" s="16" t="s">
        <v>37</v>
      </c>
      <c r="M137" s="16" t="s">
        <v>119</v>
      </c>
      <c r="N137" s="16" t="s">
        <v>35</v>
      </c>
      <c r="O137" s="16" t="s">
        <v>22</v>
      </c>
      <c r="Q137" s="9">
        <v>5</v>
      </c>
      <c r="R137" s="9">
        <v>7</v>
      </c>
      <c r="S137" s="9">
        <v>17</v>
      </c>
      <c r="T137" s="9">
        <v>8</v>
      </c>
      <c r="U137" s="9">
        <v>3</v>
      </c>
      <c r="W137" s="25">
        <v>1</v>
      </c>
      <c r="X137" s="25">
        <v>1</v>
      </c>
      <c r="Y137" s="25">
        <v>1</v>
      </c>
      <c r="Z137" s="25">
        <v>1</v>
      </c>
      <c r="AA137" s="25">
        <v>1</v>
      </c>
      <c r="AH137" s="5"/>
      <c r="AI137" s="5"/>
      <c r="AO137" s="5"/>
    </row>
    <row r="138" spans="10:41">
      <c r="J138" s="9">
        <v>134</v>
      </c>
      <c r="K138" s="16" t="s">
        <v>35</v>
      </c>
      <c r="L138" s="16" t="s">
        <v>95</v>
      </c>
      <c r="M138" s="16" t="s">
        <v>91</v>
      </c>
      <c r="N138" s="16" t="s">
        <v>37</v>
      </c>
      <c r="O138" s="16" t="s">
        <v>136</v>
      </c>
      <c r="Q138" s="9">
        <v>8</v>
      </c>
      <c r="R138" s="9">
        <v>18</v>
      </c>
      <c r="S138" s="9">
        <v>14</v>
      </c>
      <c r="T138" s="9">
        <v>7</v>
      </c>
      <c r="U138" s="9">
        <v>6</v>
      </c>
      <c r="W138" s="25">
        <v>1</v>
      </c>
      <c r="X138" s="25">
        <v>1</v>
      </c>
      <c r="Y138" s="25">
        <v>1</v>
      </c>
      <c r="Z138" s="25">
        <v>1</v>
      </c>
      <c r="AA138" s="25">
        <v>1</v>
      </c>
      <c r="AH138" s="5"/>
      <c r="AI138" s="5"/>
      <c r="AO138" s="5"/>
    </row>
    <row r="139" spans="10:41">
      <c r="J139" s="25">
        <v>135</v>
      </c>
      <c r="K139" s="16" t="s">
        <v>37</v>
      </c>
      <c r="L139" s="16" t="s">
        <v>35</v>
      </c>
      <c r="M139" s="16" t="s">
        <v>92</v>
      </c>
      <c r="N139" s="16" t="s">
        <v>35</v>
      </c>
      <c r="O139" s="16" t="s">
        <v>20</v>
      </c>
      <c r="Q139" s="9">
        <v>7</v>
      </c>
      <c r="R139" s="9">
        <v>8</v>
      </c>
      <c r="S139" s="9">
        <v>16</v>
      </c>
      <c r="T139" s="9">
        <v>8</v>
      </c>
      <c r="U139" s="9">
        <v>1</v>
      </c>
      <c r="W139" s="25">
        <v>1</v>
      </c>
      <c r="X139" s="25">
        <v>1</v>
      </c>
      <c r="Y139" s="25">
        <v>1</v>
      </c>
      <c r="Z139" s="25">
        <v>1</v>
      </c>
      <c r="AA139" s="25">
        <v>1</v>
      </c>
      <c r="AH139" s="5"/>
      <c r="AI139" s="5"/>
      <c r="AO139" s="5"/>
    </row>
    <row r="140" spans="10:41">
      <c r="J140" s="9">
        <v>136</v>
      </c>
      <c r="K140" s="16" t="s">
        <v>19</v>
      </c>
      <c r="L140" s="16" t="s">
        <v>19</v>
      </c>
      <c r="M140" s="16" t="s">
        <v>20</v>
      </c>
      <c r="N140" s="16" t="s">
        <v>136</v>
      </c>
      <c r="O140" s="16" t="s">
        <v>37</v>
      </c>
      <c r="Q140" s="9">
        <v>5</v>
      </c>
      <c r="R140" s="9">
        <v>5</v>
      </c>
      <c r="S140" s="9">
        <v>1</v>
      </c>
      <c r="T140" s="9">
        <v>6</v>
      </c>
      <c r="U140" s="9">
        <v>7</v>
      </c>
      <c r="W140" s="25">
        <v>1</v>
      </c>
      <c r="X140" s="25">
        <v>1</v>
      </c>
      <c r="Y140" s="25">
        <v>1</v>
      </c>
      <c r="Z140" s="25">
        <v>1</v>
      </c>
      <c r="AA140" s="25">
        <v>1</v>
      </c>
      <c r="AH140" s="5"/>
      <c r="AI140" s="5"/>
      <c r="AO140" s="5"/>
    </row>
    <row r="141" spans="10:41">
      <c r="J141" s="25">
        <v>137</v>
      </c>
      <c r="K141" s="16" t="s">
        <v>37</v>
      </c>
      <c r="L141" s="16" t="s">
        <v>37</v>
      </c>
      <c r="M141" s="16" t="s">
        <v>137</v>
      </c>
      <c r="N141" s="16" t="s">
        <v>37</v>
      </c>
      <c r="O141" s="16" t="s">
        <v>35</v>
      </c>
      <c r="Q141" s="9">
        <v>7</v>
      </c>
      <c r="R141" s="9">
        <v>7</v>
      </c>
      <c r="S141" s="9">
        <v>15</v>
      </c>
      <c r="T141" s="9">
        <v>7</v>
      </c>
      <c r="U141" s="9">
        <v>8</v>
      </c>
      <c r="W141" s="25">
        <v>1</v>
      </c>
      <c r="X141" s="25">
        <v>1</v>
      </c>
      <c r="Y141" s="25">
        <v>1</v>
      </c>
      <c r="Z141" s="25">
        <v>1</v>
      </c>
      <c r="AA141" s="25">
        <v>1</v>
      </c>
      <c r="AH141" s="5"/>
      <c r="AI141" s="5"/>
      <c r="AO141" s="5"/>
    </row>
    <row r="142" spans="10:41">
      <c r="J142" s="9">
        <v>138</v>
      </c>
      <c r="K142" s="16" t="s">
        <v>19</v>
      </c>
      <c r="L142" s="16" t="s">
        <v>22</v>
      </c>
      <c r="M142" s="16" t="s">
        <v>92</v>
      </c>
      <c r="N142" s="16" t="s">
        <v>19</v>
      </c>
      <c r="O142" s="16" t="s">
        <v>37</v>
      </c>
      <c r="Q142" s="9">
        <v>5</v>
      </c>
      <c r="R142" s="9">
        <v>3</v>
      </c>
      <c r="S142" s="9">
        <v>16</v>
      </c>
      <c r="T142" s="9">
        <v>5</v>
      </c>
      <c r="U142" s="9">
        <v>7</v>
      </c>
      <c r="W142" s="25">
        <v>1</v>
      </c>
      <c r="X142" s="25">
        <v>1</v>
      </c>
      <c r="Y142" s="25">
        <v>1</v>
      </c>
      <c r="Z142" s="25">
        <v>1</v>
      </c>
      <c r="AA142" s="25">
        <v>1</v>
      </c>
      <c r="AH142" s="5"/>
      <c r="AI142" s="5"/>
      <c r="AO142" s="5"/>
    </row>
    <row r="143" spans="10:41">
      <c r="J143" s="25">
        <v>139</v>
      </c>
      <c r="K143" s="16" t="s">
        <v>36</v>
      </c>
      <c r="L143" s="16" t="s">
        <v>37</v>
      </c>
      <c r="M143" s="16" t="s">
        <v>88</v>
      </c>
      <c r="N143" s="16" t="s">
        <v>90</v>
      </c>
      <c r="O143" s="16" t="s">
        <v>36</v>
      </c>
      <c r="Q143" s="9">
        <v>10</v>
      </c>
      <c r="R143" s="9">
        <v>7</v>
      </c>
      <c r="S143" s="9">
        <v>11</v>
      </c>
      <c r="T143" s="9">
        <v>13</v>
      </c>
      <c r="U143" s="9">
        <v>10</v>
      </c>
      <c r="W143" s="25">
        <v>1</v>
      </c>
      <c r="X143" s="25">
        <v>1</v>
      </c>
      <c r="Y143" s="25">
        <v>1</v>
      </c>
      <c r="Z143" s="25">
        <v>1</v>
      </c>
      <c r="AA143" s="25">
        <v>1</v>
      </c>
      <c r="AH143" s="5"/>
      <c r="AI143" s="5"/>
      <c r="AO143" s="5"/>
    </row>
    <row r="144" spans="10:41">
      <c r="J144" s="9">
        <v>140</v>
      </c>
      <c r="K144" s="16" t="s">
        <v>35</v>
      </c>
      <c r="L144" s="16" t="s">
        <v>18</v>
      </c>
      <c r="M144" s="16" t="s">
        <v>137</v>
      </c>
      <c r="N144" s="16" t="s">
        <v>136</v>
      </c>
      <c r="O144" s="16" t="s">
        <v>136</v>
      </c>
      <c r="Q144" s="9">
        <v>8</v>
      </c>
      <c r="R144" s="9">
        <v>4</v>
      </c>
      <c r="S144" s="9">
        <v>15</v>
      </c>
      <c r="T144" s="9">
        <v>6</v>
      </c>
      <c r="U144" s="9">
        <v>6</v>
      </c>
      <c r="W144" s="25">
        <v>1</v>
      </c>
      <c r="X144" s="25">
        <v>1</v>
      </c>
      <c r="Y144" s="25">
        <v>1</v>
      </c>
      <c r="Z144" s="25">
        <v>1</v>
      </c>
      <c r="AA144" s="25">
        <v>1</v>
      </c>
      <c r="AH144" s="5"/>
      <c r="AI144" s="5"/>
      <c r="AO144" s="5"/>
    </row>
    <row r="145" spans="10:41">
      <c r="J145" s="25">
        <v>141</v>
      </c>
      <c r="K145" s="16" t="s">
        <v>136</v>
      </c>
      <c r="L145" s="16" t="s">
        <v>37</v>
      </c>
      <c r="M145" s="16" t="s">
        <v>92</v>
      </c>
      <c r="N145" s="16" t="s">
        <v>37</v>
      </c>
      <c r="O145" s="16" t="s">
        <v>18</v>
      </c>
      <c r="Q145" s="9">
        <v>6</v>
      </c>
      <c r="R145" s="9">
        <v>7</v>
      </c>
      <c r="S145" s="9">
        <v>16</v>
      </c>
      <c r="T145" s="9">
        <v>7</v>
      </c>
      <c r="U145" s="9">
        <v>4</v>
      </c>
      <c r="W145" s="25">
        <v>1</v>
      </c>
      <c r="X145" s="25">
        <v>1</v>
      </c>
      <c r="Y145" s="25">
        <v>1</v>
      </c>
      <c r="Z145" s="25">
        <v>1</v>
      </c>
      <c r="AA145" s="25">
        <v>1</v>
      </c>
      <c r="AH145" s="5"/>
      <c r="AI145" s="5"/>
      <c r="AO145" s="5"/>
    </row>
    <row r="146" spans="10:41">
      <c r="J146" s="9">
        <v>142</v>
      </c>
      <c r="K146" s="16" t="s">
        <v>20</v>
      </c>
      <c r="L146" s="16" t="s">
        <v>91</v>
      </c>
      <c r="M146" s="16" t="s">
        <v>119</v>
      </c>
      <c r="N146" s="16" t="s">
        <v>97</v>
      </c>
      <c r="O146" s="16" t="s">
        <v>36</v>
      </c>
      <c r="Q146" s="9">
        <v>1</v>
      </c>
      <c r="R146" s="9">
        <v>14</v>
      </c>
      <c r="S146" s="9">
        <v>17</v>
      </c>
      <c r="T146" s="9">
        <v>19</v>
      </c>
      <c r="U146" s="9">
        <v>10</v>
      </c>
      <c r="W146" s="25">
        <v>1</v>
      </c>
      <c r="X146" s="25">
        <v>1</v>
      </c>
      <c r="Y146" s="25">
        <v>1</v>
      </c>
      <c r="Z146" s="25">
        <v>1</v>
      </c>
      <c r="AA146" s="25">
        <v>1</v>
      </c>
      <c r="AH146" s="5"/>
      <c r="AI146" s="5"/>
      <c r="AO146" s="5"/>
    </row>
    <row r="147" spans="10:41">
      <c r="J147" s="25">
        <v>143</v>
      </c>
      <c r="K147" s="16" t="s">
        <v>19</v>
      </c>
      <c r="L147" s="16" t="s">
        <v>37</v>
      </c>
      <c r="M147" s="16" t="s">
        <v>92</v>
      </c>
      <c r="N147" s="16" t="s">
        <v>136</v>
      </c>
      <c r="O147" s="16" t="s">
        <v>136</v>
      </c>
      <c r="Q147" s="9">
        <v>5</v>
      </c>
      <c r="R147" s="9">
        <v>7</v>
      </c>
      <c r="S147" s="9">
        <v>16</v>
      </c>
      <c r="T147" s="9">
        <v>6</v>
      </c>
      <c r="U147" s="9">
        <v>6</v>
      </c>
      <c r="W147" s="25">
        <v>1</v>
      </c>
      <c r="X147" s="25">
        <v>1</v>
      </c>
      <c r="Y147" s="25">
        <v>1</v>
      </c>
      <c r="Z147" s="25">
        <v>1</v>
      </c>
      <c r="AA147" s="25">
        <v>1</v>
      </c>
      <c r="AH147" s="5"/>
      <c r="AI147" s="5"/>
      <c r="AO147" s="5"/>
    </row>
    <row r="148" spans="10:41">
      <c r="J148" s="9">
        <v>144</v>
      </c>
      <c r="K148" s="16" t="s">
        <v>21</v>
      </c>
      <c r="L148" s="16" t="s">
        <v>18</v>
      </c>
      <c r="M148" s="16" t="s">
        <v>119</v>
      </c>
      <c r="N148" s="16" t="s">
        <v>36</v>
      </c>
      <c r="O148" s="16" t="s">
        <v>18</v>
      </c>
      <c r="Q148" s="9">
        <v>2</v>
      </c>
      <c r="R148" s="9">
        <v>4</v>
      </c>
      <c r="S148" s="9">
        <v>17</v>
      </c>
      <c r="T148" s="9">
        <v>10</v>
      </c>
      <c r="U148" s="9">
        <v>4</v>
      </c>
      <c r="W148" s="25">
        <v>1</v>
      </c>
      <c r="X148" s="25">
        <v>1</v>
      </c>
      <c r="Y148" s="25">
        <v>1</v>
      </c>
      <c r="Z148" s="25">
        <v>1</v>
      </c>
      <c r="AA148" s="25">
        <v>1</v>
      </c>
      <c r="AH148" s="5"/>
      <c r="AI148" s="5"/>
      <c r="AO148" s="5"/>
    </row>
    <row r="149" spans="10:41">
      <c r="J149" s="25">
        <v>145</v>
      </c>
      <c r="K149" s="16" t="s">
        <v>35</v>
      </c>
      <c r="L149" s="16" t="s">
        <v>37</v>
      </c>
      <c r="M149" s="16" t="s">
        <v>92</v>
      </c>
      <c r="N149" s="16" t="s">
        <v>37</v>
      </c>
      <c r="O149" s="16" t="s">
        <v>35</v>
      </c>
      <c r="Q149" s="9">
        <v>8</v>
      </c>
      <c r="R149" s="9">
        <v>7</v>
      </c>
      <c r="S149" s="9">
        <v>16</v>
      </c>
      <c r="T149" s="9">
        <v>7</v>
      </c>
      <c r="U149" s="9">
        <v>8</v>
      </c>
      <c r="W149" s="25">
        <v>1</v>
      </c>
      <c r="X149" s="25">
        <v>1</v>
      </c>
      <c r="Y149" s="25">
        <v>1</v>
      </c>
      <c r="Z149" s="25">
        <v>1</v>
      </c>
      <c r="AA149" s="25">
        <v>1</v>
      </c>
      <c r="AH149" s="5"/>
      <c r="AI149" s="5"/>
      <c r="AO149" s="5"/>
    </row>
    <row r="150" spans="10:41">
      <c r="J150" s="9">
        <v>146</v>
      </c>
      <c r="K150" s="16" t="s">
        <v>136</v>
      </c>
      <c r="L150" s="16" t="s">
        <v>19</v>
      </c>
      <c r="M150" s="16" t="s">
        <v>91</v>
      </c>
      <c r="N150" s="16" t="s">
        <v>136</v>
      </c>
      <c r="O150" s="16" t="s">
        <v>19</v>
      </c>
      <c r="Q150" s="9">
        <v>6</v>
      </c>
      <c r="R150" s="9">
        <v>5</v>
      </c>
      <c r="S150" s="9">
        <v>14</v>
      </c>
      <c r="T150" s="9">
        <v>6</v>
      </c>
      <c r="U150" s="9">
        <v>5</v>
      </c>
      <c r="W150" s="25">
        <v>1</v>
      </c>
      <c r="X150" s="25">
        <v>1</v>
      </c>
      <c r="Y150" s="25">
        <v>1</v>
      </c>
      <c r="Z150" s="25">
        <v>1</v>
      </c>
      <c r="AA150" s="25">
        <v>1</v>
      </c>
      <c r="AH150" s="5"/>
      <c r="AI150" s="5"/>
      <c r="AO150" s="5"/>
    </row>
    <row r="151" spans="10:41">
      <c r="J151" s="25">
        <v>147</v>
      </c>
      <c r="K151" s="16" t="s">
        <v>37</v>
      </c>
      <c r="L151" s="16" t="s">
        <v>37</v>
      </c>
      <c r="M151" s="16" t="s">
        <v>92</v>
      </c>
      <c r="N151" s="16" t="s">
        <v>35</v>
      </c>
      <c r="O151" s="16" t="s">
        <v>35</v>
      </c>
      <c r="Q151" s="9">
        <v>7</v>
      </c>
      <c r="R151" s="9">
        <v>7</v>
      </c>
      <c r="S151" s="9">
        <v>16</v>
      </c>
      <c r="T151" s="9">
        <v>8</v>
      </c>
      <c r="U151" s="9">
        <v>8</v>
      </c>
      <c r="W151" s="25">
        <v>1</v>
      </c>
      <c r="X151" s="25">
        <v>1</v>
      </c>
      <c r="Y151" s="25">
        <v>1</v>
      </c>
      <c r="Z151" s="25">
        <v>1</v>
      </c>
      <c r="AA151" s="25">
        <v>1</v>
      </c>
      <c r="AH151" s="5"/>
      <c r="AI151" s="5"/>
      <c r="AO151" s="5"/>
    </row>
    <row r="152" spans="10:41">
      <c r="J152" s="9">
        <v>148</v>
      </c>
      <c r="K152" s="16" t="s">
        <v>136</v>
      </c>
      <c r="L152" s="16" t="s">
        <v>19</v>
      </c>
      <c r="M152" s="16" t="s">
        <v>97</v>
      </c>
      <c r="N152" s="16" t="s">
        <v>37</v>
      </c>
      <c r="O152" s="16" t="s">
        <v>37</v>
      </c>
      <c r="Q152" s="9">
        <v>6</v>
      </c>
      <c r="R152" s="9">
        <v>5</v>
      </c>
      <c r="S152" s="9">
        <v>19</v>
      </c>
      <c r="T152" s="9">
        <v>7</v>
      </c>
      <c r="U152" s="9">
        <v>7</v>
      </c>
      <c r="W152" s="25">
        <v>1</v>
      </c>
      <c r="X152" s="25">
        <v>1</v>
      </c>
      <c r="Y152" s="25">
        <v>1</v>
      </c>
      <c r="Z152" s="25">
        <v>1</v>
      </c>
      <c r="AA152" s="25">
        <v>1</v>
      </c>
      <c r="AH152" s="5"/>
      <c r="AI152" s="5"/>
      <c r="AO152" s="5"/>
    </row>
    <row r="153" spans="10:41">
      <c r="J153" s="25">
        <v>149</v>
      </c>
      <c r="K153" s="16" t="s">
        <v>19</v>
      </c>
      <c r="L153" s="16" t="s">
        <v>34</v>
      </c>
      <c r="M153" s="16" t="s">
        <v>137</v>
      </c>
      <c r="N153" s="16" t="s">
        <v>136</v>
      </c>
      <c r="O153" s="16" t="s">
        <v>19</v>
      </c>
      <c r="Q153" s="9">
        <v>5</v>
      </c>
      <c r="R153" s="9">
        <v>9</v>
      </c>
      <c r="S153" s="9">
        <v>15</v>
      </c>
      <c r="T153" s="9">
        <v>6</v>
      </c>
      <c r="U153" s="9">
        <v>5</v>
      </c>
      <c r="W153" s="25">
        <v>1</v>
      </c>
      <c r="X153" s="25">
        <v>1</v>
      </c>
      <c r="Y153" s="25">
        <v>1</v>
      </c>
      <c r="Z153" s="25">
        <v>1</v>
      </c>
      <c r="AA153" s="25">
        <v>1</v>
      </c>
      <c r="AH153" s="5"/>
      <c r="AI153" s="5"/>
      <c r="AO153" s="5"/>
    </row>
    <row r="154" spans="10:41">
      <c r="J154" s="9">
        <v>150</v>
      </c>
      <c r="K154" s="16" t="s">
        <v>37</v>
      </c>
      <c r="L154" s="16" t="s">
        <v>21</v>
      </c>
      <c r="M154" s="16" t="s">
        <v>97</v>
      </c>
      <c r="N154" s="16" t="s">
        <v>119</v>
      </c>
      <c r="O154" s="16" t="s">
        <v>35</v>
      </c>
      <c r="Q154" s="9">
        <v>7</v>
      </c>
      <c r="R154" s="9">
        <v>2</v>
      </c>
      <c r="S154" s="9">
        <v>19</v>
      </c>
      <c r="T154" s="9">
        <v>17</v>
      </c>
      <c r="U154" s="9">
        <v>8</v>
      </c>
      <c r="W154" s="25">
        <v>1</v>
      </c>
      <c r="X154" s="25">
        <v>1</v>
      </c>
      <c r="Y154" s="25">
        <v>1</v>
      </c>
      <c r="Z154" s="25">
        <v>1</v>
      </c>
      <c r="AA154" s="25">
        <v>1</v>
      </c>
      <c r="AH154" s="5"/>
      <c r="AI154" s="5"/>
      <c r="AO154" s="5"/>
    </row>
    <row r="155" spans="10:41">
      <c r="J155" s="25">
        <v>151</v>
      </c>
      <c r="K155" s="16" t="s">
        <v>19</v>
      </c>
      <c r="L155" s="16" t="s">
        <v>22</v>
      </c>
      <c r="M155" s="16" t="s">
        <v>92</v>
      </c>
      <c r="N155" s="16" t="s">
        <v>18</v>
      </c>
      <c r="O155" s="16" t="s">
        <v>19</v>
      </c>
      <c r="Q155" s="9">
        <v>5</v>
      </c>
      <c r="R155" s="9">
        <v>3</v>
      </c>
      <c r="S155" s="9">
        <v>16</v>
      </c>
      <c r="T155" s="9">
        <v>4</v>
      </c>
      <c r="U155" s="9">
        <v>5</v>
      </c>
      <c r="W155" s="25">
        <v>1</v>
      </c>
      <c r="X155" s="25">
        <v>1</v>
      </c>
      <c r="Y155" s="25">
        <v>1</v>
      </c>
      <c r="Z155" s="25">
        <v>1</v>
      </c>
      <c r="AA155" s="25">
        <v>1</v>
      </c>
      <c r="AH155" s="5"/>
      <c r="AI155" s="5"/>
      <c r="AO155" s="5"/>
    </row>
    <row r="156" spans="10:41">
      <c r="J156" s="9">
        <v>152</v>
      </c>
      <c r="K156" s="16" t="s">
        <v>35</v>
      </c>
      <c r="L156" s="16" t="s">
        <v>136</v>
      </c>
      <c r="M156" s="16" t="s">
        <v>137</v>
      </c>
      <c r="N156" s="16" t="s">
        <v>19</v>
      </c>
      <c r="O156" s="16" t="s">
        <v>35</v>
      </c>
      <c r="Q156" s="9">
        <v>8</v>
      </c>
      <c r="R156" s="9">
        <v>6</v>
      </c>
      <c r="S156" s="9">
        <v>15</v>
      </c>
      <c r="T156" s="9">
        <v>5</v>
      </c>
      <c r="U156" s="9">
        <v>8</v>
      </c>
      <c r="W156" s="25">
        <v>1</v>
      </c>
      <c r="X156" s="25">
        <v>1</v>
      </c>
      <c r="Y156" s="25">
        <v>1</v>
      </c>
      <c r="Z156" s="25">
        <v>1</v>
      </c>
      <c r="AA156" s="25">
        <v>1</v>
      </c>
      <c r="AH156" s="5"/>
      <c r="AI156" s="5"/>
      <c r="AO156" s="5"/>
    </row>
    <row r="157" spans="10:41">
      <c r="J157" s="25">
        <v>153</v>
      </c>
      <c r="K157" s="16" t="s">
        <v>21</v>
      </c>
      <c r="L157" s="16" t="s">
        <v>36</v>
      </c>
      <c r="M157" s="16" t="s">
        <v>90</v>
      </c>
      <c r="N157" s="16" t="s">
        <v>34</v>
      </c>
      <c r="O157" s="16" t="s">
        <v>20</v>
      </c>
      <c r="Q157" s="9">
        <v>2</v>
      </c>
      <c r="R157" s="9">
        <v>10</v>
      </c>
      <c r="S157" s="9">
        <v>13</v>
      </c>
      <c r="T157" s="9">
        <v>9</v>
      </c>
      <c r="U157" s="9">
        <v>1</v>
      </c>
      <c r="W157" s="25">
        <v>1</v>
      </c>
      <c r="X157" s="25">
        <v>1</v>
      </c>
      <c r="Y157" s="25">
        <v>1</v>
      </c>
      <c r="Z157" s="25">
        <v>1</v>
      </c>
      <c r="AA157" s="25">
        <v>1</v>
      </c>
      <c r="AH157" s="5"/>
      <c r="AI157" s="5"/>
      <c r="AO157" s="5"/>
    </row>
    <row r="158" spans="10:41">
      <c r="J158" s="9">
        <v>154</v>
      </c>
      <c r="K158" s="16" t="s">
        <v>19</v>
      </c>
      <c r="L158" s="16" t="s">
        <v>35</v>
      </c>
      <c r="M158" s="16" t="s">
        <v>92</v>
      </c>
      <c r="N158" s="16" t="s">
        <v>35</v>
      </c>
      <c r="O158" s="16" t="s">
        <v>37</v>
      </c>
      <c r="Q158" s="9">
        <v>5</v>
      </c>
      <c r="R158" s="9">
        <v>8</v>
      </c>
      <c r="S158" s="9">
        <v>16</v>
      </c>
      <c r="T158" s="9">
        <v>8</v>
      </c>
      <c r="U158" s="9">
        <v>7</v>
      </c>
      <c r="W158" s="25">
        <v>1</v>
      </c>
      <c r="X158" s="25">
        <v>1</v>
      </c>
      <c r="Y158" s="25">
        <v>1</v>
      </c>
      <c r="Z158" s="25">
        <v>1</v>
      </c>
      <c r="AA158" s="25">
        <v>1</v>
      </c>
      <c r="AH158" s="5"/>
      <c r="AI158" s="5"/>
      <c r="AO158" s="5"/>
    </row>
    <row r="159" spans="10:41">
      <c r="J159" s="25">
        <v>155</v>
      </c>
      <c r="K159" s="16" t="s">
        <v>37</v>
      </c>
      <c r="L159" s="16" t="s">
        <v>136</v>
      </c>
      <c r="M159" s="16" t="s">
        <v>91</v>
      </c>
      <c r="N159" s="16" t="s">
        <v>136</v>
      </c>
      <c r="O159" s="16" t="s">
        <v>18</v>
      </c>
      <c r="Q159" s="9">
        <v>7</v>
      </c>
      <c r="R159" s="9">
        <v>6</v>
      </c>
      <c r="S159" s="9">
        <v>14</v>
      </c>
      <c r="T159" s="9">
        <v>6</v>
      </c>
      <c r="U159" s="9">
        <v>4</v>
      </c>
      <c r="W159" s="25">
        <v>1</v>
      </c>
      <c r="X159" s="25">
        <v>1</v>
      </c>
      <c r="Y159" s="25">
        <v>1</v>
      </c>
      <c r="Z159" s="25">
        <v>1</v>
      </c>
      <c r="AA159" s="25">
        <v>1</v>
      </c>
      <c r="AH159" s="5"/>
      <c r="AI159" s="5"/>
      <c r="AO159" s="5"/>
    </row>
    <row r="160" spans="10:41">
      <c r="J160" s="9">
        <v>156</v>
      </c>
      <c r="K160" s="16" t="s">
        <v>18</v>
      </c>
      <c r="L160" s="16" t="s">
        <v>35</v>
      </c>
      <c r="M160" s="16" t="s">
        <v>137</v>
      </c>
      <c r="N160" s="16" t="s">
        <v>35</v>
      </c>
      <c r="O160" s="16" t="s">
        <v>19</v>
      </c>
      <c r="Q160" s="9">
        <v>4</v>
      </c>
      <c r="R160" s="9">
        <v>8</v>
      </c>
      <c r="S160" s="9">
        <v>15</v>
      </c>
      <c r="T160" s="9">
        <v>8</v>
      </c>
      <c r="U160" s="9">
        <v>5</v>
      </c>
      <c r="W160" s="25">
        <v>1</v>
      </c>
      <c r="X160" s="25">
        <v>1</v>
      </c>
      <c r="Y160" s="25">
        <v>1</v>
      </c>
      <c r="Z160" s="25">
        <v>1</v>
      </c>
      <c r="AA160" s="25">
        <v>1</v>
      </c>
      <c r="AH160" s="5"/>
      <c r="AI160" s="5"/>
      <c r="AO160" s="5"/>
    </row>
    <row r="161" spans="10:41">
      <c r="J161" s="25">
        <v>157</v>
      </c>
      <c r="K161" s="16" t="s">
        <v>19</v>
      </c>
      <c r="L161" s="16" t="s">
        <v>18</v>
      </c>
      <c r="M161" s="16" t="s">
        <v>119</v>
      </c>
      <c r="N161" s="16" t="s">
        <v>36</v>
      </c>
      <c r="O161" s="16" t="s">
        <v>37</v>
      </c>
      <c r="Q161" s="9">
        <v>5</v>
      </c>
      <c r="R161" s="9">
        <v>4</v>
      </c>
      <c r="S161" s="9">
        <v>17</v>
      </c>
      <c r="T161" s="9">
        <v>10</v>
      </c>
      <c r="U161" s="9">
        <v>7</v>
      </c>
      <c r="W161" s="25">
        <v>1</v>
      </c>
      <c r="X161" s="25">
        <v>1</v>
      </c>
      <c r="Y161" s="25">
        <v>1</v>
      </c>
      <c r="Z161" s="25">
        <v>1</v>
      </c>
      <c r="AA161" s="25">
        <v>1</v>
      </c>
      <c r="AH161" s="5"/>
      <c r="AI161" s="5"/>
      <c r="AO161" s="5"/>
    </row>
    <row r="162" spans="10:41">
      <c r="J162" s="9">
        <v>158</v>
      </c>
      <c r="K162" s="16" t="s">
        <v>37</v>
      </c>
      <c r="L162" s="16" t="s">
        <v>35</v>
      </c>
      <c r="M162" s="16" t="s">
        <v>137</v>
      </c>
      <c r="N162" s="16" t="s">
        <v>35</v>
      </c>
      <c r="O162" s="16" t="s">
        <v>35</v>
      </c>
      <c r="Q162" s="9">
        <v>7</v>
      </c>
      <c r="R162" s="9">
        <v>8</v>
      </c>
      <c r="S162" s="9">
        <v>15</v>
      </c>
      <c r="T162" s="9">
        <v>8</v>
      </c>
      <c r="U162" s="9">
        <v>8</v>
      </c>
      <c r="W162" s="25">
        <v>1</v>
      </c>
      <c r="X162" s="25">
        <v>1</v>
      </c>
      <c r="Y162" s="25">
        <v>1</v>
      </c>
      <c r="Z162" s="25">
        <v>1</v>
      </c>
      <c r="AA162" s="25">
        <v>1</v>
      </c>
      <c r="AH162" s="5"/>
      <c r="AI162" s="5"/>
      <c r="AO162" s="5"/>
    </row>
    <row r="163" spans="10:41">
      <c r="J163" s="25">
        <v>159</v>
      </c>
      <c r="K163" s="16" t="s">
        <v>20</v>
      </c>
      <c r="L163" s="16" t="s">
        <v>136</v>
      </c>
      <c r="M163" s="16" t="s">
        <v>92</v>
      </c>
      <c r="N163" s="16" t="s">
        <v>37</v>
      </c>
      <c r="O163" s="16" t="s">
        <v>37</v>
      </c>
      <c r="Q163" s="9">
        <v>1</v>
      </c>
      <c r="R163" s="9">
        <v>6</v>
      </c>
      <c r="S163" s="9">
        <v>16</v>
      </c>
      <c r="T163" s="9">
        <v>7</v>
      </c>
      <c r="U163" s="9">
        <v>7</v>
      </c>
      <c r="W163" s="25">
        <v>1</v>
      </c>
      <c r="X163" s="25">
        <v>1</v>
      </c>
      <c r="Y163" s="25">
        <v>1</v>
      </c>
      <c r="Z163" s="25">
        <v>1</v>
      </c>
      <c r="AA163" s="25">
        <v>1</v>
      </c>
      <c r="AH163" s="5"/>
      <c r="AI163" s="5"/>
      <c r="AO163" s="5"/>
    </row>
    <row r="164" spans="10:41">
      <c r="J164" s="9">
        <v>160</v>
      </c>
      <c r="K164" s="16" t="s">
        <v>37</v>
      </c>
      <c r="L164" s="16" t="s">
        <v>88</v>
      </c>
      <c r="M164" s="16" t="s">
        <v>137</v>
      </c>
      <c r="N164" s="16" t="s">
        <v>92</v>
      </c>
      <c r="O164" s="16" t="s">
        <v>136</v>
      </c>
      <c r="Q164" s="9">
        <v>7</v>
      </c>
      <c r="R164" s="9">
        <v>11</v>
      </c>
      <c r="S164" s="9">
        <v>15</v>
      </c>
      <c r="T164" s="9">
        <v>16</v>
      </c>
      <c r="U164" s="9">
        <v>6</v>
      </c>
      <c r="W164" s="25">
        <v>1</v>
      </c>
      <c r="X164" s="25">
        <v>1</v>
      </c>
      <c r="Y164" s="25">
        <v>1</v>
      </c>
      <c r="Z164" s="25">
        <v>1</v>
      </c>
      <c r="AA164" s="25">
        <v>1</v>
      </c>
      <c r="AH164" s="5"/>
      <c r="AI164" s="5"/>
      <c r="AO164" s="5"/>
    </row>
    <row r="165" spans="10:41">
      <c r="J165" s="25">
        <v>161</v>
      </c>
      <c r="K165" s="16" t="s">
        <v>35</v>
      </c>
      <c r="L165" s="16" t="s">
        <v>119</v>
      </c>
      <c r="M165" s="16" t="s">
        <v>91</v>
      </c>
      <c r="N165" s="16" t="s">
        <v>91</v>
      </c>
      <c r="O165" s="16" t="s">
        <v>34</v>
      </c>
      <c r="Q165" s="9">
        <v>8</v>
      </c>
      <c r="R165" s="9">
        <v>17</v>
      </c>
      <c r="S165" s="9">
        <v>14</v>
      </c>
      <c r="T165" s="9">
        <v>14</v>
      </c>
      <c r="U165" s="9">
        <v>9</v>
      </c>
      <c r="W165" s="25">
        <v>1</v>
      </c>
      <c r="X165" s="25">
        <v>1</v>
      </c>
      <c r="Y165" s="25">
        <v>1</v>
      </c>
      <c r="Z165" s="25">
        <v>1</v>
      </c>
      <c r="AA165" s="25">
        <v>1</v>
      </c>
      <c r="AH165" s="5"/>
      <c r="AI165" s="5"/>
      <c r="AO165" s="5"/>
    </row>
    <row r="166" spans="10:41">
      <c r="J166" s="9">
        <v>162</v>
      </c>
      <c r="K166" s="16" t="s">
        <v>37</v>
      </c>
      <c r="L166" s="16" t="s">
        <v>91</v>
      </c>
      <c r="M166" s="16" t="s">
        <v>92</v>
      </c>
      <c r="N166" s="16" t="s">
        <v>136</v>
      </c>
      <c r="O166" s="16" t="s">
        <v>19</v>
      </c>
      <c r="Q166" s="9">
        <v>7</v>
      </c>
      <c r="R166" s="9">
        <v>14</v>
      </c>
      <c r="S166" s="9">
        <v>16</v>
      </c>
      <c r="T166" s="9">
        <v>6</v>
      </c>
      <c r="U166" s="9">
        <v>5</v>
      </c>
      <c r="W166" s="25">
        <v>1</v>
      </c>
      <c r="X166" s="25">
        <v>1</v>
      </c>
      <c r="Y166" s="25">
        <v>1</v>
      </c>
      <c r="Z166" s="25">
        <v>1</v>
      </c>
      <c r="AA166" s="25">
        <v>1</v>
      </c>
      <c r="AH166" s="5"/>
      <c r="AI166" s="5"/>
      <c r="AO166" s="5"/>
    </row>
    <row r="167" spans="10:41">
      <c r="J167" s="25">
        <v>163</v>
      </c>
      <c r="K167" s="16" t="s">
        <v>136</v>
      </c>
      <c r="L167" s="16" t="s">
        <v>21</v>
      </c>
      <c r="M167" s="16" t="s">
        <v>137</v>
      </c>
      <c r="N167" s="16" t="s">
        <v>91</v>
      </c>
      <c r="O167" s="16" t="s">
        <v>34</v>
      </c>
      <c r="Q167" s="9">
        <v>6</v>
      </c>
      <c r="R167" s="9">
        <v>2</v>
      </c>
      <c r="S167" s="9">
        <v>15</v>
      </c>
      <c r="T167" s="9">
        <v>14</v>
      </c>
      <c r="U167" s="9">
        <v>9</v>
      </c>
      <c r="W167" s="25">
        <v>1</v>
      </c>
      <c r="X167" s="25">
        <v>1</v>
      </c>
      <c r="Y167" s="25">
        <v>1</v>
      </c>
      <c r="Z167" s="25">
        <v>1</v>
      </c>
      <c r="AA167" s="25">
        <v>1</v>
      </c>
      <c r="AH167" s="5"/>
      <c r="AI167" s="5"/>
      <c r="AO167" s="5"/>
    </row>
    <row r="168" spans="10:41">
      <c r="J168" s="9">
        <v>164</v>
      </c>
      <c r="K168" s="16" t="s">
        <v>37</v>
      </c>
      <c r="L168" s="16" t="s">
        <v>19</v>
      </c>
      <c r="M168" s="16" t="s">
        <v>95</v>
      </c>
      <c r="N168" s="16" t="s">
        <v>35</v>
      </c>
      <c r="O168" s="16" t="s">
        <v>19</v>
      </c>
      <c r="Q168" s="9">
        <v>7</v>
      </c>
      <c r="R168" s="9">
        <v>5</v>
      </c>
      <c r="S168" s="9">
        <v>18</v>
      </c>
      <c r="T168" s="9">
        <v>8</v>
      </c>
      <c r="U168" s="9">
        <v>5</v>
      </c>
      <c r="W168" s="25">
        <v>1</v>
      </c>
      <c r="X168" s="25">
        <v>1</v>
      </c>
      <c r="Y168" s="25">
        <v>1</v>
      </c>
      <c r="Z168" s="25">
        <v>1</v>
      </c>
      <c r="AA168" s="25">
        <v>1</v>
      </c>
      <c r="AH168" s="5"/>
      <c r="AI168" s="5"/>
      <c r="AO168" s="5"/>
    </row>
    <row r="169" spans="10:41">
      <c r="J169" s="25">
        <v>165</v>
      </c>
      <c r="K169" s="16" t="s">
        <v>35</v>
      </c>
      <c r="L169" s="16" t="s">
        <v>35</v>
      </c>
      <c r="M169" s="16" t="s">
        <v>119</v>
      </c>
      <c r="N169" s="16" t="s">
        <v>19</v>
      </c>
      <c r="O169" s="16" t="s">
        <v>136</v>
      </c>
      <c r="Q169" s="9">
        <v>8</v>
      </c>
      <c r="R169" s="9">
        <v>8</v>
      </c>
      <c r="S169" s="9">
        <v>17</v>
      </c>
      <c r="T169" s="9">
        <v>5</v>
      </c>
      <c r="U169" s="9">
        <v>6</v>
      </c>
      <c r="W169" s="25">
        <v>1</v>
      </c>
      <c r="X169" s="25">
        <v>1</v>
      </c>
      <c r="Y169" s="25">
        <v>1</v>
      </c>
      <c r="Z169" s="25">
        <v>1</v>
      </c>
      <c r="AA169" s="25">
        <v>1</v>
      </c>
      <c r="AH169" s="5"/>
      <c r="AI169" s="5"/>
      <c r="AO169" s="5"/>
    </row>
    <row r="170" spans="10:41">
      <c r="J170" s="9">
        <v>166</v>
      </c>
      <c r="K170" s="16" t="s">
        <v>37</v>
      </c>
      <c r="L170" s="16" t="s">
        <v>19</v>
      </c>
      <c r="M170" s="16" t="s">
        <v>92</v>
      </c>
      <c r="N170" s="16" t="s">
        <v>37</v>
      </c>
      <c r="O170" s="16" t="s">
        <v>19</v>
      </c>
      <c r="Q170" s="9">
        <v>7</v>
      </c>
      <c r="R170" s="9">
        <v>5</v>
      </c>
      <c r="S170" s="9">
        <v>16</v>
      </c>
      <c r="T170" s="9">
        <v>7</v>
      </c>
      <c r="U170" s="9">
        <v>5</v>
      </c>
      <c r="W170" s="25">
        <v>1</v>
      </c>
      <c r="X170" s="25">
        <v>1</v>
      </c>
      <c r="Y170" s="25">
        <v>1</v>
      </c>
      <c r="Z170" s="25">
        <v>1</v>
      </c>
      <c r="AA170" s="25">
        <v>1</v>
      </c>
      <c r="AH170" s="5"/>
      <c r="AI170" s="5"/>
      <c r="AO170" s="5"/>
    </row>
    <row r="171" spans="10:41">
      <c r="J171" s="25">
        <v>167</v>
      </c>
      <c r="K171" s="16" t="s">
        <v>36</v>
      </c>
      <c r="L171" s="16" t="s">
        <v>35</v>
      </c>
      <c r="M171" s="16" t="s">
        <v>97</v>
      </c>
      <c r="N171" s="16" t="s">
        <v>35</v>
      </c>
      <c r="O171" s="16" t="s">
        <v>18</v>
      </c>
      <c r="Q171" s="9">
        <v>10</v>
      </c>
      <c r="R171" s="9">
        <v>8</v>
      </c>
      <c r="S171" s="9">
        <v>19</v>
      </c>
      <c r="T171" s="9">
        <v>8</v>
      </c>
      <c r="U171" s="9">
        <v>4</v>
      </c>
      <c r="W171" s="25">
        <v>1</v>
      </c>
      <c r="X171" s="25">
        <v>1</v>
      </c>
      <c r="Y171" s="25">
        <v>1</v>
      </c>
      <c r="Z171" s="25">
        <v>1</v>
      </c>
      <c r="AA171" s="25">
        <v>1</v>
      </c>
      <c r="AH171" s="5"/>
      <c r="AI171" s="5"/>
      <c r="AO171" s="5"/>
    </row>
    <row r="172" spans="10:41">
      <c r="J172" s="9">
        <v>168</v>
      </c>
      <c r="K172" s="16" t="s">
        <v>35</v>
      </c>
      <c r="L172" s="16" t="s">
        <v>22</v>
      </c>
      <c r="M172" s="16" t="s">
        <v>92</v>
      </c>
      <c r="N172" s="16" t="s">
        <v>136</v>
      </c>
      <c r="O172" s="16" t="s">
        <v>35</v>
      </c>
      <c r="Q172" s="9">
        <v>8</v>
      </c>
      <c r="R172" s="9">
        <v>3</v>
      </c>
      <c r="S172" s="9">
        <v>16</v>
      </c>
      <c r="T172" s="9">
        <v>6</v>
      </c>
      <c r="U172" s="9">
        <v>8</v>
      </c>
      <c r="W172" s="25">
        <v>1</v>
      </c>
      <c r="X172" s="25">
        <v>1</v>
      </c>
      <c r="Y172" s="25">
        <v>1</v>
      </c>
      <c r="Z172" s="25">
        <v>1</v>
      </c>
      <c r="AA172" s="25">
        <v>1</v>
      </c>
      <c r="AH172" s="5"/>
      <c r="AI172" s="5"/>
      <c r="AO172" s="5"/>
    </row>
    <row r="173" spans="10:41">
      <c r="J173" s="25">
        <v>169</v>
      </c>
      <c r="K173" s="16" t="s">
        <v>136</v>
      </c>
      <c r="L173" s="16" t="s">
        <v>18</v>
      </c>
      <c r="M173" s="16" t="s">
        <v>137</v>
      </c>
      <c r="N173" s="16" t="s">
        <v>19</v>
      </c>
      <c r="O173" s="16" t="s">
        <v>19</v>
      </c>
      <c r="Q173" s="9">
        <v>6</v>
      </c>
      <c r="R173" s="9">
        <v>4</v>
      </c>
      <c r="S173" s="9">
        <v>15</v>
      </c>
      <c r="T173" s="9">
        <v>5</v>
      </c>
      <c r="U173" s="9">
        <v>5</v>
      </c>
      <c r="W173" s="25">
        <v>1</v>
      </c>
      <c r="X173" s="25">
        <v>1</v>
      </c>
      <c r="Y173" s="25">
        <v>1</v>
      </c>
      <c r="Z173" s="25">
        <v>1</v>
      </c>
      <c r="AA173" s="25">
        <v>1</v>
      </c>
      <c r="AH173" s="5"/>
      <c r="AI173" s="5"/>
      <c r="AO173" s="5"/>
    </row>
    <row r="174" spans="10:41">
      <c r="J174" s="9">
        <v>170</v>
      </c>
      <c r="K174" s="16" t="s">
        <v>19</v>
      </c>
      <c r="L174" s="16" t="s">
        <v>19</v>
      </c>
      <c r="M174" s="16" t="s">
        <v>119</v>
      </c>
      <c r="N174" s="16" t="s">
        <v>20</v>
      </c>
      <c r="O174" s="16" t="s">
        <v>35</v>
      </c>
      <c r="Q174" s="9">
        <v>5</v>
      </c>
      <c r="R174" s="9">
        <v>5</v>
      </c>
      <c r="S174" s="9">
        <v>17</v>
      </c>
      <c r="T174" s="9">
        <v>1</v>
      </c>
      <c r="U174" s="9">
        <v>8</v>
      </c>
      <c r="W174" s="25">
        <v>1</v>
      </c>
      <c r="X174" s="25">
        <v>1</v>
      </c>
      <c r="Y174" s="25">
        <v>1</v>
      </c>
      <c r="Z174" s="25">
        <v>1</v>
      </c>
      <c r="AA174" s="25">
        <v>1</v>
      </c>
      <c r="AH174" s="5"/>
      <c r="AI174" s="5"/>
      <c r="AO174" s="5"/>
    </row>
    <row r="175" spans="10:41">
      <c r="J175" s="25">
        <v>171</v>
      </c>
      <c r="K175" s="16" t="s">
        <v>35</v>
      </c>
      <c r="L175" s="16" t="s">
        <v>18</v>
      </c>
      <c r="M175" s="16" t="s">
        <v>91</v>
      </c>
      <c r="N175" s="16" t="s">
        <v>21</v>
      </c>
      <c r="O175" s="16" t="s">
        <v>37</v>
      </c>
      <c r="Q175" s="9">
        <v>8</v>
      </c>
      <c r="R175" s="9">
        <v>4</v>
      </c>
      <c r="S175" s="9">
        <v>14</v>
      </c>
      <c r="T175" s="9">
        <v>2</v>
      </c>
      <c r="U175" s="9">
        <v>7</v>
      </c>
      <c r="W175" s="25">
        <v>1</v>
      </c>
      <c r="X175" s="25">
        <v>1</v>
      </c>
      <c r="Y175" s="25">
        <v>1</v>
      </c>
      <c r="Z175" s="25">
        <v>1</v>
      </c>
      <c r="AA175" s="25">
        <v>1</v>
      </c>
      <c r="AH175" s="5"/>
      <c r="AI175" s="5"/>
      <c r="AO175" s="5"/>
    </row>
    <row r="176" spans="10:41">
      <c r="J176" s="9">
        <v>172</v>
      </c>
      <c r="K176" s="16" t="s">
        <v>136</v>
      </c>
      <c r="L176" s="16" t="s">
        <v>92</v>
      </c>
      <c r="M176" s="16" t="s">
        <v>92</v>
      </c>
      <c r="N176" s="16" t="s">
        <v>136</v>
      </c>
      <c r="O176" s="16" t="s">
        <v>136</v>
      </c>
      <c r="Q176" s="9">
        <v>6</v>
      </c>
      <c r="R176" s="9">
        <v>16</v>
      </c>
      <c r="S176" s="9">
        <v>16</v>
      </c>
      <c r="T176" s="9">
        <v>6</v>
      </c>
      <c r="U176" s="9">
        <v>6</v>
      </c>
      <c r="W176" s="25">
        <v>1</v>
      </c>
      <c r="X176" s="25">
        <v>1</v>
      </c>
      <c r="Y176" s="25">
        <v>1</v>
      </c>
      <c r="Z176" s="25">
        <v>1</v>
      </c>
      <c r="AA176" s="25">
        <v>1</v>
      </c>
      <c r="AH176" s="5"/>
      <c r="AI176" s="5"/>
      <c r="AO176" s="5"/>
    </row>
    <row r="177" spans="10:41">
      <c r="J177" s="25">
        <v>173</v>
      </c>
      <c r="K177" s="16" t="s">
        <v>34</v>
      </c>
      <c r="L177" s="16" t="s">
        <v>37</v>
      </c>
      <c r="M177" s="16" t="s">
        <v>137</v>
      </c>
      <c r="N177" s="16" t="s">
        <v>91</v>
      </c>
      <c r="O177" s="16" t="s">
        <v>20</v>
      </c>
      <c r="Q177" s="9">
        <v>9</v>
      </c>
      <c r="R177" s="9">
        <v>7</v>
      </c>
      <c r="S177" s="9">
        <v>15</v>
      </c>
      <c r="T177" s="9">
        <v>14</v>
      </c>
      <c r="U177" s="9">
        <v>1</v>
      </c>
      <c r="W177" s="25">
        <v>1</v>
      </c>
      <c r="X177" s="25">
        <v>1</v>
      </c>
      <c r="Y177" s="25">
        <v>1</v>
      </c>
      <c r="Z177" s="25">
        <v>1</v>
      </c>
      <c r="AA177" s="25">
        <v>1</v>
      </c>
      <c r="AH177" s="5"/>
      <c r="AI177" s="5"/>
      <c r="AO177" s="5"/>
    </row>
    <row r="178" spans="10:41">
      <c r="J178" s="9">
        <v>174</v>
      </c>
      <c r="K178" s="16" t="s">
        <v>37</v>
      </c>
      <c r="L178" s="16" t="s">
        <v>19</v>
      </c>
      <c r="M178" s="16" t="s">
        <v>119</v>
      </c>
      <c r="N178" s="16" t="s">
        <v>136</v>
      </c>
      <c r="O178" s="16" t="s">
        <v>22</v>
      </c>
      <c r="Q178" s="9">
        <v>7</v>
      </c>
      <c r="R178" s="9">
        <v>5</v>
      </c>
      <c r="S178" s="9">
        <v>17</v>
      </c>
      <c r="T178" s="9">
        <v>6</v>
      </c>
      <c r="U178" s="9">
        <v>3</v>
      </c>
      <c r="W178" s="25">
        <v>1</v>
      </c>
      <c r="X178" s="25">
        <v>1</v>
      </c>
      <c r="Y178" s="25">
        <v>1</v>
      </c>
      <c r="Z178" s="25">
        <v>1</v>
      </c>
      <c r="AA178" s="25">
        <v>1</v>
      </c>
      <c r="AH178" s="5"/>
      <c r="AI178" s="5"/>
      <c r="AO178" s="5"/>
    </row>
    <row r="179" spans="10:41">
      <c r="J179" s="25">
        <v>175</v>
      </c>
      <c r="K179" s="16" t="s">
        <v>19</v>
      </c>
      <c r="L179" s="16" t="s">
        <v>18</v>
      </c>
      <c r="M179" s="16" t="s">
        <v>92</v>
      </c>
      <c r="N179" s="16" t="s">
        <v>35</v>
      </c>
      <c r="O179" s="16" t="s">
        <v>35</v>
      </c>
      <c r="Q179" s="9">
        <v>5</v>
      </c>
      <c r="R179" s="9">
        <v>4</v>
      </c>
      <c r="S179" s="9">
        <v>16</v>
      </c>
      <c r="T179" s="9">
        <v>8</v>
      </c>
      <c r="U179" s="9">
        <v>8</v>
      </c>
      <c r="W179" s="25">
        <v>1</v>
      </c>
      <c r="X179" s="25">
        <v>1</v>
      </c>
      <c r="Y179" s="25">
        <v>1</v>
      </c>
      <c r="Z179" s="25">
        <v>1</v>
      </c>
      <c r="AA179" s="25">
        <v>1</v>
      </c>
      <c r="AH179" s="5"/>
      <c r="AI179" s="5"/>
      <c r="AO179" s="5"/>
    </row>
    <row r="180" spans="10:41">
      <c r="J180" s="9">
        <v>176</v>
      </c>
      <c r="K180" s="16" t="s">
        <v>18</v>
      </c>
      <c r="L180" s="16" t="s">
        <v>37</v>
      </c>
      <c r="M180" s="16" t="s">
        <v>137</v>
      </c>
      <c r="N180" s="16" t="s">
        <v>37</v>
      </c>
      <c r="O180" s="16" t="s">
        <v>136</v>
      </c>
      <c r="Q180" s="9">
        <v>4</v>
      </c>
      <c r="R180" s="9">
        <v>7</v>
      </c>
      <c r="S180" s="9">
        <v>15</v>
      </c>
      <c r="T180" s="9">
        <v>7</v>
      </c>
      <c r="U180" s="9">
        <v>6</v>
      </c>
      <c r="W180" s="25">
        <v>1</v>
      </c>
      <c r="X180" s="25">
        <v>1</v>
      </c>
      <c r="Y180" s="25">
        <v>1</v>
      </c>
      <c r="Z180" s="25">
        <v>1</v>
      </c>
      <c r="AA180" s="25">
        <v>1</v>
      </c>
      <c r="AH180" s="5"/>
      <c r="AI180" s="5"/>
      <c r="AO180" s="5"/>
    </row>
    <row r="181" spans="10:41">
      <c r="J181" s="25">
        <v>177</v>
      </c>
      <c r="K181" s="16" t="s">
        <v>136</v>
      </c>
      <c r="L181" s="16" t="s">
        <v>136</v>
      </c>
      <c r="M181" s="16" t="s">
        <v>119</v>
      </c>
      <c r="N181" s="16" t="s">
        <v>92</v>
      </c>
      <c r="O181" s="16" t="s">
        <v>35</v>
      </c>
      <c r="Q181" s="9">
        <v>6</v>
      </c>
      <c r="R181" s="9">
        <v>6</v>
      </c>
      <c r="S181" s="9">
        <v>17</v>
      </c>
      <c r="T181" s="9">
        <v>16</v>
      </c>
      <c r="U181" s="9">
        <v>8</v>
      </c>
      <c r="W181" s="25">
        <v>1</v>
      </c>
      <c r="X181" s="25">
        <v>1</v>
      </c>
      <c r="Y181" s="25">
        <v>1</v>
      </c>
      <c r="Z181" s="25">
        <v>1</v>
      </c>
      <c r="AA181" s="25">
        <v>1</v>
      </c>
      <c r="AH181" s="5"/>
      <c r="AI181" s="5"/>
      <c r="AO181" s="5"/>
    </row>
    <row r="182" spans="10:41">
      <c r="J182" s="9">
        <v>178</v>
      </c>
      <c r="K182" s="16" t="s">
        <v>35</v>
      </c>
      <c r="L182" s="16" t="s">
        <v>19</v>
      </c>
      <c r="M182" s="16" t="s">
        <v>137</v>
      </c>
      <c r="N182" s="16" t="s">
        <v>35</v>
      </c>
      <c r="O182" s="16" t="s">
        <v>21</v>
      </c>
      <c r="Q182" s="9">
        <v>8</v>
      </c>
      <c r="R182" s="9">
        <v>5</v>
      </c>
      <c r="S182" s="9">
        <v>15</v>
      </c>
      <c r="T182" s="9">
        <v>8</v>
      </c>
      <c r="U182" s="9">
        <v>2</v>
      </c>
      <c r="W182" s="25">
        <v>1</v>
      </c>
      <c r="X182" s="25">
        <v>1</v>
      </c>
      <c r="Y182" s="25">
        <v>1</v>
      </c>
      <c r="Z182" s="25">
        <v>1</v>
      </c>
      <c r="AA182" s="25">
        <v>1</v>
      </c>
      <c r="AH182" s="5"/>
      <c r="AI182" s="5"/>
      <c r="AO182" s="5"/>
    </row>
    <row r="183" spans="10:41">
      <c r="J183" s="25">
        <v>179</v>
      </c>
      <c r="K183" s="16" t="s">
        <v>37</v>
      </c>
      <c r="L183" s="16" t="s">
        <v>37</v>
      </c>
      <c r="M183" s="16" t="s">
        <v>119</v>
      </c>
      <c r="N183" s="16" t="s">
        <v>37</v>
      </c>
      <c r="O183" s="16" t="s">
        <v>136</v>
      </c>
      <c r="Q183" s="9">
        <v>7</v>
      </c>
      <c r="R183" s="9">
        <v>7</v>
      </c>
      <c r="S183" s="9">
        <v>17</v>
      </c>
      <c r="T183" s="9">
        <v>7</v>
      </c>
      <c r="U183" s="9">
        <v>6</v>
      </c>
      <c r="W183" s="25">
        <v>1</v>
      </c>
      <c r="X183" s="25">
        <v>1</v>
      </c>
      <c r="Y183" s="25">
        <v>1</v>
      </c>
      <c r="Z183" s="25">
        <v>1</v>
      </c>
      <c r="AA183" s="25">
        <v>1</v>
      </c>
      <c r="AH183" s="5"/>
      <c r="AI183" s="5"/>
      <c r="AO183" s="5"/>
    </row>
    <row r="184" spans="10:41">
      <c r="J184" s="9">
        <v>180</v>
      </c>
      <c r="K184" s="16" t="s">
        <v>136</v>
      </c>
      <c r="L184" s="16" t="s">
        <v>136</v>
      </c>
      <c r="M184" s="16" t="s">
        <v>97</v>
      </c>
      <c r="N184" s="16" t="s">
        <v>19</v>
      </c>
      <c r="O184" s="16" t="s">
        <v>19</v>
      </c>
      <c r="Q184" s="9">
        <v>6</v>
      </c>
      <c r="R184" s="9">
        <v>6</v>
      </c>
      <c r="S184" s="9">
        <v>19</v>
      </c>
      <c r="T184" s="9">
        <v>5</v>
      </c>
      <c r="U184" s="9">
        <v>5</v>
      </c>
      <c r="W184" s="25">
        <v>1</v>
      </c>
      <c r="X184" s="25">
        <v>1</v>
      </c>
      <c r="Y184" s="25">
        <v>1</v>
      </c>
      <c r="Z184" s="25">
        <v>1</v>
      </c>
      <c r="AA184" s="25">
        <v>1</v>
      </c>
      <c r="AH184" s="5"/>
      <c r="AI184" s="5"/>
      <c r="AO184" s="5"/>
    </row>
    <row r="185" spans="10:41">
      <c r="J185" s="25">
        <v>181</v>
      </c>
      <c r="K185" s="16" t="s">
        <v>37</v>
      </c>
      <c r="L185" s="16" t="s">
        <v>37</v>
      </c>
      <c r="M185" s="16" t="s">
        <v>137</v>
      </c>
      <c r="N185" s="16" t="s">
        <v>119</v>
      </c>
      <c r="O185" s="16" t="s">
        <v>37</v>
      </c>
      <c r="Q185" s="9">
        <v>7</v>
      </c>
      <c r="R185" s="9">
        <v>7</v>
      </c>
      <c r="S185" s="9">
        <v>15</v>
      </c>
      <c r="T185" s="9">
        <v>17</v>
      </c>
      <c r="U185" s="9">
        <v>7</v>
      </c>
      <c r="W185" s="25">
        <v>1</v>
      </c>
      <c r="X185" s="25">
        <v>1</v>
      </c>
      <c r="Y185" s="25">
        <v>1</v>
      </c>
      <c r="Z185" s="25">
        <v>1</v>
      </c>
      <c r="AA185" s="25">
        <v>1</v>
      </c>
      <c r="AH185" s="5"/>
      <c r="AI185" s="5"/>
      <c r="AO185" s="5"/>
    </row>
    <row r="186" spans="10:41">
      <c r="J186" s="9">
        <v>182</v>
      </c>
      <c r="K186" s="16" t="s">
        <v>136</v>
      </c>
      <c r="L186" s="16" t="s">
        <v>34</v>
      </c>
      <c r="M186" s="16" t="s">
        <v>91</v>
      </c>
      <c r="N186" s="16" t="s">
        <v>35</v>
      </c>
      <c r="O186" s="16" t="s">
        <v>136</v>
      </c>
      <c r="Q186" s="9">
        <v>6</v>
      </c>
      <c r="R186" s="9">
        <v>9</v>
      </c>
      <c r="S186" s="9">
        <v>14</v>
      </c>
      <c r="T186" s="9">
        <v>8</v>
      </c>
      <c r="U186" s="9">
        <v>6</v>
      </c>
      <c r="W186" s="25">
        <v>1</v>
      </c>
      <c r="X186" s="25">
        <v>1</v>
      </c>
      <c r="Y186" s="25">
        <v>1</v>
      </c>
      <c r="Z186" s="25">
        <v>1</v>
      </c>
      <c r="AA186" s="25">
        <v>1</v>
      </c>
      <c r="AH186" s="5"/>
      <c r="AI186" s="5"/>
      <c r="AO186" s="5"/>
    </row>
    <row r="187" spans="10:41">
      <c r="J187" s="25">
        <v>183</v>
      </c>
      <c r="K187" s="16" t="s">
        <v>35</v>
      </c>
      <c r="L187" s="16" t="s">
        <v>137</v>
      </c>
      <c r="M187" s="16" t="s">
        <v>119</v>
      </c>
      <c r="N187" s="16" t="s">
        <v>20</v>
      </c>
      <c r="O187" s="16" t="s">
        <v>36</v>
      </c>
      <c r="Q187" s="9">
        <v>8</v>
      </c>
      <c r="R187" s="9">
        <v>15</v>
      </c>
      <c r="S187" s="9">
        <v>17</v>
      </c>
      <c r="T187" s="9">
        <v>1</v>
      </c>
      <c r="U187" s="9">
        <v>10</v>
      </c>
      <c r="W187" s="25">
        <v>1</v>
      </c>
      <c r="X187" s="25">
        <v>1</v>
      </c>
      <c r="Y187" s="25">
        <v>1</v>
      </c>
      <c r="Z187" s="25">
        <v>1</v>
      </c>
      <c r="AA187" s="25">
        <v>1</v>
      </c>
      <c r="AH187" s="5"/>
      <c r="AI187" s="5"/>
      <c r="AO187" s="5"/>
    </row>
    <row r="188" spans="10:41">
      <c r="J188" s="9">
        <v>184</v>
      </c>
      <c r="K188" s="16" t="s">
        <v>37</v>
      </c>
      <c r="L188" s="16" t="s">
        <v>34</v>
      </c>
      <c r="M188" s="16" t="s">
        <v>91</v>
      </c>
      <c r="N188" s="16" t="s">
        <v>136</v>
      </c>
      <c r="O188" s="16" t="s">
        <v>19</v>
      </c>
      <c r="Q188" s="9">
        <v>7</v>
      </c>
      <c r="R188" s="9">
        <v>9</v>
      </c>
      <c r="S188" s="9">
        <v>14</v>
      </c>
      <c r="T188" s="9">
        <v>6</v>
      </c>
      <c r="U188" s="9">
        <v>5</v>
      </c>
      <c r="W188" s="25">
        <v>1</v>
      </c>
      <c r="X188" s="25">
        <v>1</v>
      </c>
      <c r="Y188" s="25">
        <v>1</v>
      </c>
      <c r="Z188" s="25">
        <v>1</v>
      </c>
      <c r="AA188" s="25">
        <v>1</v>
      </c>
      <c r="AH188" s="5"/>
      <c r="AI188" s="5"/>
      <c r="AO188" s="5"/>
    </row>
    <row r="189" spans="10:41">
      <c r="J189" s="25">
        <v>185</v>
      </c>
      <c r="K189" s="16" t="s">
        <v>35</v>
      </c>
      <c r="L189" s="16" t="s">
        <v>19</v>
      </c>
      <c r="M189" s="16" t="s">
        <v>119</v>
      </c>
      <c r="N189" s="16" t="s">
        <v>18</v>
      </c>
      <c r="O189" s="16" t="s">
        <v>34</v>
      </c>
      <c r="Q189" s="9">
        <v>8</v>
      </c>
      <c r="R189" s="9">
        <v>5</v>
      </c>
      <c r="S189" s="9">
        <v>17</v>
      </c>
      <c r="T189" s="9">
        <v>4</v>
      </c>
      <c r="U189" s="9">
        <v>9</v>
      </c>
      <c r="W189" s="25">
        <v>1</v>
      </c>
      <c r="X189" s="25">
        <v>1</v>
      </c>
      <c r="Y189" s="25">
        <v>1</v>
      </c>
      <c r="Z189" s="25">
        <v>1</v>
      </c>
      <c r="AA189" s="25">
        <v>1</v>
      </c>
      <c r="AH189" s="5"/>
      <c r="AI189" s="5"/>
      <c r="AO189" s="5"/>
    </row>
    <row r="190" spans="10:41">
      <c r="J190" s="9">
        <v>186</v>
      </c>
      <c r="K190" s="16" t="s">
        <v>18</v>
      </c>
      <c r="L190" s="16" t="s">
        <v>137</v>
      </c>
      <c r="M190" s="16" t="s">
        <v>137</v>
      </c>
      <c r="N190" s="16" t="s">
        <v>136</v>
      </c>
      <c r="O190" s="16" t="s">
        <v>20</v>
      </c>
      <c r="Q190" s="9">
        <v>4</v>
      </c>
      <c r="R190" s="9">
        <v>15</v>
      </c>
      <c r="S190" s="9">
        <v>15</v>
      </c>
      <c r="T190" s="9">
        <v>6</v>
      </c>
      <c r="U190" s="9">
        <v>1</v>
      </c>
      <c r="W190" s="25">
        <v>1</v>
      </c>
      <c r="X190" s="25">
        <v>1</v>
      </c>
      <c r="Y190" s="25">
        <v>1</v>
      </c>
      <c r="Z190" s="25">
        <v>1</v>
      </c>
      <c r="AA190" s="25">
        <v>1</v>
      </c>
      <c r="AH190" s="5"/>
      <c r="AI190" s="5"/>
      <c r="AO190" s="5"/>
    </row>
    <row r="191" spans="10:41">
      <c r="J191" s="25">
        <v>187</v>
      </c>
      <c r="K191" s="16" t="s">
        <v>35</v>
      </c>
      <c r="L191" s="16" t="s">
        <v>136</v>
      </c>
      <c r="M191" s="16" t="s">
        <v>91</v>
      </c>
      <c r="N191" s="16" t="s">
        <v>37</v>
      </c>
      <c r="O191" s="16" t="s">
        <v>136</v>
      </c>
      <c r="Q191" s="9">
        <v>8</v>
      </c>
      <c r="R191" s="9">
        <v>6</v>
      </c>
      <c r="S191" s="9">
        <v>14</v>
      </c>
      <c r="T191" s="9">
        <v>7</v>
      </c>
      <c r="U191" s="9">
        <v>6</v>
      </c>
      <c r="W191" s="25">
        <v>1</v>
      </c>
      <c r="X191" s="25">
        <v>1</v>
      </c>
      <c r="Y191" s="25">
        <v>1</v>
      </c>
      <c r="Z191" s="25">
        <v>1</v>
      </c>
      <c r="AA191" s="25">
        <v>1</v>
      </c>
      <c r="AH191" s="5"/>
      <c r="AI191" s="5"/>
      <c r="AO191" s="5"/>
    </row>
    <row r="192" spans="10:41">
      <c r="J192" s="9">
        <v>188</v>
      </c>
      <c r="K192" s="16" t="s">
        <v>37</v>
      </c>
      <c r="L192" s="16" t="s">
        <v>19</v>
      </c>
      <c r="M192" s="16" t="s">
        <v>92</v>
      </c>
      <c r="N192" s="16" t="s">
        <v>92</v>
      </c>
      <c r="O192" s="16" t="s">
        <v>35</v>
      </c>
      <c r="Q192" s="9">
        <v>7</v>
      </c>
      <c r="R192" s="9">
        <v>5</v>
      </c>
      <c r="S192" s="9">
        <v>16</v>
      </c>
      <c r="T192" s="9">
        <v>16</v>
      </c>
      <c r="U192" s="9">
        <v>8</v>
      </c>
      <c r="W192" s="25">
        <v>1</v>
      </c>
      <c r="X192" s="25">
        <v>1</v>
      </c>
      <c r="Y192" s="25">
        <v>1</v>
      </c>
      <c r="Z192" s="25">
        <v>1</v>
      </c>
      <c r="AA192" s="25">
        <v>1</v>
      </c>
      <c r="AH192" s="5"/>
      <c r="AI192" s="5"/>
      <c r="AO192" s="5"/>
    </row>
    <row r="193" spans="10:41">
      <c r="J193" s="25">
        <v>189</v>
      </c>
      <c r="K193" s="16" t="s">
        <v>136</v>
      </c>
      <c r="L193" s="16" t="s">
        <v>35</v>
      </c>
      <c r="M193" s="16" t="s">
        <v>91</v>
      </c>
      <c r="N193" s="16" t="s">
        <v>19</v>
      </c>
      <c r="O193" s="16" t="s">
        <v>136</v>
      </c>
      <c r="Q193" s="9">
        <v>6</v>
      </c>
      <c r="R193" s="9">
        <v>8</v>
      </c>
      <c r="S193" s="9">
        <v>14</v>
      </c>
      <c r="T193" s="9">
        <v>5</v>
      </c>
      <c r="U193" s="9">
        <v>6</v>
      </c>
      <c r="W193" s="25">
        <v>1</v>
      </c>
      <c r="X193" s="25">
        <v>1</v>
      </c>
      <c r="Y193" s="25">
        <v>1</v>
      </c>
      <c r="Z193" s="25">
        <v>1</v>
      </c>
      <c r="AA193" s="25">
        <v>1</v>
      </c>
      <c r="AH193" s="5"/>
      <c r="AI193" s="5"/>
      <c r="AO193" s="5"/>
    </row>
    <row r="194" spans="10:41">
      <c r="J194" s="9">
        <v>190</v>
      </c>
      <c r="K194" s="16" t="s">
        <v>35</v>
      </c>
      <c r="L194" s="16" t="s">
        <v>90</v>
      </c>
      <c r="M194" s="16" t="s">
        <v>92</v>
      </c>
      <c r="N194" s="16" t="s">
        <v>35</v>
      </c>
      <c r="O194" s="16" t="s">
        <v>35</v>
      </c>
      <c r="Q194" s="9">
        <v>8</v>
      </c>
      <c r="R194" s="9">
        <v>13</v>
      </c>
      <c r="S194" s="9">
        <v>16</v>
      </c>
      <c r="T194" s="9">
        <v>8</v>
      </c>
      <c r="U194" s="9">
        <v>8</v>
      </c>
      <c r="W194" s="25">
        <v>1</v>
      </c>
      <c r="X194" s="25">
        <v>1</v>
      </c>
      <c r="Y194" s="25">
        <v>1</v>
      </c>
      <c r="Z194" s="25">
        <v>1</v>
      </c>
      <c r="AA194" s="25">
        <v>1</v>
      </c>
      <c r="AH194" s="5"/>
      <c r="AI194" s="5"/>
      <c r="AO194" s="5"/>
    </row>
    <row r="195" spans="10:41">
      <c r="J195" s="25">
        <v>191</v>
      </c>
      <c r="K195" s="16" t="s">
        <v>19</v>
      </c>
      <c r="L195" s="16" t="s">
        <v>37</v>
      </c>
      <c r="M195" s="16" t="s">
        <v>90</v>
      </c>
      <c r="N195" s="16" t="s">
        <v>19</v>
      </c>
      <c r="O195" s="16" t="s">
        <v>136</v>
      </c>
      <c r="Q195" s="9">
        <v>5</v>
      </c>
      <c r="R195" s="9">
        <v>7</v>
      </c>
      <c r="S195" s="9">
        <v>13</v>
      </c>
      <c r="T195" s="9">
        <v>5</v>
      </c>
      <c r="U195" s="9">
        <v>6</v>
      </c>
      <c r="W195" s="25">
        <v>1</v>
      </c>
      <c r="X195" s="25">
        <v>1</v>
      </c>
      <c r="Y195" s="25">
        <v>1</v>
      </c>
      <c r="Z195" s="25">
        <v>1</v>
      </c>
      <c r="AA195" s="25">
        <v>1</v>
      </c>
      <c r="AH195" s="5"/>
      <c r="AI195" s="5"/>
      <c r="AO195" s="5"/>
    </row>
    <row r="196" spans="10:41">
      <c r="J196" s="9">
        <v>192</v>
      </c>
      <c r="K196" s="16" t="s">
        <v>136</v>
      </c>
      <c r="L196" s="16" t="s">
        <v>19</v>
      </c>
      <c r="M196" s="16" t="s">
        <v>92</v>
      </c>
      <c r="N196" s="16" t="s">
        <v>22</v>
      </c>
      <c r="O196" s="16" t="s">
        <v>18</v>
      </c>
      <c r="Q196" s="9">
        <v>6</v>
      </c>
      <c r="R196" s="9">
        <v>5</v>
      </c>
      <c r="S196" s="9">
        <v>16</v>
      </c>
      <c r="T196" s="9">
        <v>3</v>
      </c>
      <c r="U196" s="9">
        <v>4</v>
      </c>
      <c r="W196" s="25">
        <v>1</v>
      </c>
      <c r="X196" s="25">
        <v>1</v>
      </c>
      <c r="Y196" s="25">
        <v>1</v>
      </c>
      <c r="Z196" s="25">
        <v>1</v>
      </c>
      <c r="AA196" s="25">
        <v>1</v>
      </c>
      <c r="AH196" s="5"/>
      <c r="AI196" s="5"/>
      <c r="AO196" s="5"/>
    </row>
    <row r="197" spans="10:41">
      <c r="J197" s="25">
        <v>193</v>
      </c>
      <c r="K197" s="16" t="s">
        <v>35</v>
      </c>
      <c r="L197" s="16" t="s">
        <v>35</v>
      </c>
      <c r="M197" s="16" t="s">
        <v>119</v>
      </c>
      <c r="N197" s="16" t="s">
        <v>136</v>
      </c>
      <c r="O197" s="16" t="s">
        <v>37</v>
      </c>
      <c r="Q197" s="9">
        <v>8</v>
      </c>
      <c r="R197" s="9">
        <v>8</v>
      </c>
      <c r="S197" s="9">
        <v>17</v>
      </c>
      <c r="T197" s="9">
        <v>6</v>
      </c>
      <c r="U197" s="9">
        <v>7</v>
      </c>
      <c r="W197" s="25">
        <v>1</v>
      </c>
      <c r="X197" s="25">
        <v>1</v>
      </c>
      <c r="Y197" s="25">
        <v>1</v>
      </c>
      <c r="Z197" s="25">
        <v>1</v>
      </c>
      <c r="AA197" s="25">
        <v>1</v>
      </c>
      <c r="AH197" s="5"/>
      <c r="AI197" s="5"/>
      <c r="AO197" s="5"/>
    </row>
    <row r="198" spans="10:41">
      <c r="J198" s="9">
        <v>194</v>
      </c>
      <c r="K198" s="16" t="s">
        <v>136</v>
      </c>
      <c r="L198" s="16" t="s">
        <v>34</v>
      </c>
      <c r="M198" s="16" t="s">
        <v>92</v>
      </c>
      <c r="N198" s="16" t="s">
        <v>35</v>
      </c>
      <c r="O198" s="16" t="s">
        <v>136</v>
      </c>
      <c r="Q198" s="9">
        <v>6</v>
      </c>
      <c r="R198" s="9">
        <v>9</v>
      </c>
      <c r="S198" s="9">
        <v>16</v>
      </c>
      <c r="T198" s="9">
        <v>8</v>
      </c>
      <c r="U198" s="9">
        <v>6</v>
      </c>
      <c r="W198" s="25">
        <v>1</v>
      </c>
      <c r="X198" s="25">
        <v>1</v>
      </c>
      <c r="Y198" s="25">
        <v>1</v>
      </c>
      <c r="Z198" s="25">
        <v>1</v>
      </c>
      <c r="AA198" s="25">
        <v>1</v>
      </c>
      <c r="AH198" s="5"/>
      <c r="AI198" s="5"/>
      <c r="AO198" s="5"/>
    </row>
    <row r="199" spans="10:41">
      <c r="J199" s="25">
        <v>195</v>
      </c>
      <c r="K199" s="16" t="s">
        <v>37</v>
      </c>
      <c r="L199" s="16" t="s">
        <v>19</v>
      </c>
      <c r="M199" s="16" t="s">
        <v>119</v>
      </c>
      <c r="N199" s="16" t="s">
        <v>19</v>
      </c>
      <c r="O199" s="16" t="s">
        <v>37</v>
      </c>
      <c r="Q199" s="9">
        <v>7</v>
      </c>
      <c r="R199" s="9">
        <v>5</v>
      </c>
      <c r="S199" s="9">
        <v>17</v>
      </c>
      <c r="T199" s="9">
        <v>5</v>
      </c>
      <c r="U199" s="9">
        <v>7</v>
      </c>
      <c r="W199" s="25">
        <v>1</v>
      </c>
      <c r="X199" s="25">
        <v>1</v>
      </c>
      <c r="Y199" s="25">
        <v>1</v>
      </c>
      <c r="Z199" s="25">
        <v>1</v>
      </c>
      <c r="AA199" s="25">
        <v>1</v>
      </c>
      <c r="AH199" s="5"/>
      <c r="AI199" s="5"/>
      <c r="AO199" s="5"/>
    </row>
    <row r="200" spans="10:41">
      <c r="J200" s="9">
        <v>196</v>
      </c>
      <c r="K200" s="16" t="s">
        <v>19</v>
      </c>
      <c r="L200" s="16" t="s">
        <v>136</v>
      </c>
      <c r="M200" s="16" t="s">
        <v>97</v>
      </c>
      <c r="N200" s="16" t="s">
        <v>136</v>
      </c>
      <c r="O200" s="16" t="s">
        <v>35</v>
      </c>
      <c r="Q200" s="9">
        <v>5</v>
      </c>
      <c r="R200" s="9">
        <v>6</v>
      </c>
      <c r="S200" s="9">
        <v>19</v>
      </c>
      <c r="T200" s="9">
        <v>6</v>
      </c>
      <c r="U200" s="9">
        <v>8</v>
      </c>
      <c r="W200" s="25">
        <v>1</v>
      </c>
      <c r="X200" s="25">
        <v>1</v>
      </c>
      <c r="Y200" s="25">
        <v>1</v>
      </c>
      <c r="Z200" s="25">
        <v>1</v>
      </c>
      <c r="AA200" s="25">
        <v>1</v>
      </c>
      <c r="AH200" s="5"/>
      <c r="AI200" s="5"/>
      <c r="AO200" s="5"/>
    </row>
    <row r="201" spans="10:41">
      <c r="J201" s="25">
        <v>197</v>
      </c>
      <c r="K201" s="16" t="s">
        <v>136</v>
      </c>
      <c r="L201" s="16" t="s">
        <v>18</v>
      </c>
      <c r="M201" s="16" t="s">
        <v>92</v>
      </c>
      <c r="N201" s="16" t="s">
        <v>19</v>
      </c>
      <c r="O201" s="16" t="s">
        <v>37</v>
      </c>
      <c r="Q201" s="9">
        <v>6</v>
      </c>
      <c r="R201" s="9">
        <v>4</v>
      </c>
      <c r="S201" s="9">
        <v>16</v>
      </c>
      <c r="T201" s="9">
        <v>5</v>
      </c>
      <c r="U201" s="9">
        <v>7</v>
      </c>
      <c r="W201" s="25">
        <v>1</v>
      </c>
      <c r="X201" s="25">
        <v>1</v>
      </c>
      <c r="Y201" s="25">
        <v>1</v>
      </c>
      <c r="Z201" s="25">
        <v>1</v>
      </c>
      <c r="AA201" s="25">
        <v>1</v>
      </c>
      <c r="AH201" s="5"/>
      <c r="AI201" s="5"/>
      <c r="AO201" s="5"/>
    </row>
    <row r="202" spans="10:41">
      <c r="J202" s="9">
        <v>198</v>
      </c>
      <c r="K202" s="16" t="s">
        <v>37</v>
      </c>
      <c r="L202" s="16" t="s">
        <v>34</v>
      </c>
      <c r="M202" s="16" t="s">
        <v>119</v>
      </c>
      <c r="N202" s="16" t="s">
        <v>34</v>
      </c>
      <c r="O202" s="16" t="s">
        <v>19</v>
      </c>
      <c r="Q202" s="9">
        <v>7</v>
      </c>
      <c r="R202" s="9">
        <v>9</v>
      </c>
      <c r="S202" s="9">
        <v>17</v>
      </c>
      <c r="T202" s="9">
        <v>9</v>
      </c>
      <c r="U202" s="9">
        <v>5</v>
      </c>
      <c r="W202" s="25">
        <v>1</v>
      </c>
      <c r="X202" s="25">
        <v>1</v>
      </c>
      <c r="Y202" s="25">
        <v>1</v>
      </c>
      <c r="Z202" s="25">
        <v>1</v>
      </c>
      <c r="AA202" s="25">
        <v>1</v>
      </c>
      <c r="AH202" s="5"/>
      <c r="AI202" s="5"/>
      <c r="AO202" s="5"/>
    </row>
    <row r="203" spans="10:41">
      <c r="J203" s="25">
        <v>199</v>
      </c>
      <c r="K203" s="16" t="s">
        <v>35</v>
      </c>
      <c r="L203" s="16" t="s">
        <v>37</v>
      </c>
      <c r="M203" s="16" t="s">
        <v>137</v>
      </c>
      <c r="N203" s="16" t="s">
        <v>37</v>
      </c>
      <c r="O203" s="16" t="s">
        <v>35</v>
      </c>
      <c r="Q203" s="9">
        <v>8</v>
      </c>
      <c r="R203" s="9">
        <v>7</v>
      </c>
      <c r="S203" s="9">
        <v>15</v>
      </c>
      <c r="T203" s="9">
        <v>7</v>
      </c>
      <c r="U203" s="9">
        <v>8</v>
      </c>
      <c r="W203" s="25">
        <v>1</v>
      </c>
      <c r="X203" s="25">
        <v>1</v>
      </c>
      <c r="Y203" s="25">
        <v>1</v>
      </c>
      <c r="Z203" s="25">
        <v>1</v>
      </c>
      <c r="AA203" s="25">
        <v>1</v>
      </c>
      <c r="AH203" s="5"/>
      <c r="AI203" s="5"/>
      <c r="AO203" s="5"/>
    </row>
    <row r="204" spans="10:41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1" priority="10">
      <formula>_xlfn.LET(_xlpm.x, W4, AND(NOT(_xlfn.ISFORMULA(_xlpm.x)), _xlpm.x&lt;&gt;""))</formula>
    </cfRule>
  </conditionalFormatting>
  <conditionalFormatting sqref="W4:AA203">
    <cfRule type="expression" dxfId="10" priority="5">
      <formula>_xlfn.LET(_xlpm.x, W4, AND(NOT(_xlfn.ISFORMULA(_xlpm.x)), _xlpm.x&lt;&gt;""))</formula>
    </cfRule>
  </conditionalFormatting>
  <conditionalFormatting sqref="C27:G46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{4AB0403D-96C4-4ADC-8CB7-C6DD471DA45E}</x14:id>
        </ext>
      </extLst>
    </cfRule>
  </conditionalFormatting>
  <conditionalFormatting sqref="K1:O1048576">
    <cfRule type="cellIs" dxfId="9" priority="1" operator="equal">
      <formula>"C1"</formula>
    </cfRule>
    <cfRule type="cellIs" dxfId="8" priority="2" operator="between">
      <formula>"G1"</formula>
      <formula>"G5"</formula>
    </cfRule>
    <cfRule type="cellIs" dxfId="7" priority="3" operator="between">
      <formula>"GA"</formula>
      <formula>"GJ"</formula>
    </cfRule>
    <cfRule type="cellIs" dxfId="6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B0403D-96C4-4ADC-8CB7-C6DD471DA4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C27:G46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7" width="9.5546875" style="5" bestFit="1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>
      <c r="I2" s="15"/>
      <c r="J2" s="27" t="s">
        <v>144</v>
      </c>
      <c r="Q2" s="27" t="s">
        <v>145</v>
      </c>
      <c r="W2" s="27" t="s">
        <v>146</v>
      </c>
      <c r="AC2" s="27" t="s">
        <v>158</v>
      </c>
      <c r="AH2" s="5"/>
      <c r="AI2" s="5"/>
      <c r="AJ2" s="27" t="s">
        <v>110</v>
      </c>
      <c r="AO2" s="5"/>
    </row>
    <row r="3" spans="1:41" ht="15.9" customHeight="1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>
      <c r="A4" s="29" t="str" cm="1">
        <f t="array" ref="A4:B23">Overview!A38:B57</f>
        <v>WW</v>
      </c>
      <c r="B4" s="8" t="str">
        <v>Wild</v>
      </c>
      <c r="C4" s="105">
        <f t="shared" ref="C4:G23" si="0">COUNTIF(K:K, $A4)</f>
        <v>0</v>
      </c>
      <c r="D4" s="105">
        <f t="shared" si="0"/>
        <v>0</v>
      </c>
      <c r="E4" s="105">
        <f t="shared" si="0"/>
        <v>0</v>
      </c>
      <c r="F4" s="105">
        <f t="shared" si="0"/>
        <v>0</v>
      </c>
      <c r="G4" s="105">
        <f t="shared" si="0"/>
        <v>0</v>
      </c>
      <c r="H4" s="8" cm="1">
        <f t="array" ref="H4:H23">Overview!F38:F57</f>
        <v>0</v>
      </c>
      <c r="I4" s="87"/>
      <c r="J4" s="25" cm="1">
        <f t="array" ref="J4:J103">_xlfn.SEQUENCE(MAX(COUNTA(K:K), COUNTA(L:L), COUNTA(M:M), COUNTA(N:N), COUNTA(O:O))-1,,0)</f>
        <v>0</v>
      </c>
      <c r="K4" s="26" t="s">
        <v>22</v>
      </c>
      <c r="L4" s="26" t="s">
        <v>35</v>
      </c>
      <c r="M4" s="26" t="s">
        <v>21</v>
      </c>
      <c r="N4" s="26" t="s">
        <v>97</v>
      </c>
      <c r="O4" s="26" t="s">
        <v>37</v>
      </c>
      <c r="Q4" s="25" cm="1">
        <f t="array" ref="Q4:U304">_xlfn.LET(_xlpm.x, K4:O304, IF(_xlpm.x="", "", _xlfn.XLOOKUP(_xlpm.x, $A$4:$A$23,_xlfn.ANCHORARRAY( H4))))</f>
        <v>3</v>
      </c>
      <c r="R4" s="25">
        <v>8</v>
      </c>
      <c r="S4" s="25">
        <v>2</v>
      </c>
      <c r="T4" s="25">
        <v>19</v>
      </c>
      <c r="U4" s="25">
        <v>7</v>
      </c>
      <c r="W4" s="25">
        <v>1</v>
      </c>
      <c r="X4" s="25">
        <v>1</v>
      </c>
      <c r="Y4" s="25">
        <v>1</v>
      </c>
      <c r="Z4" s="25">
        <v>1</v>
      </c>
      <c r="AA4" s="25">
        <v>1</v>
      </c>
      <c r="AB4" s="43"/>
      <c r="AC4" s="27" t="s">
        <v>142</v>
      </c>
      <c r="AH4" s="5"/>
      <c r="AI4" s="5"/>
      <c r="AJ4" s="27" t="s">
        <v>142</v>
      </c>
      <c r="AO4" s="5"/>
    </row>
    <row r="5" spans="1:41" ht="15.9" customHeight="1">
      <c r="A5" s="29" t="str">
        <v>C1</v>
      </c>
      <c r="B5" s="8" t="str">
        <v>Scatter</v>
      </c>
      <c r="C5" s="105">
        <f t="shared" si="0"/>
        <v>3</v>
      </c>
      <c r="D5" s="105">
        <f t="shared" si="0"/>
        <v>2</v>
      </c>
      <c r="E5" s="105">
        <f t="shared" si="0"/>
        <v>2</v>
      </c>
      <c r="F5" s="105">
        <f t="shared" si="0"/>
        <v>1</v>
      </c>
      <c r="G5" s="105">
        <f t="shared" si="0"/>
        <v>1</v>
      </c>
      <c r="H5" s="8">
        <v>1</v>
      </c>
      <c r="I5" s="87"/>
      <c r="J5" s="9">
        <v>1</v>
      </c>
      <c r="K5" s="16" t="s">
        <v>34</v>
      </c>
      <c r="L5" s="16" t="s">
        <v>35</v>
      </c>
      <c r="M5" s="16" t="s">
        <v>88</v>
      </c>
      <c r="N5" s="16" t="s">
        <v>35</v>
      </c>
      <c r="O5" s="16" t="s">
        <v>18</v>
      </c>
      <c r="Q5" s="9">
        <v>9</v>
      </c>
      <c r="R5" s="9">
        <v>8</v>
      </c>
      <c r="S5" s="9">
        <v>11</v>
      </c>
      <c r="T5" s="9">
        <v>8</v>
      </c>
      <c r="U5" s="9">
        <v>4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C5" s="146" t="s">
        <v>42</v>
      </c>
      <c r="AD5" s="146" t="s">
        <v>13</v>
      </c>
      <c r="AE5" s="146" t="s">
        <v>14</v>
      </c>
      <c r="AF5" s="146" t="s">
        <v>15</v>
      </c>
      <c r="AG5" s="146" t="s">
        <v>16</v>
      </c>
      <c r="AH5" s="146" t="s">
        <v>17</v>
      </c>
      <c r="AI5" s="5"/>
      <c r="AJ5" s="146" t="s">
        <v>42</v>
      </c>
      <c r="AK5" s="146" t="s">
        <v>13</v>
      </c>
      <c r="AL5" s="146" t="s">
        <v>14</v>
      </c>
      <c r="AM5" s="146" t="s">
        <v>15</v>
      </c>
      <c r="AN5" s="146" t="s">
        <v>16</v>
      </c>
      <c r="AO5" s="146" t="s">
        <v>17</v>
      </c>
    </row>
    <row r="6" spans="1:41" ht="15.9" customHeight="1">
      <c r="A6" s="144" t="str">
        <v>M1</v>
      </c>
      <c r="B6" s="118" t="str">
        <v>M1</v>
      </c>
      <c r="C6" s="144">
        <f t="shared" si="0"/>
        <v>16</v>
      </c>
      <c r="D6" s="144">
        <f t="shared" si="0"/>
        <v>8</v>
      </c>
      <c r="E6" s="144">
        <f t="shared" si="0"/>
        <v>9</v>
      </c>
      <c r="F6" s="144">
        <f t="shared" si="0"/>
        <v>3</v>
      </c>
      <c r="G6" s="144">
        <f t="shared" si="0"/>
        <v>6</v>
      </c>
      <c r="H6" s="118">
        <v>2</v>
      </c>
      <c r="I6" s="87"/>
      <c r="J6" s="25">
        <v>2</v>
      </c>
      <c r="K6" s="16" t="s">
        <v>18</v>
      </c>
      <c r="L6" s="16" t="s">
        <v>34</v>
      </c>
      <c r="M6" s="16" t="s">
        <v>37</v>
      </c>
      <c r="N6" s="16" t="s">
        <v>95</v>
      </c>
      <c r="O6" s="16" t="s">
        <v>19</v>
      </c>
      <c r="Q6" s="9">
        <v>4</v>
      </c>
      <c r="R6" s="9">
        <v>9</v>
      </c>
      <c r="S6" s="9">
        <v>7</v>
      </c>
      <c r="T6" s="9">
        <v>18</v>
      </c>
      <c r="U6" s="9">
        <v>5</v>
      </c>
      <c r="W6" s="25">
        <v>1</v>
      </c>
      <c r="X6" s="25">
        <v>1</v>
      </c>
      <c r="Y6" s="25">
        <v>1</v>
      </c>
      <c r="Z6" s="25">
        <v>1</v>
      </c>
      <c r="AA6" s="25">
        <v>1</v>
      </c>
      <c r="AC6" s="149" t="str" cm="1">
        <f t="array" ref="AC6:AC25">$A$4:$A$23</f>
        <v>WW</v>
      </c>
      <c r="AD6" s="150">
        <v>0</v>
      </c>
      <c r="AE6" s="150">
        <v>0</v>
      </c>
      <c r="AF6" s="150">
        <v>0</v>
      </c>
      <c r="AG6" s="150">
        <v>0</v>
      </c>
      <c r="AH6" s="150">
        <v>0</v>
      </c>
      <c r="AI6" s="5"/>
      <c r="AJ6" s="149" t="str" cm="1">
        <f t="array" ref="AJ6:AJ25">$A$4:$A$23</f>
        <v>WW</v>
      </c>
      <c r="AK6" s="150">
        <v>0</v>
      </c>
      <c r="AL6" s="150">
        <v>0</v>
      </c>
      <c r="AM6" s="150">
        <v>0</v>
      </c>
      <c r="AN6" s="150">
        <v>0</v>
      </c>
      <c r="AO6" s="150">
        <v>0</v>
      </c>
    </row>
    <row r="7" spans="1:41" ht="15.9" customHeight="1">
      <c r="A7" s="144" t="str">
        <v>M2</v>
      </c>
      <c r="B7" s="118" t="str">
        <v>M2</v>
      </c>
      <c r="C7" s="144">
        <f t="shared" si="0"/>
        <v>16</v>
      </c>
      <c r="D7" s="144">
        <f t="shared" si="0"/>
        <v>10</v>
      </c>
      <c r="E7" s="144">
        <f t="shared" si="0"/>
        <v>11</v>
      </c>
      <c r="F7" s="144">
        <f t="shared" si="0"/>
        <v>5</v>
      </c>
      <c r="G7" s="144">
        <f t="shared" si="0"/>
        <v>11</v>
      </c>
      <c r="H7" s="118">
        <v>3</v>
      </c>
      <c r="I7" s="87"/>
      <c r="J7" s="9">
        <v>3</v>
      </c>
      <c r="K7" s="16" t="s">
        <v>37</v>
      </c>
      <c r="L7" s="26" t="s">
        <v>35</v>
      </c>
      <c r="M7" s="16" t="s">
        <v>35</v>
      </c>
      <c r="N7" s="16" t="s">
        <v>18</v>
      </c>
      <c r="O7" s="16" t="s">
        <v>34</v>
      </c>
      <c r="Q7" s="9">
        <v>7</v>
      </c>
      <c r="R7" s="9">
        <v>8</v>
      </c>
      <c r="S7" s="9">
        <v>8</v>
      </c>
      <c r="T7" s="9">
        <v>4</v>
      </c>
      <c r="U7" s="9">
        <v>9</v>
      </c>
      <c r="W7" s="25">
        <v>1</v>
      </c>
      <c r="X7" s="25">
        <v>1</v>
      </c>
      <c r="Y7" s="25">
        <v>1</v>
      </c>
      <c r="Z7" s="25">
        <v>1</v>
      </c>
      <c r="AA7" s="25">
        <v>1</v>
      </c>
      <c r="AC7" s="149" t="str">
        <v>C1</v>
      </c>
      <c r="AD7" s="149">
        <v>1</v>
      </c>
      <c r="AE7" s="149">
        <v>1</v>
      </c>
      <c r="AF7" s="149">
        <v>1</v>
      </c>
      <c r="AG7" s="149">
        <v>1</v>
      </c>
      <c r="AH7" s="149">
        <v>1</v>
      </c>
      <c r="AI7" s="5"/>
      <c r="AJ7" s="149" t="str">
        <v>C1</v>
      </c>
      <c r="AK7" s="149">
        <v>1</v>
      </c>
      <c r="AL7" s="149">
        <v>1</v>
      </c>
      <c r="AM7" s="149">
        <v>1</v>
      </c>
      <c r="AN7" s="149">
        <v>1</v>
      </c>
      <c r="AO7" s="149">
        <v>1</v>
      </c>
    </row>
    <row r="8" spans="1:41" ht="15.9" customHeight="1">
      <c r="A8" s="144" t="str">
        <v>M3</v>
      </c>
      <c r="B8" s="118" t="str">
        <v>M3</v>
      </c>
      <c r="C8" s="144">
        <f t="shared" si="0"/>
        <v>8</v>
      </c>
      <c r="D8" s="144">
        <f t="shared" si="0"/>
        <v>10</v>
      </c>
      <c r="E8" s="144">
        <f t="shared" si="0"/>
        <v>8</v>
      </c>
      <c r="F8" s="144">
        <f t="shared" si="0"/>
        <v>11</v>
      </c>
      <c r="G8" s="144">
        <f t="shared" si="0"/>
        <v>12</v>
      </c>
      <c r="H8" s="118">
        <v>4</v>
      </c>
      <c r="I8" s="87"/>
      <c r="J8" s="25">
        <v>4</v>
      </c>
      <c r="K8" s="16" t="s">
        <v>34</v>
      </c>
      <c r="L8" s="16" t="s">
        <v>36</v>
      </c>
      <c r="M8" s="16" t="s">
        <v>18</v>
      </c>
      <c r="N8" s="16" t="s">
        <v>95</v>
      </c>
      <c r="O8" s="16" t="s">
        <v>34</v>
      </c>
      <c r="Q8" s="9">
        <v>9</v>
      </c>
      <c r="R8" s="9">
        <v>10</v>
      </c>
      <c r="S8" s="9">
        <v>4</v>
      </c>
      <c r="T8" s="9">
        <v>18</v>
      </c>
      <c r="U8" s="9">
        <v>9</v>
      </c>
      <c r="W8" s="25">
        <v>1</v>
      </c>
      <c r="X8" s="25">
        <v>1</v>
      </c>
      <c r="Y8" s="25">
        <v>1</v>
      </c>
      <c r="Z8" s="25">
        <v>1</v>
      </c>
      <c r="AA8" s="25">
        <v>1</v>
      </c>
      <c r="AC8" s="166" t="str">
        <v>M1</v>
      </c>
      <c r="AD8" s="167">
        <v>0</v>
      </c>
      <c r="AE8" s="167">
        <v>0</v>
      </c>
      <c r="AF8" s="167">
        <v>0</v>
      </c>
      <c r="AG8" s="167">
        <v>0</v>
      </c>
      <c r="AH8" s="167">
        <v>0</v>
      </c>
      <c r="AI8" s="5"/>
      <c r="AJ8" s="166" t="str">
        <v>M1</v>
      </c>
      <c r="AK8" s="167">
        <v>0</v>
      </c>
      <c r="AL8" s="167">
        <v>0</v>
      </c>
      <c r="AM8" s="167">
        <v>0</v>
      </c>
      <c r="AN8" s="167">
        <v>0</v>
      </c>
      <c r="AO8" s="167">
        <v>0</v>
      </c>
    </row>
    <row r="9" spans="1:41" ht="15.9" customHeight="1">
      <c r="A9" s="144" t="str">
        <v>M4</v>
      </c>
      <c r="B9" s="118" t="str">
        <v>M4</v>
      </c>
      <c r="C9" s="144">
        <f t="shared" si="0"/>
        <v>12</v>
      </c>
      <c r="D9" s="144">
        <f t="shared" si="0"/>
        <v>13</v>
      </c>
      <c r="E9" s="144">
        <f t="shared" si="0"/>
        <v>9</v>
      </c>
      <c r="F9" s="144">
        <f t="shared" si="0"/>
        <v>8</v>
      </c>
      <c r="G9" s="144">
        <f t="shared" si="0"/>
        <v>8</v>
      </c>
      <c r="H9" s="118">
        <v>5</v>
      </c>
      <c r="I9" s="87"/>
      <c r="J9" s="9">
        <v>5</v>
      </c>
      <c r="K9" s="16" t="s">
        <v>19</v>
      </c>
      <c r="L9" s="16" t="s">
        <v>37</v>
      </c>
      <c r="M9" s="16" t="s">
        <v>18</v>
      </c>
      <c r="N9" s="16" t="s">
        <v>37</v>
      </c>
      <c r="O9" s="16" t="s">
        <v>35</v>
      </c>
      <c r="Q9" s="9">
        <v>5</v>
      </c>
      <c r="R9" s="9">
        <v>7</v>
      </c>
      <c r="S9" s="9">
        <v>4</v>
      </c>
      <c r="T9" s="9">
        <v>7</v>
      </c>
      <c r="U9" s="9">
        <v>8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C9" s="166" t="str">
        <v>M2</v>
      </c>
      <c r="AD9" s="166">
        <v>15</v>
      </c>
      <c r="AE9" s="166">
        <v>53</v>
      </c>
      <c r="AF9" s="166">
        <v>5</v>
      </c>
      <c r="AG9" s="166">
        <v>48</v>
      </c>
      <c r="AH9" s="166">
        <v>58</v>
      </c>
      <c r="AI9" s="5"/>
      <c r="AJ9" s="166" t="str">
        <v>M2</v>
      </c>
      <c r="AK9" s="166">
        <v>15</v>
      </c>
      <c r="AL9" s="166">
        <v>53</v>
      </c>
      <c r="AM9" s="166">
        <v>5</v>
      </c>
      <c r="AN9" s="166">
        <v>48</v>
      </c>
      <c r="AO9" s="166">
        <v>58</v>
      </c>
    </row>
    <row r="10" spans="1:41" ht="15.9" customHeight="1">
      <c r="A10" s="144" t="str">
        <v>M5</v>
      </c>
      <c r="B10" s="118" t="str">
        <v>M5</v>
      </c>
      <c r="C10" s="144">
        <f t="shared" si="0"/>
        <v>0</v>
      </c>
      <c r="D10" s="144">
        <f t="shared" si="0"/>
        <v>0</v>
      </c>
      <c r="E10" s="144">
        <f t="shared" si="0"/>
        <v>0</v>
      </c>
      <c r="F10" s="144">
        <f t="shared" si="0"/>
        <v>0</v>
      </c>
      <c r="G10" s="144">
        <f t="shared" si="0"/>
        <v>0</v>
      </c>
      <c r="H10" s="118">
        <v>6</v>
      </c>
      <c r="I10" s="87"/>
      <c r="J10" s="25">
        <v>6</v>
      </c>
      <c r="K10" s="16" t="s">
        <v>37</v>
      </c>
      <c r="L10" s="16" t="s">
        <v>36</v>
      </c>
      <c r="M10" s="16" t="s">
        <v>88</v>
      </c>
      <c r="N10" s="16" t="s">
        <v>97</v>
      </c>
      <c r="O10" s="16" t="s">
        <v>37</v>
      </c>
      <c r="Q10" s="9">
        <v>7</v>
      </c>
      <c r="R10" s="9">
        <v>10</v>
      </c>
      <c r="S10" s="9">
        <v>11</v>
      </c>
      <c r="T10" s="9">
        <v>19</v>
      </c>
      <c r="U10" s="9">
        <v>7</v>
      </c>
      <c r="W10" s="25">
        <v>1</v>
      </c>
      <c r="X10" s="25">
        <v>1</v>
      </c>
      <c r="Y10" s="25">
        <v>1</v>
      </c>
      <c r="Z10" s="25">
        <v>1</v>
      </c>
      <c r="AA10" s="25">
        <v>1</v>
      </c>
      <c r="AC10" s="166" t="str">
        <v>M3</v>
      </c>
      <c r="AD10" s="166">
        <v>3</v>
      </c>
      <c r="AE10" s="166">
        <v>38</v>
      </c>
      <c r="AF10" s="166">
        <v>20</v>
      </c>
      <c r="AG10" s="166">
        <v>40</v>
      </c>
      <c r="AH10" s="166">
        <v>48</v>
      </c>
      <c r="AI10" s="5"/>
      <c r="AJ10" s="166" t="str">
        <v>M3</v>
      </c>
      <c r="AK10" s="166">
        <v>3</v>
      </c>
      <c r="AL10" s="166">
        <v>38</v>
      </c>
      <c r="AM10" s="166">
        <v>20</v>
      </c>
      <c r="AN10" s="166">
        <v>40</v>
      </c>
      <c r="AO10" s="166">
        <v>48</v>
      </c>
    </row>
    <row r="11" spans="1:41" ht="15.9" customHeight="1">
      <c r="A11" s="144" t="str">
        <v>A</v>
      </c>
      <c r="B11" s="118" t="str">
        <v>A</v>
      </c>
      <c r="C11" s="144">
        <f t="shared" si="0"/>
        <v>12</v>
      </c>
      <c r="D11" s="144">
        <f t="shared" si="0"/>
        <v>11</v>
      </c>
      <c r="E11" s="144">
        <f t="shared" si="0"/>
        <v>8</v>
      </c>
      <c r="F11" s="144">
        <f t="shared" si="0"/>
        <v>11</v>
      </c>
      <c r="G11" s="144">
        <f t="shared" si="0"/>
        <v>18</v>
      </c>
      <c r="H11" s="118">
        <v>7</v>
      </c>
      <c r="I11" s="87"/>
      <c r="J11" s="9">
        <v>7</v>
      </c>
      <c r="K11" s="16" t="s">
        <v>20</v>
      </c>
      <c r="L11" s="16" t="s">
        <v>18</v>
      </c>
      <c r="M11" s="16" t="s">
        <v>89</v>
      </c>
      <c r="N11" s="16" t="s">
        <v>22</v>
      </c>
      <c r="O11" s="16" t="s">
        <v>21</v>
      </c>
      <c r="Q11" s="9">
        <v>1</v>
      </c>
      <c r="R11" s="9">
        <v>4</v>
      </c>
      <c r="S11" s="9">
        <v>12</v>
      </c>
      <c r="T11" s="9">
        <v>3</v>
      </c>
      <c r="U11" s="9">
        <v>2</v>
      </c>
      <c r="W11" s="25">
        <v>1</v>
      </c>
      <c r="X11" s="25">
        <v>1</v>
      </c>
      <c r="Y11" s="25">
        <v>1</v>
      </c>
      <c r="Z11" s="25">
        <v>1</v>
      </c>
      <c r="AA11" s="25">
        <v>1</v>
      </c>
      <c r="AC11" s="166" t="str">
        <v>M4</v>
      </c>
      <c r="AD11" s="166">
        <v>38</v>
      </c>
      <c r="AE11" s="166">
        <v>27</v>
      </c>
      <c r="AF11" s="166">
        <v>33</v>
      </c>
      <c r="AG11" s="166">
        <v>20</v>
      </c>
      <c r="AH11" s="166">
        <v>24</v>
      </c>
      <c r="AI11" s="5"/>
      <c r="AJ11" s="166" t="str">
        <v>M4</v>
      </c>
      <c r="AK11" s="166">
        <v>38</v>
      </c>
      <c r="AL11" s="166">
        <v>27</v>
      </c>
      <c r="AM11" s="166">
        <v>33</v>
      </c>
      <c r="AN11" s="166">
        <v>20</v>
      </c>
      <c r="AO11" s="166">
        <v>24</v>
      </c>
    </row>
    <row r="12" spans="1:41" ht="15.9" customHeight="1">
      <c r="A12" s="144" t="str">
        <v>K</v>
      </c>
      <c r="B12" s="118" t="str">
        <v>K</v>
      </c>
      <c r="C12" s="144">
        <f t="shared" si="0"/>
        <v>12</v>
      </c>
      <c r="D12" s="144">
        <f t="shared" si="0"/>
        <v>15</v>
      </c>
      <c r="E12" s="144">
        <f t="shared" si="0"/>
        <v>10</v>
      </c>
      <c r="F12" s="144">
        <f t="shared" si="0"/>
        <v>12</v>
      </c>
      <c r="G12" s="144">
        <f t="shared" si="0"/>
        <v>17</v>
      </c>
      <c r="H12" s="118">
        <v>8</v>
      </c>
      <c r="I12" s="87"/>
      <c r="J12" s="25">
        <v>8</v>
      </c>
      <c r="K12" s="16" t="s">
        <v>37</v>
      </c>
      <c r="L12" s="16" t="s">
        <v>37</v>
      </c>
      <c r="M12" s="16" t="s">
        <v>37</v>
      </c>
      <c r="N12" s="16" t="s">
        <v>88</v>
      </c>
      <c r="O12" s="16" t="s">
        <v>22</v>
      </c>
      <c r="Q12" s="9">
        <v>7</v>
      </c>
      <c r="R12" s="9">
        <v>7</v>
      </c>
      <c r="S12" s="9">
        <v>7</v>
      </c>
      <c r="T12" s="9">
        <v>11</v>
      </c>
      <c r="U12" s="9">
        <v>3</v>
      </c>
      <c r="W12" s="25">
        <v>1</v>
      </c>
      <c r="X12" s="25">
        <v>1</v>
      </c>
      <c r="Y12" s="25">
        <v>1</v>
      </c>
      <c r="Z12" s="25">
        <v>1</v>
      </c>
      <c r="AA12" s="25">
        <v>1</v>
      </c>
      <c r="AC12" s="166" t="str">
        <v>M5</v>
      </c>
      <c r="AD12" s="166">
        <v>11</v>
      </c>
      <c r="AE12" s="166">
        <v>27</v>
      </c>
      <c r="AF12" s="166">
        <v>5</v>
      </c>
      <c r="AG12" s="166">
        <v>28</v>
      </c>
      <c r="AH12" s="166">
        <v>30</v>
      </c>
      <c r="AI12" s="5"/>
      <c r="AJ12" s="166" t="str">
        <v>M5</v>
      </c>
      <c r="AK12" s="166">
        <v>11</v>
      </c>
      <c r="AL12" s="166">
        <v>27</v>
      </c>
      <c r="AM12" s="166">
        <v>5</v>
      </c>
      <c r="AN12" s="166">
        <v>28</v>
      </c>
      <c r="AO12" s="166">
        <v>30</v>
      </c>
    </row>
    <row r="13" spans="1:41" ht="15.9" customHeight="1">
      <c r="A13" s="144" t="str">
        <v>Q</v>
      </c>
      <c r="B13" s="118" t="str">
        <v>Q</v>
      </c>
      <c r="C13" s="144">
        <f t="shared" si="0"/>
        <v>12</v>
      </c>
      <c r="D13" s="144">
        <f t="shared" si="0"/>
        <v>14</v>
      </c>
      <c r="E13" s="144">
        <f t="shared" si="0"/>
        <v>11</v>
      </c>
      <c r="F13" s="144">
        <f t="shared" si="0"/>
        <v>9</v>
      </c>
      <c r="G13" s="144">
        <f t="shared" si="0"/>
        <v>13</v>
      </c>
      <c r="H13" s="118">
        <v>9</v>
      </c>
      <c r="I13" s="87"/>
      <c r="J13" s="9">
        <v>9</v>
      </c>
      <c r="K13" s="16" t="s">
        <v>37</v>
      </c>
      <c r="L13" s="16" t="s">
        <v>35</v>
      </c>
      <c r="M13" s="16" t="s">
        <v>35</v>
      </c>
      <c r="N13" s="16" t="s">
        <v>19</v>
      </c>
      <c r="O13" s="16" t="s">
        <v>22</v>
      </c>
      <c r="Q13" s="9">
        <v>7</v>
      </c>
      <c r="R13" s="9">
        <v>8</v>
      </c>
      <c r="S13" s="9">
        <v>8</v>
      </c>
      <c r="T13" s="9">
        <v>5</v>
      </c>
      <c r="U13" s="9">
        <v>3</v>
      </c>
      <c r="W13" s="25">
        <v>1</v>
      </c>
      <c r="X13" s="25">
        <v>1</v>
      </c>
      <c r="Y13" s="25">
        <v>1</v>
      </c>
      <c r="Z13" s="25">
        <v>1</v>
      </c>
      <c r="AA13" s="25">
        <v>1</v>
      </c>
      <c r="AC13" s="166" t="str">
        <v>A</v>
      </c>
      <c r="AD13" s="166">
        <v>33</v>
      </c>
      <c r="AE13" s="166">
        <v>14</v>
      </c>
      <c r="AF13" s="166">
        <v>35</v>
      </c>
      <c r="AG13" s="166">
        <v>8</v>
      </c>
      <c r="AH13" s="166">
        <v>10</v>
      </c>
      <c r="AI13" s="5"/>
      <c r="AJ13" s="166" t="str">
        <v>A</v>
      </c>
      <c r="AK13" s="166">
        <v>33</v>
      </c>
      <c r="AL13" s="166">
        <v>14</v>
      </c>
      <c r="AM13" s="166">
        <v>35</v>
      </c>
      <c r="AN13" s="166">
        <v>8</v>
      </c>
      <c r="AO13" s="166">
        <v>10</v>
      </c>
    </row>
    <row r="14" spans="1:41" ht="15.9" customHeight="1">
      <c r="A14" s="144" t="str">
        <v>J</v>
      </c>
      <c r="B14" s="118" t="str">
        <v>J</v>
      </c>
      <c r="C14" s="144">
        <f t="shared" si="0"/>
        <v>9</v>
      </c>
      <c r="D14" s="144">
        <f t="shared" si="0"/>
        <v>17</v>
      </c>
      <c r="E14" s="144">
        <f t="shared" si="0"/>
        <v>7</v>
      </c>
      <c r="F14" s="144">
        <f t="shared" si="0"/>
        <v>12</v>
      </c>
      <c r="G14" s="144">
        <f t="shared" si="0"/>
        <v>14</v>
      </c>
      <c r="H14" s="118">
        <v>10</v>
      </c>
      <c r="I14" s="87"/>
      <c r="J14" s="25">
        <v>10</v>
      </c>
      <c r="K14" s="16" t="s">
        <v>22</v>
      </c>
      <c r="L14" s="16" t="s">
        <v>37</v>
      </c>
      <c r="M14" s="16" t="s">
        <v>18</v>
      </c>
      <c r="N14" s="16" t="s">
        <v>37</v>
      </c>
      <c r="O14" s="16" t="s">
        <v>37</v>
      </c>
      <c r="Q14" s="9">
        <v>3</v>
      </c>
      <c r="R14" s="9">
        <v>7</v>
      </c>
      <c r="S14" s="9">
        <v>4</v>
      </c>
      <c r="T14" s="9">
        <v>7</v>
      </c>
      <c r="U14" s="9">
        <v>7</v>
      </c>
      <c r="W14" s="25">
        <v>1</v>
      </c>
      <c r="X14" s="25">
        <v>1</v>
      </c>
      <c r="Y14" s="25">
        <v>1</v>
      </c>
      <c r="Z14" s="25">
        <v>1</v>
      </c>
      <c r="AA14" s="25">
        <v>1</v>
      </c>
      <c r="AC14" s="166" t="str">
        <v>K</v>
      </c>
      <c r="AD14" s="166">
        <v>40</v>
      </c>
      <c r="AE14" s="166">
        <v>3</v>
      </c>
      <c r="AF14" s="166">
        <v>23</v>
      </c>
      <c r="AG14" s="166">
        <v>1</v>
      </c>
      <c r="AH14" s="166">
        <v>1</v>
      </c>
      <c r="AI14" s="5"/>
      <c r="AJ14" s="166" t="str">
        <v>K</v>
      </c>
      <c r="AK14" s="166">
        <v>40</v>
      </c>
      <c r="AL14" s="166">
        <v>3</v>
      </c>
      <c r="AM14" s="166">
        <v>23</v>
      </c>
      <c r="AN14" s="166">
        <v>1</v>
      </c>
      <c r="AO14" s="166">
        <v>1</v>
      </c>
    </row>
    <row r="15" spans="1:41" ht="15.9" customHeight="1">
      <c r="A15" s="29" t="str">
        <v>G1</v>
      </c>
      <c r="B15" s="8" t="str">
        <v>Gold M1</v>
      </c>
      <c r="C15" s="105">
        <f t="shared" si="0"/>
        <v>0</v>
      </c>
      <c r="D15" s="105">
        <f t="shared" si="0"/>
        <v>0</v>
      </c>
      <c r="E15" s="105">
        <f t="shared" si="0"/>
        <v>7</v>
      </c>
      <c r="F15" s="105">
        <f t="shared" si="0"/>
        <v>2</v>
      </c>
      <c r="G15" s="105">
        <f t="shared" si="0"/>
        <v>0</v>
      </c>
      <c r="H15" s="8">
        <v>11</v>
      </c>
      <c r="I15" s="87"/>
      <c r="J15" s="9">
        <v>11</v>
      </c>
      <c r="K15" s="16" t="s">
        <v>19</v>
      </c>
      <c r="L15" s="16" t="s">
        <v>36</v>
      </c>
      <c r="M15" s="16" t="s">
        <v>34</v>
      </c>
      <c r="N15" s="16" t="s">
        <v>95</v>
      </c>
      <c r="O15" s="16" t="s">
        <v>35</v>
      </c>
      <c r="Q15" s="9">
        <v>5</v>
      </c>
      <c r="R15" s="9">
        <v>10</v>
      </c>
      <c r="S15" s="9">
        <v>9</v>
      </c>
      <c r="T15" s="9">
        <v>18</v>
      </c>
      <c r="U15" s="9">
        <v>8</v>
      </c>
      <c r="W15" s="25">
        <v>1</v>
      </c>
      <c r="X15" s="25">
        <v>1</v>
      </c>
      <c r="Y15" s="25">
        <v>1</v>
      </c>
      <c r="Z15" s="25">
        <v>1</v>
      </c>
      <c r="AA15" s="25">
        <v>1</v>
      </c>
      <c r="AC15" s="166" t="str">
        <v>Q</v>
      </c>
      <c r="AD15" s="166">
        <v>11</v>
      </c>
      <c r="AE15" s="166">
        <v>33</v>
      </c>
      <c r="AF15" s="166">
        <v>8</v>
      </c>
      <c r="AG15" s="166">
        <v>20</v>
      </c>
      <c r="AH15" s="166">
        <v>28</v>
      </c>
      <c r="AI15" s="5"/>
      <c r="AJ15" s="166" t="str">
        <v>Q</v>
      </c>
      <c r="AK15" s="166">
        <v>11</v>
      </c>
      <c r="AL15" s="166">
        <v>33</v>
      </c>
      <c r="AM15" s="166">
        <v>8</v>
      </c>
      <c r="AN15" s="166">
        <v>20</v>
      </c>
      <c r="AO15" s="166">
        <v>28</v>
      </c>
    </row>
    <row r="16" spans="1:41" ht="15.9" customHeight="1">
      <c r="A16" s="29" t="str">
        <v>G2</v>
      </c>
      <c r="B16" s="8" t="str">
        <v>Gold M2</v>
      </c>
      <c r="C16" s="105">
        <f t="shared" si="0"/>
        <v>0</v>
      </c>
      <c r="D16" s="105">
        <f t="shared" si="0"/>
        <v>0</v>
      </c>
      <c r="E16" s="105">
        <f t="shared" si="0"/>
        <v>2</v>
      </c>
      <c r="F16" s="105">
        <f t="shared" si="0"/>
        <v>1</v>
      </c>
      <c r="G16" s="105">
        <f t="shared" si="0"/>
        <v>0</v>
      </c>
      <c r="H16" s="8">
        <v>12</v>
      </c>
      <c r="I16" s="87"/>
      <c r="J16" s="25">
        <v>12</v>
      </c>
      <c r="K16" s="16" t="s">
        <v>18</v>
      </c>
      <c r="L16" s="16" t="s">
        <v>22</v>
      </c>
      <c r="M16" s="16" t="s">
        <v>90</v>
      </c>
      <c r="N16" s="16" t="s">
        <v>95</v>
      </c>
      <c r="O16" s="16" t="s">
        <v>36</v>
      </c>
      <c r="Q16" s="9">
        <v>4</v>
      </c>
      <c r="R16" s="9">
        <v>3</v>
      </c>
      <c r="S16" s="9">
        <v>13</v>
      </c>
      <c r="T16" s="9">
        <v>18</v>
      </c>
      <c r="U16" s="9">
        <v>10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C16" s="166" t="str">
        <v>J</v>
      </c>
      <c r="AD16" s="166">
        <v>44</v>
      </c>
      <c r="AE16" s="166">
        <v>1</v>
      </c>
      <c r="AF16" s="166">
        <v>39</v>
      </c>
      <c r="AG16" s="166">
        <v>5</v>
      </c>
      <c r="AH16" s="166">
        <v>1</v>
      </c>
      <c r="AI16" s="5"/>
      <c r="AJ16" s="166" t="str">
        <v>J</v>
      </c>
      <c r="AK16" s="166">
        <v>44</v>
      </c>
      <c r="AL16" s="166">
        <v>1</v>
      </c>
      <c r="AM16" s="166">
        <v>39</v>
      </c>
      <c r="AN16" s="166">
        <v>5</v>
      </c>
      <c r="AO16" s="166">
        <v>1</v>
      </c>
    </row>
    <row r="17" spans="1:41" ht="15.9" customHeight="1">
      <c r="A17" s="29" t="str">
        <v>G3</v>
      </c>
      <c r="B17" s="8" t="str">
        <v>Gold M3</v>
      </c>
      <c r="C17" s="105">
        <f t="shared" si="0"/>
        <v>0</v>
      </c>
      <c r="D17" s="105">
        <f t="shared" si="0"/>
        <v>0</v>
      </c>
      <c r="E17" s="105">
        <f t="shared" si="0"/>
        <v>2</v>
      </c>
      <c r="F17" s="105">
        <f t="shared" si="0"/>
        <v>4</v>
      </c>
      <c r="G17" s="105">
        <f t="shared" si="0"/>
        <v>0</v>
      </c>
      <c r="H17" s="8">
        <v>13</v>
      </c>
      <c r="I17" s="87"/>
      <c r="J17" s="9">
        <v>13</v>
      </c>
      <c r="K17" s="16" t="s">
        <v>22</v>
      </c>
      <c r="L17" s="16" t="s">
        <v>18</v>
      </c>
      <c r="M17" s="16" t="s">
        <v>22</v>
      </c>
      <c r="N17" s="16" t="s">
        <v>21</v>
      </c>
      <c r="O17" s="16" t="s">
        <v>35</v>
      </c>
      <c r="Q17" s="9">
        <v>3</v>
      </c>
      <c r="R17" s="9">
        <v>4</v>
      </c>
      <c r="S17" s="9">
        <v>3</v>
      </c>
      <c r="T17" s="9">
        <v>2</v>
      </c>
      <c r="U17" s="9">
        <v>8</v>
      </c>
      <c r="W17" s="25">
        <v>1</v>
      </c>
      <c r="X17" s="25">
        <v>1</v>
      </c>
      <c r="Y17" s="25">
        <v>1</v>
      </c>
      <c r="Z17" s="25">
        <v>1</v>
      </c>
      <c r="AA17" s="25">
        <v>1</v>
      </c>
      <c r="AC17" s="149" t="str">
        <v>G1</v>
      </c>
      <c r="AD17" s="150">
        <v>0</v>
      </c>
      <c r="AE17" s="150">
        <v>0</v>
      </c>
      <c r="AF17" s="149">
        <v>1</v>
      </c>
      <c r="AG17" s="149">
        <v>8</v>
      </c>
      <c r="AH17" s="150">
        <v>0</v>
      </c>
      <c r="AI17" s="5"/>
      <c r="AJ17" s="149" t="str">
        <v>G1</v>
      </c>
      <c r="AK17" s="150">
        <v>0</v>
      </c>
      <c r="AL17" s="150">
        <v>0</v>
      </c>
      <c r="AM17" s="149">
        <v>1</v>
      </c>
      <c r="AN17" s="149">
        <v>8</v>
      </c>
      <c r="AO17" s="150">
        <v>0</v>
      </c>
    </row>
    <row r="18" spans="1:41" ht="15.9" customHeight="1">
      <c r="A18" s="29" t="str">
        <v>G4</v>
      </c>
      <c r="B18" s="8" t="str">
        <v>Gold M4</v>
      </c>
      <c r="C18" s="105">
        <f t="shared" si="0"/>
        <v>0</v>
      </c>
      <c r="D18" s="105">
        <f t="shared" si="0"/>
        <v>0</v>
      </c>
      <c r="E18" s="105">
        <f t="shared" si="0"/>
        <v>2</v>
      </c>
      <c r="F18" s="105">
        <f t="shared" si="0"/>
        <v>3</v>
      </c>
      <c r="G18" s="105">
        <f t="shared" si="0"/>
        <v>0</v>
      </c>
      <c r="H18" s="8">
        <v>14</v>
      </c>
      <c r="I18" s="87"/>
      <c r="J18" s="25">
        <v>14</v>
      </c>
      <c r="K18" s="16" t="s">
        <v>36</v>
      </c>
      <c r="L18" s="16" t="s">
        <v>35</v>
      </c>
      <c r="M18" s="16" t="s">
        <v>18</v>
      </c>
      <c r="N18" s="16" t="s">
        <v>21</v>
      </c>
      <c r="O18" s="16" t="s">
        <v>37</v>
      </c>
      <c r="Q18" s="9">
        <v>10</v>
      </c>
      <c r="R18" s="9">
        <v>8</v>
      </c>
      <c r="S18" s="9">
        <v>4</v>
      </c>
      <c r="T18" s="9">
        <v>2</v>
      </c>
      <c r="U18" s="9">
        <v>7</v>
      </c>
      <c r="W18" s="25">
        <v>1</v>
      </c>
      <c r="X18" s="25">
        <v>1</v>
      </c>
      <c r="Y18" s="25">
        <v>1</v>
      </c>
      <c r="Z18" s="25">
        <v>1</v>
      </c>
      <c r="AA18" s="25">
        <v>1</v>
      </c>
      <c r="AC18" s="149" t="str">
        <v>G2</v>
      </c>
      <c r="AD18" s="150">
        <v>0</v>
      </c>
      <c r="AE18" s="150">
        <v>0</v>
      </c>
      <c r="AF18" s="149">
        <v>3</v>
      </c>
      <c r="AG18" s="149">
        <v>7</v>
      </c>
      <c r="AH18" s="150">
        <v>0</v>
      </c>
      <c r="AI18" s="5"/>
      <c r="AJ18" s="149" t="str">
        <v>G2</v>
      </c>
      <c r="AK18" s="150">
        <v>0</v>
      </c>
      <c r="AL18" s="150">
        <v>0</v>
      </c>
      <c r="AM18" s="149">
        <v>3</v>
      </c>
      <c r="AN18" s="149">
        <v>7</v>
      </c>
      <c r="AO18" s="150">
        <v>0</v>
      </c>
    </row>
    <row r="19" spans="1:41" ht="15.9" customHeight="1">
      <c r="A19" s="29" t="str">
        <v>G5</v>
      </c>
      <c r="B19" s="8" t="str">
        <v>Gold M5</v>
      </c>
      <c r="C19" s="105">
        <f t="shared" si="0"/>
        <v>0</v>
      </c>
      <c r="D19" s="105">
        <f t="shared" si="0"/>
        <v>0</v>
      </c>
      <c r="E19" s="105">
        <f t="shared" si="0"/>
        <v>0</v>
      </c>
      <c r="F19" s="105">
        <f t="shared" si="0"/>
        <v>0</v>
      </c>
      <c r="G19" s="105">
        <f t="shared" si="0"/>
        <v>0</v>
      </c>
      <c r="H19" s="8">
        <v>15</v>
      </c>
      <c r="I19" s="87"/>
      <c r="J19" s="9">
        <v>15</v>
      </c>
      <c r="K19" s="16" t="s">
        <v>37</v>
      </c>
      <c r="L19" s="16" t="s">
        <v>36</v>
      </c>
      <c r="M19" s="16" t="s">
        <v>36</v>
      </c>
      <c r="N19" s="16" t="s">
        <v>18</v>
      </c>
      <c r="O19" s="16" t="s">
        <v>37</v>
      </c>
      <c r="Q19" s="9">
        <v>7</v>
      </c>
      <c r="R19" s="9">
        <v>10</v>
      </c>
      <c r="S19" s="9">
        <v>10</v>
      </c>
      <c r="T19" s="9">
        <v>4</v>
      </c>
      <c r="U19" s="9">
        <v>7</v>
      </c>
      <c r="W19" s="25">
        <v>1</v>
      </c>
      <c r="X19" s="25">
        <v>1</v>
      </c>
      <c r="Y19" s="25">
        <v>1</v>
      </c>
      <c r="Z19" s="25">
        <v>1</v>
      </c>
      <c r="AA19" s="25">
        <v>1</v>
      </c>
      <c r="AC19" s="149" t="str">
        <v>G3</v>
      </c>
      <c r="AD19" s="150">
        <v>0</v>
      </c>
      <c r="AE19" s="150">
        <v>0</v>
      </c>
      <c r="AF19" s="149">
        <v>6</v>
      </c>
      <c r="AG19" s="149">
        <v>3</v>
      </c>
      <c r="AH19" s="150">
        <v>0</v>
      </c>
      <c r="AI19" s="5"/>
      <c r="AJ19" s="149" t="str">
        <v>G3</v>
      </c>
      <c r="AK19" s="150">
        <v>0</v>
      </c>
      <c r="AL19" s="150">
        <v>0</v>
      </c>
      <c r="AM19" s="149">
        <v>6</v>
      </c>
      <c r="AN19" s="149">
        <v>3</v>
      </c>
      <c r="AO19" s="150">
        <v>0</v>
      </c>
    </row>
    <row r="20" spans="1:41" ht="15.9" customHeight="1">
      <c r="A20" s="29" t="str">
        <v>GA</v>
      </c>
      <c r="B20" s="8" t="str">
        <v>Gold A</v>
      </c>
      <c r="C20" s="105">
        <f t="shared" si="0"/>
        <v>0</v>
      </c>
      <c r="D20" s="105">
        <f t="shared" si="0"/>
        <v>0</v>
      </c>
      <c r="E20" s="105">
        <f t="shared" si="0"/>
        <v>4</v>
      </c>
      <c r="F20" s="105">
        <f t="shared" si="0"/>
        <v>2</v>
      </c>
      <c r="G20" s="105">
        <f t="shared" si="0"/>
        <v>0</v>
      </c>
      <c r="H20" s="8">
        <v>16</v>
      </c>
      <c r="I20" s="87"/>
      <c r="J20" s="25">
        <v>16</v>
      </c>
      <c r="K20" s="16" t="s">
        <v>22</v>
      </c>
      <c r="L20" s="16" t="s">
        <v>18</v>
      </c>
      <c r="M20" s="16" t="s">
        <v>21</v>
      </c>
      <c r="N20" s="16" t="s">
        <v>19</v>
      </c>
      <c r="O20" s="16" t="s">
        <v>18</v>
      </c>
      <c r="Q20" s="9">
        <v>3</v>
      </c>
      <c r="R20" s="9">
        <v>4</v>
      </c>
      <c r="S20" s="9">
        <v>2</v>
      </c>
      <c r="T20" s="9">
        <v>5</v>
      </c>
      <c r="U20" s="9">
        <v>4</v>
      </c>
      <c r="W20" s="25">
        <v>1</v>
      </c>
      <c r="X20" s="25">
        <v>1</v>
      </c>
      <c r="Y20" s="25">
        <v>1</v>
      </c>
      <c r="Z20" s="25">
        <v>1</v>
      </c>
      <c r="AA20" s="25">
        <v>1</v>
      </c>
      <c r="AC20" s="149" t="str">
        <v>G4</v>
      </c>
      <c r="AD20" s="150">
        <v>0</v>
      </c>
      <c r="AE20" s="150">
        <v>0</v>
      </c>
      <c r="AF20" s="149">
        <v>1</v>
      </c>
      <c r="AG20" s="149">
        <v>5</v>
      </c>
      <c r="AH20" s="150">
        <v>0</v>
      </c>
      <c r="AI20" s="5"/>
      <c r="AJ20" s="149" t="str">
        <v>G4</v>
      </c>
      <c r="AK20" s="150">
        <v>0</v>
      </c>
      <c r="AL20" s="150">
        <v>0</v>
      </c>
      <c r="AM20" s="149">
        <v>1</v>
      </c>
      <c r="AN20" s="149">
        <v>5</v>
      </c>
      <c r="AO20" s="150">
        <v>0</v>
      </c>
    </row>
    <row r="21" spans="1:41" ht="15.9" customHeight="1">
      <c r="A21" s="29" t="str">
        <v>GK</v>
      </c>
      <c r="B21" s="8" t="str">
        <v>Gold K</v>
      </c>
      <c r="C21" s="105">
        <f t="shared" si="0"/>
        <v>0</v>
      </c>
      <c r="D21" s="105">
        <f t="shared" si="0"/>
        <v>0</v>
      </c>
      <c r="E21" s="105">
        <f t="shared" si="0"/>
        <v>4</v>
      </c>
      <c r="F21" s="105">
        <f t="shared" si="0"/>
        <v>3</v>
      </c>
      <c r="G21" s="105">
        <f t="shared" si="0"/>
        <v>0</v>
      </c>
      <c r="H21" s="8">
        <v>17</v>
      </c>
      <c r="I21" s="87"/>
      <c r="J21" s="9">
        <v>17</v>
      </c>
      <c r="K21" s="16" t="s">
        <v>22</v>
      </c>
      <c r="L21" s="16" t="s">
        <v>37</v>
      </c>
      <c r="M21" s="16" t="s">
        <v>34</v>
      </c>
      <c r="N21" s="16" t="s">
        <v>90</v>
      </c>
      <c r="O21" s="16" t="s">
        <v>21</v>
      </c>
      <c r="Q21" s="9">
        <v>3</v>
      </c>
      <c r="R21" s="9">
        <v>7</v>
      </c>
      <c r="S21" s="9">
        <v>9</v>
      </c>
      <c r="T21" s="9">
        <v>13</v>
      </c>
      <c r="U21" s="9">
        <v>2</v>
      </c>
      <c r="W21" s="25">
        <v>1</v>
      </c>
      <c r="X21" s="25">
        <v>1</v>
      </c>
      <c r="Y21" s="25">
        <v>1</v>
      </c>
      <c r="Z21" s="25">
        <v>1</v>
      </c>
      <c r="AA21" s="25">
        <v>1</v>
      </c>
      <c r="AC21" s="149" t="str">
        <v>G5</v>
      </c>
      <c r="AD21" s="150">
        <v>0</v>
      </c>
      <c r="AE21" s="150">
        <v>0</v>
      </c>
      <c r="AF21" s="149">
        <v>6</v>
      </c>
      <c r="AG21" s="149">
        <v>1</v>
      </c>
      <c r="AH21" s="150">
        <v>0</v>
      </c>
      <c r="AI21" s="5"/>
      <c r="AJ21" s="149" t="str">
        <v>G5</v>
      </c>
      <c r="AK21" s="150">
        <v>0</v>
      </c>
      <c r="AL21" s="150">
        <v>0</v>
      </c>
      <c r="AM21" s="149">
        <v>6</v>
      </c>
      <c r="AN21" s="149">
        <v>1</v>
      </c>
      <c r="AO21" s="150">
        <v>0</v>
      </c>
    </row>
    <row r="22" spans="1:41" ht="15.9" customHeight="1">
      <c r="A22" s="29" t="str">
        <v>GQ</v>
      </c>
      <c r="B22" s="8" t="str">
        <v>Gold Q</v>
      </c>
      <c r="C22" s="105">
        <f t="shared" si="0"/>
        <v>0</v>
      </c>
      <c r="D22" s="105">
        <f t="shared" si="0"/>
        <v>0</v>
      </c>
      <c r="E22" s="105">
        <f t="shared" si="0"/>
        <v>3</v>
      </c>
      <c r="F22" s="105">
        <f t="shared" si="0"/>
        <v>6</v>
      </c>
      <c r="G22" s="105">
        <f t="shared" si="0"/>
        <v>0</v>
      </c>
      <c r="H22" s="8">
        <v>18</v>
      </c>
      <c r="I22" s="87"/>
      <c r="J22" s="25">
        <v>18</v>
      </c>
      <c r="K22" s="16" t="s">
        <v>19</v>
      </c>
      <c r="L22" s="16" t="s">
        <v>22</v>
      </c>
      <c r="M22" s="16" t="s">
        <v>89</v>
      </c>
      <c r="N22" s="16" t="s">
        <v>35</v>
      </c>
      <c r="O22" s="16" t="s">
        <v>21</v>
      </c>
      <c r="Q22" s="9">
        <v>5</v>
      </c>
      <c r="R22" s="9">
        <v>3</v>
      </c>
      <c r="S22" s="9">
        <v>12</v>
      </c>
      <c r="T22" s="9">
        <v>8</v>
      </c>
      <c r="U22" s="9">
        <v>2</v>
      </c>
      <c r="W22" s="25">
        <v>1</v>
      </c>
      <c r="X22" s="25">
        <v>1</v>
      </c>
      <c r="Y22" s="25">
        <v>1</v>
      </c>
      <c r="Z22" s="25">
        <v>1</v>
      </c>
      <c r="AA22" s="25">
        <v>1</v>
      </c>
      <c r="AC22" s="149" t="str">
        <v>GA</v>
      </c>
      <c r="AD22" s="150">
        <v>0</v>
      </c>
      <c r="AE22" s="150">
        <v>0</v>
      </c>
      <c r="AF22" s="149">
        <v>4</v>
      </c>
      <c r="AG22" s="149">
        <v>1</v>
      </c>
      <c r="AH22" s="150">
        <v>0</v>
      </c>
      <c r="AI22" s="5"/>
      <c r="AJ22" s="149" t="str">
        <v>GA</v>
      </c>
      <c r="AK22" s="150">
        <v>0</v>
      </c>
      <c r="AL22" s="150">
        <v>0</v>
      </c>
      <c r="AM22" s="149">
        <v>4</v>
      </c>
      <c r="AN22" s="149">
        <v>1</v>
      </c>
      <c r="AO22" s="150">
        <v>0</v>
      </c>
    </row>
    <row r="23" spans="1:41" ht="15.9" customHeight="1">
      <c r="A23" s="29" t="str">
        <v>GJ</v>
      </c>
      <c r="B23" s="8" t="str">
        <v>Gold J</v>
      </c>
      <c r="C23" s="105">
        <f t="shared" si="0"/>
        <v>0</v>
      </c>
      <c r="D23" s="105">
        <f t="shared" si="0"/>
        <v>0</v>
      </c>
      <c r="E23" s="105">
        <f t="shared" si="0"/>
        <v>1</v>
      </c>
      <c r="F23" s="105">
        <f t="shared" si="0"/>
        <v>7</v>
      </c>
      <c r="G23" s="105">
        <f t="shared" si="0"/>
        <v>0</v>
      </c>
      <c r="H23" s="8">
        <v>19</v>
      </c>
      <c r="I23" s="87"/>
      <c r="J23" s="9">
        <v>19</v>
      </c>
      <c r="K23" s="16" t="s">
        <v>34</v>
      </c>
      <c r="L23" s="16" t="s">
        <v>34</v>
      </c>
      <c r="M23" s="16" t="s">
        <v>22</v>
      </c>
      <c r="N23" s="16" t="s">
        <v>18</v>
      </c>
      <c r="O23" s="16" t="s">
        <v>37</v>
      </c>
      <c r="Q23" s="9">
        <v>9</v>
      </c>
      <c r="R23" s="9">
        <v>9</v>
      </c>
      <c r="S23" s="9">
        <v>3</v>
      </c>
      <c r="T23" s="9">
        <v>4</v>
      </c>
      <c r="U23" s="9">
        <v>7</v>
      </c>
      <c r="W23" s="25">
        <v>1</v>
      </c>
      <c r="X23" s="25">
        <v>1</v>
      </c>
      <c r="Y23" s="25">
        <v>1</v>
      </c>
      <c r="Z23" s="25">
        <v>1</v>
      </c>
      <c r="AA23" s="25">
        <v>1</v>
      </c>
      <c r="AC23" s="149" t="str">
        <v>GK</v>
      </c>
      <c r="AD23" s="150">
        <v>0</v>
      </c>
      <c r="AE23" s="150">
        <v>0</v>
      </c>
      <c r="AF23" s="149">
        <v>1</v>
      </c>
      <c r="AG23" s="149">
        <v>3</v>
      </c>
      <c r="AH23" s="150">
        <v>0</v>
      </c>
      <c r="AI23" s="5"/>
      <c r="AJ23" s="149" t="str">
        <v>GK</v>
      </c>
      <c r="AK23" s="150">
        <v>0</v>
      </c>
      <c r="AL23" s="150">
        <v>0</v>
      </c>
      <c r="AM23" s="149">
        <v>1</v>
      </c>
      <c r="AN23" s="149">
        <v>3</v>
      </c>
      <c r="AO23" s="150">
        <v>0</v>
      </c>
    </row>
    <row r="24" spans="1:41" ht="15.9" customHeight="1">
      <c r="C24" s="5">
        <f>SUM(C4:C23)</f>
        <v>100</v>
      </c>
      <c r="D24" s="5">
        <f>SUM(D4:D23)</f>
        <v>100</v>
      </c>
      <c r="E24" s="5">
        <f>SUM(E4:E23)</f>
        <v>100</v>
      </c>
      <c r="F24" s="5">
        <f>SUM(F4:F23)</f>
        <v>100</v>
      </c>
      <c r="G24" s="5">
        <f>SUM(G4:G23)</f>
        <v>100</v>
      </c>
      <c r="H24" s="11"/>
      <c r="I24" s="87"/>
      <c r="J24" s="25">
        <v>20</v>
      </c>
      <c r="K24" s="16" t="s">
        <v>19</v>
      </c>
      <c r="L24" s="16" t="s">
        <v>34</v>
      </c>
      <c r="M24" s="16" t="s">
        <v>36</v>
      </c>
      <c r="N24" s="16" t="s">
        <v>35</v>
      </c>
      <c r="O24" s="16" t="s">
        <v>34</v>
      </c>
      <c r="Q24" s="9">
        <v>5</v>
      </c>
      <c r="R24" s="9">
        <v>9</v>
      </c>
      <c r="S24" s="9">
        <v>10</v>
      </c>
      <c r="T24" s="9">
        <v>8</v>
      </c>
      <c r="U24" s="9">
        <v>9</v>
      </c>
      <c r="W24" s="25">
        <v>1</v>
      </c>
      <c r="X24" s="25">
        <v>1</v>
      </c>
      <c r="Y24" s="25">
        <v>1</v>
      </c>
      <c r="Z24" s="25">
        <v>1</v>
      </c>
      <c r="AA24" s="25">
        <v>1</v>
      </c>
      <c r="AC24" s="149" t="str">
        <v>GQ</v>
      </c>
      <c r="AD24" s="150">
        <v>0</v>
      </c>
      <c r="AE24" s="150">
        <v>0</v>
      </c>
      <c r="AF24" s="149">
        <v>1</v>
      </c>
      <c r="AG24" s="149">
        <v>1</v>
      </c>
      <c r="AH24" s="150">
        <v>0</v>
      </c>
      <c r="AI24" s="5"/>
      <c r="AJ24" s="149" t="str">
        <v>GQ</v>
      </c>
      <c r="AK24" s="150">
        <v>0</v>
      </c>
      <c r="AL24" s="150">
        <v>0</v>
      </c>
      <c r="AM24" s="149">
        <v>1</v>
      </c>
      <c r="AN24" s="149">
        <v>1</v>
      </c>
      <c r="AO24" s="150">
        <v>0</v>
      </c>
    </row>
    <row r="25" spans="1:41" ht="16.5" customHeight="1">
      <c r="I25" s="87"/>
      <c r="J25" s="9">
        <v>21</v>
      </c>
      <c r="K25" s="16" t="s">
        <v>35</v>
      </c>
      <c r="L25" s="16" t="s">
        <v>21</v>
      </c>
      <c r="M25" s="16" t="s">
        <v>22</v>
      </c>
      <c r="N25" s="16" t="s">
        <v>19</v>
      </c>
      <c r="O25" s="16" t="s">
        <v>36</v>
      </c>
      <c r="Q25" s="9">
        <v>8</v>
      </c>
      <c r="R25" s="9">
        <v>2</v>
      </c>
      <c r="S25" s="9">
        <v>3</v>
      </c>
      <c r="T25" s="9">
        <v>5</v>
      </c>
      <c r="U25" s="9">
        <v>10</v>
      </c>
      <c r="W25" s="25">
        <v>1</v>
      </c>
      <c r="X25" s="25">
        <v>1</v>
      </c>
      <c r="Y25" s="25">
        <v>1</v>
      </c>
      <c r="Z25" s="25">
        <v>1</v>
      </c>
      <c r="AA25" s="25">
        <v>1</v>
      </c>
      <c r="AC25" s="149" t="str">
        <v>GJ</v>
      </c>
      <c r="AD25" s="150">
        <v>0</v>
      </c>
      <c r="AE25" s="150">
        <v>0</v>
      </c>
      <c r="AF25" s="149">
        <v>6</v>
      </c>
      <c r="AG25" s="149">
        <v>1</v>
      </c>
      <c r="AH25" s="150">
        <v>0</v>
      </c>
      <c r="AI25" s="5"/>
      <c r="AJ25" s="149" t="str">
        <v>GJ</v>
      </c>
      <c r="AK25" s="150">
        <v>0</v>
      </c>
      <c r="AL25" s="150">
        <v>0</v>
      </c>
      <c r="AM25" s="149">
        <v>6</v>
      </c>
      <c r="AN25" s="149">
        <v>1</v>
      </c>
      <c r="AO25" s="150">
        <v>0</v>
      </c>
    </row>
    <row r="26" spans="1:41" ht="16.5" customHeight="1">
      <c r="A26" s="20" t="s">
        <v>5</v>
      </c>
      <c r="B26" s="20" t="s">
        <v>12</v>
      </c>
      <c r="C26" s="20" t="s">
        <v>6</v>
      </c>
      <c r="D26" s="20" t="s">
        <v>7</v>
      </c>
      <c r="E26" s="20" t="s">
        <v>8</v>
      </c>
      <c r="F26" s="20" t="s">
        <v>9</v>
      </c>
      <c r="G26" s="20" t="s">
        <v>10</v>
      </c>
      <c r="H26" s="20" t="s">
        <v>11</v>
      </c>
      <c r="I26" s="87"/>
      <c r="J26" s="25">
        <v>22</v>
      </c>
      <c r="K26" s="16" t="s">
        <v>36</v>
      </c>
      <c r="L26" s="16" t="s">
        <v>22</v>
      </c>
      <c r="M26" s="16" t="s">
        <v>90</v>
      </c>
      <c r="N26" s="16" t="s">
        <v>18</v>
      </c>
      <c r="O26" s="16" t="s">
        <v>37</v>
      </c>
      <c r="Q26" s="9">
        <v>10</v>
      </c>
      <c r="R26" s="9">
        <v>3</v>
      </c>
      <c r="S26" s="9">
        <v>13</v>
      </c>
      <c r="T26" s="9">
        <v>4</v>
      </c>
      <c r="U26" s="9">
        <v>7</v>
      </c>
      <c r="W26" s="25">
        <v>1</v>
      </c>
      <c r="X26" s="25">
        <v>1</v>
      </c>
      <c r="Y26" s="25">
        <v>1</v>
      </c>
      <c r="Z26" s="25">
        <v>1</v>
      </c>
      <c r="AA26" s="25">
        <v>1</v>
      </c>
      <c r="AD26" s="119">
        <f>SUM(AD6:AD25)</f>
        <v>196</v>
      </c>
      <c r="AE26" s="119">
        <f>SUM(AE6:AE25)</f>
        <v>197</v>
      </c>
      <c r="AF26" s="119">
        <f>SUM(AF6:AF25)</f>
        <v>198</v>
      </c>
      <c r="AG26" s="119">
        <f>SUM(AG6:AG25)</f>
        <v>201</v>
      </c>
      <c r="AH26" s="119">
        <f>SUM(AH6:AH25)</f>
        <v>201</v>
      </c>
      <c r="AI26" s="5"/>
      <c r="AK26" s="119">
        <f>SUM(AK6:AK25)</f>
        <v>196</v>
      </c>
      <c r="AL26" s="119">
        <f>SUM(AL6:AL25)</f>
        <v>197</v>
      </c>
      <c r="AM26" s="119">
        <f>SUM(AM6:AM25)</f>
        <v>198</v>
      </c>
      <c r="AN26" s="119">
        <f>SUM(AN6:AN25)</f>
        <v>201</v>
      </c>
      <c r="AO26" s="119">
        <f>SUM(AO6:AO25)</f>
        <v>201</v>
      </c>
    </row>
    <row r="27" spans="1:41" ht="16.5" customHeight="1">
      <c r="A27" s="29" t="str" cm="1">
        <f t="array" ref="A27:B46">_xlfn.ANCHORARRAY(A4)</f>
        <v>WW</v>
      </c>
      <c r="B27" s="8" t="str">
        <v>Wild</v>
      </c>
      <c r="C27" s="143" cm="1">
        <f t="array" ref="C27:G46">C4:G23/C24:G24</f>
        <v>0</v>
      </c>
      <c r="D27" s="143">
        <v>0</v>
      </c>
      <c r="E27" s="143">
        <v>0</v>
      </c>
      <c r="F27" s="143">
        <v>0</v>
      </c>
      <c r="G27" s="143">
        <v>0</v>
      </c>
      <c r="H27" s="8" cm="1">
        <f t="array" ref="H27:H46">_xlfn.ANCHORARRAY(H4)</f>
        <v>0</v>
      </c>
      <c r="I27" s="87"/>
      <c r="J27" s="9">
        <v>23</v>
      </c>
      <c r="K27" s="16" t="s">
        <v>19</v>
      </c>
      <c r="L27" s="16" t="s">
        <v>22</v>
      </c>
      <c r="M27" s="16" t="s">
        <v>21</v>
      </c>
      <c r="N27" s="16" t="s">
        <v>91</v>
      </c>
      <c r="O27" s="16" t="s">
        <v>36</v>
      </c>
      <c r="Q27" s="9">
        <v>5</v>
      </c>
      <c r="R27" s="9">
        <v>3</v>
      </c>
      <c r="S27" s="9">
        <v>2</v>
      </c>
      <c r="T27" s="9">
        <v>14</v>
      </c>
      <c r="U27" s="9">
        <v>10</v>
      </c>
      <c r="W27" s="25">
        <v>1</v>
      </c>
      <c r="X27" s="25">
        <v>1</v>
      </c>
      <c r="Y27" s="25">
        <v>1</v>
      </c>
      <c r="Z27" s="25">
        <v>1</v>
      </c>
      <c r="AA27" s="25">
        <v>1</v>
      </c>
      <c r="AH27" s="5"/>
      <c r="AI27" s="5"/>
      <c r="AO27" s="5"/>
    </row>
    <row r="28" spans="1:41" ht="16.5" customHeight="1">
      <c r="A28" s="29" t="str">
        <v>C1</v>
      </c>
      <c r="B28" s="8" t="str">
        <v>Scatter</v>
      </c>
      <c r="C28" s="143">
        <v>0.03</v>
      </c>
      <c r="D28" s="143">
        <v>0.02</v>
      </c>
      <c r="E28" s="143">
        <v>0.02</v>
      </c>
      <c r="F28" s="143">
        <v>0.01</v>
      </c>
      <c r="G28" s="143">
        <v>0.01</v>
      </c>
      <c r="H28" s="8">
        <v>1</v>
      </c>
      <c r="I28" s="87"/>
      <c r="J28" s="25">
        <v>24</v>
      </c>
      <c r="K28" s="16" t="s">
        <v>22</v>
      </c>
      <c r="L28" s="16" t="s">
        <v>36</v>
      </c>
      <c r="M28" s="16" t="s">
        <v>34</v>
      </c>
      <c r="N28" s="16" t="s">
        <v>19</v>
      </c>
      <c r="O28" s="16" t="s">
        <v>35</v>
      </c>
      <c r="Q28" s="9">
        <v>3</v>
      </c>
      <c r="R28" s="9">
        <v>10</v>
      </c>
      <c r="S28" s="9">
        <v>9</v>
      </c>
      <c r="T28" s="9">
        <v>5</v>
      </c>
      <c r="U28" s="9">
        <v>8</v>
      </c>
      <c r="W28" s="25">
        <v>1</v>
      </c>
      <c r="X28" s="25">
        <v>1</v>
      </c>
      <c r="Y28" s="25">
        <v>1</v>
      </c>
      <c r="Z28" s="25">
        <v>1</v>
      </c>
      <c r="AA28" s="25">
        <v>1</v>
      </c>
      <c r="AC28" s="27" t="s">
        <v>143</v>
      </c>
      <c r="AH28" s="5"/>
      <c r="AI28" s="5"/>
      <c r="AJ28" s="27" t="s">
        <v>143</v>
      </c>
      <c r="AO28" s="5"/>
    </row>
    <row r="29" spans="1:41" ht="16.5" customHeight="1">
      <c r="A29" s="29" t="str">
        <v>M1</v>
      </c>
      <c r="B29" s="8" t="str">
        <v>M1</v>
      </c>
      <c r="C29" s="143">
        <v>0.16</v>
      </c>
      <c r="D29" s="143">
        <v>0.08</v>
      </c>
      <c r="E29" s="143">
        <v>0.09</v>
      </c>
      <c r="F29" s="143">
        <v>0.03</v>
      </c>
      <c r="G29" s="143">
        <v>0.06</v>
      </c>
      <c r="H29" s="8">
        <v>2</v>
      </c>
      <c r="I29" s="87"/>
      <c r="J29" s="9">
        <v>25</v>
      </c>
      <c r="K29" s="16" t="s">
        <v>22</v>
      </c>
      <c r="L29" s="16" t="s">
        <v>35</v>
      </c>
      <c r="M29" s="16" t="s">
        <v>88</v>
      </c>
      <c r="N29" s="16" t="s">
        <v>18</v>
      </c>
      <c r="O29" s="16" t="s">
        <v>18</v>
      </c>
      <c r="Q29" s="9">
        <v>3</v>
      </c>
      <c r="R29" s="9">
        <v>8</v>
      </c>
      <c r="S29" s="9">
        <v>11</v>
      </c>
      <c r="T29" s="9">
        <v>4</v>
      </c>
      <c r="U29" s="9">
        <v>4</v>
      </c>
      <c r="W29" s="25">
        <v>1</v>
      </c>
      <c r="X29" s="25">
        <v>1</v>
      </c>
      <c r="Y29" s="25">
        <v>1</v>
      </c>
      <c r="Z29" s="25">
        <v>1</v>
      </c>
      <c r="AA29" s="25">
        <v>1</v>
      </c>
      <c r="AC29" s="146" t="s">
        <v>42</v>
      </c>
      <c r="AD29" s="146" t="s">
        <v>13</v>
      </c>
      <c r="AE29" s="146" t="s">
        <v>14</v>
      </c>
      <c r="AF29" s="146" t="s">
        <v>15</v>
      </c>
      <c r="AG29" s="146" t="s">
        <v>16</v>
      </c>
      <c r="AH29" s="146" t="s">
        <v>17</v>
      </c>
      <c r="AI29" s="5"/>
      <c r="AJ29" s="146" t="s">
        <v>42</v>
      </c>
      <c r="AK29" s="146" t="s">
        <v>13</v>
      </c>
      <c r="AL29" s="146" t="s">
        <v>14</v>
      </c>
      <c r="AM29" s="146" t="s">
        <v>15</v>
      </c>
      <c r="AN29" s="146" t="s">
        <v>16</v>
      </c>
      <c r="AO29" s="146" t="s">
        <v>17</v>
      </c>
    </row>
    <row r="30" spans="1:41" ht="16.5" customHeight="1">
      <c r="A30" s="29" t="str">
        <v>M2</v>
      </c>
      <c r="B30" s="8" t="str">
        <v>M2</v>
      </c>
      <c r="C30" s="143">
        <v>0.16</v>
      </c>
      <c r="D30" s="143">
        <v>0.1</v>
      </c>
      <c r="E30" s="143">
        <v>0.11</v>
      </c>
      <c r="F30" s="143">
        <v>0.05</v>
      </c>
      <c r="G30" s="143">
        <v>0.11</v>
      </c>
      <c r="H30" s="8">
        <v>3</v>
      </c>
      <c r="I30" s="87"/>
      <c r="J30" s="25">
        <v>26</v>
      </c>
      <c r="K30" s="16" t="s">
        <v>36</v>
      </c>
      <c r="L30" s="16" t="s">
        <v>19</v>
      </c>
      <c r="M30" s="16" t="s">
        <v>22</v>
      </c>
      <c r="N30" s="16" t="s">
        <v>36</v>
      </c>
      <c r="O30" s="16" t="s">
        <v>37</v>
      </c>
      <c r="Q30" s="9">
        <v>10</v>
      </c>
      <c r="R30" s="9">
        <v>5</v>
      </c>
      <c r="S30" s="9">
        <v>3</v>
      </c>
      <c r="T30" s="9">
        <v>10</v>
      </c>
      <c r="U30" s="9">
        <v>7</v>
      </c>
      <c r="W30" s="25">
        <v>1</v>
      </c>
      <c r="X30" s="25">
        <v>1</v>
      </c>
      <c r="Y30" s="25">
        <v>1</v>
      </c>
      <c r="Z30" s="25">
        <v>1</v>
      </c>
      <c r="AA30" s="25">
        <v>1</v>
      </c>
      <c r="AC30" s="149" t="str" cm="1">
        <f t="array" ref="AC30:AC49">$A$4:$A$23</f>
        <v>WW</v>
      </c>
      <c r="AD30" s="150">
        <v>0</v>
      </c>
      <c r="AE30" s="150">
        <v>0</v>
      </c>
      <c r="AF30" s="150">
        <v>0</v>
      </c>
      <c r="AG30" s="150">
        <v>0</v>
      </c>
      <c r="AH30" s="150">
        <v>0</v>
      </c>
      <c r="AI30" s="5"/>
      <c r="AJ30" s="149" t="str" cm="1">
        <f t="array" ref="AJ30:AJ49">$A$4:$A$23</f>
        <v>WW</v>
      </c>
      <c r="AK30" s="150">
        <v>0</v>
      </c>
      <c r="AL30" s="150">
        <v>0</v>
      </c>
      <c r="AM30" s="150">
        <v>0</v>
      </c>
      <c r="AN30" s="150">
        <v>0</v>
      </c>
      <c r="AO30" s="150">
        <v>0</v>
      </c>
    </row>
    <row r="31" spans="1:41" ht="16.5" customHeight="1">
      <c r="A31" s="29" t="str">
        <v>M3</v>
      </c>
      <c r="B31" s="8" t="str">
        <v>M3</v>
      </c>
      <c r="C31" s="143">
        <v>0.08</v>
      </c>
      <c r="D31" s="143">
        <v>0.1</v>
      </c>
      <c r="E31" s="143">
        <v>0.08</v>
      </c>
      <c r="F31" s="143">
        <v>0.11</v>
      </c>
      <c r="G31" s="143">
        <v>0.12</v>
      </c>
      <c r="H31" s="8">
        <v>4</v>
      </c>
      <c r="I31" s="87"/>
      <c r="J31" s="9">
        <v>27</v>
      </c>
      <c r="K31" s="16" t="s">
        <v>36</v>
      </c>
      <c r="L31" s="16" t="s">
        <v>18</v>
      </c>
      <c r="M31" s="16" t="s">
        <v>21</v>
      </c>
      <c r="N31" s="16" t="s">
        <v>35</v>
      </c>
      <c r="O31" s="16" t="s">
        <v>35</v>
      </c>
      <c r="Q31" s="9">
        <v>10</v>
      </c>
      <c r="R31" s="9">
        <v>4</v>
      </c>
      <c r="S31" s="9">
        <v>2</v>
      </c>
      <c r="T31" s="9">
        <v>8</v>
      </c>
      <c r="U31" s="9">
        <v>8</v>
      </c>
      <c r="W31" s="25">
        <v>1</v>
      </c>
      <c r="X31" s="25">
        <v>1</v>
      </c>
      <c r="Y31" s="25">
        <v>1</v>
      </c>
      <c r="Z31" s="25">
        <v>1</v>
      </c>
      <c r="AA31" s="25">
        <v>1</v>
      </c>
      <c r="AC31" s="149" t="str">
        <v>C1</v>
      </c>
      <c r="AD31" s="149">
        <v>1</v>
      </c>
      <c r="AE31" s="149">
        <v>1</v>
      </c>
      <c r="AF31" s="149">
        <v>1</v>
      </c>
      <c r="AG31" s="149">
        <v>1</v>
      </c>
      <c r="AH31" s="149">
        <v>1</v>
      </c>
      <c r="AI31" s="5"/>
      <c r="AJ31" s="149" t="str">
        <v>C1</v>
      </c>
      <c r="AK31" s="149">
        <v>1</v>
      </c>
      <c r="AL31" s="149">
        <v>1</v>
      </c>
      <c r="AM31" s="149">
        <v>1</v>
      </c>
      <c r="AN31" s="149">
        <v>1</v>
      </c>
      <c r="AO31" s="149">
        <v>1</v>
      </c>
    </row>
    <row r="32" spans="1:41" ht="16.5" customHeight="1">
      <c r="A32" s="29" t="str">
        <v>M4</v>
      </c>
      <c r="B32" s="8" t="str">
        <v>M4</v>
      </c>
      <c r="C32" s="143">
        <v>0.12</v>
      </c>
      <c r="D32" s="143">
        <v>0.13</v>
      </c>
      <c r="E32" s="143">
        <v>0.09</v>
      </c>
      <c r="F32" s="143">
        <v>0.08</v>
      </c>
      <c r="G32" s="143">
        <v>0.08</v>
      </c>
      <c r="H32" s="8">
        <v>5</v>
      </c>
      <c r="J32" s="25">
        <v>28</v>
      </c>
      <c r="K32" s="16" t="s">
        <v>18</v>
      </c>
      <c r="L32" s="16" t="s">
        <v>22</v>
      </c>
      <c r="M32" s="16" t="s">
        <v>19</v>
      </c>
      <c r="N32" s="16" t="s">
        <v>97</v>
      </c>
      <c r="O32" s="16" t="s">
        <v>18</v>
      </c>
      <c r="Q32" s="9">
        <v>4</v>
      </c>
      <c r="R32" s="9">
        <v>3</v>
      </c>
      <c r="S32" s="9">
        <v>5</v>
      </c>
      <c r="T32" s="9">
        <v>19</v>
      </c>
      <c r="U32" s="9">
        <v>4</v>
      </c>
      <c r="W32" s="25">
        <v>1</v>
      </c>
      <c r="X32" s="25">
        <v>1</v>
      </c>
      <c r="Y32" s="25">
        <v>1</v>
      </c>
      <c r="Z32" s="25">
        <v>1</v>
      </c>
      <c r="AA32" s="25">
        <v>1</v>
      </c>
      <c r="AC32" s="166" t="str">
        <v>M1</v>
      </c>
      <c r="AD32" s="167">
        <v>0</v>
      </c>
      <c r="AE32" s="167">
        <v>0</v>
      </c>
      <c r="AF32" s="167">
        <v>0</v>
      </c>
      <c r="AG32" s="167">
        <v>0</v>
      </c>
      <c r="AH32" s="167">
        <v>0</v>
      </c>
      <c r="AI32" s="5"/>
      <c r="AJ32" s="166" t="str">
        <v>M1</v>
      </c>
      <c r="AK32" s="167">
        <v>0</v>
      </c>
      <c r="AL32" s="167">
        <v>0</v>
      </c>
      <c r="AM32" s="167">
        <v>0</v>
      </c>
      <c r="AN32" s="167">
        <v>0</v>
      </c>
      <c r="AO32" s="167">
        <v>0</v>
      </c>
    </row>
    <row r="33" spans="1:41" ht="16.5" customHeight="1">
      <c r="A33" s="29" t="str">
        <v>M5</v>
      </c>
      <c r="B33" s="8" t="str">
        <v>M5</v>
      </c>
      <c r="C33" s="143">
        <v>0</v>
      </c>
      <c r="D33" s="143">
        <v>0</v>
      </c>
      <c r="E33" s="143">
        <v>0</v>
      </c>
      <c r="F33" s="143">
        <v>0</v>
      </c>
      <c r="G33" s="143">
        <v>0</v>
      </c>
      <c r="H33" s="8">
        <v>6</v>
      </c>
      <c r="J33" s="9">
        <v>29</v>
      </c>
      <c r="K33" s="16" t="s">
        <v>21</v>
      </c>
      <c r="L33" s="16" t="s">
        <v>36</v>
      </c>
      <c r="M33" s="16" t="s">
        <v>22</v>
      </c>
      <c r="N33" s="16" t="s">
        <v>95</v>
      </c>
      <c r="O33" s="16" t="s">
        <v>36</v>
      </c>
      <c r="Q33" s="9">
        <v>2</v>
      </c>
      <c r="R33" s="9">
        <v>10</v>
      </c>
      <c r="S33" s="9">
        <v>3</v>
      </c>
      <c r="T33" s="9">
        <v>18</v>
      </c>
      <c r="U33" s="9">
        <v>10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C33" s="166" t="str">
        <v>M2</v>
      </c>
      <c r="AD33" s="166">
        <v>15</v>
      </c>
      <c r="AE33" s="166">
        <v>53</v>
      </c>
      <c r="AF33" s="166">
        <v>5</v>
      </c>
      <c r="AG33" s="166">
        <v>48</v>
      </c>
      <c r="AH33" s="166">
        <v>58</v>
      </c>
      <c r="AI33" s="5"/>
      <c r="AJ33" s="166" t="str">
        <v>M2</v>
      </c>
      <c r="AK33" s="166">
        <v>15</v>
      </c>
      <c r="AL33" s="166">
        <v>53</v>
      </c>
      <c r="AM33" s="166">
        <v>5</v>
      </c>
      <c r="AN33" s="166">
        <v>48</v>
      </c>
      <c r="AO33" s="166">
        <v>58</v>
      </c>
    </row>
    <row r="34" spans="1:41" ht="16.5" customHeight="1">
      <c r="A34" s="29" t="str">
        <v>A</v>
      </c>
      <c r="B34" s="8" t="str">
        <v>A</v>
      </c>
      <c r="C34" s="143">
        <v>0.12</v>
      </c>
      <c r="D34" s="143">
        <v>0.11</v>
      </c>
      <c r="E34" s="143">
        <v>0.08</v>
      </c>
      <c r="F34" s="143">
        <v>0.11</v>
      </c>
      <c r="G34" s="143">
        <v>0.18</v>
      </c>
      <c r="H34" s="8">
        <v>7</v>
      </c>
      <c r="J34" s="25">
        <v>30</v>
      </c>
      <c r="K34" s="16" t="s">
        <v>22</v>
      </c>
      <c r="L34" s="16" t="s">
        <v>21</v>
      </c>
      <c r="M34" s="16" t="s">
        <v>35</v>
      </c>
      <c r="N34" s="16" t="s">
        <v>22</v>
      </c>
      <c r="O34" s="16" t="s">
        <v>37</v>
      </c>
      <c r="Q34" s="9">
        <v>3</v>
      </c>
      <c r="R34" s="9">
        <v>2</v>
      </c>
      <c r="S34" s="9">
        <v>8</v>
      </c>
      <c r="T34" s="9">
        <v>3</v>
      </c>
      <c r="U34" s="9">
        <v>7</v>
      </c>
      <c r="W34" s="25">
        <v>1</v>
      </c>
      <c r="X34" s="25">
        <v>1</v>
      </c>
      <c r="Y34" s="25">
        <v>1</v>
      </c>
      <c r="Z34" s="25">
        <v>1</v>
      </c>
      <c r="AA34" s="25">
        <v>1</v>
      </c>
      <c r="AC34" s="166" t="str">
        <v>M3</v>
      </c>
      <c r="AD34" s="166">
        <v>3</v>
      </c>
      <c r="AE34" s="166">
        <v>38</v>
      </c>
      <c r="AF34" s="166">
        <v>20</v>
      </c>
      <c r="AG34" s="166">
        <v>40</v>
      </c>
      <c r="AH34" s="166">
        <v>48</v>
      </c>
      <c r="AI34" s="5"/>
      <c r="AJ34" s="166" t="str">
        <v>M3</v>
      </c>
      <c r="AK34" s="166">
        <v>3</v>
      </c>
      <c r="AL34" s="166">
        <v>38</v>
      </c>
      <c r="AM34" s="166">
        <v>20</v>
      </c>
      <c r="AN34" s="166">
        <v>40</v>
      </c>
      <c r="AO34" s="166">
        <v>48</v>
      </c>
    </row>
    <row r="35" spans="1:41" ht="16.5" customHeight="1">
      <c r="A35" s="29" t="str">
        <v>K</v>
      </c>
      <c r="B35" s="8" t="str">
        <v>K</v>
      </c>
      <c r="C35" s="143">
        <v>0.12</v>
      </c>
      <c r="D35" s="143">
        <v>0.15</v>
      </c>
      <c r="E35" s="143">
        <v>0.1</v>
      </c>
      <c r="F35" s="143">
        <v>0.12</v>
      </c>
      <c r="G35" s="143">
        <v>0.17</v>
      </c>
      <c r="H35" s="8">
        <v>8</v>
      </c>
      <c r="J35" s="9">
        <v>31</v>
      </c>
      <c r="K35" s="16" t="s">
        <v>35</v>
      </c>
      <c r="L35" s="16" t="s">
        <v>22</v>
      </c>
      <c r="M35" s="16" t="s">
        <v>95</v>
      </c>
      <c r="N35" s="16" t="s">
        <v>37</v>
      </c>
      <c r="O35" s="16" t="s">
        <v>18</v>
      </c>
      <c r="Q35" s="9">
        <v>8</v>
      </c>
      <c r="R35" s="9">
        <v>3</v>
      </c>
      <c r="S35" s="9">
        <v>18</v>
      </c>
      <c r="T35" s="9">
        <v>7</v>
      </c>
      <c r="U35" s="9">
        <v>4</v>
      </c>
      <c r="W35" s="25">
        <v>1</v>
      </c>
      <c r="X35" s="25">
        <v>1</v>
      </c>
      <c r="Y35" s="25">
        <v>1</v>
      </c>
      <c r="Z35" s="25">
        <v>1</v>
      </c>
      <c r="AA35" s="25">
        <v>1</v>
      </c>
      <c r="AC35" s="166" t="str">
        <v>M4</v>
      </c>
      <c r="AD35" s="166">
        <v>38</v>
      </c>
      <c r="AE35" s="166">
        <v>27</v>
      </c>
      <c r="AF35" s="166">
        <v>33</v>
      </c>
      <c r="AG35" s="166">
        <v>20</v>
      </c>
      <c r="AH35" s="166">
        <v>24</v>
      </c>
      <c r="AI35" s="5"/>
      <c r="AJ35" s="166" t="str">
        <v>M4</v>
      </c>
      <c r="AK35" s="166">
        <v>38</v>
      </c>
      <c r="AL35" s="166">
        <v>27</v>
      </c>
      <c r="AM35" s="166">
        <v>33</v>
      </c>
      <c r="AN35" s="166">
        <v>20</v>
      </c>
      <c r="AO35" s="166">
        <v>24</v>
      </c>
    </row>
    <row r="36" spans="1:41" ht="16.5" customHeight="1">
      <c r="A36" s="29" t="str">
        <v>Q</v>
      </c>
      <c r="B36" s="8" t="str">
        <v>Q</v>
      </c>
      <c r="C36" s="143">
        <v>0.12</v>
      </c>
      <c r="D36" s="143">
        <v>0.14000000000000001</v>
      </c>
      <c r="E36" s="143">
        <v>0.11</v>
      </c>
      <c r="F36" s="143">
        <v>0.09</v>
      </c>
      <c r="G36" s="143">
        <v>0.13</v>
      </c>
      <c r="H36" s="8">
        <v>9</v>
      </c>
      <c r="J36" s="25">
        <v>32</v>
      </c>
      <c r="K36" s="16" t="s">
        <v>22</v>
      </c>
      <c r="L36" s="16" t="s">
        <v>19</v>
      </c>
      <c r="M36" s="16" t="s">
        <v>119</v>
      </c>
      <c r="N36" s="16" t="s">
        <v>36</v>
      </c>
      <c r="O36" s="16" t="s">
        <v>21</v>
      </c>
      <c r="Q36" s="9">
        <v>3</v>
      </c>
      <c r="R36" s="9">
        <v>5</v>
      </c>
      <c r="S36" s="9">
        <v>17</v>
      </c>
      <c r="T36" s="9">
        <v>10</v>
      </c>
      <c r="U36" s="9">
        <v>2</v>
      </c>
      <c r="W36" s="25">
        <v>1</v>
      </c>
      <c r="X36" s="25">
        <v>1</v>
      </c>
      <c r="Y36" s="25">
        <v>1</v>
      </c>
      <c r="Z36" s="25">
        <v>1</v>
      </c>
      <c r="AA36" s="25">
        <v>1</v>
      </c>
      <c r="AC36" s="166" t="str">
        <v>M5</v>
      </c>
      <c r="AD36" s="166">
        <v>11</v>
      </c>
      <c r="AE36" s="166">
        <v>27</v>
      </c>
      <c r="AF36" s="166">
        <v>5</v>
      </c>
      <c r="AG36" s="166">
        <v>28</v>
      </c>
      <c r="AH36" s="166">
        <v>30</v>
      </c>
      <c r="AI36" s="5"/>
      <c r="AJ36" s="166" t="str">
        <v>M5</v>
      </c>
      <c r="AK36" s="166">
        <v>11</v>
      </c>
      <c r="AL36" s="166">
        <v>27</v>
      </c>
      <c r="AM36" s="166">
        <v>5</v>
      </c>
      <c r="AN36" s="166">
        <v>28</v>
      </c>
      <c r="AO36" s="166">
        <v>30</v>
      </c>
    </row>
    <row r="37" spans="1:41" ht="16.5" customHeight="1">
      <c r="A37" s="29" t="str">
        <v>J</v>
      </c>
      <c r="B37" s="8" t="str">
        <v>J</v>
      </c>
      <c r="C37" s="143">
        <v>0.09</v>
      </c>
      <c r="D37" s="143">
        <v>0.17</v>
      </c>
      <c r="E37" s="143">
        <v>7.0000000000000007E-2</v>
      </c>
      <c r="F37" s="143">
        <v>0.12</v>
      </c>
      <c r="G37" s="143">
        <v>0.14000000000000001</v>
      </c>
      <c r="H37" s="8">
        <v>10</v>
      </c>
      <c r="J37" s="9">
        <v>33</v>
      </c>
      <c r="K37" s="16" t="s">
        <v>19</v>
      </c>
      <c r="L37" s="16" t="s">
        <v>35</v>
      </c>
      <c r="M37" s="16" t="s">
        <v>97</v>
      </c>
      <c r="N37" s="16" t="s">
        <v>34</v>
      </c>
      <c r="O37" s="16" t="s">
        <v>34</v>
      </c>
      <c r="Q37" s="9">
        <v>5</v>
      </c>
      <c r="R37" s="9">
        <v>8</v>
      </c>
      <c r="S37" s="9">
        <v>19</v>
      </c>
      <c r="T37" s="9">
        <v>9</v>
      </c>
      <c r="U37" s="9">
        <v>9</v>
      </c>
      <c r="W37" s="25">
        <v>1</v>
      </c>
      <c r="X37" s="25">
        <v>1</v>
      </c>
      <c r="Y37" s="25">
        <v>1</v>
      </c>
      <c r="Z37" s="25">
        <v>1</v>
      </c>
      <c r="AA37" s="25">
        <v>1</v>
      </c>
      <c r="AC37" s="166" t="str">
        <v>A</v>
      </c>
      <c r="AD37" s="166">
        <v>33</v>
      </c>
      <c r="AE37" s="166">
        <v>14</v>
      </c>
      <c r="AF37" s="166">
        <v>35</v>
      </c>
      <c r="AG37" s="166">
        <v>8</v>
      </c>
      <c r="AH37" s="166">
        <v>10</v>
      </c>
      <c r="AI37" s="5"/>
      <c r="AJ37" s="166" t="str">
        <v>A</v>
      </c>
      <c r="AK37" s="166">
        <v>33</v>
      </c>
      <c r="AL37" s="166">
        <v>14</v>
      </c>
      <c r="AM37" s="166">
        <v>35</v>
      </c>
      <c r="AN37" s="166">
        <v>8</v>
      </c>
      <c r="AO37" s="166">
        <v>10</v>
      </c>
    </row>
    <row r="38" spans="1:41" ht="16.5" customHeight="1">
      <c r="A38" s="29" t="str">
        <v>G1</v>
      </c>
      <c r="B38" s="8" t="str">
        <v>Gold M1</v>
      </c>
      <c r="C38" s="143">
        <v>0</v>
      </c>
      <c r="D38" s="143">
        <v>0</v>
      </c>
      <c r="E38" s="143">
        <v>7.0000000000000007E-2</v>
      </c>
      <c r="F38" s="143">
        <v>0.02</v>
      </c>
      <c r="G38" s="143">
        <v>0</v>
      </c>
      <c r="H38" s="8">
        <v>11</v>
      </c>
      <c r="J38" s="25">
        <v>34</v>
      </c>
      <c r="K38" s="16" t="s">
        <v>21</v>
      </c>
      <c r="L38" s="16" t="s">
        <v>19</v>
      </c>
      <c r="M38" s="16" t="s">
        <v>21</v>
      </c>
      <c r="N38" s="16" t="s">
        <v>18</v>
      </c>
      <c r="O38" s="16" t="s">
        <v>19</v>
      </c>
      <c r="Q38" s="9">
        <v>2</v>
      </c>
      <c r="R38" s="9">
        <v>5</v>
      </c>
      <c r="S38" s="9">
        <v>2</v>
      </c>
      <c r="T38" s="9">
        <v>4</v>
      </c>
      <c r="U38" s="9">
        <v>5</v>
      </c>
      <c r="W38" s="25">
        <v>1</v>
      </c>
      <c r="X38" s="25">
        <v>1</v>
      </c>
      <c r="Y38" s="25">
        <v>1</v>
      </c>
      <c r="Z38" s="25">
        <v>1</v>
      </c>
      <c r="AA38" s="25">
        <v>1</v>
      </c>
      <c r="AC38" s="166" t="str">
        <v>K</v>
      </c>
      <c r="AD38" s="166">
        <v>40</v>
      </c>
      <c r="AE38" s="166">
        <v>3</v>
      </c>
      <c r="AF38" s="166">
        <v>23</v>
      </c>
      <c r="AG38" s="166">
        <v>1</v>
      </c>
      <c r="AH38" s="166">
        <v>1</v>
      </c>
      <c r="AI38" s="5"/>
      <c r="AJ38" s="166" t="str">
        <v>K</v>
      </c>
      <c r="AK38" s="166">
        <v>40</v>
      </c>
      <c r="AL38" s="166">
        <v>3</v>
      </c>
      <c r="AM38" s="166">
        <v>23</v>
      </c>
      <c r="AN38" s="166">
        <v>1</v>
      </c>
      <c r="AO38" s="166">
        <v>1</v>
      </c>
    </row>
    <row r="39" spans="1:41" ht="16.5" customHeight="1">
      <c r="A39" s="29" t="str">
        <v>G2</v>
      </c>
      <c r="B39" s="8" t="str">
        <v>Gold M2</v>
      </c>
      <c r="C39" s="143">
        <v>0</v>
      </c>
      <c r="D39" s="143">
        <v>0</v>
      </c>
      <c r="E39" s="143">
        <v>0.02</v>
      </c>
      <c r="F39" s="143">
        <v>0.01</v>
      </c>
      <c r="G39" s="143">
        <v>0</v>
      </c>
      <c r="H39" s="8">
        <v>12</v>
      </c>
      <c r="J39" s="9">
        <v>35</v>
      </c>
      <c r="K39" s="16" t="s">
        <v>19</v>
      </c>
      <c r="L39" s="16" t="s">
        <v>35</v>
      </c>
      <c r="M39" s="16" t="s">
        <v>19</v>
      </c>
      <c r="N39" s="16" t="s">
        <v>34</v>
      </c>
      <c r="O39" s="16" t="s">
        <v>36</v>
      </c>
      <c r="Q39" s="9">
        <v>5</v>
      </c>
      <c r="R39" s="9">
        <v>8</v>
      </c>
      <c r="S39" s="9">
        <v>5</v>
      </c>
      <c r="T39" s="9">
        <v>9</v>
      </c>
      <c r="U39" s="9">
        <v>10</v>
      </c>
      <c r="W39" s="25">
        <v>1</v>
      </c>
      <c r="X39" s="25">
        <v>1</v>
      </c>
      <c r="Y39" s="25">
        <v>1</v>
      </c>
      <c r="Z39" s="25">
        <v>1</v>
      </c>
      <c r="AA39" s="25">
        <v>1</v>
      </c>
      <c r="AC39" s="166" t="str">
        <v>Q</v>
      </c>
      <c r="AD39" s="166">
        <v>11</v>
      </c>
      <c r="AE39" s="166">
        <v>33</v>
      </c>
      <c r="AF39" s="166">
        <v>8</v>
      </c>
      <c r="AG39" s="166">
        <v>20</v>
      </c>
      <c r="AH39" s="166">
        <v>28</v>
      </c>
      <c r="AI39" s="5"/>
      <c r="AJ39" s="166" t="str">
        <v>Q</v>
      </c>
      <c r="AK39" s="166">
        <v>11</v>
      </c>
      <c r="AL39" s="166">
        <v>33</v>
      </c>
      <c r="AM39" s="166">
        <v>8</v>
      </c>
      <c r="AN39" s="166">
        <v>20</v>
      </c>
      <c r="AO39" s="166">
        <v>28</v>
      </c>
    </row>
    <row r="40" spans="1:41" ht="16.5" customHeight="1">
      <c r="A40" s="29" t="str">
        <v>G3</v>
      </c>
      <c r="B40" s="8" t="str">
        <v>Gold M3</v>
      </c>
      <c r="C40" s="143">
        <v>0</v>
      </c>
      <c r="D40" s="143">
        <v>0</v>
      </c>
      <c r="E40" s="143">
        <v>0.02</v>
      </c>
      <c r="F40" s="143">
        <v>0.04</v>
      </c>
      <c r="G40" s="143">
        <v>0</v>
      </c>
      <c r="H40" s="8">
        <v>13</v>
      </c>
      <c r="J40" s="25">
        <v>36</v>
      </c>
      <c r="K40" s="16" t="s">
        <v>21</v>
      </c>
      <c r="L40" s="16" t="s">
        <v>20</v>
      </c>
      <c r="M40" s="16" t="s">
        <v>21</v>
      </c>
      <c r="N40" s="16" t="s">
        <v>119</v>
      </c>
      <c r="O40" s="16" t="s">
        <v>35</v>
      </c>
      <c r="Q40" s="9">
        <v>2</v>
      </c>
      <c r="R40" s="9">
        <v>1</v>
      </c>
      <c r="S40" s="9">
        <v>2</v>
      </c>
      <c r="T40" s="9">
        <v>17</v>
      </c>
      <c r="U40" s="9">
        <v>8</v>
      </c>
      <c r="W40" s="25">
        <v>1</v>
      </c>
      <c r="X40" s="25">
        <v>1</v>
      </c>
      <c r="Y40" s="25">
        <v>1</v>
      </c>
      <c r="Z40" s="25">
        <v>1</v>
      </c>
      <c r="AA40" s="25">
        <v>1</v>
      </c>
      <c r="AC40" s="166" t="str">
        <v>J</v>
      </c>
      <c r="AD40" s="166">
        <v>44</v>
      </c>
      <c r="AE40" s="166">
        <v>1</v>
      </c>
      <c r="AF40" s="166">
        <v>39</v>
      </c>
      <c r="AG40" s="166">
        <v>5</v>
      </c>
      <c r="AH40" s="166">
        <v>1</v>
      </c>
      <c r="AI40" s="5"/>
      <c r="AJ40" s="166" t="str">
        <v>J</v>
      </c>
      <c r="AK40" s="166">
        <v>44</v>
      </c>
      <c r="AL40" s="166">
        <v>1</v>
      </c>
      <c r="AM40" s="166">
        <v>39</v>
      </c>
      <c r="AN40" s="166">
        <v>5</v>
      </c>
      <c r="AO40" s="166">
        <v>1</v>
      </c>
    </row>
    <row r="41" spans="1:41" ht="16.5" customHeight="1">
      <c r="A41" s="29" t="str">
        <v>G4</v>
      </c>
      <c r="B41" s="8" t="str">
        <v>Gold M4</v>
      </c>
      <c r="C41" s="143">
        <v>0</v>
      </c>
      <c r="D41" s="143">
        <v>0</v>
      </c>
      <c r="E41" s="143">
        <v>0.02</v>
      </c>
      <c r="F41" s="143">
        <v>0.03</v>
      </c>
      <c r="G41" s="143">
        <v>0</v>
      </c>
      <c r="H41" s="8">
        <v>14</v>
      </c>
      <c r="J41" s="9">
        <v>37</v>
      </c>
      <c r="K41" s="16" t="s">
        <v>35</v>
      </c>
      <c r="L41" s="16" t="s">
        <v>37</v>
      </c>
      <c r="M41" s="16" t="s">
        <v>35</v>
      </c>
      <c r="N41" s="16" t="s">
        <v>97</v>
      </c>
      <c r="O41" s="16" t="s">
        <v>37</v>
      </c>
      <c r="Q41" s="9">
        <v>8</v>
      </c>
      <c r="R41" s="9">
        <v>7</v>
      </c>
      <c r="S41" s="9">
        <v>8</v>
      </c>
      <c r="T41" s="9">
        <v>19</v>
      </c>
      <c r="U41" s="9">
        <v>7</v>
      </c>
      <c r="W41" s="25">
        <v>1</v>
      </c>
      <c r="X41" s="25">
        <v>1</v>
      </c>
      <c r="Y41" s="25">
        <v>1</v>
      </c>
      <c r="Z41" s="25">
        <v>1</v>
      </c>
      <c r="AA41" s="25">
        <v>1</v>
      </c>
      <c r="AC41" s="149" t="str">
        <v>G1</v>
      </c>
      <c r="AD41" s="150">
        <v>0</v>
      </c>
      <c r="AE41" s="150">
        <v>0</v>
      </c>
      <c r="AF41" s="149">
        <v>1</v>
      </c>
      <c r="AG41" s="149">
        <v>8</v>
      </c>
      <c r="AH41" s="150">
        <v>0</v>
      </c>
      <c r="AI41" s="5"/>
      <c r="AJ41" s="149" t="str">
        <v>G1</v>
      </c>
      <c r="AK41" s="150">
        <v>0</v>
      </c>
      <c r="AL41" s="150">
        <v>0</v>
      </c>
      <c r="AM41" s="149">
        <v>1</v>
      </c>
      <c r="AN41" s="149">
        <v>8</v>
      </c>
      <c r="AO41" s="150">
        <v>0</v>
      </c>
    </row>
    <row r="42" spans="1:41" ht="16.5" customHeight="1">
      <c r="A42" s="29" t="str">
        <v>G5</v>
      </c>
      <c r="B42" s="8" t="str">
        <v>Gold M5</v>
      </c>
      <c r="C42" s="143">
        <v>0</v>
      </c>
      <c r="D42" s="143">
        <v>0</v>
      </c>
      <c r="E42" s="143">
        <v>0</v>
      </c>
      <c r="F42" s="143">
        <v>0</v>
      </c>
      <c r="G42" s="143">
        <v>0</v>
      </c>
      <c r="H42" s="8">
        <v>15</v>
      </c>
      <c r="J42" s="25">
        <v>38</v>
      </c>
      <c r="K42" s="16" t="s">
        <v>37</v>
      </c>
      <c r="L42" s="16" t="s">
        <v>37</v>
      </c>
      <c r="M42" s="16" t="s">
        <v>92</v>
      </c>
      <c r="N42" s="16" t="s">
        <v>22</v>
      </c>
      <c r="O42" s="16" t="s">
        <v>35</v>
      </c>
      <c r="Q42" s="9">
        <v>7</v>
      </c>
      <c r="R42" s="9">
        <v>7</v>
      </c>
      <c r="S42" s="9">
        <v>16</v>
      </c>
      <c r="T42" s="9">
        <v>3</v>
      </c>
      <c r="U42" s="9">
        <v>8</v>
      </c>
      <c r="W42" s="25">
        <v>1</v>
      </c>
      <c r="X42" s="25">
        <v>1</v>
      </c>
      <c r="Y42" s="25">
        <v>1</v>
      </c>
      <c r="Z42" s="25">
        <v>1</v>
      </c>
      <c r="AA42" s="25">
        <v>1</v>
      </c>
      <c r="AC42" s="149" t="str">
        <v>G2</v>
      </c>
      <c r="AD42" s="150">
        <v>0</v>
      </c>
      <c r="AE42" s="150">
        <v>0</v>
      </c>
      <c r="AF42" s="149">
        <v>3</v>
      </c>
      <c r="AG42" s="149">
        <v>7</v>
      </c>
      <c r="AH42" s="150">
        <v>0</v>
      </c>
      <c r="AI42" s="5"/>
      <c r="AJ42" s="149" t="str">
        <v>G2</v>
      </c>
      <c r="AK42" s="150">
        <v>0</v>
      </c>
      <c r="AL42" s="150">
        <v>0</v>
      </c>
      <c r="AM42" s="149">
        <v>3</v>
      </c>
      <c r="AN42" s="149">
        <v>7</v>
      </c>
      <c r="AO42" s="150">
        <v>0</v>
      </c>
    </row>
    <row r="43" spans="1:41" ht="16.5" customHeight="1">
      <c r="A43" s="29" t="str">
        <v>GA</v>
      </c>
      <c r="B43" s="8" t="str">
        <v>Gold A</v>
      </c>
      <c r="C43" s="143">
        <v>0</v>
      </c>
      <c r="D43" s="143">
        <v>0</v>
      </c>
      <c r="E43" s="143">
        <v>0.04</v>
      </c>
      <c r="F43" s="143">
        <v>0.02</v>
      </c>
      <c r="G43" s="143">
        <v>0</v>
      </c>
      <c r="H43" s="8">
        <v>16</v>
      </c>
      <c r="J43" s="9">
        <v>39</v>
      </c>
      <c r="K43" s="16" t="s">
        <v>19</v>
      </c>
      <c r="L43" s="16" t="s">
        <v>35</v>
      </c>
      <c r="M43" s="16" t="s">
        <v>36</v>
      </c>
      <c r="N43" s="16" t="s">
        <v>36</v>
      </c>
      <c r="O43" s="16" t="s">
        <v>22</v>
      </c>
      <c r="Q43" s="9">
        <v>5</v>
      </c>
      <c r="R43" s="9">
        <v>8</v>
      </c>
      <c r="S43" s="9">
        <v>10</v>
      </c>
      <c r="T43" s="9">
        <v>10</v>
      </c>
      <c r="U43" s="9">
        <v>3</v>
      </c>
      <c r="W43" s="25">
        <v>1</v>
      </c>
      <c r="X43" s="25">
        <v>1</v>
      </c>
      <c r="Y43" s="25">
        <v>1</v>
      </c>
      <c r="Z43" s="25">
        <v>1</v>
      </c>
      <c r="AA43" s="25">
        <v>1</v>
      </c>
      <c r="AC43" s="149" t="str">
        <v>G3</v>
      </c>
      <c r="AD43" s="150">
        <v>0</v>
      </c>
      <c r="AE43" s="150">
        <v>0</v>
      </c>
      <c r="AF43" s="149">
        <v>6</v>
      </c>
      <c r="AG43" s="149">
        <v>3</v>
      </c>
      <c r="AH43" s="150">
        <v>0</v>
      </c>
      <c r="AI43" s="5"/>
      <c r="AJ43" s="149" t="str">
        <v>G3</v>
      </c>
      <c r="AK43" s="150">
        <v>0</v>
      </c>
      <c r="AL43" s="150">
        <v>0</v>
      </c>
      <c r="AM43" s="149">
        <v>6</v>
      </c>
      <c r="AN43" s="149">
        <v>3</v>
      </c>
      <c r="AO43" s="150">
        <v>0</v>
      </c>
    </row>
    <row r="44" spans="1:41" ht="16.5" customHeight="1">
      <c r="A44" s="29" t="str">
        <v>GK</v>
      </c>
      <c r="B44" s="8" t="str">
        <v>Gold K</v>
      </c>
      <c r="C44" s="143">
        <v>0</v>
      </c>
      <c r="D44" s="143">
        <v>0</v>
      </c>
      <c r="E44" s="143">
        <v>0.04</v>
      </c>
      <c r="F44" s="143">
        <v>0.03</v>
      </c>
      <c r="G44" s="143">
        <v>0</v>
      </c>
      <c r="H44" s="8">
        <v>17</v>
      </c>
      <c r="J44" s="25">
        <v>40</v>
      </c>
      <c r="K44" s="16" t="s">
        <v>22</v>
      </c>
      <c r="L44" s="16" t="s">
        <v>21</v>
      </c>
      <c r="M44" s="16" t="s">
        <v>18</v>
      </c>
      <c r="N44" s="16" t="s">
        <v>37</v>
      </c>
      <c r="O44" s="16" t="s">
        <v>34</v>
      </c>
      <c r="Q44" s="9">
        <v>3</v>
      </c>
      <c r="R44" s="9">
        <v>2</v>
      </c>
      <c r="S44" s="9">
        <v>4</v>
      </c>
      <c r="T44" s="9">
        <v>7</v>
      </c>
      <c r="U44" s="9">
        <v>9</v>
      </c>
      <c r="W44" s="25">
        <v>1</v>
      </c>
      <c r="X44" s="25">
        <v>1</v>
      </c>
      <c r="Y44" s="25">
        <v>1</v>
      </c>
      <c r="Z44" s="25">
        <v>1</v>
      </c>
      <c r="AA44" s="25">
        <v>1</v>
      </c>
      <c r="AC44" s="149" t="str">
        <v>G4</v>
      </c>
      <c r="AD44" s="150">
        <v>0</v>
      </c>
      <c r="AE44" s="150">
        <v>0</v>
      </c>
      <c r="AF44" s="149">
        <v>1</v>
      </c>
      <c r="AG44" s="149">
        <v>5</v>
      </c>
      <c r="AH44" s="150">
        <v>0</v>
      </c>
      <c r="AI44" s="5"/>
      <c r="AJ44" s="149" t="str">
        <v>G4</v>
      </c>
      <c r="AK44" s="150">
        <v>0</v>
      </c>
      <c r="AL44" s="150">
        <v>0</v>
      </c>
      <c r="AM44" s="149">
        <v>1</v>
      </c>
      <c r="AN44" s="149">
        <v>5</v>
      </c>
      <c r="AO44" s="150">
        <v>0</v>
      </c>
    </row>
    <row r="45" spans="1:41" ht="16.5" customHeight="1">
      <c r="A45" s="29" t="str">
        <v>GQ</v>
      </c>
      <c r="B45" s="8" t="str">
        <v>Gold Q</v>
      </c>
      <c r="C45" s="143">
        <v>0</v>
      </c>
      <c r="D45" s="143">
        <v>0</v>
      </c>
      <c r="E45" s="143">
        <v>0.03</v>
      </c>
      <c r="F45" s="143">
        <v>0.06</v>
      </c>
      <c r="G45" s="143">
        <v>0</v>
      </c>
      <c r="H45" s="8">
        <v>18</v>
      </c>
      <c r="J45" s="9">
        <v>41</v>
      </c>
      <c r="K45" s="16" t="s">
        <v>35</v>
      </c>
      <c r="L45" s="16" t="s">
        <v>34</v>
      </c>
      <c r="M45" s="16" t="s">
        <v>35</v>
      </c>
      <c r="N45" s="16" t="s">
        <v>34</v>
      </c>
      <c r="O45" s="16" t="s">
        <v>19</v>
      </c>
      <c r="Q45" s="9">
        <v>8</v>
      </c>
      <c r="R45" s="9">
        <v>9</v>
      </c>
      <c r="S45" s="9">
        <v>8</v>
      </c>
      <c r="T45" s="9">
        <v>9</v>
      </c>
      <c r="U45" s="9">
        <v>5</v>
      </c>
      <c r="W45" s="25">
        <v>1</v>
      </c>
      <c r="X45" s="25">
        <v>1</v>
      </c>
      <c r="Y45" s="25">
        <v>1</v>
      </c>
      <c r="Z45" s="25">
        <v>1</v>
      </c>
      <c r="AA45" s="25">
        <v>1</v>
      </c>
      <c r="AC45" s="149" t="str">
        <v>G5</v>
      </c>
      <c r="AD45" s="150">
        <v>0</v>
      </c>
      <c r="AE45" s="150">
        <v>0</v>
      </c>
      <c r="AF45" s="149">
        <v>6</v>
      </c>
      <c r="AG45" s="149">
        <v>1</v>
      </c>
      <c r="AH45" s="150">
        <v>0</v>
      </c>
      <c r="AI45" s="5"/>
      <c r="AJ45" s="149" t="str">
        <v>G5</v>
      </c>
      <c r="AK45" s="150">
        <v>0</v>
      </c>
      <c r="AL45" s="150">
        <v>0</v>
      </c>
      <c r="AM45" s="149">
        <v>6</v>
      </c>
      <c r="AN45" s="149">
        <v>1</v>
      </c>
      <c r="AO45" s="150">
        <v>0</v>
      </c>
    </row>
    <row r="46" spans="1:41" ht="16.5" customHeight="1">
      <c r="A46" s="29" t="str">
        <v>GJ</v>
      </c>
      <c r="B46" s="8" t="str">
        <v>Gold J</v>
      </c>
      <c r="C46" s="143">
        <v>0</v>
      </c>
      <c r="D46" s="143">
        <v>0</v>
      </c>
      <c r="E46" s="143">
        <v>0.01</v>
      </c>
      <c r="F46" s="143">
        <v>7.0000000000000007E-2</v>
      </c>
      <c r="G46" s="143">
        <v>0</v>
      </c>
      <c r="H46" s="8">
        <v>19</v>
      </c>
      <c r="J46" s="25">
        <v>42</v>
      </c>
      <c r="K46" s="16" t="s">
        <v>35</v>
      </c>
      <c r="L46" s="16" t="s">
        <v>36</v>
      </c>
      <c r="M46" s="16" t="s">
        <v>35</v>
      </c>
      <c r="N46" s="16" t="s">
        <v>22</v>
      </c>
      <c r="O46" s="16" t="s">
        <v>35</v>
      </c>
      <c r="Q46" s="9">
        <v>8</v>
      </c>
      <c r="R46" s="9">
        <v>10</v>
      </c>
      <c r="S46" s="9">
        <v>8</v>
      </c>
      <c r="T46" s="9">
        <v>3</v>
      </c>
      <c r="U46" s="9">
        <v>8</v>
      </c>
      <c r="W46" s="25">
        <v>1</v>
      </c>
      <c r="X46" s="25">
        <v>1</v>
      </c>
      <c r="Y46" s="25">
        <v>1</v>
      </c>
      <c r="Z46" s="25">
        <v>1</v>
      </c>
      <c r="AA46" s="25">
        <v>1</v>
      </c>
      <c r="AC46" s="149" t="str">
        <v>GA</v>
      </c>
      <c r="AD46" s="150">
        <v>0</v>
      </c>
      <c r="AE46" s="150">
        <v>0</v>
      </c>
      <c r="AF46" s="149">
        <v>4</v>
      </c>
      <c r="AG46" s="149">
        <v>1</v>
      </c>
      <c r="AH46" s="150">
        <v>0</v>
      </c>
      <c r="AI46" s="5"/>
      <c r="AJ46" s="149" t="str">
        <v>GA</v>
      </c>
      <c r="AK46" s="150">
        <v>0</v>
      </c>
      <c r="AL46" s="150">
        <v>0</v>
      </c>
      <c r="AM46" s="149">
        <v>4</v>
      </c>
      <c r="AN46" s="149">
        <v>1</v>
      </c>
      <c r="AO46" s="150">
        <v>0</v>
      </c>
    </row>
    <row r="47" spans="1:41" ht="16.5" customHeight="1">
      <c r="J47" s="9">
        <v>43</v>
      </c>
      <c r="K47" s="16" t="s">
        <v>21</v>
      </c>
      <c r="L47" s="16" t="s">
        <v>36</v>
      </c>
      <c r="M47" s="16" t="s">
        <v>22</v>
      </c>
      <c r="N47" s="16" t="s">
        <v>37</v>
      </c>
      <c r="O47" s="16" t="s">
        <v>21</v>
      </c>
      <c r="Q47" s="9">
        <v>2</v>
      </c>
      <c r="R47" s="9">
        <v>10</v>
      </c>
      <c r="S47" s="9">
        <v>3</v>
      </c>
      <c r="T47" s="9">
        <v>7</v>
      </c>
      <c r="U47" s="9">
        <v>2</v>
      </c>
      <c r="W47" s="25">
        <v>1</v>
      </c>
      <c r="X47" s="25">
        <v>1</v>
      </c>
      <c r="Y47" s="25">
        <v>1</v>
      </c>
      <c r="Z47" s="25">
        <v>1</v>
      </c>
      <c r="AA47" s="25">
        <v>1</v>
      </c>
      <c r="AC47" s="149" t="str">
        <v>GK</v>
      </c>
      <c r="AD47" s="150">
        <v>0</v>
      </c>
      <c r="AE47" s="150">
        <v>0</v>
      </c>
      <c r="AF47" s="149">
        <v>1</v>
      </c>
      <c r="AG47" s="149">
        <v>3</v>
      </c>
      <c r="AH47" s="150">
        <v>0</v>
      </c>
      <c r="AI47" s="5"/>
      <c r="AJ47" s="149" t="str">
        <v>GK</v>
      </c>
      <c r="AK47" s="150">
        <v>0</v>
      </c>
      <c r="AL47" s="150">
        <v>0</v>
      </c>
      <c r="AM47" s="149">
        <v>1</v>
      </c>
      <c r="AN47" s="149">
        <v>3</v>
      </c>
      <c r="AO47" s="150">
        <v>0</v>
      </c>
    </row>
    <row r="48" spans="1:41" ht="16.5" customHeight="1">
      <c r="J48" s="25">
        <v>44</v>
      </c>
      <c r="K48" s="16" t="s">
        <v>21</v>
      </c>
      <c r="L48" s="16" t="s">
        <v>18</v>
      </c>
      <c r="M48" s="16" t="s">
        <v>22</v>
      </c>
      <c r="N48" s="16" t="s">
        <v>92</v>
      </c>
      <c r="O48" s="16" t="s">
        <v>22</v>
      </c>
      <c r="Q48" s="9">
        <v>2</v>
      </c>
      <c r="R48" s="9">
        <v>4</v>
      </c>
      <c r="S48" s="9">
        <v>3</v>
      </c>
      <c r="T48" s="9">
        <v>16</v>
      </c>
      <c r="U48" s="9">
        <v>3</v>
      </c>
      <c r="W48" s="25">
        <v>1</v>
      </c>
      <c r="X48" s="25">
        <v>1</v>
      </c>
      <c r="Y48" s="25">
        <v>1</v>
      </c>
      <c r="Z48" s="25">
        <v>1</v>
      </c>
      <c r="AA48" s="25">
        <v>1</v>
      </c>
      <c r="AC48" s="149" t="str">
        <v>GQ</v>
      </c>
      <c r="AD48" s="150">
        <v>0</v>
      </c>
      <c r="AE48" s="150">
        <v>0</v>
      </c>
      <c r="AF48" s="149">
        <v>1</v>
      </c>
      <c r="AG48" s="149">
        <v>3</v>
      </c>
      <c r="AH48" s="150">
        <v>0</v>
      </c>
      <c r="AI48" s="5"/>
      <c r="AJ48" s="149" t="str">
        <v>GQ</v>
      </c>
      <c r="AK48" s="150">
        <v>0</v>
      </c>
      <c r="AL48" s="150">
        <v>0</v>
      </c>
      <c r="AM48" s="149">
        <v>1</v>
      </c>
      <c r="AN48" s="149">
        <v>3</v>
      </c>
      <c r="AO48" s="150">
        <v>0</v>
      </c>
    </row>
    <row r="49" spans="10:41" ht="16.5" customHeight="1">
      <c r="J49" s="9">
        <v>45</v>
      </c>
      <c r="K49" s="16" t="s">
        <v>19</v>
      </c>
      <c r="L49" s="16" t="s">
        <v>37</v>
      </c>
      <c r="M49" s="16" t="s">
        <v>88</v>
      </c>
      <c r="N49" s="16" t="s">
        <v>19</v>
      </c>
      <c r="O49" s="16" t="s">
        <v>35</v>
      </c>
      <c r="Q49" s="9">
        <v>5</v>
      </c>
      <c r="R49" s="9">
        <v>7</v>
      </c>
      <c r="S49" s="9">
        <v>11</v>
      </c>
      <c r="T49" s="9">
        <v>5</v>
      </c>
      <c r="U49" s="9">
        <v>8</v>
      </c>
      <c r="W49" s="25">
        <v>1</v>
      </c>
      <c r="X49" s="25">
        <v>1</v>
      </c>
      <c r="Y49" s="25">
        <v>1</v>
      </c>
      <c r="Z49" s="25">
        <v>1</v>
      </c>
      <c r="AA49" s="25">
        <v>1</v>
      </c>
      <c r="AC49" s="149" t="str">
        <v>GJ</v>
      </c>
      <c r="AD49" s="150">
        <v>0</v>
      </c>
      <c r="AE49" s="150">
        <v>0</v>
      </c>
      <c r="AF49" s="149">
        <v>6</v>
      </c>
      <c r="AG49" s="149">
        <v>1</v>
      </c>
      <c r="AH49" s="150">
        <v>0</v>
      </c>
      <c r="AI49" s="5"/>
      <c r="AJ49" s="149" t="str">
        <v>GJ</v>
      </c>
      <c r="AK49" s="150">
        <v>0</v>
      </c>
      <c r="AL49" s="150">
        <v>0</v>
      </c>
      <c r="AM49" s="149">
        <v>6</v>
      </c>
      <c r="AN49" s="149">
        <v>1</v>
      </c>
      <c r="AO49" s="150">
        <v>0</v>
      </c>
    </row>
    <row r="50" spans="10:41" ht="16.5" customHeight="1">
      <c r="J50" s="25">
        <v>46</v>
      </c>
      <c r="K50" s="16" t="s">
        <v>21</v>
      </c>
      <c r="L50" s="16" t="s">
        <v>37</v>
      </c>
      <c r="M50" s="16" t="s">
        <v>91</v>
      </c>
      <c r="N50" s="16" t="s">
        <v>37</v>
      </c>
      <c r="O50" s="16" t="s">
        <v>36</v>
      </c>
      <c r="Q50" s="9">
        <v>2</v>
      </c>
      <c r="R50" s="9">
        <v>7</v>
      </c>
      <c r="S50" s="9">
        <v>14</v>
      </c>
      <c r="T50" s="9">
        <v>7</v>
      </c>
      <c r="U50" s="9">
        <v>10</v>
      </c>
      <c r="W50" s="25">
        <v>1</v>
      </c>
      <c r="X50" s="25">
        <v>1</v>
      </c>
      <c r="Y50" s="25">
        <v>1</v>
      </c>
      <c r="Z50" s="25">
        <v>1</v>
      </c>
      <c r="AA50" s="25">
        <v>1</v>
      </c>
      <c r="AD50" s="119">
        <f>SUM(AD30:AD49)</f>
        <v>196</v>
      </c>
      <c r="AE50" s="119">
        <f>SUM(AE30:AE49)</f>
        <v>197</v>
      </c>
      <c r="AF50" s="119">
        <f>SUM(AF30:AF49)</f>
        <v>198</v>
      </c>
      <c r="AG50" s="119">
        <f>SUM(AG30:AG49)</f>
        <v>203</v>
      </c>
      <c r="AH50" s="119">
        <f>SUM(AH30:AH49)</f>
        <v>201</v>
      </c>
      <c r="AI50" s="5"/>
      <c r="AK50" s="119">
        <f>SUM(AK30:AK49)</f>
        <v>196</v>
      </c>
      <c r="AL50" s="119">
        <f>SUM(AL30:AL49)</f>
        <v>197</v>
      </c>
      <c r="AM50" s="119">
        <f>SUM(AM30:AM49)</f>
        <v>198</v>
      </c>
      <c r="AN50" s="119">
        <f>SUM(AN30:AN49)</f>
        <v>203</v>
      </c>
      <c r="AO50" s="119">
        <f>SUM(AO30:AO49)</f>
        <v>201</v>
      </c>
    </row>
    <row r="51" spans="10:41" ht="16.5" customHeight="1">
      <c r="J51" s="9">
        <v>47</v>
      </c>
      <c r="K51" s="16" t="s">
        <v>34</v>
      </c>
      <c r="L51" s="16" t="s">
        <v>19</v>
      </c>
      <c r="M51" s="16" t="s">
        <v>88</v>
      </c>
      <c r="N51" s="16" t="s">
        <v>19</v>
      </c>
      <c r="O51" s="16" t="s">
        <v>35</v>
      </c>
      <c r="Q51" s="9">
        <v>9</v>
      </c>
      <c r="R51" s="9">
        <v>5</v>
      </c>
      <c r="S51" s="9">
        <v>11</v>
      </c>
      <c r="T51" s="9">
        <v>5</v>
      </c>
      <c r="U51" s="9">
        <v>8</v>
      </c>
      <c r="W51" s="25">
        <v>1</v>
      </c>
      <c r="X51" s="25">
        <v>1</v>
      </c>
      <c r="Y51" s="25">
        <v>1</v>
      </c>
      <c r="Z51" s="25">
        <v>1</v>
      </c>
      <c r="AA51" s="25">
        <v>1</v>
      </c>
      <c r="AH51" s="5"/>
      <c r="AI51" s="5"/>
      <c r="AO51" s="5"/>
    </row>
    <row r="52" spans="10:41" ht="16.5" customHeight="1">
      <c r="J52" s="25">
        <v>48</v>
      </c>
      <c r="K52" s="16" t="s">
        <v>36</v>
      </c>
      <c r="L52" s="16" t="s">
        <v>36</v>
      </c>
      <c r="M52" s="16" t="s">
        <v>34</v>
      </c>
      <c r="N52" s="16" t="s">
        <v>35</v>
      </c>
      <c r="O52" s="16" t="s">
        <v>34</v>
      </c>
      <c r="Q52" s="9">
        <v>10</v>
      </c>
      <c r="R52" s="9">
        <v>10</v>
      </c>
      <c r="S52" s="9">
        <v>9</v>
      </c>
      <c r="T52" s="9">
        <v>8</v>
      </c>
      <c r="U52" s="9">
        <v>9</v>
      </c>
      <c r="W52" s="25">
        <v>1</v>
      </c>
      <c r="X52" s="25">
        <v>1</v>
      </c>
      <c r="Y52" s="25">
        <v>1</v>
      </c>
      <c r="Z52" s="25">
        <v>1</v>
      </c>
      <c r="AA52" s="25">
        <v>1</v>
      </c>
      <c r="AC52" s="27" t="s">
        <v>141</v>
      </c>
      <c r="AH52" s="5"/>
      <c r="AI52" s="5"/>
      <c r="AJ52" s="27" t="s">
        <v>141</v>
      </c>
      <c r="AO52" s="5"/>
    </row>
    <row r="53" spans="10:41" ht="16.5" customHeight="1">
      <c r="J53" s="9">
        <v>49</v>
      </c>
      <c r="K53" s="16" t="s">
        <v>34</v>
      </c>
      <c r="L53" s="16" t="s">
        <v>35</v>
      </c>
      <c r="M53" s="16" t="s">
        <v>95</v>
      </c>
      <c r="N53" s="16" t="s">
        <v>35</v>
      </c>
      <c r="O53" s="16" t="s">
        <v>35</v>
      </c>
      <c r="Q53" s="9">
        <v>9</v>
      </c>
      <c r="R53" s="9">
        <v>8</v>
      </c>
      <c r="S53" s="9">
        <v>18</v>
      </c>
      <c r="T53" s="9">
        <v>8</v>
      </c>
      <c r="U53" s="9">
        <v>8</v>
      </c>
      <c r="W53" s="25">
        <v>1</v>
      </c>
      <c r="X53" s="25">
        <v>1</v>
      </c>
      <c r="Y53" s="25">
        <v>1</v>
      </c>
      <c r="Z53" s="25">
        <v>1</v>
      </c>
      <c r="AA53" s="25">
        <v>1</v>
      </c>
      <c r="AC53" s="146" t="s">
        <v>42</v>
      </c>
      <c r="AD53" s="146" t="s">
        <v>13</v>
      </c>
      <c r="AE53" s="146" t="s">
        <v>14</v>
      </c>
      <c r="AF53" s="146" t="s">
        <v>15</v>
      </c>
      <c r="AG53" s="146" t="s">
        <v>16</v>
      </c>
      <c r="AH53" s="146" t="s">
        <v>17</v>
      </c>
      <c r="AI53" s="5"/>
      <c r="AJ53" s="146" t="s">
        <v>42</v>
      </c>
      <c r="AK53" s="146" t="s">
        <v>13</v>
      </c>
      <c r="AL53" s="146" t="s">
        <v>14</v>
      </c>
      <c r="AM53" s="146" t="s">
        <v>15</v>
      </c>
      <c r="AN53" s="146" t="s">
        <v>16</v>
      </c>
      <c r="AO53" s="146" t="s">
        <v>17</v>
      </c>
    </row>
    <row r="54" spans="10:41" ht="16.5" customHeight="1">
      <c r="J54" s="25">
        <v>50</v>
      </c>
      <c r="K54" s="16" t="s">
        <v>35</v>
      </c>
      <c r="L54" s="16" t="s">
        <v>19</v>
      </c>
      <c r="M54" s="16" t="s">
        <v>35</v>
      </c>
      <c r="N54" s="16" t="s">
        <v>18</v>
      </c>
      <c r="O54" s="16" t="s">
        <v>36</v>
      </c>
      <c r="Q54" s="9">
        <v>8</v>
      </c>
      <c r="R54" s="9">
        <v>5</v>
      </c>
      <c r="S54" s="9">
        <v>8</v>
      </c>
      <c r="T54" s="9">
        <v>4</v>
      </c>
      <c r="U54" s="9">
        <v>10</v>
      </c>
      <c r="W54" s="25">
        <v>1</v>
      </c>
      <c r="X54" s="25">
        <v>1</v>
      </c>
      <c r="Y54" s="25">
        <v>1</v>
      </c>
      <c r="Z54" s="25">
        <v>1</v>
      </c>
      <c r="AA54" s="25">
        <v>1</v>
      </c>
      <c r="AC54" s="149" t="str" cm="1">
        <f t="array" ref="AC54:AC73">$A$4:$A$23</f>
        <v>WW</v>
      </c>
      <c r="AD54" s="150">
        <v>0</v>
      </c>
      <c r="AE54" s="150">
        <v>0</v>
      </c>
      <c r="AF54" s="150">
        <v>0</v>
      </c>
      <c r="AG54" s="150">
        <v>0</v>
      </c>
      <c r="AH54" s="150">
        <v>0</v>
      </c>
      <c r="AI54" s="5"/>
      <c r="AJ54" s="149" t="str" cm="1">
        <f t="array" ref="AJ54:AJ73">$A$4:$A$23</f>
        <v>WW</v>
      </c>
      <c r="AK54" s="150">
        <v>0</v>
      </c>
      <c r="AL54" s="150">
        <v>0</v>
      </c>
      <c r="AM54" s="150">
        <v>0</v>
      </c>
      <c r="AN54" s="150">
        <v>0</v>
      </c>
      <c r="AO54" s="150">
        <v>0</v>
      </c>
    </row>
    <row r="55" spans="10:41" ht="16.5" customHeight="1">
      <c r="J55" s="9">
        <v>51</v>
      </c>
      <c r="K55" s="16" t="s">
        <v>34</v>
      </c>
      <c r="L55" s="16" t="s">
        <v>21</v>
      </c>
      <c r="M55" s="16" t="s">
        <v>92</v>
      </c>
      <c r="N55" s="16" t="s">
        <v>35</v>
      </c>
      <c r="O55" s="16" t="s">
        <v>18</v>
      </c>
      <c r="Q55" s="9">
        <v>9</v>
      </c>
      <c r="R55" s="9">
        <v>2</v>
      </c>
      <c r="S55" s="9">
        <v>16</v>
      </c>
      <c r="T55" s="9">
        <v>8</v>
      </c>
      <c r="U55" s="9">
        <v>4</v>
      </c>
      <c r="W55" s="25">
        <v>1</v>
      </c>
      <c r="X55" s="25">
        <v>1</v>
      </c>
      <c r="Y55" s="25">
        <v>1</v>
      </c>
      <c r="Z55" s="25">
        <v>1</v>
      </c>
      <c r="AA55" s="25">
        <v>1</v>
      </c>
      <c r="AC55" s="149" t="str">
        <v>C1</v>
      </c>
      <c r="AD55" s="149">
        <v>1</v>
      </c>
      <c r="AE55" s="149">
        <v>1</v>
      </c>
      <c r="AF55" s="149">
        <v>1</v>
      </c>
      <c r="AG55" s="149">
        <v>1</v>
      </c>
      <c r="AH55" s="149">
        <v>1</v>
      </c>
      <c r="AI55" s="5"/>
      <c r="AJ55" s="149" t="str">
        <v>C1</v>
      </c>
      <c r="AK55" s="149">
        <v>1</v>
      </c>
      <c r="AL55" s="149">
        <v>1</v>
      </c>
      <c r="AM55" s="149">
        <v>1</v>
      </c>
      <c r="AN55" s="149">
        <v>1</v>
      </c>
      <c r="AO55" s="149">
        <v>1</v>
      </c>
    </row>
    <row r="56" spans="10:41" ht="16.5" customHeight="1">
      <c r="J56" s="25">
        <v>52</v>
      </c>
      <c r="K56" s="16" t="s">
        <v>19</v>
      </c>
      <c r="L56" s="16" t="s">
        <v>36</v>
      </c>
      <c r="M56" s="16" t="s">
        <v>22</v>
      </c>
      <c r="N56" s="16" t="s">
        <v>36</v>
      </c>
      <c r="O56" s="16" t="s">
        <v>36</v>
      </c>
      <c r="Q56" s="9">
        <v>5</v>
      </c>
      <c r="R56" s="9">
        <v>10</v>
      </c>
      <c r="S56" s="9">
        <v>3</v>
      </c>
      <c r="T56" s="9">
        <v>10</v>
      </c>
      <c r="U56" s="9">
        <v>10</v>
      </c>
      <c r="W56" s="25">
        <v>1</v>
      </c>
      <c r="X56" s="25">
        <v>1</v>
      </c>
      <c r="Y56" s="25">
        <v>1</v>
      </c>
      <c r="Z56" s="25">
        <v>1</v>
      </c>
      <c r="AA56" s="25">
        <v>1</v>
      </c>
      <c r="AC56" s="166" t="str">
        <v>M1</v>
      </c>
      <c r="AD56" s="167">
        <v>0</v>
      </c>
      <c r="AE56" s="167">
        <v>0</v>
      </c>
      <c r="AF56" s="167">
        <v>0</v>
      </c>
      <c r="AG56" s="167">
        <v>0</v>
      </c>
      <c r="AH56" s="167">
        <v>0</v>
      </c>
      <c r="AI56" s="5"/>
      <c r="AJ56" s="166" t="str">
        <v>M1</v>
      </c>
      <c r="AK56" s="167">
        <v>0</v>
      </c>
      <c r="AL56" s="167">
        <v>0</v>
      </c>
      <c r="AM56" s="167">
        <v>0</v>
      </c>
      <c r="AN56" s="167">
        <v>0</v>
      </c>
      <c r="AO56" s="167">
        <v>0</v>
      </c>
    </row>
    <row r="57" spans="10:41" ht="16.5" customHeight="1">
      <c r="J57" s="9">
        <v>53</v>
      </c>
      <c r="K57" s="16" t="s">
        <v>34</v>
      </c>
      <c r="L57" s="16" t="s">
        <v>36</v>
      </c>
      <c r="M57" s="16" t="s">
        <v>35</v>
      </c>
      <c r="N57" s="16" t="s">
        <v>20</v>
      </c>
      <c r="O57" s="16" t="s">
        <v>37</v>
      </c>
      <c r="Q57" s="9">
        <v>9</v>
      </c>
      <c r="R57" s="9">
        <v>10</v>
      </c>
      <c r="S57" s="9">
        <v>8</v>
      </c>
      <c r="T57" s="9">
        <v>1</v>
      </c>
      <c r="U57" s="9">
        <v>7</v>
      </c>
      <c r="W57" s="25">
        <v>1</v>
      </c>
      <c r="X57" s="25">
        <v>1</v>
      </c>
      <c r="Y57" s="25">
        <v>1</v>
      </c>
      <c r="Z57" s="25">
        <v>1</v>
      </c>
      <c r="AA57" s="25">
        <v>1</v>
      </c>
      <c r="AC57" s="166" t="str">
        <v>M2</v>
      </c>
      <c r="AD57" s="166">
        <v>15</v>
      </c>
      <c r="AE57" s="166">
        <v>53</v>
      </c>
      <c r="AF57" s="166">
        <v>5</v>
      </c>
      <c r="AG57" s="166">
        <v>48</v>
      </c>
      <c r="AH57" s="166">
        <v>58</v>
      </c>
      <c r="AI57" s="5"/>
      <c r="AJ57" s="166" t="str">
        <v>M2</v>
      </c>
      <c r="AK57" s="166">
        <v>15</v>
      </c>
      <c r="AL57" s="166">
        <v>53</v>
      </c>
      <c r="AM57" s="166">
        <v>5</v>
      </c>
      <c r="AN57" s="166">
        <v>48</v>
      </c>
      <c r="AO57" s="166">
        <v>58</v>
      </c>
    </row>
    <row r="58" spans="10:41" ht="16.5" customHeight="1">
      <c r="J58" s="25">
        <v>54</v>
      </c>
      <c r="K58" s="16" t="s">
        <v>35</v>
      </c>
      <c r="L58" s="16" t="s">
        <v>19</v>
      </c>
      <c r="M58" s="16" t="s">
        <v>88</v>
      </c>
      <c r="N58" s="16" t="s">
        <v>89</v>
      </c>
      <c r="O58" s="16" t="s">
        <v>36</v>
      </c>
      <c r="Q58" s="9">
        <v>8</v>
      </c>
      <c r="R58" s="9">
        <v>5</v>
      </c>
      <c r="S58" s="9">
        <v>11</v>
      </c>
      <c r="T58" s="9">
        <v>12</v>
      </c>
      <c r="U58" s="9">
        <v>10</v>
      </c>
      <c r="W58" s="25">
        <v>1</v>
      </c>
      <c r="X58" s="25">
        <v>1</v>
      </c>
      <c r="Y58" s="25">
        <v>1</v>
      </c>
      <c r="Z58" s="25">
        <v>1</v>
      </c>
      <c r="AA58" s="25">
        <v>1</v>
      </c>
      <c r="AC58" s="166" t="str">
        <v>M3</v>
      </c>
      <c r="AD58" s="166">
        <v>3</v>
      </c>
      <c r="AE58" s="166">
        <v>38</v>
      </c>
      <c r="AF58" s="166">
        <v>20</v>
      </c>
      <c r="AG58" s="166">
        <v>40</v>
      </c>
      <c r="AH58" s="166">
        <v>48</v>
      </c>
      <c r="AI58" s="5"/>
      <c r="AJ58" s="166" t="str">
        <v>M3</v>
      </c>
      <c r="AK58" s="166">
        <v>3</v>
      </c>
      <c r="AL58" s="166">
        <v>38</v>
      </c>
      <c r="AM58" s="166">
        <v>20</v>
      </c>
      <c r="AN58" s="166">
        <v>40</v>
      </c>
      <c r="AO58" s="166">
        <v>48</v>
      </c>
    </row>
    <row r="59" spans="10:41" ht="16.5" customHeight="1">
      <c r="J59" s="9">
        <v>55</v>
      </c>
      <c r="K59" s="16" t="s">
        <v>37</v>
      </c>
      <c r="L59" s="16" t="s">
        <v>37</v>
      </c>
      <c r="M59" s="16" t="s">
        <v>35</v>
      </c>
      <c r="N59" s="16" t="s">
        <v>37</v>
      </c>
      <c r="O59" s="16" t="s">
        <v>22</v>
      </c>
      <c r="Q59" s="9">
        <v>7</v>
      </c>
      <c r="R59" s="9">
        <v>7</v>
      </c>
      <c r="S59" s="9">
        <v>8</v>
      </c>
      <c r="T59" s="9">
        <v>7</v>
      </c>
      <c r="U59" s="9">
        <v>3</v>
      </c>
      <c r="W59" s="25">
        <v>1</v>
      </c>
      <c r="X59" s="25">
        <v>1</v>
      </c>
      <c r="Y59" s="25">
        <v>1</v>
      </c>
      <c r="Z59" s="25">
        <v>1</v>
      </c>
      <c r="AA59" s="25">
        <v>1</v>
      </c>
      <c r="AC59" s="166" t="str">
        <v>M4</v>
      </c>
      <c r="AD59" s="166">
        <v>38</v>
      </c>
      <c r="AE59" s="166">
        <v>27</v>
      </c>
      <c r="AF59" s="166">
        <v>33</v>
      </c>
      <c r="AG59" s="166">
        <v>20</v>
      </c>
      <c r="AH59" s="166">
        <v>24</v>
      </c>
      <c r="AI59" s="5"/>
      <c r="AJ59" s="166" t="str">
        <v>M4</v>
      </c>
      <c r="AK59" s="166">
        <v>38</v>
      </c>
      <c r="AL59" s="166">
        <v>27</v>
      </c>
      <c r="AM59" s="166">
        <v>33</v>
      </c>
      <c r="AN59" s="166">
        <v>20</v>
      </c>
      <c r="AO59" s="166">
        <v>24</v>
      </c>
    </row>
    <row r="60" spans="10:41" ht="16.5" customHeight="1">
      <c r="J60" s="25">
        <v>56</v>
      </c>
      <c r="K60" s="16" t="s">
        <v>18</v>
      </c>
      <c r="L60" s="16" t="s">
        <v>22</v>
      </c>
      <c r="M60" s="16" t="s">
        <v>119</v>
      </c>
      <c r="N60" s="16" t="s">
        <v>21</v>
      </c>
      <c r="O60" s="16" t="s">
        <v>22</v>
      </c>
      <c r="Q60" s="9">
        <v>4</v>
      </c>
      <c r="R60" s="9">
        <v>3</v>
      </c>
      <c r="S60" s="9">
        <v>17</v>
      </c>
      <c r="T60" s="9">
        <v>2</v>
      </c>
      <c r="U60" s="9">
        <v>3</v>
      </c>
      <c r="W60" s="25">
        <v>1</v>
      </c>
      <c r="X60" s="25">
        <v>1</v>
      </c>
      <c r="Y60" s="25">
        <v>1</v>
      </c>
      <c r="Z60" s="25">
        <v>1</v>
      </c>
      <c r="AA60" s="25">
        <v>1</v>
      </c>
      <c r="AC60" s="166" t="str">
        <v>M5</v>
      </c>
      <c r="AD60" s="166">
        <v>11</v>
      </c>
      <c r="AE60" s="166">
        <v>27</v>
      </c>
      <c r="AF60" s="166">
        <v>5</v>
      </c>
      <c r="AG60" s="166">
        <v>28</v>
      </c>
      <c r="AH60" s="166">
        <v>30</v>
      </c>
      <c r="AI60" s="5"/>
      <c r="AJ60" s="166" t="str">
        <v>M5</v>
      </c>
      <c r="AK60" s="166">
        <v>11</v>
      </c>
      <c r="AL60" s="166">
        <v>27</v>
      </c>
      <c r="AM60" s="166">
        <v>5</v>
      </c>
      <c r="AN60" s="166">
        <v>28</v>
      </c>
      <c r="AO60" s="166">
        <v>30</v>
      </c>
    </row>
    <row r="61" spans="10:41">
      <c r="J61" s="9">
        <v>57</v>
      </c>
      <c r="K61" s="16" t="s">
        <v>20</v>
      </c>
      <c r="L61" s="16" t="s">
        <v>34</v>
      </c>
      <c r="M61" s="16" t="s">
        <v>37</v>
      </c>
      <c r="N61" s="16" t="s">
        <v>34</v>
      </c>
      <c r="O61" s="16" t="s">
        <v>18</v>
      </c>
      <c r="Q61" s="9">
        <v>1</v>
      </c>
      <c r="R61" s="9">
        <v>9</v>
      </c>
      <c r="S61" s="9">
        <v>7</v>
      </c>
      <c r="T61" s="9">
        <v>9</v>
      </c>
      <c r="U61" s="9">
        <v>4</v>
      </c>
      <c r="W61" s="25">
        <v>1</v>
      </c>
      <c r="X61" s="25">
        <v>1</v>
      </c>
      <c r="Y61" s="25">
        <v>1</v>
      </c>
      <c r="Z61" s="25">
        <v>1</v>
      </c>
      <c r="AA61" s="25">
        <v>1</v>
      </c>
      <c r="AC61" s="166" t="str">
        <v>A</v>
      </c>
      <c r="AD61" s="166">
        <v>33</v>
      </c>
      <c r="AE61" s="166">
        <v>14</v>
      </c>
      <c r="AF61" s="166">
        <v>35</v>
      </c>
      <c r="AG61" s="166">
        <v>8</v>
      </c>
      <c r="AH61" s="166">
        <v>10</v>
      </c>
      <c r="AI61" s="5"/>
      <c r="AJ61" s="166" t="str">
        <v>A</v>
      </c>
      <c r="AK61" s="166">
        <v>33</v>
      </c>
      <c r="AL61" s="166">
        <v>14</v>
      </c>
      <c r="AM61" s="166">
        <v>35</v>
      </c>
      <c r="AN61" s="166">
        <v>8</v>
      </c>
      <c r="AO61" s="166">
        <v>10</v>
      </c>
    </row>
    <row r="62" spans="10:41">
      <c r="J62" s="25">
        <v>58</v>
      </c>
      <c r="K62" s="16" t="s">
        <v>21</v>
      </c>
      <c r="L62" s="16" t="s">
        <v>36</v>
      </c>
      <c r="M62" s="16" t="s">
        <v>34</v>
      </c>
      <c r="N62" s="16" t="s">
        <v>90</v>
      </c>
      <c r="O62" s="16" t="s">
        <v>22</v>
      </c>
      <c r="Q62" s="9">
        <v>2</v>
      </c>
      <c r="R62" s="9">
        <v>10</v>
      </c>
      <c r="S62" s="9">
        <v>9</v>
      </c>
      <c r="T62" s="9">
        <v>13</v>
      </c>
      <c r="U62" s="9">
        <v>3</v>
      </c>
      <c r="W62" s="25">
        <v>1</v>
      </c>
      <c r="X62" s="25">
        <v>1</v>
      </c>
      <c r="Y62" s="25">
        <v>1</v>
      </c>
      <c r="Z62" s="25">
        <v>1</v>
      </c>
      <c r="AA62" s="25">
        <v>1</v>
      </c>
      <c r="AC62" s="166" t="str">
        <v>K</v>
      </c>
      <c r="AD62" s="166">
        <v>40</v>
      </c>
      <c r="AE62" s="166">
        <v>3</v>
      </c>
      <c r="AF62" s="166">
        <v>23</v>
      </c>
      <c r="AG62" s="166">
        <v>1</v>
      </c>
      <c r="AH62" s="166">
        <v>1</v>
      </c>
      <c r="AI62" s="5"/>
      <c r="AJ62" s="166" t="str">
        <v>K</v>
      </c>
      <c r="AK62" s="166">
        <v>40</v>
      </c>
      <c r="AL62" s="166">
        <v>3</v>
      </c>
      <c r="AM62" s="166">
        <v>23</v>
      </c>
      <c r="AN62" s="166">
        <v>1</v>
      </c>
      <c r="AO62" s="166">
        <v>1</v>
      </c>
    </row>
    <row r="63" spans="10:41" ht="16.5" customHeight="1">
      <c r="J63" s="9">
        <v>59</v>
      </c>
      <c r="K63" s="16" t="s">
        <v>18</v>
      </c>
      <c r="L63" s="16" t="s">
        <v>35</v>
      </c>
      <c r="M63" s="16" t="s">
        <v>34</v>
      </c>
      <c r="N63" s="16" t="s">
        <v>36</v>
      </c>
      <c r="O63" s="16" t="s">
        <v>18</v>
      </c>
      <c r="Q63" s="9">
        <v>4</v>
      </c>
      <c r="R63" s="9">
        <v>8</v>
      </c>
      <c r="S63" s="9">
        <v>9</v>
      </c>
      <c r="T63" s="9">
        <v>10</v>
      </c>
      <c r="U63" s="9">
        <v>4</v>
      </c>
      <c r="W63" s="25">
        <v>1</v>
      </c>
      <c r="X63" s="25">
        <v>1</v>
      </c>
      <c r="Y63" s="25">
        <v>1</v>
      </c>
      <c r="Z63" s="25">
        <v>1</v>
      </c>
      <c r="AA63" s="25">
        <v>1</v>
      </c>
      <c r="AC63" s="166" t="str">
        <v>Q</v>
      </c>
      <c r="AD63" s="166">
        <v>11</v>
      </c>
      <c r="AE63" s="166">
        <v>33</v>
      </c>
      <c r="AF63" s="166">
        <v>8</v>
      </c>
      <c r="AG63" s="166">
        <v>20</v>
      </c>
      <c r="AH63" s="166">
        <v>28</v>
      </c>
      <c r="AI63" s="5"/>
      <c r="AJ63" s="166" t="str">
        <v>Q</v>
      </c>
      <c r="AK63" s="166">
        <v>11</v>
      </c>
      <c r="AL63" s="166">
        <v>33</v>
      </c>
      <c r="AM63" s="166">
        <v>8</v>
      </c>
      <c r="AN63" s="166">
        <v>20</v>
      </c>
      <c r="AO63" s="166">
        <v>28</v>
      </c>
    </row>
    <row r="64" spans="10:41" ht="16.5" customHeight="1">
      <c r="J64" s="25">
        <v>60</v>
      </c>
      <c r="K64" s="16" t="s">
        <v>36</v>
      </c>
      <c r="L64" s="16" t="s">
        <v>34</v>
      </c>
      <c r="M64" s="16" t="s">
        <v>37</v>
      </c>
      <c r="N64" s="16" t="s">
        <v>37</v>
      </c>
      <c r="O64" s="16" t="s">
        <v>36</v>
      </c>
      <c r="Q64" s="9">
        <v>10</v>
      </c>
      <c r="R64" s="9">
        <v>9</v>
      </c>
      <c r="S64" s="9">
        <v>7</v>
      </c>
      <c r="T64" s="9">
        <v>7</v>
      </c>
      <c r="U64" s="9">
        <v>10</v>
      </c>
      <c r="W64" s="25">
        <v>1</v>
      </c>
      <c r="X64" s="25">
        <v>1</v>
      </c>
      <c r="Y64" s="25">
        <v>1</v>
      </c>
      <c r="Z64" s="25">
        <v>1</v>
      </c>
      <c r="AA64" s="25">
        <v>1</v>
      </c>
      <c r="AC64" s="166" t="str">
        <v>J</v>
      </c>
      <c r="AD64" s="166">
        <v>44</v>
      </c>
      <c r="AE64" s="166">
        <v>1</v>
      </c>
      <c r="AF64" s="166">
        <v>39</v>
      </c>
      <c r="AG64" s="166">
        <v>5</v>
      </c>
      <c r="AH64" s="166">
        <v>1</v>
      </c>
      <c r="AI64" s="5"/>
      <c r="AJ64" s="166" t="str">
        <v>J</v>
      </c>
      <c r="AK64" s="166">
        <v>44</v>
      </c>
      <c r="AL64" s="166">
        <v>1</v>
      </c>
      <c r="AM64" s="166">
        <v>39</v>
      </c>
      <c r="AN64" s="166">
        <v>5</v>
      </c>
      <c r="AO64" s="166">
        <v>1</v>
      </c>
    </row>
    <row r="65" spans="10:41" ht="16.5" customHeight="1">
      <c r="J65" s="9">
        <v>61</v>
      </c>
      <c r="K65" s="16" t="s">
        <v>21</v>
      </c>
      <c r="L65" s="16" t="s">
        <v>34</v>
      </c>
      <c r="M65" s="16" t="s">
        <v>21</v>
      </c>
      <c r="N65" s="16" t="s">
        <v>119</v>
      </c>
      <c r="O65" s="16" t="s">
        <v>35</v>
      </c>
      <c r="Q65" s="9">
        <v>2</v>
      </c>
      <c r="R65" s="9">
        <v>9</v>
      </c>
      <c r="S65" s="9">
        <v>2</v>
      </c>
      <c r="T65" s="9">
        <v>17</v>
      </c>
      <c r="U65" s="9">
        <v>8</v>
      </c>
      <c r="W65" s="25">
        <v>1</v>
      </c>
      <c r="X65" s="25">
        <v>1</v>
      </c>
      <c r="Y65" s="25">
        <v>1</v>
      </c>
      <c r="Z65" s="25">
        <v>1</v>
      </c>
      <c r="AA65" s="25">
        <v>1</v>
      </c>
      <c r="AC65" s="149" t="str">
        <v>G1</v>
      </c>
      <c r="AD65" s="150">
        <v>0</v>
      </c>
      <c r="AE65" s="150">
        <v>0</v>
      </c>
      <c r="AF65" s="149">
        <v>1</v>
      </c>
      <c r="AG65" s="149">
        <v>8</v>
      </c>
      <c r="AH65" s="150">
        <v>0</v>
      </c>
      <c r="AI65" s="5"/>
      <c r="AJ65" s="149" t="str">
        <v>G1</v>
      </c>
      <c r="AK65" s="150">
        <v>0</v>
      </c>
      <c r="AL65" s="150">
        <v>0</v>
      </c>
      <c r="AM65" s="149">
        <v>1</v>
      </c>
      <c r="AN65" s="149">
        <v>8</v>
      </c>
      <c r="AO65" s="150">
        <v>0</v>
      </c>
    </row>
    <row r="66" spans="10:41" ht="16.5" customHeight="1">
      <c r="J66" s="25">
        <v>62</v>
      </c>
      <c r="K66" s="16" t="s">
        <v>37</v>
      </c>
      <c r="L66" s="16" t="s">
        <v>19</v>
      </c>
      <c r="M66" s="16" t="s">
        <v>37</v>
      </c>
      <c r="N66" s="16" t="s">
        <v>34</v>
      </c>
      <c r="O66" s="16" t="s">
        <v>35</v>
      </c>
      <c r="Q66" s="9">
        <v>7</v>
      </c>
      <c r="R66" s="9">
        <v>5</v>
      </c>
      <c r="S66" s="9">
        <v>7</v>
      </c>
      <c r="T66" s="9">
        <v>9</v>
      </c>
      <c r="U66" s="9">
        <v>8</v>
      </c>
      <c r="W66" s="25">
        <v>1</v>
      </c>
      <c r="X66" s="25">
        <v>1</v>
      </c>
      <c r="Y66" s="25">
        <v>1</v>
      </c>
      <c r="Z66" s="25">
        <v>1</v>
      </c>
      <c r="AA66" s="25">
        <v>1</v>
      </c>
      <c r="AC66" s="149" t="str">
        <v>G2</v>
      </c>
      <c r="AD66" s="150">
        <v>0</v>
      </c>
      <c r="AE66" s="150">
        <v>0</v>
      </c>
      <c r="AF66" s="149">
        <v>3</v>
      </c>
      <c r="AG66" s="149">
        <v>7</v>
      </c>
      <c r="AH66" s="150">
        <v>0</v>
      </c>
      <c r="AI66" s="5"/>
      <c r="AJ66" s="149" t="str">
        <v>G2</v>
      </c>
      <c r="AK66" s="150">
        <v>0</v>
      </c>
      <c r="AL66" s="150">
        <v>0</v>
      </c>
      <c r="AM66" s="149">
        <v>3</v>
      </c>
      <c r="AN66" s="149">
        <v>7</v>
      </c>
      <c r="AO66" s="150">
        <v>0</v>
      </c>
    </row>
    <row r="67" spans="10:41" ht="16.5" customHeight="1">
      <c r="J67" s="9">
        <v>63</v>
      </c>
      <c r="K67" s="16" t="s">
        <v>37</v>
      </c>
      <c r="L67" s="16" t="s">
        <v>34</v>
      </c>
      <c r="M67" s="16" t="s">
        <v>92</v>
      </c>
      <c r="N67" s="16" t="s">
        <v>90</v>
      </c>
      <c r="O67" s="16" t="s">
        <v>21</v>
      </c>
      <c r="Q67" s="9">
        <v>7</v>
      </c>
      <c r="R67" s="9">
        <v>9</v>
      </c>
      <c r="S67" s="9">
        <v>16</v>
      </c>
      <c r="T67" s="9">
        <v>13</v>
      </c>
      <c r="U67" s="9">
        <v>2</v>
      </c>
      <c r="W67" s="25">
        <v>1</v>
      </c>
      <c r="X67" s="25">
        <v>1</v>
      </c>
      <c r="Y67" s="25">
        <v>1</v>
      </c>
      <c r="Z67" s="25">
        <v>1</v>
      </c>
      <c r="AA67" s="25">
        <v>1</v>
      </c>
      <c r="AC67" s="149" t="str">
        <v>G3</v>
      </c>
      <c r="AD67" s="150">
        <v>0</v>
      </c>
      <c r="AE67" s="150">
        <v>0</v>
      </c>
      <c r="AF67" s="149">
        <v>6</v>
      </c>
      <c r="AG67" s="149">
        <v>3</v>
      </c>
      <c r="AH67" s="150">
        <v>0</v>
      </c>
      <c r="AI67" s="5"/>
      <c r="AJ67" s="149" t="str">
        <v>G3</v>
      </c>
      <c r="AK67" s="150">
        <v>0</v>
      </c>
      <c r="AL67" s="150">
        <v>0</v>
      </c>
      <c r="AM67" s="149">
        <v>6</v>
      </c>
      <c r="AN67" s="149">
        <v>3</v>
      </c>
      <c r="AO67" s="150">
        <v>0</v>
      </c>
    </row>
    <row r="68" spans="10:41" ht="16.5" customHeight="1">
      <c r="J68" s="25">
        <v>64</v>
      </c>
      <c r="K68" s="16" t="s">
        <v>18</v>
      </c>
      <c r="L68" s="16" t="s">
        <v>20</v>
      </c>
      <c r="M68" s="16" t="s">
        <v>36</v>
      </c>
      <c r="N68" s="16" t="s">
        <v>34</v>
      </c>
      <c r="O68" s="16" t="s">
        <v>20</v>
      </c>
      <c r="Q68" s="9">
        <v>4</v>
      </c>
      <c r="R68" s="9">
        <v>1</v>
      </c>
      <c r="S68" s="9">
        <v>10</v>
      </c>
      <c r="T68" s="9">
        <v>9</v>
      </c>
      <c r="U68" s="9">
        <v>1</v>
      </c>
      <c r="W68" s="25">
        <v>1</v>
      </c>
      <c r="X68" s="25">
        <v>1</v>
      </c>
      <c r="Y68" s="25">
        <v>1</v>
      </c>
      <c r="Z68" s="25">
        <v>1</v>
      </c>
      <c r="AA68" s="25">
        <v>1</v>
      </c>
      <c r="AC68" s="149" t="str">
        <v>G4</v>
      </c>
      <c r="AD68" s="150">
        <v>0</v>
      </c>
      <c r="AE68" s="150">
        <v>0</v>
      </c>
      <c r="AF68" s="149">
        <v>1</v>
      </c>
      <c r="AG68" s="149">
        <v>5</v>
      </c>
      <c r="AH68" s="150">
        <v>0</v>
      </c>
      <c r="AI68" s="5"/>
      <c r="AJ68" s="149" t="str">
        <v>G4</v>
      </c>
      <c r="AK68" s="150">
        <v>0</v>
      </c>
      <c r="AL68" s="150">
        <v>0</v>
      </c>
      <c r="AM68" s="149">
        <v>1</v>
      </c>
      <c r="AN68" s="149">
        <v>5</v>
      </c>
      <c r="AO68" s="150">
        <v>0</v>
      </c>
    </row>
    <row r="69" spans="10:41" ht="16.5" customHeight="1">
      <c r="J69" s="9">
        <v>65</v>
      </c>
      <c r="K69" s="16" t="s">
        <v>21</v>
      </c>
      <c r="L69" s="16" t="s">
        <v>35</v>
      </c>
      <c r="M69" s="16" t="s">
        <v>21</v>
      </c>
      <c r="N69" s="16" t="s">
        <v>35</v>
      </c>
      <c r="O69" s="16" t="s">
        <v>18</v>
      </c>
      <c r="Q69" s="9">
        <v>2</v>
      </c>
      <c r="R69" s="9">
        <v>8</v>
      </c>
      <c r="S69" s="9">
        <v>2</v>
      </c>
      <c r="T69" s="9">
        <v>8</v>
      </c>
      <c r="U69" s="9">
        <v>4</v>
      </c>
      <c r="W69" s="25">
        <v>1</v>
      </c>
      <c r="X69" s="25">
        <v>1</v>
      </c>
      <c r="Y69" s="25">
        <v>1</v>
      </c>
      <c r="Z69" s="25">
        <v>1</v>
      </c>
      <c r="AA69" s="25">
        <v>1</v>
      </c>
      <c r="AC69" s="149" t="str">
        <v>G5</v>
      </c>
      <c r="AD69" s="150">
        <v>0</v>
      </c>
      <c r="AE69" s="150">
        <v>0</v>
      </c>
      <c r="AF69" s="149">
        <v>6</v>
      </c>
      <c r="AG69" s="149">
        <v>1</v>
      </c>
      <c r="AH69" s="150">
        <v>0</v>
      </c>
      <c r="AI69" s="5"/>
      <c r="AJ69" s="149" t="str">
        <v>G5</v>
      </c>
      <c r="AK69" s="150">
        <v>0</v>
      </c>
      <c r="AL69" s="150">
        <v>0</v>
      </c>
      <c r="AM69" s="149">
        <v>6</v>
      </c>
      <c r="AN69" s="149">
        <v>1</v>
      </c>
      <c r="AO69" s="150">
        <v>0</v>
      </c>
    </row>
    <row r="70" spans="10:41" ht="16.5" customHeight="1">
      <c r="J70" s="25">
        <v>66</v>
      </c>
      <c r="K70" s="16" t="s">
        <v>21</v>
      </c>
      <c r="L70" s="16" t="s">
        <v>34</v>
      </c>
      <c r="M70" s="16" t="s">
        <v>19</v>
      </c>
      <c r="N70" s="16" t="s">
        <v>37</v>
      </c>
      <c r="O70" s="16" t="s">
        <v>18</v>
      </c>
      <c r="Q70" s="9">
        <v>2</v>
      </c>
      <c r="R70" s="9">
        <v>9</v>
      </c>
      <c r="S70" s="9">
        <v>5</v>
      </c>
      <c r="T70" s="9">
        <v>7</v>
      </c>
      <c r="U70" s="9">
        <v>4</v>
      </c>
      <c r="W70" s="25">
        <v>1</v>
      </c>
      <c r="X70" s="25">
        <v>1</v>
      </c>
      <c r="Y70" s="25">
        <v>1</v>
      </c>
      <c r="Z70" s="25">
        <v>1</v>
      </c>
      <c r="AA70" s="25">
        <v>1</v>
      </c>
      <c r="AC70" s="149" t="str">
        <v>GA</v>
      </c>
      <c r="AD70" s="150">
        <v>0</v>
      </c>
      <c r="AE70" s="150">
        <v>0</v>
      </c>
      <c r="AF70" s="149">
        <v>4</v>
      </c>
      <c r="AG70" s="149">
        <v>1</v>
      </c>
      <c r="AH70" s="150">
        <v>0</v>
      </c>
      <c r="AI70" s="5"/>
      <c r="AJ70" s="149" t="str">
        <v>GA</v>
      </c>
      <c r="AK70" s="150">
        <v>0</v>
      </c>
      <c r="AL70" s="150">
        <v>0</v>
      </c>
      <c r="AM70" s="149">
        <v>4</v>
      </c>
      <c r="AN70" s="149">
        <v>1</v>
      </c>
      <c r="AO70" s="150">
        <v>0</v>
      </c>
    </row>
    <row r="71" spans="10:41" ht="16.5" customHeight="1">
      <c r="J71" s="9">
        <v>67</v>
      </c>
      <c r="K71" s="16" t="s">
        <v>20</v>
      </c>
      <c r="L71" s="16" t="s">
        <v>22</v>
      </c>
      <c r="M71" s="16" t="s">
        <v>34</v>
      </c>
      <c r="N71" s="16" t="s">
        <v>36</v>
      </c>
      <c r="O71" s="16" t="s">
        <v>37</v>
      </c>
      <c r="Q71" s="9">
        <v>1</v>
      </c>
      <c r="R71" s="9">
        <v>3</v>
      </c>
      <c r="S71" s="9">
        <v>9</v>
      </c>
      <c r="T71" s="9">
        <v>10</v>
      </c>
      <c r="U71" s="9">
        <v>7</v>
      </c>
      <c r="W71" s="25">
        <v>1</v>
      </c>
      <c r="X71" s="25">
        <v>1</v>
      </c>
      <c r="Y71" s="25">
        <v>1</v>
      </c>
      <c r="Z71" s="25">
        <v>1</v>
      </c>
      <c r="AA71" s="25">
        <v>1</v>
      </c>
      <c r="AC71" s="149" t="str">
        <v>GK</v>
      </c>
      <c r="AD71" s="150">
        <v>0</v>
      </c>
      <c r="AE71" s="150">
        <v>0</v>
      </c>
      <c r="AF71" s="149">
        <v>1</v>
      </c>
      <c r="AG71" s="149">
        <v>3</v>
      </c>
      <c r="AH71" s="150">
        <v>0</v>
      </c>
      <c r="AI71" s="5"/>
      <c r="AJ71" s="149" t="str">
        <v>GK</v>
      </c>
      <c r="AK71" s="150">
        <v>0</v>
      </c>
      <c r="AL71" s="150">
        <v>0</v>
      </c>
      <c r="AM71" s="149">
        <v>1</v>
      </c>
      <c r="AN71" s="149">
        <v>3</v>
      </c>
      <c r="AO71" s="150">
        <v>0</v>
      </c>
    </row>
    <row r="72" spans="10:41" ht="16.5" customHeight="1">
      <c r="J72" s="25">
        <v>68</v>
      </c>
      <c r="K72" s="16" t="s">
        <v>36</v>
      </c>
      <c r="L72" s="16" t="s">
        <v>19</v>
      </c>
      <c r="M72" s="16" t="s">
        <v>19</v>
      </c>
      <c r="N72" s="16" t="s">
        <v>36</v>
      </c>
      <c r="O72" s="16" t="s">
        <v>37</v>
      </c>
      <c r="Q72" s="9">
        <v>10</v>
      </c>
      <c r="R72" s="9">
        <v>5</v>
      </c>
      <c r="S72" s="9">
        <v>5</v>
      </c>
      <c r="T72" s="9">
        <v>10</v>
      </c>
      <c r="U72" s="9">
        <v>7</v>
      </c>
      <c r="W72" s="25">
        <v>1</v>
      </c>
      <c r="X72" s="25">
        <v>1</v>
      </c>
      <c r="Y72" s="25">
        <v>1</v>
      </c>
      <c r="Z72" s="25">
        <v>1</v>
      </c>
      <c r="AA72" s="25">
        <v>1</v>
      </c>
      <c r="AC72" s="149" t="str">
        <v>GQ</v>
      </c>
      <c r="AD72" s="150">
        <v>0</v>
      </c>
      <c r="AE72" s="150">
        <v>0</v>
      </c>
      <c r="AF72" s="149">
        <v>1</v>
      </c>
      <c r="AG72" s="149">
        <v>3</v>
      </c>
      <c r="AH72" s="150">
        <v>0</v>
      </c>
      <c r="AI72" s="5"/>
      <c r="AJ72" s="149" t="str">
        <v>GQ</v>
      </c>
      <c r="AK72" s="150">
        <v>0</v>
      </c>
      <c r="AL72" s="150">
        <v>0</v>
      </c>
      <c r="AM72" s="149">
        <v>1</v>
      </c>
      <c r="AN72" s="149">
        <v>3</v>
      </c>
      <c r="AO72" s="150">
        <v>0</v>
      </c>
    </row>
    <row r="73" spans="10:41" ht="16.5" customHeight="1">
      <c r="J73" s="9">
        <v>69</v>
      </c>
      <c r="K73" s="16" t="s">
        <v>22</v>
      </c>
      <c r="L73" s="16" t="s">
        <v>36</v>
      </c>
      <c r="M73" s="16" t="s">
        <v>34</v>
      </c>
      <c r="N73" s="16" t="s">
        <v>22</v>
      </c>
      <c r="O73" s="16" t="s">
        <v>22</v>
      </c>
      <c r="Q73" s="9">
        <v>3</v>
      </c>
      <c r="R73" s="9">
        <v>10</v>
      </c>
      <c r="S73" s="9">
        <v>9</v>
      </c>
      <c r="T73" s="9">
        <v>3</v>
      </c>
      <c r="U73" s="9">
        <v>3</v>
      </c>
      <c r="W73" s="25">
        <v>1</v>
      </c>
      <c r="X73" s="25">
        <v>1</v>
      </c>
      <c r="Y73" s="25">
        <v>1</v>
      </c>
      <c r="Z73" s="25">
        <v>1</v>
      </c>
      <c r="AA73" s="25">
        <v>1</v>
      </c>
      <c r="AC73" s="149" t="str">
        <v>GJ</v>
      </c>
      <c r="AD73" s="150">
        <v>0</v>
      </c>
      <c r="AE73" s="150">
        <v>0</v>
      </c>
      <c r="AF73" s="149">
        <v>6</v>
      </c>
      <c r="AG73" s="149">
        <v>1</v>
      </c>
      <c r="AH73" s="150">
        <v>0</v>
      </c>
      <c r="AI73" s="5"/>
      <c r="AJ73" s="149" t="str">
        <v>GJ</v>
      </c>
      <c r="AK73" s="150">
        <v>0</v>
      </c>
      <c r="AL73" s="150">
        <v>0</v>
      </c>
      <c r="AM73" s="149">
        <v>6</v>
      </c>
      <c r="AN73" s="149">
        <v>1</v>
      </c>
      <c r="AO73" s="150">
        <v>0</v>
      </c>
    </row>
    <row r="74" spans="10:41" ht="16.5" customHeight="1">
      <c r="J74" s="25">
        <v>70</v>
      </c>
      <c r="K74" s="16" t="s">
        <v>19</v>
      </c>
      <c r="L74" s="16" t="s">
        <v>34</v>
      </c>
      <c r="M74" s="16" t="s">
        <v>36</v>
      </c>
      <c r="N74" s="16" t="s">
        <v>34</v>
      </c>
      <c r="O74" s="16" t="s">
        <v>36</v>
      </c>
      <c r="Q74" s="9">
        <v>5</v>
      </c>
      <c r="R74" s="9">
        <v>9</v>
      </c>
      <c r="S74" s="9">
        <v>10</v>
      </c>
      <c r="T74" s="9">
        <v>9</v>
      </c>
      <c r="U74" s="9">
        <v>10</v>
      </c>
      <c r="W74" s="25">
        <v>1</v>
      </c>
      <c r="X74" s="25">
        <v>1</v>
      </c>
      <c r="Y74" s="25">
        <v>1</v>
      </c>
      <c r="Z74" s="25">
        <v>1</v>
      </c>
      <c r="AA74" s="25">
        <v>1</v>
      </c>
      <c r="AD74" s="119">
        <f>SUM(AD54:AD73)</f>
        <v>196</v>
      </c>
      <c r="AE74" s="119">
        <f>SUM(AE54:AE73)</f>
        <v>197</v>
      </c>
      <c r="AF74" s="119">
        <f>SUM(AF54:AF73)</f>
        <v>198</v>
      </c>
      <c r="AG74" s="119">
        <f>SUM(AG54:AG73)</f>
        <v>203</v>
      </c>
      <c r="AH74" s="119">
        <f>SUM(AH54:AH73)</f>
        <v>201</v>
      </c>
      <c r="AI74" s="5"/>
      <c r="AK74" s="119">
        <f>SUM(AK54:AK73)</f>
        <v>196</v>
      </c>
      <c r="AL74" s="119">
        <f>SUM(AL54:AL73)</f>
        <v>197</v>
      </c>
      <c r="AM74" s="119">
        <f>SUM(AM54:AM73)</f>
        <v>198</v>
      </c>
      <c r="AN74" s="119">
        <f>SUM(AN54:AN73)</f>
        <v>203</v>
      </c>
      <c r="AO74" s="119">
        <f>SUM(AO54:AO73)</f>
        <v>201</v>
      </c>
    </row>
    <row r="75" spans="10:41" ht="16.5" customHeight="1">
      <c r="J75" s="9">
        <v>71</v>
      </c>
      <c r="K75" s="16" t="s">
        <v>36</v>
      </c>
      <c r="L75" s="16" t="s">
        <v>19</v>
      </c>
      <c r="M75" s="16" t="s">
        <v>18</v>
      </c>
      <c r="N75" s="16" t="s">
        <v>18</v>
      </c>
      <c r="O75" s="16" t="s">
        <v>34</v>
      </c>
      <c r="Q75" s="9">
        <v>10</v>
      </c>
      <c r="R75" s="9">
        <v>5</v>
      </c>
      <c r="S75" s="9">
        <v>4</v>
      </c>
      <c r="T75" s="9">
        <v>4</v>
      </c>
      <c r="U75" s="9">
        <v>9</v>
      </c>
      <c r="W75" s="25">
        <v>1</v>
      </c>
      <c r="X75" s="25">
        <v>1</v>
      </c>
      <c r="Y75" s="25">
        <v>1</v>
      </c>
      <c r="Z75" s="25">
        <v>1</v>
      </c>
      <c r="AA75" s="25">
        <v>1</v>
      </c>
      <c r="AH75" s="5"/>
      <c r="AI75" s="5"/>
      <c r="AO75" s="5"/>
    </row>
    <row r="76" spans="10:41" ht="16.5" customHeight="1">
      <c r="J76" s="25">
        <v>72</v>
      </c>
      <c r="K76" s="16" t="s">
        <v>22</v>
      </c>
      <c r="L76" s="16" t="s">
        <v>22</v>
      </c>
      <c r="M76" s="16" t="s">
        <v>20</v>
      </c>
      <c r="N76" s="16" t="s">
        <v>36</v>
      </c>
      <c r="O76" s="16" t="s">
        <v>35</v>
      </c>
      <c r="Q76" s="9">
        <v>3</v>
      </c>
      <c r="R76" s="9">
        <v>3</v>
      </c>
      <c r="S76" s="9">
        <v>1</v>
      </c>
      <c r="T76" s="9">
        <v>10</v>
      </c>
      <c r="U76" s="9">
        <v>8</v>
      </c>
      <c r="W76" s="25">
        <v>1</v>
      </c>
      <c r="X76" s="25">
        <v>1</v>
      </c>
      <c r="Y76" s="25">
        <v>1</v>
      </c>
      <c r="Z76" s="25">
        <v>1</v>
      </c>
      <c r="AA76" s="25">
        <v>1</v>
      </c>
      <c r="AH76" s="5"/>
      <c r="AI76" s="5"/>
      <c r="AO76" s="5"/>
    </row>
    <row r="77" spans="10:41" ht="16.5" customHeight="1">
      <c r="J77" s="9">
        <v>73</v>
      </c>
      <c r="K77" s="16" t="s">
        <v>21</v>
      </c>
      <c r="L77" s="16" t="s">
        <v>21</v>
      </c>
      <c r="M77" s="16" t="s">
        <v>91</v>
      </c>
      <c r="N77" s="16" t="s">
        <v>91</v>
      </c>
      <c r="O77" s="16" t="s">
        <v>37</v>
      </c>
      <c r="Q77" s="9">
        <v>2</v>
      </c>
      <c r="R77" s="9">
        <v>2</v>
      </c>
      <c r="S77" s="9">
        <v>14</v>
      </c>
      <c r="T77" s="9">
        <v>14</v>
      </c>
      <c r="U77" s="9">
        <v>7</v>
      </c>
      <c r="W77" s="25">
        <v>1</v>
      </c>
      <c r="X77" s="25">
        <v>1</v>
      </c>
      <c r="Y77" s="25">
        <v>1</v>
      </c>
      <c r="Z77" s="25">
        <v>1</v>
      </c>
      <c r="AA77" s="25">
        <v>1</v>
      </c>
      <c r="AH77" s="5"/>
      <c r="AI77" s="5"/>
      <c r="AO77" s="5"/>
    </row>
    <row r="78" spans="10:41" ht="16.5" customHeight="1">
      <c r="J78" s="25">
        <v>74</v>
      </c>
      <c r="K78" s="16" t="s">
        <v>36</v>
      </c>
      <c r="L78" s="16" t="s">
        <v>21</v>
      </c>
      <c r="M78" s="16" t="s">
        <v>19</v>
      </c>
      <c r="N78" s="16" t="s">
        <v>36</v>
      </c>
      <c r="O78" s="16" t="s">
        <v>19</v>
      </c>
      <c r="Q78" s="9">
        <v>10</v>
      </c>
      <c r="R78" s="9">
        <v>2</v>
      </c>
      <c r="S78" s="9">
        <v>5</v>
      </c>
      <c r="T78" s="9">
        <v>10</v>
      </c>
      <c r="U78" s="9">
        <v>5</v>
      </c>
      <c r="W78" s="25">
        <v>1</v>
      </c>
      <c r="X78" s="25">
        <v>1</v>
      </c>
      <c r="Y78" s="25">
        <v>1</v>
      </c>
      <c r="Z78" s="25">
        <v>1</v>
      </c>
      <c r="AA78" s="25">
        <v>1</v>
      </c>
      <c r="AH78" s="5"/>
      <c r="AI78" s="5"/>
      <c r="AO78" s="5"/>
    </row>
    <row r="79" spans="10:41" ht="16.5" customHeight="1">
      <c r="J79" s="9">
        <v>75</v>
      </c>
      <c r="K79" s="16" t="s">
        <v>34</v>
      </c>
      <c r="L79" s="16" t="s">
        <v>19</v>
      </c>
      <c r="M79" s="16" t="s">
        <v>22</v>
      </c>
      <c r="N79" s="16" t="s">
        <v>37</v>
      </c>
      <c r="O79" s="16" t="s">
        <v>22</v>
      </c>
      <c r="Q79" s="9">
        <v>9</v>
      </c>
      <c r="R79" s="9">
        <v>5</v>
      </c>
      <c r="S79" s="9">
        <v>3</v>
      </c>
      <c r="T79" s="9">
        <v>7</v>
      </c>
      <c r="U79" s="9">
        <v>3</v>
      </c>
      <c r="W79" s="25">
        <v>1</v>
      </c>
      <c r="X79" s="25">
        <v>1</v>
      </c>
      <c r="Y79" s="25">
        <v>1</v>
      </c>
      <c r="Z79" s="25">
        <v>1</v>
      </c>
      <c r="AA79" s="25">
        <v>1</v>
      </c>
      <c r="AH79" s="5"/>
      <c r="AI79" s="5"/>
      <c r="AO79" s="5"/>
    </row>
    <row r="80" spans="10:41">
      <c r="J80" s="25">
        <v>76</v>
      </c>
      <c r="K80" s="16" t="s">
        <v>21</v>
      </c>
      <c r="L80" s="16" t="s">
        <v>35</v>
      </c>
      <c r="M80" s="16" t="s">
        <v>19</v>
      </c>
      <c r="N80" s="16" t="s">
        <v>35</v>
      </c>
      <c r="O80" s="16" t="s">
        <v>34</v>
      </c>
      <c r="Q80" s="9">
        <v>2</v>
      </c>
      <c r="R80" s="9">
        <v>8</v>
      </c>
      <c r="S80" s="9">
        <v>5</v>
      </c>
      <c r="T80" s="9">
        <v>8</v>
      </c>
      <c r="U80" s="9">
        <v>9</v>
      </c>
      <c r="W80" s="25">
        <v>1</v>
      </c>
      <c r="X80" s="25">
        <v>1</v>
      </c>
      <c r="Y80" s="25">
        <v>1</v>
      </c>
      <c r="Z80" s="25">
        <v>1</v>
      </c>
      <c r="AA80" s="25">
        <v>1</v>
      </c>
      <c r="AH80" s="5"/>
      <c r="AI80" s="5"/>
      <c r="AO80" s="5"/>
    </row>
    <row r="81" spans="10:41">
      <c r="J81" s="9">
        <v>77</v>
      </c>
      <c r="K81" s="16" t="s">
        <v>18</v>
      </c>
      <c r="L81" s="16" t="s">
        <v>37</v>
      </c>
      <c r="M81" s="16" t="s">
        <v>37</v>
      </c>
      <c r="N81" s="16" t="s">
        <v>36</v>
      </c>
      <c r="O81" s="16" t="s">
        <v>19</v>
      </c>
      <c r="Q81" s="9">
        <v>4</v>
      </c>
      <c r="R81" s="9">
        <v>7</v>
      </c>
      <c r="S81" s="9">
        <v>7</v>
      </c>
      <c r="T81" s="9">
        <v>10</v>
      </c>
      <c r="U81" s="9">
        <v>5</v>
      </c>
      <c r="W81" s="25">
        <v>1</v>
      </c>
      <c r="X81" s="25">
        <v>1</v>
      </c>
      <c r="Y81" s="25">
        <v>1</v>
      </c>
      <c r="Z81" s="25">
        <v>1</v>
      </c>
      <c r="AA81" s="25">
        <v>1</v>
      </c>
      <c r="AH81" s="5"/>
      <c r="AI81" s="5"/>
      <c r="AO81" s="5"/>
    </row>
    <row r="82" spans="10:41">
      <c r="J82" s="25">
        <v>78</v>
      </c>
      <c r="K82" s="16" t="s">
        <v>21</v>
      </c>
      <c r="L82" s="16" t="s">
        <v>18</v>
      </c>
      <c r="M82" s="16" t="s">
        <v>34</v>
      </c>
      <c r="N82" s="16" t="s">
        <v>91</v>
      </c>
      <c r="O82" s="16" t="s">
        <v>35</v>
      </c>
      <c r="Q82" s="9">
        <v>2</v>
      </c>
      <c r="R82" s="9">
        <v>4</v>
      </c>
      <c r="S82" s="9">
        <v>9</v>
      </c>
      <c r="T82" s="9">
        <v>14</v>
      </c>
      <c r="U82" s="9">
        <v>8</v>
      </c>
      <c r="W82" s="25">
        <v>1</v>
      </c>
      <c r="X82" s="25">
        <v>1</v>
      </c>
      <c r="Y82" s="25">
        <v>1</v>
      </c>
      <c r="Z82" s="25">
        <v>1</v>
      </c>
      <c r="AA82" s="25">
        <v>1</v>
      </c>
      <c r="AH82" s="5"/>
      <c r="AI82" s="5"/>
      <c r="AO82" s="5"/>
    </row>
    <row r="83" spans="10:41">
      <c r="J83" s="9">
        <v>79</v>
      </c>
      <c r="K83" s="16" t="s">
        <v>35</v>
      </c>
      <c r="L83" s="16" t="s">
        <v>36</v>
      </c>
      <c r="M83" s="16" t="s">
        <v>36</v>
      </c>
      <c r="N83" s="16" t="s">
        <v>35</v>
      </c>
      <c r="O83" s="16" t="s">
        <v>18</v>
      </c>
      <c r="Q83" s="9">
        <v>8</v>
      </c>
      <c r="R83" s="9">
        <v>10</v>
      </c>
      <c r="S83" s="9">
        <v>10</v>
      </c>
      <c r="T83" s="9">
        <v>8</v>
      </c>
      <c r="U83" s="9">
        <v>4</v>
      </c>
      <c r="W83" s="25">
        <v>1</v>
      </c>
      <c r="X83" s="25">
        <v>1</v>
      </c>
      <c r="Y83" s="25">
        <v>1</v>
      </c>
      <c r="Z83" s="25">
        <v>1</v>
      </c>
      <c r="AA83" s="25">
        <v>1</v>
      </c>
      <c r="AH83" s="5"/>
      <c r="AI83" s="5"/>
      <c r="AO83" s="5"/>
    </row>
    <row r="84" spans="10:41">
      <c r="J84" s="25">
        <v>80</v>
      </c>
      <c r="K84" s="16" t="s">
        <v>22</v>
      </c>
      <c r="L84" s="16" t="s">
        <v>22</v>
      </c>
      <c r="M84" s="16" t="s">
        <v>119</v>
      </c>
      <c r="N84" s="16" t="s">
        <v>90</v>
      </c>
      <c r="O84" s="16" t="s">
        <v>34</v>
      </c>
      <c r="Q84" s="9">
        <v>3</v>
      </c>
      <c r="R84" s="9">
        <v>3</v>
      </c>
      <c r="S84" s="9">
        <v>17</v>
      </c>
      <c r="T84" s="9">
        <v>13</v>
      </c>
      <c r="U84" s="9">
        <v>9</v>
      </c>
      <c r="W84" s="25">
        <v>1</v>
      </c>
      <c r="X84" s="25">
        <v>1</v>
      </c>
      <c r="Y84" s="25">
        <v>1</v>
      </c>
      <c r="Z84" s="25">
        <v>1</v>
      </c>
      <c r="AA84" s="25">
        <v>1</v>
      </c>
      <c r="AH84" s="5"/>
      <c r="AI84" s="5"/>
      <c r="AO84" s="5"/>
    </row>
    <row r="85" spans="10:41">
      <c r="J85" s="9">
        <v>81</v>
      </c>
      <c r="K85" s="16" t="s">
        <v>21</v>
      </c>
      <c r="L85" s="16" t="s">
        <v>21</v>
      </c>
      <c r="M85" s="16" t="s">
        <v>95</v>
      </c>
      <c r="N85" s="16" t="s">
        <v>97</v>
      </c>
      <c r="O85" s="16" t="s">
        <v>37</v>
      </c>
      <c r="Q85" s="9">
        <v>2</v>
      </c>
      <c r="R85" s="9">
        <v>2</v>
      </c>
      <c r="S85" s="9">
        <v>18</v>
      </c>
      <c r="T85" s="9">
        <v>19</v>
      </c>
      <c r="U85" s="9">
        <v>7</v>
      </c>
      <c r="W85" s="25">
        <v>1</v>
      </c>
      <c r="X85" s="25">
        <v>1</v>
      </c>
      <c r="Y85" s="25">
        <v>1</v>
      </c>
      <c r="Z85" s="25">
        <v>1</v>
      </c>
      <c r="AA85" s="25">
        <v>1</v>
      </c>
      <c r="AH85" s="5"/>
      <c r="AI85" s="5"/>
      <c r="AO85" s="5"/>
    </row>
    <row r="86" spans="10:41">
      <c r="J86" s="25">
        <v>82</v>
      </c>
      <c r="K86" s="16" t="s">
        <v>35</v>
      </c>
      <c r="L86" s="16" t="s">
        <v>18</v>
      </c>
      <c r="M86" s="16" t="s">
        <v>19</v>
      </c>
      <c r="N86" s="16" t="s">
        <v>92</v>
      </c>
      <c r="O86" s="16" t="s">
        <v>18</v>
      </c>
      <c r="Q86" s="9">
        <v>8</v>
      </c>
      <c r="R86" s="9">
        <v>4</v>
      </c>
      <c r="S86" s="9">
        <v>5</v>
      </c>
      <c r="T86" s="9">
        <v>16</v>
      </c>
      <c r="U86" s="9">
        <v>4</v>
      </c>
      <c r="W86" s="25">
        <v>1</v>
      </c>
      <c r="X86" s="25">
        <v>1</v>
      </c>
      <c r="Y86" s="25">
        <v>1</v>
      </c>
      <c r="Z86" s="25">
        <v>1</v>
      </c>
      <c r="AA86" s="25">
        <v>1</v>
      </c>
      <c r="AH86" s="5"/>
      <c r="AI86" s="5"/>
      <c r="AO86" s="5"/>
    </row>
    <row r="87" spans="10:41">
      <c r="J87" s="9">
        <v>83</v>
      </c>
      <c r="K87" s="16" t="s">
        <v>22</v>
      </c>
      <c r="L87" s="16" t="s">
        <v>35</v>
      </c>
      <c r="M87" s="16" t="s">
        <v>37</v>
      </c>
      <c r="N87" s="16" t="s">
        <v>36</v>
      </c>
      <c r="O87" s="16" t="s">
        <v>34</v>
      </c>
      <c r="Q87" s="9">
        <v>3</v>
      </c>
      <c r="R87" s="9">
        <v>8</v>
      </c>
      <c r="S87" s="9">
        <v>7</v>
      </c>
      <c r="T87" s="9">
        <v>10</v>
      </c>
      <c r="U87" s="9">
        <v>9</v>
      </c>
      <c r="W87" s="25">
        <v>1</v>
      </c>
      <c r="X87" s="25">
        <v>1</v>
      </c>
      <c r="Y87" s="25">
        <v>1</v>
      </c>
      <c r="Z87" s="25">
        <v>1</v>
      </c>
      <c r="AA87" s="25">
        <v>1</v>
      </c>
      <c r="AH87" s="5"/>
      <c r="AI87" s="5"/>
      <c r="AO87" s="5"/>
    </row>
    <row r="88" spans="10:41">
      <c r="J88" s="25">
        <v>84</v>
      </c>
      <c r="K88" s="16" t="s">
        <v>34</v>
      </c>
      <c r="L88" s="16" t="s">
        <v>21</v>
      </c>
      <c r="M88" s="16" t="s">
        <v>21</v>
      </c>
      <c r="N88" s="16" t="s">
        <v>35</v>
      </c>
      <c r="O88" s="16" t="s">
        <v>19</v>
      </c>
      <c r="Q88" s="9">
        <v>9</v>
      </c>
      <c r="R88" s="9">
        <v>2</v>
      </c>
      <c r="S88" s="9">
        <v>2</v>
      </c>
      <c r="T88" s="9">
        <v>8</v>
      </c>
      <c r="U88" s="9">
        <v>5</v>
      </c>
      <c r="W88" s="25">
        <v>1</v>
      </c>
      <c r="X88" s="25">
        <v>1</v>
      </c>
      <c r="Y88" s="25">
        <v>1</v>
      </c>
      <c r="Z88" s="25">
        <v>1</v>
      </c>
      <c r="AA88" s="25">
        <v>1</v>
      </c>
      <c r="AH88" s="5"/>
      <c r="AI88" s="5"/>
      <c r="AO88" s="5"/>
    </row>
    <row r="89" spans="10:41">
      <c r="J89" s="9">
        <v>85</v>
      </c>
      <c r="K89" s="16" t="s">
        <v>35</v>
      </c>
      <c r="L89" s="16" t="s">
        <v>36</v>
      </c>
      <c r="M89" s="16" t="s">
        <v>36</v>
      </c>
      <c r="N89" s="16" t="s">
        <v>88</v>
      </c>
      <c r="O89" s="16" t="s">
        <v>37</v>
      </c>
      <c r="Q89" s="9">
        <v>8</v>
      </c>
      <c r="R89" s="9">
        <v>10</v>
      </c>
      <c r="S89" s="9">
        <v>10</v>
      </c>
      <c r="T89" s="9">
        <v>11</v>
      </c>
      <c r="U89" s="9">
        <v>7</v>
      </c>
      <c r="W89" s="25">
        <v>1</v>
      </c>
      <c r="X89" s="25">
        <v>1</v>
      </c>
      <c r="Y89" s="25">
        <v>1</v>
      </c>
      <c r="Z89" s="25">
        <v>1</v>
      </c>
      <c r="AA89" s="25">
        <v>1</v>
      </c>
      <c r="AH89" s="5"/>
      <c r="AI89" s="5"/>
      <c r="AO89" s="5"/>
    </row>
    <row r="90" spans="10:41">
      <c r="J90" s="25">
        <v>86</v>
      </c>
      <c r="K90" s="16" t="s">
        <v>21</v>
      </c>
      <c r="L90" s="16" t="s">
        <v>19</v>
      </c>
      <c r="M90" s="16" t="s">
        <v>22</v>
      </c>
      <c r="N90" s="16" t="s">
        <v>19</v>
      </c>
      <c r="O90" s="16" t="s">
        <v>19</v>
      </c>
      <c r="Q90" s="9">
        <v>2</v>
      </c>
      <c r="R90" s="9">
        <v>5</v>
      </c>
      <c r="S90" s="9">
        <v>3</v>
      </c>
      <c r="T90" s="9">
        <v>5</v>
      </c>
      <c r="U90" s="9">
        <v>5</v>
      </c>
      <c r="W90" s="25">
        <v>1</v>
      </c>
      <c r="X90" s="25">
        <v>1</v>
      </c>
      <c r="Y90" s="25">
        <v>1</v>
      </c>
      <c r="Z90" s="25">
        <v>1</v>
      </c>
      <c r="AA90" s="25">
        <v>1</v>
      </c>
      <c r="AH90" s="5"/>
      <c r="AI90" s="5"/>
      <c r="AO90" s="5"/>
    </row>
    <row r="91" spans="10:41">
      <c r="J91" s="9">
        <v>87</v>
      </c>
      <c r="K91" s="16" t="s">
        <v>37</v>
      </c>
      <c r="L91" s="16" t="s">
        <v>36</v>
      </c>
      <c r="M91" s="16" t="s">
        <v>34</v>
      </c>
      <c r="N91" s="16" t="s">
        <v>34</v>
      </c>
      <c r="O91" s="16" t="s">
        <v>34</v>
      </c>
      <c r="Q91" s="9">
        <v>7</v>
      </c>
      <c r="R91" s="9">
        <v>10</v>
      </c>
      <c r="S91" s="9">
        <v>9</v>
      </c>
      <c r="T91" s="9">
        <v>9</v>
      </c>
      <c r="U91" s="9">
        <v>9</v>
      </c>
      <c r="W91" s="25">
        <v>1</v>
      </c>
      <c r="X91" s="25">
        <v>1</v>
      </c>
      <c r="Y91" s="25">
        <v>1</v>
      </c>
      <c r="Z91" s="25">
        <v>1</v>
      </c>
      <c r="AA91" s="25">
        <v>1</v>
      </c>
      <c r="AH91" s="5"/>
      <c r="AI91" s="5"/>
      <c r="AO91" s="5"/>
    </row>
    <row r="92" spans="10:41">
      <c r="J92" s="25">
        <v>88</v>
      </c>
      <c r="K92" s="16" t="s">
        <v>19</v>
      </c>
      <c r="L92" s="16" t="s">
        <v>18</v>
      </c>
      <c r="M92" s="16" t="s">
        <v>19</v>
      </c>
      <c r="N92" s="16" t="s">
        <v>119</v>
      </c>
      <c r="O92" s="16" t="s">
        <v>35</v>
      </c>
      <c r="Q92" s="9">
        <v>5</v>
      </c>
      <c r="R92" s="9">
        <v>4</v>
      </c>
      <c r="S92" s="9">
        <v>5</v>
      </c>
      <c r="T92" s="9">
        <v>17</v>
      </c>
      <c r="U92" s="9">
        <v>8</v>
      </c>
      <c r="W92" s="25">
        <v>1</v>
      </c>
      <c r="X92" s="25">
        <v>1</v>
      </c>
      <c r="Y92" s="25">
        <v>1</v>
      </c>
      <c r="Z92" s="25">
        <v>1</v>
      </c>
      <c r="AA92" s="25">
        <v>1</v>
      </c>
      <c r="AH92" s="5"/>
      <c r="AI92" s="5"/>
      <c r="AO92" s="5"/>
    </row>
    <row r="93" spans="10:41">
      <c r="J93" s="9">
        <v>89</v>
      </c>
      <c r="K93" s="16" t="s">
        <v>18</v>
      </c>
      <c r="L93" s="16" t="s">
        <v>34</v>
      </c>
      <c r="M93" s="16" t="s">
        <v>18</v>
      </c>
      <c r="N93" s="16" t="s">
        <v>19</v>
      </c>
      <c r="O93" s="16" t="s">
        <v>22</v>
      </c>
      <c r="Q93" s="9">
        <v>4</v>
      </c>
      <c r="R93" s="9">
        <v>9</v>
      </c>
      <c r="S93" s="9">
        <v>4</v>
      </c>
      <c r="T93" s="9">
        <v>5</v>
      </c>
      <c r="U93" s="9">
        <v>3</v>
      </c>
      <c r="W93" s="25">
        <v>1</v>
      </c>
      <c r="X93" s="25">
        <v>1</v>
      </c>
      <c r="Y93" s="25">
        <v>1</v>
      </c>
      <c r="Z93" s="25">
        <v>1</v>
      </c>
      <c r="AA93" s="25">
        <v>1</v>
      </c>
      <c r="AH93" s="5"/>
      <c r="AI93" s="5"/>
      <c r="AO93" s="5"/>
    </row>
    <row r="94" spans="10:41">
      <c r="J94" s="25">
        <v>90</v>
      </c>
      <c r="K94" s="16" t="s">
        <v>22</v>
      </c>
      <c r="L94" s="16" t="s">
        <v>18</v>
      </c>
      <c r="M94" s="16" t="s">
        <v>20</v>
      </c>
      <c r="N94" s="16" t="s">
        <v>95</v>
      </c>
      <c r="O94" s="16" t="s">
        <v>34</v>
      </c>
      <c r="Q94" s="9">
        <v>3</v>
      </c>
      <c r="R94" s="9">
        <v>4</v>
      </c>
      <c r="S94" s="9">
        <v>1</v>
      </c>
      <c r="T94" s="9">
        <v>18</v>
      </c>
      <c r="U94" s="9">
        <v>9</v>
      </c>
      <c r="W94" s="25">
        <v>1</v>
      </c>
      <c r="X94" s="25">
        <v>1</v>
      </c>
      <c r="Y94" s="25">
        <v>1</v>
      </c>
      <c r="Z94" s="25">
        <v>1</v>
      </c>
      <c r="AA94" s="25">
        <v>1</v>
      </c>
      <c r="AH94" s="5"/>
      <c r="AI94" s="5"/>
      <c r="AO94" s="5"/>
    </row>
    <row r="95" spans="10:41">
      <c r="J95" s="9">
        <v>91</v>
      </c>
      <c r="K95" s="16" t="s">
        <v>37</v>
      </c>
      <c r="L95" s="16" t="s">
        <v>34</v>
      </c>
      <c r="M95" s="16" t="s">
        <v>22</v>
      </c>
      <c r="N95" s="16" t="s">
        <v>36</v>
      </c>
      <c r="O95" s="16" t="s">
        <v>19</v>
      </c>
      <c r="Q95" s="9">
        <v>7</v>
      </c>
      <c r="R95" s="9">
        <v>9</v>
      </c>
      <c r="S95" s="9">
        <v>3</v>
      </c>
      <c r="T95" s="9">
        <v>10</v>
      </c>
      <c r="U95" s="9">
        <v>5</v>
      </c>
      <c r="W95" s="25">
        <v>1</v>
      </c>
      <c r="X95" s="25">
        <v>1</v>
      </c>
      <c r="Y95" s="25">
        <v>1</v>
      </c>
      <c r="Z95" s="25">
        <v>1</v>
      </c>
      <c r="AA95" s="25">
        <v>1</v>
      </c>
      <c r="AH95" s="5"/>
      <c r="AI95" s="5"/>
      <c r="AO95" s="5"/>
    </row>
    <row r="96" spans="10:41">
      <c r="J96" s="25">
        <v>92</v>
      </c>
      <c r="K96" s="16" t="s">
        <v>22</v>
      </c>
      <c r="L96" s="16" t="s">
        <v>18</v>
      </c>
      <c r="M96" s="16" t="s">
        <v>34</v>
      </c>
      <c r="N96" s="16" t="s">
        <v>18</v>
      </c>
      <c r="O96" s="16" t="s">
        <v>36</v>
      </c>
      <c r="Q96" s="9">
        <v>3</v>
      </c>
      <c r="R96" s="9">
        <v>4</v>
      </c>
      <c r="S96" s="9">
        <v>9</v>
      </c>
      <c r="T96" s="9">
        <v>4</v>
      </c>
      <c r="U96" s="9">
        <v>10</v>
      </c>
      <c r="W96" s="25">
        <v>1</v>
      </c>
      <c r="X96" s="25">
        <v>1</v>
      </c>
      <c r="Y96" s="25">
        <v>1</v>
      </c>
      <c r="Z96" s="25">
        <v>1</v>
      </c>
      <c r="AA96" s="25">
        <v>1</v>
      </c>
      <c r="AH96" s="5"/>
      <c r="AI96" s="5"/>
      <c r="AO96" s="5"/>
    </row>
    <row r="97" spans="10:41">
      <c r="J97" s="9">
        <v>93</v>
      </c>
      <c r="K97" s="16" t="s">
        <v>34</v>
      </c>
      <c r="L97" s="16" t="s">
        <v>37</v>
      </c>
      <c r="M97" s="16" t="s">
        <v>119</v>
      </c>
      <c r="N97" s="16" t="s">
        <v>18</v>
      </c>
      <c r="O97" s="16" t="s">
        <v>37</v>
      </c>
      <c r="Q97" s="9">
        <v>9</v>
      </c>
      <c r="R97" s="9">
        <v>7</v>
      </c>
      <c r="S97" s="9">
        <v>17</v>
      </c>
      <c r="T97" s="9">
        <v>4</v>
      </c>
      <c r="U97" s="9">
        <v>7</v>
      </c>
      <c r="W97" s="25">
        <v>1</v>
      </c>
      <c r="X97" s="25">
        <v>1</v>
      </c>
      <c r="Y97" s="25">
        <v>1</v>
      </c>
      <c r="Z97" s="25">
        <v>1</v>
      </c>
      <c r="AA97" s="25">
        <v>1</v>
      </c>
      <c r="AH97" s="5"/>
      <c r="AI97" s="5"/>
      <c r="AO97" s="5"/>
    </row>
    <row r="98" spans="10:41">
      <c r="J98" s="25">
        <v>94</v>
      </c>
      <c r="K98" s="16" t="s">
        <v>35</v>
      </c>
      <c r="L98" s="16" t="s">
        <v>34</v>
      </c>
      <c r="M98" s="16" t="s">
        <v>19</v>
      </c>
      <c r="N98" s="16" t="s">
        <v>35</v>
      </c>
      <c r="O98" s="16" t="s">
        <v>36</v>
      </c>
      <c r="Q98" s="9">
        <v>8</v>
      </c>
      <c r="R98" s="9">
        <v>9</v>
      </c>
      <c r="S98" s="9">
        <v>5</v>
      </c>
      <c r="T98" s="9">
        <v>8</v>
      </c>
      <c r="U98" s="9">
        <v>10</v>
      </c>
      <c r="W98" s="25">
        <v>1</v>
      </c>
      <c r="X98" s="25">
        <v>1</v>
      </c>
      <c r="Y98" s="25">
        <v>1</v>
      </c>
      <c r="Z98" s="25">
        <v>1</v>
      </c>
      <c r="AA98" s="25">
        <v>1</v>
      </c>
      <c r="AH98" s="5"/>
      <c r="AI98" s="5"/>
      <c r="AO98" s="5"/>
    </row>
    <row r="99" spans="10:41">
      <c r="J99" s="9">
        <v>95</v>
      </c>
      <c r="K99" s="16" t="s">
        <v>35</v>
      </c>
      <c r="L99" s="16" t="s">
        <v>36</v>
      </c>
      <c r="M99" s="16" t="s">
        <v>18</v>
      </c>
      <c r="N99" s="16" t="s">
        <v>37</v>
      </c>
      <c r="O99" s="16" t="s">
        <v>22</v>
      </c>
      <c r="Q99" s="9">
        <v>8</v>
      </c>
      <c r="R99" s="9">
        <v>10</v>
      </c>
      <c r="S99" s="9">
        <v>4</v>
      </c>
      <c r="T99" s="9">
        <v>7</v>
      </c>
      <c r="U99" s="9">
        <v>3</v>
      </c>
      <c r="W99" s="25">
        <v>1</v>
      </c>
      <c r="X99" s="25">
        <v>1</v>
      </c>
      <c r="Y99" s="25">
        <v>1</v>
      </c>
      <c r="Z99" s="25">
        <v>1</v>
      </c>
      <c r="AA99" s="25">
        <v>1</v>
      </c>
      <c r="AH99" s="5"/>
      <c r="AI99" s="5"/>
      <c r="AO99" s="5"/>
    </row>
    <row r="100" spans="10:41">
      <c r="J100" s="25">
        <v>96</v>
      </c>
      <c r="K100" s="16" t="s">
        <v>34</v>
      </c>
      <c r="L100" s="16" t="s">
        <v>19</v>
      </c>
      <c r="M100" s="16" t="s">
        <v>88</v>
      </c>
      <c r="N100" s="16" t="s">
        <v>18</v>
      </c>
      <c r="O100" s="16" t="s">
        <v>34</v>
      </c>
      <c r="Q100" s="9">
        <v>9</v>
      </c>
      <c r="R100" s="9">
        <v>5</v>
      </c>
      <c r="S100" s="9">
        <v>11</v>
      </c>
      <c r="T100" s="9">
        <v>4</v>
      </c>
      <c r="U100" s="9">
        <v>9</v>
      </c>
      <c r="W100" s="25">
        <v>1</v>
      </c>
      <c r="X100" s="25">
        <v>1</v>
      </c>
      <c r="Y100" s="25">
        <v>1</v>
      </c>
      <c r="Z100" s="25">
        <v>1</v>
      </c>
      <c r="AA100" s="25">
        <v>1</v>
      </c>
      <c r="AH100" s="5"/>
      <c r="AI100" s="5"/>
      <c r="AO100" s="5"/>
    </row>
    <row r="101" spans="10:41">
      <c r="J101" s="9">
        <v>97</v>
      </c>
      <c r="K101" s="16" t="s">
        <v>21</v>
      </c>
      <c r="L101" s="16" t="s">
        <v>35</v>
      </c>
      <c r="M101" s="16" t="s">
        <v>35</v>
      </c>
      <c r="N101" s="16" t="s">
        <v>97</v>
      </c>
      <c r="O101" s="16" t="s">
        <v>36</v>
      </c>
      <c r="Q101" s="9">
        <v>2</v>
      </c>
      <c r="R101" s="9">
        <v>8</v>
      </c>
      <c r="S101" s="9">
        <v>8</v>
      </c>
      <c r="T101" s="9">
        <v>19</v>
      </c>
      <c r="U101" s="9">
        <v>10</v>
      </c>
      <c r="W101" s="25">
        <v>1</v>
      </c>
      <c r="X101" s="25">
        <v>1</v>
      </c>
      <c r="Y101" s="25">
        <v>1</v>
      </c>
      <c r="Z101" s="25">
        <v>1</v>
      </c>
      <c r="AA101" s="25">
        <v>1</v>
      </c>
      <c r="AH101" s="5"/>
      <c r="AI101" s="5"/>
      <c r="AO101" s="5"/>
    </row>
    <row r="102" spans="10:41">
      <c r="J102" s="25">
        <v>98</v>
      </c>
      <c r="K102" s="16" t="s">
        <v>34</v>
      </c>
      <c r="L102" s="16" t="s">
        <v>19</v>
      </c>
      <c r="M102" s="16" t="s">
        <v>92</v>
      </c>
      <c r="N102" s="16" t="s">
        <v>34</v>
      </c>
      <c r="O102" s="16" t="s">
        <v>35</v>
      </c>
      <c r="Q102" s="9">
        <v>9</v>
      </c>
      <c r="R102" s="9">
        <v>5</v>
      </c>
      <c r="S102" s="9">
        <v>16</v>
      </c>
      <c r="T102" s="9">
        <v>9</v>
      </c>
      <c r="U102" s="9">
        <v>8</v>
      </c>
      <c r="W102" s="25">
        <v>1</v>
      </c>
      <c r="X102" s="25">
        <v>1</v>
      </c>
      <c r="Y102" s="25">
        <v>1</v>
      </c>
      <c r="Z102" s="25">
        <v>1</v>
      </c>
      <c r="AA102" s="25">
        <v>1</v>
      </c>
      <c r="AH102" s="5"/>
      <c r="AI102" s="5"/>
      <c r="AO102" s="5"/>
    </row>
    <row r="103" spans="10:41">
      <c r="J103" s="9">
        <v>99</v>
      </c>
      <c r="K103" s="16" t="s">
        <v>37</v>
      </c>
      <c r="L103" s="16" t="s">
        <v>34</v>
      </c>
      <c r="M103" s="16" t="s">
        <v>37</v>
      </c>
      <c r="N103" s="16" t="s">
        <v>97</v>
      </c>
      <c r="O103" s="16" t="s">
        <v>37</v>
      </c>
      <c r="Q103" s="9">
        <v>7</v>
      </c>
      <c r="R103" s="9">
        <v>9</v>
      </c>
      <c r="S103" s="9">
        <v>7</v>
      </c>
      <c r="T103" s="9">
        <v>19</v>
      </c>
      <c r="U103" s="9">
        <v>7</v>
      </c>
      <c r="W103" s="25">
        <v>1</v>
      </c>
      <c r="X103" s="25">
        <v>1</v>
      </c>
      <c r="Y103" s="25">
        <v>1</v>
      </c>
      <c r="Z103" s="25">
        <v>1</v>
      </c>
      <c r="AA103" s="25">
        <v>1</v>
      </c>
      <c r="AH103" s="5"/>
      <c r="AI103" s="5"/>
      <c r="AO103" s="5"/>
    </row>
    <row r="104" spans="10:41">
      <c r="J104" s="25"/>
      <c r="K104" s="16"/>
      <c r="L104" s="16"/>
      <c r="M104" s="16"/>
      <c r="N104" s="16"/>
      <c r="O104" s="16"/>
      <c r="Q104" s="9" t="str">
        <v/>
      </c>
      <c r="R104" s="9" t="str">
        <v/>
      </c>
      <c r="S104" s="9" t="str">
        <v/>
      </c>
      <c r="T104" s="9" t="str">
        <v/>
      </c>
      <c r="U104" s="9" t="str">
        <v/>
      </c>
      <c r="W104" s="25"/>
      <c r="X104" s="25"/>
      <c r="Y104" s="25"/>
      <c r="Z104" s="25"/>
      <c r="AA104" s="25"/>
      <c r="AH104" s="5"/>
      <c r="AI104" s="5"/>
      <c r="AO104" s="5"/>
    </row>
    <row r="105" spans="10:41">
      <c r="J105" s="25"/>
      <c r="K105" s="16"/>
      <c r="L105" s="16"/>
      <c r="M105" s="16"/>
      <c r="N105" s="16"/>
      <c r="O105" s="16"/>
      <c r="Q105" s="9" t="str">
        <v/>
      </c>
      <c r="R105" s="9" t="str">
        <v/>
      </c>
      <c r="S105" s="9" t="str">
        <v/>
      </c>
      <c r="T105" s="9" t="str">
        <v/>
      </c>
      <c r="U105" s="9" t="str">
        <v/>
      </c>
      <c r="W105" s="25"/>
      <c r="X105" s="25"/>
      <c r="Y105" s="25"/>
      <c r="Z105" s="25"/>
      <c r="AA105" s="25"/>
      <c r="AH105" s="5"/>
      <c r="AI105" s="5"/>
      <c r="AO105" s="5"/>
    </row>
    <row r="106" spans="10:41">
      <c r="J106" s="9"/>
      <c r="K106" s="16"/>
      <c r="L106" s="16"/>
      <c r="M106" s="16"/>
      <c r="N106" s="16"/>
      <c r="O106" s="16"/>
      <c r="Q106" s="9" t="str">
        <v/>
      </c>
      <c r="R106" s="9" t="str">
        <v/>
      </c>
      <c r="S106" s="9" t="str">
        <v/>
      </c>
      <c r="T106" s="9" t="str">
        <v/>
      </c>
      <c r="U106" s="9" t="str">
        <v/>
      </c>
      <c r="W106" s="25"/>
      <c r="X106" s="25"/>
      <c r="Y106" s="25"/>
      <c r="Z106" s="25"/>
      <c r="AA106" s="25"/>
      <c r="AH106" s="5"/>
      <c r="AI106" s="5"/>
      <c r="AO106" s="5"/>
    </row>
    <row r="107" spans="10:41">
      <c r="J107" s="25"/>
      <c r="K107" s="16"/>
      <c r="L107" s="16"/>
      <c r="M107" s="16"/>
      <c r="N107" s="16"/>
      <c r="O107" s="16"/>
      <c r="Q107" s="9" t="str">
        <v/>
      </c>
      <c r="R107" s="9" t="str">
        <v/>
      </c>
      <c r="S107" s="9" t="str">
        <v/>
      </c>
      <c r="T107" s="9" t="str">
        <v/>
      </c>
      <c r="U107" s="9" t="str">
        <v/>
      </c>
      <c r="W107" s="25"/>
      <c r="X107" s="25"/>
      <c r="Y107" s="25"/>
      <c r="Z107" s="25"/>
      <c r="AA107" s="25"/>
      <c r="AH107" s="5"/>
      <c r="AI107" s="5"/>
      <c r="AO107" s="5"/>
    </row>
    <row r="108" spans="10:41">
      <c r="J108" s="9"/>
      <c r="K108" s="16"/>
      <c r="L108" s="16"/>
      <c r="M108" s="16"/>
      <c r="N108" s="16"/>
      <c r="O108" s="16"/>
      <c r="Q108" s="9" t="str">
        <v/>
      </c>
      <c r="R108" s="9" t="str">
        <v/>
      </c>
      <c r="S108" s="9" t="str">
        <v/>
      </c>
      <c r="T108" s="9" t="str">
        <v/>
      </c>
      <c r="U108" s="9" t="str">
        <v/>
      </c>
      <c r="W108" s="25"/>
      <c r="X108" s="25"/>
      <c r="Y108" s="25"/>
      <c r="Z108" s="25"/>
      <c r="AA108" s="25"/>
      <c r="AH108" s="5"/>
      <c r="AI108" s="5"/>
      <c r="AO108" s="5"/>
    </row>
    <row r="109" spans="10:41">
      <c r="J109" s="25"/>
      <c r="K109" s="16"/>
      <c r="L109" s="16"/>
      <c r="M109" s="16"/>
      <c r="N109" s="16"/>
      <c r="O109" s="16"/>
      <c r="Q109" s="9" t="str">
        <v/>
      </c>
      <c r="R109" s="9" t="str">
        <v/>
      </c>
      <c r="S109" s="9" t="str">
        <v/>
      </c>
      <c r="T109" s="9" t="str">
        <v/>
      </c>
      <c r="U109" s="9" t="str">
        <v/>
      </c>
      <c r="W109" s="25"/>
      <c r="X109" s="25"/>
      <c r="Y109" s="25"/>
      <c r="Z109" s="25"/>
      <c r="AA109" s="25"/>
      <c r="AH109" s="5"/>
      <c r="AI109" s="5"/>
      <c r="AO109" s="5"/>
    </row>
    <row r="110" spans="10:41">
      <c r="J110" s="9"/>
      <c r="K110" s="16"/>
      <c r="L110" s="16"/>
      <c r="M110" s="16"/>
      <c r="N110" s="16"/>
      <c r="O110" s="16"/>
      <c r="Q110" s="9" t="str">
        <v/>
      </c>
      <c r="R110" s="9" t="str">
        <v/>
      </c>
      <c r="S110" s="9" t="str">
        <v/>
      </c>
      <c r="T110" s="9" t="str">
        <v/>
      </c>
      <c r="U110" s="9" t="str">
        <v/>
      </c>
      <c r="W110" s="25"/>
      <c r="X110" s="25"/>
      <c r="Y110" s="25"/>
      <c r="Z110" s="25"/>
      <c r="AA110" s="25"/>
      <c r="AH110" s="5"/>
      <c r="AI110" s="5"/>
      <c r="AO110" s="5"/>
    </row>
    <row r="111" spans="10:41">
      <c r="J111" s="25"/>
      <c r="K111" s="16"/>
      <c r="L111" s="16"/>
      <c r="M111" s="16"/>
      <c r="N111" s="16"/>
      <c r="O111" s="16"/>
      <c r="Q111" s="9" t="str">
        <v/>
      </c>
      <c r="R111" s="9" t="str">
        <v/>
      </c>
      <c r="S111" s="9" t="str">
        <v/>
      </c>
      <c r="T111" s="9" t="str">
        <v/>
      </c>
      <c r="U111" s="9" t="str">
        <v/>
      </c>
      <c r="W111" s="25"/>
      <c r="X111" s="25"/>
      <c r="Y111" s="25"/>
      <c r="Z111" s="25"/>
      <c r="AA111" s="25"/>
      <c r="AH111" s="5"/>
      <c r="AI111" s="5"/>
      <c r="AO111" s="5"/>
    </row>
    <row r="112" spans="10:41">
      <c r="J112" s="9"/>
      <c r="K112" s="16"/>
      <c r="L112" s="16"/>
      <c r="M112" s="16"/>
      <c r="N112" s="16"/>
      <c r="O112" s="16"/>
      <c r="Q112" s="9" t="str">
        <v/>
      </c>
      <c r="R112" s="9" t="str">
        <v/>
      </c>
      <c r="S112" s="9" t="str">
        <v/>
      </c>
      <c r="T112" s="9" t="str">
        <v/>
      </c>
      <c r="U112" s="9" t="str">
        <v/>
      </c>
      <c r="W112" s="25"/>
      <c r="X112" s="25"/>
      <c r="Y112" s="25"/>
      <c r="Z112" s="25"/>
      <c r="AA112" s="25"/>
      <c r="AH112" s="5"/>
      <c r="AI112" s="5"/>
      <c r="AO112" s="5"/>
    </row>
    <row r="113" spans="10:41">
      <c r="J113" s="25"/>
      <c r="K113" s="16"/>
      <c r="L113" s="16"/>
      <c r="M113" s="16"/>
      <c r="N113" s="16"/>
      <c r="O113" s="16"/>
      <c r="Q113" s="9" t="str">
        <v/>
      </c>
      <c r="R113" s="9" t="str">
        <v/>
      </c>
      <c r="S113" s="9" t="str">
        <v/>
      </c>
      <c r="T113" s="9" t="str">
        <v/>
      </c>
      <c r="U113" s="9" t="str">
        <v/>
      </c>
      <c r="W113" s="25"/>
      <c r="X113" s="25"/>
      <c r="Y113" s="25"/>
      <c r="Z113" s="25"/>
      <c r="AA113" s="25"/>
      <c r="AH113" s="5"/>
      <c r="AI113" s="5"/>
      <c r="AO113" s="5"/>
    </row>
    <row r="114" spans="10:41">
      <c r="J114" s="9"/>
      <c r="K114" s="16"/>
      <c r="L114" s="16"/>
      <c r="M114" s="16"/>
      <c r="N114" s="16"/>
      <c r="O114" s="16"/>
      <c r="Q114" s="9" t="str">
        <v/>
      </c>
      <c r="R114" s="9" t="str">
        <v/>
      </c>
      <c r="S114" s="9" t="str">
        <v/>
      </c>
      <c r="T114" s="9" t="str">
        <v/>
      </c>
      <c r="U114" s="9" t="str">
        <v/>
      </c>
      <c r="W114" s="25"/>
      <c r="X114" s="25"/>
      <c r="Y114" s="25"/>
      <c r="Z114" s="25"/>
      <c r="AA114" s="25"/>
      <c r="AH114" s="5"/>
      <c r="AI114" s="5"/>
      <c r="AO114" s="5"/>
    </row>
    <row r="115" spans="10:41">
      <c r="J115" s="25"/>
      <c r="K115" s="16"/>
      <c r="L115" s="16"/>
      <c r="M115" s="16"/>
      <c r="N115" s="16"/>
      <c r="O115" s="16"/>
      <c r="Q115" s="9" t="str">
        <v/>
      </c>
      <c r="R115" s="9" t="str">
        <v/>
      </c>
      <c r="S115" s="9" t="str">
        <v/>
      </c>
      <c r="T115" s="9" t="str">
        <v/>
      </c>
      <c r="U115" s="9" t="str">
        <v/>
      </c>
      <c r="W115" s="25"/>
      <c r="X115" s="25"/>
      <c r="Y115" s="25"/>
      <c r="Z115" s="25"/>
      <c r="AA115" s="25"/>
      <c r="AH115" s="5"/>
      <c r="AI115" s="5"/>
      <c r="AO115" s="5"/>
    </row>
    <row r="116" spans="10:41">
      <c r="J116" s="9"/>
      <c r="K116" s="16"/>
      <c r="L116" s="16"/>
      <c r="M116" s="16"/>
      <c r="N116" s="16"/>
      <c r="O116" s="16"/>
      <c r="Q116" s="9" t="str">
        <v/>
      </c>
      <c r="R116" s="9" t="str">
        <v/>
      </c>
      <c r="S116" s="9" t="str">
        <v/>
      </c>
      <c r="T116" s="9" t="str">
        <v/>
      </c>
      <c r="U116" s="9" t="str">
        <v/>
      </c>
      <c r="W116" s="25"/>
      <c r="X116" s="25"/>
      <c r="Y116" s="25"/>
      <c r="Z116" s="25"/>
      <c r="AA116" s="25"/>
      <c r="AH116" s="5"/>
      <c r="AI116" s="5"/>
      <c r="AO116" s="5"/>
    </row>
    <row r="117" spans="10:41">
      <c r="J117" s="25"/>
      <c r="K117" s="16"/>
      <c r="L117" s="16"/>
      <c r="M117" s="16"/>
      <c r="N117" s="16"/>
      <c r="O117" s="16"/>
      <c r="Q117" s="9" t="str">
        <v/>
      </c>
      <c r="R117" s="9" t="str">
        <v/>
      </c>
      <c r="S117" s="9" t="str">
        <v/>
      </c>
      <c r="T117" s="9" t="str">
        <v/>
      </c>
      <c r="U117" s="9" t="str">
        <v/>
      </c>
      <c r="W117" s="25"/>
      <c r="X117" s="25"/>
      <c r="Y117" s="25"/>
      <c r="Z117" s="25"/>
      <c r="AA117" s="25"/>
      <c r="AH117" s="5"/>
      <c r="AI117" s="5"/>
      <c r="AO117" s="5"/>
    </row>
    <row r="118" spans="10:41">
      <c r="J118" s="9"/>
      <c r="K118" s="16"/>
      <c r="L118" s="16"/>
      <c r="M118" s="16"/>
      <c r="N118" s="16"/>
      <c r="O118" s="16"/>
      <c r="Q118" s="9" t="str">
        <v/>
      </c>
      <c r="R118" s="9" t="str">
        <v/>
      </c>
      <c r="S118" s="9" t="str">
        <v/>
      </c>
      <c r="T118" s="9" t="str">
        <v/>
      </c>
      <c r="U118" s="9" t="str">
        <v/>
      </c>
      <c r="W118" s="25"/>
      <c r="X118" s="25"/>
      <c r="Y118" s="25"/>
      <c r="Z118" s="25"/>
      <c r="AA118" s="25"/>
      <c r="AH118" s="5"/>
      <c r="AI118" s="5"/>
      <c r="AO118" s="5"/>
    </row>
    <row r="119" spans="10:41">
      <c r="J119" s="25"/>
      <c r="K119" s="16"/>
      <c r="L119" s="16"/>
      <c r="M119" s="16"/>
      <c r="N119" s="16"/>
      <c r="O119" s="16"/>
      <c r="Q119" s="9" t="str">
        <v/>
      </c>
      <c r="R119" s="9" t="str">
        <v/>
      </c>
      <c r="S119" s="9" t="str">
        <v/>
      </c>
      <c r="T119" s="9" t="str">
        <v/>
      </c>
      <c r="U119" s="9" t="str">
        <v/>
      </c>
      <c r="W119" s="25"/>
      <c r="X119" s="25"/>
      <c r="Y119" s="25"/>
      <c r="Z119" s="25"/>
      <c r="AA119" s="25"/>
      <c r="AH119" s="5"/>
      <c r="AI119" s="5"/>
      <c r="AO119" s="5"/>
    </row>
    <row r="120" spans="10:41">
      <c r="J120" s="9"/>
      <c r="K120" s="16"/>
      <c r="L120" s="16"/>
      <c r="M120" s="16"/>
      <c r="N120" s="16"/>
      <c r="O120" s="16"/>
      <c r="Q120" s="9" t="str">
        <v/>
      </c>
      <c r="R120" s="9" t="str">
        <v/>
      </c>
      <c r="S120" s="9" t="str">
        <v/>
      </c>
      <c r="T120" s="9" t="str">
        <v/>
      </c>
      <c r="U120" s="9" t="str">
        <v/>
      </c>
      <c r="W120" s="25"/>
      <c r="X120" s="25"/>
      <c r="Y120" s="25"/>
      <c r="Z120" s="25"/>
      <c r="AA120" s="25"/>
      <c r="AH120" s="5"/>
      <c r="AI120" s="5"/>
      <c r="AO120" s="5"/>
    </row>
    <row r="121" spans="10:41">
      <c r="J121" s="25"/>
      <c r="K121" s="16"/>
      <c r="L121" s="16"/>
      <c r="M121" s="16"/>
      <c r="N121" s="16"/>
      <c r="O121" s="16"/>
      <c r="Q121" s="9" t="str">
        <v/>
      </c>
      <c r="R121" s="9" t="str">
        <v/>
      </c>
      <c r="S121" s="9" t="str">
        <v/>
      </c>
      <c r="T121" s="9" t="str">
        <v/>
      </c>
      <c r="U121" s="9" t="str">
        <v/>
      </c>
      <c r="W121" s="25"/>
      <c r="X121" s="25"/>
      <c r="Y121" s="25"/>
      <c r="Z121" s="25"/>
      <c r="AA121" s="25"/>
      <c r="AH121" s="5"/>
      <c r="AI121" s="5"/>
      <c r="AO121" s="5"/>
    </row>
    <row r="122" spans="10:41">
      <c r="J122" s="9"/>
      <c r="K122" s="16"/>
      <c r="L122" s="16"/>
      <c r="M122" s="16"/>
      <c r="N122" s="16"/>
      <c r="O122" s="16"/>
      <c r="Q122" s="9" t="str">
        <v/>
      </c>
      <c r="R122" s="9" t="str">
        <v/>
      </c>
      <c r="S122" s="9" t="str">
        <v/>
      </c>
      <c r="T122" s="9" t="str">
        <v/>
      </c>
      <c r="U122" s="9" t="str">
        <v/>
      </c>
      <c r="W122" s="25"/>
      <c r="X122" s="25"/>
      <c r="Y122" s="25"/>
      <c r="Z122" s="25"/>
      <c r="AA122" s="25"/>
      <c r="AH122" s="5"/>
      <c r="AI122" s="5"/>
      <c r="AO122" s="5"/>
    </row>
    <row r="123" spans="10:41">
      <c r="J123" s="25"/>
      <c r="K123" s="16"/>
      <c r="L123" s="16"/>
      <c r="M123" s="16"/>
      <c r="N123" s="16"/>
      <c r="O123" s="16"/>
      <c r="Q123" s="9" t="str">
        <v/>
      </c>
      <c r="R123" s="9" t="str">
        <v/>
      </c>
      <c r="S123" s="9" t="str">
        <v/>
      </c>
      <c r="T123" s="9" t="str">
        <v/>
      </c>
      <c r="U123" s="9" t="str">
        <v/>
      </c>
      <c r="W123" s="25"/>
      <c r="X123" s="25"/>
      <c r="Y123" s="25"/>
      <c r="Z123" s="25"/>
      <c r="AA123" s="25"/>
      <c r="AH123" s="5"/>
      <c r="AI123" s="5"/>
      <c r="AO123" s="5"/>
    </row>
    <row r="124" spans="10:41">
      <c r="J124" s="9"/>
      <c r="K124" s="16"/>
      <c r="L124" s="16"/>
      <c r="M124" s="16"/>
      <c r="N124" s="16"/>
      <c r="O124" s="16"/>
      <c r="Q124" s="9" t="str">
        <v/>
      </c>
      <c r="R124" s="9" t="str">
        <v/>
      </c>
      <c r="S124" s="9" t="str">
        <v/>
      </c>
      <c r="T124" s="9" t="str">
        <v/>
      </c>
      <c r="U124" s="9" t="str">
        <v/>
      </c>
      <c r="W124" s="25"/>
      <c r="X124" s="25"/>
      <c r="Y124" s="25"/>
      <c r="Z124" s="25"/>
      <c r="AA124" s="25"/>
      <c r="AH124" s="5"/>
      <c r="AI124" s="5"/>
      <c r="AO124" s="5"/>
    </row>
    <row r="125" spans="10:41">
      <c r="J125" s="25"/>
      <c r="K125" s="16"/>
      <c r="L125" s="16"/>
      <c r="M125" s="16"/>
      <c r="N125" s="16"/>
      <c r="O125" s="16"/>
      <c r="Q125" s="9" t="str">
        <v/>
      </c>
      <c r="R125" s="9" t="str">
        <v/>
      </c>
      <c r="S125" s="9" t="str">
        <v/>
      </c>
      <c r="T125" s="9" t="str">
        <v/>
      </c>
      <c r="U125" s="9" t="str">
        <v/>
      </c>
      <c r="W125" s="25"/>
      <c r="X125" s="25"/>
      <c r="Y125" s="25"/>
      <c r="Z125" s="25"/>
      <c r="AA125" s="25"/>
      <c r="AH125" s="5"/>
      <c r="AI125" s="5"/>
      <c r="AO125" s="5"/>
    </row>
    <row r="126" spans="10:41">
      <c r="J126" s="9"/>
      <c r="K126" s="16"/>
      <c r="L126" s="16"/>
      <c r="M126" s="16"/>
      <c r="N126" s="16"/>
      <c r="O126" s="16"/>
      <c r="Q126" s="9" t="str">
        <v/>
      </c>
      <c r="R126" s="9" t="str">
        <v/>
      </c>
      <c r="S126" s="9" t="str">
        <v/>
      </c>
      <c r="T126" s="9" t="str">
        <v/>
      </c>
      <c r="U126" s="9" t="str">
        <v/>
      </c>
      <c r="W126" s="25"/>
      <c r="X126" s="25"/>
      <c r="Y126" s="25"/>
      <c r="Z126" s="25"/>
      <c r="AA126" s="25"/>
      <c r="AH126" s="5"/>
      <c r="AI126" s="5"/>
      <c r="AO126" s="5"/>
    </row>
    <row r="127" spans="10:41">
      <c r="J127" s="25"/>
      <c r="K127" s="16"/>
      <c r="L127" s="16"/>
      <c r="M127" s="16"/>
      <c r="N127" s="16"/>
      <c r="O127" s="16"/>
      <c r="Q127" s="9" t="str">
        <v/>
      </c>
      <c r="R127" s="9" t="str">
        <v/>
      </c>
      <c r="S127" s="9" t="str">
        <v/>
      </c>
      <c r="T127" s="9" t="str">
        <v/>
      </c>
      <c r="U127" s="9" t="str">
        <v/>
      </c>
      <c r="W127" s="25"/>
      <c r="X127" s="25"/>
      <c r="Y127" s="25"/>
      <c r="Z127" s="25"/>
      <c r="AA127" s="25"/>
      <c r="AH127" s="5"/>
      <c r="AI127" s="5"/>
      <c r="AO127" s="5"/>
    </row>
    <row r="128" spans="10:41">
      <c r="J128" s="9"/>
      <c r="K128" s="16"/>
      <c r="L128" s="16"/>
      <c r="M128" s="16"/>
      <c r="N128" s="16"/>
      <c r="O128" s="16"/>
      <c r="Q128" s="9" t="str">
        <v/>
      </c>
      <c r="R128" s="9" t="str">
        <v/>
      </c>
      <c r="S128" s="9" t="str">
        <v/>
      </c>
      <c r="T128" s="9" t="str">
        <v/>
      </c>
      <c r="U128" s="9" t="str">
        <v/>
      </c>
      <c r="W128" s="25"/>
      <c r="X128" s="25"/>
      <c r="Y128" s="25"/>
      <c r="Z128" s="25"/>
      <c r="AA128" s="25"/>
      <c r="AH128" s="5"/>
      <c r="AI128" s="5"/>
      <c r="AO128" s="5"/>
    </row>
    <row r="129" spans="10:41">
      <c r="J129" s="25"/>
      <c r="K129" s="16"/>
      <c r="L129" s="16"/>
      <c r="M129" s="16"/>
      <c r="N129" s="16"/>
      <c r="O129" s="16"/>
      <c r="Q129" s="9" t="str">
        <v/>
      </c>
      <c r="R129" s="9" t="str">
        <v/>
      </c>
      <c r="S129" s="9" t="str">
        <v/>
      </c>
      <c r="T129" s="9" t="str">
        <v/>
      </c>
      <c r="U129" s="9" t="str">
        <v/>
      </c>
      <c r="W129" s="25"/>
      <c r="X129" s="25"/>
      <c r="Y129" s="25"/>
      <c r="Z129" s="25"/>
      <c r="AA129" s="25"/>
      <c r="AH129" s="5"/>
      <c r="AI129" s="5"/>
      <c r="AO129" s="5"/>
    </row>
    <row r="130" spans="10:41">
      <c r="J130" s="9"/>
      <c r="K130" s="16"/>
      <c r="L130" s="16"/>
      <c r="M130" s="16"/>
      <c r="N130" s="16"/>
      <c r="O130" s="16"/>
      <c r="Q130" s="9" t="str">
        <v/>
      </c>
      <c r="R130" s="9" t="str">
        <v/>
      </c>
      <c r="S130" s="9" t="str">
        <v/>
      </c>
      <c r="T130" s="9" t="str">
        <v/>
      </c>
      <c r="U130" s="9" t="str">
        <v/>
      </c>
      <c r="W130" s="25"/>
      <c r="X130" s="25"/>
      <c r="Y130" s="25"/>
      <c r="Z130" s="25"/>
      <c r="AA130" s="25"/>
      <c r="AH130" s="5"/>
      <c r="AI130" s="5"/>
      <c r="AO130" s="5"/>
    </row>
    <row r="131" spans="10:41">
      <c r="J131" s="25"/>
      <c r="K131" s="16"/>
      <c r="L131" s="16"/>
      <c r="M131" s="16"/>
      <c r="N131" s="16"/>
      <c r="O131" s="16"/>
      <c r="Q131" s="9" t="str">
        <v/>
      </c>
      <c r="R131" s="9" t="str">
        <v/>
      </c>
      <c r="S131" s="9" t="str">
        <v/>
      </c>
      <c r="T131" s="9" t="str">
        <v/>
      </c>
      <c r="U131" s="9" t="str">
        <v/>
      </c>
      <c r="W131" s="25"/>
      <c r="X131" s="25"/>
      <c r="Y131" s="25"/>
      <c r="Z131" s="25"/>
      <c r="AA131" s="25"/>
      <c r="AH131" s="5"/>
      <c r="AI131" s="5"/>
      <c r="AO131" s="5"/>
    </row>
    <row r="132" spans="10:41">
      <c r="J132" s="9"/>
      <c r="K132" s="16"/>
      <c r="L132" s="16"/>
      <c r="M132" s="16"/>
      <c r="N132" s="16"/>
      <c r="O132" s="16"/>
      <c r="Q132" s="9" t="str">
        <v/>
      </c>
      <c r="R132" s="9" t="str">
        <v/>
      </c>
      <c r="S132" s="9" t="str">
        <v/>
      </c>
      <c r="T132" s="9" t="str">
        <v/>
      </c>
      <c r="U132" s="9" t="str">
        <v/>
      </c>
      <c r="W132" s="25"/>
      <c r="X132" s="25"/>
      <c r="Y132" s="25"/>
      <c r="Z132" s="25"/>
      <c r="AA132" s="25"/>
      <c r="AH132" s="5"/>
      <c r="AI132" s="5"/>
      <c r="AO132" s="5"/>
    </row>
    <row r="133" spans="10:41">
      <c r="J133" s="25"/>
      <c r="K133" s="16"/>
      <c r="L133" s="16"/>
      <c r="M133" s="16"/>
      <c r="N133" s="16"/>
      <c r="O133" s="16"/>
      <c r="Q133" s="9" t="str">
        <v/>
      </c>
      <c r="R133" s="9" t="str">
        <v/>
      </c>
      <c r="S133" s="9" t="str">
        <v/>
      </c>
      <c r="T133" s="9" t="str">
        <v/>
      </c>
      <c r="U133" s="9" t="str">
        <v/>
      </c>
      <c r="W133" s="25"/>
      <c r="X133" s="25"/>
      <c r="Y133" s="25"/>
      <c r="Z133" s="25"/>
      <c r="AA133" s="25"/>
      <c r="AH133" s="5"/>
      <c r="AI133" s="5"/>
      <c r="AO133" s="5"/>
    </row>
    <row r="134" spans="10:41">
      <c r="J134" s="9"/>
      <c r="K134" s="16"/>
      <c r="L134" s="16"/>
      <c r="M134" s="16"/>
      <c r="N134" s="16"/>
      <c r="O134" s="16"/>
      <c r="Q134" s="9" t="str">
        <v/>
      </c>
      <c r="R134" s="9" t="str">
        <v/>
      </c>
      <c r="S134" s="9" t="str">
        <v/>
      </c>
      <c r="T134" s="9" t="str">
        <v/>
      </c>
      <c r="U134" s="9" t="str">
        <v/>
      </c>
      <c r="W134" s="25"/>
      <c r="X134" s="25"/>
      <c r="Y134" s="25"/>
      <c r="Z134" s="25"/>
      <c r="AA134" s="25"/>
      <c r="AH134" s="5"/>
      <c r="AI134" s="5"/>
      <c r="AO134" s="5"/>
    </row>
    <row r="135" spans="10:41">
      <c r="J135" s="25"/>
      <c r="K135" s="16"/>
      <c r="L135" s="16"/>
      <c r="M135" s="16"/>
      <c r="N135" s="16"/>
      <c r="O135" s="16"/>
      <c r="Q135" s="9" t="str">
        <v/>
      </c>
      <c r="R135" s="9" t="str">
        <v/>
      </c>
      <c r="S135" s="9" t="str">
        <v/>
      </c>
      <c r="T135" s="9" t="str">
        <v/>
      </c>
      <c r="U135" s="9" t="str">
        <v/>
      </c>
      <c r="W135" s="25"/>
      <c r="X135" s="25"/>
      <c r="Y135" s="25"/>
      <c r="Z135" s="25"/>
      <c r="AA135" s="25"/>
      <c r="AH135" s="5"/>
      <c r="AI135" s="5"/>
      <c r="AO135" s="5"/>
    </row>
    <row r="136" spans="10:41">
      <c r="J136" s="9"/>
      <c r="K136" s="16"/>
      <c r="L136" s="16"/>
      <c r="M136" s="16"/>
      <c r="N136" s="16"/>
      <c r="O136" s="16"/>
      <c r="Q136" s="9" t="str">
        <v/>
      </c>
      <c r="R136" s="9" t="str">
        <v/>
      </c>
      <c r="S136" s="9" t="str">
        <v/>
      </c>
      <c r="T136" s="9" t="str">
        <v/>
      </c>
      <c r="U136" s="9" t="str">
        <v/>
      </c>
      <c r="W136" s="25"/>
      <c r="X136" s="25"/>
      <c r="Y136" s="25"/>
      <c r="Z136" s="25"/>
      <c r="AA136" s="25"/>
      <c r="AH136" s="5"/>
      <c r="AI136" s="5"/>
      <c r="AO136" s="5"/>
    </row>
    <row r="137" spans="10:41">
      <c r="J137" s="25"/>
      <c r="K137" s="16"/>
      <c r="L137" s="16"/>
      <c r="M137" s="16"/>
      <c r="N137" s="16"/>
      <c r="O137" s="16"/>
      <c r="Q137" s="9" t="str">
        <v/>
      </c>
      <c r="R137" s="9" t="str">
        <v/>
      </c>
      <c r="S137" s="9" t="str">
        <v/>
      </c>
      <c r="T137" s="9" t="str">
        <v/>
      </c>
      <c r="U137" s="9" t="str">
        <v/>
      </c>
      <c r="W137" s="25"/>
      <c r="X137" s="25"/>
      <c r="Y137" s="25"/>
      <c r="Z137" s="25"/>
      <c r="AA137" s="25"/>
      <c r="AH137" s="5"/>
      <c r="AI137" s="5"/>
      <c r="AO137" s="5"/>
    </row>
    <row r="138" spans="10:41">
      <c r="J138" s="9"/>
      <c r="K138" s="16"/>
      <c r="L138" s="16"/>
      <c r="M138" s="16"/>
      <c r="N138" s="16"/>
      <c r="O138" s="16"/>
      <c r="Q138" s="9" t="str">
        <v/>
      </c>
      <c r="R138" s="9" t="str">
        <v/>
      </c>
      <c r="S138" s="9" t="str">
        <v/>
      </c>
      <c r="T138" s="9" t="str">
        <v/>
      </c>
      <c r="U138" s="9" t="str">
        <v/>
      </c>
      <c r="W138" s="25"/>
      <c r="X138" s="25"/>
      <c r="Y138" s="25"/>
      <c r="Z138" s="25"/>
      <c r="AA138" s="25"/>
      <c r="AH138" s="5"/>
      <c r="AI138" s="5"/>
      <c r="AO138" s="5"/>
    </row>
    <row r="139" spans="10:41">
      <c r="J139" s="25"/>
      <c r="K139" s="16"/>
      <c r="L139" s="16"/>
      <c r="M139" s="16"/>
      <c r="N139" s="16"/>
      <c r="O139" s="16"/>
      <c r="Q139" s="9" t="str">
        <v/>
      </c>
      <c r="R139" s="9" t="str">
        <v/>
      </c>
      <c r="S139" s="9" t="str">
        <v/>
      </c>
      <c r="T139" s="9" t="str">
        <v/>
      </c>
      <c r="U139" s="9" t="str">
        <v/>
      </c>
      <c r="W139" s="25"/>
      <c r="X139" s="25"/>
      <c r="Y139" s="25"/>
      <c r="Z139" s="25"/>
      <c r="AA139" s="25"/>
      <c r="AH139" s="5"/>
      <c r="AI139" s="5"/>
      <c r="AO139" s="5"/>
    </row>
    <row r="140" spans="10:41">
      <c r="J140" s="9"/>
      <c r="K140" s="16"/>
      <c r="L140" s="16"/>
      <c r="M140" s="16"/>
      <c r="N140" s="16"/>
      <c r="O140" s="16"/>
      <c r="Q140" s="9" t="str">
        <v/>
      </c>
      <c r="R140" s="9" t="str">
        <v/>
      </c>
      <c r="S140" s="9" t="str">
        <v/>
      </c>
      <c r="T140" s="9" t="str">
        <v/>
      </c>
      <c r="U140" s="9" t="str">
        <v/>
      </c>
      <c r="W140" s="25"/>
      <c r="X140" s="25"/>
      <c r="Y140" s="25"/>
      <c r="Z140" s="25"/>
      <c r="AA140" s="25"/>
      <c r="AH140" s="5"/>
      <c r="AI140" s="5"/>
      <c r="AO140" s="5"/>
    </row>
    <row r="141" spans="10:41">
      <c r="J141" s="25"/>
      <c r="K141" s="16"/>
      <c r="L141" s="16"/>
      <c r="M141" s="16"/>
      <c r="N141" s="16"/>
      <c r="O141" s="16"/>
      <c r="Q141" s="9" t="str">
        <v/>
      </c>
      <c r="R141" s="9" t="str">
        <v/>
      </c>
      <c r="S141" s="9" t="str">
        <v/>
      </c>
      <c r="T141" s="9" t="str">
        <v/>
      </c>
      <c r="U141" s="9" t="str">
        <v/>
      </c>
      <c r="W141" s="25"/>
      <c r="X141" s="25"/>
      <c r="Y141" s="25"/>
      <c r="Z141" s="25"/>
      <c r="AA141" s="25"/>
      <c r="AH141" s="5"/>
      <c r="AI141" s="5"/>
      <c r="AO141" s="5"/>
    </row>
    <row r="142" spans="10:41">
      <c r="J142" s="9"/>
      <c r="K142" s="16"/>
      <c r="L142" s="16"/>
      <c r="M142" s="16"/>
      <c r="N142" s="16"/>
      <c r="O142" s="16"/>
      <c r="Q142" s="9" t="str">
        <v/>
      </c>
      <c r="R142" s="9" t="str">
        <v/>
      </c>
      <c r="S142" s="9" t="str">
        <v/>
      </c>
      <c r="T142" s="9" t="str">
        <v/>
      </c>
      <c r="U142" s="9" t="str">
        <v/>
      </c>
      <c r="W142" s="25"/>
      <c r="X142" s="25"/>
      <c r="Y142" s="25"/>
      <c r="Z142" s="25"/>
      <c r="AA142" s="25"/>
      <c r="AH142" s="5"/>
      <c r="AI142" s="5"/>
      <c r="AO142" s="5"/>
    </row>
    <row r="143" spans="10:41">
      <c r="J143" s="25"/>
      <c r="K143" s="16"/>
      <c r="L143" s="16"/>
      <c r="M143" s="16"/>
      <c r="N143" s="16"/>
      <c r="O143" s="16"/>
      <c r="Q143" s="9" t="str">
        <v/>
      </c>
      <c r="R143" s="9" t="str">
        <v/>
      </c>
      <c r="S143" s="9" t="str">
        <v/>
      </c>
      <c r="T143" s="9" t="str">
        <v/>
      </c>
      <c r="U143" s="9" t="str">
        <v/>
      </c>
      <c r="W143" s="25"/>
      <c r="X143" s="25"/>
      <c r="Y143" s="25"/>
      <c r="Z143" s="25"/>
      <c r="AA143" s="25"/>
      <c r="AH143" s="5"/>
      <c r="AI143" s="5"/>
      <c r="AO143" s="5"/>
    </row>
    <row r="144" spans="10:41">
      <c r="J144" s="9"/>
      <c r="K144" s="16"/>
      <c r="L144" s="16"/>
      <c r="M144" s="16"/>
      <c r="N144" s="16"/>
      <c r="O144" s="16"/>
      <c r="Q144" s="9" t="str">
        <v/>
      </c>
      <c r="R144" s="9" t="str">
        <v/>
      </c>
      <c r="S144" s="9" t="str">
        <v/>
      </c>
      <c r="T144" s="9" t="str">
        <v/>
      </c>
      <c r="U144" s="9" t="str">
        <v/>
      </c>
      <c r="W144" s="25"/>
      <c r="X144" s="25"/>
      <c r="Y144" s="25"/>
      <c r="Z144" s="25"/>
      <c r="AA144" s="25"/>
      <c r="AH144" s="5"/>
      <c r="AI144" s="5"/>
      <c r="AO144" s="5"/>
    </row>
    <row r="145" spans="10:41">
      <c r="J145" s="25"/>
      <c r="K145" s="16"/>
      <c r="L145" s="16"/>
      <c r="M145" s="16"/>
      <c r="N145" s="16"/>
      <c r="O145" s="16"/>
      <c r="Q145" s="9" t="str">
        <v/>
      </c>
      <c r="R145" s="9" t="str">
        <v/>
      </c>
      <c r="S145" s="9" t="str">
        <v/>
      </c>
      <c r="T145" s="9" t="str">
        <v/>
      </c>
      <c r="U145" s="9" t="str">
        <v/>
      </c>
      <c r="W145" s="25"/>
      <c r="X145" s="25"/>
      <c r="Y145" s="25"/>
      <c r="Z145" s="25"/>
      <c r="AA145" s="25"/>
      <c r="AH145" s="5"/>
      <c r="AI145" s="5"/>
      <c r="AO145" s="5"/>
    </row>
    <row r="146" spans="10:41">
      <c r="J146" s="9"/>
      <c r="K146" s="16"/>
      <c r="L146" s="16"/>
      <c r="M146" s="16"/>
      <c r="N146" s="16"/>
      <c r="O146" s="16"/>
      <c r="Q146" s="9" t="str">
        <v/>
      </c>
      <c r="R146" s="9" t="str">
        <v/>
      </c>
      <c r="S146" s="9" t="str">
        <v/>
      </c>
      <c r="T146" s="9" t="str">
        <v/>
      </c>
      <c r="U146" s="9" t="str">
        <v/>
      </c>
      <c r="W146" s="25"/>
      <c r="X146" s="25"/>
      <c r="Y146" s="25"/>
      <c r="Z146" s="25"/>
      <c r="AA146" s="25"/>
      <c r="AH146" s="5"/>
      <c r="AI146" s="5"/>
      <c r="AO146" s="5"/>
    </row>
    <row r="147" spans="10:41">
      <c r="J147" s="25"/>
      <c r="K147" s="16"/>
      <c r="L147" s="16"/>
      <c r="M147" s="16"/>
      <c r="N147" s="16"/>
      <c r="O147" s="16"/>
      <c r="Q147" s="9" t="str">
        <v/>
      </c>
      <c r="R147" s="9" t="str">
        <v/>
      </c>
      <c r="S147" s="9" t="str">
        <v/>
      </c>
      <c r="T147" s="9" t="str">
        <v/>
      </c>
      <c r="U147" s="9" t="str">
        <v/>
      </c>
      <c r="W147" s="25"/>
      <c r="X147" s="25"/>
      <c r="Y147" s="25"/>
      <c r="Z147" s="25"/>
      <c r="AA147" s="25"/>
      <c r="AH147" s="5"/>
      <c r="AI147" s="5"/>
      <c r="AO147" s="5"/>
    </row>
    <row r="148" spans="10:41">
      <c r="J148" s="9"/>
      <c r="K148" s="16"/>
      <c r="L148" s="16"/>
      <c r="M148" s="16"/>
      <c r="N148" s="16"/>
      <c r="O148" s="16"/>
      <c r="Q148" s="9" t="str">
        <v/>
      </c>
      <c r="R148" s="9" t="str">
        <v/>
      </c>
      <c r="S148" s="9" t="str">
        <v/>
      </c>
      <c r="T148" s="9" t="str">
        <v/>
      </c>
      <c r="U148" s="9" t="str">
        <v/>
      </c>
      <c r="W148" s="25"/>
      <c r="X148" s="25"/>
      <c r="Y148" s="25"/>
      <c r="Z148" s="25"/>
      <c r="AA148" s="25"/>
      <c r="AH148" s="5"/>
      <c r="AI148" s="5"/>
      <c r="AO148" s="5"/>
    </row>
    <row r="149" spans="10:41">
      <c r="J149" s="25"/>
      <c r="K149" s="16"/>
      <c r="L149" s="16"/>
      <c r="M149" s="16"/>
      <c r="N149" s="16"/>
      <c r="O149" s="16"/>
      <c r="Q149" s="9" t="str">
        <v/>
      </c>
      <c r="R149" s="9" t="str">
        <v/>
      </c>
      <c r="S149" s="9" t="str">
        <v/>
      </c>
      <c r="T149" s="9" t="str">
        <v/>
      </c>
      <c r="U149" s="9" t="str">
        <v/>
      </c>
      <c r="W149" s="25"/>
      <c r="X149" s="25"/>
      <c r="Y149" s="25"/>
      <c r="Z149" s="25"/>
      <c r="AA149" s="25"/>
      <c r="AH149" s="5"/>
      <c r="AI149" s="5"/>
      <c r="AO149" s="5"/>
    </row>
    <row r="150" spans="10:41">
      <c r="J150" s="9"/>
      <c r="K150" s="16"/>
      <c r="L150" s="16"/>
      <c r="M150" s="16"/>
      <c r="N150" s="16"/>
      <c r="O150" s="16"/>
      <c r="Q150" s="9" t="str">
        <v/>
      </c>
      <c r="R150" s="9" t="str">
        <v/>
      </c>
      <c r="S150" s="9" t="str">
        <v/>
      </c>
      <c r="T150" s="9" t="str">
        <v/>
      </c>
      <c r="U150" s="9" t="str">
        <v/>
      </c>
      <c r="W150" s="25"/>
      <c r="X150" s="25"/>
      <c r="Y150" s="25"/>
      <c r="Z150" s="25"/>
      <c r="AA150" s="25"/>
      <c r="AH150" s="5"/>
      <c r="AI150" s="5"/>
      <c r="AO150" s="5"/>
    </row>
    <row r="151" spans="10:41">
      <c r="J151" s="25"/>
      <c r="K151" s="16"/>
      <c r="L151" s="16"/>
      <c r="M151" s="16"/>
      <c r="N151" s="16"/>
      <c r="O151" s="16"/>
      <c r="Q151" s="9" t="str">
        <v/>
      </c>
      <c r="R151" s="9" t="str">
        <v/>
      </c>
      <c r="S151" s="9" t="str">
        <v/>
      </c>
      <c r="T151" s="9" t="str">
        <v/>
      </c>
      <c r="U151" s="9" t="str">
        <v/>
      </c>
      <c r="W151" s="25"/>
      <c r="X151" s="25"/>
      <c r="Y151" s="25"/>
      <c r="Z151" s="25"/>
      <c r="AA151" s="25"/>
      <c r="AH151" s="5"/>
      <c r="AI151" s="5"/>
      <c r="AO151" s="5"/>
    </row>
    <row r="152" spans="10:41">
      <c r="J152" s="9"/>
      <c r="K152" s="16"/>
      <c r="L152" s="16"/>
      <c r="M152" s="16"/>
      <c r="N152" s="16"/>
      <c r="O152" s="16"/>
      <c r="Q152" s="9" t="str">
        <v/>
      </c>
      <c r="R152" s="9" t="str">
        <v/>
      </c>
      <c r="S152" s="9" t="str">
        <v/>
      </c>
      <c r="T152" s="9" t="str">
        <v/>
      </c>
      <c r="U152" s="9" t="str">
        <v/>
      </c>
      <c r="W152" s="25"/>
      <c r="X152" s="25"/>
      <c r="Y152" s="25"/>
      <c r="Z152" s="25"/>
      <c r="AA152" s="25"/>
      <c r="AH152" s="5"/>
      <c r="AI152" s="5"/>
      <c r="AO152" s="5"/>
    </row>
    <row r="153" spans="10:41">
      <c r="J153" s="25"/>
      <c r="K153" s="16"/>
      <c r="L153" s="16"/>
      <c r="M153" s="16"/>
      <c r="N153" s="16"/>
      <c r="O153" s="16"/>
      <c r="Q153" s="9" t="str">
        <v/>
      </c>
      <c r="R153" s="9" t="str">
        <v/>
      </c>
      <c r="S153" s="9" t="str">
        <v/>
      </c>
      <c r="T153" s="9" t="str">
        <v/>
      </c>
      <c r="U153" s="9" t="str">
        <v/>
      </c>
      <c r="W153" s="25"/>
      <c r="X153" s="25"/>
      <c r="Y153" s="25"/>
      <c r="Z153" s="25"/>
      <c r="AA153" s="25"/>
      <c r="AH153" s="5"/>
      <c r="AI153" s="5"/>
      <c r="AO153" s="5"/>
    </row>
    <row r="154" spans="10:41">
      <c r="J154" s="9"/>
      <c r="K154" s="16"/>
      <c r="L154" s="16"/>
      <c r="M154" s="16"/>
      <c r="N154" s="16"/>
      <c r="O154" s="16"/>
      <c r="Q154" s="9" t="str">
        <v/>
      </c>
      <c r="R154" s="9" t="str">
        <v/>
      </c>
      <c r="S154" s="9" t="str">
        <v/>
      </c>
      <c r="T154" s="9" t="str">
        <v/>
      </c>
      <c r="U154" s="9" t="str">
        <v/>
      </c>
      <c r="W154" s="25"/>
      <c r="X154" s="25"/>
      <c r="Y154" s="25"/>
      <c r="Z154" s="25"/>
      <c r="AA154" s="25"/>
      <c r="AH154" s="5"/>
      <c r="AI154" s="5"/>
      <c r="AO154" s="5"/>
    </row>
    <row r="155" spans="10:41">
      <c r="J155" s="25"/>
      <c r="K155" s="16"/>
      <c r="L155" s="16"/>
      <c r="M155" s="16"/>
      <c r="N155" s="16"/>
      <c r="O155" s="16"/>
      <c r="Q155" s="9" t="str">
        <v/>
      </c>
      <c r="R155" s="9" t="str">
        <v/>
      </c>
      <c r="S155" s="9" t="str">
        <v/>
      </c>
      <c r="T155" s="9" t="str">
        <v/>
      </c>
      <c r="U155" s="9" t="str">
        <v/>
      </c>
      <c r="W155" s="25"/>
      <c r="X155" s="25"/>
      <c r="Y155" s="25"/>
      <c r="Z155" s="25"/>
      <c r="AA155" s="25"/>
      <c r="AH155" s="5"/>
      <c r="AI155" s="5"/>
      <c r="AO155" s="5"/>
    </row>
    <row r="156" spans="10:41">
      <c r="J156" s="9"/>
      <c r="K156" s="16"/>
      <c r="L156" s="16"/>
      <c r="M156" s="16"/>
      <c r="N156" s="16"/>
      <c r="O156" s="16"/>
      <c r="Q156" s="9" t="str">
        <v/>
      </c>
      <c r="R156" s="9" t="str">
        <v/>
      </c>
      <c r="S156" s="9" t="str">
        <v/>
      </c>
      <c r="T156" s="9" t="str">
        <v/>
      </c>
      <c r="U156" s="9" t="str">
        <v/>
      </c>
      <c r="W156" s="25"/>
      <c r="X156" s="25"/>
      <c r="Y156" s="25"/>
      <c r="Z156" s="25"/>
      <c r="AA156" s="25"/>
      <c r="AH156" s="5"/>
      <c r="AI156" s="5"/>
      <c r="AO156" s="5"/>
    </row>
    <row r="157" spans="10:41">
      <c r="J157" s="25"/>
      <c r="K157" s="16"/>
      <c r="L157" s="16"/>
      <c r="M157" s="16"/>
      <c r="N157" s="16"/>
      <c r="O157" s="16"/>
      <c r="Q157" s="9" t="str">
        <v/>
      </c>
      <c r="R157" s="9" t="str">
        <v/>
      </c>
      <c r="S157" s="9" t="str">
        <v/>
      </c>
      <c r="T157" s="9" t="str">
        <v/>
      </c>
      <c r="U157" s="9" t="str">
        <v/>
      </c>
      <c r="W157" s="25"/>
      <c r="X157" s="25"/>
      <c r="Y157" s="25"/>
      <c r="Z157" s="25"/>
      <c r="AA157" s="25"/>
      <c r="AH157" s="5"/>
      <c r="AI157" s="5"/>
      <c r="AO157" s="5"/>
    </row>
    <row r="158" spans="10:41">
      <c r="J158" s="9"/>
      <c r="K158" s="16"/>
      <c r="L158" s="16"/>
      <c r="M158" s="16"/>
      <c r="N158" s="16"/>
      <c r="O158" s="16"/>
      <c r="Q158" s="9" t="str">
        <v/>
      </c>
      <c r="R158" s="9" t="str">
        <v/>
      </c>
      <c r="S158" s="9" t="str">
        <v/>
      </c>
      <c r="T158" s="9" t="str">
        <v/>
      </c>
      <c r="U158" s="9" t="str">
        <v/>
      </c>
      <c r="W158" s="25"/>
      <c r="X158" s="25"/>
      <c r="Y158" s="25"/>
      <c r="Z158" s="25"/>
      <c r="AA158" s="25"/>
      <c r="AH158" s="5"/>
      <c r="AI158" s="5"/>
      <c r="AO158" s="5"/>
    </row>
    <row r="159" spans="10:41">
      <c r="J159" s="25"/>
      <c r="K159" s="16"/>
      <c r="L159" s="16"/>
      <c r="M159" s="16"/>
      <c r="N159" s="16"/>
      <c r="O159" s="16"/>
      <c r="Q159" s="9" t="str">
        <v/>
      </c>
      <c r="R159" s="9" t="str">
        <v/>
      </c>
      <c r="S159" s="9" t="str">
        <v/>
      </c>
      <c r="T159" s="9" t="str">
        <v/>
      </c>
      <c r="U159" s="9" t="str">
        <v/>
      </c>
      <c r="W159" s="25"/>
      <c r="X159" s="25"/>
      <c r="Y159" s="25"/>
      <c r="Z159" s="25"/>
      <c r="AA159" s="25"/>
      <c r="AH159" s="5"/>
      <c r="AI159" s="5"/>
      <c r="AO159" s="5"/>
    </row>
    <row r="160" spans="10:41">
      <c r="J160" s="9"/>
      <c r="K160" s="16"/>
      <c r="L160" s="16"/>
      <c r="M160" s="16"/>
      <c r="N160" s="16"/>
      <c r="O160" s="16"/>
      <c r="Q160" s="9" t="str">
        <v/>
      </c>
      <c r="R160" s="9" t="str">
        <v/>
      </c>
      <c r="S160" s="9" t="str">
        <v/>
      </c>
      <c r="T160" s="9" t="str">
        <v/>
      </c>
      <c r="U160" s="9" t="str">
        <v/>
      </c>
      <c r="W160" s="25"/>
      <c r="X160" s="25"/>
      <c r="Y160" s="25"/>
      <c r="Z160" s="25"/>
      <c r="AA160" s="25"/>
      <c r="AH160" s="5"/>
      <c r="AI160" s="5"/>
      <c r="AO160" s="5"/>
    </row>
    <row r="161" spans="10:41">
      <c r="J161" s="25"/>
      <c r="K161" s="16"/>
      <c r="L161" s="16"/>
      <c r="M161" s="16"/>
      <c r="N161" s="16"/>
      <c r="O161" s="16"/>
      <c r="Q161" s="9" t="str">
        <v/>
      </c>
      <c r="R161" s="9" t="str">
        <v/>
      </c>
      <c r="S161" s="9" t="str">
        <v/>
      </c>
      <c r="T161" s="9" t="str">
        <v/>
      </c>
      <c r="U161" s="9" t="str">
        <v/>
      </c>
      <c r="W161" s="25"/>
      <c r="X161" s="25"/>
      <c r="Y161" s="25"/>
      <c r="Z161" s="25"/>
      <c r="AA161" s="25"/>
      <c r="AH161" s="5"/>
      <c r="AI161" s="5"/>
      <c r="AO161" s="5"/>
    </row>
    <row r="162" spans="10:41">
      <c r="J162" s="9"/>
      <c r="K162" s="16"/>
      <c r="L162" s="16"/>
      <c r="M162" s="16"/>
      <c r="N162" s="16"/>
      <c r="O162" s="16"/>
      <c r="Q162" s="9" t="str">
        <v/>
      </c>
      <c r="R162" s="9" t="str">
        <v/>
      </c>
      <c r="S162" s="9" t="str">
        <v/>
      </c>
      <c r="T162" s="9" t="str">
        <v/>
      </c>
      <c r="U162" s="9" t="str">
        <v/>
      </c>
      <c r="W162" s="25"/>
      <c r="X162" s="25"/>
      <c r="Y162" s="25"/>
      <c r="Z162" s="25"/>
      <c r="AA162" s="25"/>
      <c r="AH162" s="5"/>
      <c r="AI162" s="5"/>
      <c r="AO162" s="5"/>
    </row>
    <row r="163" spans="10:41">
      <c r="J163" s="25"/>
      <c r="K163" s="16"/>
      <c r="L163" s="16"/>
      <c r="M163" s="16"/>
      <c r="N163" s="16"/>
      <c r="O163" s="16"/>
      <c r="Q163" s="9" t="str">
        <v/>
      </c>
      <c r="R163" s="9" t="str">
        <v/>
      </c>
      <c r="S163" s="9" t="str">
        <v/>
      </c>
      <c r="T163" s="9" t="str">
        <v/>
      </c>
      <c r="U163" s="9" t="str">
        <v/>
      </c>
      <c r="W163" s="25"/>
      <c r="X163" s="25"/>
      <c r="Y163" s="25"/>
      <c r="Z163" s="25"/>
      <c r="AA163" s="25"/>
      <c r="AH163" s="5"/>
      <c r="AI163" s="5"/>
      <c r="AO163" s="5"/>
    </row>
    <row r="164" spans="10:41">
      <c r="J164" s="9"/>
      <c r="K164" s="16"/>
      <c r="L164" s="16"/>
      <c r="M164" s="16"/>
      <c r="N164" s="16"/>
      <c r="O164" s="16"/>
      <c r="Q164" s="9" t="str">
        <v/>
      </c>
      <c r="R164" s="9" t="str">
        <v/>
      </c>
      <c r="S164" s="9" t="str">
        <v/>
      </c>
      <c r="T164" s="9" t="str">
        <v/>
      </c>
      <c r="U164" s="9" t="str">
        <v/>
      </c>
      <c r="W164" s="25"/>
      <c r="X164" s="25"/>
      <c r="Y164" s="25"/>
      <c r="Z164" s="25"/>
      <c r="AA164" s="25"/>
      <c r="AH164" s="5"/>
      <c r="AI164" s="5"/>
      <c r="AO164" s="5"/>
    </row>
    <row r="165" spans="10:41">
      <c r="J165" s="25"/>
      <c r="K165" s="16"/>
      <c r="L165" s="16"/>
      <c r="M165" s="16"/>
      <c r="N165" s="16"/>
      <c r="O165" s="16"/>
      <c r="Q165" s="9" t="str">
        <v/>
      </c>
      <c r="R165" s="9" t="str">
        <v/>
      </c>
      <c r="S165" s="9" t="str">
        <v/>
      </c>
      <c r="T165" s="9" t="str">
        <v/>
      </c>
      <c r="U165" s="9" t="str">
        <v/>
      </c>
      <c r="W165" s="25"/>
      <c r="X165" s="25"/>
      <c r="Y165" s="25"/>
      <c r="Z165" s="25"/>
      <c r="AA165" s="25"/>
      <c r="AH165" s="5"/>
      <c r="AI165" s="5"/>
      <c r="AO165" s="5"/>
    </row>
    <row r="166" spans="10:41">
      <c r="J166" s="9"/>
      <c r="K166" s="16"/>
      <c r="L166" s="16"/>
      <c r="M166" s="16"/>
      <c r="N166" s="16"/>
      <c r="O166" s="16"/>
      <c r="Q166" s="9" t="str">
        <v/>
      </c>
      <c r="R166" s="9" t="str">
        <v/>
      </c>
      <c r="S166" s="9" t="str">
        <v/>
      </c>
      <c r="T166" s="9" t="str">
        <v/>
      </c>
      <c r="U166" s="9" t="str">
        <v/>
      </c>
      <c r="W166" s="25"/>
      <c r="X166" s="25"/>
      <c r="Y166" s="25"/>
      <c r="Z166" s="25"/>
      <c r="AA166" s="25"/>
      <c r="AH166" s="5"/>
      <c r="AI166" s="5"/>
      <c r="AO166" s="5"/>
    </row>
    <row r="167" spans="10:41">
      <c r="J167" s="25"/>
      <c r="K167" s="16"/>
      <c r="L167" s="16"/>
      <c r="M167" s="16"/>
      <c r="N167" s="16"/>
      <c r="O167" s="16"/>
      <c r="Q167" s="9" t="str">
        <v/>
      </c>
      <c r="R167" s="9" t="str">
        <v/>
      </c>
      <c r="S167" s="9" t="str">
        <v/>
      </c>
      <c r="T167" s="9" t="str">
        <v/>
      </c>
      <c r="U167" s="9" t="str">
        <v/>
      </c>
      <c r="W167" s="25"/>
      <c r="X167" s="25"/>
      <c r="Y167" s="25"/>
      <c r="Z167" s="25"/>
      <c r="AA167" s="25"/>
      <c r="AH167" s="5"/>
      <c r="AI167" s="5"/>
      <c r="AO167" s="5"/>
    </row>
    <row r="168" spans="10:41">
      <c r="J168" s="9"/>
      <c r="K168" s="16"/>
      <c r="L168" s="16"/>
      <c r="M168" s="16"/>
      <c r="N168" s="16"/>
      <c r="O168" s="16"/>
      <c r="Q168" s="9" t="str">
        <v/>
      </c>
      <c r="R168" s="9" t="str">
        <v/>
      </c>
      <c r="S168" s="9" t="str">
        <v/>
      </c>
      <c r="T168" s="9" t="str">
        <v/>
      </c>
      <c r="U168" s="9" t="str">
        <v/>
      </c>
      <c r="W168" s="25"/>
      <c r="X168" s="25"/>
      <c r="Y168" s="25"/>
      <c r="Z168" s="25"/>
      <c r="AA168" s="25"/>
      <c r="AH168" s="5"/>
      <c r="AI168" s="5"/>
      <c r="AO168" s="5"/>
    </row>
    <row r="169" spans="10:41">
      <c r="J169" s="25"/>
      <c r="K169" s="16"/>
      <c r="L169" s="16"/>
      <c r="M169" s="16"/>
      <c r="N169" s="16"/>
      <c r="O169" s="16"/>
      <c r="Q169" s="9" t="str">
        <v/>
      </c>
      <c r="R169" s="9" t="str">
        <v/>
      </c>
      <c r="S169" s="9" t="str">
        <v/>
      </c>
      <c r="T169" s="9" t="str">
        <v/>
      </c>
      <c r="U169" s="9" t="str">
        <v/>
      </c>
      <c r="W169" s="25"/>
      <c r="X169" s="25"/>
      <c r="Y169" s="25"/>
      <c r="Z169" s="25"/>
      <c r="AA169" s="25"/>
      <c r="AH169" s="5"/>
      <c r="AI169" s="5"/>
      <c r="AO169" s="5"/>
    </row>
    <row r="170" spans="10:41">
      <c r="J170" s="9"/>
      <c r="K170" s="16"/>
      <c r="L170" s="16"/>
      <c r="M170" s="16"/>
      <c r="N170" s="16"/>
      <c r="O170" s="16"/>
      <c r="Q170" s="9" t="str">
        <v/>
      </c>
      <c r="R170" s="9" t="str">
        <v/>
      </c>
      <c r="S170" s="9" t="str">
        <v/>
      </c>
      <c r="T170" s="9" t="str">
        <v/>
      </c>
      <c r="U170" s="9" t="str">
        <v/>
      </c>
      <c r="W170" s="25"/>
      <c r="X170" s="25"/>
      <c r="Y170" s="25"/>
      <c r="Z170" s="25"/>
      <c r="AA170" s="25"/>
      <c r="AH170" s="5"/>
      <c r="AI170" s="5"/>
      <c r="AO170" s="5"/>
    </row>
    <row r="171" spans="10:41">
      <c r="J171" s="25"/>
      <c r="K171" s="16"/>
      <c r="L171" s="16"/>
      <c r="M171" s="16"/>
      <c r="N171" s="16"/>
      <c r="O171" s="16"/>
      <c r="Q171" s="9" t="str">
        <v/>
      </c>
      <c r="R171" s="9" t="str">
        <v/>
      </c>
      <c r="S171" s="9" t="str">
        <v/>
      </c>
      <c r="T171" s="9" t="str">
        <v/>
      </c>
      <c r="U171" s="9" t="str">
        <v/>
      </c>
      <c r="W171" s="25"/>
      <c r="X171" s="25"/>
      <c r="Y171" s="25"/>
      <c r="Z171" s="25"/>
      <c r="AA171" s="25"/>
      <c r="AH171" s="5"/>
      <c r="AI171" s="5"/>
      <c r="AO171" s="5"/>
    </row>
    <row r="172" spans="10:41">
      <c r="J172" s="9"/>
      <c r="K172" s="16"/>
      <c r="L172" s="16"/>
      <c r="M172" s="16"/>
      <c r="N172" s="16"/>
      <c r="O172" s="16"/>
      <c r="Q172" s="9" t="str">
        <v/>
      </c>
      <c r="R172" s="9" t="str">
        <v/>
      </c>
      <c r="S172" s="9" t="str">
        <v/>
      </c>
      <c r="T172" s="9" t="str">
        <v/>
      </c>
      <c r="U172" s="9" t="str">
        <v/>
      </c>
      <c r="W172" s="25"/>
      <c r="X172" s="25"/>
      <c r="Y172" s="25"/>
      <c r="Z172" s="25"/>
      <c r="AA172" s="25"/>
      <c r="AH172" s="5"/>
      <c r="AI172" s="5"/>
      <c r="AO172" s="5"/>
    </row>
    <row r="173" spans="10:41">
      <c r="J173" s="25"/>
      <c r="K173" s="16"/>
      <c r="L173" s="16"/>
      <c r="M173" s="16"/>
      <c r="N173" s="16"/>
      <c r="O173" s="16"/>
      <c r="Q173" s="9" t="str">
        <v/>
      </c>
      <c r="R173" s="9" t="str">
        <v/>
      </c>
      <c r="S173" s="9" t="str">
        <v/>
      </c>
      <c r="T173" s="9" t="str">
        <v/>
      </c>
      <c r="U173" s="9" t="str">
        <v/>
      </c>
      <c r="W173" s="25"/>
      <c r="X173" s="25"/>
      <c r="Y173" s="25"/>
      <c r="Z173" s="25"/>
      <c r="AA173" s="25"/>
      <c r="AH173" s="5"/>
      <c r="AI173" s="5"/>
      <c r="AO173" s="5"/>
    </row>
    <row r="174" spans="10:41">
      <c r="J174" s="9"/>
      <c r="K174" s="16"/>
      <c r="L174" s="16"/>
      <c r="M174" s="16"/>
      <c r="N174" s="16"/>
      <c r="O174" s="16"/>
      <c r="Q174" s="9" t="str">
        <v/>
      </c>
      <c r="R174" s="9" t="str">
        <v/>
      </c>
      <c r="S174" s="9" t="str">
        <v/>
      </c>
      <c r="T174" s="9" t="str">
        <v/>
      </c>
      <c r="U174" s="9" t="str">
        <v/>
      </c>
      <c r="W174" s="25"/>
      <c r="X174" s="25"/>
      <c r="Y174" s="25"/>
      <c r="Z174" s="25"/>
      <c r="AA174" s="25"/>
      <c r="AH174" s="5"/>
      <c r="AI174" s="5"/>
      <c r="AO174" s="5"/>
    </row>
    <row r="175" spans="10:41">
      <c r="J175" s="25"/>
      <c r="K175" s="16"/>
      <c r="L175" s="16"/>
      <c r="M175" s="16"/>
      <c r="N175" s="16"/>
      <c r="O175" s="16"/>
      <c r="Q175" s="9" t="str">
        <v/>
      </c>
      <c r="R175" s="9" t="str">
        <v/>
      </c>
      <c r="S175" s="9" t="str">
        <v/>
      </c>
      <c r="T175" s="9" t="str">
        <v/>
      </c>
      <c r="U175" s="9" t="str">
        <v/>
      </c>
      <c r="W175" s="25"/>
      <c r="X175" s="25"/>
      <c r="Y175" s="25"/>
      <c r="Z175" s="25"/>
      <c r="AA175" s="25"/>
      <c r="AH175" s="5"/>
      <c r="AI175" s="5"/>
      <c r="AO175" s="5"/>
    </row>
    <row r="176" spans="10:41">
      <c r="J176" s="9"/>
      <c r="K176" s="16"/>
      <c r="L176" s="16"/>
      <c r="M176" s="16"/>
      <c r="N176" s="16"/>
      <c r="O176" s="16"/>
      <c r="Q176" s="9" t="str">
        <v/>
      </c>
      <c r="R176" s="9" t="str">
        <v/>
      </c>
      <c r="S176" s="9" t="str">
        <v/>
      </c>
      <c r="T176" s="9" t="str">
        <v/>
      </c>
      <c r="U176" s="9" t="str">
        <v/>
      </c>
      <c r="W176" s="25"/>
      <c r="X176" s="25"/>
      <c r="Y176" s="25"/>
      <c r="Z176" s="25"/>
      <c r="AA176" s="25"/>
      <c r="AH176" s="5"/>
      <c r="AI176" s="5"/>
      <c r="AO176" s="5"/>
    </row>
    <row r="177" spans="10:41">
      <c r="J177" s="25"/>
      <c r="K177" s="16"/>
      <c r="L177" s="16"/>
      <c r="M177" s="16"/>
      <c r="N177" s="16"/>
      <c r="O177" s="16"/>
      <c r="Q177" s="9" t="str">
        <v/>
      </c>
      <c r="R177" s="9" t="str">
        <v/>
      </c>
      <c r="S177" s="9" t="str">
        <v/>
      </c>
      <c r="T177" s="9" t="str">
        <v/>
      </c>
      <c r="U177" s="9" t="str">
        <v/>
      </c>
      <c r="W177" s="25"/>
      <c r="X177" s="25"/>
      <c r="Y177" s="25"/>
      <c r="Z177" s="25"/>
      <c r="AA177" s="25"/>
      <c r="AH177" s="5"/>
      <c r="AI177" s="5"/>
      <c r="AO177" s="5"/>
    </row>
    <row r="178" spans="10:41">
      <c r="J178" s="9"/>
      <c r="K178" s="16"/>
      <c r="L178" s="16"/>
      <c r="M178" s="16"/>
      <c r="N178" s="16"/>
      <c r="O178" s="16"/>
      <c r="Q178" s="9" t="str">
        <v/>
      </c>
      <c r="R178" s="9" t="str">
        <v/>
      </c>
      <c r="S178" s="9" t="str">
        <v/>
      </c>
      <c r="T178" s="9" t="str">
        <v/>
      </c>
      <c r="U178" s="9" t="str">
        <v/>
      </c>
      <c r="W178" s="25"/>
      <c r="X178" s="25"/>
      <c r="Y178" s="25"/>
      <c r="Z178" s="25"/>
      <c r="AA178" s="25"/>
      <c r="AH178" s="5"/>
      <c r="AI178" s="5"/>
      <c r="AO178" s="5"/>
    </row>
    <row r="179" spans="10:41">
      <c r="J179" s="25"/>
      <c r="K179" s="16"/>
      <c r="L179" s="16"/>
      <c r="M179" s="16"/>
      <c r="N179" s="16"/>
      <c r="O179" s="16"/>
      <c r="Q179" s="9" t="str">
        <v/>
      </c>
      <c r="R179" s="9" t="str">
        <v/>
      </c>
      <c r="S179" s="9" t="str">
        <v/>
      </c>
      <c r="T179" s="9" t="str">
        <v/>
      </c>
      <c r="U179" s="9" t="str">
        <v/>
      </c>
      <c r="W179" s="25"/>
      <c r="X179" s="25"/>
      <c r="Y179" s="25"/>
      <c r="Z179" s="25"/>
      <c r="AA179" s="25"/>
      <c r="AH179" s="5"/>
      <c r="AI179" s="5"/>
      <c r="AO179" s="5"/>
    </row>
    <row r="180" spans="10:41">
      <c r="J180" s="9"/>
      <c r="K180" s="16"/>
      <c r="L180" s="16"/>
      <c r="M180" s="16"/>
      <c r="N180" s="16"/>
      <c r="O180" s="16"/>
      <c r="Q180" s="9" t="str">
        <v/>
      </c>
      <c r="R180" s="9" t="str">
        <v/>
      </c>
      <c r="S180" s="9" t="str">
        <v/>
      </c>
      <c r="T180" s="9" t="str">
        <v/>
      </c>
      <c r="U180" s="9" t="str">
        <v/>
      </c>
      <c r="W180" s="25"/>
      <c r="X180" s="25"/>
      <c r="Y180" s="25"/>
      <c r="Z180" s="25"/>
      <c r="AA180" s="25"/>
      <c r="AH180" s="5"/>
      <c r="AI180" s="5"/>
      <c r="AO180" s="5"/>
    </row>
    <row r="181" spans="10:41">
      <c r="J181" s="25"/>
      <c r="K181" s="16"/>
      <c r="L181" s="16"/>
      <c r="M181" s="16"/>
      <c r="N181" s="16"/>
      <c r="O181" s="16"/>
      <c r="Q181" s="9" t="str">
        <v/>
      </c>
      <c r="R181" s="9" t="str">
        <v/>
      </c>
      <c r="S181" s="9" t="str">
        <v/>
      </c>
      <c r="T181" s="9" t="str">
        <v/>
      </c>
      <c r="U181" s="9" t="str">
        <v/>
      </c>
      <c r="W181" s="25"/>
      <c r="X181" s="25"/>
      <c r="Y181" s="25"/>
      <c r="Z181" s="25"/>
      <c r="AA181" s="25"/>
      <c r="AH181" s="5"/>
      <c r="AI181" s="5"/>
      <c r="AO181" s="5"/>
    </row>
    <row r="182" spans="10:41">
      <c r="J182" s="9"/>
      <c r="K182" s="16"/>
      <c r="L182" s="16"/>
      <c r="M182" s="16"/>
      <c r="N182" s="16"/>
      <c r="O182" s="16"/>
      <c r="Q182" s="9" t="str">
        <v/>
      </c>
      <c r="R182" s="9" t="str">
        <v/>
      </c>
      <c r="S182" s="9" t="str">
        <v/>
      </c>
      <c r="T182" s="9" t="str">
        <v/>
      </c>
      <c r="U182" s="9" t="str">
        <v/>
      </c>
      <c r="W182" s="25"/>
      <c r="X182" s="25"/>
      <c r="Y182" s="25"/>
      <c r="Z182" s="25"/>
      <c r="AA182" s="25"/>
      <c r="AH182" s="5"/>
      <c r="AI182" s="5"/>
      <c r="AO182" s="5"/>
    </row>
    <row r="183" spans="10:41">
      <c r="J183" s="25"/>
      <c r="K183" s="16"/>
      <c r="L183" s="16"/>
      <c r="M183" s="16"/>
      <c r="N183" s="16"/>
      <c r="O183" s="16"/>
      <c r="Q183" s="9" t="str">
        <v/>
      </c>
      <c r="R183" s="9" t="str">
        <v/>
      </c>
      <c r="S183" s="9" t="str">
        <v/>
      </c>
      <c r="T183" s="9" t="str">
        <v/>
      </c>
      <c r="U183" s="9" t="str">
        <v/>
      </c>
      <c r="W183" s="25"/>
      <c r="X183" s="25"/>
      <c r="Y183" s="25"/>
      <c r="Z183" s="25"/>
      <c r="AA183" s="25"/>
      <c r="AH183" s="5"/>
      <c r="AI183" s="5"/>
      <c r="AO183" s="5"/>
    </row>
    <row r="184" spans="10:41">
      <c r="J184" s="9"/>
      <c r="K184" s="16"/>
      <c r="L184" s="16"/>
      <c r="M184" s="16"/>
      <c r="N184" s="16"/>
      <c r="O184" s="16"/>
      <c r="Q184" s="9" t="str">
        <v/>
      </c>
      <c r="R184" s="9" t="str">
        <v/>
      </c>
      <c r="S184" s="9" t="str">
        <v/>
      </c>
      <c r="T184" s="9" t="str">
        <v/>
      </c>
      <c r="U184" s="9" t="str">
        <v/>
      </c>
      <c r="W184" s="25"/>
      <c r="X184" s="25"/>
      <c r="Y184" s="25"/>
      <c r="Z184" s="25"/>
      <c r="AA184" s="25"/>
      <c r="AH184" s="5"/>
      <c r="AI184" s="5"/>
      <c r="AO184" s="5"/>
    </row>
    <row r="185" spans="10:41">
      <c r="J185" s="25"/>
      <c r="K185" s="16"/>
      <c r="L185" s="16"/>
      <c r="M185" s="16"/>
      <c r="N185" s="16"/>
      <c r="O185" s="16"/>
      <c r="Q185" s="9" t="str">
        <v/>
      </c>
      <c r="R185" s="9" t="str">
        <v/>
      </c>
      <c r="S185" s="9" t="str">
        <v/>
      </c>
      <c r="T185" s="9" t="str">
        <v/>
      </c>
      <c r="U185" s="9" t="str">
        <v/>
      </c>
      <c r="W185" s="25"/>
      <c r="X185" s="25"/>
      <c r="Y185" s="25"/>
      <c r="Z185" s="25"/>
      <c r="AA185" s="25"/>
      <c r="AH185" s="5"/>
      <c r="AI185" s="5"/>
      <c r="AO185" s="5"/>
    </row>
    <row r="186" spans="10:41">
      <c r="J186" s="9"/>
      <c r="K186" s="16"/>
      <c r="L186" s="16"/>
      <c r="M186" s="16"/>
      <c r="N186" s="16"/>
      <c r="O186" s="16"/>
      <c r="Q186" s="9" t="str">
        <v/>
      </c>
      <c r="R186" s="9" t="str">
        <v/>
      </c>
      <c r="S186" s="9" t="str">
        <v/>
      </c>
      <c r="T186" s="9" t="str">
        <v/>
      </c>
      <c r="U186" s="9" t="str">
        <v/>
      </c>
      <c r="W186" s="25"/>
      <c r="X186" s="25"/>
      <c r="Y186" s="25"/>
      <c r="Z186" s="25"/>
      <c r="AA186" s="25"/>
      <c r="AH186" s="5"/>
      <c r="AI186" s="5"/>
      <c r="AO186" s="5"/>
    </row>
    <row r="187" spans="10:41">
      <c r="J187" s="25"/>
      <c r="K187" s="16"/>
      <c r="L187" s="16"/>
      <c r="M187" s="16"/>
      <c r="N187" s="16"/>
      <c r="O187" s="16"/>
      <c r="Q187" s="9" t="str">
        <v/>
      </c>
      <c r="R187" s="9" t="str">
        <v/>
      </c>
      <c r="S187" s="9" t="str">
        <v/>
      </c>
      <c r="T187" s="9" t="str">
        <v/>
      </c>
      <c r="U187" s="9" t="str">
        <v/>
      </c>
      <c r="W187" s="25"/>
      <c r="X187" s="25"/>
      <c r="Y187" s="25"/>
      <c r="Z187" s="25"/>
      <c r="AA187" s="25"/>
      <c r="AH187" s="5"/>
      <c r="AI187" s="5"/>
      <c r="AO187" s="5"/>
    </row>
    <row r="188" spans="10:41">
      <c r="J188" s="9"/>
      <c r="K188" s="16"/>
      <c r="L188" s="16"/>
      <c r="M188" s="16"/>
      <c r="N188" s="16"/>
      <c r="O188" s="16"/>
      <c r="Q188" s="9" t="str">
        <v/>
      </c>
      <c r="R188" s="9" t="str">
        <v/>
      </c>
      <c r="S188" s="9" t="str">
        <v/>
      </c>
      <c r="T188" s="9" t="str">
        <v/>
      </c>
      <c r="U188" s="9" t="str">
        <v/>
      </c>
      <c r="W188" s="25"/>
      <c r="X188" s="25"/>
      <c r="Y188" s="25"/>
      <c r="Z188" s="25"/>
      <c r="AA188" s="25"/>
      <c r="AH188" s="5"/>
      <c r="AI188" s="5"/>
      <c r="AO188" s="5"/>
    </row>
    <row r="189" spans="10:41">
      <c r="J189" s="25"/>
      <c r="K189" s="16"/>
      <c r="L189" s="16"/>
      <c r="M189" s="16"/>
      <c r="N189" s="16"/>
      <c r="O189" s="16"/>
      <c r="Q189" s="9" t="str">
        <v/>
      </c>
      <c r="R189" s="9" t="str">
        <v/>
      </c>
      <c r="S189" s="9" t="str">
        <v/>
      </c>
      <c r="T189" s="9" t="str">
        <v/>
      </c>
      <c r="U189" s="9" t="str">
        <v/>
      </c>
      <c r="W189" s="25"/>
      <c r="X189" s="25"/>
      <c r="Y189" s="25"/>
      <c r="Z189" s="25"/>
      <c r="AA189" s="25"/>
      <c r="AH189" s="5"/>
      <c r="AI189" s="5"/>
      <c r="AO189" s="5"/>
    </row>
    <row r="190" spans="10:41">
      <c r="J190" s="9"/>
      <c r="K190" s="16"/>
      <c r="L190" s="16"/>
      <c r="M190" s="16"/>
      <c r="N190" s="16"/>
      <c r="O190" s="16"/>
      <c r="Q190" s="9" t="str">
        <v/>
      </c>
      <c r="R190" s="9" t="str">
        <v/>
      </c>
      <c r="S190" s="9" t="str">
        <v/>
      </c>
      <c r="T190" s="9" t="str">
        <v/>
      </c>
      <c r="U190" s="9" t="str">
        <v/>
      </c>
      <c r="W190" s="25"/>
      <c r="X190" s="25"/>
      <c r="Y190" s="25"/>
      <c r="Z190" s="25"/>
      <c r="AA190" s="25"/>
      <c r="AH190" s="5"/>
      <c r="AI190" s="5"/>
      <c r="AO190" s="5"/>
    </row>
    <row r="191" spans="10:41">
      <c r="J191" s="25"/>
      <c r="K191" s="16"/>
      <c r="L191" s="16"/>
      <c r="M191" s="16"/>
      <c r="N191" s="16"/>
      <c r="O191" s="16"/>
      <c r="Q191" s="9" t="str">
        <v/>
      </c>
      <c r="R191" s="9" t="str">
        <v/>
      </c>
      <c r="S191" s="9" t="str">
        <v/>
      </c>
      <c r="T191" s="9" t="str">
        <v/>
      </c>
      <c r="U191" s="9" t="str">
        <v/>
      </c>
      <c r="W191" s="25"/>
      <c r="X191" s="25"/>
      <c r="Y191" s="25"/>
      <c r="Z191" s="25"/>
      <c r="AA191" s="25"/>
      <c r="AH191" s="5"/>
      <c r="AI191" s="5"/>
      <c r="AO191" s="5"/>
    </row>
    <row r="192" spans="10:41">
      <c r="J192" s="9"/>
      <c r="K192" s="16"/>
      <c r="L192" s="16"/>
      <c r="M192" s="16"/>
      <c r="N192" s="16"/>
      <c r="O192" s="16"/>
      <c r="Q192" s="9" t="str">
        <v/>
      </c>
      <c r="R192" s="9" t="str">
        <v/>
      </c>
      <c r="S192" s="9" t="str">
        <v/>
      </c>
      <c r="T192" s="9" t="str">
        <v/>
      </c>
      <c r="U192" s="9" t="str">
        <v/>
      </c>
      <c r="W192" s="25"/>
      <c r="X192" s="25"/>
      <c r="Y192" s="25"/>
      <c r="Z192" s="25"/>
      <c r="AA192" s="25"/>
      <c r="AH192" s="5"/>
      <c r="AI192" s="5"/>
      <c r="AO192" s="5"/>
    </row>
    <row r="193" spans="10:41">
      <c r="J193" s="25"/>
      <c r="K193" s="16"/>
      <c r="L193" s="16"/>
      <c r="M193" s="16"/>
      <c r="N193" s="16"/>
      <c r="O193" s="16"/>
      <c r="Q193" s="9" t="str">
        <v/>
      </c>
      <c r="R193" s="9" t="str">
        <v/>
      </c>
      <c r="S193" s="9" t="str">
        <v/>
      </c>
      <c r="T193" s="9" t="str">
        <v/>
      </c>
      <c r="U193" s="9" t="str">
        <v/>
      </c>
      <c r="W193" s="25"/>
      <c r="X193" s="25"/>
      <c r="Y193" s="25"/>
      <c r="Z193" s="25"/>
      <c r="AA193" s="25"/>
      <c r="AH193" s="5"/>
      <c r="AI193" s="5"/>
      <c r="AO193" s="5"/>
    </row>
    <row r="194" spans="10:41">
      <c r="J194" s="9"/>
      <c r="K194" s="16"/>
      <c r="L194" s="16"/>
      <c r="M194" s="16"/>
      <c r="N194" s="16"/>
      <c r="O194" s="16"/>
      <c r="Q194" s="9" t="str">
        <v/>
      </c>
      <c r="R194" s="9" t="str">
        <v/>
      </c>
      <c r="S194" s="9" t="str">
        <v/>
      </c>
      <c r="T194" s="9" t="str">
        <v/>
      </c>
      <c r="U194" s="9" t="str">
        <v/>
      </c>
      <c r="W194" s="25"/>
      <c r="X194" s="25"/>
      <c r="Y194" s="25"/>
      <c r="Z194" s="25"/>
      <c r="AA194" s="25"/>
      <c r="AH194" s="5"/>
      <c r="AI194" s="5"/>
      <c r="AO194" s="5"/>
    </row>
    <row r="195" spans="10:41">
      <c r="J195" s="25"/>
      <c r="K195" s="16"/>
      <c r="L195" s="16"/>
      <c r="M195" s="16"/>
      <c r="N195" s="16"/>
      <c r="O195" s="16"/>
      <c r="Q195" s="9" t="str">
        <v/>
      </c>
      <c r="R195" s="9" t="str">
        <v/>
      </c>
      <c r="S195" s="9" t="str">
        <v/>
      </c>
      <c r="T195" s="9" t="str">
        <v/>
      </c>
      <c r="U195" s="9" t="str">
        <v/>
      </c>
      <c r="W195" s="25"/>
      <c r="X195" s="25"/>
      <c r="Y195" s="25"/>
      <c r="Z195" s="25"/>
      <c r="AA195" s="25"/>
      <c r="AH195" s="5"/>
      <c r="AI195" s="5"/>
      <c r="AO195" s="5"/>
    </row>
    <row r="196" spans="10:41">
      <c r="J196" s="9"/>
      <c r="K196" s="16"/>
      <c r="L196" s="16"/>
      <c r="M196" s="16"/>
      <c r="N196" s="16"/>
      <c r="O196" s="16"/>
      <c r="Q196" s="9" t="str">
        <v/>
      </c>
      <c r="R196" s="9" t="str">
        <v/>
      </c>
      <c r="S196" s="9" t="str">
        <v/>
      </c>
      <c r="T196" s="9" t="str">
        <v/>
      </c>
      <c r="U196" s="9" t="str">
        <v/>
      </c>
      <c r="W196" s="25"/>
      <c r="X196" s="25"/>
      <c r="Y196" s="25"/>
      <c r="Z196" s="25"/>
      <c r="AA196" s="25"/>
      <c r="AH196" s="5"/>
      <c r="AI196" s="5"/>
      <c r="AO196" s="5"/>
    </row>
    <row r="197" spans="10:41">
      <c r="J197" s="25"/>
      <c r="K197" s="16"/>
      <c r="L197" s="16"/>
      <c r="M197" s="16"/>
      <c r="N197" s="16"/>
      <c r="O197" s="16"/>
      <c r="Q197" s="9" t="str">
        <v/>
      </c>
      <c r="R197" s="9" t="str">
        <v/>
      </c>
      <c r="S197" s="9" t="str">
        <v/>
      </c>
      <c r="T197" s="9" t="str">
        <v/>
      </c>
      <c r="U197" s="9" t="str">
        <v/>
      </c>
      <c r="W197" s="25"/>
      <c r="X197" s="25"/>
      <c r="Y197" s="25"/>
      <c r="Z197" s="25"/>
      <c r="AA197" s="25"/>
      <c r="AH197" s="5"/>
      <c r="AI197" s="5"/>
      <c r="AO197" s="5"/>
    </row>
    <row r="198" spans="10:41">
      <c r="J198" s="9"/>
      <c r="K198" s="16"/>
      <c r="L198" s="16"/>
      <c r="M198" s="16"/>
      <c r="N198" s="16"/>
      <c r="O198" s="16"/>
      <c r="Q198" s="9" t="str">
        <v/>
      </c>
      <c r="R198" s="9" t="str">
        <v/>
      </c>
      <c r="S198" s="9" t="str">
        <v/>
      </c>
      <c r="T198" s="9" t="str">
        <v/>
      </c>
      <c r="U198" s="9" t="str">
        <v/>
      </c>
      <c r="W198" s="25"/>
      <c r="X198" s="25"/>
      <c r="Y198" s="25"/>
      <c r="Z198" s="25"/>
      <c r="AA198" s="25"/>
      <c r="AH198" s="5"/>
      <c r="AI198" s="5"/>
      <c r="AO198" s="5"/>
    </row>
    <row r="199" spans="10:41">
      <c r="J199" s="25"/>
      <c r="K199" s="16"/>
      <c r="L199" s="16"/>
      <c r="M199" s="16"/>
      <c r="N199" s="16"/>
      <c r="O199" s="16"/>
      <c r="Q199" s="9" t="str">
        <v/>
      </c>
      <c r="R199" s="9" t="str">
        <v/>
      </c>
      <c r="S199" s="9" t="str">
        <v/>
      </c>
      <c r="T199" s="9" t="str">
        <v/>
      </c>
      <c r="U199" s="9" t="str">
        <v/>
      </c>
      <c r="W199" s="25"/>
      <c r="X199" s="25"/>
      <c r="Y199" s="25"/>
      <c r="Z199" s="25"/>
      <c r="AA199" s="25"/>
      <c r="AH199" s="5"/>
      <c r="AI199" s="5"/>
      <c r="AO199" s="5"/>
    </row>
    <row r="200" spans="10:41">
      <c r="J200" s="9"/>
      <c r="K200" s="16"/>
      <c r="L200" s="16"/>
      <c r="M200" s="16"/>
      <c r="N200" s="16"/>
      <c r="O200" s="16"/>
      <c r="Q200" s="9" t="str">
        <v/>
      </c>
      <c r="R200" s="9" t="str">
        <v/>
      </c>
      <c r="S200" s="9" t="str">
        <v/>
      </c>
      <c r="T200" s="9" t="str">
        <v/>
      </c>
      <c r="U200" s="9" t="str">
        <v/>
      </c>
      <c r="W200" s="25"/>
      <c r="X200" s="25"/>
      <c r="Y200" s="25"/>
      <c r="Z200" s="25"/>
      <c r="AA200" s="25"/>
      <c r="AH200" s="5"/>
      <c r="AI200" s="5"/>
      <c r="AO200" s="5"/>
    </row>
    <row r="201" spans="10:41">
      <c r="J201" s="25"/>
      <c r="K201" s="16"/>
      <c r="L201" s="16"/>
      <c r="M201" s="16"/>
      <c r="N201" s="16"/>
      <c r="O201" s="16"/>
      <c r="Q201" s="9" t="str">
        <v/>
      </c>
      <c r="R201" s="9" t="str">
        <v/>
      </c>
      <c r="S201" s="9" t="str">
        <v/>
      </c>
      <c r="T201" s="9" t="str">
        <v/>
      </c>
      <c r="U201" s="9" t="str">
        <v/>
      </c>
      <c r="W201" s="25"/>
      <c r="X201" s="25"/>
      <c r="Y201" s="25"/>
      <c r="Z201" s="25"/>
      <c r="AA201" s="25"/>
      <c r="AH201" s="5"/>
      <c r="AI201" s="5"/>
      <c r="AO201" s="5"/>
    </row>
    <row r="202" spans="10:41">
      <c r="J202" s="9"/>
      <c r="K202" s="16"/>
      <c r="L202" s="16"/>
      <c r="M202" s="16"/>
      <c r="N202" s="16"/>
      <c r="O202" s="16"/>
      <c r="Q202" s="9" t="str">
        <v/>
      </c>
      <c r="R202" s="9" t="str">
        <v/>
      </c>
      <c r="S202" s="9" t="str">
        <v/>
      </c>
      <c r="T202" s="9" t="str">
        <v/>
      </c>
      <c r="U202" s="9" t="str">
        <v/>
      </c>
      <c r="W202" s="25"/>
      <c r="X202" s="25"/>
      <c r="Y202" s="25"/>
      <c r="Z202" s="25"/>
      <c r="AA202" s="25"/>
      <c r="AH202" s="5"/>
      <c r="AI202" s="5"/>
      <c r="AO202" s="5"/>
    </row>
    <row r="203" spans="10:41">
      <c r="J203" s="25"/>
      <c r="K203" s="16"/>
      <c r="L203" s="16"/>
      <c r="M203" s="16"/>
      <c r="N203" s="16"/>
      <c r="O203" s="16"/>
      <c r="Q203" s="9" t="str">
        <v/>
      </c>
      <c r="R203" s="9" t="str">
        <v/>
      </c>
      <c r="S203" s="9" t="str">
        <v/>
      </c>
      <c r="T203" s="9" t="str">
        <v/>
      </c>
      <c r="U203" s="9" t="str">
        <v/>
      </c>
      <c r="W203" s="25"/>
      <c r="X203" s="25"/>
      <c r="Y203" s="25"/>
      <c r="Z203" s="25"/>
      <c r="AA203" s="25"/>
      <c r="AH203" s="5"/>
      <c r="AI203" s="5"/>
      <c r="AO203" s="5"/>
    </row>
    <row r="204" spans="10:41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5" priority="10">
      <formula>_xlfn.LET(_xlpm.x, W4, AND(NOT(_xlfn.ISFORMULA(_xlpm.x)), _xlpm.x&lt;&gt;""))</formula>
    </cfRule>
  </conditionalFormatting>
  <conditionalFormatting sqref="W4:AA203">
    <cfRule type="expression" dxfId="4" priority="5">
      <formula>_xlfn.LET(_xlpm.x, W4, AND(NOT(_xlfn.ISFORMULA(_xlpm.x)), _xlpm.x&lt;&gt;""))</formula>
    </cfRule>
  </conditionalFormatting>
  <conditionalFormatting sqref="C27:G46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{815CACEB-81C1-4D3C-8A22-5A7A842D468F}</x14:id>
        </ext>
      </extLst>
    </cfRule>
  </conditionalFormatting>
  <conditionalFormatting sqref="K1:O1048576">
    <cfRule type="cellIs" dxfId="3" priority="1" operator="equal">
      <formula>"C1"</formula>
    </cfRule>
    <cfRule type="cellIs" dxfId="2" priority="2" operator="between">
      <formula>"G1"</formula>
      <formula>"G5"</formula>
    </cfRule>
    <cfRule type="cellIs" dxfId="1" priority="3" operator="between">
      <formula>"GA"</formula>
      <formula>"GJ"</formula>
    </cfRule>
    <cfRule type="cellIs" dxfId="0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5CACEB-81C1-4D3C-8A22-5A7A842D46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C27:G46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Overview</vt:lpstr>
      <vt:lpstr>Description</vt:lpstr>
      <vt:lpstr>Parameter</vt:lpstr>
      <vt:lpstr>Multiplier_Weight</vt:lpstr>
      <vt:lpstr>工作表2</vt:lpstr>
      <vt:lpstr>Multiplier_Weight_Newbie</vt:lpstr>
      <vt:lpstr>Multiplier_Weight_Oldhand</vt:lpstr>
      <vt:lpstr>工作表1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2026-05-14T01:44:27Z</dcterms:modified>
</cp:coreProperties>
</file>