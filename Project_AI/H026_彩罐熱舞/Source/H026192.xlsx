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F73A202F-E615-428A-806B-63C4DBC6BC11}" xr6:coauthVersionLast="47" xr6:coauthVersionMax="47" xr10:uidLastSave="{00000000-0000-0000-0000-000000000000}"/>
  <bookViews>
    <workbookView xWindow="-26370" yWindow="1530" windowWidth="17280" windowHeight="8880" tabRatio="856" activeTab="9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AO74" i="13" l="1"/>
  <c r="AN74" i="13"/>
  <c r="AM74" i="13"/>
  <c r="AL74" i="13"/>
  <c r="AK74" i="13"/>
  <c r="AJ54" i="13" a="1"/>
  <c r="AJ54" i="13" s="1"/>
  <c r="AO50" i="13"/>
  <c r="AN50" i="13"/>
  <c r="AM50" i="13"/>
  <c r="AL50" i="13"/>
  <c r="AK50" i="13"/>
  <c r="AJ30" i="13" a="1"/>
  <c r="AJ30" i="13" s="1"/>
  <c r="AO26" i="13"/>
  <c r="AN26" i="13"/>
  <c r="AM26" i="13"/>
  <c r="AL26" i="13"/>
  <c r="AK26" i="13"/>
  <c r="AJ6" i="13" a="1"/>
  <c r="AJ6" i="13" s="1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F15" i="71" l="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C6" i="13" a="1"/>
  <c r="AC6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<sst xmlns="http://schemas.openxmlformats.org/spreadsheetml/2006/main" count="7489" uniqueCount="218">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</sst>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0" fontId="19" fillId="44" borderId="15" xfId="0" applyFont="1" applyFill="1" applyBorder="1"/>
    <xf numFmtId="2" fontId="19" fillId="0" borderId="0" xfId="0" applyNumberFormat="1" applyFont="1"/>
    <xf numFmtId="0" fontId="19" fillId="44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  <sheetName val="H026192_0013"/>
    </sheetNames>
    <sheetDataSet>
      <sheetData sheetId="0">
        <row r="3">
          <cell r="B3" t="str">
            <v>0.0.1.3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10000</v>
          </cell>
          <cell r="K5"/>
          <cell r="L5">
            <v>1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3400</v>
          </cell>
          <cell r="U5">
            <v>1200</v>
          </cell>
          <cell r="V5">
            <v>2400</v>
          </cell>
          <cell r="W5">
            <v>500</v>
          </cell>
          <cell r="X5">
            <v>200</v>
          </cell>
          <cell r="Y5">
            <v>200</v>
          </cell>
          <cell r="Z5">
            <v>1200</v>
          </cell>
          <cell r="AA5">
            <v>900</v>
          </cell>
          <cell r="AB5">
            <v>31.549999999999997</v>
          </cell>
          <cell r="AC5" t="str">
            <v>BG_Symbol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0</v>
          </cell>
          <cell r="K6"/>
          <cell r="L6">
            <v>0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4450</v>
          </cell>
          <cell r="U6">
            <v>600</v>
          </cell>
          <cell r="V6">
            <v>2400</v>
          </cell>
          <cell r="W6">
            <v>250</v>
          </cell>
          <cell r="X6">
            <v>100</v>
          </cell>
          <cell r="Y6">
            <v>100</v>
          </cell>
          <cell r="Z6">
            <v>1200</v>
          </cell>
          <cell r="AA6">
            <v>900</v>
          </cell>
          <cell r="AB6">
            <v>30.224999999999998</v>
          </cell>
          <cell r="AC6" t="str">
            <v>BG_Symbol (2)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0</v>
          </cell>
          <cell r="K7"/>
          <cell r="L7">
            <v>0</v>
          </cell>
          <cell r="N7" t="str">
            <v>BG_Symbol (3)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10000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10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L8"/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3900</v>
          </cell>
          <cell r="U8">
            <v>1500</v>
          </cell>
          <cell r="V8">
            <v>2500</v>
          </cell>
          <cell r="W8">
            <v>100</v>
          </cell>
          <cell r="X8">
            <v>100</v>
          </cell>
          <cell r="Y8">
            <v>100</v>
          </cell>
          <cell r="Z8">
            <v>1000</v>
          </cell>
          <cell r="AA8">
            <v>800</v>
          </cell>
          <cell r="AB8">
            <v>28.25</v>
          </cell>
          <cell r="AC8" t="str">
            <v>FG_Symbol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L9"/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3900</v>
          </cell>
          <cell r="U9">
            <v>1500</v>
          </cell>
          <cell r="V9">
            <v>2500</v>
          </cell>
          <cell r="W9">
            <v>100</v>
          </cell>
          <cell r="X9">
            <v>100</v>
          </cell>
          <cell r="Y9">
            <v>100</v>
          </cell>
          <cell r="Z9">
            <v>1000</v>
          </cell>
          <cell r="AA9">
            <v>800</v>
          </cell>
          <cell r="AB9">
            <v>28.25</v>
          </cell>
          <cell r="AC9" t="str">
            <v>FG_Symbol (2)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L10"/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3900</v>
          </cell>
          <cell r="U10">
            <v>1500</v>
          </cell>
          <cell r="V10">
            <v>2500</v>
          </cell>
          <cell r="W10">
            <v>100</v>
          </cell>
          <cell r="X10">
            <v>100</v>
          </cell>
          <cell r="Y10">
            <v>100</v>
          </cell>
          <cell r="Z10">
            <v>1000</v>
          </cell>
          <cell r="AA10">
            <v>800</v>
          </cell>
          <cell r="AB10">
            <v>28.25</v>
          </cell>
          <cell r="AC10" t="str">
            <v>FG_Symbol (3)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10000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10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K12"/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K13"/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K14"/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L15"/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L16"/>
          <cell r="N16" t="str">
            <v>BG_Symbol</v>
          </cell>
          <cell r="O16">
            <v>10000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D16"/>
          <cell r="AE16"/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L17"/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  <cell r="AD17"/>
          <cell r="AE17"/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8100</v>
          </cell>
          <cell r="P18">
            <v>800</v>
          </cell>
          <cell r="Q18">
            <v>700</v>
          </cell>
          <cell r="R18">
            <v>400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0.57000000000000006</v>
          </cell>
          <cell r="AD18"/>
          <cell r="AE18"/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K19"/>
          <cell r="L19">
            <v>1</v>
          </cell>
          <cell r="N19" t="str">
            <v>FG_Symbol</v>
          </cell>
          <cell r="O19">
            <v>0</v>
          </cell>
          <cell r="P19">
            <v>6440</v>
          </cell>
          <cell r="Q19">
            <v>2600</v>
          </cell>
          <cell r="R19">
            <v>660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2.6379999999999999</v>
          </cell>
          <cell r="AD19"/>
          <cell r="AE19"/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K20"/>
          <cell r="L20">
            <v>0</v>
          </cell>
          <cell r="N20" t="str">
            <v>FG_Symbol (2)</v>
          </cell>
          <cell r="O20">
            <v>0</v>
          </cell>
          <cell r="P20">
            <v>6440</v>
          </cell>
          <cell r="Q20">
            <v>2600</v>
          </cell>
          <cell r="R20">
            <v>660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2.6379999999999999</v>
          </cell>
          <cell r="AD20"/>
          <cell r="AE20"/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K21"/>
          <cell r="L21">
            <v>0</v>
          </cell>
          <cell r="N21" t="str">
            <v>FG_Symbol (3)</v>
          </cell>
          <cell r="O21">
            <v>0</v>
          </cell>
          <cell r="P21">
            <v>6440</v>
          </cell>
          <cell r="Q21">
            <v>2600</v>
          </cell>
          <cell r="R21">
            <v>660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2.6379999999999999</v>
          </cell>
          <cell r="AD21"/>
          <cell r="AE21"/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8100</v>
          </cell>
          <cell r="P22">
            <v>800</v>
          </cell>
          <cell r="Q22">
            <v>700</v>
          </cell>
          <cell r="R22">
            <v>400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0.57000000000000006</v>
          </cell>
          <cell r="AD22"/>
          <cell r="AE22"/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10000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D27"/>
          <cell r="AE27"/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  <cell r="AD28"/>
          <cell r="AE28"/>
        </row>
        <row r="29">
          <cell r="I29">
            <v>5</v>
          </cell>
          <cell r="N29" t="str">
            <v>BG_Symbol (3)</v>
          </cell>
          <cell r="O29">
            <v>8100</v>
          </cell>
          <cell r="P29">
            <v>800</v>
          </cell>
          <cell r="Q29">
            <v>700</v>
          </cell>
          <cell r="R29">
            <v>400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0.57000000000000006</v>
          </cell>
          <cell r="AD29"/>
          <cell r="AE29"/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7100</v>
          </cell>
          <cell r="Q30">
            <v>2500</v>
          </cell>
          <cell r="R30">
            <v>300</v>
          </cell>
          <cell r="S30">
            <v>100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</v>
          </cell>
          <cell r="AD30"/>
          <cell r="AE30"/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7100</v>
          </cell>
          <cell r="Q31">
            <v>2500</v>
          </cell>
          <cell r="R31">
            <v>300</v>
          </cell>
          <cell r="S31">
            <v>100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</v>
          </cell>
          <cell r="AD31"/>
          <cell r="AE31"/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7100</v>
          </cell>
          <cell r="Q32">
            <v>2500</v>
          </cell>
          <cell r="R32">
            <v>300</v>
          </cell>
          <cell r="S32">
            <v>100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</v>
          </cell>
          <cell r="AD32"/>
          <cell r="AE32"/>
        </row>
        <row r="33">
          <cell r="I33">
            <v>20</v>
          </cell>
          <cell r="N33" t="str">
            <v>BF_Symbol</v>
          </cell>
          <cell r="O33">
            <v>8100</v>
          </cell>
          <cell r="P33">
            <v>800</v>
          </cell>
          <cell r="Q33">
            <v>700</v>
          </cell>
          <cell r="R33">
            <v>400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0.57000000000000006</v>
          </cell>
          <cell r="AD33"/>
          <cell r="AE33"/>
        </row>
        <row r="34">
          <cell r="I34">
            <v>25</v>
          </cell>
        </row>
        <row r="35">
          <cell r="I35">
            <v>35</v>
          </cell>
          <cell r="T35">
            <v>10</v>
          </cell>
          <cell r="U35">
            <v>60</v>
          </cell>
          <cell r="V35">
            <v>30</v>
          </cell>
          <cell r="W35">
            <v>20</v>
          </cell>
          <cell r="X35">
            <v>20</v>
          </cell>
          <cell r="Y35">
            <v>10</v>
          </cell>
          <cell r="Z35">
            <v>50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10000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/>
          <cell r="AD38"/>
          <cell r="AE38"/>
        </row>
        <row r="39">
          <cell r="N39" t="str">
            <v>BG_Symbol (2)</v>
          </cell>
          <cell r="O39">
            <v>8100</v>
          </cell>
          <cell r="P39">
            <v>600</v>
          </cell>
          <cell r="Q39">
            <v>500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0.79</v>
          </cell>
          <cell r="AC39"/>
          <cell r="AD39"/>
          <cell r="AE39"/>
        </row>
        <row r="40">
          <cell r="N40" t="str">
            <v>BG_Symbol (3)</v>
          </cell>
          <cell r="O40">
            <v>8100</v>
          </cell>
          <cell r="P40">
            <v>800</v>
          </cell>
          <cell r="Q40">
            <v>700</v>
          </cell>
          <cell r="R40">
            <v>400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0.57000000000000006</v>
          </cell>
          <cell r="AC40"/>
          <cell r="AD40"/>
          <cell r="AE40"/>
        </row>
        <row r="41">
          <cell r="I41" t="str">
            <v>Eliminate Table Weight</v>
          </cell>
          <cell r="N41" t="str">
            <v>FG_Symbol</v>
          </cell>
          <cell r="O41">
            <v>6500</v>
          </cell>
          <cell r="P41">
            <v>2100</v>
          </cell>
          <cell r="Q41">
            <v>1000</v>
          </cell>
          <cell r="R41">
            <v>200</v>
          </cell>
          <cell r="S41">
            <v>200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0.98</v>
          </cell>
          <cell r="AC41"/>
          <cell r="AD41"/>
          <cell r="AE41"/>
        </row>
        <row r="42">
          <cell r="I42"/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6500</v>
          </cell>
          <cell r="P42">
            <v>2100</v>
          </cell>
          <cell r="Q42">
            <v>1000</v>
          </cell>
          <cell r="R42">
            <v>200</v>
          </cell>
          <cell r="S42">
            <v>200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0.98</v>
          </cell>
          <cell r="AC42"/>
          <cell r="AD42"/>
          <cell r="AE42"/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6500</v>
          </cell>
          <cell r="P43">
            <v>2100</v>
          </cell>
          <cell r="Q43">
            <v>1000</v>
          </cell>
          <cell r="R43">
            <v>200</v>
          </cell>
          <cell r="S43">
            <v>200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0.98</v>
          </cell>
          <cell r="AC43"/>
          <cell r="AD43"/>
          <cell r="AE43"/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8100</v>
          </cell>
          <cell r="P44">
            <v>800</v>
          </cell>
          <cell r="Q44">
            <v>700</v>
          </cell>
          <cell r="R44">
            <v>400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0.57000000000000006</v>
          </cell>
          <cell r="AC44"/>
          <cell r="AD44"/>
          <cell r="AE44"/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10000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/>
          <cell r="AD49"/>
          <cell r="AE49"/>
        </row>
        <row r="50">
          <cell r="N50" t="str">
            <v>BG_Symbol (2)</v>
          </cell>
          <cell r="O50">
            <v>8700</v>
          </cell>
          <cell r="P50">
            <v>500</v>
          </cell>
          <cell r="Q50">
            <v>400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0.48</v>
          </cell>
          <cell r="AC50"/>
          <cell r="AD50"/>
          <cell r="AE50"/>
        </row>
        <row r="51">
          <cell r="N51" t="str">
            <v>BG_Symbol (3)</v>
          </cell>
          <cell r="O51">
            <v>8100</v>
          </cell>
          <cell r="P51">
            <v>800</v>
          </cell>
          <cell r="Q51">
            <v>700</v>
          </cell>
          <cell r="R51">
            <v>400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0.57000000000000006</v>
          </cell>
          <cell r="AC51"/>
          <cell r="AD51"/>
          <cell r="AE51"/>
        </row>
        <row r="52">
          <cell r="N52" t="str">
            <v>FG_Symbol</v>
          </cell>
          <cell r="O52">
            <v>6700</v>
          </cell>
          <cell r="P52">
            <v>2300</v>
          </cell>
          <cell r="Q52">
            <v>800</v>
          </cell>
          <cell r="R52">
            <v>100</v>
          </cell>
          <cell r="S52">
            <v>100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0.83</v>
          </cell>
          <cell r="AC52"/>
          <cell r="AD52"/>
          <cell r="AE52"/>
        </row>
        <row r="53">
          <cell r="N53" t="str">
            <v>FG_Symbol (2)</v>
          </cell>
          <cell r="O53">
            <v>6700</v>
          </cell>
          <cell r="P53">
            <v>2300</v>
          </cell>
          <cell r="Q53">
            <v>800</v>
          </cell>
          <cell r="R53">
            <v>100</v>
          </cell>
          <cell r="S53">
            <v>100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0.83</v>
          </cell>
          <cell r="AC53"/>
          <cell r="AD53"/>
          <cell r="AE53"/>
        </row>
        <row r="54">
          <cell r="N54" t="str">
            <v>FG_Symbol (3)</v>
          </cell>
          <cell r="O54">
            <v>6700</v>
          </cell>
          <cell r="P54">
            <v>2300</v>
          </cell>
          <cell r="Q54">
            <v>800</v>
          </cell>
          <cell r="R54">
            <v>100</v>
          </cell>
          <cell r="S54">
            <v>100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0.83</v>
          </cell>
          <cell r="AC54"/>
          <cell r="AD54"/>
          <cell r="AE54"/>
        </row>
        <row r="55">
          <cell r="N55" t="str">
            <v>BF_Symbol</v>
          </cell>
          <cell r="O55">
            <v>8100</v>
          </cell>
          <cell r="P55">
            <v>800</v>
          </cell>
          <cell r="Q55">
            <v>700</v>
          </cell>
          <cell r="R55">
            <v>400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0.57000000000000006</v>
          </cell>
          <cell r="AC55"/>
          <cell r="AD55"/>
          <cell r="AE55"/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workbookViewId="0">
      <selection activeCell="G20" sqref="G20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133</v>
      </c>
      <c r="C2" s="5"/>
    </row>
    <row r="3" spans="1:9" x14ac:dyDescent="0.3">
      <c r="A3" s="18" t="s">
        <v>40</v>
      </c>
      <c r="B3" s="38" t="str">
        <f>[1]Overview!$B$3</f>
        <v>0.0.1.3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 x14ac:dyDescent="0.3">
      <c r="A17" s="178" t="str">
        <f>D11</f>
        <v>Normal Bet</v>
      </c>
      <c r="B17" s="41"/>
      <c r="C17" s="179" t="e">
        <f>1/D17</f>
        <v>#DIV/0!</v>
      </c>
      <c r="D17" s="181"/>
      <c r="E17" s="29" t="s">
        <v>49</v>
      </c>
      <c r="F17" s="114"/>
      <c r="G17" s="7"/>
      <c r="H17" s="7"/>
      <c r="I17" s="12"/>
    </row>
    <row r="18" spans="1:9" x14ac:dyDescent="0.3">
      <c r="A18" s="178"/>
      <c r="B18" s="41"/>
      <c r="C18" s="180"/>
      <c r="D18" s="182"/>
      <c r="E18" s="29" t="s">
        <v>57</v>
      </c>
      <c r="F18" s="114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14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 x14ac:dyDescent="0.3">
      <c r="A21" s="178" t="str">
        <f>D12</f>
        <v>Buy Feature</v>
      </c>
      <c r="B21" s="41"/>
      <c r="C21" s="179">
        <f>1/D21</f>
        <v>1</v>
      </c>
      <c r="D21" s="183">
        <v>1</v>
      </c>
      <c r="E21" s="29" t="s">
        <v>49</v>
      </c>
      <c r="F21" s="114"/>
      <c r="G21" s="7"/>
      <c r="H21" s="7"/>
      <c r="I21" s="12"/>
    </row>
    <row r="22" spans="1:9" x14ac:dyDescent="0.3">
      <c r="A22" s="178"/>
      <c r="B22" s="41"/>
      <c r="C22" s="180"/>
      <c r="D22" s="184"/>
      <c r="E22" s="29" t="s">
        <v>57</v>
      </c>
      <c r="F22" s="114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62" t="s">
        <v>144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53" t="s">
        <v>26</v>
      </c>
      <c r="B40" s="153" t="s">
        <v>26</v>
      </c>
      <c r="C40" s="153">
        <v>250</v>
      </c>
      <c r="D40" s="153">
        <v>1250</v>
      </c>
      <c r="E40" s="153">
        <v>5000</v>
      </c>
      <c r="F40" s="154">
        <v>2</v>
      </c>
    </row>
    <row r="41" spans="1:6" x14ac:dyDescent="0.3">
      <c r="A41" s="153" t="s">
        <v>27</v>
      </c>
      <c r="B41" s="153" t="s">
        <v>27</v>
      </c>
      <c r="C41" s="153">
        <v>100</v>
      </c>
      <c r="D41" s="153">
        <v>500</v>
      </c>
      <c r="E41" s="153">
        <v>2000</v>
      </c>
      <c r="F41" s="155">
        <v>3</v>
      </c>
    </row>
    <row r="42" spans="1:6" x14ac:dyDescent="0.3">
      <c r="A42" s="153" t="s">
        <v>28</v>
      </c>
      <c r="B42" s="153" t="s">
        <v>28</v>
      </c>
      <c r="C42" s="153">
        <v>75</v>
      </c>
      <c r="D42" s="153">
        <v>250</v>
      </c>
      <c r="E42" s="153">
        <v>1000</v>
      </c>
      <c r="F42" s="154">
        <v>4</v>
      </c>
    </row>
    <row r="43" spans="1:6" x14ac:dyDescent="0.3">
      <c r="A43" s="153" t="s">
        <v>29</v>
      </c>
      <c r="B43" s="153" t="s">
        <v>29</v>
      </c>
      <c r="C43" s="153">
        <v>50</v>
      </c>
      <c r="D43" s="153">
        <v>200</v>
      </c>
      <c r="E43" s="153">
        <v>750</v>
      </c>
      <c r="F43" s="155">
        <v>5</v>
      </c>
    </row>
    <row r="44" spans="1:6" x14ac:dyDescent="0.3">
      <c r="A44" s="153" t="s">
        <v>134</v>
      </c>
      <c r="B44" s="153" t="s">
        <v>134</v>
      </c>
      <c r="C44" s="156">
        <v>25</v>
      </c>
      <c r="D44" s="156">
        <v>100</v>
      </c>
      <c r="E44" s="156">
        <v>500</v>
      </c>
      <c r="F44" s="154">
        <v>6</v>
      </c>
    </row>
    <row r="45" spans="1:6" x14ac:dyDescent="0.3">
      <c r="A45" s="153" t="s">
        <v>23</v>
      </c>
      <c r="B45" s="153" t="s">
        <v>23</v>
      </c>
      <c r="C45" s="153">
        <v>10</v>
      </c>
      <c r="D45" s="153">
        <v>50</v>
      </c>
      <c r="E45" s="153">
        <v>250</v>
      </c>
      <c r="F45" s="155">
        <v>7</v>
      </c>
    </row>
    <row r="46" spans="1:6" x14ac:dyDescent="0.3">
      <c r="A46" s="153" t="s">
        <v>31</v>
      </c>
      <c r="B46" s="153" t="s">
        <v>31</v>
      </c>
      <c r="C46" s="153">
        <v>10</v>
      </c>
      <c r="D46" s="153">
        <v>50</v>
      </c>
      <c r="E46" s="153">
        <v>250</v>
      </c>
      <c r="F46" s="154">
        <v>8</v>
      </c>
    </row>
    <row r="47" spans="1:6" x14ac:dyDescent="0.3">
      <c r="A47" s="153" t="s">
        <v>32</v>
      </c>
      <c r="B47" s="153" t="s">
        <v>32</v>
      </c>
      <c r="C47" s="153">
        <v>10</v>
      </c>
      <c r="D47" s="153">
        <v>50</v>
      </c>
      <c r="E47" s="153">
        <v>250</v>
      </c>
      <c r="F47" s="155">
        <v>9</v>
      </c>
    </row>
    <row r="48" spans="1:6" x14ac:dyDescent="0.3">
      <c r="A48" s="153" t="s">
        <v>33</v>
      </c>
      <c r="B48" s="153" t="s">
        <v>33</v>
      </c>
      <c r="C48" s="153">
        <v>10</v>
      </c>
      <c r="D48" s="153">
        <v>50</v>
      </c>
      <c r="E48" s="153">
        <v>250</v>
      </c>
      <c r="F48" s="154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135</v>
      </c>
      <c r="B53" s="8" t="s">
        <v>136</v>
      </c>
      <c r="C53" s="142">
        <v>25</v>
      </c>
      <c r="D53" s="142">
        <v>100</v>
      </c>
      <c r="E53" s="142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>
      <selection activeCell="M28" sqref="M28"/>
    </sheetView>
  </sheetViews>
  <sheetFormatPr defaultRowHeight="15.6" x14ac:dyDescent="0.3"/>
  <cols>
    <col min="1" max="16384" width="8.88671875" style="24"/>
  </cols>
  <sheetData>
    <row r="3" spans="2:2" x14ac:dyDescent="0.3">
      <c r="B3" s="24" t="s">
        <v>152</v>
      </c>
    </row>
    <row r="5" spans="2:2" x14ac:dyDescent="0.3">
      <c r="B5" s="24" t="s">
        <v>153</v>
      </c>
    </row>
    <row r="7" spans="2:2" x14ac:dyDescent="0.3">
      <c r="B7" s="24" t="s">
        <v>154</v>
      </c>
    </row>
    <row r="8" spans="2:2" x14ac:dyDescent="0.3">
      <c r="B8" s="24" t="s">
        <v>155</v>
      </c>
    </row>
    <row r="9" spans="2:2" x14ac:dyDescent="0.3">
      <c r="B9" s="24" t="s">
        <v>156</v>
      </c>
    </row>
    <row r="10" spans="2:2" x14ac:dyDescent="0.3">
      <c r="B10" s="24" t="s">
        <v>157</v>
      </c>
    </row>
    <row r="11" spans="2:2" x14ac:dyDescent="0.3">
      <c r="B11" s="24" t="s">
        <v>158</v>
      </c>
    </row>
    <row r="12" spans="2:2" x14ac:dyDescent="0.3">
      <c r="B12" s="24" t="s">
        <v>159</v>
      </c>
    </row>
    <row r="13" spans="2:2" x14ac:dyDescent="0.3">
      <c r="B13" s="24" t="s">
        <v>160</v>
      </c>
    </row>
    <row r="14" spans="2:2" x14ac:dyDescent="0.3">
      <c r="B14" s="24" t="s">
        <v>161</v>
      </c>
    </row>
    <row r="15" spans="2:2" x14ac:dyDescent="0.3">
      <c r="B15" s="24" t="s">
        <v>162</v>
      </c>
    </row>
    <row r="16" spans="2:2" x14ac:dyDescent="0.3">
      <c r="B16" s="24" t="s">
        <v>163</v>
      </c>
    </row>
    <row r="18" spans="2:2" x14ac:dyDescent="0.3">
      <c r="B18" s="24" t="s">
        <v>164</v>
      </c>
    </row>
    <row r="19" spans="2:2" x14ac:dyDescent="0.3">
      <c r="B19" s="24" t="s">
        <v>151</v>
      </c>
    </row>
    <row r="20" spans="2:2" x14ac:dyDescent="0.3">
      <c r="B20" s="24" t="s">
        <v>165</v>
      </c>
    </row>
    <row r="21" spans="2:2" x14ac:dyDescent="0.3">
      <c r="B21" s="24" t="s">
        <v>166</v>
      </c>
    </row>
    <row r="22" spans="2:2" x14ac:dyDescent="0.3">
      <c r="B22" s="24" t="s">
        <v>167</v>
      </c>
    </row>
    <row r="23" spans="2:2" x14ac:dyDescent="0.3">
      <c r="B23" s="24" t="s">
        <v>168</v>
      </c>
    </row>
    <row r="24" spans="2:2" x14ac:dyDescent="0.3">
      <c r="B24" s="24" t="s">
        <v>169</v>
      </c>
    </row>
    <row r="25" spans="2:2" x14ac:dyDescent="0.3">
      <c r="B25" s="24" t="s">
        <v>170</v>
      </c>
    </row>
    <row r="26" spans="2:2" x14ac:dyDescent="0.3">
      <c r="B26" s="24" t="s">
        <v>171</v>
      </c>
    </row>
    <row r="28" spans="2:2" x14ac:dyDescent="0.3">
      <c r="B28" s="24" t="s">
        <v>172</v>
      </c>
    </row>
    <row r="30" spans="2:2" x14ac:dyDescent="0.3">
      <c r="B30" s="24" t="s">
        <v>173</v>
      </c>
    </row>
    <row r="31" spans="2:2" x14ac:dyDescent="0.3">
      <c r="B31" s="24" t="s">
        <v>174</v>
      </c>
    </row>
    <row r="33" spans="2:2" x14ac:dyDescent="0.3">
      <c r="B33" s="24" t="s">
        <v>175</v>
      </c>
    </row>
    <row r="35" spans="2:2" x14ac:dyDescent="0.3">
      <c r="B35" s="24" t="s">
        <v>176</v>
      </c>
    </row>
    <row r="37" spans="2:2" x14ac:dyDescent="0.3">
      <c r="B37" s="24" t="s">
        <v>177</v>
      </c>
    </row>
    <row r="38" spans="2:2" x14ac:dyDescent="0.3">
      <c r="B38" s="24" t="s">
        <v>178</v>
      </c>
    </row>
    <row r="39" spans="2:2" x14ac:dyDescent="0.3">
      <c r="B39" s="24" t="s">
        <v>179</v>
      </c>
    </row>
    <row r="40" spans="2:2" x14ac:dyDescent="0.3">
      <c r="B40" s="24" t="s">
        <v>180</v>
      </c>
    </row>
    <row r="42" spans="2:2" x14ac:dyDescent="0.3">
      <c r="B42" s="24" t="s">
        <v>181</v>
      </c>
    </row>
    <row r="43" spans="2:2" x14ac:dyDescent="0.3">
      <c r="B43" s="24" t="s">
        <v>151</v>
      </c>
    </row>
    <row r="44" spans="2:2" x14ac:dyDescent="0.3">
      <c r="B44" s="24" t="s">
        <v>182</v>
      </c>
    </row>
    <row r="46" spans="2:2" x14ac:dyDescent="0.3">
      <c r="B46" s="24" t="s">
        <v>183</v>
      </c>
    </row>
    <row r="47" spans="2:2" x14ac:dyDescent="0.3">
      <c r="B47" s="24" t="s">
        <v>184</v>
      </c>
    </row>
    <row r="48" spans="2:2" x14ac:dyDescent="0.3">
      <c r="B48" s="24" t="s">
        <v>185</v>
      </c>
    </row>
    <row r="49" spans="2:2" x14ac:dyDescent="0.3">
      <c r="B49" s="24" t="s">
        <v>186</v>
      </c>
    </row>
    <row r="50" spans="2:2" x14ac:dyDescent="0.3">
      <c r="B50" s="24" t="s">
        <v>187</v>
      </c>
    </row>
    <row r="51" spans="2:2" x14ac:dyDescent="0.3">
      <c r="B51" s="24" t="s">
        <v>188</v>
      </c>
    </row>
    <row r="53" spans="2:2" x14ac:dyDescent="0.3">
      <c r="B53" s="24" t="s">
        <v>189</v>
      </c>
    </row>
    <row r="55" spans="2:2" x14ac:dyDescent="0.3">
      <c r="B55" s="24" t="s">
        <v>190</v>
      </c>
    </row>
    <row r="56" spans="2:2" x14ac:dyDescent="0.3">
      <c r="B56" s="24" t="s">
        <v>191</v>
      </c>
    </row>
    <row r="57" spans="2:2" x14ac:dyDescent="0.3">
      <c r="B57" s="24" t="s">
        <v>192</v>
      </c>
    </row>
    <row r="58" spans="2:2" x14ac:dyDescent="0.3">
      <c r="B58" s="24" t="s">
        <v>193</v>
      </c>
    </row>
    <row r="59" spans="2:2" x14ac:dyDescent="0.3">
      <c r="B59" s="24" t="s">
        <v>194</v>
      </c>
    </row>
    <row r="60" spans="2:2" x14ac:dyDescent="0.3">
      <c r="B60" s="24" t="s">
        <v>195</v>
      </c>
    </row>
    <row r="62" spans="2:2" x14ac:dyDescent="0.3">
      <c r="B62" s="24" t="s">
        <v>196</v>
      </c>
    </row>
    <row r="64" spans="2:2" x14ac:dyDescent="0.3">
      <c r="B64" s="24" t="s">
        <v>197</v>
      </c>
    </row>
    <row r="65" spans="2:2" x14ac:dyDescent="0.3">
      <c r="B65" s="24" t="s">
        <v>198</v>
      </c>
    </row>
    <row r="67" spans="2:2" x14ac:dyDescent="0.3">
      <c r="B67" s="24" t="s">
        <v>199</v>
      </c>
    </row>
    <row r="69" spans="2:2" x14ac:dyDescent="0.3">
      <c r="B69" s="24" t="s">
        <v>200</v>
      </c>
    </row>
    <row r="70" spans="2:2" x14ac:dyDescent="0.3">
      <c r="B70" s="24" t="s">
        <v>201</v>
      </c>
    </row>
    <row r="71" spans="2:2" x14ac:dyDescent="0.3">
      <c r="B71" s="24" t="s">
        <v>202</v>
      </c>
    </row>
    <row r="72" spans="2:2" x14ac:dyDescent="0.3">
      <c r="B72" s="24" t="s">
        <v>203</v>
      </c>
    </row>
    <row r="73" spans="2:2" x14ac:dyDescent="0.3">
      <c r="B73" s="24" t="s">
        <v>204</v>
      </c>
    </row>
    <row r="74" spans="2:2" x14ac:dyDescent="0.3">
      <c r="B74" s="24" t="s">
        <v>205</v>
      </c>
    </row>
    <row r="75" spans="2:2" x14ac:dyDescent="0.3">
      <c r="B75" s="24" t="s">
        <v>206</v>
      </c>
    </row>
    <row r="77" spans="2:2" x14ac:dyDescent="0.3">
      <c r="B77" s="24" t="s">
        <v>207</v>
      </c>
    </row>
    <row r="79" spans="2:2" x14ac:dyDescent="0.3">
      <c r="B79" s="24" t="s">
        <v>208</v>
      </c>
    </row>
    <row r="80" spans="2:2" x14ac:dyDescent="0.3">
      <c r="B80" s="24" t="s">
        <v>209</v>
      </c>
    </row>
    <row r="81" spans="2:2" x14ac:dyDescent="0.3">
      <c r="B81" s="24" t="s">
        <v>210</v>
      </c>
    </row>
    <row r="82" spans="2:2" x14ac:dyDescent="0.3">
      <c r="B82" s="24" t="s">
        <v>211</v>
      </c>
    </row>
    <row r="83" spans="2:2" x14ac:dyDescent="0.3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topLeftCell="I1" zoomScale="70" zoomScaleNormal="70" workbookViewId="0">
      <selection activeCell="Y19" sqref="Y19"/>
    </sheetView>
  </sheetViews>
  <sheetFormatPr defaultColWidth="8.88671875" defaultRowHeight="16.2" x14ac:dyDescent="0.3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106.8867187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 x14ac:dyDescent="0.3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 x14ac:dyDescent="0.3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 x14ac:dyDescent="0.3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 x14ac:dyDescent="0.3">
      <c r="A4" s="17" t="str">
        <v/>
      </c>
      <c r="B4" s="146" t="str">
        <v>ID</v>
      </c>
      <c r="C4" s="146" t="str">
        <v>R1</v>
      </c>
      <c r="D4" s="146" t="str">
        <v>R2</v>
      </c>
      <c r="E4" s="146" t="str">
        <v>R3</v>
      </c>
      <c r="F4" s="146" t="str">
        <v>R4</v>
      </c>
      <c r="G4" s="146" t="str">
        <v>R5</v>
      </c>
      <c r="H4" s="17" t="str">
        <v/>
      </c>
      <c r="I4" s="145" t="str">
        <v>Worksheet Name</v>
      </c>
      <c r="J4" s="146" t="str">
        <v>Weight</v>
      </c>
      <c r="K4" s="146" t="str">
        <v>RTP</v>
      </c>
      <c r="L4" s="17" t="str">
        <v/>
      </c>
      <c r="M4" s="17" t="str">
        <v/>
      </c>
      <c r="N4" s="146" t="str">
        <v>Worksheet Name \ Multiple</v>
      </c>
      <c r="O4" s="146">
        <v>0</v>
      </c>
      <c r="P4" s="146">
        <v>2</v>
      </c>
      <c r="Q4" s="146">
        <v>3</v>
      </c>
      <c r="R4" s="146">
        <v>5</v>
      </c>
      <c r="S4" s="146">
        <v>8</v>
      </c>
      <c r="T4" s="146">
        <v>10</v>
      </c>
      <c r="U4" s="146">
        <v>15</v>
      </c>
      <c r="V4" s="146">
        <v>20</v>
      </c>
      <c r="W4" s="146">
        <v>25</v>
      </c>
      <c r="X4" s="146">
        <v>35</v>
      </c>
      <c r="Y4" s="146">
        <v>50</v>
      </c>
      <c r="Z4" s="146">
        <v>80</v>
      </c>
      <c r="AA4" s="146">
        <v>100</v>
      </c>
      <c r="AB4" s="51" t="str">
        <v/>
      </c>
      <c r="AC4" s="146" t="str">
        <v>Worksheet Name \ Multiple</v>
      </c>
      <c r="AD4" s="146">
        <v>1</v>
      </c>
      <c r="AE4" s="146">
        <v>2</v>
      </c>
      <c r="AF4" s="146">
        <v>3</v>
      </c>
      <c r="AG4" s="146">
        <v>4</v>
      </c>
      <c r="AH4" s="146">
        <v>5</v>
      </c>
      <c r="AI4" s="146">
        <v>6</v>
      </c>
      <c r="AJ4" s="146">
        <v>7</v>
      </c>
      <c r="AK4" s="146">
        <v>8</v>
      </c>
      <c r="AL4" s="146">
        <v>9</v>
      </c>
      <c r="AM4" s="17" t="str">
        <v/>
      </c>
    </row>
    <row r="5" spans="1:39" x14ac:dyDescent="0.3">
      <c r="A5" s="17" t="str">
        <v/>
      </c>
      <c r="B5" s="133">
        <v>0</v>
      </c>
      <c r="C5" s="159">
        <v>1</v>
      </c>
      <c r="D5" s="159">
        <v>1</v>
      </c>
      <c r="E5" s="159">
        <v>1</v>
      </c>
      <c r="F5" s="159">
        <v>1</v>
      </c>
      <c r="G5" s="159">
        <v>1</v>
      </c>
      <c r="H5" s="17" t="str">
        <v/>
      </c>
      <c r="I5" s="133" t="str">
        <v>BG_Symbol</v>
      </c>
      <c r="J5" s="147">
        <v>10000</v>
      </c>
      <c r="K5" s="174" t="str">
        <v/>
      </c>
      <c r="L5" s="151">
        <v>1</v>
      </c>
      <c r="M5" s="17" t="str">
        <v/>
      </c>
      <c r="N5" s="133" t="str">
        <v>BG_Symbol</v>
      </c>
      <c r="O5" s="175">
        <v>0</v>
      </c>
      <c r="P5" s="175">
        <v>0</v>
      </c>
      <c r="Q5" s="175">
        <v>0</v>
      </c>
      <c r="R5" s="175">
        <v>0</v>
      </c>
      <c r="S5" s="175">
        <v>0</v>
      </c>
      <c r="T5" s="148">
        <v>3400</v>
      </c>
      <c r="U5" s="148">
        <v>1200</v>
      </c>
      <c r="V5" s="148">
        <v>2400</v>
      </c>
      <c r="W5" s="148">
        <v>500</v>
      </c>
      <c r="X5" s="148">
        <v>200</v>
      </c>
      <c r="Y5" s="148">
        <v>200</v>
      </c>
      <c r="Z5" s="148">
        <v>1200</v>
      </c>
      <c r="AA5" s="148">
        <v>900</v>
      </c>
      <c r="AB5" s="163">
        <v>31.549999999999997</v>
      </c>
      <c r="AC5" s="133" t="str">
        <v>BG_Symbol</v>
      </c>
      <c r="AD5" s="148">
        <v>0</v>
      </c>
      <c r="AE5" s="148">
        <v>0</v>
      </c>
      <c r="AF5" s="148">
        <v>0</v>
      </c>
      <c r="AG5" s="148">
        <v>0</v>
      </c>
      <c r="AH5" s="148">
        <v>0</v>
      </c>
      <c r="AI5" s="148">
        <v>0</v>
      </c>
      <c r="AJ5" s="148">
        <v>0</v>
      </c>
      <c r="AK5" s="148">
        <v>0</v>
      </c>
      <c r="AL5" s="148">
        <v>0</v>
      </c>
      <c r="AM5" s="17" t="str">
        <v/>
      </c>
    </row>
    <row r="6" spans="1:39" x14ac:dyDescent="0.3">
      <c r="A6" s="17" t="str">
        <v/>
      </c>
      <c r="B6" s="133">
        <v>1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7" t="str">
        <v/>
      </c>
      <c r="I6" s="133" t="str">
        <v>BG_Symbol (2)</v>
      </c>
      <c r="J6" s="148">
        <v>0</v>
      </c>
      <c r="K6" s="133" t="str">
        <v/>
      </c>
      <c r="L6" s="151">
        <v>0</v>
      </c>
      <c r="M6" s="17" t="str">
        <v/>
      </c>
      <c r="N6" s="133" t="str">
        <v>BG_Symbol (2)</v>
      </c>
      <c r="O6" s="175">
        <v>0</v>
      </c>
      <c r="P6" s="175">
        <v>0</v>
      </c>
      <c r="Q6" s="175">
        <v>0</v>
      </c>
      <c r="R6" s="175">
        <v>0</v>
      </c>
      <c r="S6" s="175">
        <v>0</v>
      </c>
      <c r="T6" s="148">
        <v>4450</v>
      </c>
      <c r="U6" s="148">
        <v>600</v>
      </c>
      <c r="V6" s="148">
        <v>2400</v>
      </c>
      <c r="W6" s="148">
        <v>250</v>
      </c>
      <c r="X6" s="148">
        <v>100</v>
      </c>
      <c r="Y6" s="148">
        <v>100</v>
      </c>
      <c r="Z6" s="148">
        <v>1200</v>
      </c>
      <c r="AA6" s="148">
        <v>900</v>
      </c>
      <c r="AB6" s="163">
        <v>30.224999999999998</v>
      </c>
      <c r="AC6" s="133" t="str">
        <v>BG_Symbol (2)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148">
        <v>0</v>
      </c>
      <c r="AJ6" s="148">
        <v>0</v>
      </c>
      <c r="AK6" s="148">
        <v>0</v>
      </c>
      <c r="AL6" s="148">
        <v>0</v>
      </c>
      <c r="AM6" s="17" t="str">
        <v/>
      </c>
    </row>
    <row r="7" spans="1:39" x14ac:dyDescent="0.3">
      <c r="A7" s="17" t="str">
        <v/>
      </c>
      <c r="B7" s="133">
        <v>2</v>
      </c>
      <c r="C7" s="159">
        <v>2</v>
      </c>
      <c r="D7" s="159">
        <v>2</v>
      </c>
      <c r="E7" s="159">
        <v>2</v>
      </c>
      <c r="F7" s="159">
        <v>2</v>
      </c>
      <c r="G7" s="159">
        <v>2</v>
      </c>
      <c r="H7" s="17" t="str">
        <v/>
      </c>
      <c r="I7" s="133" t="str">
        <v>BG_Symbol (3)</v>
      </c>
      <c r="J7" s="148">
        <v>0</v>
      </c>
      <c r="K7" s="133" t="str">
        <v/>
      </c>
      <c r="L7" s="151">
        <v>0</v>
      </c>
      <c r="M7" s="17" t="str">
        <v/>
      </c>
      <c r="N7" s="133" t="str">
        <v>BG_Symbol (3)</v>
      </c>
      <c r="O7" s="175">
        <v>0</v>
      </c>
      <c r="P7" s="175">
        <v>0</v>
      </c>
      <c r="Q7" s="175">
        <v>0</v>
      </c>
      <c r="R7" s="175">
        <v>0</v>
      </c>
      <c r="S7" s="175">
        <v>0</v>
      </c>
      <c r="T7" s="148">
        <v>10000</v>
      </c>
      <c r="U7" s="148">
        <v>0</v>
      </c>
      <c r="V7" s="148">
        <v>0</v>
      </c>
      <c r="W7" s="148">
        <v>0</v>
      </c>
      <c r="X7" s="148">
        <v>0</v>
      </c>
      <c r="Y7" s="148">
        <v>0</v>
      </c>
      <c r="Z7" s="148">
        <v>0</v>
      </c>
      <c r="AA7" s="148">
        <v>0</v>
      </c>
      <c r="AB7" s="163">
        <v>10</v>
      </c>
      <c r="AC7" s="133" t="str">
        <v>BG_Symbol (3)</v>
      </c>
      <c r="AD7" s="175">
        <v>0</v>
      </c>
      <c r="AE7" s="175">
        <v>0</v>
      </c>
      <c r="AF7" s="175">
        <v>0</v>
      </c>
      <c r="AG7" s="175">
        <v>0</v>
      </c>
      <c r="AH7" s="175">
        <v>0</v>
      </c>
      <c r="AI7" s="175">
        <v>0</v>
      </c>
      <c r="AJ7" s="175">
        <v>0</v>
      </c>
      <c r="AK7" s="175">
        <v>0</v>
      </c>
      <c r="AL7" s="175">
        <v>0</v>
      </c>
      <c r="AM7" s="17" t="str">
        <v/>
      </c>
    </row>
    <row r="8" spans="1:39" x14ac:dyDescent="0.3">
      <c r="A8" s="17" t="str">
        <v/>
      </c>
      <c r="B8" s="133">
        <v>3</v>
      </c>
      <c r="C8" s="159">
        <v>0</v>
      </c>
      <c r="D8" s="159">
        <v>1</v>
      </c>
      <c r="E8" s="159">
        <v>2</v>
      </c>
      <c r="F8" s="159">
        <v>1</v>
      </c>
      <c r="G8" s="159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75">
        <v>0</v>
      </c>
      <c r="P8" s="175">
        <v>0</v>
      </c>
      <c r="Q8" s="175">
        <v>0</v>
      </c>
      <c r="R8" s="175">
        <v>0</v>
      </c>
      <c r="S8" s="175">
        <v>0</v>
      </c>
      <c r="T8" s="148">
        <v>3900</v>
      </c>
      <c r="U8" s="148">
        <v>1500</v>
      </c>
      <c r="V8" s="148">
        <v>2500</v>
      </c>
      <c r="W8" s="148">
        <v>100</v>
      </c>
      <c r="X8" s="148">
        <v>100</v>
      </c>
      <c r="Y8" s="148">
        <v>100</v>
      </c>
      <c r="Z8" s="148">
        <v>1000</v>
      </c>
      <c r="AA8" s="148">
        <v>800</v>
      </c>
      <c r="AB8" s="163">
        <v>28.25</v>
      </c>
      <c r="AC8" s="133" t="str">
        <v>FG_Symbol</v>
      </c>
      <c r="AD8" s="148">
        <v>0</v>
      </c>
      <c r="AE8" s="148">
        <v>0</v>
      </c>
      <c r="AF8" s="148">
        <v>0</v>
      </c>
      <c r="AG8" s="148">
        <v>0</v>
      </c>
      <c r="AH8" s="148">
        <v>0</v>
      </c>
      <c r="AI8" s="148">
        <v>0</v>
      </c>
      <c r="AJ8" s="148">
        <v>0</v>
      </c>
      <c r="AK8" s="148">
        <v>0</v>
      </c>
      <c r="AL8" s="148">
        <v>0</v>
      </c>
      <c r="AM8" s="17" t="str">
        <v/>
      </c>
    </row>
    <row r="9" spans="1:39" x14ac:dyDescent="0.3">
      <c r="A9" s="17" t="str">
        <v/>
      </c>
      <c r="B9" s="133">
        <v>4</v>
      </c>
      <c r="C9" s="159">
        <v>2</v>
      </c>
      <c r="D9" s="159">
        <v>1</v>
      </c>
      <c r="E9" s="159">
        <v>0</v>
      </c>
      <c r="F9" s="159">
        <v>1</v>
      </c>
      <c r="G9" s="159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75">
        <v>0</v>
      </c>
      <c r="P9" s="175">
        <v>0</v>
      </c>
      <c r="Q9" s="175">
        <v>0</v>
      </c>
      <c r="R9" s="175">
        <v>0</v>
      </c>
      <c r="S9" s="175">
        <v>0</v>
      </c>
      <c r="T9" s="148">
        <v>3900</v>
      </c>
      <c r="U9" s="148">
        <v>1500</v>
      </c>
      <c r="V9" s="148">
        <v>2500</v>
      </c>
      <c r="W9" s="148">
        <v>100</v>
      </c>
      <c r="X9" s="148">
        <v>100</v>
      </c>
      <c r="Y9" s="148">
        <v>100</v>
      </c>
      <c r="Z9" s="148">
        <v>1000</v>
      </c>
      <c r="AA9" s="148">
        <v>800</v>
      </c>
      <c r="AB9" s="163">
        <v>28.25</v>
      </c>
      <c r="AC9" s="133" t="str">
        <v>FG_Symbol (2)</v>
      </c>
      <c r="AD9" s="148">
        <v>0</v>
      </c>
      <c r="AE9" s="148">
        <v>0</v>
      </c>
      <c r="AF9" s="148">
        <v>0</v>
      </c>
      <c r="AG9" s="148">
        <v>0</v>
      </c>
      <c r="AH9" s="148">
        <v>0</v>
      </c>
      <c r="AI9" s="148">
        <v>0</v>
      </c>
      <c r="AJ9" s="148">
        <v>0</v>
      </c>
      <c r="AK9" s="148">
        <v>0</v>
      </c>
      <c r="AL9" s="148">
        <v>0</v>
      </c>
      <c r="AM9" s="17" t="str">
        <v/>
      </c>
    </row>
    <row r="10" spans="1:39" x14ac:dyDescent="0.3">
      <c r="A10" s="17" t="str">
        <v/>
      </c>
      <c r="B10" s="133">
        <v>5</v>
      </c>
      <c r="C10" s="159">
        <v>0</v>
      </c>
      <c r="D10" s="159">
        <v>0</v>
      </c>
      <c r="E10" s="159">
        <v>1</v>
      </c>
      <c r="F10" s="159">
        <v>0</v>
      </c>
      <c r="G10" s="159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75">
        <v>0</v>
      </c>
      <c r="P10" s="175">
        <v>0</v>
      </c>
      <c r="Q10" s="175">
        <v>0</v>
      </c>
      <c r="R10" s="175">
        <v>0</v>
      </c>
      <c r="S10" s="175">
        <v>0</v>
      </c>
      <c r="T10" s="148">
        <v>3900</v>
      </c>
      <c r="U10" s="148">
        <v>1500</v>
      </c>
      <c r="V10" s="148">
        <v>2500</v>
      </c>
      <c r="W10" s="148">
        <v>100</v>
      </c>
      <c r="X10" s="148">
        <v>100</v>
      </c>
      <c r="Y10" s="148">
        <v>100</v>
      </c>
      <c r="Z10" s="148">
        <v>1000</v>
      </c>
      <c r="AA10" s="148">
        <v>800</v>
      </c>
      <c r="AB10" s="163">
        <v>28.25</v>
      </c>
      <c r="AC10" s="133" t="str">
        <v>FG_Symbol (3)</v>
      </c>
      <c r="AD10" s="148">
        <v>0</v>
      </c>
      <c r="AE10" s="148">
        <v>0</v>
      </c>
      <c r="AF10" s="148">
        <v>0</v>
      </c>
      <c r="AG10" s="148">
        <v>0</v>
      </c>
      <c r="AH10" s="148">
        <v>0</v>
      </c>
      <c r="AI10" s="148">
        <v>0</v>
      </c>
      <c r="AJ10" s="148">
        <v>0</v>
      </c>
      <c r="AK10" s="148">
        <v>0</v>
      </c>
      <c r="AL10" s="148">
        <v>0</v>
      </c>
      <c r="AM10" s="17" t="str">
        <v/>
      </c>
    </row>
    <row r="11" spans="1:39" ht="15.6" customHeight="1" x14ac:dyDescent="0.3">
      <c r="A11" s="17" t="str">
        <v/>
      </c>
      <c r="B11" s="133">
        <v>6</v>
      </c>
      <c r="C11" s="159">
        <v>2</v>
      </c>
      <c r="D11" s="159">
        <v>2</v>
      </c>
      <c r="E11" s="159">
        <v>1</v>
      </c>
      <c r="F11" s="159">
        <v>2</v>
      </c>
      <c r="G11" s="159">
        <v>2</v>
      </c>
      <c r="H11" s="17" t="str">
        <v/>
      </c>
      <c r="I11" s="145" t="str">
        <v>Worksheet Name</v>
      </c>
      <c r="J11" s="146" t="str">
        <v>Weight</v>
      </c>
      <c r="K11" s="146" t="str">
        <v>RTP</v>
      </c>
      <c r="L11" s="17" t="str">
        <v/>
      </c>
      <c r="M11" s="17" t="str">
        <v/>
      </c>
      <c r="N11" s="133" t="str">
        <v>BF_Symbol</v>
      </c>
      <c r="O11" s="175">
        <v>0</v>
      </c>
      <c r="P11" s="175">
        <v>0</v>
      </c>
      <c r="Q11" s="175">
        <v>0</v>
      </c>
      <c r="R11" s="175">
        <v>0</v>
      </c>
      <c r="S11" s="175">
        <v>0</v>
      </c>
      <c r="T11" s="148">
        <v>10000</v>
      </c>
      <c r="U11" s="148">
        <v>0</v>
      </c>
      <c r="V11" s="148">
        <v>0</v>
      </c>
      <c r="W11" s="148">
        <v>0</v>
      </c>
      <c r="X11" s="148">
        <v>0</v>
      </c>
      <c r="Y11" s="148">
        <v>0</v>
      </c>
      <c r="Z11" s="148">
        <v>0</v>
      </c>
      <c r="AA11" s="148">
        <v>0</v>
      </c>
      <c r="AB11" s="163">
        <v>10</v>
      </c>
      <c r="AC11" s="133" t="str">
        <v>BF_Symbol</v>
      </c>
      <c r="AD11" s="175">
        <v>0</v>
      </c>
      <c r="AE11" s="175">
        <v>0</v>
      </c>
      <c r="AF11" s="175">
        <v>0</v>
      </c>
      <c r="AG11" s="175">
        <v>0</v>
      </c>
      <c r="AH11" s="175">
        <v>0</v>
      </c>
      <c r="AI11" s="175">
        <v>0</v>
      </c>
      <c r="AJ11" s="175">
        <v>0</v>
      </c>
      <c r="AK11" s="175">
        <v>0</v>
      </c>
      <c r="AL11" s="175">
        <v>0</v>
      </c>
      <c r="AM11" s="17" t="str">
        <v/>
      </c>
    </row>
    <row r="12" spans="1:39" ht="15.6" customHeight="1" x14ac:dyDescent="0.3">
      <c r="A12" s="17" t="str">
        <v/>
      </c>
      <c r="B12" s="133">
        <v>7</v>
      </c>
      <c r="C12" s="159">
        <v>1</v>
      </c>
      <c r="D12" s="159">
        <v>2</v>
      </c>
      <c r="E12" s="159">
        <v>2</v>
      </c>
      <c r="F12" s="159">
        <v>2</v>
      </c>
      <c r="G12" s="159">
        <v>1</v>
      </c>
      <c r="H12" s="17" t="str">
        <v/>
      </c>
      <c r="I12" s="133" t="str">
        <v>FG_Symbol</v>
      </c>
      <c r="J12" s="147">
        <v>10000</v>
      </c>
      <c r="K12" s="174" t="str">
        <v/>
      </c>
      <c r="L12" s="151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 x14ac:dyDescent="0.3">
      <c r="A13" s="17" t="str">
        <v/>
      </c>
      <c r="B13" s="133">
        <v>8</v>
      </c>
      <c r="C13" s="159">
        <v>1</v>
      </c>
      <c r="D13" s="159">
        <v>0</v>
      </c>
      <c r="E13" s="159">
        <v>0</v>
      </c>
      <c r="F13" s="159">
        <v>0</v>
      </c>
      <c r="G13" s="159">
        <v>1</v>
      </c>
      <c r="H13" s="17" t="str">
        <v/>
      </c>
      <c r="I13" s="133" t="str">
        <v>FG_Symbol (2)</v>
      </c>
      <c r="J13" s="148">
        <v>0</v>
      </c>
      <c r="K13" s="133" t="str">
        <v/>
      </c>
      <c r="L13" s="151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 x14ac:dyDescent="0.3">
      <c r="A14" s="17" t="str">
        <v/>
      </c>
      <c r="B14" s="133">
        <v>9</v>
      </c>
      <c r="C14" s="159">
        <v>0</v>
      </c>
      <c r="D14" s="159">
        <v>1</v>
      </c>
      <c r="E14" s="159">
        <v>1</v>
      </c>
      <c r="F14" s="159">
        <v>1</v>
      </c>
      <c r="G14" s="159">
        <v>0</v>
      </c>
      <c r="H14" s="17" t="str">
        <v/>
      </c>
      <c r="I14" s="133" t="str">
        <v>FG_Symbol (3)</v>
      </c>
      <c r="J14" s="148">
        <v>0</v>
      </c>
      <c r="K14" s="133" t="str">
        <v/>
      </c>
      <c r="L14" s="151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 x14ac:dyDescent="0.3">
      <c r="A15" s="17" t="str">
        <v/>
      </c>
      <c r="B15" s="133">
        <v>10</v>
      </c>
      <c r="C15" s="159">
        <v>2</v>
      </c>
      <c r="D15" s="159">
        <v>1</v>
      </c>
      <c r="E15" s="159">
        <v>1</v>
      </c>
      <c r="F15" s="159">
        <v>1</v>
      </c>
      <c r="G15" s="159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6" t="str">
        <v>Worksheet Name \ Multiple</v>
      </c>
      <c r="O15" s="146">
        <v>0</v>
      </c>
      <c r="P15" s="146">
        <v>2</v>
      </c>
      <c r="Q15" s="146">
        <v>3</v>
      </c>
      <c r="R15" s="146">
        <v>5</v>
      </c>
      <c r="S15" s="146">
        <v>8</v>
      </c>
      <c r="T15" s="146">
        <v>10</v>
      </c>
      <c r="U15" s="146">
        <v>15</v>
      </c>
      <c r="V15" s="146">
        <v>20</v>
      </c>
      <c r="W15" s="146">
        <v>25</v>
      </c>
      <c r="X15" s="146">
        <v>35</v>
      </c>
      <c r="Y15" s="146">
        <v>50</v>
      </c>
      <c r="Z15" s="146">
        <v>80</v>
      </c>
      <c r="AA15" s="146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 x14ac:dyDescent="0.3">
      <c r="A16" s="17" t="str">
        <v/>
      </c>
      <c r="B16" s="133">
        <v>11</v>
      </c>
      <c r="C16" s="159">
        <v>1</v>
      </c>
      <c r="D16" s="159">
        <v>1</v>
      </c>
      <c r="E16" s="159">
        <v>0</v>
      </c>
      <c r="F16" s="159">
        <v>1</v>
      </c>
      <c r="G16" s="159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4" t="str">
        <v>BG_Symbol</v>
      </c>
      <c r="O16" s="147">
        <v>10000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63">
        <v>0</v>
      </c>
      <c r="AC16" s="17" t="str">
        <v/>
      </c>
      <c r="AD16" s="176" t="str">
        <v/>
      </c>
      <c r="AE16" s="176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 x14ac:dyDescent="0.3">
      <c r="A17" s="17" t="str">
        <v/>
      </c>
      <c r="B17" s="133">
        <v>12</v>
      </c>
      <c r="C17" s="159">
        <v>1</v>
      </c>
      <c r="D17" s="159">
        <v>1</v>
      </c>
      <c r="E17" s="159">
        <v>2</v>
      </c>
      <c r="F17" s="159">
        <v>1</v>
      </c>
      <c r="G17" s="159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75">
        <v>0</v>
      </c>
      <c r="P17" s="148">
        <v>3200</v>
      </c>
      <c r="Q17" s="148">
        <v>2600</v>
      </c>
      <c r="R17" s="148">
        <v>2100</v>
      </c>
      <c r="S17" s="148">
        <v>2100</v>
      </c>
      <c r="T17" s="148">
        <v>0</v>
      </c>
      <c r="U17" s="147">
        <v>0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63">
        <v>4.1499999999999995</v>
      </c>
      <c r="AC17" s="17" t="str">
        <v/>
      </c>
      <c r="AD17" s="176" t="str">
        <v/>
      </c>
      <c r="AE17" s="176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 x14ac:dyDescent="0.3">
      <c r="A18" s="17" t="str">
        <v/>
      </c>
      <c r="B18" s="133">
        <v>13</v>
      </c>
      <c r="C18" s="159">
        <v>1</v>
      </c>
      <c r="D18" s="159">
        <v>0</v>
      </c>
      <c r="E18" s="159">
        <v>1</v>
      </c>
      <c r="F18" s="159">
        <v>0</v>
      </c>
      <c r="G18" s="159">
        <v>1</v>
      </c>
      <c r="H18" s="17" t="str">
        <v/>
      </c>
      <c r="I18" s="145" t="str">
        <v>Worksheet Name</v>
      </c>
      <c r="J18" s="146" t="str">
        <v>Weight</v>
      </c>
      <c r="K18" s="146" t="str">
        <v>RTP</v>
      </c>
      <c r="L18" s="17" t="str">
        <v/>
      </c>
      <c r="M18" s="17" t="str">
        <v/>
      </c>
      <c r="N18" s="133" t="str">
        <v>BG_Symbol (3)</v>
      </c>
      <c r="O18" s="148">
        <v>8100</v>
      </c>
      <c r="P18" s="147">
        <v>800</v>
      </c>
      <c r="Q18" s="147">
        <v>700</v>
      </c>
      <c r="R18" s="147">
        <v>400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63">
        <v>0.57000000000000006</v>
      </c>
      <c r="AC18" s="17" t="str">
        <v/>
      </c>
      <c r="AD18" s="176" t="str">
        <v/>
      </c>
      <c r="AE18" s="176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 x14ac:dyDescent="0.3">
      <c r="A19" s="17" t="str">
        <v/>
      </c>
      <c r="B19" s="133">
        <v>14</v>
      </c>
      <c r="C19" s="159">
        <v>1</v>
      </c>
      <c r="D19" s="159">
        <v>2</v>
      </c>
      <c r="E19" s="159">
        <v>1</v>
      </c>
      <c r="F19" s="159">
        <v>2</v>
      </c>
      <c r="G19" s="159">
        <v>1</v>
      </c>
      <c r="H19" s="17" t="str">
        <v/>
      </c>
      <c r="I19" s="133" t="str">
        <v>FG_Symbol</v>
      </c>
      <c r="J19" s="147">
        <v>10000</v>
      </c>
      <c r="K19" s="174" t="str">
        <v/>
      </c>
      <c r="L19" s="151">
        <v>1</v>
      </c>
      <c r="M19" s="17" t="str">
        <v/>
      </c>
      <c r="N19" s="133" t="str">
        <v>FG_Symbol</v>
      </c>
      <c r="O19" s="175">
        <v>0</v>
      </c>
      <c r="P19" s="148">
        <v>6440</v>
      </c>
      <c r="Q19" s="148">
        <v>2600</v>
      </c>
      <c r="R19" s="148">
        <v>660</v>
      </c>
      <c r="S19" s="148">
        <v>300</v>
      </c>
      <c r="T19" s="148">
        <v>0</v>
      </c>
      <c r="U19" s="148">
        <v>0</v>
      </c>
      <c r="V19" s="148">
        <v>0</v>
      </c>
      <c r="W19" s="148">
        <v>0</v>
      </c>
      <c r="X19" s="148">
        <v>0</v>
      </c>
      <c r="Y19" s="148">
        <v>0</v>
      </c>
      <c r="Z19" s="148">
        <v>0</v>
      </c>
      <c r="AA19" s="148">
        <v>0</v>
      </c>
      <c r="AB19" s="163">
        <v>2.6379999999999999</v>
      </c>
      <c r="AC19" s="17" t="str">
        <v/>
      </c>
      <c r="AD19" s="176" t="str">
        <v/>
      </c>
      <c r="AE19" s="176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 x14ac:dyDescent="0.3">
      <c r="A20" s="17" t="str">
        <v/>
      </c>
      <c r="B20" s="133">
        <v>15</v>
      </c>
      <c r="C20" s="159">
        <v>0</v>
      </c>
      <c r="D20" s="159">
        <v>1</v>
      </c>
      <c r="E20" s="159">
        <v>0</v>
      </c>
      <c r="F20" s="159">
        <v>1</v>
      </c>
      <c r="G20" s="159">
        <v>0</v>
      </c>
      <c r="H20" s="17" t="str">
        <v/>
      </c>
      <c r="I20" s="133" t="str">
        <v>FG_Symbol (2)</v>
      </c>
      <c r="J20" s="148">
        <v>0</v>
      </c>
      <c r="K20" s="133" t="str">
        <v/>
      </c>
      <c r="L20" s="151">
        <v>0</v>
      </c>
      <c r="M20" s="17" t="str">
        <v/>
      </c>
      <c r="N20" s="133" t="str">
        <v>FG_Symbol (2)</v>
      </c>
      <c r="O20" s="175">
        <v>0</v>
      </c>
      <c r="P20" s="148">
        <v>6440</v>
      </c>
      <c r="Q20" s="148">
        <v>2600</v>
      </c>
      <c r="R20" s="148">
        <v>660</v>
      </c>
      <c r="S20" s="148">
        <v>300</v>
      </c>
      <c r="T20" s="148">
        <v>0</v>
      </c>
      <c r="U20" s="148">
        <v>0</v>
      </c>
      <c r="V20" s="148">
        <v>0</v>
      </c>
      <c r="W20" s="148">
        <v>0</v>
      </c>
      <c r="X20" s="148">
        <v>0</v>
      </c>
      <c r="Y20" s="148">
        <v>0</v>
      </c>
      <c r="Z20" s="148">
        <v>0</v>
      </c>
      <c r="AA20" s="148">
        <v>0</v>
      </c>
      <c r="AB20" s="163">
        <v>2.6379999999999999</v>
      </c>
      <c r="AC20" s="17" t="str">
        <v/>
      </c>
      <c r="AD20" s="176" t="str">
        <v/>
      </c>
      <c r="AE20" s="176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 x14ac:dyDescent="0.3">
      <c r="A21" s="17" t="str">
        <v/>
      </c>
      <c r="B21" s="133">
        <v>16</v>
      </c>
      <c r="C21" s="159">
        <v>2</v>
      </c>
      <c r="D21" s="159">
        <v>1</v>
      </c>
      <c r="E21" s="159">
        <v>2</v>
      </c>
      <c r="F21" s="159">
        <v>1</v>
      </c>
      <c r="G21" s="159">
        <v>2</v>
      </c>
      <c r="H21" s="17" t="str">
        <v/>
      </c>
      <c r="I21" s="133" t="str">
        <v>FG_Symbol (3)</v>
      </c>
      <c r="J21" s="148">
        <v>0</v>
      </c>
      <c r="K21" s="133" t="str">
        <v/>
      </c>
      <c r="L21" s="151">
        <v>0</v>
      </c>
      <c r="M21" s="17" t="str">
        <v/>
      </c>
      <c r="N21" s="133" t="str">
        <v>FG_Symbol (3)</v>
      </c>
      <c r="O21" s="175">
        <v>0</v>
      </c>
      <c r="P21" s="148">
        <v>6440</v>
      </c>
      <c r="Q21" s="148">
        <v>2600</v>
      </c>
      <c r="R21" s="148">
        <v>660</v>
      </c>
      <c r="S21" s="148">
        <v>300</v>
      </c>
      <c r="T21" s="148">
        <v>0</v>
      </c>
      <c r="U21" s="148">
        <v>0</v>
      </c>
      <c r="V21" s="148">
        <v>0</v>
      </c>
      <c r="W21" s="148">
        <v>0</v>
      </c>
      <c r="X21" s="148">
        <v>0</v>
      </c>
      <c r="Y21" s="148">
        <v>0</v>
      </c>
      <c r="Z21" s="148">
        <v>0</v>
      </c>
      <c r="AA21" s="148">
        <v>0</v>
      </c>
      <c r="AB21" s="163">
        <v>2.6379999999999999</v>
      </c>
      <c r="AC21" s="17" t="str">
        <v/>
      </c>
      <c r="AD21" s="176" t="str">
        <v/>
      </c>
      <c r="AE21" s="176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 x14ac:dyDescent="0.3">
      <c r="A22" s="17" t="str">
        <v/>
      </c>
      <c r="B22" s="133">
        <v>17</v>
      </c>
      <c r="C22" s="159">
        <v>0</v>
      </c>
      <c r="D22" s="159">
        <v>0</v>
      </c>
      <c r="E22" s="159">
        <v>1</v>
      </c>
      <c r="F22" s="159">
        <v>2</v>
      </c>
      <c r="G22" s="159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8">
        <v>8100</v>
      </c>
      <c r="P22" s="147">
        <v>800</v>
      </c>
      <c r="Q22" s="147">
        <v>700</v>
      </c>
      <c r="R22" s="147">
        <v>400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63">
        <v>0.57000000000000006</v>
      </c>
      <c r="AC22" s="17" t="str">
        <v/>
      </c>
      <c r="AD22" s="176" t="str">
        <v/>
      </c>
      <c r="AE22" s="176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 x14ac:dyDescent="0.3">
      <c r="A23" s="17" t="str">
        <v/>
      </c>
      <c r="B23" s="133">
        <v>18</v>
      </c>
      <c r="C23" s="159">
        <v>2</v>
      </c>
      <c r="D23" s="159">
        <v>2</v>
      </c>
      <c r="E23" s="159">
        <v>1</v>
      </c>
      <c r="F23" s="159">
        <v>0</v>
      </c>
      <c r="G23" s="159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 x14ac:dyDescent="0.3">
      <c r="A24" s="17" t="str">
        <v/>
      </c>
      <c r="B24" s="133">
        <v>19</v>
      </c>
      <c r="C24" s="159">
        <v>0</v>
      </c>
      <c r="D24" s="159">
        <v>2</v>
      </c>
      <c r="E24" s="159">
        <v>0</v>
      </c>
      <c r="F24" s="159">
        <v>2</v>
      </c>
      <c r="G24" s="159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 x14ac:dyDescent="0.3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6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 x14ac:dyDescent="0.3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8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6" t="str">
        <v>Worksheet Name \ Multiple</v>
      </c>
      <c r="O26" s="146">
        <v>0</v>
      </c>
      <c r="P26" s="146">
        <v>2</v>
      </c>
      <c r="Q26" s="146">
        <v>3</v>
      </c>
      <c r="R26" s="146">
        <v>5</v>
      </c>
      <c r="S26" s="146">
        <v>8</v>
      </c>
      <c r="T26" s="146">
        <v>10</v>
      </c>
      <c r="U26" s="146">
        <v>15</v>
      </c>
      <c r="V26" s="146">
        <v>20</v>
      </c>
      <c r="W26" s="146">
        <v>25</v>
      </c>
      <c r="X26" s="146">
        <v>35</v>
      </c>
      <c r="Y26" s="146">
        <v>50</v>
      </c>
      <c r="Z26" s="146">
        <v>80</v>
      </c>
      <c r="AA26" s="146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 x14ac:dyDescent="0.3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9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4" t="str">
        <v>BG_Symbol</v>
      </c>
      <c r="O27" s="147">
        <v>10000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63">
        <v>0</v>
      </c>
      <c r="AC27" s="17" t="str">
        <v/>
      </c>
      <c r="AD27" s="176" t="str">
        <v/>
      </c>
      <c r="AE27" s="176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 x14ac:dyDescent="0.3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9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75">
        <v>0</v>
      </c>
      <c r="P28" s="148">
        <v>4400</v>
      </c>
      <c r="Q28" s="148">
        <v>2600</v>
      </c>
      <c r="R28" s="148">
        <v>1500</v>
      </c>
      <c r="S28" s="148">
        <v>1500</v>
      </c>
      <c r="T28" s="148">
        <v>0</v>
      </c>
      <c r="U28" s="147">
        <v>0</v>
      </c>
      <c r="V28" s="147">
        <v>0</v>
      </c>
      <c r="W28" s="147">
        <v>0</v>
      </c>
      <c r="X28" s="147">
        <v>0</v>
      </c>
      <c r="Y28" s="147">
        <v>0</v>
      </c>
      <c r="Z28" s="147">
        <v>0</v>
      </c>
      <c r="AA28" s="147">
        <v>0</v>
      </c>
      <c r="AB28" s="163">
        <v>3.6100000000000003</v>
      </c>
      <c r="AC28" s="17" t="str">
        <v/>
      </c>
      <c r="AD28" s="176" t="str">
        <v/>
      </c>
      <c r="AE28" s="176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 x14ac:dyDescent="0.3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9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8">
        <v>8100</v>
      </c>
      <c r="P29" s="147">
        <v>800</v>
      </c>
      <c r="Q29" s="147">
        <v>700</v>
      </c>
      <c r="R29" s="147">
        <v>400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63">
        <v>0.57000000000000006</v>
      </c>
      <c r="AC29" s="17" t="str">
        <v/>
      </c>
      <c r="AD29" s="176" t="str">
        <v/>
      </c>
      <c r="AE29" s="176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 x14ac:dyDescent="0.3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9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75">
        <v>0</v>
      </c>
      <c r="P30" s="148">
        <v>7100</v>
      </c>
      <c r="Q30" s="148">
        <v>2500</v>
      </c>
      <c r="R30" s="148">
        <v>300</v>
      </c>
      <c r="S30" s="148">
        <v>100</v>
      </c>
      <c r="T30" s="148">
        <v>0</v>
      </c>
      <c r="U30" s="148">
        <v>0</v>
      </c>
      <c r="V30" s="148">
        <v>0</v>
      </c>
      <c r="W30" s="148">
        <v>0</v>
      </c>
      <c r="X30" s="148">
        <v>0</v>
      </c>
      <c r="Y30" s="148">
        <v>0</v>
      </c>
      <c r="Z30" s="148">
        <v>0</v>
      </c>
      <c r="AA30" s="148">
        <v>0</v>
      </c>
      <c r="AB30" s="163">
        <v>2.4</v>
      </c>
      <c r="AC30" s="17" t="str">
        <v/>
      </c>
      <c r="AD30" s="176" t="str">
        <v/>
      </c>
      <c r="AE30" s="176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 x14ac:dyDescent="0.3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9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75">
        <v>0</v>
      </c>
      <c r="P31" s="148">
        <v>7100</v>
      </c>
      <c r="Q31" s="148">
        <v>2500</v>
      </c>
      <c r="R31" s="148">
        <v>300</v>
      </c>
      <c r="S31" s="148">
        <v>100</v>
      </c>
      <c r="T31" s="148">
        <v>0</v>
      </c>
      <c r="U31" s="148">
        <v>0</v>
      </c>
      <c r="V31" s="148">
        <v>0</v>
      </c>
      <c r="W31" s="148">
        <v>0</v>
      </c>
      <c r="X31" s="148">
        <v>0</v>
      </c>
      <c r="Y31" s="148">
        <v>0</v>
      </c>
      <c r="Z31" s="148">
        <v>0</v>
      </c>
      <c r="AA31" s="148">
        <v>0</v>
      </c>
      <c r="AB31" s="163">
        <v>2.4</v>
      </c>
      <c r="AC31" s="17" t="str">
        <v/>
      </c>
      <c r="AD31" s="176" t="str">
        <v/>
      </c>
      <c r="AE31" s="176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 x14ac:dyDescent="0.3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9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75">
        <v>0</v>
      </c>
      <c r="P32" s="148">
        <v>7100</v>
      </c>
      <c r="Q32" s="148">
        <v>2500</v>
      </c>
      <c r="R32" s="148">
        <v>300</v>
      </c>
      <c r="S32" s="148">
        <v>100</v>
      </c>
      <c r="T32" s="148">
        <v>0</v>
      </c>
      <c r="U32" s="148">
        <v>0</v>
      </c>
      <c r="V32" s="148">
        <v>0</v>
      </c>
      <c r="W32" s="148">
        <v>0</v>
      </c>
      <c r="X32" s="148">
        <v>0</v>
      </c>
      <c r="Y32" s="148">
        <v>0</v>
      </c>
      <c r="Z32" s="148">
        <v>0</v>
      </c>
      <c r="AA32" s="148">
        <v>0</v>
      </c>
      <c r="AB32" s="163">
        <v>2.4</v>
      </c>
      <c r="AC32" s="17" t="str">
        <v/>
      </c>
      <c r="AD32" s="176" t="str">
        <v/>
      </c>
      <c r="AE32" s="176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 x14ac:dyDescent="0.3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9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8">
        <v>8100</v>
      </c>
      <c r="P33" s="147">
        <v>800</v>
      </c>
      <c r="Q33" s="147">
        <v>700</v>
      </c>
      <c r="R33" s="147">
        <v>400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63">
        <v>0.57000000000000006</v>
      </c>
      <c r="AC33" s="17" t="str">
        <v/>
      </c>
      <c r="AD33" s="176" t="str">
        <v/>
      </c>
      <c r="AE33" s="176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 x14ac:dyDescent="0.3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9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 x14ac:dyDescent="0.3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9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>
        <v>10</v>
      </c>
      <c r="U35" s="17">
        <v>60</v>
      </c>
      <c r="V35" s="17">
        <v>30</v>
      </c>
      <c r="W35" s="17">
        <v>20</v>
      </c>
      <c r="X35" s="17">
        <v>20</v>
      </c>
      <c r="Y35" s="17">
        <v>10</v>
      </c>
      <c r="Z35" s="17">
        <v>50</v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 x14ac:dyDescent="0.3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9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 x14ac:dyDescent="0.3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9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6" t="str">
        <v>Worksheet Name \ Multiple</v>
      </c>
      <c r="O37" s="146">
        <v>0</v>
      </c>
      <c r="P37" s="146">
        <v>2</v>
      </c>
      <c r="Q37" s="146">
        <v>3</v>
      </c>
      <c r="R37" s="146">
        <v>5</v>
      </c>
      <c r="S37" s="146">
        <v>8</v>
      </c>
      <c r="T37" s="146">
        <v>10</v>
      </c>
      <c r="U37" s="146">
        <v>15</v>
      </c>
      <c r="V37" s="146">
        <v>20</v>
      </c>
      <c r="W37" s="146">
        <v>25</v>
      </c>
      <c r="X37" s="146">
        <v>35</v>
      </c>
      <c r="Y37" s="146">
        <v>50</v>
      </c>
      <c r="Z37" s="146">
        <v>80</v>
      </c>
      <c r="AA37" s="146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 x14ac:dyDescent="0.3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9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7">
        <v>10000</v>
      </c>
      <c r="P38" s="147">
        <v>0</v>
      </c>
      <c r="Q38" s="147">
        <v>0</v>
      </c>
      <c r="R38" s="147">
        <v>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0</v>
      </c>
      <c r="Y38" s="147">
        <v>0</v>
      </c>
      <c r="Z38" s="147">
        <v>0</v>
      </c>
      <c r="AA38" s="147">
        <v>0</v>
      </c>
      <c r="AB38" s="163">
        <v>0</v>
      </c>
      <c r="AC38" s="163" t="str">
        <v/>
      </c>
      <c r="AD38" s="176" t="str">
        <v/>
      </c>
      <c r="AE38" s="176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 x14ac:dyDescent="0.3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7">
        <v>8100</v>
      </c>
      <c r="P39" s="147">
        <v>600</v>
      </c>
      <c r="Q39" s="147">
        <v>500</v>
      </c>
      <c r="R39" s="147">
        <v>400</v>
      </c>
      <c r="S39" s="147">
        <v>400</v>
      </c>
      <c r="T39" s="147">
        <v>0</v>
      </c>
      <c r="U39" s="147">
        <v>0</v>
      </c>
      <c r="V39" s="147">
        <v>0</v>
      </c>
      <c r="W39" s="147">
        <v>0</v>
      </c>
      <c r="X39" s="147">
        <v>0</v>
      </c>
      <c r="Y39" s="147">
        <v>0</v>
      </c>
      <c r="Z39" s="147">
        <v>0</v>
      </c>
      <c r="AA39" s="147">
        <v>0</v>
      </c>
      <c r="AB39" s="163">
        <v>0.79</v>
      </c>
      <c r="AC39" s="163" t="str">
        <v/>
      </c>
      <c r="AD39" s="176" t="str">
        <v/>
      </c>
      <c r="AE39" s="176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 x14ac:dyDescent="0.3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8">
        <v>8100</v>
      </c>
      <c r="P40" s="147">
        <v>800</v>
      </c>
      <c r="Q40" s="147">
        <v>700</v>
      </c>
      <c r="R40" s="147">
        <v>400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0</v>
      </c>
      <c r="AA40" s="147">
        <v>0</v>
      </c>
      <c r="AB40" s="163">
        <v>0.57000000000000006</v>
      </c>
      <c r="AC40" s="163" t="str">
        <v/>
      </c>
      <c r="AD40" s="176" t="str">
        <v/>
      </c>
      <c r="AE40" s="176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 x14ac:dyDescent="0.3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8">
        <v>6500</v>
      </c>
      <c r="P41" s="148">
        <v>2100</v>
      </c>
      <c r="Q41" s="148">
        <v>1000</v>
      </c>
      <c r="R41" s="148">
        <v>200</v>
      </c>
      <c r="S41" s="148">
        <v>200</v>
      </c>
      <c r="T41" s="148">
        <v>0</v>
      </c>
      <c r="U41" s="148">
        <v>0</v>
      </c>
      <c r="V41" s="148">
        <v>0</v>
      </c>
      <c r="W41" s="148">
        <v>0</v>
      </c>
      <c r="X41" s="148">
        <v>0</v>
      </c>
      <c r="Y41" s="148">
        <v>0</v>
      </c>
      <c r="Z41" s="148">
        <v>0</v>
      </c>
      <c r="AA41" s="148">
        <v>0</v>
      </c>
      <c r="AB41" s="163">
        <v>0.98</v>
      </c>
      <c r="AC41" s="163" t="str">
        <v/>
      </c>
      <c r="AD41" s="176" t="str">
        <v/>
      </c>
      <c r="AE41" s="176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 x14ac:dyDescent="0.3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5" t="str">
        <v/>
      </c>
      <c r="J42" s="146" t="str">
        <v xml:space="preserve"> A</v>
      </c>
      <c r="K42" s="146" t="str">
        <v>B</v>
      </c>
      <c r="L42" s="17" t="str">
        <v/>
      </c>
      <c r="M42" s="17" t="str">
        <v/>
      </c>
      <c r="N42" s="133" t="str">
        <v>FG_Symbol (2)</v>
      </c>
      <c r="O42" s="148">
        <v>6500</v>
      </c>
      <c r="P42" s="148">
        <v>2100</v>
      </c>
      <c r="Q42" s="148">
        <v>1000</v>
      </c>
      <c r="R42" s="148">
        <v>200</v>
      </c>
      <c r="S42" s="148">
        <v>200</v>
      </c>
      <c r="T42" s="148">
        <v>0</v>
      </c>
      <c r="U42" s="148">
        <v>0</v>
      </c>
      <c r="V42" s="148">
        <v>0</v>
      </c>
      <c r="W42" s="148">
        <v>0</v>
      </c>
      <c r="X42" s="148">
        <v>0</v>
      </c>
      <c r="Y42" s="148">
        <v>0</v>
      </c>
      <c r="Z42" s="148">
        <v>0</v>
      </c>
      <c r="AA42" s="148">
        <v>0</v>
      </c>
      <c r="AB42" s="163">
        <v>0.98</v>
      </c>
      <c r="AC42" s="163" t="str">
        <v/>
      </c>
      <c r="AD42" s="176" t="str">
        <v/>
      </c>
      <c r="AE42" s="176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 x14ac:dyDescent="0.3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7">
        <v>10</v>
      </c>
      <c r="K43" s="147">
        <v>0</v>
      </c>
      <c r="L43" s="17" t="str">
        <v/>
      </c>
      <c r="M43" s="17" t="str">
        <v/>
      </c>
      <c r="N43" s="133" t="str">
        <v>FG_Symbol (3)</v>
      </c>
      <c r="O43" s="148">
        <v>6500</v>
      </c>
      <c r="P43" s="148">
        <v>2100</v>
      </c>
      <c r="Q43" s="148">
        <v>1000</v>
      </c>
      <c r="R43" s="148">
        <v>200</v>
      </c>
      <c r="S43" s="148">
        <v>200</v>
      </c>
      <c r="T43" s="148">
        <v>0</v>
      </c>
      <c r="U43" s="148">
        <v>0</v>
      </c>
      <c r="V43" s="148">
        <v>0</v>
      </c>
      <c r="W43" s="148">
        <v>0</v>
      </c>
      <c r="X43" s="148">
        <v>0</v>
      </c>
      <c r="Y43" s="148">
        <v>0</v>
      </c>
      <c r="Z43" s="148">
        <v>0</v>
      </c>
      <c r="AA43" s="148">
        <v>0</v>
      </c>
      <c r="AB43" s="163">
        <v>0.98</v>
      </c>
      <c r="AC43" s="163" t="str">
        <v/>
      </c>
      <c r="AD43" s="176" t="str">
        <v/>
      </c>
      <c r="AE43" s="176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 x14ac:dyDescent="0.3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8">
        <v>10</v>
      </c>
      <c r="K44" s="148">
        <v>0</v>
      </c>
      <c r="L44" s="17" t="str">
        <v/>
      </c>
      <c r="M44" s="17" t="str">
        <v/>
      </c>
      <c r="N44" s="133" t="str">
        <v>BF_Symbol</v>
      </c>
      <c r="O44" s="148">
        <v>8100</v>
      </c>
      <c r="P44" s="147">
        <v>800</v>
      </c>
      <c r="Q44" s="147">
        <v>700</v>
      </c>
      <c r="R44" s="147">
        <v>400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63">
        <v>0.57000000000000006</v>
      </c>
      <c r="AC44" s="163" t="str">
        <v/>
      </c>
      <c r="AD44" s="176" t="str">
        <v/>
      </c>
      <c r="AE44" s="176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 x14ac:dyDescent="0.3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 x14ac:dyDescent="0.3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 x14ac:dyDescent="0.3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 x14ac:dyDescent="0.3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6" t="str">
        <v>Worksheet Name \ Multiple</v>
      </c>
      <c r="O48" s="146">
        <v>0</v>
      </c>
      <c r="P48" s="146">
        <v>2</v>
      </c>
      <c r="Q48" s="146">
        <v>3</v>
      </c>
      <c r="R48" s="146">
        <v>5</v>
      </c>
      <c r="S48" s="146">
        <v>8</v>
      </c>
      <c r="T48" s="146">
        <v>10</v>
      </c>
      <c r="U48" s="146">
        <v>15</v>
      </c>
      <c r="V48" s="146">
        <v>20</v>
      </c>
      <c r="W48" s="146">
        <v>25</v>
      </c>
      <c r="X48" s="146">
        <v>35</v>
      </c>
      <c r="Y48" s="146">
        <v>50</v>
      </c>
      <c r="Z48" s="146">
        <v>80</v>
      </c>
      <c r="AA48" s="146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 x14ac:dyDescent="0.3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7">
        <v>10000</v>
      </c>
      <c r="P49" s="147">
        <v>0</v>
      </c>
      <c r="Q49" s="147">
        <v>0</v>
      </c>
      <c r="R49" s="147">
        <v>0</v>
      </c>
      <c r="S49" s="147">
        <v>0</v>
      </c>
      <c r="T49" s="147">
        <v>0</v>
      </c>
      <c r="U49" s="147">
        <v>0</v>
      </c>
      <c r="V49" s="147">
        <v>0</v>
      </c>
      <c r="W49" s="147">
        <v>0</v>
      </c>
      <c r="X49" s="147">
        <v>0</v>
      </c>
      <c r="Y49" s="147">
        <v>0</v>
      </c>
      <c r="Z49" s="147">
        <v>0</v>
      </c>
      <c r="AA49" s="147">
        <v>0</v>
      </c>
      <c r="AB49" s="163">
        <v>0</v>
      </c>
      <c r="AC49" s="163" t="str">
        <v/>
      </c>
      <c r="AD49" s="176" t="str">
        <v/>
      </c>
      <c r="AE49" s="176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 x14ac:dyDescent="0.3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7">
        <v>8700</v>
      </c>
      <c r="P50" s="147">
        <v>500</v>
      </c>
      <c r="Q50" s="147">
        <v>400</v>
      </c>
      <c r="R50" s="147">
        <v>200</v>
      </c>
      <c r="S50" s="147">
        <v>200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63">
        <v>0.48</v>
      </c>
      <c r="AC50" s="163" t="str">
        <v/>
      </c>
      <c r="AD50" s="176" t="str">
        <v/>
      </c>
      <c r="AE50" s="176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 x14ac:dyDescent="0.3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8">
        <v>8100</v>
      </c>
      <c r="P51" s="147">
        <v>800</v>
      </c>
      <c r="Q51" s="147">
        <v>700</v>
      </c>
      <c r="R51" s="147">
        <v>400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63">
        <v>0.57000000000000006</v>
      </c>
      <c r="AC51" s="163" t="str">
        <v/>
      </c>
      <c r="AD51" s="176" t="str">
        <v/>
      </c>
      <c r="AE51" s="176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 x14ac:dyDescent="0.3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8">
        <v>6700</v>
      </c>
      <c r="P52" s="148">
        <v>2300</v>
      </c>
      <c r="Q52" s="148">
        <v>800</v>
      </c>
      <c r="R52" s="148">
        <v>100</v>
      </c>
      <c r="S52" s="148">
        <v>100</v>
      </c>
      <c r="T52" s="148">
        <v>0</v>
      </c>
      <c r="U52" s="148">
        <v>0</v>
      </c>
      <c r="V52" s="148">
        <v>0</v>
      </c>
      <c r="W52" s="148">
        <v>0</v>
      </c>
      <c r="X52" s="148">
        <v>0</v>
      </c>
      <c r="Y52" s="148">
        <v>0</v>
      </c>
      <c r="Z52" s="148">
        <v>0</v>
      </c>
      <c r="AA52" s="148">
        <v>0</v>
      </c>
      <c r="AB52" s="163">
        <v>0.83</v>
      </c>
      <c r="AC52" s="163" t="str">
        <v/>
      </c>
      <c r="AD52" s="176" t="str">
        <v/>
      </c>
      <c r="AE52" s="176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 x14ac:dyDescent="0.3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8">
        <v>6700</v>
      </c>
      <c r="P53" s="148">
        <v>2300</v>
      </c>
      <c r="Q53" s="148">
        <v>800</v>
      </c>
      <c r="R53" s="148">
        <v>100</v>
      </c>
      <c r="S53" s="148">
        <v>100</v>
      </c>
      <c r="T53" s="148">
        <v>0</v>
      </c>
      <c r="U53" s="148">
        <v>0</v>
      </c>
      <c r="V53" s="148">
        <v>0</v>
      </c>
      <c r="W53" s="148">
        <v>0</v>
      </c>
      <c r="X53" s="148">
        <v>0</v>
      </c>
      <c r="Y53" s="148">
        <v>0</v>
      </c>
      <c r="Z53" s="148">
        <v>0</v>
      </c>
      <c r="AA53" s="148">
        <v>0</v>
      </c>
      <c r="AB53" s="163">
        <v>0.83</v>
      </c>
      <c r="AC53" s="163" t="str">
        <v/>
      </c>
      <c r="AD53" s="176" t="str">
        <v/>
      </c>
      <c r="AE53" s="176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 x14ac:dyDescent="0.3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8">
        <v>6700</v>
      </c>
      <c r="P54" s="148">
        <v>2300</v>
      </c>
      <c r="Q54" s="148">
        <v>800</v>
      </c>
      <c r="R54" s="148">
        <v>100</v>
      </c>
      <c r="S54" s="148">
        <v>100</v>
      </c>
      <c r="T54" s="148">
        <v>0</v>
      </c>
      <c r="U54" s="148">
        <v>0</v>
      </c>
      <c r="V54" s="148">
        <v>0</v>
      </c>
      <c r="W54" s="148">
        <v>0</v>
      </c>
      <c r="X54" s="148">
        <v>0</v>
      </c>
      <c r="Y54" s="148">
        <v>0</v>
      </c>
      <c r="Z54" s="148">
        <v>0</v>
      </c>
      <c r="AA54" s="148">
        <v>0</v>
      </c>
      <c r="AB54" s="163">
        <v>0.83</v>
      </c>
      <c r="AC54" s="163" t="str">
        <v/>
      </c>
      <c r="AD54" s="176" t="str">
        <v/>
      </c>
      <c r="AE54" s="176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 x14ac:dyDescent="0.3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8">
        <v>8100</v>
      </c>
      <c r="P55" s="147">
        <v>800</v>
      </c>
      <c r="Q55" s="147">
        <v>700</v>
      </c>
      <c r="R55" s="147">
        <v>400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63">
        <v>0.57000000000000006</v>
      </c>
      <c r="AC55" s="163" t="str">
        <v/>
      </c>
      <c r="AD55" s="176" t="str">
        <v/>
      </c>
      <c r="AE55" s="176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 x14ac:dyDescent="0.3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G7" sqref="G7"/>
    </sheetView>
  </sheetViews>
  <sheetFormatPr defaultRowHeight="16.2" x14ac:dyDescent="0.3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 x14ac:dyDescent="0.3">
      <c r="B3" s="20" t="str" cm="1">
        <f t="array" ref="B3:B68">Multiplier_Weight_Oldhand!H14:H79</f>
        <v>Range</v>
      </c>
      <c r="C3" s="20" t="s">
        <v>213</v>
      </c>
      <c r="D3" s="146" t="s">
        <v>216</v>
      </c>
      <c r="E3" s="20" t="s">
        <v>214</v>
      </c>
      <c r="F3" s="20" t="s">
        <v>215</v>
      </c>
    </row>
    <row r="4" spans="2:14" x14ac:dyDescent="0.3">
      <c r="B4" s="61" t="str">
        <v>(-1, 0]</v>
      </c>
      <c r="C4" s="152" cm="1">
        <f t="array" ref="C4:C68">Multiplier_Weight_Oldhand!L15:L79</f>
        <v>710192417</v>
      </c>
      <c r="D4" s="152">
        <f>SUM($C$4:C4)</f>
        <v>710192417</v>
      </c>
      <c r="E4" s="152" cm="1">
        <f t="array" ref="E4:E67">Multiplier_Weight_Oldhand!L87:L150</f>
        <v>0</v>
      </c>
      <c r="F4" s="152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 x14ac:dyDescent="0.3">
      <c r="B5" s="61" t="str">
        <v>(0, 1]</v>
      </c>
      <c r="C5" s="152">
        <v>156605012</v>
      </c>
      <c r="D5" s="152">
        <f>SUM($C$4:C5)</f>
        <v>866797429</v>
      </c>
      <c r="E5" s="152">
        <v>0</v>
      </c>
      <c r="F5" s="152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 x14ac:dyDescent="0.3">
      <c r="B6" s="61" t="str">
        <v>(1, 2]</v>
      </c>
      <c r="C6" s="152">
        <v>36354710</v>
      </c>
      <c r="D6" s="152">
        <f>SUM($C$4:C6)</f>
        <v>903152139</v>
      </c>
      <c r="E6" s="152">
        <v>0</v>
      </c>
      <c r="F6" s="152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 x14ac:dyDescent="0.3">
      <c r="B7" s="61" t="str">
        <v>(2, 3]</v>
      </c>
      <c r="C7" s="152">
        <v>17104359</v>
      </c>
      <c r="D7" s="152">
        <f>SUM($C$4:C7)</f>
        <v>920256498</v>
      </c>
      <c r="E7" s="152">
        <v>0</v>
      </c>
      <c r="F7" s="152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 x14ac:dyDescent="0.3">
      <c r="B8" s="61" t="str">
        <v>(3, 4]</v>
      </c>
      <c r="C8" s="152">
        <v>8904772</v>
      </c>
      <c r="D8" s="152">
        <f>SUM($C$4:C8)</f>
        <v>929161270</v>
      </c>
      <c r="E8" s="152">
        <v>0</v>
      </c>
      <c r="F8" s="152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 x14ac:dyDescent="0.3">
      <c r="B9" s="61" t="str">
        <v>(4, 5]</v>
      </c>
      <c r="C9" s="152">
        <v>6264942</v>
      </c>
      <c r="D9" s="152">
        <f>SUM($C$4:C9)</f>
        <v>935426212</v>
      </c>
      <c r="E9" s="152">
        <v>0</v>
      </c>
      <c r="F9" s="152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 x14ac:dyDescent="0.3">
      <c r="B10" s="61" t="str">
        <v>(5, 6]</v>
      </c>
      <c r="C10" s="152">
        <v>4753489</v>
      </c>
      <c r="D10" s="152">
        <f>SUM($C$4:C10)</f>
        <v>940179701</v>
      </c>
      <c r="E10" s="152">
        <v>0</v>
      </c>
      <c r="F10" s="152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 x14ac:dyDescent="0.3">
      <c r="B11" s="61" t="str">
        <v>(6, 7]</v>
      </c>
      <c r="C11" s="152">
        <v>3104232</v>
      </c>
      <c r="D11" s="152">
        <f>SUM($C$4:C11)</f>
        <v>943283933</v>
      </c>
      <c r="E11" s="152">
        <v>0</v>
      </c>
      <c r="F11" s="152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 x14ac:dyDescent="0.3">
      <c r="B12" s="61" t="str">
        <v>(7, 8]</v>
      </c>
      <c r="C12" s="152">
        <v>3554465</v>
      </c>
      <c r="D12" s="152">
        <f>SUM($C$4:C12)</f>
        <v>946838398</v>
      </c>
      <c r="E12" s="152">
        <v>0</v>
      </c>
      <c r="F12" s="152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 x14ac:dyDescent="0.3">
      <c r="B13" s="61" t="str">
        <v>(8, 9]</v>
      </c>
      <c r="C13" s="152">
        <v>2444549</v>
      </c>
      <c r="D13" s="152">
        <f>SUM($C$4:C13)</f>
        <v>949282947</v>
      </c>
      <c r="E13" s="152">
        <v>0</v>
      </c>
      <c r="F13" s="152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 x14ac:dyDescent="0.3">
      <c r="B14" s="61" t="str">
        <v>(9, 10]</v>
      </c>
      <c r="C14" s="152">
        <v>2575966</v>
      </c>
      <c r="D14" s="152">
        <f>SUM($C$4:C14)</f>
        <v>951858913</v>
      </c>
      <c r="E14" s="152">
        <v>0</v>
      </c>
      <c r="F14" s="152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 x14ac:dyDescent="0.3">
      <c r="B15" s="61" t="str">
        <v>(10, 15]</v>
      </c>
      <c r="C15" s="152">
        <v>8166957</v>
      </c>
      <c r="D15" s="152">
        <f>SUM($C$4:C15)</f>
        <v>960025870</v>
      </c>
      <c r="E15" s="152">
        <v>0</v>
      </c>
      <c r="F15" s="152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 x14ac:dyDescent="0.3">
      <c r="B16" s="124" t="str">
        <v>(15, 20]</v>
      </c>
      <c r="C16" s="152">
        <v>5775394</v>
      </c>
      <c r="D16" s="152">
        <f>SUM($C$4:C16)</f>
        <v>965801264</v>
      </c>
      <c r="E16" s="152">
        <v>0</v>
      </c>
      <c r="F16" s="152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 x14ac:dyDescent="0.3">
      <c r="B17" s="61" t="str">
        <v>(20, 25]</v>
      </c>
      <c r="C17" s="152">
        <v>4037028</v>
      </c>
      <c r="D17" s="152">
        <f>SUM($C$4:C17)</f>
        <v>969838292</v>
      </c>
      <c r="E17" s="152">
        <v>0</v>
      </c>
      <c r="F17" s="152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 x14ac:dyDescent="0.3">
      <c r="B18" s="61" t="str">
        <v>(25, 30]</v>
      </c>
      <c r="C18" s="152">
        <v>3245628</v>
      </c>
      <c r="D18" s="152">
        <f>SUM($C$4:C18)</f>
        <v>973083920</v>
      </c>
      <c r="E18" s="152">
        <v>0</v>
      </c>
      <c r="F18" s="152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 x14ac:dyDescent="0.3">
      <c r="B19" s="61" t="str">
        <v>(30, 35]</v>
      </c>
      <c r="C19" s="152">
        <v>2389367</v>
      </c>
      <c r="D19" s="152">
        <f>SUM($C$4:C19)</f>
        <v>975473287</v>
      </c>
      <c r="E19" s="152">
        <v>0</v>
      </c>
      <c r="F19" s="152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 x14ac:dyDescent="0.3">
      <c r="B20" s="124" t="str">
        <v>(35, 40]</v>
      </c>
      <c r="C20" s="152">
        <v>2207458</v>
      </c>
      <c r="D20" s="152">
        <f>SUM($C$4:C20)</f>
        <v>977680745</v>
      </c>
      <c r="E20" s="152">
        <v>0</v>
      </c>
      <c r="F20" s="152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 x14ac:dyDescent="0.3">
      <c r="B21" s="61" t="str">
        <v>(40, 45]</v>
      </c>
      <c r="C21" s="152">
        <v>1734873</v>
      </c>
      <c r="D21" s="152">
        <f>SUM($C$4:C21)</f>
        <v>979415618</v>
      </c>
      <c r="E21" s="152">
        <v>0</v>
      </c>
      <c r="F21" s="152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 x14ac:dyDescent="0.3">
      <c r="B22" s="61" t="str">
        <v>(45, 50]</v>
      </c>
      <c r="C22" s="152">
        <v>1518438</v>
      </c>
      <c r="D22" s="152">
        <f>SUM($C$4:C22)</f>
        <v>980934056</v>
      </c>
      <c r="E22" s="152">
        <v>0</v>
      </c>
      <c r="F22" s="152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 x14ac:dyDescent="0.3">
      <c r="B23" s="124" t="str">
        <v>(50, 60]</v>
      </c>
      <c r="C23" s="152">
        <v>2460415</v>
      </c>
      <c r="D23" s="152">
        <f>SUM($C$4:C23)</f>
        <v>983394471</v>
      </c>
      <c r="E23" s="152">
        <v>0</v>
      </c>
      <c r="F23" s="152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 x14ac:dyDescent="0.3">
      <c r="B24" s="61" t="str">
        <v>(60, 70]</v>
      </c>
      <c r="C24" s="152">
        <v>1754631</v>
      </c>
      <c r="D24" s="152">
        <f>SUM($C$4:C24)</f>
        <v>985149102</v>
      </c>
      <c r="E24" s="152">
        <v>0</v>
      </c>
      <c r="F24" s="152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 x14ac:dyDescent="0.3">
      <c r="B25" s="61" t="str">
        <v>(70, 80]</v>
      </c>
      <c r="C25" s="152">
        <v>1478923</v>
      </c>
      <c r="D25" s="152">
        <f>SUM($C$4:C25)</f>
        <v>986628025</v>
      </c>
      <c r="E25" s="152">
        <v>0</v>
      </c>
      <c r="F25" s="152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 x14ac:dyDescent="0.3">
      <c r="B26" s="61" t="str">
        <v>(80, 90]</v>
      </c>
      <c r="C26" s="152">
        <v>1172681</v>
      </c>
      <c r="D26" s="152">
        <f>SUM($C$4:C26)</f>
        <v>987800706</v>
      </c>
      <c r="E26" s="152">
        <v>0</v>
      </c>
      <c r="F26" s="152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 x14ac:dyDescent="0.3">
      <c r="B27" s="61" t="str">
        <v>(90, 100]</v>
      </c>
      <c r="C27" s="152">
        <v>991669</v>
      </c>
      <c r="D27" s="152">
        <f>SUM($C$4:C27)</f>
        <v>988792375</v>
      </c>
      <c r="E27" s="152">
        <v>0</v>
      </c>
      <c r="F27" s="152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 x14ac:dyDescent="0.3">
      <c r="B28" s="61" t="str">
        <v>(100, 120]</v>
      </c>
      <c r="C28" s="152">
        <v>1571424</v>
      </c>
      <c r="D28" s="152">
        <f>SUM($C$4:C28)</f>
        <v>990363799</v>
      </c>
      <c r="E28" s="152">
        <v>0</v>
      </c>
      <c r="F28" s="152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 x14ac:dyDescent="0.3">
      <c r="B29" s="61" t="str">
        <v>(120, 140]</v>
      </c>
      <c r="C29" s="152">
        <v>1154120</v>
      </c>
      <c r="D29" s="152">
        <f>SUM($C$4:C29)</f>
        <v>991517919</v>
      </c>
      <c r="E29" s="152">
        <v>0</v>
      </c>
      <c r="F29" s="152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 x14ac:dyDescent="0.3">
      <c r="B30" s="61" t="str">
        <v>(140, 160]</v>
      </c>
      <c r="C30" s="152">
        <v>919724</v>
      </c>
      <c r="D30" s="152">
        <f>SUM($C$4:C30)</f>
        <v>992437643</v>
      </c>
      <c r="E30" s="152">
        <v>0</v>
      </c>
      <c r="F30" s="152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 x14ac:dyDescent="0.3">
      <c r="B31" s="61" t="str">
        <v>(160, 180]</v>
      </c>
      <c r="C31" s="152">
        <v>708777</v>
      </c>
      <c r="D31" s="152">
        <f>SUM($C$4:C31)</f>
        <v>993146420</v>
      </c>
      <c r="E31" s="152">
        <v>0</v>
      </c>
      <c r="F31" s="152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 x14ac:dyDescent="0.3">
      <c r="B32" s="61" t="str">
        <v>(180, 200]</v>
      </c>
      <c r="C32" s="152">
        <v>582249</v>
      </c>
      <c r="D32" s="152">
        <f>SUM($C$4:C32)</f>
        <v>993728669</v>
      </c>
      <c r="E32" s="152">
        <v>0</v>
      </c>
      <c r="F32" s="152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 x14ac:dyDescent="0.3">
      <c r="B33" s="61" t="str">
        <v>(200, 250]</v>
      </c>
      <c r="C33" s="152">
        <v>1058326</v>
      </c>
      <c r="D33" s="152">
        <f>SUM($C$4:C33)</f>
        <v>994786995</v>
      </c>
      <c r="E33" s="152">
        <v>0</v>
      </c>
      <c r="F33" s="152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 x14ac:dyDescent="0.3">
      <c r="B34" s="61" t="str">
        <v>(250, 300]</v>
      </c>
      <c r="C34" s="152">
        <v>721550</v>
      </c>
      <c r="D34" s="152">
        <f>SUM($C$4:C34)</f>
        <v>995508545</v>
      </c>
      <c r="E34" s="152">
        <v>0</v>
      </c>
      <c r="F34" s="152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 x14ac:dyDescent="0.3">
      <c r="B35" s="61" t="str">
        <v>(300, 350]</v>
      </c>
      <c r="C35" s="152">
        <v>498030</v>
      </c>
      <c r="D35" s="152">
        <f>SUM($C$4:C35)</f>
        <v>996006575</v>
      </c>
      <c r="E35" s="152">
        <v>0</v>
      </c>
      <c r="F35" s="152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 x14ac:dyDescent="0.3">
      <c r="B36" s="61" t="str">
        <v>(350, 400]</v>
      </c>
      <c r="C36" s="152">
        <v>352243</v>
      </c>
      <c r="D36" s="152">
        <f>SUM($C$4:C36)</f>
        <v>996358818</v>
      </c>
      <c r="E36" s="152">
        <v>0</v>
      </c>
      <c r="F36" s="152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 x14ac:dyDescent="0.3">
      <c r="B37" s="61" t="str">
        <v>(400, 450]</v>
      </c>
      <c r="C37" s="152">
        <v>272115</v>
      </c>
      <c r="D37" s="152">
        <f>SUM($C$4:C37)</f>
        <v>996630933</v>
      </c>
      <c r="E37" s="152">
        <v>0</v>
      </c>
      <c r="F37" s="152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 x14ac:dyDescent="0.3">
      <c r="B38" s="61" t="str">
        <v>(450, 500]</v>
      </c>
      <c r="C38" s="152">
        <v>197376</v>
      </c>
      <c r="D38" s="152">
        <f>SUM($C$4:C38)</f>
        <v>996828309</v>
      </c>
      <c r="E38" s="152">
        <v>0</v>
      </c>
      <c r="F38" s="152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 x14ac:dyDescent="0.3">
      <c r="B39" s="61" t="str">
        <v>(500, 550]</v>
      </c>
      <c r="C39" s="152">
        <v>161453</v>
      </c>
      <c r="D39" s="152">
        <f>SUM($C$4:C39)</f>
        <v>996989762</v>
      </c>
      <c r="E39" s="152">
        <v>0</v>
      </c>
      <c r="F39" s="152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 x14ac:dyDescent="0.3">
      <c r="B40" s="61" t="str">
        <v>(550, 600]</v>
      </c>
      <c r="C40" s="152">
        <v>118944</v>
      </c>
      <c r="D40" s="152">
        <f>SUM($C$4:C40)</f>
        <v>997108706</v>
      </c>
      <c r="E40" s="152">
        <v>0</v>
      </c>
      <c r="F40" s="152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 x14ac:dyDescent="0.3">
      <c r="B41" s="61" t="str">
        <v>(600, 650]</v>
      </c>
      <c r="C41" s="152">
        <v>106371</v>
      </c>
      <c r="D41" s="152">
        <f>SUM($C$4:C41)</f>
        <v>997215077</v>
      </c>
      <c r="E41" s="152">
        <v>0</v>
      </c>
      <c r="F41" s="152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 x14ac:dyDescent="0.3">
      <c r="B42" s="61" t="str">
        <v>(650, 700]</v>
      </c>
      <c r="C42" s="152">
        <v>84119</v>
      </c>
      <c r="D42" s="152">
        <f>SUM($C$4:C42)</f>
        <v>997299196</v>
      </c>
      <c r="E42" s="152">
        <v>0</v>
      </c>
      <c r="F42" s="152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 x14ac:dyDescent="0.3">
      <c r="B43" s="61" t="str">
        <v>(700, 750]</v>
      </c>
      <c r="C43" s="152">
        <v>68951</v>
      </c>
      <c r="D43" s="152">
        <f>SUM($C$4:C43)</f>
        <v>997368147</v>
      </c>
      <c r="E43" s="152">
        <v>0</v>
      </c>
      <c r="F43" s="152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 x14ac:dyDescent="0.3">
      <c r="B44" s="61" t="str">
        <v>(750, 800]</v>
      </c>
      <c r="C44" s="152">
        <v>60370</v>
      </c>
      <c r="D44" s="152">
        <f>SUM($C$4:C44)</f>
        <v>997428517</v>
      </c>
      <c r="E44" s="152">
        <v>0</v>
      </c>
      <c r="F44" s="152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 x14ac:dyDescent="0.3">
      <c r="B45" s="61" t="str">
        <v>(800, 850]</v>
      </c>
      <c r="C45" s="152">
        <v>49992</v>
      </c>
      <c r="D45" s="152">
        <f>SUM($C$4:C45)</f>
        <v>997478509</v>
      </c>
      <c r="E45" s="152">
        <v>0</v>
      </c>
      <c r="F45" s="152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 x14ac:dyDescent="0.3">
      <c r="B46" s="61" t="str">
        <v>(850, 900]</v>
      </c>
      <c r="C46" s="152">
        <v>40612</v>
      </c>
      <c r="D46" s="152">
        <f>SUM($C$4:C46)</f>
        <v>997519121</v>
      </c>
      <c r="E46" s="152">
        <v>0</v>
      </c>
      <c r="F46" s="152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 x14ac:dyDescent="0.3">
      <c r="B47" s="61" t="str">
        <v>(900, 950]</v>
      </c>
      <c r="C47" s="152">
        <v>36022</v>
      </c>
      <c r="D47" s="152">
        <f>SUM($C$4:C47)</f>
        <v>997555143</v>
      </c>
      <c r="E47" s="152">
        <v>0</v>
      </c>
      <c r="F47" s="152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 x14ac:dyDescent="0.3">
      <c r="B48" s="61" t="str">
        <v>(950, 1000]</v>
      </c>
      <c r="C48" s="152">
        <v>28239</v>
      </c>
      <c r="D48" s="152">
        <f>SUM($C$4:C48)</f>
        <v>997583382</v>
      </c>
      <c r="E48" s="152">
        <v>0</v>
      </c>
      <c r="F48" s="152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 x14ac:dyDescent="0.3">
      <c r="B49" s="61" t="str">
        <v>(1000, 2000]</v>
      </c>
      <c r="C49" s="152">
        <v>214239</v>
      </c>
      <c r="D49" s="152">
        <f>SUM($C$4:C49)</f>
        <v>997797621</v>
      </c>
      <c r="E49" s="152">
        <v>0</v>
      </c>
      <c r="F49" s="152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 x14ac:dyDescent="0.3">
      <c r="B50" s="61" t="str">
        <v>(2000, 3000]</v>
      </c>
      <c r="C50" s="152">
        <v>33328</v>
      </c>
      <c r="D50" s="152">
        <f>SUM($C$4:C50)</f>
        <v>997830949</v>
      </c>
      <c r="E50" s="152">
        <v>0</v>
      </c>
      <c r="F50" s="152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 x14ac:dyDescent="0.3">
      <c r="B51" s="61" t="str">
        <v>(3000, 4000]</v>
      </c>
      <c r="C51" s="152">
        <v>10078</v>
      </c>
      <c r="D51" s="152">
        <f>SUM($C$4:C51)</f>
        <v>997841027</v>
      </c>
      <c r="E51" s="152">
        <v>0</v>
      </c>
      <c r="F51" s="152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 x14ac:dyDescent="0.3">
      <c r="B52" s="61" t="str">
        <v>(4000, 5000]</v>
      </c>
      <c r="C52" s="152">
        <v>4490</v>
      </c>
      <c r="D52" s="152">
        <f>SUM($C$4:C52)</f>
        <v>997845517</v>
      </c>
      <c r="E52" s="152">
        <v>0</v>
      </c>
      <c r="F52" s="152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 x14ac:dyDescent="0.3">
      <c r="B53" s="61" t="str">
        <v>(5000, 6000]</v>
      </c>
      <c r="C53" s="152">
        <v>3492</v>
      </c>
      <c r="D53" s="152">
        <f>SUM($C$4:C53)</f>
        <v>997849009</v>
      </c>
      <c r="E53" s="152">
        <v>0</v>
      </c>
      <c r="F53" s="152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 x14ac:dyDescent="0.3">
      <c r="B54" s="61" t="str">
        <v>(6000, 7000]</v>
      </c>
      <c r="C54" s="152">
        <v>1297</v>
      </c>
      <c r="D54" s="152">
        <f>SUM($C$4:C54)</f>
        <v>997850306</v>
      </c>
      <c r="E54" s="152">
        <v>0</v>
      </c>
      <c r="F54" s="152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 x14ac:dyDescent="0.3">
      <c r="B55" s="61" t="str">
        <v>(7000, 8000]</v>
      </c>
      <c r="C55" s="152">
        <v>698</v>
      </c>
      <c r="D55" s="152">
        <f>SUM($C$4:C55)</f>
        <v>997851004</v>
      </c>
      <c r="E55" s="152">
        <v>0</v>
      </c>
      <c r="F55" s="152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 x14ac:dyDescent="0.3">
      <c r="B56" s="61" t="str">
        <v>(8000, 9000]</v>
      </c>
      <c r="C56" s="152">
        <v>299</v>
      </c>
      <c r="D56" s="152">
        <f>SUM($C$4:C56)</f>
        <v>997851303</v>
      </c>
      <c r="E56" s="152">
        <v>0</v>
      </c>
      <c r="F56" s="152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 x14ac:dyDescent="0.3">
      <c r="B57" s="61" t="str">
        <v>(9000, 10000]</v>
      </c>
      <c r="C57" s="152">
        <v>199</v>
      </c>
      <c r="D57" s="152">
        <f>SUM($C$4:C57)</f>
        <v>997851502</v>
      </c>
      <c r="E57" s="152">
        <v>0</v>
      </c>
      <c r="F57" s="152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 x14ac:dyDescent="0.3">
      <c r="B58" s="61" t="str">
        <v>(10000, 20000]</v>
      </c>
      <c r="C58" s="152">
        <v>498</v>
      </c>
      <c r="D58" s="152">
        <f>SUM($C$4:C58)</f>
        <v>997852000</v>
      </c>
      <c r="E58" s="152">
        <v>0</v>
      </c>
      <c r="F58" s="152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 x14ac:dyDescent="0.3">
      <c r="B59" s="61" t="str">
        <v>(20000, 30000]</v>
      </c>
      <c r="C59" s="152">
        <v>0</v>
      </c>
      <c r="D59" s="152">
        <f>SUM($C$4:C59)</f>
        <v>997852000</v>
      </c>
      <c r="E59" s="152">
        <v>0</v>
      </c>
      <c r="F59" s="152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 x14ac:dyDescent="0.3">
      <c r="B60" s="61" t="str">
        <v>(30000, 40000]</v>
      </c>
      <c r="C60" s="152">
        <v>0</v>
      </c>
      <c r="D60" s="152">
        <f>SUM($C$4:C60)</f>
        <v>997852000</v>
      </c>
      <c r="E60" s="152">
        <v>0</v>
      </c>
      <c r="F60" s="152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 x14ac:dyDescent="0.3">
      <c r="B61" s="61" t="str">
        <v>(40000, 50000]</v>
      </c>
      <c r="C61" s="152">
        <v>0</v>
      </c>
      <c r="D61" s="152">
        <f>SUM($C$4:C61)</f>
        <v>997852000</v>
      </c>
      <c r="E61" s="152">
        <v>0</v>
      </c>
      <c r="F61" s="152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 x14ac:dyDescent="0.3">
      <c r="B62" s="61" t="str">
        <v>(50000, 60000]</v>
      </c>
      <c r="C62" s="152">
        <v>0</v>
      </c>
      <c r="D62" s="152">
        <f>SUM($C$4:C62)</f>
        <v>997852000</v>
      </c>
      <c r="E62" s="152">
        <v>0</v>
      </c>
      <c r="F62" s="152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 x14ac:dyDescent="0.3">
      <c r="B63" s="61" t="str">
        <v>(60000, 70000]</v>
      </c>
      <c r="C63" s="152">
        <v>0</v>
      </c>
      <c r="D63" s="152">
        <f>SUM($C$4:C63)</f>
        <v>997852000</v>
      </c>
      <c r="E63" s="152">
        <v>0</v>
      </c>
      <c r="F63" s="152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 x14ac:dyDescent="0.3">
      <c r="B64" s="61" t="str">
        <v>(70000, 80000]</v>
      </c>
      <c r="C64" s="152">
        <v>0</v>
      </c>
      <c r="D64" s="152">
        <f>SUM($C$4:C64)</f>
        <v>997852000</v>
      </c>
      <c r="E64" s="152">
        <v>0</v>
      </c>
      <c r="F64" s="152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 x14ac:dyDescent="0.3">
      <c r="B65" s="61" t="str">
        <v>(80000, 90000]</v>
      </c>
      <c r="C65" s="152">
        <v>0</v>
      </c>
      <c r="D65" s="152">
        <f>SUM($C$4:C65)</f>
        <v>997852000</v>
      </c>
      <c r="E65" s="152">
        <v>0</v>
      </c>
      <c r="F65" s="152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 x14ac:dyDescent="0.3">
      <c r="B66" s="61" t="str">
        <v>(90000, 100000]</v>
      </c>
      <c r="C66" s="152">
        <v>0</v>
      </c>
      <c r="D66" s="152">
        <f>SUM($C$4:C66)</f>
        <v>997852000</v>
      </c>
      <c r="E66" s="152">
        <v>0</v>
      </c>
      <c r="F66" s="152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 x14ac:dyDescent="0.3">
      <c r="B67" s="61" t="str">
        <v>(100000, 9999999]</v>
      </c>
      <c r="C67" s="152">
        <v>0</v>
      </c>
      <c r="D67" s="152">
        <f>SUM($C$4:C67)</f>
        <v>997852000</v>
      </c>
      <c r="E67" s="152">
        <v>0</v>
      </c>
      <c r="F67" s="152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 x14ac:dyDescent="0.3">
      <c r="B68" s="61" t="str">
        <v>Free Game</v>
      </c>
      <c r="C68" s="152">
        <v>2148000</v>
      </c>
      <c r="D68" s="152">
        <f>SUM($C$4:C68)</f>
        <v>1000000000</v>
      </c>
      <c r="E68" s="152"/>
      <c r="F68" s="152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 x14ac:dyDescent="0.3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 x14ac:dyDescent="0.3">
      <c r="B2" s="164" t="s">
        <v>148</v>
      </c>
    </row>
    <row r="3" spans="2:9" x14ac:dyDescent="0.3">
      <c r="B3" s="146" t="s">
        <v>71</v>
      </c>
      <c r="C3" s="146" t="s">
        <v>146</v>
      </c>
      <c r="D3" s="146" t="s">
        <v>145</v>
      </c>
    </row>
    <row r="4" spans="2:9" x14ac:dyDescent="0.3">
      <c r="B4" s="133">
        <v>0</v>
      </c>
      <c r="C4" s="165">
        <v>0.12890728185260192</v>
      </c>
      <c r="D4" s="165">
        <v>0.17979999999999999</v>
      </c>
      <c r="G4" s="17">
        <v>0</v>
      </c>
      <c r="H4" s="166" cm="1">
        <f t="array" ref="H4:H13">G4:G13/10000</f>
        <v>0</v>
      </c>
    </row>
    <row r="5" spans="2:9" x14ac:dyDescent="0.3">
      <c r="B5" s="133">
        <v>1</v>
      </c>
      <c r="C5" s="165">
        <v>0.30351325173901561</v>
      </c>
      <c r="D5" s="165">
        <v>0.35339999999999999</v>
      </c>
      <c r="G5" s="17" cm="1">
        <f t="array" ref="G5:G13">TRANSPOSE(Parameter!AD5:AL5)</f>
        <v>0</v>
      </c>
      <c r="H5" s="166">
        <v>0</v>
      </c>
    </row>
    <row r="6" spans="2:9" x14ac:dyDescent="0.3">
      <c r="B6" s="133">
        <v>2</v>
      </c>
      <c r="C6" s="165">
        <v>0.30338117460596986</v>
      </c>
      <c r="D6" s="165">
        <v>0.29630000000000001</v>
      </c>
      <c r="G6" s="17">
        <v>0</v>
      </c>
      <c r="H6" s="166">
        <v>0</v>
      </c>
    </row>
    <row r="7" spans="2:9" x14ac:dyDescent="0.3">
      <c r="B7" s="133">
        <v>3</v>
      </c>
      <c r="C7" s="165">
        <v>0.18173813507088141</v>
      </c>
      <c r="D7" s="165">
        <v>0.13270000000000001</v>
      </c>
      <c r="G7" s="17">
        <v>0</v>
      </c>
      <c r="H7" s="166">
        <v>0</v>
      </c>
    </row>
    <row r="8" spans="2:9" x14ac:dyDescent="0.3">
      <c r="B8" s="133">
        <v>4</v>
      </c>
      <c r="C8" s="165">
        <v>6.3705203839042004E-2</v>
      </c>
      <c r="D8" s="165">
        <v>3.3300000000000003E-2</v>
      </c>
      <c r="G8" s="17">
        <v>0</v>
      </c>
      <c r="H8" s="166">
        <v>0</v>
      </c>
    </row>
    <row r="9" spans="2:9" x14ac:dyDescent="0.3">
      <c r="B9" s="133">
        <v>5</v>
      </c>
      <c r="C9" s="165">
        <v>1.4748613190103021E-2</v>
      </c>
      <c r="D9" s="165">
        <v>4.4000000000000003E-3</v>
      </c>
      <c r="G9" s="17">
        <v>0</v>
      </c>
      <c r="H9" s="166">
        <v>0</v>
      </c>
    </row>
    <row r="10" spans="2:9" x14ac:dyDescent="0.3">
      <c r="B10" s="133">
        <v>6</v>
      </c>
      <c r="C10" s="165">
        <v>3.6101083032490976E-3</v>
      </c>
      <c r="D10" s="165">
        <v>2.0000000000000001E-4</v>
      </c>
      <c r="G10" s="17">
        <v>0</v>
      </c>
      <c r="H10" s="166">
        <v>0</v>
      </c>
    </row>
    <row r="11" spans="2:9" x14ac:dyDescent="0.3">
      <c r="B11" s="133">
        <v>7</v>
      </c>
      <c r="C11" s="165">
        <v>3.9623139913709608E-4</v>
      </c>
      <c r="D11" s="165">
        <v>0</v>
      </c>
      <c r="G11" s="17">
        <v>0</v>
      </c>
      <c r="H11" s="166">
        <v>0</v>
      </c>
    </row>
    <row r="12" spans="2:9" x14ac:dyDescent="0.3">
      <c r="B12" s="133">
        <v>8</v>
      </c>
      <c r="C12" s="165">
        <v>0</v>
      </c>
      <c r="D12" s="165">
        <v>0</v>
      </c>
      <c r="G12" s="17">
        <v>0</v>
      </c>
      <c r="H12" s="166">
        <v>0</v>
      </c>
    </row>
    <row r="13" spans="2:9" x14ac:dyDescent="0.3">
      <c r="B13" s="133">
        <v>9</v>
      </c>
      <c r="C13" s="165">
        <v>0</v>
      </c>
      <c r="D13" s="165">
        <v>0</v>
      </c>
      <c r="G13" s="17">
        <v>0</v>
      </c>
      <c r="H13" s="166">
        <v>0</v>
      </c>
    </row>
    <row r="16" spans="2:9" x14ac:dyDescent="0.3">
      <c r="B16" s="167" t="s">
        <v>147</v>
      </c>
      <c r="I16" s="17" t="e">
        <f>1/I17</f>
        <v>#DIV/0!</v>
      </c>
    </row>
    <row r="17" spans="2:10" x14ac:dyDescent="0.3">
      <c r="B17" s="146"/>
      <c r="C17" s="146" t="s">
        <v>146</v>
      </c>
      <c r="D17" s="146" t="s">
        <v>145</v>
      </c>
      <c r="H17" s="166"/>
      <c r="I17" s="166">
        <f>SUMPRODUCT(H4:H13,D4:D13)</f>
        <v>0</v>
      </c>
    </row>
    <row r="18" spans="2:10" x14ac:dyDescent="0.3">
      <c r="B18" s="168">
        <v>0</v>
      </c>
      <c r="C18" s="169">
        <v>0.86973562490871026</v>
      </c>
      <c r="D18" s="169" cm="1">
        <f t="array" ref="D18:D30">J18:J30</f>
        <v>1</v>
      </c>
      <c r="F18" s="17" cm="1">
        <f t="array" ref="F18:F30">TRANSPOSE(Parameter!O16:AA16)</f>
        <v>10000</v>
      </c>
      <c r="G18" s="17" cm="1">
        <f t="array" ref="G18:G30">TRANSPOSE(Parameter!O5:AA5)</f>
        <v>0</v>
      </c>
      <c r="H18" s="166" cm="1">
        <f t="array" ref="H18:H30">_xlfn.ANCHORARRAY(F18)/SUM(_xlfn.ANCHORARRAY(F18))*(1-I17)</f>
        <v>1</v>
      </c>
      <c r="I18" s="166" cm="1">
        <f t="array" ref="I18:I30">_xlfn.ANCHORARRAY(G18)/SUM(_xlfn.ANCHORARRAY(G18))*I17</f>
        <v>0</v>
      </c>
      <c r="J18" s="166" cm="1">
        <f t="array" ref="J18:J22">H18:H22</f>
        <v>1</v>
      </c>
    </row>
    <row r="19" spans="2:10" x14ac:dyDescent="0.3">
      <c r="B19" s="170">
        <v>2</v>
      </c>
      <c r="C19" s="171">
        <v>3.4690101757631819E-2</v>
      </c>
      <c r="D19" s="171">
        <v>0</v>
      </c>
      <c r="F19" s="17">
        <v>0</v>
      </c>
      <c r="G19" s="17">
        <v>0</v>
      </c>
      <c r="H19" s="166">
        <v>0</v>
      </c>
      <c r="I19" s="166">
        <v>0</v>
      </c>
      <c r="J19" s="166">
        <v>0</v>
      </c>
    </row>
    <row r="20" spans="2:10" x14ac:dyDescent="0.3">
      <c r="B20" s="170">
        <v>3</v>
      </c>
      <c r="C20" s="171">
        <v>2.8506743268903064E-2</v>
      </c>
      <c r="D20" s="171">
        <v>0</v>
      </c>
      <c r="F20" s="17">
        <v>0</v>
      </c>
      <c r="G20" s="17">
        <v>0</v>
      </c>
      <c r="H20" s="166">
        <v>0</v>
      </c>
      <c r="I20" s="166">
        <v>0</v>
      </c>
      <c r="J20" s="166">
        <v>0</v>
      </c>
    </row>
    <row r="21" spans="2:10" x14ac:dyDescent="0.3">
      <c r="B21" s="170">
        <v>5</v>
      </c>
      <c r="C21" s="171">
        <v>1.9109985880519986E-2</v>
      </c>
      <c r="D21" s="171">
        <v>0</v>
      </c>
      <c r="F21" s="17">
        <v>0</v>
      </c>
      <c r="G21" s="17">
        <v>0</v>
      </c>
      <c r="H21" s="166">
        <v>0</v>
      </c>
      <c r="I21" s="166">
        <v>0</v>
      </c>
      <c r="J21" s="166">
        <v>0</v>
      </c>
    </row>
    <row r="22" spans="2:10" x14ac:dyDescent="0.3">
      <c r="B22" s="170">
        <v>8</v>
      </c>
      <c r="C22" s="171">
        <v>1.8111884707142509E-2</v>
      </c>
      <c r="D22" s="171">
        <v>0</v>
      </c>
      <c r="F22" s="17">
        <v>0</v>
      </c>
      <c r="G22" s="17">
        <v>0</v>
      </c>
      <c r="H22" s="166">
        <v>0</v>
      </c>
      <c r="I22" s="166">
        <v>0</v>
      </c>
      <c r="J22" s="166">
        <v>0</v>
      </c>
    </row>
    <row r="23" spans="2:10" x14ac:dyDescent="0.3">
      <c r="B23" s="170">
        <v>10</v>
      </c>
      <c r="C23" s="171">
        <v>1.4849797945372219E-2</v>
      </c>
      <c r="D23" s="171">
        <v>0</v>
      </c>
      <c r="F23" s="17">
        <v>0</v>
      </c>
      <c r="G23" s="17">
        <v>3400</v>
      </c>
      <c r="H23" s="166">
        <v>0</v>
      </c>
      <c r="I23" s="166">
        <v>0</v>
      </c>
      <c r="J23" s="166" cm="1">
        <f t="array" ref="J23:J30">I23:I30</f>
        <v>0</v>
      </c>
    </row>
    <row r="24" spans="2:10" x14ac:dyDescent="0.3">
      <c r="B24" s="170">
        <v>15</v>
      </c>
      <c r="C24" s="171">
        <v>8.7881591119333951E-3</v>
      </c>
      <c r="D24" s="171">
        <v>0</v>
      </c>
      <c r="F24" s="17">
        <v>0</v>
      </c>
      <c r="G24" s="17">
        <v>1200</v>
      </c>
      <c r="H24" s="166">
        <v>0</v>
      </c>
      <c r="I24" s="166">
        <v>0</v>
      </c>
      <c r="J24" s="166">
        <v>0</v>
      </c>
    </row>
    <row r="25" spans="2:10" x14ac:dyDescent="0.3">
      <c r="B25" s="170">
        <v>20</v>
      </c>
      <c r="C25" s="171">
        <v>4.5523151078436146E-3</v>
      </c>
      <c r="D25" s="171">
        <v>0</v>
      </c>
      <c r="F25" s="17">
        <v>0</v>
      </c>
      <c r="G25" s="17">
        <v>2400</v>
      </c>
      <c r="H25" s="166">
        <v>0</v>
      </c>
      <c r="I25" s="166">
        <v>0</v>
      </c>
      <c r="J25" s="166">
        <v>0</v>
      </c>
    </row>
    <row r="26" spans="2:10" x14ac:dyDescent="0.3">
      <c r="B26" s="170">
        <v>25</v>
      </c>
      <c r="C26" s="171">
        <v>1.3876040703052729E-3</v>
      </c>
      <c r="D26" s="171">
        <v>0</v>
      </c>
      <c r="F26" s="17">
        <v>0</v>
      </c>
      <c r="G26" s="17">
        <v>500</v>
      </c>
      <c r="H26" s="166">
        <v>0</v>
      </c>
      <c r="I26" s="166">
        <v>0</v>
      </c>
      <c r="J26" s="166">
        <v>0</v>
      </c>
    </row>
    <row r="27" spans="2:10" x14ac:dyDescent="0.3">
      <c r="B27" s="170">
        <v>35</v>
      </c>
      <c r="C27" s="171">
        <v>1.9475144846389794E-4</v>
      </c>
      <c r="D27" s="171">
        <v>0</v>
      </c>
      <c r="F27" s="17">
        <v>0</v>
      </c>
      <c r="G27" s="17">
        <v>200</v>
      </c>
      <c r="H27" s="166">
        <v>0</v>
      </c>
      <c r="I27" s="166">
        <v>0</v>
      </c>
      <c r="J27" s="166">
        <v>0</v>
      </c>
    </row>
    <row r="28" spans="2:10" x14ac:dyDescent="0.3">
      <c r="B28" s="170">
        <v>50</v>
      </c>
      <c r="C28" s="171">
        <v>2.4343931057987243E-5</v>
      </c>
      <c r="D28" s="171">
        <v>0</v>
      </c>
      <c r="F28" s="17">
        <v>0</v>
      </c>
      <c r="G28" s="17">
        <v>200</v>
      </c>
      <c r="H28" s="166">
        <v>0</v>
      </c>
      <c r="I28" s="166">
        <v>0</v>
      </c>
      <c r="J28" s="166">
        <v>0</v>
      </c>
    </row>
    <row r="29" spans="2:10" x14ac:dyDescent="0.3">
      <c r="B29" s="170">
        <v>80</v>
      </c>
      <c r="C29" s="171">
        <v>4.8687862115974485E-5</v>
      </c>
      <c r="D29" s="171">
        <v>0</v>
      </c>
      <c r="F29" s="17">
        <v>0</v>
      </c>
      <c r="G29" s="17">
        <v>1200</v>
      </c>
      <c r="H29" s="166">
        <v>0</v>
      </c>
      <c r="I29" s="166">
        <v>0</v>
      </c>
      <c r="J29" s="166">
        <v>0</v>
      </c>
    </row>
    <row r="30" spans="2:10" x14ac:dyDescent="0.3">
      <c r="B30" s="170">
        <v>100</v>
      </c>
      <c r="C30" s="171">
        <v>0</v>
      </c>
      <c r="D30" s="171">
        <v>0</v>
      </c>
      <c r="F30" s="17">
        <v>0</v>
      </c>
      <c r="G30" s="17">
        <v>900</v>
      </c>
      <c r="H30" s="166">
        <v>0</v>
      </c>
      <c r="I30" s="166">
        <v>0</v>
      </c>
      <c r="J30" s="166">
        <v>0</v>
      </c>
    </row>
    <row r="31" spans="2:10" x14ac:dyDescent="0.3">
      <c r="C31" s="17">
        <f>SUMPRODUCT(C18:C30,B18:B30)</f>
        <v>0.81333073664735367</v>
      </c>
      <c r="D31" s="17">
        <f>SUMPRODUCT(D18:D30,B18:B30)</f>
        <v>0</v>
      </c>
    </row>
    <row r="34" spans="2:9" x14ac:dyDescent="0.3">
      <c r="B34" s="164" t="s">
        <v>149</v>
      </c>
    </row>
    <row r="35" spans="2:9" x14ac:dyDescent="0.3">
      <c r="B35" s="146" t="s">
        <v>71</v>
      </c>
      <c r="C35" s="146" t="s">
        <v>146</v>
      </c>
      <c r="D35" s="146" t="s">
        <v>145</v>
      </c>
    </row>
    <row r="36" spans="2:9" x14ac:dyDescent="0.3">
      <c r="B36" s="133">
        <v>0</v>
      </c>
      <c r="C36" s="165">
        <v>0.12890728185260192</v>
      </c>
      <c r="D36" s="165">
        <v>0</v>
      </c>
      <c r="G36" s="17">
        <v>0</v>
      </c>
      <c r="H36" s="166" cm="1">
        <f t="array" ref="H36:H45">G36:G45/10000</f>
        <v>0</v>
      </c>
    </row>
    <row r="37" spans="2:9" x14ac:dyDescent="0.3">
      <c r="B37" s="133">
        <v>1</v>
      </c>
      <c r="C37" s="165">
        <v>0.30351325173901561</v>
      </c>
      <c r="D37" s="165">
        <v>0</v>
      </c>
      <c r="G37" s="17" cm="1">
        <f t="array" ref="G37:G45">TRANSPOSE(Parameter!AD6:AL6)</f>
        <v>0</v>
      </c>
      <c r="H37" s="166">
        <v>0</v>
      </c>
    </row>
    <row r="38" spans="2:9" x14ac:dyDescent="0.3">
      <c r="B38" s="133">
        <v>2</v>
      </c>
      <c r="C38" s="165">
        <v>0.30338117460596986</v>
      </c>
      <c r="D38" s="165">
        <v>0</v>
      </c>
      <c r="G38" s="17">
        <v>0</v>
      </c>
      <c r="H38" s="166">
        <v>0</v>
      </c>
    </row>
    <row r="39" spans="2:9" x14ac:dyDescent="0.3">
      <c r="B39" s="133">
        <v>3</v>
      </c>
      <c r="C39" s="165">
        <v>0.18173813507088141</v>
      </c>
      <c r="D39" s="165">
        <v>0.17960000000000001</v>
      </c>
      <c r="G39" s="17">
        <v>0</v>
      </c>
      <c r="H39" s="166">
        <v>0</v>
      </c>
    </row>
    <row r="40" spans="2:9" x14ac:dyDescent="0.3">
      <c r="B40" s="133">
        <v>4</v>
      </c>
      <c r="C40" s="165">
        <v>6.3705203839042004E-2</v>
      </c>
      <c r="D40" s="165">
        <v>0.38219999999999998</v>
      </c>
      <c r="G40" s="17">
        <v>0</v>
      </c>
      <c r="H40" s="166">
        <v>0</v>
      </c>
    </row>
    <row r="41" spans="2:9" x14ac:dyDescent="0.3">
      <c r="B41" s="133">
        <v>5</v>
      </c>
      <c r="C41" s="165">
        <v>1.4748613190103021E-2</v>
      </c>
      <c r="D41" s="165">
        <v>0.29920000000000002</v>
      </c>
      <c r="G41" s="17">
        <v>0</v>
      </c>
      <c r="H41" s="166">
        <v>0</v>
      </c>
    </row>
    <row r="42" spans="2:9" x14ac:dyDescent="0.3">
      <c r="B42" s="133">
        <v>6</v>
      </c>
      <c r="C42" s="165">
        <v>3.6101083032490976E-3</v>
      </c>
      <c r="D42" s="165">
        <v>0.1134</v>
      </c>
      <c r="G42" s="17">
        <v>0</v>
      </c>
      <c r="H42" s="166">
        <v>0</v>
      </c>
    </row>
    <row r="43" spans="2:9" x14ac:dyDescent="0.3">
      <c r="B43" s="133">
        <v>7</v>
      </c>
      <c r="C43" s="165">
        <v>3.9623139913709608E-4</v>
      </c>
      <c r="D43" s="165">
        <v>2.3E-2</v>
      </c>
      <c r="G43" s="17">
        <v>0</v>
      </c>
      <c r="H43" s="166">
        <v>0</v>
      </c>
    </row>
    <row r="44" spans="2:9" x14ac:dyDescent="0.3">
      <c r="B44" s="133">
        <v>8</v>
      </c>
      <c r="C44" s="165">
        <v>0</v>
      </c>
      <c r="D44" s="165">
        <v>2.3999999999999998E-3</v>
      </c>
      <c r="G44" s="17">
        <v>0</v>
      </c>
      <c r="H44" s="166">
        <v>0</v>
      </c>
    </row>
    <row r="45" spans="2:9" x14ac:dyDescent="0.3">
      <c r="B45" s="133">
        <v>9</v>
      </c>
      <c r="C45" s="165">
        <v>0</v>
      </c>
      <c r="D45" s="165">
        <v>1E-4</v>
      </c>
      <c r="G45" s="17">
        <v>0</v>
      </c>
      <c r="H45" s="166">
        <v>0</v>
      </c>
    </row>
    <row r="48" spans="2:9" x14ac:dyDescent="0.3">
      <c r="B48" s="167" t="s">
        <v>147</v>
      </c>
      <c r="I48" s="17" t="e">
        <f>1/I49</f>
        <v>#DIV/0!</v>
      </c>
    </row>
    <row r="49" spans="2:10" x14ac:dyDescent="0.3">
      <c r="B49" s="146"/>
      <c r="C49" s="146" t="s">
        <v>146</v>
      </c>
      <c r="D49" s="146" t="s">
        <v>145</v>
      </c>
      <c r="H49" s="166"/>
      <c r="I49" s="166">
        <f>SUMPRODUCT(H36:H45,D36:D45)</f>
        <v>0</v>
      </c>
    </row>
    <row r="50" spans="2:10" x14ac:dyDescent="0.3">
      <c r="B50" s="168">
        <v>0</v>
      </c>
      <c r="C50" s="169">
        <v>0.86973562490871026</v>
      </c>
      <c r="D50" s="169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6" cm="1">
        <f t="array" ref="H50:H62">_xlfn.ANCHORARRAY(F50)/SUM(_xlfn.ANCHORARRAY(F50))*(1-I49)</f>
        <v>0</v>
      </c>
      <c r="I50" s="166" cm="1">
        <f t="array" ref="I50:I62">_xlfn.ANCHORARRAY(G50)/SUM(_xlfn.ANCHORARRAY(G50))*I49</f>
        <v>0</v>
      </c>
      <c r="J50" s="166" cm="1">
        <f t="array" ref="J50:J54">H50:H54</f>
        <v>0</v>
      </c>
    </row>
    <row r="51" spans="2:10" x14ac:dyDescent="0.3">
      <c r="B51" s="170">
        <v>2</v>
      </c>
      <c r="C51" s="171">
        <v>3.4690101757631819E-2</v>
      </c>
      <c r="D51" s="171">
        <v>0.32</v>
      </c>
      <c r="F51" s="17">
        <v>3200</v>
      </c>
      <c r="G51" s="17">
        <v>0</v>
      </c>
      <c r="H51" s="166">
        <v>0.32</v>
      </c>
      <c r="I51" s="166">
        <v>0</v>
      </c>
      <c r="J51" s="166">
        <v>0.32</v>
      </c>
    </row>
    <row r="52" spans="2:10" x14ac:dyDescent="0.3">
      <c r="B52" s="170">
        <v>3</v>
      </c>
      <c r="C52" s="171">
        <v>2.8506743268903064E-2</v>
      </c>
      <c r="D52" s="171">
        <v>0.26</v>
      </c>
      <c r="F52" s="17">
        <v>2600</v>
      </c>
      <c r="G52" s="17">
        <v>0</v>
      </c>
      <c r="H52" s="166">
        <v>0.26</v>
      </c>
      <c r="I52" s="166">
        <v>0</v>
      </c>
      <c r="J52" s="166">
        <v>0.26</v>
      </c>
    </row>
    <row r="53" spans="2:10" x14ac:dyDescent="0.3">
      <c r="B53" s="170">
        <v>5</v>
      </c>
      <c r="C53" s="171">
        <v>1.9109985880519986E-2</v>
      </c>
      <c r="D53" s="171">
        <v>0.21</v>
      </c>
      <c r="F53" s="17">
        <v>2100</v>
      </c>
      <c r="G53" s="17">
        <v>0</v>
      </c>
      <c r="H53" s="166">
        <v>0.21</v>
      </c>
      <c r="I53" s="166">
        <v>0</v>
      </c>
      <c r="J53" s="166">
        <v>0.21</v>
      </c>
    </row>
    <row r="54" spans="2:10" x14ac:dyDescent="0.3">
      <c r="B54" s="170">
        <v>8</v>
      </c>
      <c r="C54" s="171">
        <v>1.8111884707142509E-2</v>
      </c>
      <c r="D54" s="171">
        <v>0.21</v>
      </c>
      <c r="F54" s="17">
        <v>2100</v>
      </c>
      <c r="G54" s="17">
        <v>0</v>
      </c>
      <c r="H54" s="166">
        <v>0.21</v>
      </c>
      <c r="I54" s="166">
        <v>0</v>
      </c>
      <c r="J54" s="166">
        <v>0.21</v>
      </c>
    </row>
    <row r="55" spans="2:10" x14ac:dyDescent="0.3">
      <c r="B55" s="170">
        <v>10</v>
      </c>
      <c r="C55" s="171">
        <v>1.4849797945372219E-2</v>
      </c>
      <c r="D55" s="171">
        <v>0</v>
      </c>
      <c r="F55" s="17">
        <v>0</v>
      </c>
      <c r="G55" s="17">
        <v>4450</v>
      </c>
      <c r="H55" s="166">
        <v>0</v>
      </c>
      <c r="I55" s="166">
        <v>0</v>
      </c>
      <c r="J55" s="166" cm="1">
        <f t="array" ref="J55:J62">I55:I62</f>
        <v>0</v>
      </c>
    </row>
    <row r="56" spans="2:10" x14ac:dyDescent="0.3">
      <c r="B56" s="170">
        <v>15</v>
      </c>
      <c r="C56" s="171">
        <v>8.7881591119333951E-3</v>
      </c>
      <c r="D56" s="171">
        <v>0</v>
      </c>
      <c r="F56" s="17">
        <v>0</v>
      </c>
      <c r="G56" s="17">
        <v>600</v>
      </c>
      <c r="H56" s="166">
        <v>0</v>
      </c>
      <c r="I56" s="166">
        <v>0</v>
      </c>
      <c r="J56" s="166">
        <v>0</v>
      </c>
    </row>
    <row r="57" spans="2:10" x14ac:dyDescent="0.3">
      <c r="B57" s="170">
        <v>20</v>
      </c>
      <c r="C57" s="171">
        <v>4.5523151078436146E-3</v>
      </c>
      <c r="D57" s="171">
        <v>0</v>
      </c>
      <c r="F57" s="17">
        <v>0</v>
      </c>
      <c r="G57" s="17">
        <v>2400</v>
      </c>
      <c r="H57" s="166">
        <v>0</v>
      </c>
      <c r="I57" s="166">
        <v>0</v>
      </c>
      <c r="J57" s="166">
        <v>0</v>
      </c>
    </row>
    <row r="58" spans="2:10" x14ac:dyDescent="0.3">
      <c r="B58" s="170">
        <v>25</v>
      </c>
      <c r="C58" s="171">
        <v>1.3876040703052729E-3</v>
      </c>
      <c r="D58" s="171">
        <v>0</v>
      </c>
      <c r="F58" s="17">
        <v>0</v>
      </c>
      <c r="G58" s="17">
        <v>250</v>
      </c>
      <c r="H58" s="166">
        <v>0</v>
      </c>
      <c r="I58" s="166">
        <v>0</v>
      </c>
      <c r="J58" s="166">
        <v>0</v>
      </c>
    </row>
    <row r="59" spans="2:10" x14ac:dyDescent="0.3">
      <c r="B59" s="170">
        <v>35</v>
      </c>
      <c r="C59" s="171">
        <v>1.9475144846389794E-4</v>
      </c>
      <c r="D59" s="171">
        <v>0</v>
      </c>
      <c r="F59" s="17">
        <v>0</v>
      </c>
      <c r="G59" s="17">
        <v>100</v>
      </c>
      <c r="H59" s="166">
        <v>0</v>
      </c>
      <c r="I59" s="166">
        <v>0</v>
      </c>
      <c r="J59" s="166">
        <v>0</v>
      </c>
    </row>
    <row r="60" spans="2:10" x14ac:dyDescent="0.3">
      <c r="B60" s="170">
        <v>50</v>
      </c>
      <c r="C60" s="171">
        <v>2.4343931057987243E-5</v>
      </c>
      <c r="D60" s="171">
        <v>0</v>
      </c>
      <c r="F60" s="17">
        <v>0</v>
      </c>
      <c r="G60" s="17">
        <v>100</v>
      </c>
      <c r="H60" s="166">
        <v>0</v>
      </c>
      <c r="I60" s="166">
        <v>0</v>
      </c>
      <c r="J60" s="166">
        <v>0</v>
      </c>
    </row>
    <row r="61" spans="2:10" x14ac:dyDescent="0.3">
      <c r="B61" s="170">
        <v>80</v>
      </c>
      <c r="C61" s="171">
        <v>4.8687862115974485E-5</v>
      </c>
      <c r="D61" s="171">
        <v>0</v>
      </c>
      <c r="F61" s="17">
        <v>0</v>
      </c>
      <c r="G61" s="17">
        <v>1200</v>
      </c>
      <c r="H61" s="166">
        <v>0</v>
      </c>
      <c r="I61" s="166">
        <v>0</v>
      </c>
      <c r="J61" s="166">
        <v>0</v>
      </c>
    </row>
    <row r="62" spans="2:10" x14ac:dyDescent="0.3">
      <c r="B62" s="170">
        <v>100</v>
      </c>
      <c r="C62" s="171">
        <v>0</v>
      </c>
      <c r="D62" s="171">
        <v>0</v>
      </c>
      <c r="F62" s="17">
        <v>0</v>
      </c>
      <c r="G62" s="17">
        <v>900</v>
      </c>
      <c r="H62" s="166">
        <v>0</v>
      </c>
      <c r="I62" s="166">
        <v>0</v>
      </c>
      <c r="J62" s="166">
        <v>0</v>
      </c>
    </row>
    <row r="63" spans="2:10" x14ac:dyDescent="0.3">
      <c r="C63" s="17">
        <f>SUMPRODUCT(C50:C62,B50:B62)</f>
        <v>0.81333073664735367</v>
      </c>
      <c r="D63" s="17">
        <f>SUMPRODUCT(D50:D62,B50:B62)</f>
        <v>4.1499999999999995</v>
      </c>
    </row>
    <row r="66" spans="2:9" x14ac:dyDescent="0.3">
      <c r="B66" s="164" t="s">
        <v>150</v>
      </c>
    </row>
    <row r="67" spans="2:9" x14ac:dyDescent="0.3">
      <c r="B67" s="146" t="s">
        <v>71</v>
      </c>
      <c r="C67" s="146" t="s">
        <v>146</v>
      </c>
      <c r="D67" s="146" t="s">
        <v>145</v>
      </c>
    </row>
    <row r="68" spans="2:9" x14ac:dyDescent="0.3">
      <c r="B68" s="133">
        <v>0</v>
      </c>
      <c r="C68" s="165">
        <v>5.6827150749802685E-2</v>
      </c>
      <c r="D68" s="165">
        <v>0</v>
      </c>
      <c r="G68" s="17">
        <v>0</v>
      </c>
      <c r="H68" s="166" cm="1">
        <f t="array" ref="H68:H77">G68:G77/10000</f>
        <v>0</v>
      </c>
    </row>
    <row r="69" spans="2:9" x14ac:dyDescent="0.3">
      <c r="B69" s="133">
        <v>1</v>
      </c>
      <c r="C69" s="165">
        <v>0.14601420678768745</v>
      </c>
      <c r="D69" s="165">
        <v>0</v>
      </c>
      <c r="G69" s="17" cm="1">
        <f t="array" ref="G69:G77">TRANSPOSE(Parameter!AD8:AL8)</f>
        <v>0</v>
      </c>
      <c r="H69" s="166">
        <v>0</v>
      </c>
    </row>
    <row r="70" spans="2:9" x14ac:dyDescent="0.3">
      <c r="B70" s="133">
        <v>2</v>
      </c>
      <c r="C70" s="165">
        <v>0.23993685872138912</v>
      </c>
      <c r="D70" s="165">
        <v>1.18E-2</v>
      </c>
      <c r="G70" s="17">
        <v>0</v>
      </c>
      <c r="H70" s="166">
        <v>0</v>
      </c>
    </row>
    <row r="71" spans="2:9" x14ac:dyDescent="0.3">
      <c r="B71" s="133">
        <v>3</v>
      </c>
      <c r="C71" s="165">
        <v>0.24072612470402527</v>
      </c>
      <c r="D71" s="165">
        <v>0.23769999999999999</v>
      </c>
      <c r="G71" s="17">
        <v>0</v>
      </c>
      <c r="H71" s="166">
        <v>0</v>
      </c>
    </row>
    <row r="72" spans="2:9" x14ac:dyDescent="0.3">
      <c r="B72" s="133">
        <v>4</v>
      </c>
      <c r="C72" s="165">
        <v>0.17363851617995266</v>
      </c>
      <c r="D72" s="165">
        <v>0.39269999999999999</v>
      </c>
      <c r="G72" s="17">
        <v>0</v>
      </c>
      <c r="H72" s="166">
        <v>0</v>
      </c>
    </row>
    <row r="73" spans="2:9" x14ac:dyDescent="0.3">
      <c r="B73" s="133">
        <v>5</v>
      </c>
      <c r="C73" s="165">
        <v>0.10023677979479084</v>
      </c>
      <c r="D73" s="165">
        <v>0.25750000000000001</v>
      </c>
      <c r="G73" s="17">
        <v>0</v>
      </c>
      <c r="H73" s="166">
        <v>0</v>
      </c>
    </row>
    <row r="74" spans="2:9" x14ac:dyDescent="0.3">
      <c r="B74" s="133">
        <v>6</v>
      </c>
      <c r="C74" s="165">
        <v>3.1570639305445937E-2</v>
      </c>
      <c r="D74" s="165">
        <v>8.2699999999999996E-2</v>
      </c>
      <c r="G74" s="17">
        <v>0</v>
      </c>
      <c r="H74" s="166">
        <v>0</v>
      </c>
    </row>
    <row r="75" spans="2:9" x14ac:dyDescent="0.3">
      <c r="B75" s="133">
        <v>7</v>
      </c>
      <c r="C75" s="165">
        <v>1.0260457774269928E-2</v>
      </c>
      <c r="D75" s="165">
        <v>1.5800000000000002E-2</v>
      </c>
      <c r="G75" s="17">
        <v>0</v>
      </c>
      <c r="H75" s="166">
        <v>0</v>
      </c>
    </row>
    <row r="76" spans="2:9" x14ac:dyDescent="0.3">
      <c r="B76" s="133">
        <v>8</v>
      </c>
      <c r="C76" s="165">
        <v>7.8926598263614838E-4</v>
      </c>
      <c r="D76" s="165">
        <v>1.6999999999999999E-3</v>
      </c>
      <c r="G76" s="17">
        <v>0</v>
      </c>
      <c r="H76" s="166">
        <v>0</v>
      </c>
    </row>
    <row r="77" spans="2:9" x14ac:dyDescent="0.3">
      <c r="B77" s="133">
        <v>9</v>
      </c>
      <c r="C77" s="165">
        <v>0</v>
      </c>
      <c r="D77" s="165">
        <v>1E-4</v>
      </c>
      <c r="G77" s="17">
        <v>0</v>
      </c>
      <c r="H77" s="166">
        <v>0</v>
      </c>
    </row>
    <row r="80" spans="2:9" x14ac:dyDescent="0.3">
      <c r="B80" s="167" t="s">
        <v>147</v>
      </c>
      <c r="I80" s="17" t="e">
        <f>1/I81</f>
        <v>#DIV/0!</v>
      </c>
    </row>
    <row r="81" spans="2:11" x14ac:dyDescent="0.3">
      <c r="B81" s="146"/>
      <c r="C81" s="146" t="s">
        <v>146</v>
      </c>
      <c r="D81" s="146" t="s">
        <v>145</v>
      </c>
      <c r="H81" s="166"/>
      <c r="I81" s="166">
        <f>SUMPRODUCT(H68:H77,D68:D77)</f>
        <v>0</v>
      </c>
    </row>
    <row r="82" spans="2:11" x14ac:dyDescent="0.3">
      <c r="B82" s="168">
        <v>0</v>
      </c>
      <c r="C82" s="169">
        <v>0.64345873104997198</v>
      </c>
      <c r="D82" s="169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6" cm="1">
        <f t="array" ref="H82:H94">_xlfn.ANCHORARRAY(F82)/SUM(_xlfn.ANCHORARRAY(F82))*(1-I81)</f>
        <v>0</v>
      </c>
      <c r="I82" s="166" cm="1">
        <f t="array" ref="I82:I94">_xlfn.ANCHORARRAY(G82)/SUM(_xlfn.ANCHORARRAY(G82))*I81</f>
        <v>0</v>
      </c>
      <c r="J82" s="166" cm="1">
        <f t="array" ref="J82:J86">H82:H86</f>
        <v>0</v>
      </c>
      <c r="K82" s="172"/>
    </row>
    <row r="83" spans="2:11" x14ac:dyDescent="0.3">
      <c r="B83" s="170">
        <v>2</v>
      </c>
      <c r="C83" s="171">
        <v>0.21617069062324537</v>
      </c>
      <c r="D83" s="171">
        <v>0.64400000000000002</v>
      </c>
      <c r="F83" s="17">
        <v>6440</v>
      </c>
      <c r="G83" s="17">
        <v>0</v>
      </c>
      <c r="H83" s="166">
        <v>0.64400000000000002</v>
      </c>
      <c r="I83" s="166">
        <v>0</v>
      </c>
      <c r="J83" s="166">
        <v>0.64400000000000002</v>
      </c>
      <c r="K83" s="166"/>
    </row>
    <row r="84" spans="2:11" x14ac:dyDescent="0.3">
      <c r="B84" s="170">
        <v>3</v>
      </c>
      <c r="C84" s="171">
        <v>8.5906793935991016E-2</v>
      </c>
      <c r="D84" s="171">
        <v>0.26</v>
      </c>
      <c r="F84" s="17">
        <v>2600</v>
      </c>
      <c r="G84" s="17">
        <v>0</v>
      </c>
      <c r="H84" s="166">
        <v>0.26</v>
      </c>
      <c r="I84" s="166">
        <v>0</v>
      </c>
      <c r="J84" s="166">
        <v>0.26</v>
      </c>
      <c r="K84" s="166"/>
    </row>
    <row r="85" spans="2:11" x14ac:dyDescent="0.3">
      <c r="B85" s="170">
        <v>5</v>
      </c>
      <c r="C85" s="171">
        <v>2.1897810218978103E-2</v>
      </c>
      <c r="D85" s="171">
        <v>6.6000000000000003E-2</v>
      </c>
      <c r="F85" s="17">
        <v>660</v>
      </c>
      <c r="G85" s="17">
        <v>0</v>
      </c>
      <c r="H85" s="166">
        <v>6.6000000000000003E-2</v>
      </c>
      <c r="I85" s="166">
        <v>0</v>
      </c>
      <c r="J85" s="166">
        <v>6.6000000000000003E-2</v>
      </c>
      <c r="K85" s="166"/>
    </row>
    <row r="86" spans="2:11" x14ac:dyDescent="0.3">
      <c r="B86" s="170">
        <v>8</v>
      </c>
      <c r="C86" s="171">
        <v>1.0668163952835485E-2</v>
      </c>
      <c r="D86" s="171">
        <v>0.03</v>
      </c>
      <c r="F86" s="17">
        <v>300</v>
      </c>
      <c r="G86" s="17">
        <v>0</v>
      </c>
      <c r="H86" s="166">
        <v>0.03</v>
      </c>
      <c r="I86" s="166">
        <v>0</v>
      </c>
      <c r="J86" s="166">
        <v>0.03</v>
      </c>
      <c r="K86" s="166"/>
    </row>
    <row r="87" spans="2:11" x14ac:dyDescent="0.3">
      <c r="B87" s="170">
        <v>10</v>
      </c>
      <c r="C87" s="171">
        <v>1.0106681639528355E-2</v>
      </c>
      <c r="D87" s="171">
        <v>0</v>
      </c>
      <c r="F87" s="17">
        <v>0</v>
      </c>
      <c r="G87" s="17">
        <v>3900</v>
      </c>
      <c r="H87" s="166">
        <v>0</v>
      </c>
      <c r="I87" s="166">
        <v>0</v>
      </c>
      <c r="J87" s="166" cm="1">
        <f t="array" ref="J87:J94">I87:I94</f>
        <v>0</v>
      </c>
      <c r="K87" s="166"/>
    </row>
    <row r="88" spans="2:11" x14ac:dyDescent="0.3">
      <c r="B88" s="170">
        <v>15</v>
      </c>
      <c r="C88" s="171">
        <v>5.8955642897248733E-3</v>
      </c>
      <c r="D88" s="171">
        <v>0</v>
      </c>
      <c r="F88" s="17">
        <v>0</v>
      </c>
      <c r="G88" s="17">
        <v>1500</v>
      </c>
      <c r="H88" s="166">
        <v>0</v>
      </c>
      <c r="I88" s="166">
        <v>0</v>
      </c>
      <c r="J88" s="166">
        <v>0</v>
      </c>
      <c r="K88" s="166"/>
    </row>
    <row r="89" spans="2:11" x14ac:dyDescent="0.3">
      <c r="B89" s="170">
        <v>20</v>
      </c>
      <c r="C89" s="171">
        <v>2.807411566535654E-3</v>
      </c>
      <c r="D89" s="171">
        <v>0</v>
      </c>
      <c r="F89" s="17">
        <v>0</v>
      </c>
      <c r="G89" s="17">
        <v>2500</v>
      </c>
      <c r="H89" s="166">
        <v>0</v>
      </c>
      <c r="I89" s="166">
        <v>0</v>
      </c>
      <c r="J89" s="166">
        <v>0</v>
      </c>
      <c r="K89" s="166"/>
    </row>
    <row r="90" spans="2:11" x14ac:dyDescent="0.3">
      <c r="B90" s="170">
        <v>25</v>
      </c>
      <c r="C90" s="171">
        <v>5.6148231330713087E-4</v>
      </c>
      <c r="D90" s="171">
        <v>0</v>
      </c>
      <c r="F90" s="17">
        <v>0</v>
      </c>
      <c r="G90" s="17">
        <v>100</v>
      </c>
      <c r="H90" s="166">
        <v>0</v>
      </c>
      <c r="I90" s="166">
        <v>0</v>
      </c>
      <c r="J90" s="166">
        <v>0</v>
      </c>
      <c r="K90" s="166"/>
    </row>
    <row r="91" spans="2:11" x14ac:dyDescent="0.3">
      <c r="B91" s="170">
        <v>35</v>
      </c>
      <c r="C91" s="171">
        <v>5.6148231330713087E-4</v>
      </c>
      <c r="D91" s="171">
        <v>0</v>
      </c>
      <c r="F91" s="17">
        <v>0</v>
      </c>
      <c r="G91" s="17">
        <v>100</v>
      </c>
      <c r="H91" s="166">
        <v>0</v>
      </c>
      <c r="I91" s="166">
        <v>0</v>
      </c>
      <c r="J91" s="166">
        <v>0</v>
      </c>
      <c r="K91" s="166"/>
    </row>
    <row r="92" spans="2:11" x14ac:dyDescent="0.3">
      <c r="B92" s="170">
        <v>50</v>
      </c>
      <c r="C92" s="171">
        <v>8.4222346996069624E-4</v>
      </c>
      <c r="D92" s="171">
        <v>0</v>
      </c>
      <c r="F92" s="17">
        <v>0</v>
      </c>
      <c r="G92" s="17">
        <v>100</v>
      </c>
      <c r="H92" s="166">
        <v>0</v>
      </c>
      <c r="I92" s="166">
        <v>0</v>
      </c>
      <c r="J92" s="166">
        <v>0</v>
      </c>
      <c r="K92" s="166"/>
    </row>
    <row r="93" spans="2:11" x14ac:dyDescent="0.3">
      <c r="B93" s="170">
        <v>80</v>
      </c>
      <c r="C93" s="171">
        <v>8.4222346996069624E-4</v>
      </c>
      <c r="D93" s="171">
        <v>0</v>
      </c>
      <c r="F93" s="17">
        <v>0</v>
      </c>
      <c r="G93" s="17">
        <v>1000</v>
      </c>
      <c r="H93" s="166">
        <v>0</v>
      </c>
      <c r="I93" s="166">
        <v>0</v>
      </c>
      <c r="J93" s="166">
        <v>0</v>
      </c>
      <c r="K93" s="166"/>
    </row>
    <row r="94" spans="2:11" x14ac:dyDescent="0.3">
      <c r="B94" s="170">
        <v>100</v>
      </c>
      <c r="C94" s="171">
        <v>2.8074115665356543E-4</v>
      </c>
      <c r="D94" s="171">
        <v>0</v>
      </c>
      <c r="F94" s="17">
        <v>0</v>
      </c>
      <c r="G94" s="17">
        <v>800</v>
      </c>
      <c r="H94" s="166">
        <v>0</v>
      </c>
      <c r="I94" s="166">
        <v>0</v>
      </c>
      <c r="J94" s="166">
        <v>0</v>
      </c>
      <c r="K94" s="166"/>
    </row>
    <row r="95" spans="2:11" x14ac:dyDescent="0.3">
      <c r="C95" s="17">
        <f>SUMPRODUCT(C82:C94,B82:B94)</f>
        <v>1.301796743402583</v>
      </c>
      <c r="D95" s="17">
        <f>SUMPRODUCT(D82:D94,B82:B94)</f>
        <v>2.6379999999999999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 x14ac:dyDescent="0.3">
      <c r="D4" s="113"/>
      <c r="E4" s="113"/>
      <c r="F4" s="113"/>
      <c r="G4" s="113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 x14ac:dyDescent="0.3">
      <c r="A8" s="58"/>
      <c r="B8" s="58">
        <v>75</v>
      </c>
      <c r="C8" s="82"/>
      <c r="D8" s="82"/>
      <c r="E8" s="104"/>
      <c r="F8" s="65"/>
      <c r="G8" s="75"/>
      <c r="H8" s="95"/>
    </row>
    <row r="9" spans="1:15" x14ac:dyDescent="0.3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 x14ac:dyDescent="0.3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 x14ac:dyDescent="0.3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 x14ac:dyDescent="0.3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 x14ac:dyDescent="0.3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 x14ac:dyDescent="0.3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 x14ac:dyDescent="0.3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 x14ac:dyDescent="0.3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 x14ac:dyDescent="0.3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 x14ac:dyDescent="0.3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 x14ac:dyDescent="0.3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 x14ac:dyDescent="0.3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 x14ac:dyDescent="0.3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 x14ac:dyDescent="0.3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 x14ac:dyDescent="0.3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 x14ac:dyDescent="0.3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 x14ac:dyDescent="0.3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 x14ac:dyDescent="0.3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 x14ac:dyDescent="0.3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 x14ac:dyDescent="0.3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 x14ac:dyDescent="0.3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 x14ac:dyDescent="0.3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 x14ac:dyDescent="0.3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 x14ac:dyDescent="0.3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 x14ac:dyDescent="0.3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 x14ac:dyDescent="0.3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 x14ac:dyDescent="0.3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 x14ac:dyDescent="0.3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 x14ac:dyDescent="0.3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 x14ac:dyDescent="0.3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 x14ac:dyDescent="0.3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 x14ac:dyDescent="0.3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 x14ac:dyDescent="0.3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 x14ac:dyDescent="0.3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 x14ac:dyDescent="0.3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 x14ac:dyDescent="0.3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 x14ac:dyDescent="0.3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 x14ac:dyDescent="0.3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 x14ac:dyDescent="0.3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 x14ac:dyDescent="0.3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 x14ac:dyDescent="0.3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 x14ac:dyDescent="0.3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 x14ac:dyDescent="0.3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 x14ac:dyDescent="0.3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 x14ac:dyDescent="0.3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 x14ac:dyDescent="0.3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 x14ac:dyDescent="0.3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 x14ac:dyDescent="0.3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 x14ac:dyDescent="0.3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 x14ac:dyDescent="0.3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 x14ac:dyDescent="0.3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 x14ac:dyDescent="0.3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 x14ac:dyDescent="0.3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 x14ac:dyDescent="0.3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 x14ac:dyDescent="0.3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 x14ac:dyDescent="0.3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 x14ac:dyDescent="0.3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 x14ac:dyDescent="0.3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 x14ac:dyDescent="0.3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 x14ac:dyDescent="0.3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 x14ac:dyDescent="0.3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 x14ac:dyDescent="0.3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 x14ac:dyDescent="0.3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 x14ac:dyDescent="0.3">
      <c r="A79" s="186" t="s">
        <v>78</v>
      </c>
      <c r="B79" s="187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 x14ac:dyDescent="0.3">
      <c r="A80" s="186"/>
      <c r="B80" s="187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 x14ac:dyDescent="0.3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 x14ac:dyDescent="0.3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 x14ac:dyDescent="0.3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 x14ac:dyDescent="0.3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 x14ac:dyDescent="0.3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 x14ac:dyDescent="0.3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 x14ac:dyDescent="0.3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 x14ac:dyDescent="0.3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 x14ac:dyDescent="0.3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 x14ac:dyDescent="0.3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 x14ac:dyDescent="0.3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 x14ac:dyDescent="0.3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 x14ac:dyDescent="0.3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 x14ac:dyDescent="0.3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 x14ac:dyDescent="0.3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 x14ac:dyDescent="0.3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 x14ac:dyDescent="0.3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 x14ac:dyDescent="0.3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 x14ac:dyDescent="0.3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 x14ac:dyDescent="0.3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 x14ac:dyDescent="0.3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 x14ac:dyDescent="0.3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 x14ac:dyDescent="0.3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 x14ac:dyDescent="0.3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 x14ac:dyDescent="0.3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 x14ac:dyDescent="0.3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 x14ac:dyDescent="0.3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 x14ac:dyDescent="0.3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 x14ac:dyDescent="0.3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 x14ac:dyDescent="0.3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 x14ac:dyDescent="0.3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 x14ac:dyDescent="0.3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 x14ac:dyDescent="0.3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 x14ac:dyDescent="0.3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 x14ac:dyDescent="0.3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 x14ac:dyDescent="0.3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 x14ac:dyDescent="0.3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 x14ac:dyDescent="0.3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 x14ac:dyDescent="0.3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 x14ac:dyDescent="0.3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 x14ac:dyDescent="0.3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 x14ac:dyDescent="0.3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 x14ac:dyDescent="0.3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 x14ac:dyDescent="0.3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 x14ac:dyDescent="0.3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 x14ac:dyDescent="0.3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 x14ac:dyDescent="0.3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 x14ac:dyDescent="0.3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 x14ac:dyDescent="0.3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 x14ac:dyDescent="0.3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 x14ac:dyDescent="0.3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 x14ac:dyDescent="0.3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 x14ac:dyDescent="0.3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 x14ac:dyDescent="0.3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 x14ac:dyDescent="0.3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 x14ac:dyDescent="0.3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 x14ac:dyDescent="0.3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 x14ac:dyDescent="0.3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 x14ac:dyDescent="0.3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 x14ac:dyDescent="0.3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 x14ac:dyDescent="0.3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 x14ac:dyDescent="0.3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 x14ac:dyDescent="0.3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 x14ac:dyDescent="0.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 x14ac:dyDescent="0.3">
      <c r="A3" s="52" t="s">
        <v>74</v>
      </c>
      <c r="B3" s="68">
        <f>Overview!A7</f>
        <v>100</v>
      </c>
      <c r="C3" s="1"/>
      <c r="F3" s="113"/>
      <c r="G3" s="110"/>
    </row>
    <row r="4" spans="1:23" x14ac:dyDescent="0.3">
      <c r="F4" s="113"/>
      <c r="G4" s="113"/>
      <c r="I4" s="1"/>
      <c r="L4" s="138"/>
      <c r="M4" s="139"/>
      <c r="N4" s="136"/>
      <c r="O4" s="137"/>
    </row>
    <row r="5" spans="1:23" x14ac:dyDescent="0.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 x14ac:dyDescent="0.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3"/>
      <c r="L7" s="113"/>
      <c r="M7" s="110"/>
      <c r="N7" s="129"/>
    </row>
    <row r="8" spans="1:23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 x14ac:dyDescent="0.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 x14ac:dyDescent="0.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 x14ac:dyDescent="0.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 x14ac:dyDescent="0.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 x14ac:dyDescent="0.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 x14ac:dyDescent="0.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 x14ac:dyDescent="0.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 x14ac:dyDescent="0.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 x14ac:dyDescent="0.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 x14ac:dyDescent="0.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 x14ac:dyDescent="0.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 x14ac:dyDescent="0.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 x14ac:dyDescent="0.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 x14ac:dyDescent="0.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 x14ac:dyDescent="0.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 x14ac:dyDescent="0.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 x14ac:dyDescent="0.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 x14ac:dyDescent="0.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 x14ac:dyDescent="0.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 x14ac:dyDescent="0.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 x14ac:dyDescent="0.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 x14ac:dyDescent="0.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 x14ac:dyDescent="0.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 x14ac:dyDescent="0.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 x14ac:dyDescent="0.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 x14ac:dyDescent="0.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 x14ac:dyDescent="0.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 x14ac:dyDescent="0.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 x14ac:dyDescent="0.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 x14ac:dyDescent="0.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 x14ac:dyDescent="0.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 x14ac:dyDescent="0.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 x14ac:dyDescent="0.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 x14ac:dyDescent="0.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 x14ac:dyDescent="0.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 x14ac:dyDescent="0.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 x14ac:dyDescent="0.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 x14ac:dyDescent="0.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 x14ac:dyDescent="0.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 x14ac:dyDescent="0.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 x14ac:dyDescent="0.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 x14ac:dyDescent="0.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 x14ac:dyDescent="0.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 x14ac:dyDescent="0.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 x14ac:dyDescent="0.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 x14ac:dyDescent="0.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 x14ac:dyDescent="0.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 x14ac:dyDescent="0.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 x14ac:dyDescent="0.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 x14ac:dyDescent="0.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 x14ac:dyDescent="0.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 x14ac:dyDescent="0.3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 x14ac:dyDescent="0.3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 x14ac:dyDescent="0.3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 x14ac:dyDescent="0.3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 x14ac:dyDescent="0.3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 x14ac:dyDescent="0.3">
      <c r="A79" s="186" t="s">
        <v>78</v>
      </c>
      <c r="B79" s="187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 x14ac:dyDescent="0.3">
      <c r="A80" s="186" t="s">
        <v>79</v>
      </c>
      <c r="B80" s="18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 x14ac:dyDescent="0.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 x14ac:dyDescent="0.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 x14ac:dyDescent="0.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 x14ac:dyDescent="0.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 x14ac:dyDescent="0.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 x14ac:dyDescent="0.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 x14ac:dyDescent="0.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 x14ac:dyDescent="0.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 x14ac:dyDescent="0.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 x14ac:dyDescent="0.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 x14ac:dyDescent="0.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 x14ac:dyDescent="0.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 x14ac:dyDescent="0.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 x14ac:dyDescent="0.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 x14ac:dyDescent="0.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 x14ac:dyDescent="0.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 x14ac:dyDescent="0.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 x14ac:dyDescent="0.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 x14ac:dyDescent="0.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 x14ac:dyDescent="0.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 x14ac:dyDescent="0.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 x14ac:dyDescent="0.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 x14ac:dyDescent="0.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 x14ac:dyDescent="0.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 x14ac:dyDescent="0.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 x14ac:dyDescent="0.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 x14ac:dyDescent="0.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 x14ac:dyDescent="0.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 x14ac:dyDescent="0.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 x14ac:dyDescent="0.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 x14ac:dyDescent="0.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 x14ac:dyDescent="0.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 x14ac:dyDescent="0.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 x14ac:dyDescent="0.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 x14ac:dyDescent="0.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 x14ac:dyDescent="0.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 x14ac:dyDescent="0.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 x14ac:dyDescent="0.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 x14ac:dyDescent="0.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 x14ac:dyDescent="0.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 x14ac:dyDescent="0.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 x14ac:dyDescent="0.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 x14ac:dyDescent="0.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 x14ac:dyDescent="0.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 x14ac:dyDescent="0.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 x14ac:dyDescent="0.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 x14ac:dyDescent="0.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 x14ac:dyDescent="0.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 x14ac:dyDescent="0.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 x14ac:dyDescent="0.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 x14ac:dyDescent="0.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 x14ac:dyDescent="0.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 x14ac:dyDescent="0.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 x14ac:dyDescent="0.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 x14ac:dyDescent="0.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 x14ac:dyDescent="0.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 x14ac:dyDescent="0.3">
      <c r="A153" s="188" t="s">
        <v>55</v>
      </c>
      <c r="B153" s="188"/>
      <c r="C153" s="188"/>
      <c r="D153" s="188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 x14ac:dyDescent="0.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 x14ac:dyDescent="0.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 x14ac:dyDescent="0.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 x14ac:dyDescent="0.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 x14ac:dyDescent="0.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 x14ac:dyDescent="0.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 x14ac:dyDescent="0.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 x14ac:dyDescent="0.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 x14ac:dyDescent="0.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 x14ac:dyDescent="0.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 x14ac:dyDescent="0.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 x14ac:dyDescent="0.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 x14ac:dyDescent="0.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 x14ac:dyDescent="0.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 x14ac:dyDescent="0.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 x14ac:dyDescent="0.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 x14ac:dyDescent="0.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 x14ac:dyDescent="0.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 x14ac:dyDescent="0.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 x14ac:dyDescent="0.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 x14ac:dyDescent="0.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 x14ac:dyDescent="0.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 x14ac:dyDescent="0.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 x14ac:dyDescent="0.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 x14ac:dyDescent="0.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 x14ac:dyDescent="0.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 x14ac:dyDescent="0.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 x14ac:dyDescent="0.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 x14ac:dyDescent="0.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 x14ac:dyDescent="0.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 x14ac:dyDescent="0.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 x14ac:dyDescent="0.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 x14ac:dyDescent="0.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 x14ac:dyDescent="0.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 x14ac:dyDescent="0.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 x14ac:dyDescent="0.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 x14ac:dyDescent="0.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 x14ac:dyDescent="0.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 x14ac:dyDescent="0.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 x14ac:dyDescent="0.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 x14ac:dyDescent="0.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 x14ac:dyDescent="0.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 x14ac:dyDescent="0.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 x14ac:dyDescent="0.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 x14ac:dyDescent="0.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 x14ac:dyDescent="0.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 x14ac:dyDescent="0.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 x14ac:dyDescent="0.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 x14ac:dyDescent="0.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 x14ac:dyDescent="0.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 x14ac:dyDescent="0.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 x14ac:dyDescent="0.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 x14ac:dyDescent="0.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 x14ac:dyDescent="0.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 x14ac:dyDescent="0.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 x14ac:dyDescent="0.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 x14ac:dyDescent="0.3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 x14ac:dyDescent="0.3">
      <c r="B2" s="121" t="s">
        <v>109</v>
      </c>
      <c r="AQ2" s="121" t="s">
        <v>115</v>
      </c>
    </row>
    <row r="3" spans="1:60" x14ac:dyDescent="0.3">
      <c r="I3" s="24" t="s">
        <v>110</v>
      </c>
    </row>
    <row r="4" spans="1:60" x14ac:dyDescent="0.3">
      <c r="I4" s="24" t="s">
        <v>111</v>
      </c>
      <c r="AR4" s="24" t="s">
        <v>116</v>
      </c>
      <c r="AS4" s="24">
        <v>0.3</v>
      </c>
    </row>
    <row r="5" spans="1:60" x14ac:dyDescent="0.3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 x14ac:dyDescent="0.3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 x14ac:dyDescent="0.3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 x14ac:dyDescent="0.3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 x14ac:dyDescent="0.3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 x14ac:dyDescent="0.3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 x14ac:dyDescent="0.3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 x14ac:dyDescent="0.3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 x14ac:dyDescent="0.3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 x14ac:dyDescent="0.3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 x14ac:dyDescent="0.3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 x14ac:dyDescent="0.3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 x14ac:dyDescent="0.3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 x14ac:dyDescent="0.3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 x14ac:dyDescent="0.3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 x14ac:dyDescent="0.3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 x14ac:dyDescent="0.3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 x14ac:dyDescent="0.3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 x14ac:dyDescent="0.3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 x14ac:dyDescent="0.3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 x14ac:dyDescent="0.3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 x14ac:dyDescent="0.3">
      <c r="B29" s="121" t="s">
        <v>112</v>
      </c>
    </row>
    <row r="30" spans="2:60" x14ac:dyDescent="0.3">
      <c r="P30" s="24" t="s">
        <v>113</v>
      </c>
      <c r="Q30" s="24">
        <v>50</v>
      </c>
    </row>
    <row r="31" spans="2:60" x14ac:dyDescent="0.3">
      <c r="P31" s="24" t="s">
        <v>114</v>
      </c>
      <c r="Q31" s="24">
        <v>1.2</v>
      </c>
      <c r="AR31" s="24" t="s">
        <v>116</v>
      </c>
      <c r="AS31" s="24">
        <v>0.3</v>
      </c>
    </row>
    <row r="32" spans="2:60" x14ac:dyDescent="0.3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 x14ac:dyDescent="0.3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 x14ac:dyDescent="0.3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 x14ac:dyDescent="0.3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 x14ac:dyDescent="0.3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 x14ac:dyDescent="0.3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 x14ac:dyDescent="0.3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 x14ac:dyDescent="0.3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 x14ac:dyDescent="0.3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 x14ac:dyDescent="0.3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 x14ac:dyDescent="0.3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 x14ac:dyDescent="0.3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 x14ac:dyDescent="0.3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 x14ac:dyDescent="0.3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 x14ac:dyDescent="0.3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 x14ac:dyDescent="0.3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 x14ac:dyDescent="0.3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 x14ac:dyDescent="0.3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 x14ac:dyDescent="0.3">
      <c r="B50" s="123" t="s">
        <v>19</v>
      </c>
      <c r="E50" s="24">
        <v>15</v>
      </c>
      <c r="F50" s="24">
        <v>11</v>
      </c>
    </row>
    <row r="51" spans="2:49" x14ac:dyDescent="0.3">
      <c r="B51" s="123" t="s">
        <v>37</v>
      </c>
      <c r="E51" s="24">
        <v>21</v>
      </c>
      <c r="F51" s="24">
        <v>16</v>
      </c>
    </row>
    <row r="52" spans="2:49" x14ac:dyDescent="0.3">
      <c r="B52" s="123" t="s">
        <v>35</v>
      </c>
      <c r="E52" s="24">
        <v>17</v>
      </c>
      <c r="F52" s="24">
        <v>13</v>
      </c>
    </row>
    <row r="53" spans="2:49" x14ac:dyDescent="0.3">
      <c r="B53" s="123" t="s">
        <v>34</v>
      </c>
      <c r="E53" s="24">
        <v>15</v>
      </c>
      <c r="F53" s="24">
        <v>11</v>
      </c>
    </row>
    <row r="54" spans="2:49" x14ac:dyDescent="0.3">
      <c r="B54" s="123" t="s">
        <v>36</v>
      </c>
      <c r="E54" s="24">
        <v>15</v>
      </c>
      <c r="F54" s="24">
        <v>11</v>
      </c>
    </row>
    <row r="55" spans="2:49" x14ac:dyDescent="0.3">
      <c r="F55" s="24" cm="1">
        <f t="array" ref="F55:F62">INT(E47:E54*0.27)</f>
        <v>2</v>
      </c>
    </row>
    <row r="56" spans="2:49" x14ac:dyDescent="0.3">
      <c r="F56" s="24">
        <v>2</v>
      </c>
    </row>
    <row r="57" spans="2:49" x14ac:dyDescent="0.3">
      <c r="F57" s="24">
        <v>3</v>
      </c>
    </row>
    <row r="58" spans="2:49" x14ac:dyDescent="0.3">
      <c r="F58" s="24">
        <v>4</v>
      </c>
    </row>
    <row r="59" spans="2:49" x14ac:dyDescent="0.3">
      <c r="F59" s="24">
        <v>5</v>
      </c>
    </row>
    <row r="60" spans="2:49" x14ac:dyDescent="0.3">
      <c r="F60" s="24">
        <v>4</v>
      </c>
    </row>
    <row r="61" spans="2:49" x14ac:dyDescent="0.3">
      <c r="F61" s="24">
        <v>4</v>
      </c>
    </row>
    <row r="62" spans="2:49" x14ac:dyDescent="0.3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122</v>
      </c>
    </row>
    <row r="4" spans="2:5" x14ac:dyDescent="0.3">
      <c r="B4" s="97" t="s">
        <v>87</v>
      </c>
      <c r="C4" s="115"/>
      <c r="D4" s="115"/>
      <c r="E4" s="24" t="e">
        <f>SUM(D4:D5)/C4</f>
        <v>#DIV/0!</v>
      </c>
    </row>
    <row r="5" spans="2:5" x14ac:dyDescent="0.3">
      <c r="B5" s="97" t="s">
        <v>86</v>
      </c>
      <c r="C5" s="49"/>
      <c r="D5" s="115"/>
    </row>
    <row r="7" spans="2:5" x14ac:dyDescent="0.3">
      <c r="B7" s="17" t="s">
        <v>124</v>
      </c>
    </row>
    <row r="8" spans="2:5" x14ac:dyDescent="0.3">
      <c r="B8" s="97" t="s">
        <v>87</v>
      </c>
      <c r="C8" s="134"/>
      <c r="D8" s="134"/>
      <c r="E8" s="24" t="e">
        <f>SUM(D8:D9)/C8</f>
        <v>#DIV/0!</v>
      </c>
    </row>
    <row r="9" spans="2:5" x14ac:dyDescent="0.3">
      <c r="B9" s="97" t="s">
        <v>86</v>
      </c>
      <c r="C9" s="135"/>
      <c r="D9" s="134"/>
    </row>
    <row r="11" spans="2:5" x14ac:dyDescent="0.3">
      <c r="B11" s="17" t="s">
        <v>128</v>
      </c>
    </row>
    <row r="12" spans="2:5" x14ac:dyDescent="0.3">
      <c r="B12" s="97" t="s">
        <v>87</v>
      </c>
      <c r="C12" s="115"/>
      <c r="D12" s="115"/>
      <c r="E12" s="24" t="e">
        <f>SUM(D12:D13)/C12</f>
        <v>#DIV/0!</v>
      </c>
    </row>
    <row r="13" spans="2:5" x14ac:dyDescent="0.3">
      <c r="B13" s="97" t="s">
        <v>86</v>
      </c>
      <c r="C13" s="49"/>
      <c r="D13" s="115"/>
    </row>
    <row r="15" spans="2:5" x14ac:dyDescent="0.3">
      <c r="B15" s="17" t="s">
        <v>126</v>
      </c>
    </row>
    <row r="16" spans="2:5" x14ac:dyDescent="0.3">
      <c r="B16" s="97" t="s">
        <v>87</v>
      </c>
      <c r="C16" s="115"/>
      <c r="D16" s="115"/>
      <c r="E16" s="24" t="e">
        <f>SUM(D16:D17)/C16</f>
        <v>#DIV/0!</v>
      </c>
    </row>
    <row r="17" spans="2:5" x14ac:dyDescent="0.3">
      <c r="B17" s="97" t="s">
        <v>86</v>
      </c>
      <c r="C17" s="49"/>
      <c r="D17" s="115"/>
    </row>
    <row r="19" spans="2:5" x14ac:dyDescent="0.3">
      <c r="B19" s="17" t="s">
        <v>130</v>
      </c>
    </row>
    <row r="20" spans="2:5" x14ac:dyDescent="0.3">
      <c r="B20" s="97" t="s">
        <v>87</v>
      </c>
      <c r="C20" s="115"/>
      <c r="D20" s="115"/>
      <c r="E20" s="24" t="e">
        <f>SUM(D20:D21)/C20</f>
        <v>#DIV/0!</v>
      </c>
    </row>
    <row r="21" spans="2:5" x14ac:dyDescent="0.3">
      <c r="B21" s="97" t="s">
        <v>86</v>
      </c>
      <c r="C21" s="49"/>
      <c r="D21" s="115"/>
    </row>
    <row r="23" spans="2:5" x14ac:dyDescent="0.3">
      <c r="B23" s="17" t="s">
        <v>132</v>
      </c>
    </row>
    <row r="24" spans="2:5" x14ac:dyDescent="0.3">
      <c r="B24" s="97" t="s">
        <v>87</v>
      </c>
      <c r="C24" s="115"/>
      <c r="D24" s="115"/>
      <c r="E24" s="24" t="e">
        <f>SUM(D24:D25)/C24</f>
        <v>#DIV/0!</v>
      </c>
    </row>
    <row r="25" spans="2:5" x14ac:dyDescent="0.3">
      <c r="B25" s="97" t="s">
        <v>86</v>
      </c>
      <c r="C25" s="49"/>
      <c r="D25" s="115"/>
    </row>
    <row r="28" spans="2:5" x14ac:dyDescent="0.3">
      <c r="B28" s="97" t="s">
        <v>62</v>
      </c>
      <c r="C28" s="132">
        <v>10000000000</v>
      </c>
    </row>
    <row r="30" spans="2:5" x14ac:dyDescent="0.3">
      <c r="B30" s="133" t="s">
        <v>121</v>
      </c>
      <c r="C30" s="116" t="e">
        <f>ROUND(E4*$C$28, 0)</f>
        <v>#DIV/0!</v>
      </c>
    </row>
    <row r="31" spans="2:5" x14ac:dyDescent="0.3">
      <c r="B31" s="133" t="s">
        <v>123</v>
      </c>
      <c r="C31" s="116" t="e">
        <f>ROUND(E8*$C$28, 0)</f>
        <v>#DIV/0!</v>
      </c>
    </row>
    <row r="32" spans="2:5" x14ac:dyDescent="0.3">
      <c r="B32" s="133" t="s">
        <v>127</v>
      </c>
      <c r="C32" s="116" t="e">
        <f>ROUND(E12*$C$28, 0)</f>
        <v>#DIV/0!</v>
      </c>
    </row>
    <row r="33" spans="2:3" x14ac:dyDescent="0.3">
      <c r="B33" s="133" t="s">
        <v>125</v>
      </c>
      <c r="C33" s="116" t="e">
        <f>ROUND(E16*$C$28, 0)</f>
        <v>#DIV/0!</v>
      </c>
    </row>
    <row r="34" spans="2:3" x14ac:dyDescent="0.3">
      <c r="B34" s="133" t="s">
        <v>129</v>
      </c>
      <c r="C34" s="116" t="e">
        <f>ROUND(E20*$C$28, 0)</f>
        <v>#DIV/0!</v>
      </c>
    </row>
    <row r="35" spans="2:3" x14ac:dyDescent="0.3">
      <c r="B35" s="133" t="s">
        <v>131</v>
      </c>
      <c r="C35" s="116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abSelected="1" workbookViewId="0">
      <selection activeCell="P14" sqref="P14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0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0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0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0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0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0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0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0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0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0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 x14ac:dyDescent="0.3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0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 x14ac:dyDescent="0.3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0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 x14ac:dyDescent="0.3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0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 x14ac:dyDescent="0.3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0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 x14ac:dyDescent="0.3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0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 x14ac:dyDescent="0.3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0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 x14ac:dyDescent="0.3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0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 x14ac:dyDescent="0.3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0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 x14ac:dyDescent="0.3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 x14ac:dyDescent="0.3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 x14ac:dyDescent="0.3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 x14ac:dyDescent="0.3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3:41" ht="16.5" customHeight="1" x14ac:dyDescent="0.3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 x14ac:dyDescent="0.3">
      <c r="C54" s="5" t="s">
        <v>22</v>
      </c>
      <c r="D54" s="16" t="s">
        <v>21</v>
      </c>
      <c r="E54" s="16" t="s">
        <v>19</v>
      </c>
      <c r="F54" s="16" t="s">
        <v>117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 x14ac:dyDescent="0.3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0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0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 x14ac:dyDescent="0.3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0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 x14ac:dyDescent="0.3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0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0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 x14ac:dyDescent="0.3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0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 x14ac:dyDescent="0.3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0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 x14ac:dyDescent="0.3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0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0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 x14ac:dyDescent="0.3">
      <c r="AH305" s="5"/>
      <c r="AO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topLeftCell="T49" workbookViewId="0">
      <selection activeCell="AC4" sqref="AC4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0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0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0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0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0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0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0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0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0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0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 x14ac:dyDescent="0.3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0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 x14ac:dyDescent="0.3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0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 x14ac:dyDescent="0.3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0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 x14ac:dyDescent="0.3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0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 x14ac:dyDescent="0.3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0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0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0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0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 x14ac:dyDescent="0.3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0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 x14ac:dyDescent="0.3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0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 x14ac:dyDescent="0.3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0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 x14ac:dyDescent="0.3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0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 x14ac:dyDescent="0.3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0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 x14ac:dyDescent="0.3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0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 x14ac:dyDescent="0.3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0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 x14ac:dyDescent="0.3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0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0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topLeftCell="S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0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0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0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0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0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0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0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0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0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57" cm="1">
        <f t="array" ref="C27:G46">C4:G23/C24:G24</f>
        <v>0</v>
      </c>
      <c r="D27" s="157">
        <v>0</v>
      </c>
      <c r="E27" s="157">
        <v>0</v>
      </c>
      <c r="F27" s="157">
        <v>0</v>
      </c>
      <c r="G27" s="15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57">
        <v>0.03</v>
      </c>
      <c r="D28" s="157">
        <v>0.03</v>
      </c>
      <c r="E28" s="157">
        <v>0.03</v>
      </c>
      <c r="F28" s="157">
        <v>4.4999999999999998E-2</v>
      </c>
      <c r="G28" s="15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57">
        <v>0.02</v>
      </c>
      <c r="D29" s="157">
        <v>8.5000000000000006E-2</v>
      </c>
      <c r="E29" s="157">
        <v>0.02</v>
      </c>
      <c r="F29" s="157">
        <v>0.105</v>
      </c>
      <c r="G29" s="15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57">
        <v>0.02</v>
      </c>
      <c r="D30" s="157">
        <v>0.09</v>
      </c>
      <c r="E30" s="157">
        <v>0.02</v>
      </c>
      <c r="F30" s="157">
        <v>0.1</v>
      </c>
      <c r="G30" s="15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57">
        <v>0.02</v>
      </c>
      <c r="D31" s="157">
        <v>0.09</v>
      </c>
      <c r="E31" s="157">
        <v>0.02</v>
      </c>
      <c r="F31" s="157">
        <v>0.1</v>
      </c>
      <c r="G31" s="15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 x14ac:dyDescent="0.3">
      <c r="A32" s="29" t="str">
        <v>M4</v>
      </c>
      <c r="B32" s="8" t="str">
        <v>M4</v>
      </c>
      <c r="C32" s="157">
        <v>0.2</v>
      </c>
      <c r="D32" s="157">
        <v>7.0000000000000007E-2</v>
      </c>
      <c r="E32" s="157">
        <v>0.20499999999999999</v>
      </c>
      <c r="F32" s="157">
        <v>7.0000000000000007E-2</v>
      </c>
      <c r="G32" s="15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0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 x14ac:dyDescent="0.3">
      <c r="A33" s="29" t="str">
        <v>M5</v>
      </c>
      <c r="B33" s="8" t="str">
        <v>M5</v>
      </c>
      <c r="C33" s="157">
        <v>0.2</v>
      </c>
      <c r="D33" s="157">
        <v>7.0000000000000007E-2</v>
      </c>
      <c r="E33" s="157">
        <v>0.20499999999999999</v>
      </c>
      <c r="F33" s="157">
        <v>7.0000000000000007E-2</v>
      </c>
      <c r="G33" s="15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0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 x14ac:dyDescent="0.3">
      <c r="A34" s="29" t="str">
        <v>A</v>
      </c>
      <c r="B34" s="8" t="str">
        <v>A</v>
      </c>
      <c r="C34" s="157">
        <v>0.23499999999999999</v>
      </c>
      <c r="D34" s="157">
        <v>6.5000000000000002E-2</v>
      </c>
      <c r="E34" s="157">
        <v>0.20499999999999999</v>
      </c>
      <c r="F34" s="157">
        <v>7.0000000000000007E-2</v>
      </c>
      <c r="G34" s="15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0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 x14ac:dyDescent="0.3">
      <c r="A35" s="29" t="str">
        <v>K</v>
      </c>
      <c r="B35" s="8" t="str">
        <v>K</v>
      </c>
      <c r="C35" s="157">
        <v>0.23499999999999999</v>
      </c>
      <c r="D35" s="157">
        <v>6.5000000000000002E-2</v>
      </c>
      <c r="E35" s="157">
        <v>0.20499999999999999</v>
      </c>
      <c r="F35" s="157">
        <v>7.0000000000000007E-2</v>
      </c>
      <c r="G35" s="15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0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 x14ac:dyDescent="0.3">
      <c r="A36" s="29" t="str">
        <v>Q</v>
      </c>
      <c r="B36" s="8" t="str">
        <v>Q</v>
      </c>
      <c r="C36" s="157">
        <v>0.02</v>
      </c>
      <c r="D36" s="157">
        <v>8.5000000000000006E-2</v>
      </c>
      <c r="E36" s="157">
        <v>1.4999999999999999E-2</v>
      </c>
      <c r="F36" s="157">
        <v>0.105</v>
      </c>
      <c r="G36" s="15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0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 x14ac:dyDescent="0.3">
      <c r="A37" s="29" t="str">
        <v>J</v>
      </c>
      <c r="B37" s="8" t="str">
        <v>J</v>
      </c>
      <c r="C37" s="157">
        <v>0.02</v>
      </c>
      <c r="D37" s="157">
        <v>8.5000000000000006E-2</v>
      </c>
      <c r="E37" s="157">
        <v>1.4999999999999999E-2</v>
      </c>
      <c r="F37" s="157">
        <v>0.105</v>
      </c>
      <c r="G37" s="15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0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 x14ac:dyDescent="0.3">
      <c r="A38" s="29" t="str">
        <v>G1</v>
      </c>
      <c r="B38" s="8" t="str">
        <v>Gold M1</v>
      </c>
      <c r="C38" s="157">
        <v>0</v>
      </c>
      <c r="D38" s="157">
        <v>3.5000000000000003E-2</v>
      </c>
      <c r="E38" s="157">
        <v>0</v>
      </c>
      <c r="F38" s="157">
        <v>0.02</v>
      </c>
      <c r="G38" s="157">
        <v>0</v>
      </c>
      <c r="H38" s="8">
        <v>11</v>
      </c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0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 x14ac:dyDescent="0.3">
      <c r="A39" s="29" t="str">
        <v>G2</v>
      </c>
      <c r="B39" s="8" t="str">
        <v>Gold M2</v>
      </c>
      <c r="C39" s="157">
        <v>0</v>
      </c>
      <c r="D39" s="157">
        <v>3.5000000000000003E-2</v>
      </c>
      <c r="E39" s="157">
        <v>0</v>
      </c>
      <c r="F39" s="157">
        <v>0.02</v>
      </c>
      <c r="G39" s="157">
        <v>0</v>
      </c>
      <c r="H39" s="8">
        <v>12</v>
      </c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0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 x14ac:dyDescent="0.3">
      <c r="A40" s="29" t="str">
        <v>G3</v>
      </c>
      <c r="B40" s="8" t="str">
        <v>Gold M3</v>
      </c>
      <c r="C40" s="157">
        <v>0</v>
      </c>
      <c r="D40" s="157">
        <v>3.5000000000000003E-2</v>
      </c>
      <c r="E40" s="157">
        <v>0</v>
      </c>
      <c r="F40" s="157">
        <v>0.02</v>
      </c>
      <c r="G40" s="15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0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 x14ac:dyDescent="0.3">
      <c r="A41" s="29" t="str">
        <v>G4</v>
      </c>
      <c r="B41" s="8" t="str">
        <v>Gold M4</v>
      </c>
      <c r="C41" s="157">
        <v>0</v>
      </c>
      <c r="D41" s="157">
        <v>0.02</v>
      </c>
      <c r="E41" s="157">
        <v>1.4999999999999999E-2</v>
      </c>
      <c r="F41" s="157">
        <v>1.4999999999999999E-2</v>
      </c>
      <c r="G41" s="15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57">
        <v>0</v>
      </c>
      <c r="D42" s="157">
        <v>0.02</v>
      </c>
      <c r="E42" s="157">
        <v>1.4999999999999999E-2</v>
      </c>
      <c r="F42" s="157">
        <v>1.4999999999999999E-2</v>
      </c>
      <c r="G42" s="15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57">
        <v>0</v>
      </c>
      <c r="D43" s="157">
        <v>0.02</v>
      </c>
      <c r="E43" s="157">
        <v>1.4999999999999999E-2</v>
      </c>
      <c r="F43" s="157">
        <v>1.4999999999999999E-2</v>
      </c>
      <c r="G43" s="15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57">
        <v>0</v>
      </c>
      <c r="D44" s="157">
        <v>0.02</v>
      </c>
      <c r="E44" s="157">
        <v>1.4999999999999999E-2</v>
      </c>
      <c r="F44" s="157">
        <v>1.4999999999999999E-2</v>
      </c>
      <c r="G44" s="15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57">
        <v>0</v>
      </c>
      <c r="D45" s="157">
        <v>0.04</v>
      </c>
      <c r="E45" s="157">
        <v>0</v>
      </c>
      <c r="F45" s="157">
        <v>0.02</v>
      </c>
      <c r="G45" s="157">
        <v>0</v>
      </c>
      <c r="H45" s="8">
        <v>18</v>
      </c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57">
        <v>0</v>
      </c>
      <c r="D46" s="157">
        <v>0.04</v>
      </c>
      <c r="E46" s="157">
        <v>0</v>
      </c>
      <c r="F46" s="157">
        <v>0.02</v>
      </c>
      <c r="G46" s="157">
        <v>0</v>
      </c>
      <c r="H46" s="8">
        <v>19</v>
      </c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0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0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0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0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0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 x14ac:dyDescent="0.3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0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0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0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 x14ac:dyDescent="0.3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0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0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0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0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0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0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0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 x14ac:dyDescent="0.3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0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0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 x14ac:dyDescent="0.3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0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 x14ac:dyDescent="0.3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P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0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0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0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0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0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0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0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0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 x14ac:dyDescent="0.3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 x14ac:dyDescent="0.3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0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0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0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0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0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0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0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0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0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0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 x14ac:dyDescent="0.3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0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0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 x14ac:dyDescent="0.3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0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134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89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61">
        <v>0</v>
      </c>
      <c r="AE8" s="161">
        <v>0</v>
      </c>
      <c r="AF8" s="161">
        <v>0</v>
      </c>
      <c r="AG8" s="161">
        <v>0</v>
      </c>
      <c r="AH8" s="161">
        <v>0</v>
      </c>
      <c r="AI8" s="5"/>
      <c r="AJ8" s="160" t="str">
        <v>M1</v>
      </c>
      <c r="AK8" s="161">
        <v>0</v>
      </c>
      <c r="AL8" s="161">
        <v>0</v>
      </c>
      <c r="AM8" s="161">
        <v>0</v>
      </c>
      <c r="AN8" s="161">
        <v>0</v>
      </c>
      <c r="AO8" s="161">
        <v>0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60">
        <v>15</v>
      </c>
      <c r="AE9" s="160">
        <v>53</v>
      </c>
      <c r="AF9" s="160">
        <v>5</v>
      </c>
      <c r="AG9" s="160">
        <v>48</v>
      </c>
      <c r="AH9" s="160">
        <v>58</v>
      </c>
      <c r="AI9" s="5"/>
      <c r="AJ9" s="160" t="str">
        <v>M2</v>
      </c>
      <c r="AK9" s="160">
        <v>15</v>
      </c>
      <c r="AL9" s="160">
        <v>53</v>
      </c>
      <c r="AM9" s="160">
        <v>5</v>
      </c>
      <c r="AN9" s="160">
        <v>48</v>
      </c>
      <c r="AO9" s="160">
        <v>58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60">
        <v>3</v>
      </c>
      <c r="AE10" s="160">
        <v>38</v>
      </c>
      <c r="AF10" s="160">
        <v>20</v>
      </c>
      <c r="AG10" s="160">
        <v>40</v>
      </c>
      <c r="AH10" s="160">
        <v>48</v>
      </c>
      <c r="AI10" s="5"/>
      <c r="AJ10" s="160" t="str">
        <v>M3</v>
      </c>
      <c r="AK10" s="160">
        <v>3</v>
      </c>
      <c r="AL10" s="160">
        <v>38</v>
      </c>
      <c r="AM10" s="160">
        <v>20</v>
      </c>
      <c r="AN10" s="160">
        <v>40</v>
      </c>
      <c r="AO10" s="160">
        <v>48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60">
        <v>38</v>
      </c>
      <c r="AE11" s="160">
        <v>27</v>
      </c>
      <c r="AF11" s="160">
        <v>33</v>
      </c>
      <c r="AG11" s="160">
        <v>20</v>
      </c>
      <c r="AH11" s="160">
        <v>24</v>
      </c>
      <c r="AI11" s="5"/>
      <c r="AJ11" s="160" t="str">
        <v>M4</v>
      </c>
      <c r="AK11" s="160">
        <v>38</v>
      </c>
      <c r="AL11" s="160">
        <v>27</v>
      </c>
      <c r="AM11" s="160">
        <v>33</v>
      </c>
      <c r="AN11" s="160">
        <v>20</v>
      </c>
      <c r="AO11" s="160">
        <v>24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60">
        <v>11</v>
      </c>
      <c r="AE12" s="160">
        <v>27</v>
      </c>
      <c r="AF12" s="160">
        <v>5</v>
      </c>
      <c r="AG12" s="160">
        <v>28</v>
      </c>
      <c r="AH12" s="160">
        <v>30</v>
      </c>
      <c r="AI12" s="5"/>
      <c r="AJ12" s="160" t="str">
        <v>M5</v>
      </c>
      <c r="AK12" s="160">
        <v>11</v>
      </c>
      <c r="AL12" s="160">
        <v>27</v>
      </c>
      <c r="AM12" s="160">
        <v>5</v>
      </c>
      <c r="AN12" s="160">
        <v>28</v>
      </c>
      <c r="AO12" s="160">
        <v>30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60">
        <v>33</v>
      </c>
      <c r="AE13" s="160">
        <v>14</v>
      </c>
      <c r="AF13" s="160">
        <v>35</v>
      </c>
      <c r="AG13" s="160">
        <v>8</v>
      </c>
      <c r="AH13" s="160">
        <v>10</v>
      </c>
      <c r="AI13" s="5"/>
      <c r="AJ13" s="160" t="str">
        <v>A</v>
      </c>
      <c r="AK13" s="160">
        <v>33</v>
      </c>
      <c r="AL13" s="160">
        <v>14</v>
      </c>
      <c r="AM13" s="160">
        <v>35</v>
      </c>
      <c r="AN13" s="160">
        <v>8</v>
      </c>
      <c r="AO13" s="160">
        <v>10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60">
        <v>40</v>
      </c>
      <c r="AE14" s="160">
        <v>3</v>
      </c>
      <c r="AF14" s="160">
        <v>23</v>
      </c>
      <c r="AG14" s="160">
        <v>1</v>
      </c>
      <c r="AH14" s="160">
        <v>1</v>
      </c>
      <c r="AI14" s="5"/>
      <c r="AJ14" s="160" t="str">
        <v>K</v>
      </c>
      <c r="AK14" s="160">
        <v>40</v>
      </c>
      <c r="AL14" s="160">
        <v>3</v>
      </c>
      <c r="AM14" s="160">
        <v>23</v>
      </c>
      <c r="AN14" s="160">
        <v>1</v>
      </c>
      <c r="AO14" s="160">
        <v>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60">
        <v>11</v>
      </c>
      <c r="AE15" s="160">
        <v>33</v>
      </c>
      <c r="AF15" s="160">
        <v>8</v>
      </c>
      <c r="AG15" s="160">
        <v>20</v>
      </c>
      <c r="AH15" s="160">
        <v>28</v>
      </c>
      <c r="AI15" s="5"/>
      <c r="AJ15" s="160" t="str">
        <v>Q</v>
      </c>
      <c r="AK15" s="160">
        <v>11</v>
      </c>
      <c r="AL15" s="160">
        <v>33</v>
      </c>
      <c r="AM15" s="160">
        <v>8</v>
      </c>
      <c r="AN15" s="160">
        <v>20</v>
      </c>
      <c r="AO15" s="160">
        <v>28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60">
        <v>44</v>
      </c>
      <c r="AE16" s="160">
        <v>1</v>
      </c>
      <c r="AF16" s="160">
        <v>39</v>
      </c>
      <c r="AG16" s="160">
        <v>5</v>
      </c>
      <c r="AH16" s="160">
        <v>1</v>
      </c>
      <c r="AI16" s="5"/>
      <c r="AJ16" s="160" t="str">
        <v>J</v>
      </c>
      <c r="AK16" s="160">
        <v>44</v>
      </c>
      <c r="AL16" s="160">
        <v>1</v>
      </c>
      <c r="AM16" s="160">
        <v>39</v>
      </c>
      <c r="AN16" s="160">
        <v>5</v>
      </c>
      <c r="AO16" s="160">
        <v>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61">
        <v>0</v>
      </c>
      <c r="AE32" s="161">
        <v>0</v>
      </c>
      <c r="AF32" s="161">
        <v>0</v>
      </c>
      <c r="AG32" s="161">
        <v>0</v>
      </c>
      <c r="AH32" s="161">
        <v>0</v>
      </c>
      <c r="AI32" s="5"/>
      <c r="AJ32" s="160" t="str">
        <v>M1</v>
      </c>
      <c r="AK32" s="161">
        <v>0</v>
      </c>
      <c r="AL32" s="161">
        <v>0</v>
      </c>
      <c r="AM32" s="161">
        <v>0</v>
      </c>
      <c r="AN32" s="161">
        <v>0</v>
      </c>
      <c r="AO32" s="161">
        <v>0</v>
      </c>
    </row>
    <row r="33" spans="1:41" ht="16.5" customHeight="1" x14ac:dyDescent="0.3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60">
        <v>15</v>
      </c>
      <c r="AE33" s="160">
        <v>53</v>
      </c>
      <c r="AF33" s="160">
        <v>5</v>
      </c>
      <c r="AG33" s="160">
        <v>48</v>
      </c>
      <c r="AH33" s="160">
        <v>58</v>
      </c>
      <c r="AI33" s="5"/>
      <c r="AJ33" s="160" t="str">
        <v>M2</v>
      </c>
      <c r="AK33" s="160">
        <v>15</v>
      </c>
      <c r="AL33" s="160">
        <v>53</v>
      </c>
      <c r="AM33" s="160">
        <v>5</v>
      </c>
      <c r="AN33" s="160">
        <v>48</v>
      </c>
      <c r="AO33" s="160">
        <v>58</v>
      </c>
    </row>
    <row r="34" spans="1:41" ht="16.5" customHeight="1" x14ac:dyDescent="0.3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60">
        <v>3</v>
      </c>
      <c r="AE34" s="160">
        <v>38</v>
      </c>
      <c r="AF34" s="160">
        <v>20</v>
      </c>
      <c r="AG34" s="160">
        <v>40</v>
      </c>
      <c r="AH34" s="160">
        <v>48</v>
      </c>
      <c r="AI34" s="5"/>
      <c r="AJ34" s="160" t="str">
        <v>M3</v>
      </c>
      <c r="AK34" s="160">
        <v>3</v>
      </c>
      <c r="AL34" s="160">
        <v>38</v>
      </c>
      <c r="AM34" s="160">
        <v>20</v>
      </c>
      <c r="AN34" s="160">
        <v>40</v>
      </c>
      <c r="AO34" s="160">
        <v>48</v>
      </c>
    </row>
    <row r="35" spans="1:41" ht="16.5" customHeight="1" x14ac:dyDescent="0.3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60">
        <v>38</v>
      </c>
      <c r="AE35" s="160">
        <v>27</v>
      </c>
      <c r="AF35" s="160">
        <v>33</v>
      </c>
      <c r="AG35" s="160">
        <v>20</v>
      </c>
      <c r="AH35" s="160">
        <v>24</v>
      </c>
      <c r="AI35" s="5"/>
      <c r="AJ35" s="160" t="str">
        <v>M4</v>
      </c>
      <c r="AK35" s="160">
        <v>38</v>
      </c>
      <c r="AL35" s="160">
        <v>27</v>
      </c>
      <c r="AM35" s="160">
        <v>33</v>
      </c>
      <c r="AN35" s="160">
        <v>20</v>
      </c>
      <c r="AO35" s="160">
        <v>24</v>
      </c>
    </row>
    <row r="36" spans="1:41" ht="16.5" customHeight="1" x14ac:dyDescent="0.3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60">
        <v>11</v>
      </c>
      <c r="AE36" s="160">
        <v>27</v>
      </c>
      <c r="AF36" s="160">
        <v>5</v>
      </c>
      <c r="AG36" s="160">
        <v>28</v>
      </c>
      <c r="AH36" s="160">
        <v>30</v>
      </c>
      <c r="AI36" s="5"/>
      <c r="AJ36" s="160" t="str">
        <v>M5</v>
      </c>
      <c r="AK36" s="160">
        <v>11</v>
      </c>
      <c r="AL36" s="160">
        <v>27</v>
      </c>
      <c r="AM36" s="160">
        <v>5</v>
      </c>
      <c r="AN36" s="160">
        <v>28</v>
      </c>
      <c r="AO36" s="160">
        <v>30</v>
      </c>
    </row>
    <row r="37" spans="1:41" ht="16.5" customHeight="1" x14ac:dyDescent="0.3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60">
        <v>33</v>
      </c>
      <c r="AE37" s="160">
        <v>14</v>
      </c>
      <c r="AF37" s="160">
        <v>35</v>
      </c>
      <c r="AG37" s="160">
        <v>8</v>
      </c>
      <c r="AH37" s="160">
        <v>10</v>
      </c>
      <c r="AI37" s="5"/>
      <c r="AJ37" s="160" t="str">
        <v>A</v>
      </c>
      <c r="AK37" s="160">
        <v>33</v>
      </c>
      <c r="AL37" s="160">
        <v>14</v>
      </c>
      <c r="AM37" s="160">
        <v>35</v>
      </c>
      <c r="AN37" s="160">
        <v>8</v>
      </c>
      <c r="AO37" s="160">
        <v>10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60">
        <v>40</v>
      </c>
      <c r="AE38" s="160">
        <v>3</v>
      </c>
      <c r="AF38" s="160">
        <v>23</v>
      </c>
      <c r="AG38" s="160">
        <v>1</v>
      </c>
      <c r="AH38" s="160">
        <v>1</v>
      </c>
      <c r="AI38" s="5"/>
      <c r="AJ38" s="160" t="str">
        <v>K</v>
      </c>
      <c r="AK38" s="160">
        <v>40</v>
      </c>
      <c r="AL38" s="160">
        <v>3</v>
      </c>
      <c r="AM38" s="160">
        <v>23</v>
      </c>
      <c r="AN38" s="160">
        <v>1</v>
      </c>
      <c r="AO38" s="160">
        <v>1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60">
        <v>11</v>
      </c>
      <c r="AE39" s="160">
        <v>33</v>
      </c>
      <c r="AF39" s="160">
        <v>8</v>
      </c>
      <c r="AG39" s="160">
        <v>20</v>
      </c>
      <c r="AH39" s="160">
        <v>28</v>
      </c>
      <c r="AI39" s="5"/>
      <c r="AJ39" s="160" t="str">
        <v>Q</v>
      </c>
      <c r="AK39" s="160">
        <v>11</v>
      </c>
      <c r="AL39" s="160">
        <v>33</v>
      </c>
      <c r="AM39" s="160">
        <v>8</v>
      </c>
      <c r="AN39" s="160">
        <v>20</v>
      </c>
      <c r="AO39" s="160">
        <v>28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60">
        <v>44</v>
      </c>
      <c r="AE40" s="160">
        <v>1</v>
      </c>
      <c r="AF40" s="160">
        <v>39</v>
      </c>
      <c r="AG40" s="160">
        <v>5</v>
      </c>
      <c r="AH40" s="160">
        <v>1</v>
      </c>
      <c r="AI40" s="5"/>
      <c r="AJ40" s="160" t="str">
        <v>J</v>
      </c>
      <c r="AK40" s="160">
        <v>44</v>
      </c>
      <c r="AL40" s="160">
        <v>1</v>
      </c>
      <c r="AM40" s="160">
        <v>39</v>
      </c>
      <c r="AN40" s="160">
        <v>5</v>
      </c>
      <c r="AO40" s="160">
        <v>1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 x14ac:dyDescent="0.3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 x14ac:dyDescent="0.3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 x14ac:dyDescent="0.3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 x14ac:dyDescent="0.3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 x14ac:dyDescent="0.3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61">
        <v>0</v>
      </c>
      <c r="AE56" s="161">
        <v>0</v>
      </c>
      <c r="AF56" s="161">
        <v>0</v>
      </c>
      <c r="AG56" s="161">
        <v>0</v>
      </c>
      <c r="AH56" s="161">
        <v>0</v>
      </c>
      <c r="AI56" s="5"/>
      <c r="AJ56" s="160" t="str">
        <v>M1</v>
      </c>
      <c r="AK56" s="161">
        <v>0</v>
      </c>
      <c r="AL56" s="161">
        <v>0</v>
      </c>
      <c r="AM56" s="161">
        <v>0</v>
      </c>
      <c r="AN56" s="161">
        <v>0</v>
      </c>
      <c r="AO56" s="161">
        <v>0</v>
      </c>
    </row>
    <row r="57" spans="10:41" ht="16.5" customHeight="1" x14ac:dyDescent="0.3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60">
        <v>15</v>
      </c>
      <c r="AE57" s="160">
        <v>53</v>
      </c>
      <c r="AF57" s="160">
        <v>5</v>
      </c>
      <c r="AG57" s="160">
        <v>48</v>
      </c>
      <c r="AH57" s="160">
        <v>58</v>
      </c>
      <c r="AI57" s="5"/>
      <c r="AJ57" s="160" t="str">
        <v>M2</v>
      </c>
      <c r="AK57" s="160">
        <v>15</v>
      </c>
      <c r="AL57" s="160">
        <v>53</v>
      </c>
      <c r="AM57" s="160">
        <v>5</v>
      </c>
      <c r="AN57" s="160">
        <v>48</v>
      </c>
      <c r="AO57" s="160">
        <v>58</v>
      </c>
    </row>
    <row r="58" spans="10:41" ht="16.5" customHeight="1" x14ac:dyDescent="0.3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60">
        <v>3</v>
      </c>
      <c r="AE58" s="160">
        <v>38</v>
      </c>
      <c r="AF58" s="160">
        <v>20</v>
      </c>
      <c r="AG58" s="160">
        <v>40</v>
      </c>
      <c r="AH58" s="160">
        <v>48</v>
      </c>
      <c r="AI58" s="5"/>
      <c r="AJ58" s="160" t="str">
        <v>M3</v>
      </c>
      <c r="AK58" s="160">
        <v>3</v>
      </c>
      <c r="AL58" s="160">
        <v>38</v>
      </c>
      <c r="AM58" s="160">
        <v>20</v>
      </c>
      <c r="AN58" s="160">
        <v>40</v>
      </c>
      <c r="AO58" s="160">
        <v>48</v>
      </c>
    </row>
    <row r="59" spans="10:41" ht="16.5" customHeight="1" x14ac:dyDescent="0.3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60">
        <v>38</v>
      </c>
      <c r="AE59" s="160">
        <v>27</v>
      </c>
      <c r="AF59" s="160">
        <v>33</v>
      </c>
      <c r="AG59" s="160">
        <v>20</v>
      </c>
      <c r="AH59" s="160">
        <v>24</v>
      </c>
      <c r="AI59" s="5"/>
      <c r="AJ59" s="160" t="str">
        <v>M4</v>
      </c>
      <c r="AK59" s="160">
        <v>38</v>
      </c>
      <c r="AL59" s="160">
        <v>27</v>
      </c>
      <c r="AM59" s="160">
        <v>33</v>
      </c>
      <c r="AN59" s="160">
        <v>20</v>
      </c>
      <c r="AO59" s="160">
        <v>24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60">
        <v>11</v>
      </c>
      <c r="AE60" s="160">
        <v>27</v>
      </c>
      <c r="AF60" s="160">
        <v>5</v>
      </c>
      <c r="AG60" s="160">
        <v>28</v>
      </c>
      <c r="AH60" s="160">
        <v>30</v>
      </c>
      <c r="AI60" s="5"/>
      <c r="AJ60" s="160" t="str">
        <v>M5</v>
      </c>
      <c r="AK60" s="160">
        <v>11</v>
      </c>
      <c r="AL60" s="160">
        <v>27</v>
      </c>
      <c r="AM60" s="160">
        <v>5</v>
      </c>
      <c r="AN60" s="160">
        <v>28</v>
      </c>
      <c r="AO60" s="160">
        <v>30</v>
      </c>
    </row>
    <row r="61" spans="10:41" x14ac:dyDescent="0.3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60">
        <v>33</v>
      </c>
      <c r="AE61" s="160">
        <v>14</v>
      </c>
      <c r="AF61" s="160">
        <v>35</v>
      </c>
      <c r="AG61" s="160">
        <v>8</v>
      </c>
      <c r="AH61" s="160">
        <v>10</v>
      </c>
      <c r="AI61" s="5"/>
      <c r="AJ61" s="160" t="str">
        <v>A</v>
      </c>
      <c r="AK61" s="160">
        <v>33</v>
      </c>
      <c r="AL61" s="160">
        <v>14</v>
      </c>
      <c r="AM61" s="160">
        <v>35</v>
      </c>
      <c r="AN61" s="160">
        <v>8</v>
      </c>
      <c r="AO61" s="160">
        <v>10</v>
      </c>
    </row>
    <row r="62" spans="10:41" x14ac:dyDescent="0.3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60">
        <v>40</v>
      </c>
      <c r="AE62" s="160">
        <v>3</v>
      </c>
      <c r="AF62" s="160">
        <v>23</v>
      </c>
      <c r="AG62" s="160">
        <v>1</v>
      </c>
      <c r="AH62" s="160">
        <v>1</v>
      </c>
      <c r="AI62" s="5"/>
      <c r="AJ62" s="160" t="str">
        <v>K</v>
      </c>
      <c r="AK62" s="160">
        <v>40</v>
      </c>
      <c r="AL62" s="160">
        <v>3</v>
      </c>
      <c r="AM62" s="160">
        <v>23</v>
      </c>
      <c r="AN62" s="160">
        <v>1</v>
      </c>
      <c r="AO62" s="160">
        <v>1</v>
      </c>
    </row>
    <row r="63" spans="10:41" ht="16.5" customHeight="1" x14ac:dyDescent="0.3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60">
        <v>11</v>
      </c>
      <c r="AE63" s="160">
        <v>33</v>
      </c>
      <c r="AF63" s="160">
        <v>8</v>
      </c>
      <c r="AG63" s="160">
        <v>20</v>
      </c>
      <c r="AH63" s="160">
        <v>28</v>
      </c>
      <c r="AI63" s="5"/>
      <c r="AJ63" s="160" t="str">
        <v>Q</v>
      </c>
      <c r="AK63" s="160">
        <v>11</v>
      </c>
      <c r="AL63" s="160">
        <v>33</v>
      </c>
      <c r="AM63" s="160">
        <v>8</v>
      </c>
      <c r="AN63" s="160">
        <v>20</v>
      </c>
      <c r="AO63" s="160">
        <v>28</v>
      </c>
    </row>
    <row r="64" spans="10:41" ht="16.5" customHeight="1" x14ac:dyDescent="0.3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60">
        <v>44</v>
      </c>
      <c r="AE64" s="160">
        <v>1</v>
      </c>
      <c r="AF64" s="160">
        <v>39</v>
      </c>
      <c r="AG64" s="160">
        <v>5</v>
      </c>
      <c r="AH64" s="160">
        <v>1</v>
      </c>
      <c r="AI64" s="5"/>
      <c r="AJ64" s="160" t="str">
        <v>J</v>
      </c>
      <c r="AK64" s="160">
        <v>44</v>
      </c>
      <c r="AL64" s="160">
        <v>1</v>
      </c>
      <c r="AM64" s="160">
        <v>39</v>
      </c>
      <c r="AN64" s="160">
        <v>5</v>
      </c>
      <c r="AO64" s="160">
        <v>1</v>
      </c>
    </row>
    <row r="65" spans="10:41" ht="16.5" customHeight="1" x14ac:dyDescent="0.3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 x14ac:dyDescent="0.3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 x14ac:dyDescent="0.3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 x14ac:dyDescent="0.3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 x14ac:dyDescent="0.3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 x14ac:dyDescent="0.3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 x14ac:dyDescent="0.3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 x14ac:dyDescent="0.3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 x14ac:dyDescent="0.3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 x14ac:dyDescent="0.3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 x14ac:dyDescent="0.3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 x14ac:dyDescent="0.3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 x14ac:dyDescent="0.3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 x14ac:dyDescent="0.3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 x14ac:dyDescent="0.3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 x14ac:dyDescent="0.3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 x14ac:dyDescent="0.3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 x14ac:dyDescent="0.3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 x14ac:dyDescent="0.3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 x14ac:dyDescent="0.3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 x14ac:dyDescent="0.3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 x14ac:dyDescent="0.3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 x14ac:dyDescent="0.3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 x14ac:dyDescent="0.3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 x14ac:dyDescent="0.3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 x14ac:dyDescent="0.3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 x14ac:dyDescent="0.3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 x14ac:dyDescent="0.3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 x14ac:dyDescent="0.3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 x14ac:dyDescent="0.3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 x14ac:dyDescent="0.3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 x14ac:dyDescent="0.3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 x14ac:dyDescent="0.3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 x14ac:dyDescent="0.3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 x14ac:dyDescent="0.3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 x14ac:dyDescent="0.3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 x14ac:dyDescent="0.3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 x14ac:dyDescent="0.3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 x14ac:dyDescent="0.3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 x14ac:dyDescent="0.3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 x14ac:dyDescent="0.3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 x14ac:dyDescent="0.3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 x14ac:dyDescent="0.3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 x14ac:dyDescent="0.3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 x14ac:dyDescent="0.3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 x14ac:dyDescent="0.3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 x14ac:dyDescent="0.3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 x14ac:dyDescent="0.3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 x14ac:dyDescent="0.3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 x14ac:dyDescent="0.3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 x14ac:dyDescent="0.3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 x14ac:dyDescent="0.3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 x14ac:dyDescent="0.3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 x14ac:dyDescent="0.3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 x14ac:dyDescent="0.3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 x14ac:dyDescent="0.3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 x14ac:dyDescent="0.3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 x14ac:dyDescent="0.3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 x14ac:dyDescent="0.3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 x14ac:dyDescent="0.3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 x14ac:dyDescent="0.3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 x14ac:dyDescent="0.3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 x14ac:dyDescent="0.3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 x14ac:dyDescent="0.3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 x14ac:dyDescent="0.3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 x14ac:dyDescent="0.3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 x14ac:dyDescent="0.3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 x14ac:dyDescent="0.3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 x14ac:dyDescent="0.3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 x14ac:dyDescent="0.3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 x14ac:dyDescent="0.3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 x14ac:dyDescent="0.3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 x14ac:dyDescent="0.3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 x14ac:dyDescent="0.3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 x14ac:dyDescent="0.3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 x14ac:dyDescent="0.3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 x14ac:dyDescent="0.3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 x14ac:dyDescent="0.3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 x14ac:dyDescent="0.3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 x14ac:dyDescent="0.3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 x14ac:dyDescent="0.3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 x14ac:dyDescent="0.3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 x14ac:dyDescent="0.3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 x14ac:dyDescent="0.3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 x14ac:dyDescent="0.3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 x14ac:dyDescent="0.3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 x14ac:dyDescent="0.3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 x14ac:dyDescent="0.3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 x14ac:dyDescent="0.3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 x14ac:dyDescent="0.3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 x14ac:dyDescent="0.3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 x14ac:dyDescent="0.3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 x14ac:dyDescent="0.3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 x14ac:dyDescent="0.3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 x14ac:dyDescent="0.3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 x14ac:dyDescent="0.3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 x14ac:dyDescent="0.3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 x14ac:dyDescent="0.3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 x14ac:dyDescent="0.3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 x14ac:dyDescent="0.3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 x14ac:dyDescent="0.3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 x14ac:dyDescent="0.3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 x14ac:dyDescent="0.3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 x14ac:dyDescent="0.3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 x14ac:dyDescent="0.3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 x14ac:dyDescent="0.3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 x14ac:dyDescent="0.3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 x14ac:dyDescent="0.3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 x14ac:dyDescent="0.3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 x14ac:dyDescent="0.3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2026-05-19T01:56:27Z</dcterms:modified>
</cp:coreProperties>
</file>