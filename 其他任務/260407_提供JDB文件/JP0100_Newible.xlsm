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inshen\Desktop\260407_JDB\"/>
    </mc:Choice>
  </mc:AlternateContent>
  <xr:revisionPtr revIDLastSave="0" documentId="13_ncr:1_{47AB9F5A-7EE6-4733-9FB2-C2CF8C684DB8}" xr6:coauthVersionLast="47" xr6:coauthVersionMax="47" xr10:uidLastSave="{00000000-0000-0000-0000-000000000000}"/>
  <bookViews>
    <workbookView xWindow="-108" yWindow="-108" windowWidth="23256" windowHeight="12456" xr2:uid="{4E3E0FCC-7784-44DB-8766-33661E268DA6}"/>
  </bookViews>
  <sheets>
    <sheet name="Overview" sheetId="8" r:id="rId1"/>
    <sheet name="Parameter_List" sheetId="36" r:id="rId2"/>
    <sheet name="Output" sheetId="92" r:id="rId3"/>
    <sheet name="Setting" sheetId="93" r:id="rId4"/>
    <sheet name="Calculate" sheetId="94" r:id="rId5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6" i="8" l="1"/>
  <c r="U3" i="36" a="1"/>
  <c r="U3" i="36" s="1"/>
  <c r="T3" i="36" a="1"/>
  <c r="T3" i="36" s="1"/>
  <c r="S3" i="36" a="1"/>
  <c r="S3" i="36" s="1"/>
  <c r="R12" i="36" l="1"/>
  <c r="R11" i="36"/>
  <c r="R10" i="36"/>
  <c r="R9" i="36"/>
  <c r="R8" i="36"/>
  <c r="R7" i="36"/>
  <c r="R6" i="36"/>
  <c r="R5" i="36"/>
  <c r="R4" i="36"/>
  <c r="R3" i="36"/>
  <c r="C3" i="93" a="1"/>
  <c r="C3" i="93" s="1"/>
  <c r="B24" i="8" a="1"/>
  <c r="B24" i="8" s="1"/>
  <c r="A48" i="94" l="1"/>
  <c r="A37" i="94"/>
  <c r="A26" i="94"/>
  <c r="A15" i="94"/>
  <c r="I3" i="93"/>
  <c r="I4" i="93" s="1"/>
  <c r="I5" i="93" s="1"/>
  <c r="I6" i="93" s="1"/>
  <c r="I7" i="93" s="1"/>
  <c r="I8" i="93" s="1"/>
  <c r="I9" i="93" s="1"/>
  <c r="I10" i="93" s="1"/>
  <c r="I11" i="93" s="1"/>
  <c r="I12" i="93" s="1"/>
  <c r="I13" i="93" s="1"/>
  <c r="I14" i="93" s="1"/>
  <c r="I15" i="93" s="1"/>
  <c r="I16" i="93" s="1"/>
  <c r="I17" i="93" s="1"/>
  <c r="I18" i="93" s="1"/>
  <c r="I19" i="93" s="1"/>
  <c r="I20" i="93" s="1"/>
  <c r="I21" i="93" s="1"/>
  <c r="I22" i="93" s="1"/>
  <c r="I23" i="93" s="1"/>
  <c r="I24" i="93" s="1"/>
  <c r="I25" i="93" s="1"/>
  <c r="I26" i="93" s="1"/>
  <c r="I27" i="93" s="1"/>
  <c r="I28" i="93" s="1"/>
  <c r="I29" i="93" s="1"/>
  <c r="I30" i="93" s="1"/>
  <c r="I31" i="93" s="1"/>
  <c r="I32" i="93" s="1"/>
  <c r="A59" i="94" l="1"/>
  <c r="A70" i="94" l="1"/>
  <c r="A81" i="94" l="1"/>
  <c r="A92" i="94" l="1"/>
  <c r="A103" i="94" l="1"/>
  <c r="A114" i="94" l="1"/>
  <c r="A125" i="94" l="1"/>
  <c r="A136" i="94" l="1"/>
  <c r="A147" i="94" l="1"/>
  <c r="A158" i="94" l="1"/>
  <c r="A169" i="94" l="1"/>
  <c r="A180" i="94" l="1"/>
  <c r="A191" i="94" l="1"/>
  <c r="A202" i="94" l="1"/>
  <c r="A213" i="94" l="1"/>
  <c r="A224" i="94" l="1"/>
  <c r="A235" i="94" l="1"/>
  <c r="A246" i="94" l="1"/>
  <c r="A257" i="94" l="1"/>
  <c r="A268" i="94" l="1"/>
  <c r="A279" i="94" l="1"/>
  <c r="A290" i="94" l="1"/>
  <c r="A301" i="94" l="1"/>
  <c r="A312" i="94" l="1"/>
  <c r="A323" i="94" l="1"/>
  <c r="C12" i="93" l="1" a="1"/>
  <c r="C12" i="93" s="1"/>
  <c r="C9" i="93" a="1"/>
  <c r="C9" i="93" s="1"/>
  <c r="D27" i="93" a="1"/>
  <c r="D27" i="93" s="1"/>
  <c r="D28" i="93" a="1"/>
  <c r="D28" i="93" s="1"/>
  <c r="C11" i="93" a="1"/>
  <c r="C11" i="93" s="1"/>
  <c r="D25" i="93" a="1"/>
  <c r="D25" i="93" s="1"/>
  <c r="C4" i="93" a="1"/>
  <c r="C4" i="93" s="1"/>
  <c r="C5" i="93" a="1"/>
  <c r="C5" i="93" s="1"/>
  <c r="C18" i="93" a="1"/>
  <c r="C18" i="93" s="1"/>
  <c r="C10" i="93" a="1"/>
  <c r="C10" i="93" s="1"/>
  <c r="C20" i="93" a="1"/>
  <c r="C20" i="93" s="1"/>
  <c r="C19" i="93" a="1"/>
  <c r="C19" i="93" s="1"/>
  <c r="D26" i="93" a="1"/>
  <c r="D26" i="93" s="1"/>
  <c r="C17" i="93" a="1"/>
  <c r="C17" i="93" s="1"/>
  <c r="C9" i="8"/>
  <c r="E16" i="8" l="1" a="1"/>
  <c r="E16" i="8" s="1"/>
  <c r="E20" i="8" s="1"/>
  <c r="C16" i="8" a="1"/>
  <c r="C16" i="8" s="1"/>
  <c r="F16" i="8" a="1"/>
  <c r="F16" i="8" s="1"/>
  <c r="F20" i="8" s="1"/>
  <c r="F3" i="93" a="1"/>
  <c r="C158" i="94" s="1"/>
  <c r="D158" i="94" s="1"/>
  <c r="C8" i="8"/>
  <c r="N3" i="93" a="1"/>
  <c r="G11" i="94" s="1"/>
  <c r="C13" i="93"/>
  <c r="B3" i="92" a="1"/>
  <c r="B3" i="92" s="1"/>
  <c r="R3" i="93" a="1"/>
  <c r="C25" i="93" a="1"/>
  <c r="C27" i="93" a="1"/>
  <c r="C27" i="93" s="1"/>
  <c r="C213" i="94" l="1"/>
  <c r="D213" i="94" s="1"/>
  <c r="C246" i="94"/>
  <c r="D246" i="94" s="1"/>
  <c r="C202" i="94"/>
  <c r="D202" i="94" s="1"/>
  <c r="C224" i="94"/>
  <c r="D224" i="94" s="1"/>
  <c r="C191" i="94"/>
  <c r="D191" i="94" s="1"/>
  <c r="C114" i="94"/>
  <c r="D114" i="94" s="1"/>
  <c r="C235" i="94"/>
  <c r="D235" i="94" s="1"/>
  <c r="C125" i="94"/>
  <c r="D125" i="94" s="1"/>
  <c r="D16" i="8" a="1"/>
  <c r="D16" i="8" s="1"/>
  <c r="D20" i="8" s="1"/>
  <c r="C103" i="94"/>
  <c r="D103" i="94" s="1"/>
  <c r="C92" i="94"/>
  <c r="D92" i="94" s="1"/>
  <c r="C81" i="94"/>
  <c r="D81" i="94" s="1"/>
  <c r="C48" i="94"/>
  <c r="D48" i="94" s="1"/>
  <c r="C26" i="94"/>
  <c r="D26" i="94" s="1"/>
  <c r="C15" i="94"/>
  <c r="D15" i="94" s="1"/>
  <c r="C323" i="94"/>
  <c r="D323" i="94" s="1"/>
  <c r="F3" i="93"/>
  <c r="C4" i="94" s="1"/>
  <c r="D4" i="94" s="1"/>
  <c r="C312" i="94"/>
  <c r="D312" i="94" s="1"/>
  <c r="C268" i="94"/>
  <c r="D268" i="94" s="1"/>
  <c r="C180" i="94"/>
  <c r="D180" i="94" s="1"/>
  <c r="C147" i="94"/>
  <c r="D147" i="94" s="1"/>
  <c r="C136" i="94"/>
  <c r="D136" i="94" s="1"/>
  <c r="C301" i="94"/>
  <c r="D301" i="94" s="1"/>
  <c r="C290" i="94"/>
  <c r="D290" i="94" s="1"/>
  <c r="C70" i="94"/>
  <c r="D70" i="94" s="1"/>
  <c r="C279" i="94"/>
  <c r="D279" i="94" s="1"/>
  <c r="C59" i="94"/>
  <c r="D59" i="94" s="1"/>
  <c r="C257" i="94"/>
  <c r="D257" i="94" s="1"/>
  <c r="C37" i="94"/>
  <c r="D37" i="94" s="1"/>
  <c r="C169" i="94"/>
  <c r="D169" i="94" s="1"/>
  <c r="G9" i="94"/>
  <c r="N3" i="93"/>
  <c r="G8" i="94" s="1"/>
  <c r="G10" i="94"/>
  <c r="F9" i="94"/>
  <c r="R3" i="93"/>
  <c r="F11" i="94"/>
  <c r="F10" i="94"/>
  <c r="L18" i="93" a="1"/>
  <c r="L10" i="93" a="1"/>
  <c r="L19" i="93" a="1"/>
  <c r="L23" i="93" a="1"/>
  <c r="L25" i="93" a="1"/>
  <c r="L30" i="93" a="1"/>
  <c r="L16" i="93" a="1"/>
  <c r="L21" i="93" a="1"/>
  <c r="L27" i="93" a="1"/>
  <c r="L22" i="93" a="1"/>
  <c r="L6" i="93" a="1"/>
  <c r="L11" i="93" a="1"/>
  <c r="L4" i="93" a="1"/>
  <c r="L7" i="93" a="1"/>
  <c r="L12" i="93" a="1"/>
  <c r="L31" i="93" a="1"/>
  <c r="L14" i="93" a="1"/>
  <c r="L3" i="93" a="1"/>
  <c r="L32" i="93" a="1"/>
  <c r="L24" i="93" a="1"/>
  <c r="L9" i="93" a="1"/>
  <c r="L15" i="93" a="1"/>
  <c r="L28" i="93" a="1"/>
  <c r="L29" i="93" a="1"/>
  <c r="L5" i="93" a="1"/>
  <c r="L26" i="93" a="1"/>
  <c r="L17" i="93" a="1"/>
  <c r="L8" i="93" a="1"/>
  <c r="L20" i="93" a="1"/>
  <c r="L13" i="93" a="1"/>
  <c r="K3" i="93"/>
  <c r="C25" i="93"/>
  <c r="C24" i="8" l="1" a="1"/>
  <c r="C24" i="8" s="1"/>
  <c r="N4" i="93" a="1"/>
  <c r="G21" i="94" s="1"/>
  <c r="L6" i="93"/>
  <c r="C43" i="94" s="1"/>
  <c r="C44" i="94"/>
  <c r="L16" i="93"/>
  <c r="C153" i="94" s="1"/>
  <c r="C154" i="94"/>
  <c r="L30" i="93"/>
  <c r="C307" i="94" s="1"/>
  <c r="C308" i="94"/>
  <c r="L13" i="93"/>
  <c r="C120" i="94" s="1"/>
  <c r="C121" i="94"/>
  <c r="K4" i="93"/>
  <c r="C9" i="94"/>
  <c r="L5" i="93"/>
  <c r="C32" i="94" s="1"/>
  <c r="C33" i="94"/>
  <c r="L25" i="93"/>
  <c r="C252" i="94" s="1"/>
  <c r="C253" i="94"/>
  <c r="J3" i="93"/>
  <c r="B9" i="92" a="1"/>
  <c r="B9" i="92" s="1"/>
  <c r="L26" i="93"/>
  <c r="C263" i="94" s="1"/>
  <c r="C264" i="94"/>
  <c r="L29" i="93"/>
  <c r="C296" i="94" s="1"/>
  <c r="C297" i="94"/>
  <c r="L28" i="93"/>
  <c r="C285" i="94" s="1"/>
  <c r="C286" i="94"/>
  <c r="L19" i="93"/>
  <c r="C186" i="94" s="1"/>
  <c r="C187" i="94"/>
  <c r="L17" i="93"/>
  <c r="C164" i="94" s="1"/>
  <c r="C165" i="94"/>
  <c r="L15" i="93"/>
  <c r="C142" i="94" s="1"/>
  <c r="C143" i="94"/>
  <c r="L10" i="93"/>
  <c r="C87" i="94" s="1"/>
  <c r="C88" i="94"/>
  <c r="R4" i="93" a="1"/>
  <c r="F8" i="94"/>
  <c r="E8" i="94" s="1" a="1"/>
  <c r="G12" i="94"/>
  <c r="L9" i="93"/>
  <c r="C76" i="94" s="1"/>
  <c r="C77" i="94"/>
  <c r="L18" i="93"/>
  <c r="C175" i="94" s="1"/>
  <c r="C176" i="94"/>
  <c r="L20" i="93"/>
  <c r="C197" i="94" s="1"/>
  <c r="C198" i="94"/>
  <c r="L24" i="93"/>
  <c r="C241" i="94" s="1"/>
  <c r="C242" i="94"/>
  <c r="L23" i="93"/>
  <c r="C230" i="94" s="1"/>
  <c r="C231" i="94"/>
  <c r="L32" i="93"/>
  <c r="C329" i="94" s="1"/>
  <c r="C330" i="94"/>
  <c r="L27" i="93"/>
  <c r="C274" i="94" s="1"/>
  <c r="C275" i="94"/>
  <c r="C11" i="94"/>
  <c r="L3" i="93"/>
  <c r="C10" i="94" s="1"/>
  <c r="L14" i="93"/>
  <c r="C131" i="94" s="1"/>
  <c r="C132" i="94"/>
  <c r="L8" i="93"/>
  <c r="C65" i="94" s="1"/>
  <c r="C66" i="94"/>
  <c r="L12" i="93"/>
  <c r="C109" i="94" s="1"/>
  <c r="C110" i="94"/>
  <c r="L22" i="93"/>
  <c r="C219" i="94" s="1"/>
  <c r="C220" i="94"/>
  <c r="C55" i="94"/>
  <c r="L7" i="93"/>
  <c r="C54" i="94" s="1"/>
  <c r="L21" i="93"/>
  <c r="C208" i="94" s="1"/>
  <c r="C209" i="94"/>
  <c r="L4" i="93"/>
  <c r="C21" i="94" s="1"/>
  <c r="C22" i="94"/>
  <c r="L31" i="93"/>
  <c r="C318" i="94" s="1"/>
  <c r="C319" i="94"/>
  <c r="L11" i="93"/>
  <c r="C98" i="94" s="1"/>
  <c r="C99" i="94"/>
  <c r="G22" i="94" l="1"/>
  <c r="N4" i="93"/>
  <c r="G19" i="94" s="1"/>
  <c r="G20" i="94"/>
  <c r="E8" i="94"/>
  <c r="F22" i="94"/>
  <c r="F20" i="94"/>
  <c r="R4" i="93"/>
  <c r="F21" i="94"/>
  <c r="J4" i="93"/>
  <c r="C8" i="94"/>
  <c r="D8" i="94" s="1" a="1"/>
  <c r="D8" i="94" s="1"/>
  <c r="C20" i="94"/>
  <c r="K5" i="93"/>
  <c r="N5" i="93" l="1" a="1"/>
  <c r="G32" i="94" s="1"/>
  <c r="J5" i="93"/>
  <c r="C19" i="94"/>
  <c r="F19" i="94"/>
  <c r="E19" i="94" s="1" a="1"/>
  <c r="R5" i="93" a="1"/>
  <c r="K6" i="93"/>
  <c r="C31" i="94"/>
  <c r="H9" i="94" a="1"/>
  <c r="G23" i="94"/>
  <c r="J8" i="94" a="1"/>
  <c r="I8" i="94" a="1"/>
  <c r="I8" i="94" s="1"/>
  <c r="H8" i="94"/>
  <c r="H9" i="94" l="1"/>
  <c r="H12" i="94" s="1"/>
  <c r="G33" i="94"/>
  <c r="G31" i="94"/>
  <c r="N5" i="93"/>
  <c r="N6" i="93" s="1" a="1"/>
  <c r="J8" i="94"/>
  <c r="G16" i="8" s="1" a="1"/>
  <c r="G16" i="8" s="1"/>
  <c r="G18" i="8" a="1"/>
  <c r="G18" i="8" s="1"/>
  <c r="F32" i="94"/>
  <c r="R5" i="93"/>
  <c r="F33" i="94"/>
  <c r="F31" i="94"/>
  <c r="K7" i="93"/>
  <c r="C42" i="94"/>
  <c r="E19" i="94"/>
  <c r="D19" i="94" a="1"/>
  <c r="D19" i="94" s="1"/>
  <c r="J6" i="93"/>
  <c r="C30" i="94"/>
  <c r="G30" i="94" l="1"/>
  <c r="G34" i="94" s="1"/>
  <c r="F4" i="92" a="1"/>
  <c r="F4" i="92" s="1"/>
  <c r="K8" i="94"/>
  <c r="D24" i="8" s="1"/>
  <c r="H20" i="94" a="1"/>
  <c r="H20" i="94" s="1"/>
  <c r="F30" i="94"/>
  <c r="R6" i="93" a="1"/>
  <c r="G43" i="94"/>
  <c r="N6" i="93"/>
  <c r="G44" i="94"/>
  <c r="G42" i="94"/>
  <c r="H19" i="94"/>
  <c r="I19" i="94" a="1"/>
  <c r="I19" i="94" s="1"/>
  <c r="J19" i="94" a="1"/>
  <c r="J19" i="94" s="1"/>
  <c r="C53" i="94"/>
  <c r="K8" i="93"/>
  <c r="D30" i="94" a="1"/>
  <c r="D30" i="94" s="1"/>
  <c r="J7" i="93"/>
  <c r="C41" i="94"/>
  <c r="E30" i="94" l="1" a="1"/>
  <c r="H31" i="94" s="1" a="1"/>
  <c r="H31" i="94" s="1"/>
  <c r="D41" i="94" a="1"/>
  <c r="D41" i="94" s="1"/>
  <c r="H23" i="94"/>
  <c r="K19" i="94"/>
  <c r="D25" i="8" s="1"/>
  <c r="F5" i="92" a="1"/>
  <c r="F5" i="92" s="1"/>
  <c r="F43" i="94"/>
  <c r="F42" i="94"/>
  <c r="R6" i="93"/>
  <c r="F44" i="94"/>
  <c r="K9" i="93"/>
  <c r="C64" i="94"/>
  <c r="G41" i="94"/>
  <c r="N7" i="93" a="1"/>
  <c r="J8" i="93"/>
  <c r="C52" i="94"/>
  <c r="E30" i="94" l="1"/>
  <c r="H30" i="94" s="1"/>
  <c r="K10" i="93"/>
  <c r="C75" i="94"/>
  <c r="J9" i="93"/>
  <c r="C63" i="94"/>
  <c r="G45" i="94"/>
  <c r="R7" i="93" a="1"/>
  <c r="F41" i="94"/>
  <c r="D52" i="94" a="1"/>
  <c r="D52" i="94" s="1"/>
  <c r="N7" i="93"/>
  <c r="G54" i="94"/>
  <c r="G55" i="94"/>
  <c r="G53" i="94"/>
  <c r="I30" i="94" l="1" a="1"/>
  <c r="I30" i="94" s="1"/>
  <c r="J30" i="94" a="1"/>
  <c r="J30" i="94" s="1"/>
  <c r="C74" i="94"/>
  <c r="J10" i="93"/>
  <c r="K11" i="93"/>
  <c r="C86" i="94"/>
  <c r="F53" i="94"/>
  <c r="R7" i="93"/>
  <c r="F54" i="94"/>
  <c r="F55" i="94"/>
  <c r="E41" i="94" a="1"/>
  <c r="H34" i="94"/>
  <c r="F6" i="92" a="1"/>
  <c r="F6" i="92" s="1"/>
  <c r="K30" i="94"/>
  <c r="D26" i="8" s="1"/>
  <c r="N8" i="93" a="1"/>
  <c r="G52" i="94"/>
  <c r="D63" i="94" a="1"/>
  <c r="D63" i="94" s="1"/>
  <c r="H42" i="94" l="1" a="1"/>
  <c r="H42" i="94" s="1"/>
  <c r="E41" i="94"/>
  <c r="N8" i="93"/>
  <c r="G65" i="94"/>
  <c r="G64" i="94"/>
  <c r="G66" i="94"/>
  <c r="G56" i="94"/>
  <c r="J11" i="93"/>
  <c r="C85" i="94"/>
  <c r="F52" i="94"/>
  <c r="R8" i="93" a="1"/>
  <c r="D74" i="94" a="1"/>
  <c r="D74" i="94" s="1"/>
  <c r="K12" i="93"/>
  <c r="C97" i="94"/>
  <c r="H41" i="94" l="1"/>
  <c r="I41" i="94" a="1"/>
  <c r="I41" i="94" s="1"/>
  <c r="J41" i="94" a="1"/>
  <c r="J41" i="94" s="1"/>
  <c r="N9" i="93" a="1"/>
  <c r="G63" i="94"/>
  <c r="F64" i="94"/>
  <c r="F66" i="94"/>
  <c r="R8" i="93"/>
  <c r="F65" i="94"/>
  <c r="C108" i="94"/>
  <c r="K13" i="93"/>
  <c r="D85" i="94" a="1"/>
  <c r="D85" i="94" s="1"/>
  <c r="J12" i="93"/>
  <c r="C96" i="94"/>
  <c r="E52" i="94" a="1"/>
  <c r="N9" i="93" l="1"/>
  <c r="G75" i="94"/>
  <c r="G76" i="94"/>
  <c r="G77" i="94"/>
  <c r="H45" i="94"/>
  <c r="F7" i="92" a="1"/>
  <c r="F7" i="92" s="1"/>
  <c r="K41" i="94"/>
  <c r="D27" i="8" s="1"/>
  <c r="K14" i="93"/>
  <c r="C119" i="94"/>
  <c r="R9" i="93" a="1"/>
  <c r="F63" i="94"/>
  <c r="E63" i="94" s="1" a="1"/>
  <c r="E52" i="94"/>
  <c r="H53" i="94" a="1"/>
  <c r="H53" i="94" s="1"/>
  <c r="D96" i="94" a="1"/>
  <c r="D96" i="94" s="1"/>
  <c r="J13" i="93"/>
  <c r="C107" i="94"/>
  <c r="G67" i="94"/>
  <c r="G74" i="94" l="1"/>
  <c r="N10" i="93" a="1"/>
  <c r="I52" i="94" a="1"/>
  <c r="I52" i="94" s="1"/>
  <c r="H52" i="94"/>
  <c r="J52" i="94" a="1"/>
  <c r="J52" i="94" s="1"/>
  <c r="D107" i="94" a="1"/>
  <c r="D107" i="94" s="1"/>
  <c r="C118" i="94"/>
  <c r="J14" i="93"/>
  <c r="H64" i="94" a="1"/>
  <c r="H64" i="94" s="1"/>
  <c r="E63" i="94"/>
  <c r="R9" i="93"/>
  <c r="F75" i="94"/>
  <c r="F76" i="94"/>
  <c r="F77" i="94"/>
  <c r="K15" i="93"/>
  <c r="C130" i="94"/>
  <c r="G87" i="94" l="1"/>
  <c r="N10" i="93"/>
  <c r="G88" i="94"/>
  <c r="G86" i="94"/>
  <c r="G78" i="94"/>
  <c r="C141" i="94"/>
  <c r="K16" i="93"/>
  <c r="J15" i="93"/>
  <c r="C129" i="94"/>
  <c r="D118" i="94" a="1"/>
  <c r="D118" i="94" s="1"/>
  <c r="H56" i="94"/>
  <c r="K52" i="94"/>
  <c r="D28" i="8" s="1"/>
  <c r="F8" i="92" a="1"/>
  <c r="F8" i="92" s="1"/>
  <c r="I63" i="94" a="1"/>
  <c r="I63" i="94" s="1"/>
  <c r="H63" i="94"/>
  <c r="J63" i="94" a="1"/>
  <c r="J63" i="94" s="1"/>
  <c r="R10" i="93" a="1"/>
  <c r="F74" i="94"/>
  <c r="E74" i="94" s="1" a="1"/>
  <c r="E74" i="94" l="1"/>
  <c r="J74" i="94" s="1" a="1"/>
  <c r="J74" i="94" s="1"/>
  <c r="H75" i="94" a="1"/>
  <c r="H75" i="94" s="1"/>
  <c r="K17" i="93"/>
  <c r="C152" i="94"/>
  <c r="G85" i="94"/>
  <c r="N11" i="93" a="1"/>
  <c r="K63" i="94"/>
  <c r="D29" i="8" s="1"/>
  <c r="F9" i="92" a="1"/>
  <c r="F9" i="92" s="1"/>
  <c r="H67" i="94"/>
  <c r="D129" i="94" a="1"/>
  <c r="D129" i="94" s="1"/>
  <c r="F87" i="94"/>
  <c r="F88" i="94"/>
  <c r="R10" i="93"/>
  <c r="F86" i="94"/>
  <c r="J16" i="93"/>
  <c r="C140" i="94"/>
  <c r="N11" i="93" l="1"/>
  <c r="G99" i="94"/>
  <c r="G97" i="94"/>
  <c r="G98" i="94"/>
  <c r="G89" i="94"/>
  <c r="F85" i="94"/>
  <c r="R11" i="93" a="1"/>
  <c r="K18" i="93"/>
  <c r="C163" i="94"/>
  <c r="J17" i="93"/>
  <c r="C151" i="94"/>
  <c r="D140" i="94" a="1"/>
  <c r="D140" i="94" s="1"/>
  <c r="H74" i="94"/>
  <c r="I74" i="94" a="1"/>
  <c r="I74" i="94" s="1"/>
  <c r="N12" i="93" l="1" a="1"/>
  <c r="G96" i="94"/>
  <c r="H78" i="94"/>
  <c r="F10" i="92" a="1"/>
  <c r="F10" i="92" s="1"/>
  <c r="K74" i="94"/>
  <c r="D30" i="8" s="1"/>
  <c r="K19" i="93"/>
  <c r="C174" i="94"/>
  <c r="F97" i="94"/>
  <c r="F98" i="94"/>
  <c r="R11" i="93"/>
  <c r="F99" i="94"/>
  <c r="D151" i="94" a="1"/>
  <c r="D151" i="94" s="1"/>
  <c r="C162" i="94"/>
  <c r="J18" i="93"/>
  <c r="E85" i="94" a="1"/>
  <c r="G100" i="94" l="1"/>
  <c r="G110" i="94"/>
  <c r="G109" i="94"/>
  <c r="G108" i="94"/>
  <c r="N12" i="93"/>
  <c r="E85" i="94"/>
  <c r="H86" i="94" a="1"/>
  <c r="H86" i="94" s="1"/>
  <c r="J19" i="93"/>
  <c r="C173" i="94"/>
  <c r="C185" i="94"/>
  <c r="K20" i="93"/>
  <c r="R12" i="93" a="1"/>
  <c r="F96" i="94"/>
  <c r="E96" i="94" s="1" a="1"/>
  <c r="D162" i="94" a="1"/>
  <c r="D162" i="94" s="1"/>
  <c r="D173" i="94" l="1" a="1"/>
  <c r="D173" i="94" s="1"/>
  <c r="E96" i="94"/>
  <c r="J96" i="94" s="1" a="1"/>
  <c r="J96" i="94" s="1"/>
  <c r="H97" i="94" a="1"/>
  <c r="H97" i="94" s="1"/>
  <c r="J20" i="93"/>
  <c r="C184" i="94"/>
  <c r="R12" i="93"/>
  <c r="F110" i="94"/>
  <c r="F109" i="94"/>
  <c r="F108" i="94"/>
  <c r="N13" i="93" a="1"/>
  <c r="G107" i="94"/>
  <c r="K21" i="93"/>
  <c r="C196" i="94"/>
  <c r="H85" i="94"/>
  <c r="I85" i="94" a="1"/>
  <c r="I85" i="94" s="1"/>
  <c r="J85" i="94" a="1"/>
  <c r="J85" i="94" s="1"/>
  <c r="G111" i="94" l="1"/>
  <c r="N13" i="93"/>
  <c r="G119" i="94"/>
  <c r="G120" i="94"/>
  <c r="G121" i="94"/>
  <c r="J21" i="93"/>
  <c r="C195" i="94"/>
  <c r="H96" i="94"/>
  <c r="I96" i="94" a="1"/>
  <c r="I96" i="94" s="1"/>
  <c r="R13" i="93" a="1"/>
  <c r="F107" i="94"/>
  <c r="K22" i="93"/>
  <c r="C207" i="94"/>
  <c r="K85" i="94"/>
  <c r="D31" i="8" s="1"/>
  <c r="H89" i="94"/>
  <c r="F11" i="92" a="1"/>
  <c r="F11" i="92" s="1"/>
  <c r="D184" i="94" a="1"/>
  <c r="D184" i="94" s="1"/>
  <c r="N14" i="93" l="1" a="1"/>
  <c r="G118" i="94"/>
  <c r="K23" i="93"/>
  <c r="C218" i="94"/>
  <c r="K96" i="94"/>
  <c r="D32" i="8" s="1"/>
  <c r="H100" i="94"/>
  <c r="F12" i="92" a="1"/>
  <c r="F12" i="92" s="1"/>
  <c r="D195" i="94" a="1"/>
  <c r="D195" i="94" s="1"/>
  <c r="E107" i="94" a="1"/>
  <c r="F119" i="94"/>
  <c r="F120" i="94"/>
  <c r="F121" i="94"/>
  <c r="R13" i="93"/>
  <c r="J22" i="93"/>
  <c r="C206" i="94"/>
  <c r="R14" i="93" l="1" a="1"/>
  <c r="F118" i="94"/>
  <c r="E107" i="94"/>
  <c r="H108" i="94" a="1"/>
  <c r="H108" i="94" s="1"/>
  <c r="J23" i="93"/>
  <c r="C217" i="94"/>
  <c r="D206" i="94" a="1"/>
  <c r="D206" i="94" s="1"/>
  <c r="K24" i="93"/>
  <c r="C229" i="94"/>
  <c r="G122" i="94"/>
  <c r="N14" i="93"/>
  <c r="G130" i="94"/>
  <c r="G131" i="94"/>
  <c r="G132" i="94"/>
  <c r="I107" i="94" l="1" a="1"/>
  <c r="I107" i="94" s="1"/>
  <c r="H107" i="94"/>
  <c r="J107" i="94" a="1"/>
  <c r="J107" i="94" s="1"/>
  <c r="N15" i="93" a="1"/>
  <c r="G129" i="94"/>
  <c r="F132" i="94"/>
  <c r="R14" i="93"/>
  <c r="F131" i="94"/>
  <c r="F130" i="94"/>
  <c r="C228" i="94"/>
  <c r="J24" i="93"/>
  <c r="E118" i="94" a="1"/>
  <c r="C240" i="94"/>
  <c r="K25" i="93"/>
  <c r="D217" i="94" a="1"/>
  <c r="D217" i="94" s="1"/>
  <c r="G133" i="94" l="1"/>
  <c r="G141" i="94"/>
  <c r="G143" i="94"/>
  <c r="G142" i="94"/>
  <c r="N15" i="93"/>
  <c r="H111" i="94"/>
  <c r="F13" i="92" a="1"/>
  <c r="F13" i="92" s="1"/>
  <c r="K107" i="94"/>
  <c r="D33" i="8" s="1"/>
  <c r="R15" i="93" a="1"/>
  <c r="F129" i="94"/>
  <c r="K26" i="93"/>
  <c r="C251" i="94"/>
  <c r="E118" i="94"/>
  <c r="H119" i="94" a="1"/>
  <c r="H119" i="94" s="1"/>
  <c r="J25" i="93"/>
  <c r="C239" i="94"/>
  <c r="D228" i="94" a="1"/>
  <c r="D228" i="94" s="1"/>
  <c r="N16" i="93" l="1" a="1"/>
  <c r="G140" i="94"/>
  <c r="R15" i="93"/>
  <c r="F142" i="94"/>
  <c r="F143" i="94"/>
  <c r="F141" i="94"/>
  <c r="H118" i="94"/>
  <c r="I118" i="94" a="1"/>
  <c r="I118" i="94" s="1"/>
  <c r="J118" i="94" a="1"/>
  <c r="J118" i="94" s="1"/>
  <c r="D239" i="94" a="1"/>
  <c r="D239" i="94" s="1"/>
  <c r="J26" i="93"/>
  <c r="C250" i="94"/>
  <c r="E129" i="94" a="1"/>
  <c r="K27" i="93"/>
  <c r="C262" i="94"/>
  <c r="F140" i="94" l="1"/>
  <c r="R16" i="93" a="1"/>
  <c r="G144" i="94"/>
  <c r="N16" i="93"/>
  <c r="G154" i="94"/>
  <c r="G153" i="94"/>
  <c r="G152" i="94"/>
  <c r="K28" i="93"/>
  <c r="C273" i="94"/>
  <c r="C261" i="94"/>
  <c r="J27" i="93"/>
  <c r="H130" i="94" a="1"/>
  <c r="H130" i="94" s="1"/>
  <c r="E129" i="94"/>
  <c r="D250" i="94" a="1"/>
  <c r="D250" i="94" s="1"/>
  <c r="H122" i="94"/>
  <c r="K118" i="94"/>
  <c r="D34" i="8" s="1"/>
  <c r="F14" i="92" a="1"/>
  <c r="F14" i="92" s="1"/>
  <c r="N17" i="93" l="1" a="1"/>
  <c r="G151" i="94"/>
  <c r="F153" i="94"/>
  <c r="F154" i="94"/>
  <c r="R16" i="93"/>
  <c r="F152" i="94"/>
  <c r="D261" i="94" a="1"/>
  <c r="D261" i="94" s="1"/>
  <c r="I129" i="94" a="1"/>
  <c r="I129" i="94" s="1"/>
  <c r="H129" i="94"/>
  <c r="J129" i="94" a="1"/>
  <c r="J129" i="94" s="1"/>
  <c r="C284" i="94"/>
  <c r="K29" i="93"/>
  <c r="E140" i="94" a="1"/>
  <c r="J28" i="93"/>
  <c r="C272" i="94"/>
  <c r="G155" i="94" l="1"/>
  <c r="K30" i="93"/>
  <c r="C295" i="94"/>
  <c r="G164" i="94"/>
  <c r="G165" i="94"/>
  <c r="N17" i="93"/>
  <c r="G163" i="94"/>
  <c r="D272" i="94" a="1"/>
  <c r="D272" i="94" s="1"/>
  <c r="R17" i="93" a="1"/>
  <c r="F151" i="94"/>
  <c r="E151" i="94" s="1" a="1"/>
  <c r="H133" i="94"/>
  <c r="K129" i="94"/>
  <c r="D35" i="8" s="1"/>
  <c r="F15" i="92" a="1"/>
  <c r="F15" i="92" s="1"/>
  <c r="J29" i="93"/>
  <c r="C283" i="94"/>
  <c r="E140" i="94"/>
  <c r="H141" i="94" a="1"/>
  <c r="H141" i="94" s="1"/>
  <c r="E151" i="94" l="1"/>
  <c r="J151" i="94" s="1" a="1"/>
  <c r="J151" i="94" s="1"/>
  <c r="H152" i="94" a="1"/>
  <c r="H152" i="94" s="1"/>
  <c r="G162" i="94"/>
  <c r="N18" i="93" a="1"/>
  <c r="F163" i="94"/>
  <c r="R17" i="93"/>
  <c r="F165" i="94"/>
  <c r="F164" i="94"/>
  <c r="K31" i="93"/>
  <c r="C306" i="94"/>
  <c r="D283" i="94" a="1"/>
  <c r="D283" i="94" s="1"/>
  <c r="J30" i="93"/>
  <c r="C294" i="94"/>
  <c r="I140" i="94" a="1"/>
  <c r="I140" i="94" s="1"/>
  <c r="H140" i="94"/>
  <c r="J140" i="94" a="1"/>
  <c r="J140" i="94" s="1"/>
  <c r="D294" i="94" l="1" a="1"/>
  <c r="D294" i="94" s="1"/>
  <c r="G166" i="94"/>
  <c r="K32" i="93"/>
  <c r="C328" i="94" s="1"/>
  <c r="C317" i="94"/>
  <c r="H151" i="94"/>
  <c r="I151" i="94" a="1"/>
  <c r="I151" i="94" s="1"/>
  <c r="K140" i="94"/>
  <c r="D36" i="8" s="1"/>
  <c r="F16" i="92" a="1"/>
  <c r="F16" i="92" s="1"/>
  <c r="H144" i="94"/>
  <c r="J31" i="93"/>
  <c r="C305" i="94"/>
  <c r="G175" i="94"/>
  <c r="N18" i="93"/>
  <c r="G174" i="94"/>
  <c r="G176" i="94"/>
  <c r="R18" i="93" a="1"/>
  <c r="F162" i="94"/>
  <c r="F175" i="94" l="1"/>
  <c r="F174" i="94"/>
  <c r="R18" i="93"/>
  <c r="F176" i="94"/>
  <c r="J32" i="93"/>
  <c r="C327" i="94" s="1"/>
  <c r="C316" i="94"/>
  <c r="G173" i="94"/>
  <c r="N19" i="93" a="1"/>
  <c r="E162" i="94" a="1"/>
  <c r="F17" i="92" a="1"/>
  <c r="F17" i="92" s="1"/>
  <c r="H155" i="94"/>
  <c r="K151" i="94"/>
  <c r="D37" i="8" s="1"/>
  <c r="D305" i="94" a="1"/>
  <c r="D305" i="94" s="1"/>
  <c r="D327" i="94" l="1" a="1"/>
  <c r="D327" i="94" s="1"/>
  <c r="G177" i="94"/>
  <c r="H163" i="94" a="1"/>
  <c r="H163" i="94" s="1"/>
  <c r="E162" i="94"/>
  <c r="D316" i="94" a="1"/>
  <c r="D316" i="94" s="1"/>
  <c r="N19" i="93"/>
  <c r="G185" i="94"/>
  <c r="G187" i="94"/>
  <c r="G186" i="94"/>
  <c r="F173" i="94"/>
  <c r="E173" i="94" s="1" a="1"/>
  <c r="R19" i="93" a="1"/>
  <c r="H174" i="94" l="1" a="1"/>
  <c r="H174" i="94" s="1"/>
  <c r="E173" i="94"/>
  <c r="J173" i="94" s="1" a="1"/>
  <c r="J173" i="94" s="1"/>
  <c r="G184" i="94"/>
  <c r="N20" i="93" a="1"/>
  <c r="I162" i="94" a="1"/>
  <c r="I162" i="94" s="1"/>
  <c r="H162" i="94"/>
  <c r="J162" i="94" a="1"/>
  <c r="J162" i="94" s="1"/>
  <c r="R19" i="93"/>
  <c r="F186" i="94"/>
  <c r="F185" i="94"/>
  <c r="F187" i="94"/>
  <c r="G188" i="94" l="1"/>
  <c r="R20" i="93" a="1"/>
  <c r="F184" i="94"/>
  <c r="E184" i="94" s="1" a="1"/>
  <c r="K162" i="94"/>
  <c r="D38" i="8" s="1"/>
  <c r="H166" i="94"/>
  <c r="F18" i="92" a="1"/>
  <c r="F18" i="92" s="1"/>
  <c r="I173" i="94" a="1"/>
  <c r="I173" i="94" s="1"/>
  <c r="H173" i="94"/>
  <c r="N20" i="93"/>
  <c r="G197" i="94"/>
  <c r="G198" i="94"/>
  <c r="G196" i="94"/>
  <c r="E184" i="94" l="1"/>
  <c r="H185" i="94" a="1"/>
  <c r="H185" i="94" s="1"/>
  <c r="G195" i="94"/>
  <c r="N21" i="93" a="1"/>
  <c r="H177" i="94"/>
  <c r="K173" i="94"/>
  <c r="D39" i="8" s="1"/>
  <c r="F19" i="92" a="1"/>
  <c r="F19" i="92" s="1"/>
  <c r="F198" i="94"/>
  <c r="R20" i="93"/>
  <c r="F197" i="94"/>
  <c r="F196" i="94"/>
  <c r="G199" i="94" l="1"/>
  <c r="H184" i="94"/>
  <c r="I184" i="94" a="1"/>
  <c r="I184" i="94" s="1"/>
  <c r="F195" i="94"/>
  <c r="E195" i="94" s="1" a="1"/>
  <c r="R21" i="93" a="1"/>
  <c r="J184" i="94" a="1"/>
  <c r="J184" i="94" s="1"/>
  <c r="N21" i="93"/>
  <c r="G207" i="94"/>
  <c r="G209" i="94"/>
  <c r="G208" i="94"/>
  <c r="E195" i="94" l="1"/>
  <c r="J195" i="94" s="1" a="1"/>
  <c r="J195" i="94" s="1"/>
  <c r="H196" i="94" a="1"/>
  <c r="H196" i="94" s="1"/>
  <c r="R21" i="93"/>
  <c r="F207" i="94"/>
  <c r="F208" i="94"/>
  <c r="F209" i="94"/>
  <c r="K184" i="94"/>
  <c r="D40" i="8" s="1"/>
  <c r="F20" i="92" a="1"/>
  <c r="F20" i="92" s="1"/>
  <c r="H188" i="94"/>
  <c r="N22" i="93" a="1"/>
  <c r="G206" i="94"/>
  <c r="G210" i="94" l="1"/>
  <c r="G218" i="94"/>
  <c r="G219" i="94"/>
  <c r="N22" i="93"/>
  <c r="G220" i="94"/>
  <c r="R22" i="93" a="1"/>
  <c r="F206" i="94"/>
  <c r="E206" i="94" s="1" a="1"/>
  <c r="H195" i="94"/>
  <c r="I195" i="94" a="1"/>
  <c r="I195" i="94" s="1"/>
  <c r="H207" i="94" l="1" a="1"/>
  <c r="H207" i="94" s="1"/>
  <c r="E206" i="94"/>
  <c r="J206" i="94" s="1" a="1"/>
  <c r="J206" i="94" s="1"/>
  <c r="R22" i="93"/>
  <c r="F220" i="94"/>
  <c r="F219" i="94"/>
  <c r="F218" i="94"/>
  <c r="N23" i="93" a="1"/>
  <c r="G217" i="94"/>
  <c r="F21" i="92" a="1"/>
  <c r="F21" i="92" s="1"/>
  <c r="K195" i="94"/>
  <c r="D41" i="8" s="1"/>
  <c r="H199" i="94"/>
  <c r="N23" i="93" l="1"/>
  <c r="G229" i="94"/>
  <c r="G231" i="94"/>
  <c r="G230" i="94"/>
  <c r="G221" i="94"/>
  <c r="R23" i="93" a="1"/>
  <c r="F217" i="94"/>
  <c r="E217" i="94" s="1" a="1"/>
  <c r="H206" i="94"/>
  <c r="I206" i="94" a="1"/>
  <c r="I206" i="94" s="1"/>
  <c r="E217" i="94" l="1"/>
  <c r="J217" i="94" s="1" a="1"/>
  <c r="J217" i="94" s="1"/>
  <c r="H218" i="94" a="1"/>
  <c r="H218" i="94" s="1"/>
  <c r="F230" i="94"/>
  <c r="R23" i="93"/>
  <c r="F229" i="94"/>
  <c r="F231" i="94"/>
  <c r="H210" i="94"/>
  <c r="K206" i="94"/>
  <c r="D42" i="8" s="1"/>
  <c r="F22" i="92" a="1"/>
  <c r="F22" i="92" s="1"/>
  <c r="N24" i="93" a="1"/>
  <c r="G228" i="94"/>
  <c r="F228" i="94" l="1"/>
  <c r="E228" i="94" s="1" a="1"/>
  <c r="R24" i="93" a="1"/>
  <c r="G232" i="94"/>
  <c r="G242" i="94"/>
  <c r="N24" i="93"/>
  <c r="G240" i="94"/>
  <c r="G241" i="94"/>
  <c r="I217" i="94" a="1"/>
  <c r="I217" i="94" s="1"/>
  <c r="H217" i="94"/>
  <c r="N25" i="93" l="1" a="1"/>
  <c r="G239" i="94"/>
  <c r="E228" i="94"/>
  <c r="J228" i="94" s="1" a="1"/>
  <c r="J228" i="94" s="1"/>
  <c r="H229" i="94" a="1"/>
  <c r="H229" i="94" s="1"/>
  <c r="F241" i="94"/>
  <c r="F240" i="94"/>
  <c r="R24" i="93"/>
  <c r="F242" i="94"/>
  <c r="K217" i="94"/>
  <c r="D43" i="8" s="1"/>
  <c r="F23" i="92" a="1"/>
  <c r="F23" i="92" s="1"/>
  <c r="H221" i="94"/>
  <c r="R25" i="93" l="1" a="1"/>
  <c r="F239" i="94"/>
  <c r="E239" i="94" s="1" a="1"/>
  <c r="H228" i="94"/>
  <c r="I228" i="94" a="1"/>
  <c r="I228" i="94" s="1"/>
  <c r="G243" i="94"/>
  <c r="G251" i="94"/>
  <c r="G253" i="94"/>
  <c r="N25" i="93"/>
  <c r="G252" i="94"/>
  <c r="F24" i="92" l="1" a="1"/>
  <c r="F24" i="92" s="1"/>
  <c r="H232" i="94"/>
  <c r="K228" i="94"/>
  <c r="D44" i="8" s="1"/>
  <c r="H240" i="94" a="1"/>
  <c r="H240" i="94" s="1"/>
  <c r="E239" i="94"/>
  <c r="J239" i="94" s="1" a="1"/>
  <c r="J239" i="94" s="1"/>
  <c r="R25" i="93"/>
  <c r="F252" i="94"/>
  <c r="F251" i="94"/>
  <c r="F253" i="94"/>
  <c r="G250" i="94"/>
  <c r="N26" i="93" a="1"/>
  <c r="G264" i="94" l="1"/>
  <c r="G263" i="94"/>
  <c r="G262" i="94"/>
  <c r="N26" i="93"/>
  <c r="G254" i="94"/>
  <c r="F250" i="94"/>
  <c r="E250" i="94" s="1" a="1"/>
  <c r="R26" i="93" a="1"/>
  <c r="I239" i="94" a="1"/>
  <c r="I239" i="94" s="1"/>
  <c r="H239" i="94"/>
  <c r="G261" i="94" l="1"/>
  <c r="N27" i="93" a="1"/>
  <c r="E250" i="94"/>
  <c r="J250" i="94" s="1" a="1"/>
  <c r="J250" i="94" s="1"/>
  <c r="H251" i="94" a="1"/>
  <c r="H251" i="94" s="1"/>
  <c r="H243" i="94"/>
  <c r="K239" i="94"/>
  <c r="D45" i="8" s="1"/>
  <c r="F25" i="92" a="1"/>
  <c r="F25" i="92" s="1"/>
  <c r="F263" i="94"/>
  <c r="F262" i="94"/>
  <c r="F264" i="94"/>
  <c r="R26" i="93"/>
  <c r="G275" i="94" l="1"/>
  <c r="G274" i="94"/>
  <c r="G273" i="94"/>
  <c r="N27" i="93"/>
  <c r="R27" i="93" a="1"/>
  <c r="F261" i="94"/>
  <c r="I250" i="94" a="1"/>
  <c r="I250" i="94" s="1"/>
  <c r="H250" i="94"/>
  <c r="G265" i="94"/>
  <c r="K250" i="94" l="1"/>
  <c r="D46" i="8" s="1"/>
  <c r="H254" i="94"/>
  <c r="F26" i="92" a="1"/>
  <c r="F26" i="92" s="1"/>
  <c r="R27" i="93"/>
  <c r="F274" i="94"/>
  <c r="F275" i="94"/>
  <c r="F273" i="94"/>
  <c r="N28" i="93" a="1"/>
  <c r="G272" i="94"/>
  <c r="E261" i="94" a="1"/>
  <c r="H262" i="94" l="1" a="1"/>
  <c r="H262" i="94" s="1"/>
  <c r="E261" i="94"/>
  <c r="G285" i="94"/>
  <c r="G286" i="94"/>
  <c r="G284" i="94"/>
  <c r="N28" i="93"/>
  <c r="R28" i="93" a="1"/>
  <c r="F272" i="94"/>
  <c r="E272" i="94" s="1" a="1"/>
  <c r="G276" i="94"/>
  <c r="H273" i="94" l="1" a="1"/>
  <c r="H273" i="94" s="1"/>
  <c r="E272" i="94"/>
  <c r="J272" i="94" s="1" a="1"/>
  <c r="J272" i="94" s="1"/>
  <c r="N29" i="93" a="1"/>
  <c r="G283" i="94"/>
  <c r="R28" i="93"/>
  <c r="F284" i="94"/>
  <c r="F286" i="94"/>
  <c r="F285" i="94"/>
  <c r="I261" i="94" a="1"/>
  <c r="I261" i="94" s="1"/>
  <c r="H261" i="94"/>
  <c r="J261" i="94" a="1"/>
  <c r="J261" i="94" s="1"/>
  <c r="F283" i="94" l="1"/>
  <c r="E283" i="94" s="1" a="1"/>
  <c r="R29" i="93" a="1"/>
  <c r="N29" i="93"/>
  <c r="G297" i="94"/>
  <c r="G295" i="94"/>
  <c r="G296" i="94"/>
  <c r="G287" i="94"/>
  <c r="K261" i="94"/>
  <c r="D47" i="8" s="1"/>
  <c r="H265" i="94"/>
  <c r="F27" i="92" a="1"/>
  <c r="F27" i="92" s="1"/>
  <c r="H272" i="94"/>
  <c r="I272" i="94" a="1"/>
  <c r="I272" i="94" s="1"/>
  <c r="F28" i="92" l="1" a="1"/>
  <c r="F28" i="92" s="1"/>
  <c r="H276" i="94"/>
  <c r="K272" i="94"/>
  <c r="D48" i="8" s="1"/>
  <c r="N30" i="93" a="1"/>
  <c r="G294" i="94"/>
  <c r="F297" i="94"/>
  <c r="R29" i="93"/>
  <c r="F295" i="94"/>
  <c r="F296" i="94"/>
  <c r="E283" i="94"/>
  <c r="J283" i="94" s="1" a="1"/>
  <c r="J283" i="94" s="1"/>
  <c r="H284" i="94" a="1"/>
  <c r="H284" i="94" s="1"/>
  <c r="G306" i="94" l="1"/>
  <c r="G307" i="94"/>
  <c r="G308" i="94"/>
  <c r="N30" i="93"/>
  <c r="G298" i="94"/>
  <c r="R30" i="93" a="1"/>
  <c r="F294" i="94"/>
  <c r="E294" i="94" s="1" a="1"/>
  <c r="I283" i="94" a="1"/>
  <c r="I283" i="94" s="1"/>
  <c r="H283" i="94"/>
  <c r="K283" i="94" l="1"/>
  <c r="D49" i="8" s="1"/>
  <c r="F29" i="92" a="1"/>
  <c r="F29" i="92" s="1"/>
  <c r="H287" i="94"/>
  <c r="E294" i="94"/>
  <c r="J294" i="94" s="1" a="1"/>
  <c r="J294" i="94" s="1"/>
  <c r="H295" i="94" a="1"/>
  <c r="H295" i="94" s="1"/>
  <c r="F308" i="94"/>
  <c r="F307" i="94"/>
  <c r="F306" i="94"/>
  <c r="R30" i="93"/>
  <c r="G305" i="94"/>
  <c r="N31" i="93" a="1"/>
  <c r="G309" i="94" l="1"/>
  <c r="G318" i="94"/>
  <c r="G317" i="94"/>
  <c r="N31" i="93"/>
  <c r="G319" i="94"/>
  <c r="F305" i="94"/>
  <c r="E305" i="94" s="1" a="1"/>
  <c r="R31" i="93" a="1"/>
  <c r="I294" i="94" a="1"/>
  <c r="I294" i="94" s="1"/>
  <c r="H294" i="94"/>
  <c r="G316" i="94" l="1"/>
  <c r="N32" i="93" a="1"/>
  <c r="K294" i="94"/>
  <c r="D50" i="8" s="1"/>
  <c r="F30" i="92" a="1"/>
  <c r="F30" i="92" s="1"/>
  <c r="H298" i="94"/>
  <c r="F319" i="94"/>
  <c r="R31" i="93"/>
  <c r="F318" i="94"/>
  <c r="F317" i="94"/>
  <c r="E305" i="94"/>
  <c r="H306" i="94" a="1"/>
  <c r="H306" i="94" s="1"/>
  <c r="G320" i="94" l="1"/>
  <c r="G330" i="94"/>
  <c r="G329" i="94"/>
  <c r="N32" i="93"/>
  <c r="G327" i="94" s="1"/>
  <c r="G328" i="94"/>
  <c r="I305" i="94" a="1"/>
  <c r="I305" i="94" s="1"/>
  <c r="H305" i="94"/>
  <c r="R32" i="93" a="1"/>
  <c r="F316" i="94"/>
  <c r="E316" i="94" s="1" a="1"/>
  <c r="J305" i="94" a="1"/>
  <c r="J305" i="94" s="1"/>
  <c r="R32" i="93" l="1"/>
  <c r="F327" i="94" s="1"/>
  <c r="F329" i="94"/>
  <c r="F328" i="94"/>
  <c r="F330" i="94"/>
  <c r="H317" i="94" a="1"/>
  <c r="H317" i="94" s="1"/>
  <c r="E316" i="94"/>
  <c r="J316" i="94" s="1" a="1"/>
  <c r="J316" i="94" s="1"/>
  <c r="F31" i="92" a="1"/>
  <c r="F31" i="92" s="1"/>
  <c r="K305" i="94"/>
  <c r="D51" i="8" s="1"/>
  <c r="H309" i="94"/>
  <c r="G331" i="94"/>
  <c r="H316" i="94" l="1"/>
  <c r="I316" i="94" a="1"/>
  <c r="I316" i="94" s="1"/>
  <c r="E327" i="94" a="1"/>
  <c r="K316" i="94" l="1"/>
  <c r="D52" i="8" s="1"/>
  <c r="F32" i="92" a="1"/>
  <c r="F32" i="92" s="1"/>
  <c r="H320" i="94"/>
  <c r="H328" i="94" a="1"/>
  <c r="H328" i="94" s="1"/>
  <c r="E327" i="94"/>
  <c r="H327" i="94" l="1"/>
  <c r="I327" i="94" a="1"/>
  <c r="I327" i="94" s="1"/>
  <c r="J327" i="94" a="1"/>
  <c r="J327" i="94" s="1"/>
  <c r="K327" i="94" l="1"/>
  <c r="D53" i="8" s="1"/>
  <c r="H331" i="94"/>
  <c r="F33" i="92" a="1"/>
  <c r="F33" i="9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<sst xmlns="http://schemas.openxmlformats.org/spreadsheetml/2006/main" count="583" uniqueCount="63">
  <si>
    <t>Version</t>
    <phoneticPr fontId="5" type="noConversion"/>
  </si>
  <si>
    <t>Increment%</t>
  </si>
  <si>
    <t>Start-Up($)</t>
    <phoneticPr fontId="5" type="noConversion"/>
  </si>
  <si>
    <t>RTP</t>
    <phoneticPr fontId="1" type="noConversion"/>
  </si>
  <si>
    <t>Setting</t>
    <phoneticPr fontId="1" type="noConversion"/>
  </si>
  <si>
    <t>Hit Prob.</t>
    <phoneticPr fontId="1" type="noConversion"/>
  </si>
  <si>
    <t>Average Prize ($)</t>
    <phoneticPr fontId="1" type="noConversion"/>
  </si>
  <si>
    <t>Start Up%</t>
    <phoneticPr fontId="1" type="noConversion"/>
  </si>
  <si>
    <t>Value</t>
    <phoneticPr fontId="1" type="noConversion"/>
  </si>
  <si>
    <t>Full Screen Prob</t>
    <phoneticPr fontId="1" type="noConversion"/>
  </si>
  <si>
    <t>Denom</t>
    <phoneticPr fontId="1" type="noConversion"/>
  </si>
  <si>
    <t>Bet(credit)</t>
    <phoneticPr fontId="1" type="noConversion"/>
  </si>
  <si>
    <t>Start-Up(Multiplier)</t>
    <phoneticPr fontId="5" type="noConversion"/>
  </si>
  <si>
    <t>Bet Multiplier</t>
    <phoneticPr fontId="1" type="noConversion"/>
  </si>
  <si>
    <t>Denom Multiplier</t>
    <phoneticPr fontId="1" type="noConversion"/>
  </si>
  <si>
    <t>Minimum Bet</t>
  </si>
  <si>
    <t>JP1</t>
    <phoneticPr fontId="1" type="noConversion"/>
  </si>
  <si>
    <t>JP2</t>
    <phoneticPr fontId="1" type="noConversion"/>
  </si>
  <si>
    <t>JP3</t>
  </si>
  <si>
    <t>JP4</t>
  </si>
  <si>
    <t>Increment</t>
    <phoneticPr fontId="8" type="noConversion"/>
  </si>
  <si>
    <t>RTP</t>
    <phoneticPr fontId="8" type="noConversion"/>
  </si>
  <si>
    <t>RTP%</t>
    <phoneticPr fontId="1" type="noConversion"/>
  </si>
  <si>
    <t>Start Up(Credit)</t>
    <phoneticPr fontId="1" type="noConversion"/>
  </si>
  <si>
    <t>JP1</t>
    <phoneticPr fontId="6" type="noConversion"/>
  </si>
  <si>
    <t>JP2</t>
  </si>
  <si>
    <t>Bet($)</t>
    <phoneticPr fontId="1" type="noConversion"/>
  </si>
  <si>
    <t>Start Up Pool (Credit on Denom 1)</t>
    <phoneticPr fontId="8" type="noConversion"/>
  </si>
  <si>
    <t>Bet</t>
    <phoneticPr fontId="1" type="noConversion"/>
  </si>
  <si>
    <t>Threshold</t>
  </si>
  <si>
    <t>Denom</t>
  </si>
  <si>
    <t>Bet</t>
  </si>
  <si>
    <t>JP1</t>
  </si>
  <si>
    <t>RTP</t>
  </si>
  <si>
    <t>Increment</t>
  </si>
  <si>
    <t>Start Up Pool (Credit on Denom 1)</t>
  </si>
  <si>
    <t>Area</t>
    <phoneticPr fontId="1" type="noConversion"/>
  </si>
  <si>
    <t>JP1($)</t>
    <phoneticPr fontId="1" type="noConversion"/>
  </si>
  <si>
    <t>JP2($)</t>
    <phoneticPr fontId="1" type="noConversion"/>
  </si>
  <si>
    <t>JP3(x)</t>
    <phoneticPr fontId="1" type="noConversion"/>
  </si>
  <si>
    <t>JP4(x)</t>
    <phoneticPr fontId="1" type="noConversion"/>
  </si>
  <si>
    <t>ID</t>
    <phoneticPr fontId="5" type="noConversion"/>
  </si>
  <si>
    <t>Option
(Water Level / Group)</t>
    <phoneticPr fontId="1" type="noConversion"/>
  </si>
  <si>
    <t/>
  </si>
  <si>
    <t>Model</t>
    <phoneticPr fontId="1" type="noConversion"/>
  </si>
  <si>
    <t>Bet</t>
    <phoneticPr fontId="5" type="noConversion"/>
  </si>
  <si>
    <t>Increment</t>
    <phoneticPr fontId="5" type="noConversion"/>
  </si>
  <si>
    <t>Start-Up%</t>
    <phoneticPr fontId="5" type="noConversion"/>
  </si>
  <si>
    <t>Total%</t>
  </si>
  <si>
    <t>Average Prize ($)</t>
  </si>
  <si>
    <t>Start-Up Pool($)</t>
    <phoneticPr fontId="5" type="noConversion"/>
  </si>
  <si>
    <t>Period</t>
  </si>
  <si>
    <t>Overview</t>
    <phoneticPr fontId="5" type="noConversion"/>
  </si>
  <si>
    <t>Bet Level</t>
  </si>
  <si>
    <t>Bet Level</t>
    <phoneticPr fontId="5" type="noConversion"/>
  </si>
  <si>
    <t>Bet ($)</t>
    <phoneticPr fontId="5" type="noConversion"/>
  </si>
  <si>
    <t>JP0100A</t>
    <phoneticPr fontId="1" type="noConversion"/>
  </si>
  <si>
    <t>Jackpot Game Awards Pool (Weight/Threshold)</t>
    <phoneticPr fontId="1" type="noConversion"/>
  </si>
  <si>
    <t>Jackpot Game Hit Rate</t>
  </si>
  <si>
    <t>Jackpot Game Real Period</t>
  </si>
  <si>
    <t>4.0.0.0</t>
    <phoneticPr fontId="5" type="noConversion"/>
  </si>
  <si>
    <t>Else</t>
    <phoneticPr fontId="1" type="noConversion"/>
  </si>
  <si>
    <r>
      <t>#</t>
    </r>
    <r>
      <rPr>
        <sz val="12"/>
        <color theme="1"/>
        <rFont val="細明體"/>
        <family val="3"/>
        <charset val="136"/>
      </rPr>
      <t>新手期不會獲得</t>
    </r>
    <r>
      <rPr>
        <sz val="12"/>
        <color theme="1"/>
        <rFont val="Courier New"/>
        <family val="3"/>
      </rPr>
      <t>Progressive JP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</si>
</sst>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_-* #,##0_-;\-* #,##0_-;_-* &quot;-&quot;??_-;_-@_-"/>
    <numFmt numFmtId="177" formatCode="0.00_);[Red]\(0.00\)"/>
    <numFmt numFmtId="178" formatCode="0_);[Red]\(0\)"/>
    <numFmt numFmtId="179" formatCode="0.0_);[Red]\(0.0\)"/>
    <numFmt numFmtId="180" formatCode="_-* #,##0.00000000000000_-;\-* #,##0.00000000000000_-;_-* &quot;-&quot;??_-;_-@_-"/>
    <numFmt numFmtId="181" formatCode="0.00000000000000_);[Red]\(0.00000000000000\)"/>
    <numFmt numFmtId="182" formatCode="0.000000000_);[Red]\(0.000000000\)"/>
    <numFmt numFmtId="183" formatCode="0.000000000000_);[Red]\(0.000000000000\)"/>
    <numFmt numFmtId="184" formatCode="0.0000"/>
  </numFmts>
  <fonts count="16">
    <font>
      <sz val="12"/>
      <color theme="1"/>
      <name val="Courier New"/>
      <family val="2"/>
      <charset val="136"/>
    </font>
    <font>
      <sz val="9"/>
      <name val="Courier New"/>
      <family val="2"/>
      <charset val="136"/>
    </font>
    <font>
      <sz val="12"/>
      <color theme="1"/>
      <name val="Courier New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ourier New"/>
      <family val="3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color rgb="FF000000"/>
      <name val="PMingLiu"/>
      <family val="1"/>
      <charset val="136"/>
    </font>
    <font>
      <sz val="9"/>
      <name val="新細明體"/>
      <family val="3"/>
      <charset val="136"/>
      <scheme val="minor"/>
    </font>
    <font>
      <sz val="12"/>
      <name val="Courier New"/>
      <family val="3"/>
    </font>
    <font>
      <sz val="12"/>
      <color theme="0" tint="-0.249977111117893"/>
      <name val="Courier New"/>
      <family val="2"/>
      <charset val="136"/>
    </font>
    <font>
      <sz val="11"/>
      <name val="Courier New"/>
      <family val="3"/>
    </font>
    <font>
      <sz val="12"/>
      <color theme="0" tint="-0.14999847407452621"/>
      <name val="Courier New"/>
      <family val="3"/>
    </font>
    <font>
      <sz val="12"/>
      <color theme="0" tint="-0.14999847407452621"/>
      <name val="Courier New"/>
      <family val="2"/>
      <charset val="136"/>
    </font>
    <font>
      <sz val="12"/>
      <color theme="0" tint="-0.249977111117893"/>
      <name val="Courier New"/>
      <family val="3"/>
    </font>
    <font>
      <sz val="12"/>
      <color theme="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/>
    <xf numFmtId="43" fontId="7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</cellStyleXfs>
  <cellXfs count="88">
    <xf numFmtId="0" fontId="0" fillId="0" borderId="0" xfId="0">
      <alignment vertical="center"/>
    </xf>
    <xf numFmtId="0" fontId="4" fillId="2" borderId="1" xfId="3" applyFont="1" applyFill="1" applyBorder="1" applyAlignment="1" applyProtection="1">
      <alignment horizontal="center" vertical="center"/>
      <protection hidden="1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10" fontId="0" fillId="0" borderId="1" xfId="2" applyNumberFormat="1" applyFont="1" applyFill="1" applyBorder="1">
      <alignment vertical="center"/>
    </xf>
    <xf numFmtId="180" fontId="0" fillId="0" borderId="1" xfId="0" applyNumberFormat="1" applyBorder="1">
      <alignment vertical="center"/>
    </xf>
    <xf numFmtId="176" fontId="0" fillId="0" borderId="1" xfId="1" applyNumberFormat="1" applyFont="1" applyBorder="1">
      <alignment vertical="center"/>
    </xf>
    <xf numFmtId="182" fontId="0" fillId="0" borderId="0" xfId="0" applyNumberFormat="1">
      <alignment vertical="center"/>
    </xf>
    <xf numFmtId="180" fontId="10" fillId="0" borderId="0" xfId="0" applyNumberFormat="1" applyFont="1">
      <alignment vertical="center"/>
    </xf>
    <xf numFmtId="0" fontId="9" fillId="0" borderId="0" xfId="0" applyFo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10" fontId="9" fillId="3" borderId="1" xfId="2" applyNumberFormat="1" applyFont="1" applyFill="1" applyBorder="1">
      <alignment vertical="center"/>
    </xf>
    <xf numFmtId="0" fontId="9" fillId="3" borderId="1" xfId="0" applyFont="1" applyFill="1" applyBorder="1">
      <alignment vertical="center"/>
    </xf>
    <xf numFmtId="176" fontId="9" fillId="3" borderId="1" xfId="1" applyNumberFormat="1" applyFont="1" applyFill="1" applyBorder="1">
      <alignment vertical="center"/>
    </xf>
    <xf numFmtId="0" fontId="9" fillId="0" borderId="1" xfId="0" applyFont="1" applyFill="1" applyBorder="1">
      <alignment vertical="center"/>
    </xf>
    <xf numFmtId="1" fontId="0" fillId="0" borderId="0" xfId="0" applyNumberFormat="1">
      <alignment vertical="center"/>
    </xf>
    <xf numFmtId="43" fontId="0" fillId="0" borderId="0" xfId="0" applyNumberFormat="1">
      <alignment vertical="center"/>
    </xf>
    <xf numFmtId="178" fontId="0" fillId="0" borderId="1" xfId="0" applyNumberFormat="1" applyBorder="1" applyAlignment="1">
      <alignment horizontal="center" vertical="center"/>
    </xf>
    <xf numFmtId="181" fontId="12" fillId="0" borderId="1" xfId="1" applyNumberFormat="1" applyFont="1" applyBorder="1">
      <alignment vertical="center"/>
    </xf>
    <xf numFmtId="10" fontId="12" fillId="0" borderId="1" xfId="2" applyNumberFormat="1" applyFont="1" applyBorder="1">
      <alignment vertical="center"/>
    </xf>
    <xf numFmtId="176" fontId="12" fillId="0" borderId="1" xfId="1" applyNumberFormat="1" applyFont="1" applyFill="1" applyBorder="1">
      <alignment vertical="center"/>
    </xf>
    <xf numFmtId="10" fontId="12" fillId="0" borderId="1" xfId="2" applyNumberFormat="1" applyFont="1" applyFill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181" fontId="0" fillId="0" borderId="0" xfId="0" applyNumberFormat="1">
      <alignment vertical="center"/>
    </xf>
    <xf numFmtId="176" fontId="0" fillId="0" borderId="1" xfId="1" applyNumberFormat="1" applyFont="1" applyFill="1" applyBorder="1">
      <alignment vertical="center"/>
    </xf>
    <xf numFmtId="179" fontId="13" fillId="0" borderId="0" xfId="0" applyNumberFormat="1" applyFont="1" applyFill="1">
      <alignment vertical="center"/>
    </xf>
    <xf numFmtId="177" fontId="0" fillId="4" borderId="1" xfId="0" applyNumberFormat="1" applyFill="1" applyBorder="1">
      <alignment vertical="center"/>
    </xf>
    <xf numFmtId="176" fontId="0" fillId="4" borderId="1" xfId="1" applyNumberFormat="1" applyFont="1" applyFill="1" applyBorder="1">
      <alignment vertical="center"/>
    </xf>
    <xf numFmtId="10" fontId="0" fillId="4" borderId="1" xfId="2" applyNumberFormat="1" applyFont="1" applyFill="1" applyBorder="1">
      <alignment vertical="center"/>
    </xf>
    <xf numFmtId="10" fontId="0" fillId="4" borderId="1" xfId="0" applyNumberFormat="1" applyFill="1" applyBorder="1">
      <alignment vertical="center"/>
    </xf>
    <xf numFmtId="10" fontId="1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4" fillId="0" borderId="0" xfId="0" applyFont="1" applyAlignment="1"/>
    <xf numFmtId="0" fontId="4" fillId="0" borderId="1" xfId="0" applyFont="1" applyBorder="1">
      <alignment vertical="center"/>
    </xf>
    <xf numFmtId="0" fontId="4" fillId="0" borderId="0" xfId="3" applyFont="1" applyFill="1" applyBorder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right"/>
      <protection hidden="1"/>
    </xf>
    <xf numFmtId="0" fontId="14" fillId="0" borderId="0" xfId="0" applyFont="1" applyAlignment="1"/>
    <xf numFmtId="181" fontId="9" fillId="0" borderId="1" xfId="1" applyNumberFormat="1" applyFont="1" applyFill="1" applyBorder="1">
      <alignment vertical="center"/>
    </xf>
    <xf numFmtId="176" fontId="9" fillId="0" borderId="1" xfId="1" applyNumberFormat="1" applyFont="1" applyFill="1" applyBorder="1">
      <alignment vertical="center"/>
    </xf>
    <xf numFmtId="10" fontId="9" fillId="0" borderId="1" xfId="2" applyNumberFormat="1" applyFont="1" applyFill="1" applyBorder="1">
      <alignment vertical="center"/>
    </xf>
    <xf numFmtId="10" fontId="14" fillId="0" borderId="0" xfId="0" applyNumberFormat="1" applyFont="1" applyAlignment="1"/>
    <xf numFmtId="0" fontId="4" fillId="0" borderId="1" xfId="3" applyFont="1" applyFill="1" applyBorder="1" applyProtection="1">
      <alignment vertical="center"/>
      <protection hidden="1"/>
    </xf>
    <xf numFmtId="176" fontId="9" fillId="4" borderId="1" xfId="1" applyNumberFormat="1" applyFont="1" applyFill="1" applyBorder="1">
      <alignment vertical="center"/>
    </xf>
    <xf numFmtId="0" fontId="9" fillId="4" borderId="1" xfId="0" applyFont="1" applyFill="1" applyBorder="1">
      <alignment vertical="center"/>
    </xf>
    <xf numFmtId="10" fontId="4" fillId="4" borderId="1" xfId="2" applyNumberFormat="1" applyFont="1" applyFill="1" applyBorder="1" applyAlignment="1"/>
    <xf numFmtId="10" fontId="9" fillId="4" borderId="1" xfId="2" applyNumberFormat="1" applyFont="1" applyFill="1" applyBorder="1">
      <alignment vertical="center"/>
    </xf>
    <xf numFmtId="176" fontId="4" fillId="4" borderId="1" xfId="1" applyNumberFormat="1" applyFont="1" applyFill="1" applyBorder="1" applyAlignment="1"/>
    <xf numFmtId="0" fontId="9" fillId="0" borderId="0" xfId="0" applyFont="1" applyFill="1">
      <alignment vertical="center"/>
    </xf>
    <xf numFmtId="176" fontId="12" fillId="0" borderId="0" xfId="1" applyNumberFormat="1" applyFont="1" applyAlignment="1">
      <alignment horizontal="center" vertical="center"/>
    </xf>
    <xf numFmtId="183" fontId="0" fillId="0" borderId="0" xfId="0" applyNumberFormat="1">
      <alignment vertical="center"/>
    </xf>
    <xf numFmtId="184" fontId="9" fillId="3" borderId="1" xfId="1" applyNumberFormat="1" applyFont="1" applyFill="1" applyBorder="1">
      <alignment vertical="center"/>
    </xf>
    <xf numFmtId="0" fontId="4" fillId="6" borderId="1" xfId="0" applyFont="1" applyFill="1" applyBorder="1" applyAlignment="1">
      <alignment horizontal="center" vertical="center"/>
    </xf>
    <xf numFmtId="43" fontId="9" fillId="3" borderId="1" xfId="1" applyNumberFormat="1" applyFont="1" applyFill="1" applyBorder="1">
      <alignment vertical="center"/>
    </xf>
    <xf numFmtId="10" fontId="4" fillId="0" borderId="1" xfId="2" applyNumberFormat="1" applyFont="1" applyBorder="1">
      <alignment vertical="center"/>
    </xf>
    <xf numFmtId="2" fontId="4" fillId="0" borderId="1" xfId="0" applyNumberFormat="1" applyFont="1" applyBorder="1">
      <alignment vertical="center"/>
    </xf>
    <xf numFmtId="0" fontId="4" fillId="0" borderId="0" xfId="0" applyFont="1" applyFill="1">
      <alignment vertical="center"/>
    </xf>
    <xf numFmtId="0" fontId="0" fillId="0" borderId="1" xfId="0" applyBorder="1" applyAlignment="1"/>
    <xf numFmtId="176" fontId="4" fillId="3" borderId="1" xfId="1" applyNumberFormat="1" applyFont="1" applyFill="1" applyBorder="1" applyAlignment="1" applyProtection="1">
      <alignment horizontal="right"/>
      <protection hidden="1"/>
    </xf>
    <xf numFmtId="0" fontId="4" fillId="5" borderId="1" xfId="0" applyFont="1" applyFill="1" applyBorder="1" applyAlignment="1" applyProtection="1">
      <alignment horizontal="right"/>
      <protection hidden="1"/>
    </xf>
    <xf numFmtId="0" fontId="9" fillId="0" borderId="3" xfId="0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4" fillId="6" borderId="1" xfId="3" applyFont="1" applyFill="1" applyBorder="1" applyAlignment="1" applyProtection="1">
      <alignment horizontal="center" vertical="center"/>
      <protection hidden="1"/>
    </xf>
    <xf numFmtId="10" fontId="4" fillId="0" borderId="3" xfId="2" applyNumberFormat="1" applyFont="1" applyBorder="1">
      <alignment vertical="center"/>
    </xf>
    <xf numFmtId="44" fontId="4" fillId="0" borderId="1" xfId="9" applyFont="1" applyBorder="1">
      <alignment vertical="center"/>
    </xf>
    <xf numFmtId="44" fontId="4" fillId="0" borderId="3" xfId="9" applyFont="1" applyBorder="1">
      <alignment vertical="center"/>
    </xf>
    <xf numFmtId="0" fontId="4" fillId="0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/>
      <protection hidden="1"/>
    </xf>
    <xf numFmtId="0" fontId="4" fillId="0" borderId="0" xfId="0" applyFont="1" applyAlignment="1">
      <alignment horizontal="center" vertical="center"/>
    </xf>
    <xf numFmtId="10" fontId="4" fillId="0" borderId="0" xfId="0" applyNumberFormat="1" applyFont="1">
      <alignment vertical="center"/>
    </xf>
    <xf numFmtId="2" fontId="4" fillId="0" borderId="3" xfId="0" applyNumberFormat="1" applyFont="1" applyBorder="1">
      <alignment vertical="center"/>
    </xf>
    <xf numFmtId="10" fontId="12" fillId="0" borderId="0" xfId="0" applyNumberFormat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4" fillId="3" borderId="1" xfId="0" applyFont="1" applyFill="1" applyBorder="1">
      <alignment vertical="center"/>
    </xf>
    <xf numFmtId="10" fontId="4" fillId="3" borderId="1" xfId="2" applyNumberFormat="1" applyFont="1" applyFill="1" applyBorder="1">
      <alignment vertical="center"/>
    </xf>
    <xf numFmtId="176" fontId="4" fillId="3" borderId="1" xfId="1" applyNumberFormat="1" applyFont="1" applyFill="1" applyBorder="1">
      <alignment vertical="center"/>
    </xf>
    <xf numFmtId="2" fontId="4" fillId="3" borderId="1" xfId="0" applyNumberFormat="1" applyFont="1" applyFill="1" applyBorder="1">
      <alignment vertical="center"/>
    </xf>
    <xf numFmtId="178" fontId="4" fillId="3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</cellXfs>
  <cellStyles count="10">
    <cellStyle name="一般" xfId="0" builtinId="0"/>
    <cellStyle name="一般 19" xfId="3" xr:uid="{F374530C-8D41-45E4-9415-7997B366B8CC}"/>
    <cellStyle name="一般 2" xfId="5" xr:uid="{EA7DB22C-236B-4F46-91E1-7BAEE412EEB2}"/>
    <cellStyle name="千分位" xfId="1" builtinId="3"/>
    <cellStyle name="千分位 16" xfId="6" xr:uid="{722FF2BE-FFA2-4741-A817-F0FD5DDC0BA6}"/>
    <cellStyle name="千分位 16 2" xfId="8" xr:uid="{48486E55-FF60-4666-81F5-1822C579375A}"/>
    <cellStyle name="千分位 2" xfId="7" xr:uid="{A50C7AE0-ED78-43E4-8F2B-8BB3CBE29082}"/>
    <cellStyle name="百分比" xfId="2" builtinId="5"/>
    <cellStyle name="百分比 2" xfId="4" xr:uid="{CEDAC14E-49C3-40B4-A0D8-4693C16EB402}"/>
    <cellStyle name="貨幣" xfId="9" builtinId="4"/>
  </cellStyles>
  <dxfs count="9"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  <dxf>
      <font>
        <color theme="0" tint="-0.24994659260841701"/>
      </font>
      <numFmt numFmtId="187" formatCode="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010EF-68D4-4511-9FE9-CD9133A6CBBD}">
  <sheetPr codeName="工作表1">
    <tabColor theme="4" tint="0.59999389629810485"/>
  </sheetPr>
  <dimension ref="B3:H53"/>
  <sheetViews>
    <sheetView tabSelected="1" workbookViewId="0">
      <selection activeCell="J8" sqref="J8"/>
    </sheetView>
  </sheetViews>
  <sheetFormatPr defaultRowHeight="15.6"/>
  <cols>
    <col min="1" max="1" width="8.6640625" style="2"/>
    <col min="2" max="2" width="12.33203125" style="2" bestFit="1" customWidth="1"/>
    <col min="3" max="3" width="17.75" style="2" bestFit="1" customWidth="1"/>
    <col min="4" max="5" width="10.1640625" style="2" bestFit="1" customWidth="1"/>
    <col min="6" max="6" width="7.1640625" style="2" bestFit="1" customWidth="1"/>
    <col min="7" max="7" width="18.75" style="2" bestFit="1" customWidth="1"/>
    <col min="8" max="16384" width="8.6640625" style="2"/>
  </cols>
  <sheetData>
    <row r="3" spans="2:8">
      <c r="B3" s="60" t="s">
        <v>44</v>
      </c>
      <c r="C3" s="70" t="s">
        <v>56</v>
      </c>
    </row>
    <row r="4" spans="2:8">
      <c r="B4" s="45" t="s">
        <v>0</v>
      </c>
      <c r="C4" s="71" t="s">
        <v>60</v>
      </c>
    </row>
    <row r="6" spans="2:8">
      <c r="B6" s="45" t="s">
        <v>41</v>
      </c>
      <c r="C6" s="62">
        <v>22</v>
      </c>
      <c r="D6" s="77" t="str">
        <f>VLOOKUP(C6, Parameter_List!A:B, 2, 0)</f>
        <v>Else</v>
      </c>
    </row>
    <row r="7" spans="2:8">
      <c r="B7" s="45" t="s">
        <v>45</v>
      </c>
      <c r="C7" s="62">
        <v>1</v>
      </c>
    </row>
    <row r="8" spans="2:8">
      <c r="B8" s="37" t="s">
        <v>15</v>
      </c>
      <c r="C8" s="37">
        <f>Setting!C4</f>
        <v>100</v>
      </c>
    </row>
    <row r="9" spans="2:8">
      <c r="B9" s="37" t="s">
        <v>30</v>
      </c>
      <c r="C9" s="37">
        <f>Setting!C3</f>
        <v>2E-3</v>
      </c>
    </row>
    <row r="11" spans="2:8">
      <c r="B11" s="12" t="s">
        <v>29</v>
      </c>
      <c r="C11" s="61">
        <v>10000000000</v>
      </c>
    </row>
    <row r="12" spans="2:8">
      <c r="B12" s="38"/>
      <c r="C12" s="39"/>
    </row>
    <row r="14" spans="2:8">
      <c r="B14" s="2" t="s">
        <v>52</v>
      </c>
    </row>
    <row r="15" spans="2:8">
      <c r="B15" s="64" t="s">
        <v>43</v>
      </c>
      <c r="C15" s="65" t="s">
        <v>50</v>
      </c>
      <c r="D15" s="65" t="s">
        <v>47</v>
      </c>
      <c r="E15" s="55" t="s">
        <v>46</v>
      </c>
      <c r="F15" s="65" t="s">
        <v>48</v>
      </c>
      <c r="G15" s="65" t="s">
        <v>49</v>
      </c>
    </row>
    <row r="16" spans="2:8" ht="16.2">
      <c r="B16" s="63" t="s">
        <v>32</v>
      </c>
      <c r="C16" s="68" cm="1">
        <f t="array" ref="C16:C19">Setting!D25:D28</f>
        <v>500000</v>
      </c>
      <c r="D16" s="66" cm="1">
        <f t="array" ref="D16:D19">_xlfn.ANCHORARRAY(F16)-_xlfn.ANCHORARRAY(E16)</f>
        <v>0</v>
      </c>
      <c r="E16" s="66" cm="1">
        <f t="array" ref="E16:E19">Setting!C17:C20</f>
        <v>3.5000000000000001E-3</v>
      </c>
      <c r="F16" s="66" cm="1">
        <f t="array" ref="F16:F19">Setting!C9:C12</f>
        <v>3.5000000000000001E-3</v>
      </c>
      <c r="G16" s="74" t="e" cm="1">
        <f t="array" ref="G16:G17">Calculate!J8:J9</f>
        <v>#DIV/0!</v>
      </c>
      <c r="H16" s="2" t="s">
        <v>62</v>
      </c>
    </row>
    <row r="17" spans="2:7">
      <c r="B17" s="12" t="s">
        <v>25</v>
      </c>
      <c r="C17" s="67">
        <v>100000</v>
      </c>
      <c r="D17" s="57">
        <v>0</v>
      </c>
      <c r="E17" s="57">
        <v>5.0000000000000001E-3</v>
      </c>
      <c r="F17" s="57">
        <v>5.0000000000000001E-3</v>
      </c>
      <c r="G17" s="37" t="e">
        <v>#DIV/0!</v>
      </c>
    </row>
    <row r="18" spans="2:7">
      <c r="B18" s="12" t="s">
        <v>18</v>
      </c>
      <c r="C18" s="67">
        <v>50</v>
      </c>
      <c r="D18" s="57">
        <v>8.0000000000000002E-3</v>
      </c>
      <c r="E18" s="57">
        <v>0</v>
      </c>
      <c r="F18" s="57">
        <v>8.0000000000000002E-3</v>
      </c>
      <c r="G18" s="37" cm="1">
        <f t="array" ref="G18:G19">Calculate!J10:J11/Calculate!C4</f>
        <v>50</v>
      </c>
    </row>
    <row r="19" spans="2:7">
      <c r="B19" s="12" t="s">
        <v>19</v>
      </c>
      <c r="C19" s="67">
        <v>10</v>
      </c>
      <c r="D19" s="57">
        <v>2.35E-2</v>
      </c>
      <c r="E19" s="57">
        <v>0</v>
      </c>
      <c r="F19" s="57">
        <v>2.35E-2</v>
      </c>
      <c r="G19" s="37">
        <v>10</v>
      </c>
    </row>
    <row r="20" spans="2:7">
      <c r="D20" s="73">
        <f>SUM(_xlfn.ANCHORARRAY(D16))</f>
        <v>3.15E-2</v>
      </c>
      <c r="E20" s="73">
        <f>SUM(_xlfn.ANCHORARRAY(E16))</f>
        <v>8.5000000000000006E-3</v>
      </c>
      <c r="F20" s="73">
        <f>SUM(_xlfn.ANCHORARRAY(F16))</f>
        <v>0.04</v>
      </c>
    </row>
    <row r="22" spans="2:7">
      <c r="B22" s="2" t="s">
        <v>51</v>
      </c>
    </row>
    <row r="23" spans="2:7">
      <c r="B23" s="64" t="s">
        <v>54</v>
      </c>
      <c r="C23" s="64" t="s">
        <v>55</v>
      </c>
      <c r="D23" s="65" t="s">
        <v>51</v>
      </c>
    </row>
    <row r="24" spans="2:7">
      <c r="B24" s="37" cm="1">
        <f t="array" ref="B24:B53">Setting!E3:E32</f>
        <v>1</v>
      </c>
      <c r="C24" s="67" cm="1">
        <f t="array" ref="C24:C53">_xlfn.ANCHORARRAY(Setting!F3)*C9*C7</f>
        <v>0.2</v>
      </c>
      <c r="D24" s="58">
        <f ca="1">OFFSET(Calculate!$A$1, 7+11*(B24-1), 10)</f>
        <v>398.40637450199205</v>
      </c>
    </row>
    <row r="25" spans="2:7">
      <c r="B25" s="37">
        <v>2</v>
      </c>
      <c r="C25" s="67">
        <v>0.4</v>
      </c>
      <c r="D25" s="58">
        <f ca="1">OFFSET(Calculate!$A$1, 7+11*(B25-1), 10)</f>
        <v>398.40637450199205</v>
      </c>
    </row>
    <row r="26" spans="2:7">
      <c r="B26" s="37">
        <v>3</v>
      </c>
      <c r="C26" s="67">
        <v>1</v>
      </c>
      <c r="D26" s="58">
        <f ca="1">OFFSET(Calculate!$A$1, 7+11*(B26-1), 10)</f>
        <v>398.40637450199205</v>
      </c>
    </row>
    <row r="27" spans="2:7">
      <c r="B27" s="37">
        <v>4</v>
      </c>
      <c r="C27" s="67">
        <v>2</v>
      </c>
      <c r="D27" s="58">
        <f ca="1">OFFSET(Calculate!$A$1, 7+11*(B27-1), 10)</f>
        <v>398.40637450199205</v>
      </c>
    </row>
    <row r="28" spans="2:7">
      <c r="B28" s="37">
        <v>5</v>
      </c>
      <c r="C28" s="67">
        <v>2.4</v>
      </c>
      <c r="D28" s="58">
        <f ca="1">OFFSET(Calculate!$A$1, 7+11*(B28-1), 10)</f>
        <v>398.40637450199205</v>
      </c>
    </row>
    <row r="29" spans="2:7">
      <c r="B29" s="37">
        <v>6</v>
      </c>
      <c r="C29" s="67">
        <v>3</v>
      </c>
      <c r="D29" s="58">
        <f ca="1">OFFSET(Calculate!$A$1, 7+11*(B29-1), 10)</f>
        <v>398.40637450199205</v>
      </c>
    </row>
    <row r="30" spans="2:7">
      <c r="B30" s="37">
        <v>7</v>
      </c>
      <c r="C30" s="67">
        <v>4</v>
      </c>
      <c r="D30" s="58">
        <f ca="1">OFFSET(Calculate!$A$1, 7+11*(B30-1), 10)</f>
        <v>398.40637450199205</v>
      </c>
    </row>
    <row r="31" spans="2:7">
      <c r="B31" s="37">
        <v>8</v>
      </c>
      <c r="C31" s="67">
        <v>5</v>
      </c>
      <c r="D31" s="58">
        <f ca="1">OFFSET(Calculate!$A$1, 7+11*(B31-1), 10)</f>
        <v>398.40637450199205</v>
      </c>
    </row>
    <row r="32" spans="2:7">
      <c r="B32" s="37">
        <v>9</v>
      </c>
      <c r="C32" s="67">
        <v>6</v>
      </c>
      <c r="D32" s="58">
        <f ca="1">OFFSET(Calculate!$A$1, 7+11*(B32-1), 10)</f>
        <v>398.40637450199205</v>
      </c>
    </row>
    <row r="33" spans="2:4">
      <c r="B33" s="37">
        <v>10</v>
      </c>
      <c r="C33" s="67">
        <v>7</v>
      </c>
      <c r="D33" s="58">
        <f ca="1">OFFSET(Calculate!$A$1, 7+11*(B33-1), 10)</f>
        <v>398.40637450199205</v>
      </c>
    </row>
    <row r="34" spans="2:4">
      <c r="B34" s="37">
        <v>11</v>
      </c>
      <c r="C34" s="67">
        <v>8</v>
      </c>
      <c r="D34" s="58">
        <f ca="1">OFFSET(Calculate!$A$1, 7+11*(B34-1), 10)</f>
        <v>398.40637450199205</v>
      </c>
    </row>
    <row r="35" spans="2:4">
      <c r="B35" s="37">
        <v>12</v>
      </c>
      <c r="C35" s="67">
        <v>9</v>
      </c>
      <c r="D35" s="58">
        <f ca="1">OFFSET(Calculate!$A$1, 7+11*(B35-1), 10)</f>
        <v>398.40637450199205</v>
      </c>
    </row>
    <row r="36" spans="2:4">
      <c r="B36" s="37">
        <v>13</v>
      </c>
      <c r="C36" s="67">
        <v>10</v>
      </c>
      <c r="D36" s="58">
        <f ca="1">OFFSET(Calculate!$A$1, 7+11*(B36-1), 10)</f>
        <v>398.40637450199205</v>
      </c>
    </row>
    <row r="37" spans="2:4">
      <c r="B37" s="37">
        <v>14</v>
      </c>
      <c r="C37" s="67">
        <v>12</v>
      </c>
      <c r="D37" s="58">
        <f ca="1">OFFSET(Calculate!$A$1, 7+11*(B37-1), 10)</f>
        <v>398.40637450199205</v>
      </c>
    </row>
    <row r="38" spans="2:4">
      <c r="B38" s="37">
        <v>15</v>
      </c>
      <c r="C38" s="67">
        <v>14</v>
      </c>
      <c r="D38" s="58">
        <f ca="1">OFFSET(Calculate!$A$1, 7+11*(B38-1), 10)</f>
        <v>398.40637450199205</v>
      </c>
    </row>
    <row r="39" spans="2:4">
      <c r="B39" s="37">
        <v>16</v>
      </c>
      <c r="C39" s="67">
        <v>16</v>
      </c>
      <c r="D39" s="58">
        <f ca="1">OFFSET(Calculate!$A$1, 7+11*(B39-1), 10)</f>
        <v>398.40637450199205</v>
      </c>
    </row>
    <row r="40" spans="2:4">
      <c r="B40" s="37">
        <v>17</v>
      </c>
      <c r="C40" s="67">
        <v>18</v>
      </c>
      <c r="D40" s="58">
        <f ca="1">OFFSET(Calculate!$A$1, 7+11*(B40-1), 10)</f>
        <v>398.40637450199205</v>
      </c>
    </row>
    <row r="41" spans="2:4">
      <c r="B41" s="37">
        <v>18</v>
      </c>
      <c r="C41" s="67">
        <v>20</v>
      </c>
      <c r="D41" s="58">
        <f ca="1">OFFSET(Calculate!$A$1, 7+11*(B41-1), 10)</f>
        <v>398.40637450199205</v>
      </c>
    </row>
    <row r="42" spans="2:4">
      <c r="B42" s="37">
        <v>19</v>
      </c>
      <c r="C42" s="67">
        <v>30</v>
      </c>
      <c r="D42" s="58">
        <f ca="1">OFFSET(Calculate!$A$1, 7+11*(B42-1), 10)</f>
        <v>398.40637450199205</v>
      </c>
    </row>
    <row r="43" spans="2:4">
      <c r="B43" s="37">
        <v>20</v>
      </c>
      <c r="C43" s="67">
        <v>40</v>
      </c>
      <c r="D43" s="58">
        <f ca="1">OFFSET(Calculate!$A$1, 7+11*(B43-1), 10)</f>
        <v>398.40637450199205</v>
      </c>
    </row>
    <row r="44" spans="2:4">
      <c r="B44" s="37">
        <v>21</v>
      </c>
      <c r="C44" s="67">
        <v>60</v>
      </c>
      <c r="D44" s="58">
        <f ca="1">OFFSET(Calculate!$A$1, 7+11*(B44-1), 10)</f>
        <v>398.40637450199205</v>
      </c>
    </row>
    <row r="45" spans="2:4">
      <c r="B45" s="37">
        <v>22</v>
      </c>
      <c r="C45" s="67">
        <v>100</v>
      </c>
      <c r="D45" s="58">
        <f ca="1">OFFSET(Calculate!$A$1, 7+11*(B45-1), 10)</f>
        <v>398.40637450199205</v>
      </c>
    </row>
    <row r="46" spans="2:4">
      <c r="B46" s="37">
        <v>23</v>
      </c>
      <c r="C46" s="67">
        <v>200</v>
      </c>
      <c r="D46" s="58">
        <f ca="1">OFFSET(Calculate!$A$1, 7+11*(B46-1), 10)</f>
        <v>398.40637450199205</v>
      </c>
    </row>
    <row r="47" spans="2:4">
      <c r="B47" s="37">
        <v>24</v>
      </c>
      <c r="C47" s="67">
        <v>300</v>
      </c>
      <c r="D47" s="58">
        <f ca="1">OFFSET(Calculate!$A$1, 7+11*(B47-1), 10)</f>
        <v>398.40637450199205</v>
      </c>
    </row>
    <row r="48" spans="2:4">
      <c r="B48" s="37">
        <v>25</v>
      </c>
      <c r="C48" s="67">
        <v>600</v>
      </c>
      <c r="D48" s="58">
        <f ca="1">OFFSET(Calculate!$A$1, 7+11*(B48-1), 10)</f>
        <v>398.40637450199205</v>
      </c>
    </row>
    <row r="49" spans="2:4">
      <c r="B49" s="37">
        <v>26</v>
      </c>
      <c r="C49" s="67">
        <v>1000</v>
      </c>
      <c r="D49" s="58">
        <f ca="1">OFFSET(Calculate!$A$1, 7+11*(B49-1), 10)</f>
        <v>398.40637450199205</v>
      </c>
    </row>
    <row r="50" spans="2:4">
      <c r="B50" s="37">
        <v>27</v>
      </c>
      <c r="C50" s="67">
        <v>1500</v>
      </c>
      <c r="D50" s="58">
        <f ca="1">OFFSET(Calculate!$A$1, 7+11*(B50-1), 10)</f>
        <v>398.40637450199205</v>
      </c>
    </row>
    <row r="51" spans="2:4">
      <c r="B51" s="37">
        <v>28</v>
      </c>
      <c r="C51" s="67">
        <v>2000</v>
      </c>
      <c r="D51" s="58">
        <f ca="1">OFFSET(Calculate!$A$1, 7+11*(B51-1), 10)</f>
        <v>398.40637450199205</v>
      </c>
    </row>
    <row r="52" spans="2:4">
      <c r="B52" s="37">
        <v>29</v>
      </c>
      <c r="C52" s="67">
        <v>3000</v>
      </c>
      <c r="D52" s="58">
        <f ca="1">OFFSET(Calculate!$A$1, 7+11*(B52-1), 10)</f>
        <v>398.40637450199205</v>
      </c>
    </row>
    <row r="53" spans="2:4">
      <c r="B53" s="37">
        <v>30</v>
      </c>
      <c r="C53" s="67">
        <v>5000</v>
      </c>
      <c r="D53" s="58">
        <f ca="1">OFFSET(Calculate!$A$1, 7+11*(B53-1), 10)</f>
        <v>398.40637450199205</v>
      </c>
    </row>
  </sheetData>
  <phoneticPr fontId="5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168FF0-FAD4-4B90-AD7A-42C371D1D18B}">
          <x14:formula1>
            <xm:f>Parameter_List!$S$3:$S$12</xm:f>
          </x14:formula1>
          <xm:sqref>C6</xm:sqref>
        </x14:dataValidation>
        <x14:dataValidation type="list" allowBlank="1" showInputMessage="1" showErrorMessage="1" xr:uid="{0E2ED387-A2AD-4442-9D0E-496C4F346E71}">
          <x14:formula1>
            <xm:f>Parameter_List!$U$3:$U$12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869C3-7F52-49FC-9FAC-8BD3EB3DCFA7}">
  <sheetPr codeName="工作表3">
    <tabColor theme="4" tint="0.59999389629810485"/>
  </sheetPr>
  <dimension ref="A1:U95"/>
  <sheetViews>
    <sheetView zoomScale="85" zoomScaleNormal="85" workbookViewId="0">
      <pane ySplit="2" topLeftCell="A3" activePane="bottomLeft" state="frozen"/>
      <selection pane="bottomLeft" activeCell="A13" sqref="A13:XFD93"/>
    </sheetView>
  </sheetViews>
  <sheetFormatPr defaultColWidth="8.6640625" defaultRowHeight="15.6"/>
  <cols>
    <col min="1" max="1" width="24.5" style="72" bestFit="1" customWidth="1"/>
    <col min="2" max="2" width="8.75" style="72" customWidth="1"/>
    <col min="3" max="3" width="6.6640625" style="72" customWidth="1"/>
    <col min="4" max="4" width="13.08203125" style="2" customWidth="1"/>
    <col min="5" max="5" width="7.6640625" style="2" customWidth="1"/>
    <col min="6" max="6" width="6.6640625" style="2" bestFit="1" customWidth="1"/>
    <col min="7" max="7" width="8.75" style="2" bestFit="1" customWidth="1"/>
    <col min="8" max="11" width="6.6640625" style="2" bestFit="1" customWidth="1"/>
    <col min="12" max="13" width="6.6640625" style="2" customWidth="1"/>
    <col min="14" max="14" width="13.08203125" style="2" bestFit="1" customWidth="1"/>
    <col min="15" max="15" width="10.83203125" style="2" customWidth="1"/>
    <col min="16" max="17" width="7.6640625" style="2" customWidth="1"/>
    <col min="18" max="18" width="8.6640625" style="59"/>
    <col min="19" max="19" width="31.25" style="59" bestFit="1" customWidth="1"/>
    <col min="20" max="20" width="8.75" style="59" bestFit="1" customWidth="1"/>
    <col min="21" max="21" width="5.58203125" style="59" bestFit="1" customWidth="1"/>
    <col min="22" max="16384" width="8.6640625" style="59"/>
  </cols>
  <sheetData>
    <row r="1" spans="1:21" ht="15.6" customHeight="1">
      <c r="A1" s="84" t="s">
        <v>42</v>
      </c>
      <c r="B1" s="83" t="s">
        <v>36</v>
      </c>
      <c r="C1" s="83" t="s">
        <v>30</v>
      </c>
      <c r="D1" s="83" t="s">
        <v>15</v>
      </c>
      <c r="E1" s="83" t="s">
        <v>31</v>
      </c>
      <c r="F1" s="83" t="s">
        <v>33</v>
      </c>
      <c r="G1" s="83"/>
      <c r="H1" s="83"/>
      <c r="I1" s="83"/>
      <c r="J1" s="83" t="s">
        <v>34</v>
      </c>
      <c r="K1" s="83"/>
      <c r="L1" s="83"/>
      <c r="M1" s="83"/>
      <c r="N1" s="83" t="s">
        <v>35</v>
      </c>
      <c r="O1" s="83"/>
      <c r="P1" s="83"/>
      <c r="Q1" s="83"/>
      <c r="S1" s="69"/>
      <c r="T1" s="69"/>
      <c r="U1" s="69"/>
    </row>
    <row r="2" spans="1:21">
      <c r="A2" s="85"/>
      <c r="B2" s="83"/>
      <c r="C2" s="83"/>
      <c r="D2" s="83"/>
      <c r="E2" s="83"/>
      <c r="F2" s="76" t="s">
        <v>32</v>
      </c>
      <c r="G2" s="76" t="s">
        <v>25</v>
      </c>
      <c r="H2" s="76" t="s">
        <v>18</v>
      </c>
      <c r="I2" s="76" t="s">
        <v>19</v>
      </c>
      <c r="J2" s="76" t="s">
        <v>32</v>
      </c>
      <c r="K2" s="76" t="s">
        <v>25</v>
      </c>
      <c r="L2" s="76" t="s">
        <v>18</v>
      </c>
      <c r="M2" s="76" t="s">
        <v>19</v>
      </c>
      <c r="N2" s="55" t="s">
        <v>37</v>
      </c>
      <c r="O2" s="55" t="s">
        <v>38</v>
      </c>
      <c r="P2" s="55" t="s">
        <v>39</v>
      </c>
      <c r="Q2" s="55" t="s">
        <v>40</v>
      </c>
      <c r="S2" s="69"/>
      <c r="T2" s="69"/>
      <c r="U2" s="69"/>
    </row>
    <row r="3" spans="1:21" ht="15.6" customHeight="1">
      <c r="A3" s="82">
        <v>22</v>
      </c>
      <c r="B3" s="70" t="s">
        <v>61</v>
      </c>
      <c r="C3" s="70">
        <v>2E-3</v>
      </c>
      <c r="D3" s="78">
        <v>100</v>
      </c>
      <c r="E3" s="81">
        <v>1</v>
      </c>
      <c r="F3" s="79">
        <v>3.5000000000000001E-3</v>
      </c>
      <c r="G3" s="79">
        <v>5.0000000000000001E-3</v>
      </c>
      <c r="H3" s="79">
        <v>8.0000000000000002E-3</v>
      </c>
      <c r="I3" s="79">
        <v>2.35E-2</v>
      </c>
      <c r="J3" s="79">
        <v>3.5000000000000001E-3</v>
      </c>
      <c r="K3" s="79">
        <v>5.0000000000000001E-3</v>
      </c>
      <c r="L3" s="79">
        <v>0</v>
      </c>
      <c r="M3" s="79">
        <v>0</v>
      </c>
      <c r="N3" s="80">
        <v>500000</v>
      </c>
      <c r="O3" s="80">
        <v>100000</v>
      </c>
      <c r="P3" s="80">
        <v>50</v>
      </c>
      <c r="Q3" s="80">
        <v>10</v>
      </c>
      <c r="R3" s="75">
        <f t="shared" ref="R3:R12" si="0">SUM(F3:I3)</f>
        <v>0.04</v>
      </c>
      <c r="S3" s="72" t="str" cm="1">
        <f t="array" ref="S3:S5">_xlfn.LET(_xlpm.x, _xlfn.UNIQUE(A:A), IF(_xlpm.x=0, "", _xlpm.x))</f>
        <v>Option
(Water Level / Group)</v>
      </c>
      <c r="T3" s="72" t="str" cm="1">
        <f t="array" ref="T3:T5">_xlfn.LET(_xlpm.x, _xlfn.UNIQUE(B:B), IF(_xlpm.x=0, "", _xlpm.x))</f>
        <v>Area</v>
      </c>
      <c r="U3" s="72" t="str" cm="1">
        <f t="array" ref="U3:U14">_xlfn.LET(_xlpm.x, _xlfn.UNIQUE(E:E), IF(_xlpm.x=0, "", _xlpm.x))</f>
        <v>Bet</v>
      </c>
    </row>
    <row r="4" spans="1:21" ht="15.6" customHeight="1">
      <c r="A4" s="82">
        <v>22</v>
      </c>
      <c r="B4" s="70" t="s">
        <v>61</v>
      </c>
      <c r="C4" s="70">
        <v>2E-3</v>
      </c>
      <c r="D4" s="78">
        <v>100</v>
      </c>
      <c r="E4" s="81">
        <v>1.25</v>
      </c>
      <c r="F4" s="79">
        <v>3.5000000000000001E-3</v>
      </c>
      <c r="G4" s="79">
        <v>5.0000000000000001E-3</v>
      </c>
      <c r="H4" s="79">
        <v>8.0000000000000002E-3</v>
      </c>
      <c r="I4" s="79">
        <v>2.35E-2</v>
      </c>
      <c r="J4" s="79">
        <v>3.5000000000000001E-3</v>
      </c>
      <c r="K4" s="79">
        <v>5.0000000000000001E-3</v>
      </c>
      <c r="L4" s="79">
        <v>0</v>
      </c>
      <c r="M4" s="79">
        <v>0</v>
      </c>
      <c r="N4" s="80">
        <v>500000</v>
      </c>
      <c r="O4" s="80">
        <v>100000</v>
      </c>
      <c r="P4" s="80">
        <v>50</v>
      </c>
      <c r="Q4" s="80">
        <v>10</v>
      </c>
      <c r="R4" s="75">
        <f t="shared" si="0"/>
        <v>0.04</v>
      </c>
      <c r="S4" s="72" t="str">
        <v/>
      </c>
      <c r="T4" s="72" t="str">
        <v/>
      </c>
      <c r="U4" s="72" t="str">
        <v/>
      </c>
    </row>
    <row r="5" spans="1:21" ht="15.6" customHeight="1">
      <c r="A5" s="82">
        <v>22</v>
      </c>
      <c r="B5" s="70" t="s">
        <v>61</v>
      </c>
      <c r="C5" s="70">
        <v>2E-3</v>
      </c>
      <c r="D5" s="78">
        <v>100</v>
      </c>
      <c r="E5" s="81">
        <v>1.5</v>
      </c>
      <c r="F5" s="79">
        <v>3.5000000000000001E-3</v>
      </c>
      <c r="G5" s="79">
        <v>5.0000000000000001E-3</v>
      </c>
      <c r="H5" s="79">
        <v>8.0000000000000002E-3</v>
      </c>
      <c r="I5" s="79">
        <v>2.35E-2</v>
      </c>
      <c r="J5" s="79">
        <v>3.5000000000000001E-3</v>
      </c>
      <c r="K5" s="79">
        <v>5.0000000000000001E-3</v>
      </c>
      <c r="L5" s="79">
        <v>0</v>
      </c>
      <c r="M5" s="79">
        <v>0</v>
      </c>
      <c r="N5" s="80">
        <v>500000</v>
      </c>
      <c r="O5" s="80">
        <v>100000</v>
      </c>
      <c r="P5" s="80">
        <v>50</v>
      </c>
      <c r="Q5" s="80">
        <v>10</v>
      </c>
      <c r="R5" s="75">
        <f t="shared" si="0"/>
        <v>0.04</v>
      </c>
      <c r="S5" s="72">
        <v>22</v>
      </c>
      <c r="T5" s="72" t="str">
        <v>Else</v>
      </c>
      <c r="U5" s="72">
        <v>1</v>
      </c>
    </row>
    <row r="6" spans="1:21" ht="15.6" customHeight="1">
      <c r="A6" s="82">
        <v>22</v>
      </c>
      <c r="B6" s="70" t="s">
        <v>61</v>
      </c>
      <c r="C6" s="70">
        <v>2E-3</v>
      </c>
      <c r="D6" s="78">
        <v>100</v>
      </c>
      <c r="E6" s="81">
        <v>8</v>
      </c>
      <c r="F6" s="79">
        <v>3.5000000000000001E-3</v>
      </c>
      <c r="G6" s="79">
        <v>5.0000000000000001E-3</v>
      </c>
      <c r="H6" s="79">
        <v>0.03</v>
      </c>
      <c r="I6" s="79">
        <v>1.5E-3</v>
      </c>
      <c r="J6" s="79">
        <v>3.5000000000000001E-3</v>
      </c>
      <c r="K6" s="79">
        <v>5.0000000000000001E-3</v>
      </c>
      <c r="L6" s="79">
        <v>0</v>
      </c>
      <c r="M6" s="79">
        <v>0</v>
      </c>
      <c r="N6" s="80">
        <v>500000</v>
      </c>
      <c r="O6" s="80">
        <v>100000</v>
      </c>
      <c r="P6" s="80">
        <v>50</v>
      </c>
      <c r="Q6" s="80">
        <v>10</v>
      </c>
      <c r="R6" s="75">
        <f t="shared" si="0"/>
        <v>0.04</v>
      </c>
      <c r="S6" s="72"/>
      <c r="T6" s="72"/>
      <c r="U6" s="72">
        <v>1.25</v>
      </c>
    </row>
    <row r="7" spans="1:21" ht="15.6" customHeight="1">
      <c r="A7" s="82">
        <v>22</v>
      </c>
      <c r="B7" s="70" t="s">
        <v>61</v>
      </c>
      <c r="C7" s="70">
        <v>2E-3</v>
      </c>
      <c r="D7" s="78">
        <v>100</v>
      </c>
      <c r="E7" s="81">
        <v>40.5</v>
      </c>
      <c r="F7" s="79">
        <v>3.5000000000000001E-3</v>
      </c>
      <c r="G7" s="79">
        <v>5.0000000000000001E-3</v>
      </c>
      <c r="H7" s="79">
        <v>8.0000000000000002E-3</v>
      </c>
      <c r="I7" s="79">
        <v>2.35E-2</v>
      </c>
      <c r="J7" s="79">
        <v>3.5000000000000001E-3</v>
      </c>
      <c r="K7" s="79">
        <v>5.0000000000000001E-3</v>
      </c>
      <c r="L7" s="79">
        <v>0</v>
      </c>
      <c r="M7" s="79">
        <v>0</v>
      </c>
      <c r="N7" s="80">
        <v>500000</v>
      </c>
      <c r="O7" s="80">
        <v>100000</v>
      </c>
      <c r="P7" s="80">
        <v>50</v>
      </c>
      <c r="Q7" s="80">
        <v>10</v>
      </c>
      <c r="R7" s="75">
        <f t="shared" si="0"/>
        <v>0.04</v>
      </c>
      <c r="S7" s="72"/>
      <c r="T7" s="72"/>
      <c r="U7" s="72">
        <v>1.5</v>
      </c>
    </row>
    <row r="8" spans="1:21" ht="15.6" customHeight="1">
      <c r="A8" s="82">
        <v>22</v>
      </c>
      <c r="B8" s="70" t="s">
        <v>61</v>
      </c>
      <c r="C8" s="70">
        <v>2E-3</v>
      </c>
      <c r="D8" s="78">
        <v>100</v>
      </c>
      <c r="E8" s="81">
        <v>50</v>
      </c>
      <c r="F8" s="79">
        <v>3.5000000000000001E-3</v>
      </c>
      <c r="G8" s="79">
        <v>5.0000000000000001E-3</v>
      </c>
      <c r="H8" s="79">
        <v>5.0000000000000001E-3</v>
      </c>
      <c r="I8" s="79">
        <v>2.6499999999999999E-2</v>
      </c>
      <c r="J8" s="79">
        <v>3.5000000000000001E-3</v>
      </c>
      <c r="K8" s="79">
        <v>5.0000000000000001E-3</v>
      </c>
      <c r="L8" s="79">
        <v>0</v>
      </c>
      <c r="M8" s="79">
        <v>0</v>
      </c>
      <c r="N8" s="80">
        <v>500000</v>
      </c>
      <c r="O8" s="80">
        <v>100000</v>
      </c>
      <c r="P8" s="80">
        <v>50</v>
      </c>
      <c r="Q8" s="80">
        <v>10</v>
      </c>
      <c r="R8" s="75">
        <f t="shared" si="0"/>
        <v>0.04</v>
      </c>
      <c r="S8" s="72"/>
      <c r="T8" s="72"/>
      <c r="U8" s="72">
        <v>8</v>
      </c>
    </row>
    <row r="9" spans="1:21" ht="15.6" customHeight="1">
      <c r="A9" s="82">
        <v>22</v>
      </c>
      <c r="B9" s="70" t="s">
        <v>61</v>
      </c>
      <c r="C9" s="70">
        <v>2E-3</v>
      </c>
      <c r="D9" s="78">
        <v>100</v>
      </c>
      <c r="E9" s="81">
        <v>75</v>
      </c>
      <c r="F9" s="79">
        <v>3.5000000000000001E-3</v>
      </c>
      <c r="G9" s="79">
        <v>5.0000000000000001E-3</v>
      </c>
      <c r="H9" s="79">
        <v>5.0000000000000001E-3</v>
      </c>
      <c r="I9" s="79">
        <v>2.6499999999999999E-2</v>
      </c>
      <c r="J9" s="79">
        <v>3.5000000000000001E-3</v>
      </c>
      <c r="K9" s="79">
        <v>5.0000000000000001E-3</v>
      </c>
      <c r="L9" s="79">
        <v>0</v>
      </c>
      <c r="M9" s="79">
        <v>0</v>
      </c>
      <c r="N9" s="80">
        <v>500000</v>
      </c>
      <c r="O9" s="80">
        <v>100000</v>
      </c>
      <c r="P9" s="80">
        <v>75</v>
      </c>
      <c r="Q9" s="80">
        <v>15</v>
      </c>
      <c r="R9" s="75">
        <f t="shared" si="0"/>
        <v>0.04</v>
      </c>
      <c r="S9" s="72"/>
      <c r="T9" s="72"/>
      <c r="U9" s="72">
        <v>40.5</v>
      </c>
    </row>
    <row r="10" spans="1:21" ht="15.6" customHeight="1">
      <c r="A10" s="82">
        <v>22</v>
      </c>
      <c r="B10" s="70" t="s">
        <v>61</v>
      </c>
      <c r="C10" s="70">
        <v>2E-3</v>
      </c>
      <c r="D10" s="78">
        <v>100</v>
      </c>
      <c r="E10" s="81">
        <v>100</v>
      </c>
      <c r="F10" s="79">
        <v>3.5000000000000001E-3</v>
      </c>
      <c r="G10" s="79">
        <v>5.0000000000000001E-3</v>
      </c>
      <c r="H10" s="79">
        <v>2.6499999999999999E-2</v>
      </c>
      <c r="I10" s="79">
        <v>5.0000000000000001E-3</v>
      </c>
      <c r="J10" s="79">
        <v>3.5000000000000001E-3</v>
      </c>
      <c r="K10" s="79">
        <v>5.0000000000000001E-3</v>
      </c>
      <c r="L10" s="79">
        <v>0</v>
      </c>
      <c r="M10" s="79">
        <v>0</v>
      </c>
      <c r="N10" s="80">
        <v>500000</v>
      </c>
      <c r="O10" s="80">
        <v>100000</v>
      </c>
      <c r="P10" s="80">
        <v>100</v>
      </c>
      <c r="Q10" s="80">
        <v>20</v>
      </c>
      <c r="R10" s="75">
        <f t="shared" si="0"/>
        <v>0.04</v>
      </c>
      <c r="S10" s="72"/>
      <c r="T10" s="72"/>
      <c r="U10" s="72">
        <v>50</v>
      </c>
    </row>
    <row r="11" spans="1:21" ht="15.6" customHeight="1">
      <c r="A11" s="82">
        <v>22</v>
      </c>
      <c r="B11" s="70" t="s">
        <v>61</v>
      </c>
      <c r="C11" s="70">
        <v>2E-3</v>
      </c>
      <c r="D11" s="78">
        <v>100</v>
      </c>
      <c r="E11" s="81">
        <v>250</v>
      </c>
      <c r="F11" s="79">
        <v>3.5000000000000001E-3</v>
      </c>
      <c r="G11" s="79">
        <v>5.0000000000000001E-3</v>
      </c>
      <c r="H11" s="79">
        <v>9.9999999999999985E-3</v>
      </c>
      <c r="I11" s="79">
        <v>2.1499999999999998E-2</v>
      </c>
      <c r="J11" s="79">
        <v>3.5000000000000001E-3</v>
      </c>
      <c r="K11" s="79">
        <v>5.0000000000000001E-3</v>
      </c>
      <c r="L11" s="79">
        <v>0</v>
      </c>
      <c r="M11" s="79">
        <v>0</v>
      </c>
      <c r="N11" s="80">
        <v>500000</v>
      </c>
      <c r="O11" s="80">
        <v>100000</v>
      </c>
      <c r="P11" s="80">
        <v>250</v>
      </c>
      <c r="Q11" s="80">
        <v>50</v>
      </c>
      <c r="R11" s="75">
        <f t="shared" si="0"/>
        <v>3.9999999999999994E-2</v>
      </c>
      <c r="S11" s="72"/>
      <c r="T11" s="72"/>
      <c r="U11" s="72">
        <v>75</v>
      </c>
    </row>
    <row r="12" spans="1:21" ht="15.6" customHeight="1">
      <c r="A12" s="82">
        <v>22</v>
      </c>
      <c r="B12" s="70" t="s">
        <v>61</v>
      </c>
      <c r="C12" s="70">
        <v>2E-3</v>
      </c>
      <c r="D12" s="78">
        <v>100</v>
      </c>
      <c r="E12" s="81">
        <v>500</v>
      </c>
      <c r="F12" s="79">
        <v>3.5000000000000001E-3</v>
      </c>
      <c r="G12" s="79">
        <v>5.0000000000000001E-3</v>
      </c>
      <c r="H12" s="79">
        <v>9.9999999999999985E-3</v>
      </c>
      <c r="I12" s="79">
        <v>2.1499999999999998E-2</v>
      </c>
      <c r="J12" s="79">
        <v>3.5000000000000001E-3</v>
      </c>
      <c r="K12" s="79">
        <v>5.0000000000000001E-3</v>
      </c>
      <c r="L12" s="79">
        <v>0</v>
      </c>
      <c r="M12" s="79">
        <v>0</v>
      </c>
      <c r="N12" s="80">
        <v>500000</v>
      </c>
      <c r="O12" s="80">
        <v>100000</v>
      </c>
      <c r="P12" s="80">
        <v>500</v>
      </c>
      <c r="Q12" s="80">
        <v>100</v>
      </c>
      <c r="R12" s="75">
        <f t="shared" si="0"/>
        <v>3.9999999999999994E-2</v>
      </c>
      <c r="S12" s="72"/>
      <c r="T12" s="72"/>
      <c r="U12" s="72">
        <v>100</v>
      </c>
    </row>
    <row r="13" spans="1:21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U13" s="59">
        <v>250</v>
      </c>
    </row>
    <row r="14" spans="1:21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U14" s="59">
        <v>500</v>
      </c>
    </row>
    <row r="15" spans="1:21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</row>
    <row r="16" spans="1:21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</row>
    <row r="17" spans="1:18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</row>
    <row r="18" spans="1:18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</row>
    <row r="19" spans="1:18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</row>
    <row r="20" spans="1:18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</row>
    <row r="21" spans="1:18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</row>
    <row r="22" spans="1:18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</row>
    <row r="23" spans="1:18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</row>
    <row r="24" spans="1:18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</row>
    <row r="25" spans="1:18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</row>
    <row r="26" spans="1:18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</row>
    <row r="27" spans="1:18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</row>
    <row r="28" spans="1:18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</row>
    <row r="29" spans="1:18">
      <c r="A29" s="75"/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  <c r="N29" s="75"/>
      <c r="O29" s="75"/>
      <c r="P29" s="75"/>
      <c r="Q29" s="75"/>
      <c r="R29" s="75"/>
    </row>
    <row r="30" spans="1:18">
      <c r="A30" s="75"/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</row>
    <row r="31" spans="1:18">
      <c r="A31" s="75"/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5"/>
      <c r="R31" s="75"/>
    </row>
    <row r="32" spans="1:18">
      <c r="A32" s="75"/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</row>
    <row r="33" spans="1:18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</row>
    <row r="34" spans="1:18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</row>
    <row r="35" spans="1:18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</row>
    <row r="36" spans="1:18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</row>
    <row r="37" spans="1:18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</row>
    <row r="38" spans="1:18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</row>
    <row r="39" spans="1:18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</row>
    <row r="40" spans="1:18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</row>
    <row r="41" spans="1:18">
      <c r="A41" s="75"/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1:18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1:18">
      <c r="A43" s="75"/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</row>
    <row r="44" spans="1:18">
      <c r="A44" s="75"/>
      <c r="B44" s="75"/>
      <c r="C44" s="75"/>
      <c r="D44" s="75"/>
      <c r="E44" s="75"/>
      <c r="F44" s="75"/>
      <c r="G44" s="75"/>
      <c r="H44" s="75"/>
      <c r="I44" s="75"/>
      <c r="J44" s="75"/>
      <c r="K44" s="75"/>
      <c r="L44" s="75"/>
      <c r="M44" s="75"/>
      <c r="N44" s="75"/>
      <c r="O44" s="75"/>
      <c r="P44" s="75"/>
      <c r="Q44" s="75"/>
      <c r="R44" s="75"/>
    </row>
    <row r="45" spans="1:18">
      <c r="A45" s="75"/>
      <c r="B45" s="75"/>
      <c r="C45" s="75"/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</row>
    <row r="46" spans="1:18">
      <c r="A46" s="75"/>
      <c r="B46" s="75"/>
      <c r="C46" s="75"/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</row>
    <row r="47" spans="1:18">
      <c r="A47" s="75"/>
      <c r="B47" s="75"/>
      <c r="C47" s="75"/>
      <c r="D47" s="75"/>
      <c r="E47" s="75"/>
      <c r="F47" s="75"/>
      <c r="G47" s="75"/>
      <c r="H47" s="75"/>
      <c r="I47" s="75"/>
      <c r="J47" s="75"/>
      <c r="K47" s="75"/>
      <c r="L47" s="75"/>
      <c r="M47" s="75"/>
      <c r="N47" s="75"/>
      <c r="O47" s="75"/>
      <c r="P47" s="75"/>
      <c r="Q47" s="75"/>
      <c r="R47" s="75"/>
    </row>
    <row r="48" spans="1:18">
      <c r="A48" s="75"/>
      <c r="B48" s="75"/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</row>
    <row r="49" spans="1:18">
      <c r="A49" s="75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</row>
    <row r="50" spans="1:18">
      <c r="A50" s="75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</row>
    <row r="51" spans="1:18">
      <c r="A51" s="75"/>
      <c r="B51" s="75"/>
      <c r="C51" s="75"/>
      <c r="D51" s="75"/>
      <c r="E51" s="75"/>
      <c r="F51" s="75"/>
      <c r="G51" s="75"/>
      <c r="H51" s="75"/>
      <c r="I51" s="75"/>
      <c r="J51" s="75"/>
      <c r="K51" s="75"/>
      <c r="L51" s="75"/>
      <c r="M51" s="75"/>
      <c r="N51" s="75"/>
      <c r="O51" s="75"/>
      <c r="P51" s="75"/>
      <c r="Q51" s="75"/>
      <c r="R51" s="75"/>
    </row>
    <row r="52" spans="1:18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</row>
    <row r="53" spans="1:18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</row>
    <row r="54" spans="1:18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  <c r="L54" s="75"/>
      <c r="M54" s="75"/>
      <c r="N54" s="75"/>
      <c r="O54" s="75"/>
      <c r="P54" s="75"/>
      <c r="Q54" s="75"/>
      <c r="R54" s="75"/>
    </row>
    <row r="55" spans="1:18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  <c r="L55" s="75"/>
      <c r="M55" s="75"/>
      <c r="N55" s="75"/>
      <c r="O55" s="75"/>
      <c r="P55" s="75"/>
      <c r="Q55" s="75"/>
      <c r="R55" s="75"/>
    </row>
    <row r="56" spans="1:18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</row>
    <row r="57" spans="1:18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5"/>
      <c r="P57" s="75"/>
      <c r="Q57" s="75"/>
      <c r="R57" s="75"/>
    </row>
    <row r="58" spans="1:18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</row>
    <row r="59" spans="1:18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</row>
    <row r="60" spans="1:18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</row>
    <row r="61" spans="1:18">
      <c r="A61" s="75"/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  <c r="N61" s="75"/>
      <c r="O61" s="75"/>
      <c r="P61" s="75"/>
      <c r="Q61" s="75"/>
      <c r="R61" s="75"/>
    </row>
    <row r="62" spans="1:18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</row>
    <row r="63" spans="1:18">
      <c r="A63" s="75"/>
      <c r="B63" s="75"/>
      <c r="C63" s="75"/>
      <c r="D63" s="75"/>
      <c r="E63" s="75"/>
      <c r="F63" s="75"/>
      <c r="G63" s="75"/>
      <c r="H63" s="75"/>
      <c r="I63" s="75"/>
      <c r="J63" s="75"/>
      <c r="K63" s="75"/>
      <c r="L63" s="75"/>
      <c r="M63" s="75"/>
      <c r="N63" s="75"/>
      <c r="O63" s="75"/>
      <c r="P63" s="75"/>
      <c r="Q63" s="75"/>
      <c r="R63" s="75"/>
    </row>
    <row r="64" spans="1:18">
      <c r="A64" s="75"/>
      <c r="B64" s="75"/>
      <c r="C64" s="75"/>
      <c r="D64" s="75"/>
      <c r="E64" s="75"/>
      <c r="F64" s="75"/>
      <c r="G64" s="75"/>
      <c r="H64" s="75"/>
      <c r="I64" s="75"/>
      <c r="J64" s="75"/>
      <c r="K64" s="75"/>
      <c r="L64" s="75"/>
      <c r="M64" s="75"/>
      <c r="N64" s="75"/>
      <c r="O64" s="75"/>
      <c r="P64" s="75"/>
      <c r="Q64" s="75"/>
      <c r="R64" s="75"/>
    </row>
    <row r="65" spans="1:18">
      <c r="A65" s="75"/>
      <c r="B65" s="75"/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</row>
    <row r="66" spans="1:18">
      <c r="A66" s="75"/>
      <c r="B66" s="75"/>
      <c r="C66" s="75"/>
      <c r="D66" s="75"/>
      <c r="E66" s="75"/>
      <c r="F66" s="75"/>
      <c r="G66" s="75"/>
      <c r="H66" s="75"/>
      <c r="I66" s="75"/>
      <c r="J66" s="75"/>
      <c r="K66" s="75"/>
      <c r="L66" s="75"/>
      <c r="M66" s="75"/>
      <c r="N66" s="75"/>
      <c r="O66" s="75"/>
      <c r="P66" s="75"/>
      <c r="Q66" s="75"/>
      <c r="R66" s="75"/>
    </row>
    <row r="67" spans="1:18">
      <c r="A67" s="75"/>
      <c r="B67" s="75"/>
      <c r="C67" s="75"/>
      <c r="D67" s="75"/>
      <c r="E67" s="75"/>
      <c r="F67" s="75"/>
      <c r="G67" s="75"/>
      <c r="H67" s="75"/>
      <c r="I67" s="75"/>
      <c r="J67" s="75"/>
      <c r="K67" s="75"/>
      <c r="L67" s="75"/>
      <c r="M67" s="75"/>
      <c r="N67" s="75"/>
      <c r="O67" s="75"/>
      <c r="P67" s="75"/>
      <c r="Q67" s="75"/>
      <c r="R67" s="75"/>
    </row>
    <row r="68" spans="1:18">
      <c r="A68" s="75"/>
      <c r="B68" s="75"/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</row>
    <row r="69" spans="1:18">
      <c r="A69" s="75"/>
      <c r="B69" s="75"/>
      <c r="C69" s="75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</row>
    <row r="70" spans="1:18">
      <c r="A70" s="75"/>
      <c r="B70" s="75"/>
      <c r="C70" s="75"/>
      <c r="D70" s="75"/>
      <c r="E70" s="75"/>
      <c r="F70" s="75"/>
      <c r="G70" s="75"/>
      <c r="H70" s="75"/>
      <c r="I70" s="75"/>
      <c r="J70" s="75"/>
      <c r="K70" s="75"/>
      <c r="L70" s="75"/>
      <c r="M70" s="75"/>
      <c r="N70" s="75"/>
      <c r="O70" s="75"/>
      <c r="P70" s="75"/>
      <c r="Q70" s="75"/>
      <c r="R70" s="75"/>
    </row>
    <row r="71" spans="1:18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</row>
    <row r="72" spans="1:18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</row>
    <row r="73" spans="1:18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  <c r="L73" s="75"/>
      <c r="M73" s="75"/>
      <c r="N73" s="75"/>
      <c r="O73" s="75"/>
      <c r="P73" s="75"/>
      <c r="Q73" s="75"/>
      <c r="R73" s="75"/>
    </row>
    <row r="74" spans="1:18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  <c r="L74" s="75"/>
      <c r="M74" s="75"/>
      <c r="N74" s="75"/>
      <c r="O74" s="75"/>
      <c r="P74" s="75"/>
      <c r="Q74" s="75"/>
      <c r="R74" s="75"/>
    </row>
    <row r="75" spans="1:18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  <c r="L75" s="75"/>
      <c r="M75" s="75"/>
      <c r="N75" s="75"/>
      <c r="O75" s="75"/>
      <c r="P75" s="75"/>
      <c r="Q75" s="75"/>
      <c r="R75" s="75"/>
    </row>
    <row r="76" spans="1:18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  <c r="L76" s="75"/>
      <c r="M76" s="75"/>
      <c r="N76" s="75"/>
      <c r="O76" s="75"/>
      <c r="P76" s="75"/>
      <c r="Q76" s="75"/>
      <c r="R76" s="75"/>
    </row>
    <row r="77" spans="1:18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  <c r="L77" s="75"/>
      <c r="M77" s="75"/>
      <c r="N77" s="75"/>
      <c r="O77" s="75"/>
      <c r="P77" s="75"/>
      <c r="Q77" s="75"/>
      <c r="R77" s="75"/>
    </row>
    <row r="78" spans="1:18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  <c r="L78" s="75"/>
      <c r="M78" s="75"/>
      <c r="N78" s="75"/>
      <c r="O78" s="75"/>
      <c r="P78" s="75"/>
      <c r="Q78" s="75"/>
      <c r="R78" s="75"/>
    </row>
    <row r="79" spans="1:18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  <c r="L79" s="75"/>
      <c r="M79" s="75"/>
      <c r="N79" s="75"/>
      <c r="O79" s="75"/>
      <c r="P79" s="75"/>
      <c r="Q79" s="75"/>
      <c r="R79" s="75"/>
    </row>
    <row r="80" spans="1:18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5"/>
      <c r="M80" s="75"/>
      <c r="N80" s="75"/>
      <c r="O80" s="75"/>
      <c r="P80" s="75"/>
      <c r="Q80" s="75"/>
      <c r="R80" s="75"/>
    </row>
    <row r="81" spans="1:18">
      <c r="A81" s="75"/>
      <c r="B81" s="75"/>
      <c r="C81" s="75"/>
      <c r="D81" s="75"/>
      <c r="E81" s="75"/>
      <c r="F81" s="75"/>
      <c r="G81" s="75"/>
      <c r="H81" s="75"/>
      <c r="I81" s="75"/>
      <c r="J81" s="75"/>
      <c r="K81" s="75"/>
      <c r="L81" s="75"/>
      <c r="M81" s="75"/>
      <c r="N81" s="75"/>
      <c r="O81" s="75"/>
      <c r="P81" s="75"/>
      <c r="Q81" s="75"/>
      <c r="R81" s="75"/>
    </row>
    <row r="82" spans="1:18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  <c r="L82" s="75"/>
      <c r="M82" s="75"/>
      <c r="N82" s="75"/>
      <c r="O82" s="75"/>
      <c r="P82" s="75"/>
      <c r="Q82" s="75"/>
      <c r="R82" s="75"/>
    </row>
    <row r="83" spans="1:18">
      <c r="A83" s="75"/>
      <c r="B83" s="75"/>
      <c r="C83" s="75"/>
      <c r="D83" s="75"/>
      <c r="E83" s="75"/>
      <c r="F83" s="75"/>
      <c r="G83" s="75"/>
      <c r="H83" s="75"/>
      <c r="I83" s="75"/>
      <c r="J83" s="75"/>
      <c r="K83" s="75"/>
      <c r="L83" s="75"/>
      <c r="M83" s="75"/>
      <c r="N83" s="75"/>
      <c r="O83" s="75"/>
      <c r="P83" s="75"/>
      <c r="Q83" s="75"/>
      <c r="R83" s="75"/>
    </row>
    <row r="84" spans="1:18">
      <c r="A84" s="75"/>
      <c r="B84" s="75"/>
      <c r="C84" s="75"/>
      <c r="D84" s="75"/>
      <c r="E84" s="75"/>
      <c r="F84" s="75"/>
      <c r="G84" s="75"/>
      <c r="H84" s="75"/>
      <c r="I84" s="75"/>
      <c r="J84" s="75"/>
      <c r="K84" s="75"/>
      <c r="L84" s="75"/>
      <c r="M84" s="75"/>
      <c r="N84" s="75"/>
      <c r="O84" s="75"/>
      <c r="P84" s="75"/>
      <c r="Q84" s="75"/>
      <c r="R84" s="75"/>
    </row>
    <row r="85" spans="1:18">
      <c r="A85" s="75"/>
      <c r="B85" s="75"/>
      <c r="C85" s="75"/>
      <c r="D85" s="75"/>
      <c r="E85" s="75"/>
      <c r="F85" s="75"/>
      <c r="G85" s="75"/>
      <c r="H85" s="75"/>
      <c r="I85" s="75"/>
      <c r="J85" s="75"/>
      <c r="K85" s="75"/>
      <c r="L85" s="75"/>
      <c r="M85" s="75"/>
      <c r="N85" s="75"/>
      <c r="O85" s="75"/>
      <c r="P85" s="75"/>
      <c r="Q85" s="75"/>
      <c r="R85" s="75"/>
    </row>
    <row r="86" spans="1:18">
      <c r="A86" s="75"/>
      <c r="B86" s="75"/>
      <c r="C86" s="75"/>
      <c r="D86" s="75"/>
      <c r="E86" s="75"/>
      <c r="F86" s="75"/>
      <c r="G86" s="75"/>
      <c r="H86" s="75"/>
      <c r="I86" s="75"/>
      <c r="J86" s="75"/>
      <c r="K86" s="75"/>
      <c r="L86" s="75"/>
      <c r="M86" s="75"/>
      <c r="N86" s="75"/>
      <c r="O86" s="75"/>
      <c r="P86" s="75"/>
      <c r="Q86" s="75"/>
      <c r="R86" s="75"/>
    </row>
    <row r="87" spans="1:18">
      <c r="A87" s="75"/>
      <c r="B87" s="75"/>
      <c r="C87" s="75"/>
      <c r="D87" s="75"/>
      <c r="E87" s="75"/>
      <c r="F87" s="75"/>
      <c r="G87" s="75"/>
      <c r="H87" s="75"/>
      <c r="I87" s="75"/>
      <c r="J87" s="75"/>
      <c r="K87" s="75"/>
      <c r="L87" s="75"/>
      <c r="M87" s="75"/>
      <c r="N87" s="75"/>
      <c r="O87" s="75"/>
      <c r="P87" s="75"/>
      <c r="Q87" s="75"/>
      <c r="R87" s="75"/>
    </row>
    <row r="88" spans="1:18">
      <c r="A88" s="75"/>
      <c r="B88" s="75"/>
      <c r="C88" s="75"/>
      <c r="D88" s="75"/>
      <c r="E88" s="75"/>
      <c r="F88" s="75"/>
      <c r="G88" s="75"/>
      <c r="H88" s="75"/>
      <c r="I88" s="75"/>
      <c r="J88" s="75"/>
      <c r="K88" s="75"/>
      <c r="L88" s="75"/>
      <c r="M88" s="75"/>
      <c r="N88" s="75"/>
      <c r="O88" s="75"/>
      <c r="P88" s="75"/>
      <c r="Q88" s="75"/>
      <c r="R88" s="75"/>
    </row>
    <row r="89" spans="1:18">
      <c r="A89" s="75"/>
      <c r="B89" s="75"/>
      <c r="C89" s="75"/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</row>
    <row r="90" spans="1:18">
      <c r="A90" s="75"/>
      <c r="B90" s="75"/>
      <c r="C90" s="75"/>
      <c r="D90" s="75"/>
      <c r="E90" s="75"/>
      <c r="F90" s="75"/>
      <c r="G90" s="75"/>
      <c r="H90" s="75"/>
      <c r="I90" s="75"/>
      <c r="J90" s="75"/>
      <c r="K90" s="75"/>
      <c r="L90" s="75"/>
      <c r="M90" s="75"/>
      <c r="N90" s="75"/>
      <c r="O90" s="75"/>
      <c r="P90" s="75"/>
      <c r="Q90" s="75"/>
      <c r="R90" s="75"/>
    </row>
    <row r="91" spans="1:18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  <c r="L91" s="75"/>
      <c r="M91" s="75"/>
      <c r="N91" s="75"/>
      <c r="O91" s="75"/>
      <c r="P91" s="75"/>
      <c r="Q91" s="75"/>
      <c r="R91" s="75"/>
    </row>
    <row r="92" spans="1:18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  <c r="L92" s="75"/>
      <c r="M92" s="75"/>
      <c r="N92" s="75"/>
      <c r="O92" s="75"/>
      <c r="P92" s="75"/>
      <c r="Q92" s="75"/>
      <c r="R92" s="75"/>
    </row>
    <row r="93" spans="1:18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  <c r="L93" s="75"/>
      <c r="M93" s="75"/>
      <c r="N93" s="75"/>
      <c r="O93" s="75"/>
      <c r="P93" s="75"/>
      <c r="Q93" s="75"/>
      <c r="R93" s="75"/>
    </row>
    <row r="94" spans="1:18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  <c r="L94" s="75"/>
      <c r="M94" s="75"/>
      <c r="N94" s="75"/>
      <c r="O94" s="75"/>
      <c r="P94" s="75"/>
      <c r="Q94" s="75"/>
      <c r="R94" s="75"/>
    </row>
    <row r="95" spans="1:18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  <c r="L95" s="75"/>
      <c r="M95" s="75"/>
      <c r="N95" s="75"/>
      <c r="O95" s="75"/>
      <c r="P95" s="75"/>
      <c r="Q95" s="75"/>
      <c r="R95" s="75"/>
    </row>
  </sheetData>
  <mergeCells count="8">
    <mergeCell ref="F1:I1"/>
    <mergeCell ref="J1:M1"/>
    <mergeCell ref="N1:Q1"/>
    <mergeCell ref="A1:A2"/>
    <mergeCell ref="E1:E2"/>
    <mergeCell ref="B1:B2"/>
    <mergeCell ref="C1:C2"/>
    <mergeCell ref="D1:D2"/>
  </mergeCells>
  <phoneticPr fontId="1" type="noConversion"/>
  <conditionalFormatting sqref="F1:M2 F92:M1048576 F13:M21">
    <cfRule type="cellIs" dxfId="8" priority="19" operator="equal">
      <formula>0</formula>
    </cfRule>
  </conditionalFormatting>
  <conditionalFormatting sqref="F22:M31">
    <cfRule type="cellIs" dxfId="7" priority="8" operator="equal">
      <formula>0</formula>
    </cfRule>
  </conditionalFormatting>
  <conditionalFormatting sqref="F32:M41">
    <cfRule type="cellIs" dxfId="6" priority="7" operator="equal">
      <formula>0</formula>
    </cfRule>
  </conditionalFormatting>
  <conditionalFormatting sqref="F42:M51">
    <cfRule type="cellIs" dxfId="5" priority="6" operator="equal">
      <formula>0</formula>
    </cfRule>
  </conditionalFormatting>
  <conditionalFormatting sqref="F52:M61">
    <cfRule type="cellIs" dxfId="4" priority="5" operator="equal">
      <formula>0</formula>
    </cfRule>
  </conditionalFormatting>
  <conditionalFormatting sqref="F62:M71">
    <cfRule type="cellIs" dxfId="3" priority="4" operator="equal">
      <formula>0</formula>
    </cfRule>
  </conditionalFormatting>
  <conditionalFormatting sqref="F72:M81">
    <cfRule type="cellIs" dxfId="2" priority="3" operator="equal">
      <formula>0</formula>
    </cfRule>
  </conditionalFormatting>
  <conditionalFormatting sqref="F82:M91">
    <cfRule type="cellIs" dxfId="1" priority="2" operator="equal">
      <formula>0</formula>
    </cfRule>
  </conditionalFormatting>
  <conditionalFormatting sqref="F3:M1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ignoredErrors>
    <ignoredError sqref="R3:R12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F305-9111-401C-AFCD-F77227550175}">
  <sheetPr codeName="工作表50">
    <tabColor theme="4" tint="0.59999389629810485"/>
  </sheetPr>
  <dimension ref="B2:I40"/>
  <sheetViews>
    <sheetView topLeftCell="C1" workbookViewId="0">
      <selection activeCell="E2" sqref="E2"/>
    </sheetView>
  </sheetViews>
  <sheetFormatPr defaultRowHeight="15.6"/>
  <cols>
    <col min="2" max="2" width="44.5" style="9" bestFit="1" customWidth="1"/>
    <col min="3" max="3" width="17.75" style="9" bestFit="1" customWidth="1"/>
    <col min="5" max="5" width="11.25" bestFit="1" customWidth="1"/>
    <col min="6" max="9" width="15.75" customWidth="1"/>
    <col min="11" max="11" width="13.5" bestFit="1" customWidth="1"/>
  </cols>
  <sheetData>
    <row r="2" spans="2:9">
      <c r="E2" t="s">
        <v>57</v>
      </c>
    </row>
    <row r="3" spans="2:9">
      <c r="B3" s="11" t="str" cm="1">
        <f t="array" ref="B3:C6">_xlfn.LET(_xlpm.x, Setting!B2:C5, IF(_xlpm.x="", "", _xlpm.x))</f>
        <v/>
      </c>
      <c r="C3" s="11" t="str">
        <v>Value</v>
      </c>
      <c r="E3" s="1" t="s">
        <v>53</v>
      </c>
      <c r="F3" s="1" t="s">
        <v>16</v>
      </c>
      <c r="G3" s="1" t="s">
        <v>25</v>
      </c>
      <c r="H3" s="1" t="s">
        <v>18</v>
      </c>
      <c r="I3" s="1" t="s">
        <v>19</v>
      </c>
    </row>
    <row r="4" spans="2:9">
      <c r="B4" s="12" t="str">
        <v>Denom</v>
      </c>
      <c r="C4" s="47">
        <v>2E-3</v>
      </c>
      <c r="E4" s="16">
        <v>1</v>
      </c>
      <c r="F4" s="31" cm="1">
        <f t="array" aca="1" ref="F4:I4" ca="1">_xlfn.LET(
_xlpm.x, OFFSET(Calculate!$A$1, 7+(E4-1)*11, 7, 4),
ROUND(TRANSPOSE((_xlpm.x * Overview!$C$11)), 0)
)</f>
        <v>0</v>
      </c>
      <c r="G4" s="31">
        <f ca="1"/>
        <v>0</v>
      </c>
      <c r="H4" s="31">
        <f ca="1"/>
        <v>1600000</v>
      </c>
      <c r="I4" s="31">
        <f ca="1"/>
        <v>23500000</v>
      </c>
    </row>
    <row r="5" spans="2:9">
      <c r="B5" s="12" t="str">
        <v>Minimum Bet</v>
      </c>
      <c r="C5" s="47">
        <v>100</v>
      </c>
      <c r="E5" s="16">
        <v>2</v>
      </c>
      <c r="F5" s="31" cm="1">
        <f t="array" aca="1" ref="F5:I5" ca="1">_xlfn.LET(
_xlpm.x, OFFSET(Calculate!$A$1, 7+(E5-1)*11, 7, 4),
ROUND(TRANSPOSE((_xlpm.x * Overview!$C$11)), 0)
)</f>
        <v>0</v>
      </c>
      <c r="G5" s="31">
        <f ca="1"/>
        <v>0</v>
      </c>
      <c r="H5" s="31">
        <f ca="1"/>
        <v>1600000</v>
      </c>
      <c r="I5" s="31">
        <f ca="1"/>
        <v>23500000</v>
      </c>
    </row>
    <row r="6" spans="2:9">
      <c r="B6" s="12" t="str">
        <v>Bet</v>
      </c>
      <c r="C6" s="47">
        <v>1</v>
      </c>
      <c r="E6" s="16">
        <v>3</v>
      </c>
      <c r="F6" s="31" cm="1">
        <f t="array" aca="1" ref="F6:I6" ca="1">_xlfn.LET(
_xlpm.x, OFFSET(Calculate!$A$1, 7+(E6-1)*11, 7, 4),
ROUND(TRANSPOSE((_xlpm.x * Overview!$C$11)), 0)
)</f>
        <v>0</v>
      </c>
      <c r="G6" s="31">
        <f ca="1"/>
        <v>0</v>
      </c>
      <c r="H6" s="31">
        <f ca="1"/>
        <v>1600000</v>
      </c>
      <c r="I6" s="31">
        <f ca="1"/>
        <v>23500000</v>
      </c>
    </row>
    <row r="7" spans="2:9">
      <c r="E7" s="16">
        <v>4</v>
      </c>
      <c r="F7" s="31" cm="1">
        <f t="array" aca="1" ref="F7:I7" ca="1">_xlfn.LET(
_xlpm.x, OFFSET(Calculate!$A$1, 7+(E7-1)*11, 7, 4),
ROUND(TRANSPOSE((_xlpm.x * Overview!$C$11)), 0)
)</f>
        <v>0</v>
      </c>
      <c r="G7" s="31">
        <f ca="1"/>
        <v>0</v>
      </c>
      <c r="H7" s="31">
        <f ca="1"/>
        <v>1600000</v>
      </c>
      <c r="I7" s="31">
        <f ca="1"/>
        <v>23500000</v>
      </c>
    </row>
    <row r="8" spans="2:9">
      <c r="E8" s="16">
        <v>5</v>
      </c>
      <c r="F8" s="31" cm="1">
        <f t="array" aca="1" ref="F8:I8" ca="1">_xlfn.LET(
_xlpm.x, OFFSET(Calculate!$A$1, 7+(E8-1)*11, 7, 4),
ROUND(TRANSPOSE((_xlpm.x * Overview!$C$11)), 0)
)</f>
        <v>0</v>
      </c>
      <c r="G8" s="31">
        <f ca="1"/>
        <v>0</v>
      </c>
      <c r="H8" s="31">
        <f ca="1"/>
        <v>1600000</v>
      </c>
      <c r="I8" s="31">
        <f ca="1"/>
        <v>23500000</v>
      </c>
    </row>
    <row r="9" spans="2:9">
      <c r="B9" s="36" t="str" cm="1">
        <f t="array" ref="B9:C40">_xlfn.LET(_xlpm.x, Setting!B15:C46, IF(_xlpm.x="", "", _xlpm.x))</f>
        <v>Increment</v>
      </c>
      <c r="C9" s="36" t="str">
        <v/>
      </c>
      <c r="E9" s="16">
        <v>6</v>
      </c>
      <c r="F9" s="31" cm="1">
        <f t="array" aca="1" ref="F9:I9" ca="1">_xlfn.LET(
_xlpm.x, OFFSET(Calculate!$A$1, 7+(E9-1)*11, 7, 4),
ROUND(TRANSPOSE((_xlpm.x * Overview!$C$11)), 0)
)</f>
        <v>0</v>
      </c>
      <c r="G9" s="31">
        <f ca="1"/>
        <v>0</v>
      </c>
      <c r="H9" s="31">
        <f ca="1"/>
        <v>1600000</v>
      </c>
      <c r="I9" s="31">
        <f ca="1"/>
        <v>23500000</v>
      </c>
    </row>
    <row r="10" spans="2:9">
      <c r="B10" s="11" t="str">
        <v/>
      </c>
      <c r="C10" s="11" t="str">
        <v>Value</v>
      </c>
      <c r="E10" s="16">
        <v>7</v>
      </c>
      <c r="F10" s="31" cm="1">
        <f t="array" aca="1" ref="F10:I10" ca="1">_xlfn.LET(
_xlpm.x, OFFSET(Calculate!$A$1, 7+(E10-1)*11, 7, 4),
ROUND(TRANSPOSE((_xlpm.x * Overview!$C$11)), 0)
)</f>
        <v>0</v>
      </c>
      <c r="G10" s="31">
        <f ca="1"/>
        <v>0</v>
      </c>
      <c r="H10" s="31">
        <f ca="1"/>
        <v>1600000</v>
      </c>
      <c r="I10" s="31">
        <f ca="1"/>
        <v>23500000</v>
      </c>
    </row>
    <row r="11" spans="2:9">
      <c r="B11" s="12" t="str">
        <v>JP1</v>
      </c>
      <c r="C11" s="48">
        <v>3.5000000000000001E-3</v>
      </c>
      <c r="E11" s="16">
        <v>8</v>
      </c>
      <c r="F11" s="31" cm="1">
        <f t="array" aca="1" ref="F11:I11" ca="1">_xlfn.LET(
_xlpm.x, OFFSET(Calculate!$A$1, 7+(E11-1)*11, 7, 4),
ROUND(TRANSPOSE((_xlpm.x * Overview!$C$11)), 0)
)</f>
        <v>0</v>
      </c>
      <c r="G11" s="31">
        <f ca="1"/>
        <v>0</v>
      </c>
      <c r="H11" s="31">
        <f ca="1"/>
        <v>1600000</v>
      </c>
      <c r="I11" s="31">
        <f ca="1"/>
        <v>23500000</v>
      </c>
    </row>
    <row r="12" spans="2:9">
      <c r="B12" s="12" t="str">
        <v>JP2</v>
      </c>
      <c r="C12" s="48">
        <v>5.0000000000000001E-3</v>
      </c>
      <c r="E12" s="16">
        <v>9</v>
      </c>
      <c r="F12" s="31" cm="1">
        <f t="array" aca="1" ref="F12:I12" ca="1">_xlfn.LET(
_xlpm.x, OFFSET(Calculate!$A$1, 7+(E12-1)*11, 7, 4),
ROUND(TRANSPOSE((_xlpm.x * Overview!$C$11)), 0)
)</f>
        <v>0</v>
      </c>
      <c r="G12" s="31">
        <f ca="1"/>
        <v>0</v>
      </c>
      <c r="H12" s="31">
        <f ca="1"/>
        <v>1600000</v>
      </c>
      <c r="I12" s="31">
        <f ca="1"/>
        <v>23500000</v>
      </c>
    </row>
    <row r="13" spans="2:9">
      <c r="B13" s="12" t="str">
        <v>JP3</v>
      </c>
      <c r="C13" s="49">
        <v>0</v>
      </c>
      <c r="E13" s="16">
        <v>10</v>
      </c>
      <c r="F13" s="31" cm="1">
        <f t="array" aca="1" ref="F13:I13" ca="1">_xlfn.LET(
_xlpm.x, OFFSET(Calculate!$A$1, 7+(E13-1)*11, 7, 4),
ROUND(TRANSPOSE((_xlpm.x * Overview!$C$11)), 0)
)</f>
        <v>0</v>
      </c>
      <c r="G13" s="31">
        <f ca="1"/>
        <v>0</v>
      </c>
      <c r="H13" s="31">
        <f ca="1"/>
        <v>1600000</v>
      </c>
      <c r="I13" s="31">
        <f ca="1"/>
        <v>23500000</v>
      </c>
    </row>
    <row r="14" spans="2:9">
      <c r="B14" s="12" t="str">
        <v>JP4</v>
      </c>
      <c r="C14" s="49">
        <v>0</v>
      </c>
      <c r="E14" s="16">
        <v>11</v>
      </c>
      <c r="F14" s="31" cm="1">
        <f t="array" aca="1" ref="F14:I14" ca="1">_xlfn.LET(
_xlpm.x, OFFSET(Calculate!$A$1, 7+(E14-1)*11, 7, 4),
ROUND(TRANSPOSE((_xlpm.x * Overview!$C$11)), 0)
)</f>
        <v>0</v>
      </c>
      <c r="G14" s="31">
        <f ca="1"/>
        <v>0</v>
      </c>
      <c r="H14" s="31">
        <f ca="1"/>
        <v>1600000</v>
      </c>
      <c r="I14" s="31">
        <f ca="1"/>
        <v>23500000</v>
      </c>
    </row>
    <row r="15" spans="2:9">
      <c r="B15" s="36" t="str">
        <v/>
      </c>
      <c r="C15" s="36" t="str">
        <v/>
      </c>
      <c r="E15" s="16">
        <v>12</v>
      </c>
      <c r="F15" s="31" cm="1">
        <f t="array" aca="1" ref="F15:I15" ca="1">_xlfn.LET(
_xlpm.x, OFFSET(Calculate!$A$1, 7+(E15-1)*11, 7, 4),
ROUND(TRANSPOSE((_xlpm.x * Overview!$C$11)), 0)
)</f>
        <v>0</v>
      </c>
      <c r="G15" s="31">
        <f ca="1"/>
        <v>0</v>
      </c>
      <c r="H15" s="31">
        <f ca="1"/>
        <v>1600000</v>
      </c>
      <c r="I15" s="31">
        <f ca="1"/>
        <v>23500000</v>
      </c>
    </row>
    <row r="16" spans="2:9">
      <c r="B16" s="36" t="str">
        <v/>
      </c>
      <c r="C16" s="36" t="str">
        <v/>
      </c>
      <c r="E16" s="16">
        <v>13</v>
      </c>
      <c r="F16" s="31" cm="1">
        <f t="array" aca="1" ref="F16:I16" ca="1">_xlfn.LET(
_xlpm.x, OFFSET(Calculate!$A$1, 7+(E16-1)*11, 7, 4),
ROUND(TRANSPOSE((_xlpm.x * Overview!$C$11)), 0)
)</f>
        <v>0</v>
      </c>
      <c r="G16" s="31">
        <f ca="1"/>
        <v>0</v>
      </c>
      <c r="H16" s="31">
        <f ca="1"/>
        <v>1600000</v>
      </c>
      <c r="I16" s="31">
        <f ca="1"/>
        <v>23500000</v>
      </c>
    </row>
    <row r="17" spans="2:9">
      <c r="B17" s="9" t="str">
        <v>Start Up Pool (Credit on Denom 1)</v>
      </c>
      <c r="C17" s="9" t="str">
        <v/>
      </c>
      <c r="E17" s="16">
        <v>14</v>
      </c>
      <c r="F17" s="31" cm="1">
        <f t="array" aca="1" ref="F17:I17" ca="1">_xlfn.LET(
_xlpm.x, OFFSET(Calculate!$A$1, 7+(E17-1)*11, 7, 4),
ROUND(TRANSPOSE((_xlpm.x * Overview!$C$11)), 0)
)</f>
        <v>0</v>
      </c>
      <c r="G17" s="31">
        <f ca="1"/>
        <v>0</v>
      </c>
      <c r="H17" s="31">
        <f ca="1"/>
        <v>1600000</v>
      </c>
      <c r="I17" s="31">
        <f ca="1"/>
        <v>23500000</v>
      </c>
    </row>
    <row r="18" spans="2:9">
      <c r="B18" s="11" t="str">
        <v/>
      </c>
      <c r="C18" s="11" t="str">
        <v>Value</v>
      </c>
      <c r="E18" s="16">
        <v>15</v>
      </c>
      <c r="F18" s="31" cm="1">
        <f t="array" aca="1" ref="F18:I18" ca="1">_xlfn.LET(
_xlpm.x, OFFSET(Calculate!$A$1, 7+(E18-1)*11, 7, 4),
ROUND(TRANSPOSE((_xlpm.x * Overview!$C$11)), 0)
)</f>
        <v>0</v>
      </c>
      <c r="G18" s="31">
        <f ca="1"/>
        <v>0</v>
      </c>
      <c r="H18" s="31">
        <f ca="1"/>
        <v>1600000</v>
      </c>
      <c r="I18" s="31">
        <f ca="1"/>
        <v>23500000</v>
      </c>
    </row>
    <row r="19" spans="2:9">
      <c r="B19" s="12" t="str">
        <v>JP1</v>
      </c>
      <c r="C19" s="50">
        <v>250000000</v>
      </c>
      <c r="E19" s="16">
        <v>16</v>
      </c>
      <c r="F19" s="31" cm="1">
        <f t="array" aca="1" ref="F19:I19" ca="1">_xlfn.LET(
_xlpm.x, OFFSET(Calculate!$A$1, 7+(E19-1)*11, 7, 4),
ROUND(TRANSPOSE((_xlpm.x * Overview!$C$11)), 0)
)</f>
        <v>0</v>
      </c>
      <c r="G19" s="31">
        <f ca="1"/>
        <v>0</v>
      </c>
      <c r="H19" s="31">
        <f ca="1"/>
        <v>1600000</v>
      </c>
      <c r="I19" s="31">
        <f ca="1"/>
        <v>23500000</v>
      </c>
    </row>
    <row r="20" spans="2:9">
      <c r="B20" s="12" t="str">
        <v>JP2</v>
      </c>
      <c r="C20" s="50">
        <v>50000000</v>
      </c>
      <c r="E20" s="16">
        <v>17</v>
      </c>
      <c r="F20" s="31" cm="1">
        <f t="array" aca="1" ref="F20:I20" ca="1">_xlfn.LET(
_xlpm.x, OFFSET(Calculate!$A$1, 7+(E20-1)*11, 7, 4),
ROUND(TRANSPOSE((_xlpm.x * Overview!$C$11)), 0)
)</f>
        <v>0</v>
      </c>
      <c r="G20" s="31">
        <f ca="1"/>
        <v>0</v>
      </c>
      <c r="H20" s="31">
        <f ca="1"/>
        <v>1600000</v>
      </c>
      <c r="I20" s="31">
        <f ca="1"/>
        <v>23500000</v>
      </c>
    </row>
    <row r="21" spans="2:9">
      <c r="B21" s="12" t="str">
        <v>JP3</v>
      </c>
      <c r="C21" s="46">
        <v>5000</v>
      </c>
      <c r="E21" s="16">
        <v>18</v>
      </c>
      <c r="F21" s="31" cm="1">
        <f t="array" aca="1" ref="F21:I21" ca="1">_xlfn.LET(
_xlpm.x, OFFSET(Calculate!$A$1, 7+(E21-1)*11, 7, 4),
ROUND(TRANSPOSE((_xlpm.x * Overview!$C$11)), 0)
)</f>
        <v>0</v>
      </c>
      <c r="G21" s="31">
        <f ca="1"/>
        <v>0</v>
      </c>
      <c r="H21" s="31">
        <f ca="1"/>
        <v>1600000</v>
      </c>
      <c r="I21" s="31">
        <f ca="1"/>
        <v>23500000</v>
      </c>
    </row>
    <row r="22" spans="2:9">
      <c r="B22" s="12" t="str">
        <v>JP4</v>
      </c>
      <c r="C22" s="46">
        <v>1000</v>
      </c>
      <c r="E22" s="16">
        <v>19</v>
      </c>
      <c r="F22" s="31" cm="1">
        <f t="array" aca="1" ref="F22:I22" ca="1">_xlfn.LET(
_xlpm.x, OFFSET(Calculate!$A$1, 7+(E22-1)*11, 7, 4),
ROUND(TRANSPOSE((_xlpm.x * Overview!$C$11)), 0)
)</f>
        <v>0</v>
      </c>
      <c r="G22" s="31">
        <f ca="1"/>
        <v>0</v>
      </c>
      <c r="H22" s="31">
        <f ca="1"/>
        <v>1600000</v>
      </c>
      <c r="I22" s="31">
        <f ca="1"/>
        <v>23500000</v>
      </c>
    </row>
    <row r="23" spans="2:9">
      <c r="B23" s="36" t="str">
        <v/>
      </c>
      <c r="C23" s="36" t="str">
        <v/>
      </c>
      <c r="E23" s="16">
        <v>20</v>
      </c>
      <c r="F23" s="31" cm="1">
        <f t="array" aca="1" ref="F23:I23" ca="1">_xlfn.LET(
_xlpm.x, OFFSET(Calculate!$A$1, 7+(E23-1)*11, 7, 4),
ROUND(TRANSPOSE((_xlpm.x * Overview!$C$11)), 0)
)</f>
        <v>0</v>
      </c>
      <c r="G23" s="31">
        <f ca="1"/>
        <v>0</v>
      </c>
      <c r="H23" s="31">
        <f ca="1"/>
        <v>1600000</v>
      </c>
      <c r="I23" s="31">
        <f ca="1"/>
        <v>23500000</v>
      </c>
    </row>
    <row r="24" spans="2:9">
      <c r="B24" s="9" t="str">
        <v/>
      </c>
      <c r="C24" s="9" t="str">
        <v/>
      </c>
      <c r="E24" s="16">
        <v>21</v>
      </c>
      <c r="F24" s="31" cm="1">
        <f t="array" aca="1" ref="F24:I24" ca="1">_xlfn.LET(
_xlpm.x, OFFSET(Calculate!$A$1, 7+(E24-1)*11, 7, 4),
ROUND(TRANSPOSE((_xlpm.x * Overview!$C$11)), 0)
)</f>
        <v>0</v>
      </c>
      <c r="G24" s="31">
        <f ca="1"/>
        <v>0</v>
      </c>
      <c r="H24" s="31">
        <f ca="1"/>
        <v>1600000</v>
      </c>
      <c r="I24" s="31">
        <f ca="1"/>
        <v>23500000</v>
      </c>
    </row>
    <row r="25" spans="2:9">
      <c r="B25" s="9" t="str">
        <v/>
      </c>
      <c r="C25" s="9" t="str">
        <v/>
      </c>
      <c r="E25" s="16">
        <v>22</v>
      </c>
      <c r="F25" s="31" cm="1">
        <f t="array" aca="1" ref="F25:I25" ca="1">_xlfn.LET(
_xlpm.x, OFFSET(Calculate!$A$1, 7+(E25-1)*11, 7, 4),
ROUND(TRANSPOSE((_xlpm.x * Overview!$C$11)), 0)
)</f>
        <v>0</v>
      </c>
      <c r="G25" s="31">
        <f ca="1"/>
        <v>0</v>
      </c>
      <c r="H25" s="31">
        <f ca="1"/>
        <v>1600000</v>
      </c>
      <c r="I25" s="31">
        <f ca="1"/>
        <v>23500000</v>
      </c>
    </row>
    <row r="26" spans="2:9">
      <c r="B26" s="9" t="str">
        <v/>
      </c>
      <c r="C26" s="9" t="str">
        <v/>
      </c>
      <c r="E26" s="16">
        <v>23</v>
      </c>
      <c r="F26" s="31" cm="1">
        <f t="array" aca="1" ref="F26:I26" ca="1">_xlfn.LET(
_xlpm.x, OFFSET(Calculate!$A$1, 7+(E26-1)*11, 7, 4),
ROUND(TRANSPOSE((_xlpm.x * Overview!$C$11)), 0)
)</f>
        <v>0</v>
      </c>
      <c r="G26" s="31">
        <f ca="1"/>
        <v>0</v>
      </c>
      <c r="H26" s="31">
        <f ca="1"/>
        <v>1600000</v>
      </c>
      <c r="I26" s="31">
        <f ca="1"/>
        <v>23500000</v>
      </c>
    </row>
    <row r="27" spans="2:9">
      <c r="B27" s="9" t="str">
        <v/>
      </c>
      <c r="C27" s="9" t="str">
        <v/>
      </c>
      <c r="E27" s="16">
        <v>24</v>
      </c>
      <c r="F27" s="31" cm="1">
        <f t="array" aca="1" ref="F27:I27" ca="1">_xlfn.LET(
_xlpm.x, OFFSET(Calculate!$A$1, 7+(E27-1)*11, 7, 4),
ROUND(TRANSPOSE((_xlpm.x * Overview!$C$11)), 0)
)</f>
        <v>0</v>
      </c>
      <c r="G27" s="31">
        <f ca="1"/>
        <v>0</v>
      </c>
      <c r="H27" s="31">
        <f ca="1"/>
        <v>1600000</v>
      </c>
      <c r="I27" s="31">
        <f ca="1"/>
        <v>23500000</v>
      </c>
    </row>
    <row r="28" spans="2:9">
      <c r="B28" s="9" t="str">
        <v/>
      </c>
      <c r="C28" s="9" t="str">
        <v/>
      </c>
      <c r="E28" s="16">
        <v>25</v>
      </c>
      <c r="F28" s="31" cm="1">
        <f t="array" aca="1" ref="F28:I28" ca="1">_xlfn.LET(
_xlpm.x, OFFSET(Calculate!$A$1, 7+(E28-1)*11, 7, 4),
ROUND(TRANSPOSE((_xlpm.x * Overview!$C$11)), 0)
)</f>
        <v>0</v>
      </c>
      <c r="G28" s="31">
        <f ca="1"/>
        <v>0</v>
      </c>
      <c r="H28" s="31">
        <f ca="1"/>
        <v>1600000</v>
      </c>
      <c r="I28" s="31">
        <f ca="1"/>
        <v>23500000</v>
      </c>
    </row>
    <row r="29" spans="2:9">
      <c r="B29" s="9" t="str">
        <v/>
      </c>
      <c r="C29" s="9" t="str">
        <v/>
      </c>
      <c r="E29" s="16">
        <v>26</v>
      </c>
      <c r="F29" s="31" cm="1">
        <f t="array" aca="1" ref="F29:I29" ca="1">_xlfn.LET(
_xlpm.x, OFFSET(Calculate!$A$1, 7+(E29-1)*11, 7, 4),
ROUND(TRANSPOSE((_xlpm.x * Overview!$C$11)), 0)
)</f>
        <v>0</v>
      </c>
      <c r="G29" s="31">
        <f ca="1"/>
        <v>0</v>
      </c>
      <c r="H29" s="31">
        <f ca="1"/>
        <v>1600000</v>
      </c>
      <c r="I29" s="31">
        <f ca="1"/>
        <v>23500000</v>
      </c>
    </row>
    <row r="30" spans="2:9">
      <c r="B30" s="9" t="str">
        <v/>
      </c>
      <c r="C30" s="9" t="str">
        <v/>
      </c>
      <c r="E30" s="16">
        <v>27</v>
      </c>
      <c r="F30" s="31" cm="1">
        <f t="array" aca="1" ref="F30:I30" ca="1">_xlfn.LET(
_xlpm.x, OFFSET(Calculate!$A$1, 7+(E30-1)*11, 7, 4),
ROUND(TRANSPOSE((_xlpm.x * Overview!$C$11)), 0)
)</f>
        <v>0</v>
      </c>
      <c r="G30" s="31">
        <f ca="1"/>
        <v>0</v>
      </c>
      <c r="H30" s="31">
        <f ca="1"/>
        <v>1600000</v>
      </c>
      <c r="I30" s="31">
        <f ca="1"/>
        <v>23500000</v>
      </c>
    </row>
    <row r="31" spans="2:9">
      <c r="B31" s="9" t="str">
        <v/>
      </c>
      <c r="C31" s="9" t="str">
        <v/>
      </c>
      <c r="E31" s="16">
        <v>28</v>
      </c>
      <c r="F31" s="31" cm="1">
        <f t="array" aca="1" ref="F31:I31" ca="1">_xlfn.LET(
_xlpm.x, OFFSET(Calculate!$A$1, 7+(E31-1)*11, 7, 4),
ROUND(TRANSPOSE((_xlpm.x * Overview!$C$11)), 0)
)</f>
        <v>0</v>
      </c>
      <c r="G31" s="31">
        <f ca="1"/>
        <v>0</v>
      </c>
      <c r="H31" s="31">
        <f ca="1"/>
        <v>1600000</v>
      </c>
      <c r="I31" s="31">
        <f ca="1"/>
        <v>23500000</v>
      </c>
    </row>
    <row r="32" spans="2:9">
      <c r="B32" s="9" t="str">
        <v/>
      </c>
      <c r="C32" s="9" t="str">
        <v/>
      </c>
      <c r="E32" s="16">
        <v>29</v>
      </c>
      <c r="F32" s="31" cm="1">
        <f t="array" aca="1" ref="F32:I32" ca="1">_xlfn.LET(
_xlpm.x, OFFSET(Calculate!$A$1, 7+(E32-1)*11, 7, 4),
ROUND(TRANSPOSE((_xlpm.x * Overview!$C$11)), 0)
)</f>
        <v>0</v>
      </c>
      <c r="G32" s="31">
        <f ca="1"/>
        <v>0</v>
      </c>
      <c r="H32" s="31">
        <f ca="1"/>
        <v>1600000</v>
      </c>
      <c r="I32" s="31">
        <f ca="1"/>
        <v>23500000</v>
      </c>
    </row>
    <row r="33" spans="2:9">
      <c r="B33" s="9" t="str">
        <v/>
      </c>
      <c r="C33" s="9" t="str">
        <v/>
      </c>
      <c r="E33" s="16">
        <v>30</v>
      </c>
      <c r="F33" s="31" cm="1">
        <f t="array" aca="1" ref="F33:I33" ca="1">_xlfn.LET(
_xlpm.x, OFFSET(Calculate!$A$1, 7+(E33-1)*11, 7, 4),
ROUND(TRANSPOSE((_xlpm.x * Overview!$C$11)), 0)
)</f>
        <v>0</v>
      </c>
      <c r="G33" s="31">
        <f ca="1"/>
        <v>0</v>
      </c>
      <c r="H33" s="31">
        <f ca="1"/>
        <v>1600000</v>
      </c>
      <c r="I33" s="31">
        <f ca="1"/>
        <v>23500000</v>
      </c>
    </row>
    <row r="34" spans="2:9">
      <c r="B34" s="9" t="str">
        <v/>
      </c>
      <c r="C34" s="9" t="str">
        <v/>
      </c>
    </row>
    <row r="35" spans="2:9">
      <c r="B35" s="9" t="str">
        <v/>
      </c>
      <c r="C35" s="9" t="str">
        <v/>
      </c>
    </row>
    <row r="36" spans="2:9">
      <c r="B36" s="9" t="str">
        <v/>
      </c>
      <c r="C36" s="9" t="str">
        <v/>
      </c>
    </row>
    <row r="37" spans="2:9">
      <c r="B37" s="9" t="str">
        <v/>
      </c>
      <c r="C37" s="9" t="str">
        <v/>
      </c>
    </row>
    <row r="38" spans="2:9">
      <c r="B38" s="9" t="str">
        <v/>
      </c>
      <c r="C38" s="9" t="str">
        <v/>
      </c>
    </row>
    <row r="39" spans="2:9">
      <c r="B39" s="9" t="str">
        <v/>
      </c>
      <c r="C39" s="9" t="str">
        <v/>
      </c>
    </row>
    <row r="40" spans="2:9">
      <c r="B40" s="9" t="str">
        <v/>
      </c>
      <c r="C40" s="9" t="str"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FAB1-6661-4CCC-BEFF-E3EB9F467464}">
  <sheetPr codeName="工作表51"/>
  <dimension ref="A1:U47"/>
  <sheetViews>
    <sheetView workbookViewId="0">
      <selection activeCell="D27" sqref="D27"/>
    </sheetView>
  </sheetViews>
  <sheetFormatPr defaultRowHeight="15.6"/>
  <cols>
    <col min="1" max="1" width="8.6640625" style="24"/>
    <col min="2" max="2" width="21.58203125" style="9" customWidth="1"/>
    <col min="3" max="3" width="17.75" style="9" bestFit="1" customWidth="1"/>
    <col min="4" max="4" width="10.1640625" style="24" bestFit="1" customWidth="1"/>
    <col min="5" max="5" width="9.9140625" style="9" bestFit="1" customWidth="1"/>
    <col min="6" max="6" width="11.83203125" style="9" bestFit="1" customWidth="1"/>
    <col min="7" max="7" width="17" style="9" bestFit="1" customWidth="1"/>
    <col min="8" max="8" width="15" style="9" bestFit="1" customWidth="1"/>
    <col min="9" max="9" width="19.9140625" style="9" bestFit="1" customWidth="1"/>
    <col min="10" max="10" width="14.25" style="9" bestFit="1" customWidth="1"/>
    <col min="11" max="11" width="13.08203125" style="9" bestFit="1" customWidth="1"/>
    <col min="12" max="12" width="15.4140625" style="9" bestFit="1" customWidth="1"/>
    <col min="13" max="13" width="14.25" style="9" bestFit="1" customWidth="1"/>
    <col min="14" max="21" width="6.6640625" style="9" bestFit="1" customWidth="1"/>
    <col min="22" max="16384" width="8.6640625" style="9"/>
  </cols>
  <sheetData>
    <row r="1" spans="1:21">
      <c r="J1" s="86" t="s">
        <v>23</v>
      </c>
      <c r="K1" s="86"/>
      <c r="L1" s="86"/>
      <c r="M1" s="86"/>
      <c r="N1" s="87" t="s">
        <v>22</v>
      </c>
      <c r="O1" s="87"/>
      <c r="P1" s="87"/>
      <c r="Q1" s="87"/>
      <c r="R1" s="86" t="s">
        <v>1</v>
      </c>
      <c r="S1" s="86"/>
      <c r="T1" s="86"/>
      <c r="U1" s="86"/>
    </row>
    <row r="2" spans="1:21">
      <c r="B2" s="11"/>
      <c r="C2" s="11" t="s">
        <v>8</v>
      </c>
      <c r="E2" s="10" t="s">
        <v>53</v>
      </c>
      <c r="F2" s="10" t="s">
        <v>11</v>
      </c>
      <c r="G2" s="10" t="s">
        <v>14</v>
      </c>
      <c r="H2" s="10" t="s">
        <v>13</v>
      </c>
      <c r="I2" s="10" t="s">
        <v>9</v>
      </c>
      <c r="J2" s="11" t="s">
        <v>24</v>
      </c>
      <c r="K2" s="11" t="s">
        <v>25</v>
      </c>
      <c r="L2" s="11" t="s">
        <v>18</v>
      </c>
      <c r="M2" s="11" t="s">
        <v>19</v>
      </c>
      <c r="N2" s="11" t="s">
        <v>24</v>
      </c>
      <c r="O2" s="11" t="s">
        <v>25</v>
      </c>
      <c r="P2" s="11" t="s">
        <v>18</v>
      </c>
      <c r="Q2" s="11" t="s">
        <v>19</v>
      </c>
      <c r="R2" s="11" t="s">
        <v>24</v>
      </c>
      <c r="S2" s="11" t="s">
        <v>25</v>
      </c>
      <c r="T2" s="11" t="s">
        <v>18</v>
      </c>
      <c r="U2" s="11" t="s">
        <v>19</v>
      </c>
    </row>
    <row r="3" spans="1:21">
      <c r="A3" s="24">
        <v>2</v>
      </c>
      <c r="B3" s="12" t="s">
        <v>10</v>
      </c>
      <c r="C3" s="54" cm="1">
        <f t="array" ref="C3">_xlfn.LET(_xlpm.x, _xlfn._xlws.FILTER(Parameter_List!$B:$Q, (Parameter_List!$E:$E=Overview!$C$7)*(Parameter_List!$A:$A=Overview!$C$6)*1), INDEX(_xlpm.x, A3))</f>
        <v>2E-3</v>
      </c>
      <c r="D3" s="2"/>
      <c r="E3" s="12">
        <v>1</v>
      </c>
      <c r="F3" s="16" cm="1">
        <f t="array" ref="F3:F32">H3:H32*G3:G32*$C$4</f>
        <v>100</v>
      </c>
      <c r="G3" s="14">
        <v>1</v>
      </c>
      <c r="H3" s="14">
        <v>1</v>
      </c>
      <c r="I3" s="41">
        <f>C33</f>
        <v>0</v>
      </c>
      <c r="J3" s="42">
        <f>C25</f>
        <v>250000000</v>
      </c>
      <c r="K3" s="42">
        <f>C26</f>
        <v>50000000</v>
      </c>
      <c r="L3" s="42" cm="1">
        <f t="array" ref="L3:M3">TRANSPOSE($C$27:$C$28)*H3</f>
        <v>5000</v>
      </c>
      <c r="M3" s="42">
        <v>1000</v>
      </c>
      <c r="N3" s="43" cm="1">
        <f t="array" ref="N3:Q3">TRANSPOSE(C9:C12)</f>
        <v>3.5000000000000001E-3</v>
      </c>
      <c r="O3" s="43">
        <v>5.0000000000000001E-3</v>
      </c>
      <c r="P3" s="43">
        <v>8.0000000000000002E-3</v>
      </c>
      <c r="Q3" s="43">
        <v>2.35E-2</v>
      </c>
      <c r="R3" s="43" cm="1">
        <f t="array" ref="R3:U3">TRANSPOSE(C17:C20)</f>
        <v>3.5000000000000001E-3</v>
      </c>
      <c r="S3" s="43">
        <v>5.0000000000000001E-3</v>
      </c>
      <c r="T3" s="43">
        <v>0</v>
      </c>
      <c r="U3" s="43">
        <v>0</v>
      </c>
    </row>
    <row r="4" spans="1:21">
      <c r="A4" s="24">
        <v>3</v>
      </c>
      <c r="B4" s="12" t="s">
        <v>15</v>
      </c>
      <c r="C4" s="15" cm="1">
        <f t="array" ref="C4">_xlfn.LET(_xlpm.x, _xlfn._xlws.FILTER(Parameter_List!$B:$Q, (Parameter_List!$E:$E=Overview!$C$7)*(Parameter_List!$A:$A=Overview!$C$6)*1), INDEX(_xlpm.x, A4))</f>
        <v>100</v>
      </c>
      <c r="D4" s="2"/>
      <c r="E4" s="12">
        <v>2</v>
      </c>
      <c r="F4" s="16">
        <v>200</v>
      </c>
      <c r="G4" s="14">
        <v>1</v>
      </c>
      <c r="H4" s="14">
        <v>2</v>
      </c>
      <c r="I4" s="20">
        <f t="shared" ref="I4:K19" si="0">I3</f>
        <v>0</v>
      </c>
      <c r="J4" s="22">
        <f t="shared" si="0"/>
        <v>250000000</v>
      </c>
      <c r="K4" s="22">
        <f t="shared" si="0"/>
        <v>50000000</v>
      </c>
      <c r="L4" s="42" cm="1">
        <f t="array" ref="L4:M4">TRANSPOSE($C$27:$C$28)*H4</f>
        <v>10000</v>
      </c>
      <c r="M4" s="42">
        <v>2000</v>
      </c>
      <c r="N4" s="21" cm="1">
        <f t="array" ref="N4:Q4">_xlfn.ANCHORARRAY(N3)</f>
        <v>3.5000000000000001E-3</v>
      </c>
      <c r="O4" s="21">
        <v>5.0000000000000001E-3</v>
      </c>
      <c r="P4" s="21">
        <v>8.0000000000000002E-3</v>
      </c>
      <c r="Q4" s="21">
        <v>2.35E-2</v>
      </c>
      <c r="R4" s="21" cm="1">
        <f t="array" ref="R4:U4">_xlfn.ANCHORARRAY(R3)</f>
        <v>3.5000000000000001E-3</v>
      </c>
      <c r="S4" s="23">
        <v>5.0000000000000001E-3</v>
      </c>
      <c r="T4" s="23">
        <v>0</v>
      </c>
      <c r="U4" s="23">
        <v>0</v>
      </c>
    </row>
    <row r="5" spans="1:21">
      <c r="A5" s="24">
        <v>4</v>
      </c>
      <c r="B5" s="12" t="s">
        <v>28</v>
      </c>
      <c r="C5" s="56" cm="1">
        <f t="array" ref="C5">_xlfn.LET(_xlpm.x, _xlfn._xlws.FILTER(Parameter_List!$B:$Q, (Parameter_List!$E:$E=Overview!$C$7)*(Parameter_List!$A:$A=Overview!$C$6)*1), INDEX(_xlpm.x, A5))</f>
        <v>1</v>
      </c>
      <c r="D5" s="2"/>
      <c r="E5" s="12">
        <v>3</v>
      </c>
      <c r="F5" s="16">
        <v>500</v>
      </c>
      <c r="G5" s="14">
        <v>1</v>
      </c>
      <c r="H5" s="14">
        <v>5</v>
      </c>
      <c r="I5" s="20">
        <f t="shared" si="0"/>
        <v>0</v>
      </c>
      <c r="J5" s="22">
        <f t="shared" si="0"/>
        <v>250000000</v>
      </c>
      <c r="K5" s="22">
        <f t="shared" si="0"/>
        <v>50000000</v>
      </c>
      <c r="L5" s="42" cm="1">
        <f t="array" ref="L5:M5">TRANSPOSE($C$27:$C$28)*H5</f>
        <v>25000</v>
      </c>
      <c r="M5" s="42">
        <v>5000</v>
      </c>
      <c r="N5" s="21" cm="1">
        <f t="array" ref="N5:Q5">_xlfn.ANCHORARRAY(N4)</f>
        <v>3.5000000000000001E-3</v>
      </c>
      <c r="O5" s="21">
        <v>5.0000000000000001E-3</v>
      </c>
      <c r="P5" s="21">
        <v>8.0000000000000002E-3</v>
      </c>
      <c r="Q5" s="21">
        <v>2.35E-2</v>
      </c>
      <c r="R5" s="21" cm="1">
        <f t="array" ref="R5:U5">_xlfn.ANCHORARRAY(R4)</f>
        <v>3.5000000000000001E-3</v>
      </c>
      <c r="S5" s="23">
        <v>5.0000000000000001E-3</v>
      </c>
      <c r="T5" s="23">
        <v>0</v>
      </c>
      <c r="U5" s="23">
        <v>0</v>
      </c>
    </row>
    <row r="6" spans="1:21">
      <c r="D6" s="25"/>
      <c r="E6" s="12">
        <v>4</v>
      </c>
      <c r="F6" s="16">
        <v>1000</v>
      </c>
      <c r="G6" s="14">
        <v>1</v>
      </c>
      <c r="H6" s="14">
        <v>10</v>
      </c>
      <c r="I6" s="20">
        <f t="shared" si="0"/>
        <v>0</v>
      </c>
      <c r="J6" s="22">
        <f t="shared" si="0"/>
        <v>250000000</v>
      </c>
      <c r="K6" s="22">
        <f t="shared" si="0"/>
        <v>50000000</v>
      </c>
      <c r="L6" s="42" cm="1">
        <f t="array" ref="L6:M6">TRANSPOSE($C$27:$C$28)*H6</f>
        <v>50000</v>
      </c>
      <c r="M6" s="42">
        <v>10000</v>
      </c>
      <c r="N6" s="21" cm="1">
        <f t="array" ref="N6:Q6">_xlfn.ANCHORARRAY(N5)</f>
        <v>3.5000000000000001E-3</v>
      </c>
      <c r="O6" s="21">
        <v>5.0000000000000001E-3</v>
      </c>
      <c r="P6" s="21">
        <v>8.0000000000000002E-3</v>
      </c>
      <c r="Q6" s="21">
        <v>2.35E-2</v>
      </c>
      <c r="R6" s="21" cm="1">
        <f t="array" ref="R6:U6">_xlfn.ANCHORARRAY(R5)</f>
        <v>3.5000000000000001E-3</v>
      </c>
      <c r="S6" s="23">
        <v>5.0000000000000001E-3</v>
      </c>
      <c r="T6" s="23">
        <v>0</v>
      </c>
      <c r="U6" s="23">
        <v>0</v>
      </c>
    </row>
    <row r="7" spans="1:21">
      <c r="B7" s="36" t="s">
        <v>21</v>
      </c>
      <c r="C7" s="36"/>
      <c r="D7" s="25"/>
      <c r="E7" s="12">
        <v>5</v>
      </c>
      <c r="F7" s="16">
        <v>1200</v>
      </c>
      <c r="G7" s="14">
        <v>1</v>
      </c>
      <c r="H7" s="14">
        <v>12</v>
      </c>
      <c r="I7" s="20">
        <f t="shared" si="0"/>
        <v>0</v>
      </c>
      <c r="J7" s="22">
        <f t="shared" si="0"/>
        <v>250000000</v>
      </c>
      <c r="K7" s="22">
        <f t="shared" si="0"/>
        <v>50000000</v>
      </c>
      <c r="L7" s="42" cm="1">
        <f t="array" ref="L7:M7">TRANSPOSE($C$27:$C$28)*H7</f>
        <v>60000</v>
      </c>
      <c r="M7" s="42">
        <v>12000</v>
      </c>
      <c r="N7" s="21" cm="1">
        <f t="array" ref="N7:Q7">_xlfn.ANCHORARRAY(N6)</f>
        <v>3.5000000000000001E-3</v>
      </c>
      <c r="O7" s="21">
        <v>5.0000000000000001E-3</v>
      </c>
      <c r="P7" s="21">
        <v>8.0000000000000002E-3</v>
      </c>
      <c r="Q7" s="21">
        <v>2.35E-2</v>
      </c>
      <c r="R7" s="21" cm="1">
        <f t="array" ref="R7:U7">_xlfn.ANCHORARRAY(R6)</f>
        <v>3.5000000000000001E-3</v>
      </c>
      <c r="S7" s="23">
        <v>5.0000000000000001E-3</v>
      </c>
      <c r="T7" s="23">
        <v>0</v>
      </c>
      <c r="U7" s="23">
        <v>0</v>
      </c>
    </row>
    <row r="8" spans="1:21">
      <c r="B8" s="11"/>
      <c r="C8" s="11" t="s">
        <v>8</v>
      </c>
      <c r="D8" s="25"/>
      <c r="E8" s="12">
        <v>6</v>
      </c>
      <c r="F8" s="16">
        <v>1500</v>
      </c>
      <c r="G8" s="14">
        <v>1</v>
      </c>
      <c r="H8" s="14">
        <v>15</v>
      </c>
      <c r="I8" s="20">
        <f t="shared" si="0"/>
        <v>0</v>
      </c>
      <c r="J8" s="22">
        <f t="shared" si="0"/>
        <v>250000000</v>
      </c>
      <c r="K8" s="22">
        <f t="shared" si="0"/>
        <v>50000000</v>
      </c>
      <c r="L8" s="42" cm="1">
        <f t="array" ref="L8:M8">TRANSPOSE($C$27:$C$28)*H8</f>
        <v>75000</v>
      </c>
      <c r="M8" s="42">
        <v>15000</v>
      </c>
      <c r="N8" s="21" cm="1">
        <f t="array" ref="N8:Q8">_xlfn.ANCHORARRAY(N7)</f>
        <v>3.5000000000000001E-3</v>
      </c>
      <c r="O8" s="21">
        <v>5.0000000000000001E-3</v>
      </c>
      <c r="P8" s="21">
        <v>8.0000000000000002E-3</v>
      </c>
      <c r="Q8" s="21">
        <v>2.35E-2</v>
      </c>
      <c r="R8" s="21" cm="1">
        <f t="array" ref="R8:U8">_xlfn.ANCHORARRAY(R7)</f>
        <v>3.5000000000000001E-3</v>
      </c>
      <c r="S8" s="23">
        <v>5.0000000000000001E-3</v>
      </c>
      <c r="T8" s="23">
        <v>0</v>
      </c>
      <c r="U8" s="23">
        <v>0</v>
      </c>
    </row>
    <row r="9" spans="1:21">
      <c r="A9" s="24">
        <v>5</v>
      </c>
      <c r="B9" s="12" t="s">
        <v>16</v>
      </c>
      <c r="C9" s="13" cm="1">
        <f t="array" ref="C9">_xlfn.LET(_xlpm.x, _xlfn._xlws.FILTER(Parameter_List!$B:$Q, (Parameter_List!$E:$E=Overview!$C$7)*(Parameter_List!$A:$A=Overview!$C$6)*1), INDEX(_xlpm.x, A9))</f>
        <v>3.5000000000000001E-3</v>
      </c>
      <c r="D9" s="2"/>
      <c r="E9" s="12">
        <v>7</v>
      </c>
      <c r="F9" s="16">
        <v>2000</v>
      </c>
      <c r="G9" s="14">
        <v>1</v>
      </c>
      <c r="H9" s="14">
        <v>20</v>
      </c>
      <c r="I9" s="20">
        <f t="shared" si="0"/>
        <v>0</v>
      </c>
      <c r="J9" s="22">
        <f t="shared" si="0"/>
        <v>250000000</v>
      </c>
      <c r="K9" s="22">
        <f t="shared" si="0"/>
        <v>50000000</v>
      </c>
      <c r="L9" s="42" cm="1">
        <f t="array" ref="L9:M9">TRANSPOSE($C$27:$C$28)*H9</f>
        <v>100000</v>
      </c>
      <c r="M9" s="42">
        <v>20000</v>
      </c>
      <c r="N9" s="21" cm="1">
        <f t="array" ref="N9:Q9">_xlfn.ANCHORARRAY(N8)</f>
        <v>3.5000000000000001E-3</v>
      </c>
      <c r="O9" s="21">
        <v>5.0000000000000001E-3</v>
      </c>
      <c r="P9" s="21">
        <v>8.0000000000000002E-3</v>
      </c>
      <c r="Q9" s="21">
        <v>2.35E-2</v>
      </c>
      <c r="R9" s="21" cm="1">
        <f t="array" ref="R9:U9">_xlfn.ANCHORARRAY(R8)</f>
        <v>3.5000000000000001E-3</v>
      </c>
      <c r="S9" s="23">
        <v>5.0000000000000001E-3</v>
      </c>
      <c r="T9" s="23">
        <v>0</v>
      </c>
      <c r="U9" s="23">
        <v>0</v>
      </c>
    </row>
    <row r="10" spans="1:21">
      <c r="A10" s="24">
        <v>6</v>
      </c>
      <c r="B10" s="12" t="s">
        <v>17</v>
      </c>
      <c r="C10" s="13" cm="1">
        <f t="array" ref="C10">_xlfn.LET(_xlpm.x, _xlfn._xlws.FILTER(Parameter_List!$B:$Q, (Parameter_List!$E:$E=Overview!$C$7)*(Parameter_List!$A:$A=Overview!$C$6)*1), INDEX(_xlpm.x, A10))</f>
        <v>5.0000000000000001E-3</v>
      </c>
      <c r="D10" s="2"/>
      <c r="E10" s="12">
        <v>8</v>
      </c>
      <c r="F10" s="16">
        <v>2500</v>
      </c>
      <c r="G10" s="14">
        <v>1</v>
      </c>
      <c r="H10" s="14">
        <v>25</v>
      </c>
      <c r="I10" s="20">
        <f t="shared" si="0"/>
        <v>0</v>
      </c>
      <c r="J10" s="22">
        <f t="shared" si="0"/>
        <v>250000000</v>
      </c>
      <c r="K10" s="22">
        <f t="shared" si="0"/>
        <v>50000000</v>
      </c>
      <c r="L10" s="42" cm="1">
        <f t="array" ref="L10:M10">TRANSPOSE($C$27:$C$28)*H10</f>
        <v>125000</v>
      </c>
      <c r="M10" s="42">
        <v>25000</v>
      </c>
      <c r="N10" s="21" cm="1">
        <f t="array" ref="N10:Q10">_xlfn.ANCHORARRAY(N9)</f>
        <v>3.5000000000000001E-3</v>
      </c>
      <c r="O10" s="21">
        <v>5.0000000000000001E-3</v>
      </c>
      <c r="P10" s="21">
        <v>8.0000000000000002E-3</v>
      </c>
      <c r="Q10" s="21">
        <v>2.35E-2</v>
      </c>
      <c r="R10" s="21" cm="1">
        <f t="array" ref="R10:U10">_xlfn.ANCHORARRAY(R9)</f>
        <v>3.5000000000000001E-3</v>
      </c>
      <c r="S10" s="23">
        <v>5.0000000000000001E-3</v>
      </c>
      <c r="T10" s="23">
        <v>0</v>
      </c>
      <c r="U10" s="23">
        <v>0</v>
      </c>
    </row>
    <row r="11" spans="1:21">
      <c r="A11" s="24">
        <v>7</v>
      </c>
      <c r="B11" s="12" t="s">
        <v>18</v>
      </c>
      <c r="C11" s="13" cm="1">
        <f t="array" ref="C11">_xlfn.LET(_xlpm.x, _xlfn._xlws.FILTER(Parameter_List!$B:$Q, (Parameter_List!$E:$E=Overview!$C$7)*(Parameter_List!$A:$A=Overview!$C$6)*1), INDEX(_xlpm.x, A11))</f>
        <v>8.0000000000000002E-3</v>
      </c>
      <c r="D11" s="2"/>
      <c r="E11" s="12">
        <v>9</v>
      </c>
      <c r="F11" s="16">
        <v>3000</v>
      </c>
      <c r="G11" s="14">
        <v>1</v>
      </c>
      <c r="H11" s="14">
        <v>30</v>
      </c>
      <c r="I11" s="20">
        <f t="shared" si="0"/>
        <v>0</v>
      </c>
      <c r="J11" s="22">
        <f t="shared" si="0"/>
        <v>250000000</v>
      </c>
      <c r="K11" s="22">
        <f t="shared" si="0"/>
        <v>50000000</v>
      </c>
      <c r="L11" s="42" cm="1">
        <f t="array" ref="L11:M11">TRANSPOSE($C$27:$C$28)*H11</f>
        <v>150000</v>
      </c>
      <c r="M11" s="42">
        <v>30000</v>
      </c>
      <c r="N11" s="21" cm="1">
        <f t="array" ref="N11:Q11">_xlfn.ANCHORARRAY(N10)</f>
        <v>3.5000000000000001E-3</v>
      </c>
      <c r="O11" s="21">
        <v>5.0000000000000001E-3</v>
      </c>
      <c r="P11" s="21">
        <v>8.0000000000000002E-3</v>
      </c>
      <c r="Q11" s="21">
        <v>2.35E-2</v>
      </c>
      <c r="R11" s="21" cm="1">
        <f t="array" ref="R11:U11">_xlfn.ANCHORARRAY(R10)</f>
        <v>3.5000000000000001E-3</v>
      </c>
      <c r="S11" s="23">
        <v>5.0000000000000001E-3</v>
      </c>
      <c r="T11" s="23">
        <v>0</v>
      </c>
      <c r="U11" s="23">
        <v>0</v>
      </c>
    </row>
    <row r="12" spans="1:21">
      <c r="A12" s="24">
        <v>8</v>
      </c>
      <c r="B12" s="12" t="s">
        <v>19</v>
      </c>
      <c r="C12" s="13" cm="1">
        <f t="array" ref="C12">_xlfn.LET(_xlpm.x, _xlfn._xlws.FILTER(Parameter_List!$B:$Q, (Parameter_List!$E:$E=Overview!$C$7)*(Parameter_List!$A:$A=Overview!$C$6)*1), INDEX(_xlpm.x, A12))</f>
        <v>2.35E-2</v>
      </c>
      <c r="D12" s="2"/>
      <c r="E12" s="12">
        <v>10</v>
      </c>
      <c r="F12" s="16">
        <v>3500</v>
      </c>
      <c r="G12" s="14">
        <v>1</v>
      </c>
      <c r="H12" s="14">
        <v>35</v>
      </c>
      <c r="I12" s="20">
        <f t="shared" si="0"/>
        <v>0</v>
      </c>
      <c r="J12" s="22">
        <f t="shared" si="0"/>
        <v>250000000</v>
      </c>
      <c r="K12" s="22">
        <f t="shared" si="0"/>
        <v>50000000</v>
      </c>
      <c r="L12" s="42" cm="1">
        <f t="array" ref="L12:M12">TRANSPOSE($C$27:$C$28)*H12</f>
        <v>175000</v>
      </c>
      <c r="M12" s="42">
        <v>35000</v>
      </c>
      <c r="N12" s="21" cm="1">
        <f t="array" ref="N12:Q12">_xlfn.ANCHORARRAY(N11)</f>
        <v>3.5000000000000001E-3</v>
      </c>
      <c r="O12" s="21">
        <v>5.0000000000000001E-3</v>
      </c>
      <c r="P12" s="21">
        <v>8.0000000000000002E-3</v>
      </c>
      <c r="Q12" s="21">
        <v>2.35E-2</v>
      </c>
      <c r="R12" s="21" cm="1">
        <f t="array" ref="R12:U12">_xlfn.ANCHORARRAY(R11)</f>
        <v>3.5000000000000001E-3</v>
      </c>
      <c r="S12" s="23">
        <v>5.0000000000000001E-3</v>
      </c>
      <c r="T12" s="23">
        <v>0</v>
      </c>
      <c r="U12" s="23">
        <v>0</v>
      </c>
    </row>
    <row r="13" spans="1:21">
      <c r="B13" s="40"/>
      <c r="C13" s="44">
        <f>SUM(C9:C12)</f>
        <v>0.04</v>
      </c>
      <c r="D13" s="25"/>
      <c r="E13" s="12">
        <v>11</v>
      </c>
      <c r="F13" s="16">
        <v>4000</v>
      </c>
      <c r="G13" s="14">
        <v>1</v>
      </c>
      <c r="H13" s="14">
        <v>40</v>
      </c>
      <c r="I13" s="20">
        <f t="shared" si="0"/>
        <v>0</v>
      </c>
      <c r="J13" s="22">
        <f t="shared" si="0"/>
        <v>250000000</v>
      </c>
      <c r="K13" s="22">
        <f t="shared" si="0"/>
        <v>50000000</v>
      </c>
      <c r="L13" s="42" cm="1">
        <f t="array" ref="L13:M13">TRANSPOSE($C$27:$C$28)*H13</f>
        <v>200000</v>
      </c>
      <c r="M13" s="42">
        <v>40000</v>
      </c>
      <c r="N13" s="21" cm="1">
        <f t="array" ref="N13:Q13">_xlfn.ANCHORARRAY(N12)</f>
        <v>3.5000000000000001E-3</v>
      </c>
      <c r="O13" s="21">
        <v>5.0000000000000001E-3</v>
      </c>
      <c r="P13" s="21">
        <v>8.0000000000000002E-3</v>
      </c>
      <c r="Q13" s="21">
        <v>2.35E-2</v>
      </c>
      <c r="R13" s="21" cm="1">
        <f t="array" ref="R13:U13">_xlfn.ANCHORARRAY(R12)</f>
        <v>3.5000000000000001E-3</v>
      </c>
      <c r="S13" s="23">
        <v>5.0000000000000001E-3</v>
      </c>
      <c r="T13" s="23">
        <v>0</v>
      </c>
      <c r="U13" s="23">
        <v>0</v>
      </c>
    </row>
    <row r="14" spans="1:21">
      <c r="B14" s="36"/>
      <c r="C14" s="36"/>
      <c r="D14" s="25"/>
      <c r="E14" s="12">
        <v>12</v>
      </c>
      <c r="F14" s="16">
        <v>4500</v>
      </c>
      <c r="G14" s="14">
        <v>1</v>
      </c>
      <c r="H14" s="14">
        <v>45</v>
      </c>
      <c r="I14" s="20">
        <f t="shared" si="0"/>
        <v>0</v>
      </c>
      <c r="J14" s="22">
        <f t="shared" si="0"/>
        <v>250000000</v>
      </c>
      <c r="K14" s="22">
        <f t="shared" si="0"/>
        <v>50000000</v>
      </c>
      <c r="L14" s="42" cm="1">
        <f t="array" ref="L14:M14">TRANSPOSE($C$27:$C$28)*H14</f>
        <v>225000</v>
      </c>
      <c r="M14" s="42">
        <v>45000</v>
      </c>
      <c r="N14" s="21" cm="1">
        <f t="array" ref="N14:Q14">_xlfn.ANCHORARRAY(N13)</f>
        <v>3.5000000000000001E-3</v>
      </c>
      <c r="O14" s="21">
        <v>5.0000000000000001E-3</v>
      </c>
      <c r="P14" s="21">
        <v>8.0000000000000002E-3</v>
      </c>
      <c r="Q14" s="21">
        <v>2.35E-2</v>
      </c>
      <c r="R14" s="21" cm="1">
        <f t="array" ref="R14:U14">_xlfn.ANCHORARRAY(R13)</f>
        <v>3.5000000000000001E-3</v>
      </c>
      <c r="S14" s="23">
        <v>5.0000000000000001E-3</v>
      </c>
      <c r="T14" s="23">
        <v>0</v>
      </c>
      <c r="U14" s="23">
        <v>0</v>
      </c>
    </row>
    <row r="15" spans="1:21">
      <c r="B15" s="36" t="s">
        <v>20</v>
      </c>
      <c r="C15" s="36"/>
      <c r="D15" s="25"/>
      <c r="E15" s="12">
        <v>13</v>
      </c>
      <c r="F15" s="16">
        <v>5000</v>
      </c>
      <c r="G15" s="14">
        <v>1</v>
      </c>
      <c r="H15" s="14">
        <v>50</v>
      </c>
      <c r="I15" s="20">
        <f t="shared" si="0"/>
        <v>0</v>
      </c>
      <c r="J15" s="22">
        <f t="shared" si="0"/>
        <v>250000000</v>
      </c>
      <c r="K15" s="22">
        <f t="shared" si="0"/>
        <v>50000000</v>
      </c>
      <c r="L15" s="42" cm="1">
        <f t="array" ref="L15:M15">TRANSPOSE($C$27:$C$28)*H15</f>
        <v>250000</v>
      </c>
      <c r="M15" s="42">
        <v>50000</v>
      </c>
      <c r="N15" s="21" cm="1">
        <f t="array" ref="N15:Q15">_xlfn.ANCHORARRAY(N14)</f>
        <v>3.5000000000000001E-3</v>
      </c>
      <c r="O15" s="21">
        <v>5.0000000000000001E-3</v>
      </c>
      <c r="P15" s="21">
        <v>8.0000000000000002E-3</v>
      </c>
      <c r="Q15" s="21">
        <v>2.35E-2</v>
      </c>
      <c r="R15" s="21" cm="1">
        <f t="array" ref="R15:U15">_xlfn.ANCHORARRAY(R14)</f>
        <v>3.5000000000000001E-3</v>
      </c>
      <c r="S15" s="23">
        <v>5.0000000000000001E-3</v>
      </c>
      <c r="T15" s="23">
        <v>0</v>
      </c>
      <c r="U15" s="23">
        <v>0</v>
      </c>
    </row>
    <row r="16" spans="1:21">
      <c r="B16" s="11"/>
      <c r="C16" s="11" t="s">
        <v>8</v>
      </c>
      <c r="D16" s="25"/>
      <c r="E16" s="12">
        <v>14</v>
      </c>
      <c r="F16" s="16">
        <v>6000</v>
      </c>
      <c r="G16" s="14">
        <v>1</v>
      </c>
      <c r="H16" s="14">
        <v>60</v>
      </c>
      <c r="I16" s="20">
        <f t="shared" si="0"/>
        <v>0</v>
      </c>
      <c r="J16" s="22">
        <f t="shared" si="0"/>
        <v>250000000</v>
      </c>
      <c r="K16" s="22">
        <f t="shared" si="0"/>
        <v>50000000</v>
      </c>
      <c r="L16" s="42" cm="1">
        <f t="array" ref="L16:M16">TRANSPOSE($C$27:$C$28)*H16</f>
        <v>300000</v>
      </c>
      <c r="M16" s="42">
        <v>60000</v>
      </c>
      <c r="N16" s="21" cm="1">
        <f t="array" ref="N16:Q16">_xlfn.ANCHORARRAY(N15)</f>
        <v>3.5000000000000001E-3</v>
      </c>
      <c r="O16" s="21">
        <v>5.0000000000000001E-3</v>
      </c>
      <c r="P16" s="21">
        <v>8.0000000000000002E-3</v>
      </c>
      <c r="Q16" s="21">
        <v>2.35E-2</v>
      </c>
      <c r="R16" s="21" cm="1">
        <f t="array" ref="R16:U16">_xlfn.ANCHORARRAY(R15)</f>
        <v>3.5000000000000001E-3</v>
      </c>
      <c r="S16" s="23">
        <v>5.0000000000000001E-3</v>
      </c>
      <c r="T16" s="23">
        <v>0</v>
      </c>
      <c r="U16" s="23">
        <v>0</v>
      </c>
    </row>
    <row r="17" spans="1:21">
      <c r="A17" s="24">
        <v>9</v>
      </c>
      <c r="B17" s="12" t="s">
        <v>16</v>
      </c>
      <c r="C17" s="13" cm="1">
        <f t="array" ref="C17">_xlfn.LET(_xlpm.x, _xlfn._xlws.FILTER(Parameter_List!$B:$Q, (Parameter_List!$E:$E=Overview!$C$7)*(Parameter_List!$A:$A=Overview!$C$6)*1), INDEX(_xlpm.x, A17))</f>
        <v>3.5000000000000001E-3</v>
      </c>
      <c r="D17" s="2"/>
      <c r="E17" s="12">
        <v>15</v>
      </c>
      <c r="F17" s="16">
        <v>7000</v>
      </c>
      <c r="G17" s="14">
        <v>1</v>
      </c>
      <c r="H17" s="14">
        <v>70</v>
      </c>
      <c r="I17" s="20">
        <f t="shared" si="0"/>
        <v>0</v>
      </c>
      <c r="J17" s="22">
        <f t="shared" si="0"/>
        <v>250000000</v>
      </c>
      <c r="K17" s="22">
        <f t="shared" si="0"/>
        <v>50000000</v>
      </c>
      <c r="L17" s="42" cm="1">
        <f t="array" ref="L17:M17">TRANSPOSE($C$27:$C$28)*H17</f>
        <v>350000</v>
      </c>
      <c r="M17" s="42">
        <v>70000</v>
      </c>
      <c r="N17" s="21" cm="1">
        <f t="array" ref="N17:Q17">_xlfn.ANCHORARRAY(N16)</f>
        <v>3.5000000000000001E-3</v>
      </c>
      <c r="O17" s="21">
        <v>5.0000000000000001E-3</v>
      </c>
      <c r="P17" s="21">
        <v>8.0000000000000002E-3</v>
      </c>
      <c r="Q17" s="21">
        <v>2.35E-2</v>
      </c>
      <c r="R17" s="21" cm="1">
        <f t="array" ref="R17:U17">_xlfn.ANCHORARRAY(R16)</f>
        <v>3.5000000000000001E-3</v>
      </c>
      <c r="S17" s="23">
        <v>5.0000000000000001E-3</v>
      </c>
      <c r="T17" s="23">
        <v>0</v>
      </c>
      <c r="U17" s="23">
        <v>0</v>
      </c>
    </row>
    <row r="18" spans="1:21">
      <c r="A18" s="24">
        <v>10</v>
      </c>
      <c r="B18" s="12" t="s">
        <v>17</v>
      </c>
      <c r="C18" s="13" cm="1">
        <f t="array" ref="C18">_xlfn.LET(_xlpm.x, _xlfn._xlws.FILTER(Parameter_List!$B:$Q, (Parameter_List!$E:$E=Overview!$C$7)*(Parameter_List!$A:$A=Overview!$C$6)*1), INDEX(_xlpm.x, A18))</f>
        <v>5.0000000000000001E-3</v>
      </c>
      <c r="D18" s="2"/>
      <c r="E18" s="12">
        <v>16</v>
      </c>
      <c r="F18" s="16">
        <v>8000</v>
      </c>
      <c r="G18" s="14">
        <v>1</v>
      </c>
      <c r="H18" s="14">
        <v>80</v>
      </c>
      <c r="I18" s="20">
        <f t="shared" si="0"/>
        <v>0</v>
      </c>
      <c r="J18" s="22">
        <f t="shared" si="0"/>
        <v>250000000</v>
      </c>
      <c r="K18" s="22">
        <f t="shared" si="0"/>
        <v>50000000</v>
      </c>
      <c r="L18" s="42" cm="1">
        <f t="array" ref="L18:M18">TRANSPOSE($C$27:$C$28)*H18</f>
        <v>400000</v>
      </c>
      <c r="M18" s="42">
        <v>80000</v>
      </c>
      <c r="N18" s="21" cm="1">
        <f t="array" ref="N18:Q18">_xlfn.ANCHORARRAY(N17)</f>
        <v>3.5000000000000001E-3</v>
      </c>
      <c r="O18" s="21">
        <v>5.0000000000000001E-3</v>
      </c>
      <c r="P18" s="21">
        <v>8.0000000000000002E-3</v>
      </c>
      <c r="Q18" s="21">
        <v>2.35E-2</v>
      </c>
      <c r="R18" s="21" cm="1">
        <f t="array" ref="R18:U18">_xlfn.ANCHORARRAY(R17)</f>
        <v>3.5000000000000001E-3</v>
      </c>
      <c r="S18" s="23">
        <v>5.0000000000000001E-3</v>
      </c>
      <c r="T18" s="23">
        <v>0</v>
      </c>
      <c r="U18" s="23">
        <v>0</v>
      </c>
    </row>
    <row r="19" spans="1:21">
      <c r="A19" s="24">
        <v>11</v>
      </c>
      <c r="B19" s="12" t="s">
        <v>18</v>
      </c>
      <c r="C19" s="13" cm="1">
        <f t="array" ref="C19">_xlfn.LET(_xlpm.x, _xlfn._xlws.FILTER(Parameter_List!$B:$Q, (Parameter_List!$E:$E=Overview!$C$7)*(Parameter_List!$A:$A=Overview!$C$6)*1), INDEX(_xlpm.x, A19))</f>
        <v>0</v>
      </c>
      <c r="D19" s="2"/>
      <c r="E19" s="12">
        <v>17</v>
      </c>
      <c r="F19" s="16">
        <v>9000</v>
      </c>
      <c r="G19" s="14">
        <v>1</v>
      </c>
      <c r="H19" s="14">
        <v>90</v>
      </c>
      <c r="I19" s="20">
        <f t="shared" si="0"/>
        <v>0</v>
      </c>
      <c r="J19" s="22">
        <f t="shared" si="0"/>
        <v>250000000</v>
      </c>
      <c r="K19" s="22">
        <f t="shared" si="0"/>
        <v>50000000</v>
      </c>
      <c r="L19" s="42" cm="1">
        <f t="array" ref="L19:M19">TRANSPOSE($C$27:$C$28)*H19</f>
        <v>450000</v>
      </c>
      <c r="M19" s="42">
        <v>90000</v>
      </c>
      <c r="N19" s="21" cm="1">
        <f t="array" ref="N19:Q19">_xlfn.ANCHORARRAY(N18)</f>
        <v>3.5000000000000001E-3</v>
      </c>
      <c r="O19" s="21">
        <v>5.0000000000000001E-3</v>
      </c>
      <c r="P19" s="21">
        <v>8.0000000000000002E-3</v>
      </c>
      <c r="Q19" s="21">
        <v>2.35E-2</v>
      </c>
      <c r="R19" s="21" cm="1">
        <f t="array" ref="R19:U19">_xlfn.ANCHORARRAY(R18)</f>
        <v>3.5000000000000001E-3</v>
      </c>
      <c r="S19" s="23">
        <v>5.0000000000000001E-3</v>
      </c>
      <c r="T19" s="23">
        <v>0</v>
      </c>
      <c r="U19" s="23">
        <v>0</v>
      </c>
    </row>
    <row r="20" spans="1:21">
      <c r="A20" s="24">
        <v>12</v>
      </c>
      <c r="B20" s="12" t="s">
        <v>19</v>
      </c>
      <c r="C20" s="13" cm="1">
        <f t="array" ref="C20">_xlfn.LET(_xlpm.x, _xlfn._xlws.FILTER(Parameter_List!$B:$Q, (Parameter_List!$E:$E=Overview!$C$7)*(Parameter_List!$A:$A=Overview!$C$6)*1), INDEX(_xlpm.x, A20))</f>
        <v>0</v>
      </c>
      <c r="D20" s="2"/>
      <c r="E20" s="12">
        <v>18</v>
      </c>
      <c r="F20" s="16">
        <v>10000</v>
      </c>
      <c r="G20" s="14">
        <v>1</v>
      </c>
      <c r="H20" s="14">
        <v>100</v>
      </c>
      <c r="I20" s="20">
        <f t="shared" ref="I20:K32" si="1">I19</f>
        <v>0</v>
      </c>
      <c r="J20" s="22">
        <f t="shared" si="1"/>
        <v>250000000</v>
      </c>
      <c r="K20" s="22">
        <f t="shared" si="1"/>
        <v>50000000</v>
      </c>
      <c r="L20" s="42" cm="1">
        <f t="array" ref="L20:M20">TRANSPOSE($C$27:$C$28)*H20</f>
        <v>500000</v>
      </c>
      <c r="M20" s="42">
        <v>100000</v>
      </c>
      <c r="N20" s="21" cm="1">
        <f t="array" ref="N20:Q20">_xlfn.ANCHORARRAY(N19)</f>
        <v>3.5000000000000001E-3</v>
      </c>
      <c r="O20" s="21">
        <v>5.0000000000000001E-3</v>
      </c>
      <c r="P20" s="21">
        <v>8.0000000000000002E-3</v>
      </c>
      <c r="Q20" s="21">
        <v>2.35E-2</v>
      </c>
      <c r="R20" s="21" cm="1">
        <f t="array" ref="R20:U20">_xlfn.ANCHORARRAY(R19)</f>
        <v>3.5000000000000001E-3</v>
      </c>
      <c r="S20" s="23">
        <v>5.0000000000000001E-3</v>
      </c>
      <c r="T20" s="23">
        <v>0</v>
      </c>
      <c r="U20" s="23">
        <v>0</v>
      </c>
    </row>
    <row r="21" spans="1:21">
      <c r="B21" s="36"/>
      <c r="C21" s="36"/>
      <c r="D21" s="25"/>
      <c r="E21" s="12">
        <v>19</v>
      </c>
      <c r="F21" s="16">
        <v>15000</v>
      </c>
      <c r="G21" s="14">
        <v>1</v>
      </c>
      <c r="H21" s="14">
        <v>150</v>
      </c>
      <c r="I21" s="20">
        <f t="shared" si="1"/>
        <v>0</v>
      </c>
      <c r="J21" s="22">
        <f t="shared" si="1"/>
        <v>250000000</v>
      </c>
      <c r="K21" s="22">
        <f t="shared" si="1"/>
        <v>50000000</v>
      </c>
      <c r="L21" s="42" cm="1">
        <f t="array" ref="L21:M21">TRANSPOSE($C$27:$C$28)*H21</f>
        <v>750000</v>
      </c>
      <c r="M21" s="42">
        <v>150000</v>
      </c>
      <c r="N21" s="21" cm="1">
        <f t="array" ref="N21:Q21">_xlfn.ANCHORARRAY(N20)</f>
        <v>3.5000000000000001E-3</v>
      </c>
      <c r="O21" s="21">
        <v>5.0000000000000001E-3</v>
      </c>
      <c r="P21" s="21">
        <v>8.0000000000000002E-3</v>
      </c>
      <c r="Q21" s="21">
        <v>2.35E-2</v>
      </c>
      <c r="R21" s="21" cm="1">
        <f t="array" ref="R21:U21">_xlfn.ANCHORARRAY(R20)</f>
        <v>3.5000000000000001E-3</v>
      </c>
      <c r="S21" s="23">
        <v>5.0000000000000001E-3</v>
      </c>
      <c r="T21" s="23">
        <v>0</v>
      </c>
      <c r="U21" s="23">
        <v>0</v>
      </c>
    </row>
    <row r="22" spans="1:21">
      <c r="B22" s="36"/>
      <c r="C22" s="36"/>
      <c r="D22" s="25"/>
      <c r="E22" s="12">
        <v>20</v>
      </c>
      <c r="F22" s="16">
        <v>20000</v>
      </c>
      <c r="G22" s="14">
        <v>1</v>
      </c>
      <c r="H22" s="14">
        <v>200</v>
      </c>
      <c r="I22" s="20">
        <f t="shared" si="1"/>
        <v>0</v>
      </c>
      <c r="J22" s="22">
        <f t="shared" si="1"/>
        <v>250000000</v>
      </c>
      <c r="K22" s="22">
        <f t="shared" si="1"/>
        <v>50000000</v>
      </c>
      <c r="L22" s="42" cm="1">
        <f t="array" ref="L22:M22">TRANSPOSE($C$27:$C$28)*H22</f>
        <v>1000000</v>
      </c>
      <c r="M22" s="42">
        <v>200000</v>
      </c>
      <c r="N22" s="21" cm="1">
        <f t="array" ref="N22:Q22">_xlfn.ANCHORARRAY(N21)</f>
        <v>3.5000000000000001E-3</v>
      </c>
      <c r="O22" s="21">
        <v>5.0000000000000001E-3</v>
      </c>
      <c r="P22" s="21">
        <v>8.0000000000000002E-3</v>
      </c>
      <c r="Q22" s="21">
        <v>2.35E-2</v>
      </c>
      <c r="R22" s="21" cm="1">
        <f t="array" ref="R22:U22">_xlfn.ANCHORARRAY(R21)</f>
        <v>3.5000000000000001E-3</v>
      </c>
      <c r="S22" s="23">
        <v>5.0000000000000001E-3</v>
      </c>
      <c r="T22" s="23">
        <v>0</v>
      </c>
      <c r="U22" s="23">
        <v>0</v>
      </c>
    </row>
    <row r="23" spans="1:21">
      <c r="B23" s="51" t="s">
        <v>27</v>
      </c>
      <c r="D23" s="25"/>
      <c r="E23" s="12">
        <v>21</v>
      </c>
      <c r="F23" s="16">
        <v>30000</v>
      </c>
      <c r="G23" s="14">
        <v>1</v>
      </c>
      <c r="H23" s="14">
        <v>300</v>
      </c>
      <c r="I23" s="20">
        <f t="shared" si="1"/>
        <v>0</v>
      </c>
      <c r="J23" s="22">
        <f t="shared" si="1"/>
        <v>250000000</v>
      </c>
      <c r="K23" s="22">
        <f t="shared" si="1"/>
        <v>50000000</v>
      </c>
      <c r="L23" s="42" cm="1">
        <f t="array" ref="L23:M23">TRANSPOSE($C$27:$C$28)*H23</f>
        <v>1500000</v>
      </c>
      <c r="M23" s="42">
        <v>300000</v>
      </c>
      <c r="N23" s="21" cm="1">
        <f t="array" ref="N23:Q23">_xlfn.ANCHORARRAY(N22)</f>
        <v>3.5000000000000001E-3</v>
      </c>
      <c r="O23" s="21">
        <v>5.0000000000000001E-3</v>
      </c>
      <c r="P23" s="21">
        <v>8.0000000000000002E-3</v>
      </c>
      <c r="Q23" s="21">
        <v>2.35E-2</v>
      </c>
      <c r="R23" s="21" cm="1">
        <f t="array" ref="R23:U23">_xlfn.ANCHORARRAY(R22)</f>
        <v>3.5000000000000001E-3</v>
      </c>
      <c r="S23" s="23">
        <v>5.0000000000000001E-3</v>
      </c>
      <c r="T23" s="23">
        <v>0</v>
      </c>
      <c r="U23" s="23">
        <v>0</v>
      </c>
    </row>
    <row r="24" spans="1:21">
      <c r="B24" s="11"/>
      <c r="C24" s="11" t="s">
        <v>8</v>
      </c>
      <c r="D24" s="25"/>
      <c r="E24" s="12">
        <v>22</v>
      </c>
      <c r="F24" s="16">
        <v>50000</v>
      </c>
      <c r="G24" s="14">
        <v>1</v>
      </c>
      <c r="H24" s="14">
        <v>500</v>
      </c>
      <c r="I24" s="20">
        <f t="shared" si="1"/>
        <v>0</v>
      </c>
      <c r="J24" s="22">
        <f t="shared" si="1"/>
        <v>250000000</v>
      </c>
      <c r="K24" s="22">
        <f t="shared" si="1"/>
        <v>50000000</v>
      </c>
      <c r="L24" s="42" cm="1">
        <f t="array" ref="L24:M24">TRANSPOSE($C$27:$C$28)*H24</f>
        <v>2500000</v>
      </c>
      <c r="M24" s="42">
        <v>500000</v>
      </c>
      <c r="N24" s="21" cm="1">
        <f t="array" ref="N24:Q24">_xlfn.ANCHORARRAY(N23)</f>
        <v>3.5000000000000001E-3</v>
      </c>
      <c r="O24" s="21">
        <v>5.0000000000000001E-3</v>
      </c>
      <c r="P24" s="21">
        <v>8.0000000000000002E-3</v>
      </c>
      <c r="Q24" s="21">
        <v>2.35E-2</v>
      </c>
      <c r="R24" s="21" cm="1">
        <f t="array" ref="R24:U24">_xlfn.ANCHORARRAY(R23)</f>
        <v>3.5000000000000001E-3</v>
      </c>
      <c r="S24" s="23">
        <v>5.0000000000000001E-3</v>
      </c>
      <c r="T24" s="23">
        <v>0</v>
      </c>
      <c r="U24" s="23">
        <v>0</v>
      </c>
    </row>
    <row r="25" spans="1:21">
      <c r="A25" s="24">
        <v>13</v>
      </c>
      <c r="B25" s="12" t="s">
        <v>16</v>
      </c>
      <c r="C25" s="15" cm="1">
        <f t="array" ref="C25:C26">D25:D26/C3</f>
        <v>250000000</v>
      </c>
      <c r="D25" s="52" cm="1">
        <f t="array" ref="D25">_xlfn.LET(_xlpm.x, _xlfn._xlws.FILTER(Parameter_List!$B:$Q, (Parameter_List!$E:$E=Overview!$C$7)*(Parameter_List!$A:$A=Overview!$C$6)*1), INDEX(_xlpm.x, A25))</f>
        <v>500000</v>
      </c>
      <c r="E25" s="12">
        <v>23</v>
      </c>
      <c r="F25" s="16">
        <v>100000</v>
      </c>
      <c r="G25" s="14">
        <v>1</v>
      </c>
      <c r="H25" s="14">
        <v>1000</v>
      </c>
      <c r="I25" s="20">
        <f t="shared" si="1"/>
        <v>0</v>
      </c>
      <c r="J25" s="22">
        <f t="shared" si="1"/>
        <v>250000000</v>
      </c>
      <c r="K25" s="22">
        <f t="shared" si="1"/>
        <v>50000000</v>
      </c>
      <c r="L25" s="42" cm="1">
        <f t="array" ref="L25:M25">TRANSPOSE($C$27:$C$28)*H25</f>
        <v>5000000</v>
      </c>
      <c r="M25" s="42">
        <v>1000000</v>
      </c>
      <c r="N25" s="21" cm="1">
        <f t="array" ref="N25:Q25">_xlfn.ANCHORARRAY(N24)</f>
        <v>3.5000000000000001E-3</v>
      </c>
      <c r="O25" s="21">
        <v>5.0000000000000001E-3</v>
      </c>
      <c r="P25" s="21">
        <v>8.0000000000000002E-3</v>
      </c>
      <c r="Q25" s="21">
        <v>2.35E-2</v>
      </c>
      <c r="R25" s="21" cm="1">
        <f t="array" ref="R25:U25">_xlfn.ANCHORARRAY(R24)</f>
        <v>3.5000000000000001E-3</v>
      </c>
      <c r="S25" s="23">
        <v>5.0000000000000001E-3</v>
      </c>
      <c r="T25" s="23">
        <v>0</v>
      </c>
      <c r="U25" s="23">
        <v>0</v>
      </c>
    </row>
    <row r="26" spans="1:21">
      <c r="A26" s="24">
        <v>14</v>
      </c>
      <c r="B26" s="12" t="s">
        <v>17</v>
      </c>
      <c r="C26" s="15">
        <v>50000000</v>
      </c>
      <c r="D26" s="52" cm="1">
        <f t="array" ref="D26">_xlfn.LET(_xlpm.x, _xlfn._xlws.FILTER(Parameter_List!$B:$Q, (Parameter_List!$E:$E=Overview!$C$7)*(Parameter_List!$A:$A=Overview!$C$6)*1), INDEX(_xlpm.x, A26))</f>
        <v>100000</v>
      </c>
      <c r="E26" s="12">
        <v>24</v>
      </c>
      <c r="F26" s="16">
        <v>150000</v>
      </c>
      <c r="G26" s="14">
        <v>1</v>
      </c>
      <c r="H26" s="14">
        <v>1500</v>
      </c>
      <c r="I26" s="20">
        <f t="shared" si="1"/>
        <v>0</v>
      </c>
      <c r="J26" s="22">
        <f t="shared" si="1"/>
        <v>250000000</v>
      </c>
      <c r="K26" s="22">
        <f t="shared" si="1"/>
        <v>50000000</v>
      </c>
      <c r="L26" s="42" cm="1">
        <f t="array" ref="L26:M26">TRANSPOSE($C$27:$C$28)*H26</f>
        <v>7500000</v>
      </c>
      <c r="M26" s="42">
        <v>1500000</v>
      </c>
      <c r="N26" s="21" cm="1">
        <f t="array" ref="N26:Q26">_xlfn.ANCHORARRAY(N25)</f>
        <v>3.5000000000000001E-3</v>
      </c>
      <c r="O26" s="21">
        <v>5.0000000000000001E-3</v>
      </c>
      <c r="P26" s="21">
        <v>8.0000000000000002E-3</v>
      </c>
      <c r="Q26" s="21">
        <v>2.35E-2</v>
      </c>
      <c r="R26" s="21" cm="1">
        <f t="array" ref="R26:U26">_xlfn.ANCHORARRAY(R25)</f>
        <v>3.5000000000000001E-3</v>
      </c>
      <c r="S26" s="23">
        <v>5.0000000000000001E-3</v>
      </c>
      <c r="T26" s="23">
        <v>0</v>
      </c>
      <c r="U26" s="23">
        <v>0</v>
      </c>
    </row>
    <row r="27" spans="1:21">
      <c r="A27" s="24">
        <v>15</v>
      </c>
      <c r="B27" s="12" t="s">
        <v>18</v>
      </c>
      <c r="C27" s="15" cm="1">
        <f t="array" ref="C27:C28">D27:D28*C4</f>
        <v>5000</v>
      </c>
      <c r="D27" s="52" cm="1">
        <f t="array" ref="D27">_xlfn.LET(_xlpm.x, _xlfn._xlws.FILTER(Parameter_List!$B:$Q, (Parameter_List!$E:$E=Overview!$C$7)*(Parameter_List!$A:$A=Overview!$C$6)*1), INDEX(_xlpm.x, A27))</f>
        <v>50</v>
      </c>
      <c r="E27" s="12">
        <v>25</v>
      </c>
      <c r="F27" s="16">
        <v>300000</v>
      </c>
      <c r="G27" s="14">
        <v>1</v>
      </c>
      <c r="H27" s="14">
        <v>3000</v>
      </c>
      <c r="I27" s="20">
        <f t="shared" si="1"/>
        <v>0</v>
      </c>
      <c r="J27" s="22">
        <f t="shared" si="1"/>
        <v>250000000</v>
      </c>
      <c r="K27" s="22">
        <f t="shared" si="1"/>
        <v>50000000</v>
      </c>
      <c r="L27" s="42" cm="1">
        <f t="array" ref="L27:M27">TRANSPOSE($C$27:$C$28)*H27</f>
        <v>15000000</v>
      </c>
      <c r="M27" s="42">
        <v>3000000</v>
      </c>
      <c r="N27" s="21" cm="1">
        <f t="array" ref="N27:Q27">_xlfn.ANCHORARRAY(N26)</f>
        <v>3.5000000000000001E-3</v>
      </c>
      <c r="O27" s="21">
        <v>5.0000000000000001E-3</v>
      </c>
      <c r="P27" s="21">
        <v>8.0000000000000002E-3</v>
      </c>
      <c r="Q27" s="21">
        <v>2.35E-2</v>
      </c>
      <c r="R27" s="21" cm="1">
        <f t="array" ref="R27:U27">_xlfn.ANCHORARRAY(R26)</f>
        <v>3.5000000000000001E-3</v>
      </c>
      <c r="S27" s="23">
        <v>5.0000000000000001E-3</v>
      </c>
      <c r="T27" s="23">
        <v>0</v>
      </c>
      <c r="U27" s="23">
        <v>0</v>
      </c>
    </row>
    <row r="28" spans="1:21">
      <c r="A28" s="24">
        <v>16</v>
      </c>
      <c r="B28" s="12" t="s">
        <v>19</v>
      </c>
      <c r="C28" s="15">
        <v>1000</v>
      </c>
      <c r="D28" s="52" cm="1">
        <f t="array" ref="D28">_xlfn.LET(_xlpm.x, _xlfn._xlws.FILTER(Parameter_List!$B:$Q, (Parameter_List!$E:$E=Overview!$C$7)*(Parameter_List!$A:$A=Overview!$C$6)*1), INDEX(_xlpm.x, A28))</f>
        <v>10</v>
      </c>
      <c r="E28" s="12">
        <v>26</v>
      </c>
      <c r="F28" s="16">
        <v>500000</v>
      </c>
      <c r="G28" s="14">
        <v>1</v>
      </c>
      <c r="H28" s="14">
        <v>5000</v>
      </c>
      <c r="I28" s="20">
        <f t="shared" si="1"/>
        <v>0</v>
      </c>
      <c r="J28" s="22">
        <f t="shared" si="1"/>
        <v>250000000</v>
      </c>
      <c r="K28" s="22">
        <f t="shared" si="1"/>
        <v>50000000</v>
      </c>
      <c r="L28" s="42" cm="1">
        <f t="array" ref="L28:M28">TRANSPOSE($C$27:$C$28)*H28</f>
        <v>25000000</v>
      </c>
      <c r="M28" s="42">
        <v>5000000</v>
      </c>
      <c r="N28" s="21" cm="1">
        <f t="array" ref="N28:Q28">_xlfn.ANCHORARRAY(N27)</f>
        <v>3.5000000000000001E-3</v>
      </c>
      <c r="O28" s="21">
        <v>5.0000000000000001E-3</v>
      </c>
      <c r="P28" s="21">
        <v>8.0000000000000002E-3</v>
      </c>
      <c r="Q28" s="21">
        <v>2.35E-2</v>
      </c>
      <c r="R28" s="21" cm="1">
        <f t="array" ref="R28:U28">_xlfn.ANCHORARRAY(R27)</f>
        <v>3.5000000000000001E-3</v>
      </c>
      <c r="S28" s="23">
        <v>5.0000000000000001E-3</v>
      </c>
      <c r="T28" s="23">
        <v>0</v>
      </c>
      <c r="U28" s="23">
        <v>0</v>
      </c>
    </row>
    <row r="29" spans="1:21">
      <c r="E29" s="12">
        <v>27</v>
      </c>
      <c r="F29" s="16">
        <v>750000</v>
      </c>
      <c r="G29" s="14">
        <v>1</v>
      </c>
      <c r="H29" s="14">
        <v>7500</v>
      </c>
      <c r="I29" s="20">
        <f t="shared" si="1"/>
        <v>0</v>
      </c>
      <c r="J29" s="22">
        <f t="shared" si="1"/>
        <v>250000000</v>
      </c>
      <c r="K29" s="22">
        <f t="shared" si="1"/>
        <v>50000000</v>
      </c>
      <c r="L29" s="42" cm="1">
        <f t="array" ref="L29:M29">TRANSPOSE($C$27:$C$28)*H29</f>
        <v>37500000</v>
      </c>
      <c r="M29" s="42">
        <v>7500000</v>
      </c>
      <c r="N29" s="21" cm="1">
        <f t="array" ref="N29:Q29">_xlfn.ANCHORARRAY(N28)</f>
        <v>3.5000000000000001E-3</v>
      </c>
      <c r="O29" s="21">
        <v>5.0000000000000001E-3</v>
      </c>
      <c r="P29" s="21">
        <v>8.0000000000000002E-3</v>
      </c>
      <c r="Q29" s="21">
        <v>2.35E-2</v>
      </c>
      <c r="R29" s="21" cm="1">
        <f t="array" ref="R29:U29">_xlfn.ANCHORARRAY(R28)</f>
        <v>3.5000000000000001E-3</v>
      </c>
      <c r="S29" s="23">
        <v>5.0000000000000001E-3</v>
      </c>
      <c r="T29" s="23">
        <v>0</v>
      </c>
      <c r="U29" s="23">
        <v>0</v>
      </c>
    </row>
    <row r="30" spans="1:21">
      <c r="D30" s="25"/>
      <c r="E30" s="12">
        <v>28</v>
      </c>
      <c r="F30" s="16">
        <v>1000000</v>
      </c>
      <c r="G30" s="14">
        <v>1</v>
      </c>
      <c r="H30" s="14">
        <v>10000</v>
      </c>
      <c r="I30" s="20">
        <f t="shared" si="1"/>
        <v>0</v>
      </c>
      <c r="J30" s="22">
        <f t="shared" si="1"/>
        <v>250000000</v>
      </c>
      <c r="K30" s="22">
        <f t="shared" si="1"/>
        <v>50000000</v>
      </c>
      <c r="L30" s="42" cm="1">
        <f t="array" ref="L30:M30">TRANSPOSE($C$27:$C$28)*H30</f>
        <v>50000000</v>
      </c>
      <c r="M30" s="42">
        <v>10000000</v>
      </c>
      <c r="N30" s="21" cm="1">
        <f t="array" ref="N30:Q30">_xlfn.ANCHORARRAY(N29)</f>
        <v>3.5000000000000001E-3</v>
      </c>
      <c r="O30" s="21">
        <v>5.0000000000000001E-3</v>
      </c>
      <c r="P30" s="21">
        <v>8.0000000000000002E-3</v>
      </c>
      <c r="Q30" s="21">
        <v>2.35E-2</v>
      </c>
      <c r="R30" s="21" cm="1">
        <f t="array" ref="R30:U30">_xlfn.ANCHORARRAY(R29)</f>
        <v>3.5000000000000001E-3</v>
      </c>
      <c r="S30" s="23">
        <v>5.0000000000000001E-3</v>
      </c>
      <c r="T30" s="23">
        <v>0</v>
      </c>
      <c r="U30" s="23">
        <v>0</v>
      </c>
    </row>
    <row r="31" spans="1:21">
      <c r="D31" s="25"/>
      <c r="E31" s="12">
        <v>29</v>
      </c>
      <c r="F31" s="16">
        <v>1500000</v>
      </c>
      <c r="G31" s="14">
        <v>1</v>
      </c>
      <c r="H31" s="14">
        <v>15000</v>
      </c>
      <c r="I31" s="20">
        <f t="shared" si="1"/>
        <v>0</v>
      </c>
      <c r="J31" s="22">
        <f t="shared" si="1"/>
        <v>250000000</v>
      </c>
      <c r="K31" s="22">
        <f t="shared" si="1"/>
        <v>50000000</v>
      </c>
      <c r="L31" s="42" cm="1">
        <f t="array" ref="L31:M31">TRANSPOSE($C$27:$C$28)*H31</f>
        <v>75000000</v>
      </c>
      <c r="M31" s="42">
        <v>15000000</v>
      </c>
      <c r="N31" s="21" cm="1">
        <f t="array" ref="N31:Q31">_xlfn.ANCHORARRAY(N30)</f>
        <v>3.5000000000000001E-3</v>
      </c>
      <c r="O31" s="21">
        <v>5.0000000000000001E-3</v>
      </c>
      <c r="P31" s="21">
        <v>8.0000000000000002E-3</v>
      </c>
      <c r="Q31" s="21">
        <v>2.35E-2</v>
      </c>
      <c r="R31" s="21" cm="1">
        <f t="array" ref="R31:U31">_xlfn.ANCHORARRAY(R30)</f>
        <v>3.5000000000000001E-3</v>
      </c>
      <c r="S31" s="23">
        <v>5.0000000000000001E-3</v>
      </c>
      <c r="T31" s="23">
        <v>0</v>
      </c>
      <c r="U31" s="23">
        <v>0</v>
      </c>
    </row>
    <row r="32" spans="1:21">
      <c r="B32" s="24"/>
      <c r="C32" s="24"/>
      <c r="E32" s="12">
        <v>30</v>
      </c>
      <c r="F32" s="16">
        <v>2500000</v>
      </c>
      <c r="G32" s="14">
        <v>1</v>
      </c>
      <c r="H32" s="14">
        <v>25000</v>
      </c>
      <c r="I32" s="20">
        <f t="shared" si="1"/>
        <v>0</v>
      </c>
      <c r="J32" s="22">
        <f t="shared" si="1"/>
        <v>250000000</v>
      </c>
      <c r="K32" s="22">
        <f t="shared" si="1"/>
        <v>50000000</v>
      </c>
      <c r="L32" s="42" cm="1">
        <f t="array" ref="L32:M32">TRANSPOSE($C$27:$C$28)*H32</f>
        <v>125000000</v>
      </c>
      <c r="M32" s="42">
        <v>25000000</v>
      </c>
      <c r="N32" s="21" cm="1">
        <f t="array" ref="N32:Q32">_xlfn.ANCHORARRAY(N31)</f>
        <v>3.5000000000000001E-3</v>
      </c>
      <c r="O32" s="21">
        <v>5.0000000000000001E-3</v>
      </c>
      <c r="P32" s="21">
        <v>8.0000000000000002E-3</v>
      </c>
      <c r="Q32" s="21">
        <v>2.35E-2</v>
      </c>
      <c r="R32" s="21" cm="1">
        <f t="array" ref="R32:U32">_xlfn.ANCHORARRAY(R31)</f>
        <v>3.5000000000000001E-3</v>
      </c>
      <c r="S32" s="23">
        <v>5.0000000000000001E-3</v>
      </c>
      <c r="T32" s="23">
        <v>0</v>
      </c>
      <c r="U32" s="23">
        <v>0</v>
      </c>
    </row>
    <row r="33" spans="2:12">
      <c r="B33" s="24"/>
      <c r="C33" s="24"/>
    </row>
    <row r="34" spans="2:12">
      <c r="B34" s="24"/>
      <c r="C34" s="24"/>
    </row>
    <row r="35" spans="2:12">
      <c r="B35" s="24"/>
      <c r="C35" s="24"/>
      <c r="L35" s="35"/>
    </row>
    <row r="36" spans="2:12">
      <c r="B36" s="24"/>
      <c r="C36" s="24"/>
    </row>
    <row r="37" spans="2:12">
      <c r="B37" s="24"/>
      <c r="C37" s="24"/>
    </row>
    <row r="38" spans="2:12">
      <c r="B38" s="24"/>
      <c r="C38" s="24"/>
    </row>
    <row r="39" spans="2:12">
      <c r="B39" s="24"/>
      <c r="C39" s="24"/>
    </row>
    <row r="40" spans="2:12">
      <c r="B40" s="24"/>
      <c r="C40" s="24"/>
    </row>
    <row r="41" spans="2:12">
      <c r="B41" s="24"/>
      <c r="C41" s="24"/>
    </row>
    <row r="42" spans="2:12">
      <c r="B42" s="24"/>
      <c r="C42" s="24"/>
    </row>
    <row r="43" spans="2:12">
      <c r="B43" s="24"/>
      <c r="C43" s="24"/>
    </row>
    <row r="44" spans="2:12">
      <c r="B44" s="24"/>
      <c r="C44" s="24"/>
    </row>
    <row r="45" spans="2:12">
      <c r="B45" s="24"/>
      <c r="C45" s="24"/>
    </row>
    <row r="46" spans="2:12">
      <c r="B46" s="24"/>
      <c r="C46" s="24"/>
    </row>
    <row r="47" spans="2:12">
      <c r="B47" s="24"/>
      <c r="C47" s="24"/>
    </row>
  </sheetData>
  <mergeCells count="3">
    <mergeCell ref="J1:M1"/>
    <mergeCell ref="N1:Q1"/>
    <mergeCell ref="R1:U1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3A59-3380-410E-B135-296D9D80CFDB}">
  <sheetPr codeName="工作表52"/>
  <dimension ref="A1:M331"/>
  <sheetViews>
    <sheetView topLeftCell="C1" workbookViewId="0">
      <selection activeCell="H7" sqref="H7"/>
    </sheetView>
  </sheetViews>
  <sheetFormatPr defaultRowHeight="15.6"/>
  <cols>
    <col min="1" max="1" width="8.6640625" style="26"/>
    <col min="2" max="3" width="12.33203125" bestFit="1" customWidth="1"/>
    <col min="4" max="4" width="22" bestFit="1" customWidth="1"/>
    <col min="5" max="5" width="10.1640625" customWidth="1"/>
    <col min="6" max="6" width="11.25" customWidth="1"/>
    <col min="7" max="7" width="6.25" bestFit="1" customWidth="1"/>
    <col min="8" max="9" width="19.83203125" bestFit="1" customWidth="1"/>
    <col min="10" max="10" width="18.75" bestFit="1" customWidth="1"/>
    <col min="11" max="11" width="23.08203125" customWidth="1"/>
    <col min="12" max="12" width="14.5" bestFit="1" customWidth="1"/>
    <col min="13" max="13" width="18" bestFit="1" customWidth="1"/>
  </cols>
  <sheetData>
    <row r="1" spans="1:13">
      <c r="H1" s="18"/>
    </row>
    <row r="3" spans="1:13">
      <c r="B3" s="1" t="s">
        <v>4</v>
      </c>
      <c r="C3" s="1" t="s">
        <v>8</v>
      </c>
    </row>
    <row r="4" spans="1:13">
      <c r="A4" s="26">
        <v>1</v>
      </c>
      <c r="B4" s="37" t="s">
        <v>26</v>
      </c>
      <c r="C4" s="30">
        <f>_xlfn.XLOOKUP(A4, Setting!E:E, Setting!F:F, , 0)*Setting!$C$3</f>
        <v>0.2</v>
      </c>
      <c r="D4" s="29">
        <f>C4*Setting!$C$5</f>
        <v>0.2</v>
      </c>
    </row>
    <row r="5" spans="1:13">
      <c r="H5" s="53"/>
      <c r="I5" s="18"/>
      <c r="K5" s="27"/>
    </row>
    <row r="6" spans="1:13">
      <c r="H6" s="53"/>
      <c r="I6" s="18"/>
    </row>
    <row r="7" spans="1:13">
      <c r="B7" s="1"/>
      <c r="C7" s="1" t="s">
        <v>2</v>
      </c>
      <c r="D7" s="1" t="s">
        <v>12</v>
      </c>
      <c r="E7" s="1" t="s">
        <v>7</v>
      </c>
      <c r="F7" s="1" t="s">
        <v>1</v>
      </c>
      <c r="G7" s="1" t="s">
        <v>3</v>
      </c>
      <c r="H7" s="1" t="s">
        <v>58</v>
      </c>
      <c r="I7" s="1" t="s">
        <v>5</v>
      </c>
      <c r="J7" s="1" t="s">
        <v>6</v>
      </c>
      <c r="K7" s="1" t="s">
        <v>59</v>
      </c>
    </row>
    <row r="8" spans="1:13">
      <c r="B8" s="3" t="s">
        <v>16</v>
      </c>
      <c r="C8" s="31">
        <f>_xlfn.XLOOKUP(A4, Setting!E:E, Setting!J:J, , 0)*Setting!$C$3</f>
        <v>500000</v>
      </c>
      <c r="D8" s="28" cm="1">
        <f t="array" ref="D8:D11">C8:C11/D4</f>
        <v>2500000</v>
      </c>
      <c r="E8" s="4" cm="1">
        <f t="array" ref="E8:E11">G8:G11-F8:F11</f>
        <v>0</v>
      </c>
      <c r="F8" s="32">
        <f>VLOOKUP(A4, Setting!$E:$U, 14, FALSE)</f>
        <v>3.5000000000000001E-3</v>
      </c>
      <c r="G8" s="32">
        <f>VLOOKUP(A4, Setting!$E:$U, 10, FALSE)</f>
        <v>3.5000000000000001E-3</v>
      </c>
      <c r="H8" s="5">
        <f>E8/D8-Setting!$C$33</f>
        <v>0</v>
      </c>
      <c r="I8" s="5" cm="1">
        <f t="array" ref="I8:I11">_xlfn.ANCHORARRAY(E8)/_xlfn.ANCHORARRAY(D8)/D4</f>
        <v>0</v>
      </c>
      <c r="J8" s="6" t="e" cm="1">
        <f t="array" ref="J8:J11">C8:C11+F8:F11/_xlfn.ANCHORARRAY(E8)*C8:C11</f>
        <v>#DIV/0!</v>
      </c>
      <c r="K8" s="19">
        <f>1/SUM(H8:H11)</f>
        <v>398.40637450199205</v>
      </c>
      <c r="L8" s="7"/>
      <c r="M8" s="17"/>
    </row>
    <row r="9" spans="1:13">
      <c r="B9" s="3" t="s">
        <v>25</v>
      </c>
      <c r="C9" s="31">
        <f>_xlfn.XLOOKUP(A4, Setting!E:E, Setting!K:K, , 0)*Setting!$C$3</f>
        <v>100000</v>
      </c>
      <c r="D9" s="28">
        <v>500000</v>
      </c>
      <c r="E9" s="4">
        <v>0</v>
      </c>
      <c r="F9" s="32">
        <f>VLOOKUP(A4, Setting!$E:$U, 15, FALSE)</f>
        <v>5.0000000000000001E-3</v>
      </c>
      <c r="G9" s="32">
        <f>VLOOKUP(A4, Setting!$E:$U, 11, FALSE)</f>
        <v>5.0000000000000001E-3</v>
      </c>
      <c r="H9" s="5" cm="1">
        <f t="array" ref="H9:H11">E9:E11/D9:D11</f>
        <v>0</v>
      </c>
      <c r="I9" s="5">
        <v>0</v>
      </c>
      <c r="J9" s="6" t="e">
        <v>#DIV/0!</v>
      </c>
      <c r="K9" s="19"/>
      <c r="L9" s="7"/>
      <c r="M9" s="17"/>
    </row>
    <row r="10" spans="1:13">
      <c r="B10" s="3" t="s">
        <v>18</v>
      </c>
      <c r="C10" s="31">
        <f>_xlfn.XLOOKUP(A4, Setting!E:E, Setting!L:L, , 0)*Setting!$C$3</f>
        <v>10</v>
      </c>
      <c r="D10" s="28">
        <v>50</v>
      </c>
      <c r="E10" s="4">
        <v>8.0000000000000002E-3</v>
      </c>
      <c r="F10" s="32">
        <f>VLOOKUP(A4, Setting!$E:$U, 16, FALSE)</f>
        <v>0</v>
      </c>
      <c r="G10" s="33">
        <f>VLOOKUP(A4, Setting!$E:$U, 12, FALSE)</f>
        <v>8.0000000000000002E-3</v>
      </c>
      <c r="H10" s="5">
        <v>1.6000000000000001E-4</v>
      </c>
      <c r="I10" s="5">
        <v>8.0000000000000004E-4</v>
      </c>
      <c r="J10" s="6">
        <v>10</v>
      </c>
      <c r="K10" s="19"/>
      <c r="L10" s="7"/>
      <c r="M10" s="17"/>
    </row>
    <row r="11" spans="1:13">
      <c r="B11" s="3" t="s">
        <v>19</v>
      </c>
      <c r="C11" s="31">
        <f>_xlfn.XLOOKUP(A4, Setting!E:E, Setting!M:M, , 0)*Setting!$C$3</f>
        <v>2</v>
      </c>
      <c r="D11" s="28">
        <v>10</v>
      </c>
      <c r="E11" s="4">
        <v>2.35E-2</v>
      </c>
      <c r="F11" s="32">
        <f>VLOOKUP(A4, Setting!$E:$U, 17, FALSE)</f>
        <v>0</v>
      </c>
      <c r="G11" s="33">
        <f>VLOOKUP(A4, Setting!$E:$U, 13, FALSE)</f>
        <v>2.35E-2</v>
      </c>
      <c r="H11" s="5">
        <v>2.3500000000000001E-3</v>
      </c>
      <c r="I11" s="5">
        <v>1.175E-2</v>
      </c>
      <c r="J11" s="6">
        <v>2</v>
      </c>
      <c r="K11" s="19"/>
      <c r="L11" s="7"/>
      <c r="M11" s="17"/>
    </row>
    <row r="12" spans="1:13">
      <c r="G12" s="34">
        <f>SUM(G8:G11)</f>
        <v>0.04</v>
      </c>
      <c r="H12" s="8">
        <f>SUM(H8:H11)</f>
        <v>2.5100000000000001E-3</v>
      </c>
    </row>
    <row r="13" spans="1:13">
      <c r="G13" s="34"/>
      <c r="H13" s="8"/>
    </row>
    <row r="14" spans="1:13">
      <c r="B14" s="1" t="s">
        <v>4</v>
      </c>
      <c r="C14" s="1" t="s">
        <v>8</v>
      </c>
    </row>
    <row r="15" spans="1:13">
      <c r="A15" s="26">
        <f>A4+1</f>
        <v>2</v>
      </c>
      <c r="B15" s="37" t="s">
        <v>26</v>
      </c>
      <c r="C15" s="30">
        <f>_xlfn.XLOOKUP(A15, Setting!E:E, Setting!F:F, , 0)*Setting!$C$3</f>
        <v>0.4</v>
      </c>
      <c r="D15" s="29">
        <f>C15*Setting!$C$5</f>
        <v>0.4</v>
      </c>
    </row>
    <row r="16" spans="1:13">
      <c r="H16" s="53"/>
      <c r="I16" s="18"/>
      <c r="K16" s="27"/>
    </row>
    <row r="17" spans="1:13">
      <c r="H17" s="53"/>
      <c r="I17" s="18"/>
    </row>
    <row r="18" spans="1:13">
      <c r="B18" s="1"/>
      <c r="C18" s="1" t="s">
        <v>2</v>
      </c>
      <c r="D18" s="1" t="s">
        <v>12</v>
      </c>
      <c r="E18" s="1" t="s">
        <v>7</v>
      </c>
      <c r="F18" s="1" t="s">
        <v>1</v>
      </c>
      <c r="G18" s="1" t="s">
        <v>3</v>
      </c>
      <c r="H18" s="1" t="s">
        <v>58</v>
      </c>
      <c r="I18" s="1" t="s">
        <v>5</v>
      </c>
      <c r="J18" s="1" t="s">
        <v>6</v>
      </c>
      <c r="K18" s="1" t="s">
        <v>59</v>
      </c>
    </row>
    <row r="19" spans="1:13">
      <c r="B19" s="3" t="s">
        <v>16</v>
      </c>
      <c r="C19" s="31">
        <f>_xlfn.XLOOKUP(A15, Setting!E:E, Setting!J:J, , 0)*Setting!$C$3</f>
        <v>500000</v>
      </c>
      <c r="D19" s="28" cm="1">
        <f t="array" ref="D19:D22">C19:C22/D15</f>
        <v>1250000</v>
      </c>
      <c r="E19" s="4" cm="1">
        <f t="array" ref="E19:E22">G19:G22-F19:F22</f>
        <v>0</v>
      </c>
      <c r="F19" s="32">
        <f>VLOOKUP(A15, Setting!$E:$U, 14, FALSE)</f>
        <v>3.5000000000000001E-3</v>
      </c>
      <c r="G19" s="32">
        <f>VLOOKUP(A15, Setting!$E:$U, 10, FALSE)</f>
        <v>3.5000000000000001E-3</v>
      </c>
      <c r="H19" s="5">
        <f>E19/D19-Setting!$C$33</f>
        <v>0</v>
      </c>
      <c r="I19" s="5" cm="1">
        <f t="array" ref="I19:I22">_xlfn.ANCHORARRAY(E19)/_xlfn.ANCHORARRAY(D19)/D15</f>
        <v>0</v>
      </c>
      <c r="J19" s="6" t="e" cm="1">
        <f t="array" ref="J19:J22">C19:C22+F19:F22/_xlfn.ANCHORARRAY(E19)*C19:C22</f>
        <v>#DIV/0!</v>
      </c>
      <c r="K19" s="19">
        <f>1/SUM(H19:H22)</f>
        <v>398.40637450199205</v>
      </c>
      <c r="L19" s="7"/>
      <c r="M19" s="17"/>
    </row>
    <row r="20" spans="1:13">
      <c r="B20" s="3" t="s">
        <v>25</v>
      </c>
      <c r="C20" s="31">
        <f>_xlfn.XLOOKUP(A15, Setting!E:E, Setting!K:K, , 0)*Setting!$C$3</f>
        <v>100000</v>
      </c>
      <c r="D20" s="28">
        <v>250000</v>
      </c>
      <c r="E20" s="4">
        <v>0</v>
      </c>
      <c r="F20" s="32">
        <f>VLOOKUP(A15, Setting!$E:$U, 15, FALSE)</f>
        <v>5.0000000000000001E-3</v>
      </c>
      <c r="G20" s="32">
        <f>VLOOKUP(A15, Setting!$E:$U, 11, FALSE)</f>
        <v>5.0000000000000001E-3</v>
      </c>
      <c r="H20" s="5" cm="1">
        <f t="array" ref="H20:H22">E20:E22/D20:D22</f>
        <v>0</v>
      </c>
      <c r="I20" s="5">
        <v>0</v>
      </c>
      <c r="J20" s="6" t="e">
        <v>#DIV/0!</v>
      </c>
      <c r="K20" s="19"/>
      <c r="L20" s="7"/>
      <c r="M20" s="17"/>
    </row>
    <row r="21" spans="1:13">
      <c r="B21" s="3" t="s">
        <v>18</v>
      </c>
      <c r="C21" s="31">
        <f>_xlfn.XLOOKUP(A15, Setting!E:E, Setting!L:L, , 0)*Setting!$C$3</f>
        <v>20</v>
      </c>
      <c r="D21" s="28">
        <v>50</v>
      </c>
      <c r="E21" s="4">
        <v>8.0000000000000002E-3</v>
      </c>
      <c r="F21" s="32">
        <f>VLOOKUP(A15, Setting!$E:$U, 16, FALSE)</f>
        <v>0</v>
      </c>
      <c r="G21" s="33">
        <f>VLOOKUP(A15, Setting!$E:$U, 12, FALSE)</f>
        <v>8.0000000000000002E-3</v>
      </c>
      <c r="H21" s="5">
        <v>1.6000000000000001E-4</v>
      </c>
      <c r="I21" s="5">
        <v>4.0000000000000002E-4</v>
      </c>
      <c r="J21" s="6">
        <v>20</v>
      </c>
      <c r="K21" s="19"/>
      <c r="L21" s="7"/>
      <c r="M21" s="17"/>
    </row>
    <row r="22" spans="1:13">
      <c r="B22" s="3" t="s">
        <v>19</v>
      </c>
      <c r="C22" s="31">
        <f>_xlfn.XLOOKUP(A15, Setting!E:E, Setting!M:M, , 0)*Setting!$C$3</f>
        <v>4</v>
      </c>
      <c r="D22" s="28">
        <v>10</v>
      </c>
      <c r="E22" s="4">
        <v>2.35E-2</v>
      </c>
      <c r="F22" s="32">
        <f>VLOOKUP(A15, Setting!$E:$U, 17, FALSE)</f>
        <v>0</v>
      </c>
      <c r="G22" s="33">
        <f>VLOOKUP(A15, Setting!$E:$U, 13, FALSE)</f>
        <v>2.35E-2</v>
      </c>
      <c r="H22" s="5">
        <v>2.3500000000000001E-3</v>
      </c>
      <c r="I22" s="5">
        <v>5.875E-3</v>
      </c>
      <c r="J22" s="6">
        <v>4</v>
      </c>
      <c r="K22" s="19"/>
      <c r="L22" s="7"/>
      <c r="M22" s="17"/>
    </row>
    <row r="23" spans="1:13">
      <c r="G23" s="34">
        <f>SUM(G19:G22)</f>
        <v>0.04</v>
      </c>
      <c r="H23" s="8">
        <f>SUM(H19:H22)</f>
        <v>2.5100000000000001E-3</v>
      </c>
    </row>
    <row r="24" spans="1:13">
      <c r="G24" s="34"/>
      <c r="H24" s="8"/>
    </row>
    <row r="25" spans="1:13">
      <c r="B25" s="1" t="s">
        <v>4</v>
      </c>
      <c r="C25" s="1" t="s">
        <v>8</v>
      </c>
    </row>
    <row r="26" spans="1:13">
      <c r="A26" s="26">
        <f>A15+1</f>
        <v>3</v>
      </c>
      <c r="B26" s="37" t="s">
        <v>26</v>
      </c>
      <c r="C26" s="30">
        <f>_xlfn.XLOOKUP(A26, Setting!E:E, Setting!F:F, , 0)*Setting!$C$3</f>
        <v>1</v>
      </c>
      <c r="D26" s="29">
        <f>C26*Setting!$C$5</f>
        <v>1</v>
      </c>
    </row>
    <row r="27" spans="1:13">
      <c r="H27" s="53"/>
      <c r="I27" s="18"/>
      <c r="K27" s="27"/>
    </row>
    <row r="28" spans="1:13">
      <c r="H28" s="53"/>
      <c r="I28" s="18"/>
    </row>
    <row r="29" spans="1:13">
      <c r="B29" s="1"/>
      <c r="C29" s="1" t="s">
        <v>2</v>
      </c>
      <c r="D29" s="1" t="s">
        <v>12</v>
      </c>
      <c r="E29" s="1" t="s">
        <v>7</v>
      </c>
      <c r="F29" s="1" t="s">
        <v>1</v>
      </c>
      <c r="G29" s="1" t="s">
        <v>3</v>
      </c>
      <c r="H29" s="1" t="s">
        <v>58</v>
      </c>
      <c r="I29" s="1" t="s">
        <v>5</v>
      </c>
      <c r="J29" s="1" t="s">
        <v>6</v>
      </c>
      <c r="K29" s="1" t="s">
        <v>59</v>
      </c>
    </row>
    <row r="30" spans="1:13">
      <c r="B30" s="3" t="s">
        <v>16</v>
      </c>
      <c r="C30" s="31">
        <f>_xlfn.XLOOKUP(A26, Setting!E:E, Setting!J:J, , 0)*Setting!$C$3</f>
        <v>500000</v>
      </c>
      <c r="D30" s="28" cm="1">
        <f t="array" ref="D30:D33">C30:C33/D26</f>
        <v>500000</v>
      </c>
      <c r="E30" s="4" cm="1">
        <f t="array" ref="E30:E33">G30:G33-F30:F33</f>
        <v>0</v>
      </c>
      <c r="F30" s="32">
        <f>VLOOKUP(A26, Setting!$E:$U, 14, FALSE)</f>
        <v>3.5000000000000001E-3</v>
      </c>
      <c r="G30" s="32">
        <f>VLOOKUP(A26, Setting!$E:$U, 10, FALSE)</f>
        <v>3.5000000000000001E-3</v>
      </c>
      <c r="H30" s="5">
        <f>E30/D30-Setting!$C$33</f>
        <v>0</v>
      </c>
      <c r="I30" s="5" cm="1">
        <f t="array" ref="I30:I33">_xlfn.ANCHORARRAY(E30)/_xlfn.ANCHORARRAY(D30)/D26</f>
        <v>0</v>
      </c>
      <c r="J30" s="6" t="e" cm="1">
        <f t="array" ref="J30:J33">C30:C33+F30:F33/_xlfn.ANCHORARRAY(E30)*C30:C33</f>
        <v>#DIV/0!</v>
      </c>
      <c r="K30" s="19">
        <f>1/SUM(H30:H33)</f>
        <v>398.40637450199205</v>
      </c>
      <c r="L30" s="7"/>
      <c r="M30" s="17"/>
    </row>
    <row r="31" spans="1:13">
      <c r="B31" s="3" t="s">
        <v>25</v>
      </c>
      <c r="C31" s="31">
        <f>_xlfn.XLOOKUP(A26, Setting!E:E, Setting!K:K, , 0)*Setting!$C$3</f>
        <v>100000</v>
      </c>
      <c r="D31" s="28">
        <v>100000</v>
      </c>
      <c r="E31" s="4">
        <v>0</v>
      </c>
      <c r="F31" s="32">
        <f>VLOOKUP(A26, Setting!$E:$U, 15, FALSE)</f>
        <v>5.0000000000000001E-3</v>
      </c>
      <c r="G31" s="32">
        <f>VLOOKUP(A26, Setting!$E:$U, 11, FALSE)</f>
        <v>5.0000000000000001E-3</v>
      </c>
      <c r="H31" s="5" cm="1">
        <f t="array" ref="H31:H33">E31:E33/D31:D33</f>
        <v>0</v>
      </c>
      <c r="I31" s="5">
        <v>0</v>
      </c>
      <c r="J31" s="6" t="e">
        <v>#DIV/0!</v>
      </c>
      <c r="K31" s="19"/>
      <c r="L31" s="7"/>
      <c r="M31" s="17"/>
    </row>
    <row r="32" spans="1:13">
      <c r="B32" s="3" t="s">
        <v>18</v>
      </c>
      <c r="C32" s="31">
        <f>_xlfn.XLOOKUP(A26, Setting!E:E, Setting!L:L, , 0)*Setting!$C$3</f>
        <v>50</v>
      </c>
      <c r="D32" s="28">
        <v>50</v>
      </c>
      <c r="E32" s="4">
        <v>8.0000000000000002E-3</v>
      </c>
      <c r="F32" s="32">
        <f>VLOOKUP(A26, Setting!$E:$U, 16, FALSE)</f>
        <v>0</v>
      </c>
      <c r="G32" s="33">
        <f>VLOOKUP(A26, Setting!$E:$U, 12, FALSE)</f>
        <v>8.0000000000000002E-3</v>
      </c>
      <c r="H32" s="5">
        <v>1.6000000000000001E-4</v>
      </c>
      <c r="I32" s="5">
        <v>1.6000000000000001E-4</v>
      </c>
      <c r="J32" s="6">
        <v>50</v>
      </c>
      <c r="K32" s="19"/>
      <c r="L32" s="7"/>
      <c r="M32" s="17"/>
    </row>
    <row r="33" spans="1:13">
      <c r="B33" s="3" t="s">
        <v>19</v>
      </c>
      <c r="C33" s="31">
        <f>_xlfn.XLOOKUP(A26, Setting!E:E, Setting!M:M, , 0)*Setting!$C$3</f>
        <v>10</v>
      </c>
      <c r="D33" s="28">
        <v>10</v>
      </c>
      <c r="E33" s="4">
        <v>2.35E-2</v>
      </c>
      <c r="F33" s="32">
        <f>VLOOKUP(A26, Setting!$E:$U, 17, FALSE)</f>
        <v>0</v>
      </c>
      <c r="G33" s="33">
        <f>VLOOKUP(A26, Setting!$E:$U, 13, FALSE)</f>
        <v>2.35E-2</v>
      </c>
      <c r="H33" s="5">
        <v>2.3500000000000001E-3</v>
      </c>
      <c r="I33" s="5">
        <v>2.3500000000000001E-3</v>
      </c>
      <c r="J33" s="6">
        <v>10</v>
      </c>
      <c r="K33" s="19"/>
      <c r="L33" s="7"/>
      <c r="M33" s="17"/>
    </row>
    <row r="34" spans="1:13">
      <c r="G34" s="34">
        <f>SUM(G30:G33)</f>
        <v>0.04</v>
      </c>
      <c r="H34" s="8">
        <f>SUM(H30:H33)</f>
        <v>2.5100000000000001E-3</v>
      </c>
    </row>
    <row r="35" spans="1:13">
      <c r="G35" s="34"/>
      <c r="H35" s="8"/>
    </row>
    <row r="36" spans="1:13">
      <c r="B36" s="1" t="s">
        <v>4</v>
      </c>
      <c r="C36" s="1" t="s">
        <v>8</v>
      </c>
    </row>
    <row r="37" spans="1:13">
      <c r="A37" s="26">
        <f>A26+1</f>
        <v>4</v>
      </c>
      <c r="B37" s="37" t="s">
        <v>26</v>
      </c>
      <c r="C37" s="30">
        <f>_xlfn.XLOOKUP(A37, Setting!E:E, Setting!F:F, , 0)*Setting!$C$3</f>
        <v>2</v>
      </c>
      <c r="D37" s="29">
        <f>C37*Setting!$C$5</f>
        <v>2</v>
      </c>
    </row>
    <row r="38" spans="1:13">
      <c r="H38" s="53"/>
      <c r="I38" s="18"/>
      <c r="K38" s="27"/>
    </row>
    <row r="39" spans="1:13">
      <c r="H39" s="53"/>
      <c r="I39" s="18"/>
    </row>
    <row r="40" spans="1:13">
      <c r="B40" s="1"/>
      <c r="C40" s="1" t="s">
        <v>2</v>
      </c>
      <c r="D40" s="1" t="s">
        <v>12</v>
      </c>
      <c r="E40" s="1" t="s">
        <v>7</v>
      </c>
      <c r="F40" s="1" t="s">
        <v>1</v>
      </c>
      <c r="G40" s="1" t="s">
        <v>3</v>
      </c>
      <c r="H40" s="1" t="s">
        <v>58</v>
      </c>
      <c r="I40" s="1" t="s">
        <v>5</v>
      </c>
      <c r="J40" s="1" t="s">
        <v>6</v>
      </c>
      <c r="K40" s="1" t="s">
        <v>59</v>
      </c>
    </row>
    <row r="41" spans="1:13">
      <c r="B41" s="3" t="s">
        <v>16</v>
      </c>
      <c r="C41" s="31">
        <f>_xlfn.XLOOKUP(A37, Setting!E:E, Setting!J:J, , 0)*Setting!$C$3</f>
        <v>500000</v>
      </c>
      <c r="D41" s="28" cm="1">
        <f t="array" ref="D41:D44">C41:C44/D37</f>
        <v>250000</v>
      </c>
      <c r="E41" s="4" cm="1">
        <f t="array" ref="E41:E44">G41:G44-F41:F44</f>
        <v>0</v>
      </c>
      <c r="F41" s="32">
        <f>VLOOKUP(A37, Setting!$E:$U, 14, FALSE)</f>
        <v>3.5000000000000001E-3</v>
      </c>
      <c r="G41" s="32">
        <f>VLOOKUP(A37, Setting!$E:$U, 10, FALSE)</f>
        <v>3.5000000000000001E-3</v>
      </c>
      <c r="H41" s="5">
        <f>E41/D41-Setting!$C$33</f>
        <v>0</v>
      </c>
      <c r="I41" s="5" cm="1">
        <f t="array" ref="I41:I44">_xlfn.ANCHORARRAY(E41)/_xlfn.ANCHORARRAY(D41)/D37</f>
        <v>0</v>
      </c>
      <c r="J41" s="6" t="e" cm="1">
        <f t="array" ref="J41:J44">C41:C44+F41:F44/_xlfn.ANCHORARRAY(E41)*C41:C44</f>
        <v>#DIV/0!</v>
      </c>
      <c r="K41" s="19">
        <f>1/SUM(H41:H44)</f>
        <v>398.40637450199205</v>
      </c>
      <c r="L41" s="7"/>
      <c r="M41" s="17"/>
    </row>
    <row r="42" spans="1:13">
      <c r="B42" s="3" t="s">
        <v>25</v>
      </c>
      <c r="C42" s="31">
        <f>_xlfn.XLOOKUP(A37, Setting!E:E, Setting!K:K, , 0)*Setting!$C$3</f>
        <v>100000</v>
      </c>
      <c r="D42" s="28">
        <v>50000</v>
      </c>
      <c r="E42" s="4">
        <v>0</v>
      </c>
      <c r="F42" s="32">
        <f>VLOOKUP(A37, Setting!$E:$U, 15, FALSE)</f>
        <v>5.0000000000000001E-3</v>
      </c>
      <c r="G42" s="32">
        <f>VLOOKUP(A37, Setting!$E:$U, 11, FALSE)</f>
        <v>5.0000000000000001E-3</v>
      </c>
      <c r="H42" s="5" cm="1">
        <f t="array" ref="H42:H44">E42:E44/D42:D44</f>
        <v>0</v>
      </c>
      <c r="I42" s="5">
        <v>0</v>
      </c>
      <c r="J42" s="6" t="e">
        <v>#DIV/0!</v>
      </c>
      <c r="K42" s="19"/>
      <c r="L42" s="7"/>
      <c r="M42" s="17"/>
    </row>
    <row r="43" spans="1:13">
      <c r="B43" s="3" t="s">
        <v>18</v>
      </c>
      <c r="C43" s="31">
        <f>_xlfn.XLOOKUP(A37, Setting!E:E, Setting!L:L, , 0)*Setting!$C$3</f>
        <v>100</v>
      </c>
      <c r="D43" s="28">
        <v>50</v>
      </c>
      <c r="E43" s="4">
        <v>8.0000000000000002E-3</v>
      </c>
      <c r="F43" s="32">
        <f>VLOOKUP(A37, Setting!$E:$U, 16, FALSE)</f>
        <v>0</v>
      </c>
      <c r="G43" s="33">
        <f>VLOOKUP(A37, Setting!$E:$U, 12, FALSE)</f>
        <v>8.0000000000000002E-3</v>
      </c>
      <c r="H43" s="5">
        <v>1.6000000000000001E-4</v>
      </c>
      <c r="I43" s="5">
        <v>8.0000000000000007E-5</v>
      </c>
      <c r="J43" s="6">
        <v>100</v>
      </c>
      <c r="K43" s="19"/>
      <c r="L43" s="7"/>
      <c r="M43" s="17"/>
    </row>
    <row r="44" spans="1:13">
      <c r="B44" s="3" t="s">
        <v>19</v>
      </c>
      <c r="C44" s="31">
        <f>_xlfn.XLOOKUP(A37, Setting!E:E, Setting!M:M, , 0)*Setting!$C$3</f>
        <v>20</v>
      </c>
      <c r="D44" s="28">
        <v>10</v>
      </c>
      <c r="E44" s="4">
        <v>2.35E-2</v>
      </c>
      <c r="F44" s="32">
        <f>VLOOKUP(A37, Setting!$E:$U, 17, FALSE)</f>
        <v>0</v>
      </c>
      <c r="G44" s="33">
        <f>VLOOKUP(A37, Setting!$E:$U, 13, FALSE)</f>
        <v>2.35E-2</v>
      </c>
      <c r="H44" s="5">
        <v>2.3500000000000001E-3</v>
      </c>
      <c r="I44" s="5">
        <v>1.175E-3</v>
      </c>
      <c r="J44" s="6">
        <v>20</v>
      </c>
      <c r="K44" s="19"/>
      <c r="L44" s="7"/>
      <c r="M44" s="17"/>
    </row>
    <row r="45" spans="1:13">
      <c r="G45" s="34">
        <f>SUM(G41:G44)</f>
        <v>0.04</v>
      </c>
      <c r="H45" s="8">
        <f>SUM(H41:H44)</f>
        <v>2.5100000000000001E-3</v>
      </c>
    </row>
    <row r="46" spans="1:13">
      <c r="G46" s="34"/>
      <c r="H46" s="8"/>
    </row>
    <row r="47" spans="1:13">
      <c r="B47" s="1" t="s">
        <v>4</v>
      </c>
      <c r="C47" s="1" t="s">
        <v>8</v>
      </c>
    </row>
    <row r="48" spans="1:13">
      <c r="A48" s="26">
        <f>A37+1</f>
        <v>5</v>
      </c>
      <c r="B48" s="37" t="s">
        <v>26</v>
      </c>
      <c r="C48" s="30">
        <f>_xlfn.XLOOKUP(A48, Setting!E:E, Setting!F:F, , 0)*Setting!$C$3</f>
        <v>2.4</v>
      </c>
      <c r="D48" s="29">
        <f>C48*Setting!$C$5</f>
        <v>2.4</v>
      </c>
    </row>
    <row r="49" spans="1:13">
      <c r="H49" s="53"/>
      <c r="I49" s="18"/>
      <c r="K49" s="27"/>
    </row>
    <row r="50" spans="1:13">
      <c r="H50" s="53"/>
      <c r="I50" s="18"/>
    </row>
    <row r="51" spans="1:13">
      <c r="B51" s="1"/>
      <c r="C51" s="1" t="s">
        <v>2</v>
      </c>
      <c r="D51" s="1" t="s">
        <v>12</v>
      </c>
      <c r="E51" s="1" t="s">
        <v>7</v>
      </c>
      <c r="F51" s="1" t="s">
        <v>1</v>
      </c>
      <c r="G51" s="1" t="s">
        <v>3</v>
      </c>
      <c r="H51" s="1" t="s">
        <v>58</v>
      </c>
      <c r="I51" s="1" t="s">
        <v>5</v>
      </c>
      <c r="J51" s="1" t="s">
        <v>6</v>
      </c>
      <c r="K51" s="1" t="s">
        <v>59</v>
      </c>
    </row>
    <row r="52" spans="1:13">
      <c r="B52" s="3" t="s">
        <v>16</v>
      </c>
      <c r="C52" s="31">
        <f>_xlfn.XLOOKUP(A48, Setting!E:E, Setting!J:J, , 0)*Setting!$C$3</f>
        <v>500000</v>
      </c>
      <c r="D52" s="28" cm="1">
        <f t="array" ref="D52:D55">C52:C55/D48</f>
        <v>208333.33333333334</v>
      </c>
      <c r="E52" s="4" cm="1">
        <f t="array" ref="E52:E55">G52:G55-F52:F55</f>
        <v>0</v>
      </c>
      <c r="F52" s="32">
        <f>VLOOKUP(A48, Setting!$E:$U, 14, FALSE)</f>
        <v>3.5000000000000001E-3</v>
      </c>
      <c r="G52" s="32">
        <f>VLOOKUP(A48, Setting!$E:$U, 10, FALSE)</f>
        <v>3.5000000000000001E-3</v>
      </c>
      <c r="H52" s="5">
        <f>E52/D52-Setting!$C$33</f>
        <v>0</v>
      </c>
      <c r="I52" s="5" cm="1">
        <f t="array" ref="I52:I55">_xlfn.ANCHORARRAY(E52)/_xlfn.ANCHORARRAY(D52)/D48</f>
        <v>0</v>
      </c>
      <c r="J52" s="6" t="e" cm="1">
        <f t="array" ref="J52:J55">C52:C55+F52:F55/_xlfn.ANCHORARRAY(E52)*C52:C55</f>
        <v>#DIV/0!</v>
      </c>
      <c r="K52" s="19">
        <f>1/SUM(H52:H55)</f>
        <v>398.40637450199205</v>
      </c>
      <c r="L52" s="7"/>
      <c r="M52" s="17"/>
    </row>
    <row r="53" spans="1:13">
      <c r="B53" s="3" t="s">
        <v>25</v>
      </c>
      <c r="C53" s="31">
        <f>_xlfn.XLOOKUP(A48, Setting!E:E, Setting!K:K, , 0)*Setting!$C$3</f>
        <v>100000</v>
      </c>
      <c r="D53" s="28">
        <v>41666.666666666672</v>
      </c>
      <c r="E53" s="4">
        <v>0</v>
      </c>
      <c r="F53" s="32">
        <f>VLOOKUP(A48, Setting!$E:$U, 15, FALSE)</f>
        <v>5.0000000000000001E-3</v>
      </c>
      <c r="G53" s="32">
        <f>VLOOKUP(A48, Setting!$E:$U, 11, FALSE)</f>
        <v>5.0000000000000001E-3</v>
      </c>
      <c r="H53" s="5" cm="1">
        <f t="array" ref="H53:H55">E53:E55/D53:D55</f>
        <v>0</v>
      </c>
      <c r="I53" s="5">
        <v>0</v>
      </c>
      <c r="J53" s="6" t="e">
        <v>#DIV/0!</v>
      </c>
      <c r="K53" s="19"/>
      <c r="L53" s="7"/>
      <c r="M53" s="17"/>
    </row>
    <row r="54" spans="1:13">
      <c r="B54" s="3" t="s">
        <v>18</v>
      </c>
      <c r="C54" s="31">
        <f>_xlfn.XLOOKUP(A48, Setting!E:E, Setting!L:L, , 0)*Setting!$C$3</f>
        <v>120</v>
      </c>
      <c r="D54" s="28">
        <v>50</v>
      </c>
      <c r="E54" s="4">
        <v>8.0000000000000002E-3</v>
      </c>
      <c r="F54" s="32">
        <f>VLOOKUP(A48, Setting!$E:$U, 16, FALSE)</f>
        <v>0</v>
      </c>
      <c r="G54" s="33">
        <f>VLOOKUP(A48, Setting!$E:$U, 12, FALSE)</f>
        <v>8.0000000000000002E-3</v>
      </c>
      <c r="H54" s="5">
        <v>1.6000000000000001E-4</v>
      </c>
      <c r="I54" s="5">
        <v>6.666666666666667E-5</v>
      </c>
      <c r="J54" s="6">
        <v>120</v>
      </c>
      <c r="K54" s="19"/>
      <c r="L54" s="7"/>
      <c r="M54" s="17"/>
    </row>
    <row r="55" spans="1:13">
      <c r="B55" s="3" t="s">
        <v>19</v>
      </c>
      <c r="C55" s="31">
        <f>_xlfn.XLOOKUP(A48, Setting!E:E, Setting!M:M, , 0)*Setting!$C$3</f>
        <v>24</v>
      </c>
      <c r="D55" s="28">
        <v>10</v>
      </c>
      <c r="E55" s="4">
        <v>2.35E-2</v>
      </c>
      <c r="F55" s="32">
        <f>VLOOKUP(A48, Setting!$E:$U, 17, FALSE)</f>
        <v>0</v>
      </c>
      <c r="G55" s="33">
        <f>VLOOKUP(A48, Setting!$E:$U, 13, FALSE)</f>
        <v>2.35E-2</v>
      </c>
      <c r="H55" s="5">
        <v>2.3500000000000001E-3</v>
      </c>
      <c r="I55" s="5">
        <v>9.7916666666666681E-4</v>
      </c>
      <c r="J55" s="6">
        <v>24</v>
      </c>
      <c r="K55" s="19"/>
      <c r="L55" s="7"/>
      <c r="M55" s="17"/>
    </row>
    <row r="56" spans="1:13">
      <c r="G56" s="34">
        <f>SUM(G52:G55)</f>
        <v>0.04</v>
      </c>
      <c r="H56" s="8">
        <f>SUM(H52:H55)</f>
        <v>2.5100000000000001E-3</v>
      </c>
    </row>
    <row r="57" spans="1:13">
      <c r="G57" s="34"/>
      <c r="H57" s="8"/>
    </row>
    <row r="58" spans="1:13">
      <c r="B58" s="1" t="s">
        <v>4</v>
      </c>
      <c r="C58" s="1" t="s">
        <v>8</v>
      </c>
    </row>
    <row r="59" spans="1:13">
      <c r="A59" s="26">
        <f>A48+1</f>
        <v>6</v>
      </c>
      <c r="B59" s="37" t="s">
        <v>26</v>
      </c>
      <c r="C59" s="30">
        <f>_xlfn.XLOOKUP(A59, Setting!E:E, Setting!F:F, , 0)*Setting!$C$3</f>
        <v>3</v>
      </c>
      <c r="D59" s="29">
        <f>C59*Setting!$C$5</f>
        <v>3</v>
      </c>
    </row>
    <row r="60" spans="1:13">
      <c r="H60" s="53"/>
      <c r="I60" s="18"/>
      <c r="K60" s="27"/>
    </row>
    <row r="61" spans="1:13">
      <c r="H61" s="53"/>
      <c r="I61" s="18"/>
    </row>
    <row r="62" spans="1:13">
      <c r="B62" s="1"/>
      <c r="C62" s="1" t="s">
        <v>2</v>
      </c>
      <c r="D62" s="1" t="s">
        <v>12</v>
      </c>
      <c r="E62" s="1" t="s">
        <v>7</v>
      </c>
      <c r="F62" s="1" t="s">
        <v>1</v>
      </c>
      <c r="G62" s="1" t="s">
        <v>3</v>
      </c>
      <c r="H62" s="1" t="s">
        <v>58</v>
      </c>
      <c r="I62" s="1" t="s">
        <v>5</v>
      </c>
      <c r="J62" s="1" t="s">
        <v>6</v>
      </c>
      <c r="K62" s="1" t="s">
        <v>59</v>
      </c>
    </row>
    <row r="63" spans="1:13">
      <c r="B63" s="3" t="s">
        <v>16</v>
      </c>
      <c r="C63" s="31">
        <f>_xlfn.XLOOKUP(A59, Setting!E:E, Setting!J:J, , 0)*Setting!$C$3</f>
        <v>500000</v>
      </c>
      <c r="D63" s="28" cm="1">
        <f t="array" ref="D63:D66">C63:C66/D59</f>
        <v>166666.66666666666</v>
      </c>
      <c r="E63" s="4" cm="1">
        <f t="array" ref="E63:E66">G63:G66-F63:F66</f>
        <v>0</v>
      </c>
      <c r="F63" s="32">
        <f>VLOOKUP(A59, Setting!$E:$U, 14, FALSE)</f>
        <v>3.5000000000000001E-3</v>
      </c>
      <c r="G63" s="32">
        <f>VLOOKUP(A59, Setting!$E:$U, 10, FALSE)</f>
        <v>3.5000000000000001E-3</v>
      </c>
      <c r="H63" s="5">
        <f>E63/D63-Setting!$C$33</f>
        <v>0</v>
      </c>
      <c r="I63" s="5" cm="1">
        <f t="array" ref="I63:I66">_xlfn.ANCHORARRAY(E63)/_xlfn.ANCHORARRAY(D63)/D59</f>
        <v>0</v>
      </c>
      <c r="J63" s="6" t="e" cm="1">
        <f t="array" ref="J63:J66">C63:C66+F63:F66/_xlfn.ANCHORARRAY(E63)*C63:C66</f>
        <v>#DIV/0!</v>
      </c>
      <c r="K63" s="19">
        <f>1/SUM(H63:H66)</f>
        <v>398.40637450199205</v>
      </c>
      <c r="L63" s="7"/>
      <c r="M63" s="17"/>
    </row>
    <row r="64" spans="1:13">
      <c r="B64" s="3" t="s">
        <v>25</v>
      </c>
      <c r="C64" s="31">
        <f>_xlfn.XLOOKUP(A59, Setting!E:E, Setting!K:K, , 0)*Setting!$C$3</f>
        <v>100000</v>
      </c>
      <c r="D64" s="28">
        <v>33333.333333333336</v>
      </c>
      <c r="E64" s="4">
        <v>0</v>
      </c>
      <c r="F64" s="32">
        <f>VLOOKUP(A59, Setting!$E:$U, 15, FALSE)</f>
        <v>5.0000000000000001E-3</v>
      </c>
      <c r="G64" s="32">
        <f>VLOOKUP(A59, Setting!$E:$U, 11, FALSE)</f>
        <v>5.0000000000000001E-3</v>
      </c>
      <c r="H64" s="5" cm="1">
        <f t="array" ref="H64:H66">E64:E66/D64:D66</f>
        <v>0</v>
      </c>
      <c r="I64" s="5">
        <v>0</v>
      </c>
      <c r="J64" s="6" t="e">
        <v>#DIV/0!</v>
      </c>
      <c r="K64" s="19"/>
      <c r="L64" s="7"/>
      <c r="M64" s="17"/>
    </row>
    <row r="65" spans="1:13">
      <c r="B65" s="3" t="s">
        <v>18</v>
      </c>
      <c r="C65" s="31">
        <f>_xlfn.XLOOKUP(A59, Setting!E:E, Setting!L:L, , 0)*Setting!$C$3</f>
        <v>150</v>
      </c>
      <c r="D65" s="28">
        <v>50</v>
      </c>
      <c r="E65" s="4">
        <v>8.0000000000000002E-3</v>
      </c>
      <c r="F65" s="32">
        <f>VLOOKUP(A59, Setting!$E:$U, 16, FALSE)</f>
        <v>0</v>
      </c>
      <c r="G65" s="33">
        <f>VLOOKUP(A59, Setting!$E:$U, 12, FALSE)</f>
        <v>8.0000000000000002E-3</v>
      </c>
      <c r="H65" s="5">
        <v>1.6000000000000001E-4</v>
      </c>
      <c r="I65" s="5">
        <v>5.333333333333334E-5</v>
      </c>
      <c r="J65" s="6">
        <v>150</v>
      </c>
      <c r="K65" s="19"/>
      <c r="L65" s="7"/>
      <c r="M65" s="17"/>
    </row>
    <row r="66" spans="1:13">
      <c r="B66" s="3" t="s">
        <v>19</v>
      </c>
      <c r="C66" s="31">
        <f>_xlfn.XLOOKUP(A59, Setting!E:E, Setting!M:M, , 0)*Setting!$C$3</f>
        <v>30</v>
      </c>
      <c r="D66" s="28">
        <v>10</v>
      </c>
      <c r="E66" s="4">
        <v>2.35E-2</v>
      </c>
      <c r="F66" s="32">
        <f>VLOOKUP(A59, Setting!$E:$U, 17, FALSE)</f>
        <v>0</v>
      </c>
      <c r="G66" s="33">
        <f>VLOOKUP(A59, Setting!$E:$U, 13, FALSE)</f>
        <v>2.35E-2</v>
      </c>
      <c r="H66" s="5">
        <v>2.3500000000000001E-3</v>
      </c>
      <c r="I66" s="5">
        <v>7.8333333333333336E-4</v>
      </c>
      <c r="J66" s="6">
        <v>30</v>
      </c>
      <c r="K66" s="19"/>
      <c r="L66" s="7"/>
      <c r="M66" s="17"/>
    </row>
    <row r="67" spans="1:13">
      <c r="G67" s="34">
        <f>SUM(G63:G66)</f>
        <v>0.04</v>
      </c>
      <c r="H67" s="8">
        <f>SUM(H63:H66)</f>
        <v>2.5100000000000001E-3</v>
      </c>
    </row>
    <row r="68" spans="1:13">
      <c r="G68" s="34"/>
      <c r="H68" s="8"/>
    </row>
    <row r="69" spans="1:13">
      <c r="B69" s="1" t="s">
        <v>4</v>
      </c>
      <c r="C69" s="1" t="s">
        <v>8</v>
      </c>
    </row>
    <row r="70" spans="1:13">
      <c r="A70" s="26">
        <f>A59+1</f>
        <v>7</v>
      </c>
      <c r="B70" s="37" t="s">
        <v>26</v>
      </c>
      <c r="C70" s="30">
        <f>_xlfn.XLOOKUP(A70, Setting!E:E, Setting!F:F, , 0)*Setting!$C$3</f>
        <v>4</v>
      </c>
      <c r="D70" s="29">
        <f>C70*Setting!$C$5</f>
        <v>4</v>
      </c>
    </row>
    <row r="71" spans="1:13">
      <c r="H71" s="53"/>
      <c r="I71" s="18"/>
      <c r="K71" s="27"/>
    </row>
    <row r="72" spans="1:13">
      <c r="H72" s="53"/>
      <c r="I72" s="18"/>
    </row>
    <row r="73" spans="1:13">
      <c r="B73" s="1"/>
      <c r="C73" s="1" t="s">
        <v>2</v>
      </c>
      <c r="D73" s="1" t="s">
        <v>12</v>
      </c>
      <c r="E73" s="1" t="s">
        <v>7</v>
      </c>
      <c r="F73" s="1" t="s">
        <v>1</v>
      </c>
      <c r="G73" s="1" t="s">
        <v>3</v>
      </c>
      <c r="H73" s="1" t="s">
        <v>58</v>
      </c>
      <c r="I73" s="1" t="s">
        <v>5</v>
      </c>
      <c r="J73" s="1" t="s">
        <v>6</v>
      </c>
      <c r="K73" s="1" t="s">
        <v>59</v>
      </c>
    </row>
    <row r="74" spans="1:13">
      <c r="B74" s="3" t="s">
        <v>16</v>
      </c>
      <c r="C74" s="31">
        <f>_xlfn.XLOOKUP(A70, Setting!E:E, Setting!J:J, , 0)*Setting!$C$3</f>
        <v>500000</v>
      </c>
      <c r="D74" s="28" cm="1">
        <f t="array" ref="D74:D77">C74:C77/D70</f>
        <v>125000</v>
      </c>
      <c r="E74" s="4" cm="1">
        <f t="array" ref="E74:E77">G74:G77-F74:F77</f>
        <v>0</v>
      </c>
      <c r="F74" s="32">
        <f>VLOOKUP(A70, Setting!$E:$U, 14, FALSE)</f>
        <v>3.5000000000000001E-3</v>
      </c>
      <c r="G74" s="32">
        <f>VLOOKUP(A70, Setting!$E:$U, 10, FALSE)</f>
        <v>3.5000000000000001E-3</v>
      </c>
      <c r="H74" s="5">
        <f>E74/D74-Setting!$C$33</f>
        <v>0</v>
      </c>
      <c r="I74" s="5" cm="1">
        <f t="array" ref="I74:I77">_xlfn.ANCHORARRAY(E74)/_xlfn.ANCHORARRAY(D74)/D70</f>
        <v>0</v>
      </c>
      <c r="J74" s="6" t="e" cm="1">
        <f t="array" ref="J74:J77">C74:C77+F74:F77/_xlfn.ANCHORARRAY(E74)*C74:C77</f>
        <v>#DIV/0!</v>
      </c>
      <c r="K74" s="19">
        <f>1/SUM(H74:H77)</f>
        <v>398.40637450199205</v>
      </c>
      <c r="L74" s="7"/>
      <c r="M74" s="17"/>
    </row>
    <row r="75" spans="1:13">
      <c r="B75" s="3" t="s">
        <v>25</v>
      </c>
      <c r="C75" s="31">
        <f>_xlfn.XLOOKUP(A70, Setting!E:E, Setting!K:K, , 0)*Setting!$C$3</f>
        <v>100000</v>
      </c>
      <c r="D75" s="28">
        <v>25000</v>
      </c>
      <c r="E75" s="4">
        <v>0</v>
      </c>
      <c r="F75" s="32">
        <f>VLOOKUP(A70, Setting!$E:$U, 15, FALSE)</f>
        <v>5.0000000000000001E-3</v>
      </c>
      <c r="G75" s="32">
        <f>VLOOKUP(A70, Setting!$E:$U, 11, FALSE)</f>
        <v>5.0000000000000001E-3</v>
      </c>
      <c r="H75" s="5" cm="1">
        <f t="array" ref="H75:H77">E75:E77/D75:D77</f>
        <v>0</v>
      </c>
      <c r="I75" s="5">
        <v>0</v>
      </c>
      <c r="J75" s="6" t="e">
        <v>#DIV/0!</v>
      </c>
      <c r="K75" s="19"/>
      <c r="L75" s="7"/>
      <c r="M75" s="17"/>
    </row>
    <row r="76" spans="1:13">
      <c r="B76" s="3" t="s">
        <v>18</v>
      </c>
      <c r="C76" s="31">
        <f>_xlfn.XLOOKUP(A70, Setting!E:E, Setting!L:L, , 0)*Setting!$C$3</f>
        <v>200</v>
      </c>
      <c r="D76" s="28">
        <v>50</v>
      </c>
      <c r="E76" s="4">
        <v>8.0000000000000002E-3</v>
      </c>
      <c r="F76" s="32">
        <f>VLOOKUP(A70, Setting!$E:$U, 16, FALSE)</f>
        <v>0</v>
      </c>
      <c r="G76" s="33">
        <f>VLOOKUP(A70, Setting!$E:$U, 12, FALSE)</f>
        <v>8.0000000000000002E-3</v>
      </c>
      <c r="H76" s="5">
        <v>1.6000000000000001E-4</v>
      </c>
      <c r="I76" s="5">
        <v>4.0000000000000003E-5</v>
      </c>
      <c r="J76" s="6">
        <v>200</v>
      </c>
      <c r="K76" s="19"/>
      <c r="L76" s="7"/>
      <c r="M76" s="17"/>
    </row>
    <row r="77" spans="1:13">
      <c r="B77" s="3" t="s">
        <v>19</v>
      </c>
      <c r="C77" s="31">
        <f>_xlfn.XLOOKUP(A70, Setting!E:E, Setting!M:M, , 0)*Setting!$C$3</f>
        <v>40</v>
      </c>
      <c r="D77" s="28">
        <v>10</v>
      </c>
      <c r="E77" s="4">
        <v>2.35E-2</v>
      </c>
      <c r="F77" s="32">
        <f>VLOOKUP(A70, Setting!$E:$U, 17, FALSE)</f>
        <v>0</v>
      </c>
      <c r="G77" s="33">
        <f>VLOOKUP(A70, Setting!$E:$U, 13, FALSE)</f>
        <v>2.35E-2</v>
      </c>
      <c r="H77" s="5">
        <v>2.3500000000000001E-3</v>
      </c>
      <c r="I77" s="5">
        <v>5.8750000000000002E-4</v>
      </c>
      <c r="J77" s="6">
        <v>40</v>
      </c>
      <c r="K77" s="19"/>
      <c r="L77" s="7"/>
      <c r="M77" s="17"/>
    </row>
    <row r="78" spans="1:13">
      <c r="G78" s="34">
        <f>SUM(G74:G77)</f>
        <v>0.04</v>
      </c>
      <c r="H78" s="8">
        <f>SUM(H74:H77)</f>
        <v>2.5100000000000001E-3</v>
      </c>
    </row>
    <row r="79" spans="1:13">
      <c r="G79" s="34"/>
      <c r="H79" s="8"/>
    </row>
    <row r="80" spans="1:13">
      <c r="B80" s="1" t="s">
        <v>4</v>
      </c>
      <c r="C80" s="1" t="s">
        <v>8</v>
      </c>
    </row>
    <row r="81" spans="1:13">
      <c r="A81" s="26">
        <f>A70+1</f>
        <v>8</v>
      </c>
      <c r="B81" s="37" t="s">
        <v>26</v>
      </c>
      <c r="C81" s="30">
        <f>_xlfn.XLOOKUP(A81, Setting!E:E, Setting!F:F, , 0)*Setting!$C$3</f>
        <v>5</v>
      </c>
      <c r="D81" s="29">
        <f>C81*Setting!$C$5</f>
        <v>5</v>
      </c>
    </row>
    <row r="82" spans="1:13">
      <c r="H82" s="53"/>
      <c r="I82" s="18"/>
      <c r="K82" s="27"/>
    </row>
    <row r="83" spans="1:13">
      <c r="H83" s="53"/>
      <c r="I83" s="18"/>
    </row>
    <row r="84" spans="1:13">
      <c r="B84" s="1"/>
      <c r="C84" s="1" t="s">
        <v>2</v>
      </c>
      <c r="D84" s="1" t="s">
        <v>12</v>
      </c>
      <c r="E84" s="1" t="s">
        <v>7</v>
      </c>
      <c r="F84" s="1" t="s">
        <v>1</v>
      </c>
      <c r="G84" s="1" t="s">
        <v>3</v>
      </c>
      <c r="H84" s="1" t="s">
        <v>58</v>
      </c>
      <c r="I84" s="1" t="s">
        <v>5</v>
      </c>
      <c r="J84" s="1" t="s">
        <v>6</v>
      </c>
      <c r="K84" s="1" t="s">
        <v>59</v>
      </c>
    </row>
    <row r="85" spans="1:13">
      <c r="B85" s="3" t="s">
        <v>16</v>
      </c>
      <c r="C85" s="31">
        <f>_xlfn.XLOOKUP(A81, Setting!E:E, Setting!J:J, , 0)*Setting!$C$3</f>
        <v>500000</v>
      </c>
      <c r="D85" s="28" cm="1">
        <f t="array" ref="D85:D88">C85:C88/D81</f>
        <v>100000</v>
      </c>
      <c r="E85" s="4" cm="1">
        <f t="array" ref="E85:E88">G85:G88-F85:F88</f>
        <v>0</v>
      </c>
      <c r="F85" s="32">
        <f>VLOOKUP(A81, Setting!$E:$U, 14, FALSE)</f>
        <v>3.5000000000000001E-3</v>
      </c>
      <c r="G85" s="32">
        <f>VLOOKUP(A81, Setting!$E:$U, 10, FALSE)</f>
        <v>3.5000000000000001E-3</v>
      </c>
      <c r="H85" s="5">
        <f>E85/D85-Setting!$C$33</f>
        <v>0</v>
      </c>
      <c r="I85" s="5" cm="1">
        <f t="array" ref="I85:I88">_xlfn.ANCHORARRAY(E85)/_xlfn.ANCHORARRAY(D85)/D81</f>
        <v>0</v>
      </c>
      <c r="J85" s="6" t="e" cm="1">
        <f t="array" ref="J85:J88">C85:C88+F85:F88/_xlfn.ANCHORARRAY(E85)*C85:C88</f>
        <v>#DIV/0!</v>
      </c>
      <c r="K85" s="19">
        <f>1/SUM(H85:H88)</f>
        <v>398.40637450199205</v>
      </c>
      <c r="L85" s="7"/>
      <c r="M85" s="17"/>
    </row>
    <row r="86" spans="1:13">
      <c r="B86" s="3" t="s">
        <v>25</v>
      </c>
      <c r="C86" s="31">
        <f>_xlfn.XLOOKUP(A81, Setting!E:E, Setting!K:K, , 0)*Setting!$C$3</f>
        <v>100000</v>
      </c>
      <c r="D86" s="28">
        <v>20000</v>
      </c>
      <c r="E86" s="4">
        <v>0</v>
      </c>
      <c r="F86" s="32">
        <f>VLOOKUP(A81, Setting!$E:$U, 15, FALSE)</f>
        <v>5.0000000000000001E-3</v>
      </c>
      <c r="G86" s="32">
        <f>VLOOKUP(A81, Setting!$E:$U, 11, FALSE)</f>
        <v>5.0000000000000001E-3</v>
      </c>
      <c r="H86" s="5" cm="1">
        <f t="array" ref="H86:H88">E86:E88/D86:D88</f>
        <v>0</v>
      </c>
      <c r="I86" s="5">
        <v>0</v>
      </c>
      <c r="J86" s="6" t="e">
        <v>#DIV/0!</v>
      </c>
      <c r="K86" s="19"/>
      <c r="L86" s="7"/>
      <c r="M86" s="17"/>
    </row>
    <row r="87" spans="1:13">
      <c r="B87" s="3" t="s">
        <v>18</v>
      </c>
      <c r="C87" s="31">
        <f>_xlfn.XLOOKUP(A81, Setting!E:E, Setting!L:L, , 0)*Setting!$C$3</f>
        <v>250</v>
      </c>
      <c r="D87" s="28">
        <v>50</v>
      </c>
      <c r="E87" s="4">
        <v>8.0000000000000002E-3</v>
      </c>
      <c r="F87" s="32">
        <f>VLOOKUP(A81, Setting!$E:$U, 16, FALSE)</f>
        <v>0</v>
      </c>
      <c r="G87" s="33">
        <f>VLOOKUP(A81, Setting!$E:$U, 12, FALSE)</f>
        <v>8.0000000000000002E-3</v>
      </c>
      <c r="H87" s="5">
        <v>1.6000000000000001E-4</v>
      </c>
      <c r="I87" s="5">
        <v>3.2000000000000005E-5</v>
      </c>
      <c r="J87" s="6">
        <v>250</v>
      </c>
      <c r="K87" s="19"/>
      <c r="L87" s="7"/>
      <c r="M87" s="17"/>
    </row>
    <row r="88" spans="1:13">
      <c r="B88" s="3" t="s">
        <v>19</v>
      </c>
      <c r="C88" s="31">
        <f>_xlfn.XLOOKUP(A81, Setting!E:E, Setting!M:M, , 0)*Setting!$C$3</f>
        <v>50</v>
      </c>
      <c r="D88" s="28">
        <v>10</v>
      </c>
      <c r="E88" s="4">
        <v>2.35E-2</v>
      </c>
      <c r="F88" s="32">
        <f>VLOOKUP(A81, Setting!$E:$U, 17, FALSE)</f>
        <v>0</v>
      </c>
      <c r="G88" s="33">
        <f>VLOOKUP(A81, Setting!$E:$U, 13, FALSE)</f>
        <v>2.35E-2</v>
      </c>
      <c r="H88" s="5">
        <v>2.3500000000000001E-3</v>
      </c>
      <c r="I88" s="5">
        <v>4.7000000000000004E-4</v>
      </c>
      <c r="J88" s="6">
        <v>50</v>
      </c>
      <c r="K88" s="19"/>
      <c r="L88" s="7"/>
      <c r="M88" s="17"/>
    </row>
    <row r="89" spans="1:13">
      <c r="G89" s="34">
        <f>SUM(G85:G88)</f>
        <v>0.04</v>
      </c>
      <c r="H89" s="8">
        <f>SUM(H85:H88)</f>
        <v>2.5100000000000001E-3</v>
      </c>
    </row>
    <row r="90" spans="1:13">
      <c r="G90" s="34"/>
      <c r="H90" s="8"/>
    </row>
    <row r="91" spans="1:13">
      <c r="B91" s="1" t="s">
        <v>4</v>
      </c>
      <c r="C91" s="1" t="s">
        <v>8</v>
      </c>
    </row>
    <row r="92" spans="1:13">
      <c r="A92" s="26">
        <f>A81+1</f>
        <v>9</v>
      </c>
      <c r="B92" s="37" t="s">
        <v>26</v>
      </c>
      <c r="C92" s="30">
        <f>_xlfn.XLOOKUP(A92, Setting!E:E, Setting!F:F, , 0)*Setting!$C$3</f>
        <v>6</v>
      </c>
      <c r="D92" s="29">
        <f>C92*Setting!$C$5</f>
        <v>6</v>
      </c>
    </row>
    <row r="93" spans="1:13">
      <c r="H93" s="53"/>
      <c r="I93" s="18"/>
      <c r="K93" s="27"/>
    </row>
    <row r="94" spans="1:13">
      <c r="H94" s="53"/>
      <c r="I94" s="18"/>
    </row>
    <row r="95" spans="1:13">
      <c r="B95" s="1"/>
      <c r="C95" s="1" t="s">
        <v>2</v>
      </c>
      <c r="D95" s="1" t="s">
        <v>12</v>
      </c>
      <c r="E95" s="1" t="s">
        <v>7</v>
      </c>
      <c r="F95" s="1" t="s">
        <v>1</v>
      </c>
      <c r="G95" s="1" t="s">
        <v>3</v>
      </c>
      <c r="H95" s="1" t="s">
        <v>58</v>
      </c>
      <c r="I95" s="1" t="s">
        <v>5</v>
      </c>
      <c r="J95" s="1" t="s">
        <v>6</v>
      </c>
      <c r="K95" s="1" t="s">
        <v>59</v>
      </c>
    </row>
    <row r="96" spans="1:13">
      <c r="B96" s="3" t="s">
        <v>16</v>
      </c>
      <c r="C96" s="31">
        <f>_xlfn.XLOOKUP(A92, Setting!E:E, Setting!J:J, , 0)*Setting!$C$3</f>
        <v>500000</v>
      </c>
      <c r="D96" s="28" cm="1">
        <f t="array" ref="D96:D99">C96:C99/D92</f>
        <v>83333.333333333328</v>
      </c>
      <c r="E96" s="4" cm="1">
        <f t="array" ref="E96:E99">G96:G99-F96:F99</f>
        <v>0</v>
      </c>
      <c r="F96" s="32">
        <f>VLOOKUP(A92, Setting!$E:$U, 14, FALSE)</f>
        <v>3.5000000000000001E-3</v>
      </c>
      <c r="G96" s="32">
        <f>VLOOKUP(A92, Setting!$E:$U, 10, FALSE)</f>
        <v>3.5000000000000001E-3</v>
      </c>
      <c r="H96" s="5">
        <f>E96/D96-Setting!$C$33</f>
        <v>0</v>
      </c>
      <c r="I96" s="5" cm="1">
        <f t="array" ref="I96:I99">_xlfn.ANCHORARRAY(E96)/_xlfn.ANCHORARRAY(D96)/D92</f>
        <v>0</v>
      </c>
      <c r="J96" s="6" t="e" cm="1">
        <f t="array" ref="J96:J99">C96:C99+F96:F99/_xlfn.ANCHORARRAY(E96)*C96:C99</f>
        <v>#DIV/0!</v>
      </c>
      <c r="K96" s="19">
        <f>1/SUM(H96:H99)</f>
        <v>398.40637450199205</v>
      </c>
      <c r="L96" s="7"/>
      <c r="M96" s="17"/>
    </row>
    <row r="97" spans="1:13">
      <c r="B97" s="3" t="s">
        <v>25</v>
      </c>
      <c r="C97" s="31">
        <f>_xlfn.XLOOKUP(A92, Setting!E:E, Setting!K:K, , 0)*Setting!$C$3</f>
        <v>100000</v>
      </c>
      <c r="D97" s="28">
        <v>16666.666666666668</v>
      </c>
      <c r="E97" s="4">
        <v>0</v>
      </c>
      <c r="F97" s="32">
        <f>VLOOKUP(A92, Setting!$E:$U, 15, FALSE)</f>
        <v>5.0000000000000001E-3</v>
      </c>
      <c r="G97" s="32">
        <f>VLOOKUP(A92, Setting!$E:$U, 11, FALSE)</f>
        <v>5.0000000000000001E-3</v>
      </c>
      <c r="H97" s="5" cm="1">
        <f t="array" ref="H97:H99">E97:E99/D97:D99</f>
        <v>0</v>
      </c>
      <c r="I97" s="5">
        <v>0</v>
      </c>
      <c r="J97" s="6" t="e">
        <v>#DIV/0!</v>
      </c>
      <c r="K97" s="19"/>
      <c r="L97" s="7"/>
      <c r="M97" s="17"/>
    </row>
    <row r="98" spans="1:13">
      <c r="B98" s="3" t="s">
        <v>18</v>
      </c>
      <c r="C98" s="31">
        <f>_xlfn.XLOOKUP(A92, Setting!E:E, Setting!L:L, , 0)*Setting!$C$3</f>
        <v>300</v>
      </c>
      <c r="D98" s="28">
        <v>50</v>
      </c>
      <c r="E98" s="4">
        <v>8.0000000000000002E-3</v>
      </c>
      <c r="F98" s="32">
        <f>VLOOKUP(A92, Setting!$E:$U, 16, FALSE)</f>
        <v>0</v>
      </c>
      <c r="G98" s="33">
        <f>VLOOKUP(A92, Setting!$E:$U, 12, FALSE)</f>
        <v>8.0000000000000002E-3</v>
      </c>
      <c r="H98" s="5">
        <v>1.6000000000000001E-4</v>
      </c>
      <c r="I98" s="5">
        <v>2.666666666666667E-5</v>
      </c>
      <c r="J98" s="6">
        <v>300</v>
      </c>
      <c r="K98" s="19"/>
      <c r="L98" s="7"/>
      <c r="M98" s="17"/>
    </row>
    <row r="99" spans="1:13">
      <c r="B99" s="3" t="s">
        <v>19</v>
      </c>
      <c r="C99" s="31">
        <f>_xlfn.XLOOKUP(A92, Setting!E:E, Setting!M:M, , 0)*Setting!$C$3</f>
        <v>60</v>
      </c>
      <c r="D99" s="28">
        <v>10</v>
      </c>
      <c r="E99" s="4">
        <v>2.35E-2</v>
      </c>
      <c r="F99" s="32">
        <f>VLOOKUP(A92, Setting!$E:$U, 17, FALSE)</f>
        <v>0</v>
      </c>
      <c r="G99" s="33">
        <f>VLOOKUP(A92, Setting!$E:$U, 13, FALSE)</f>
        <v>2.35E-2</v>
      </c>
      <c r="H99" s="5">
        <v>2.3500000000000001E-3</v>
      </c>
      <c r="I99" s="5">
        <v>3.9166666666666668E-4</v>
      </c>
      <c r="J99" s="6">
        <v>60</v>
      </c>
      <c r="K99" s="19"/>
      <c r="L99" s="7"/>
      <c r="M99" s="17"/>
    </row>
    <row r="100" spans="1:13">
      <c r="G100" s="34">
        <f>SUM(G96:G99)</f>
        <v>0.04</v>
      </c>
      <c r="H100" s="8">
        <f>SUM(H96:H99)</f>
        <v>2.5100000000000001E-3</v>
      </c>
    </row>
    <row r="101" spans="1:13">
      <c r="G101" s="34"/>
      <c r="H101" s="8"/>
    </row>
    <row r="102" spans="1:13">
      <c r="B102" s="1" t="s">
        <v>4</v>
      </c>
      <c r="C102" s="1" t="s">
        <v>8</v>
      </c>
    </row>
    <row r="103" spans="1:13">
      <c r="A103" s="26">
        <f>A92+1</f>
        <v>10</v>
      </c>
      <c r="B103" s="37" t="s">
        <v>26</v>
      </c>
      <c r="C103" s="30">
        <f>_xlfn.XLOOKUP(A103, Setting!E:E, Setting!F:F, , 0)*Setting!$C$3</f>
        <v>7</v>
      </c>
      <c r="D103" s="29">
        <f>C103*Setting!$C$5</f>
        <v>7</v>
      </c>
    </row>
    <row r="104" spans="1:13">
      <c r="H104" s="53"/>
      <c r="I104" s="18"/>
      <c r="K104" s="27"/>
    </row>
    <row r="105" spans="1:13">
      <c r="H105" s="53"/>
      <c r="I105" s="18"/>
    </row>
    <row r="106" spans="1:13">
      <c r="B106" s="1"/>
      <c r="C106" s="1" t="s">
        <v>2</v>
      </c>
      <c r="D106" s="1" t="s">
        <v>12</v>
      </c>
      <c r="E106" s="1" t="s">
        <v>7</v>
      </c>
      <c r="F106" s="1" t="s">
        <v>1</v>
      </c>
      <c r="G106" s="1" t="s">
        <v>3</v>
      </c>
      <c r="H106" s="1" t="s">
        <v>58</v>
      </c>
      <c r="I106" s="1" t="s">
        <v>5</v>
      </c>
      <c r="J106" s="1" t="s">
        <v>6</v>
      </c>
      <c r="K106" s="1" t="s">
        <v>59</v>
      </c>
    </row>
    <row r="107" spans="1:13">
      <c r="B107" s="3" t="s">
        <v>16</v>
      </c>
      <c r="C107" s="31">
        <f>_xlfn.XLOOKUP(A103, Setting!E:E, Setting!J:J, , 0)*Setting!$C$3</f>
        <v>500000</v>
      </c>
      <c r="D107" s="28" cm="1">
        <f t="array" ref="D107:D110">C107:C110/D103</f>
        <v>71428.571428571435</v>
      </c>
      <c r="E107" s="4" cm="1">
        <f t="array" ref="E107:E110">G107:G110-F107:F110</f>
        <v>0</v>
      </c>
      <c r="F107" s="32">
        <f>VLOOKUP(A103, Setting!$E:$U, 14, FALSE)</f>
        <v>3.5000000000000001E-3</v>
      </c>
      <c r="G107" s="32">
        <f>VLOOKUP(A103, Setting!$E:$U, 10, FALSE)</f>
        <v>3.5000000000000001E-3</v>
      </c>
      <c r="H107" s="5">
        <f>E107/D107-Setting!$C$33</f>
        <v>0</v>
      </c>
      <c r="I107" s="5" cm="1">
        <f t="array" ref="I107:I110">_xlfn.ANCHORARRAY(E107)/_xlfn.ANCHORARRAY(D107)/D103</f>
        <v>0</v>
      </c>
      <c r="J107" s="6" t="e" cm="1">
        <f t="array" ref="J107:J110">C107:C110+F107:F110/_xlfn.ANCHORARRAY(E107)*C107:C110</f>
        <v>#DIV/0!</v>
      </c>
      <c r="K107" s="19">
        <f>1/SUM(H107:H110)</f>
        <v>398.40637450199205</v>
      </c>
      <c r="L107" s="7"/>
      <c r="M107" s="17"/>
    </row>
    <row r="108" spans="1:13">
      <c r="B108" s="3" t="s">
        <v>25</v>
      </c>
      <c r="C108" s="31">
        <f>_xlfn.XLOOKUP(A103, Setting!E:E, Setting!K:K, , 0)*Setting!$C$3</f>
        <v>100000</v>
      </c>
      <c r="D108" s="28">
        <v>14285.714285714286</v>
      </c>
      <c r="E108" s="4">
        <v>0</v>
      </c>
      <c r="F108" s="32">
        <f>VLOOKUP(A103, Setting!$E:$U, 15, FALSE)</f>
        <v>5.0000000000000001E-3</v>
      </c>
      <c r="G108" s="32">
        <f>VLOOKUP(A103, Setting!$E:$U, 11, FALSE)</f>
        <v>5.0000000000000001E-3</v>
      </c>
      <c r="H108" s="5" cm="1">
        <f t="array" ref="H108:H110">E108:E110/D108:D110</f>
        <v>0</v>
      </c>
      <c r="I108" s="5">
        <v>0</v>
      </c>
      <c r="J108" s="6" t="e">
        <v>#DIV/0!</v>
      </c>
      <c r="K108" s="19"/>
      <c r="L108" s="7"/>
      <c r="M108" s="17"/>
    </row>
    <row r="109" spans="1:13">
      <c r="B109" s="3" t="s">
        <v>18</v>
      </c>
      <c r="C109" s="31">
        <f>_xlfn.XLOOKUP(A103, Setting!E:E, Setting!L:L, , 0)*Setting!$C$3</f>
        <v>350</v>
      </c>
      <c r="D109" s="28">
        <v>50</v>
      </c>
      <c r="E109" s="4">
        <v>8.0000000000000002E-3</v>
      </c>
      <c r="F109" s="32">
        <f>VLOOKUP(A103, Setting!$E:$U, 16, FALSE)</f>
        <v>0</v>
      </c>
      <c r="G109" s="33">
        <f>VLOOKUP(A103, Setting!$E:$U, 12, FALSE)</f>
        <v>8.0000000000000002E-3</v>
      </c>
      <c r="H109" s="5">
        <v>1.6000000000000001E-4</v>
      </c>
      <c r="I109" s="5">
        <v>2.2857142857142858E-5</v>
      </c>
      <c r="J109" s="6">
        <v>350</v>
      </c>
      <c r="K109" s="19"/>
      <c r="L109" s="7"/>
      <c r="M109" s="17"/>
    </row>
    <row r="110" spans="1:13">
      <c r="B110" s="3" t="s">
        <v>19</v>
      </c>
      <c r="C110" s="31">
        <f>_xlfn.XLOOKUP(A103, Setting!E:E, Setting!M:M, , 0)*Setting!$C$3</f>
        <v>70</v>
      </c>
      <c r="D110" s="28">
        <v>10</v>
      </c>
      <c r="E110" s="4">
        <v>2.35E-2</v>
      </c>
      <c r="F110" s="32">
        <f>VLOOKUP(A103, Setting!$E:$U, 17, FALSE)</f>
        <v>0</v>
      </c>
      <c r="G110" s="33">
        <f>VLOOKUP(A103, Setting!$E:$U, 13, FALSE)</f>
        <v>2.35E-2</v>
      </c>
      <c r="H110" s="5">
        <v>2.3500000000000001E-3</v>
      </c>
      <c r="I110" s="5">
        <v>3.357142857142857E-4</v>
      </c>
      <c r="J110" s="6">
        <v>70</v>
      </c>
      <c r="K110" s="19"/>
      <c r="L110" s="7"/>
      <c r="M110" s="17"/>
    </row>
    <row r="111" spans="1:13">
      <c r="G111" s="34">
        <f>SUM(G107:G110)</f>
        <v>0.04</v>
      </c>
      <c r="H111" s="8">
        <f>SUM(H107:H110)</f>
        <v>2.5100000000000001E-3</v>
      </c>
    </row>
    <row r="112" spans="1:13">
      <c r="G112" s="34"/>
      <c r="H112" s="8"/>
    </row>
    <row r="113" spans="1:13">
      <c r="B113" s="1" t="s">
        <v>4</v>
      </c>
      <c r="C113" s="1" t="s">
        <v>8</v>
      </c>
    </row>
    <row r="114" spans="1:13">
      <c r="A114" s="26">
        <f>A103+1</f>
        <v>11</v>
      </c>
      <c r="B114" s="37" t="s">
        <v>26</v>
      </c>
      <c r="C114" s="30">
        <f>_xlfn.XLOOKUP(A114, Setting!E:E, Setting!F:F, , 0)*Setting!$C$3</f>
        <v>8</v>
      </c>
      <c r="D114" s="29">
        <f>C114*Setting!$C$5</f>
        <v>8</v>
      </c>
    </row>
    <row r="115" spans="1:13">
      <c r="H115" s="53"/>
      <c r="I115" s="18"/>
      <c r="K115" s="27"/>
    </row>
    <row r="116" spans="1:13">
      <c r="H116" s="53"/>
      <c r="I116" s="18"/>
    </row>
    <row r="117" spans="1:13">
      <c r="B117" s="1"/>
      <c r="C117" s="1" t="s">
        <v>2</v>
      </c>
      <c r="D117" s="1" t="s">
        <v>12</v>
      </c>
      <c r="E117" s="1" t="s">
        <v>7</v>
      </c>
      <c r="F117" s="1" t="s">
        <v>1</v>
      </c>
      <c r="G117" s="1" t="s">
        <v>3</v>
      </c>
      <c r="H117" s="1" t="s">
        <v>58</v>
      </c>
      <c r="I117" s="1" t="s">
        <v>5</v>
      </c>
      <c r="J117" s="1" t="s">
        <v>6</v>
      </c>
      <c r="K117" s="1" t="s">
        <v>59</v>
      </c>
    </row>
    <row r="118" spans="1:13">
      <c r="B118" s="3" t="s">
        <v>16</v>
      </c>
      <c r="C118" s="31">
        <f>_xlfn.XLOOKUP(A114, Setting!E:E, Setting!J:J, , 0)*Setting!$C$3</f>
        <v>500000</v>
      </c>
      <c r="D118" s="28" cm="1">
        <f t="array" ref="D118:D121">C118:C121/D114</f>
        <v>62500</v>
      </c>
      <c r="E118" s="4" cm="1">
        <f t="array" ref="E118:E121">G118:G121-F118:F121</f>
        <v>0</v>
      </c>
      <c r="F118" s="32">
        <f>VLOOKUP(A114, Setting!$E:$U, 14, FALSE)</f>
        <v>3.5000000000000001E-3</v>
      </c>
      <c r="G118" s="32">
        <f>VLOOKUP(A114, Setting!$E:$U, 10, FALSE)</f>
        <v>3.5000000000000001E-3</v>
      </c>
      <c r="H118" s="5">
        <f>E118/D118-Setting!$C$33</f>
        <v>0</v>
      </c>
      <c r="I118" s="5" cm="1">
        <f t="array" ref="I118:I121">_xlfn.ANCHORARRAY(E118)/_xlfn.ANCHORARRAY(D118)/D114</f>
        <v>0</v>
      </c>
      <c r="J118" s="6" t="e" cm="1">
        <f t="array" ref="J118:J121">C118:C121+F118:F121/_xlfn.ANCHORARRAY(E118)*C118:C121</f>
        <v>#DIV/0!</v>
      </c>
      <c r="K118" s="19">
        <f>1/SUM(H118:H121)</f>
        <v>398.40637450199205</v>
      </c>
      <c r="L118" s="7"/>
      <c r="M118" s="17"/>
    </row>
    <row r="119" spans="1:13">
      <c r="B119" s="3" t="s">
        <v>25</v>
      </c>
      <c r="C119" s="31">
        <f>_xlfn.XLOOKUP(A114, Setting!E:E, Setting!K:K, , 0)*Setting!$C$3</f>
        <v>100000</v>
      </c>
      <c r="D119" s="28">
        <v>12500</v>
      </c>
      <c r="E119" s="4">
        <v>0</v>
      </c>
      <c r="F119" s="32">
        <f>VLOOKUP(A114, Setting!$E:$U, 15, FALSE)</f>
        <v>5.0000000000000001E-3</v>
      </c>
      <c r="G119" s="32">
        <f>VLOOKUP(A114, Setting!$E:$U, 11, FALSE)</f>
        <v>5.0000000000000001E-3</v>
      </c>
      <c r="H119" s="5" cm="1">
        <f t="array" ref="H119:H121">E119:E121/D119:D121</f>
        <v>0</v>
      </c>
      <c r="I119" s="5">
        <v>0</v>
      </c>
      <c r="J119" s="6" t="e">
        <v>#DIV/0!</v>
      </c>
      <c r="K119" s="19"/>
      <c r="L119" s="7"/>
      <c r="M119" s="17"/>
    </row>
    <row r="120" spans="1:13">
      <c r="B120" s="3" t="s">
        <v>18</v>
      </c>
      <c r="C120" s="31">
        <f>_xlfn.XLOOKUP(A114, Setting!E:E, Setting!L:L, , 0)*Setting!$C$3</f>
        <v>400</v>
      </c>
      <c r="D120" s="28">
        <v>50</v>
      </c>
      <c r="E120" s="4">
        <v>8.0000000000000002E-3</v>
      </c>
      <c r="F120" s="32">
        <f>VLOOKUP(A114, Setting!$E:$U, 16, FALSE)</f>
        <v>0</v>
      </c>
      <c r="G120" s="33">
        <f>VLOOKUP(A114, Setting!$E:$U, 12, FALSE)</f>
        <v>8.0000000000000002E-3</v>
      </c>
      <c r="H120" s="5">
        <v>1.6000000000000001E-4</v>
      </c>
      <c r="I120" s="5">
        <v>2.0000000000000002E-5</v>
      </c>
      <c r="J120" s="6">
        <v>400</v>
      </c>
      <c r="K120" s="19"/>
      <c r="L120" s="7"/>
      <c r="M120" s="17"/>
    </row>
    <row r="121" spans="1:13">
      <c r="B121" s="3" t="s">
        <v>19</v>
      </c>
      <c r="C121" s="31">
        <f>_xlfn.XLOOKUP(A114, Setting!E:E, Setting!M:M, , 0)*Setting!$C$3</f>
        <v>80</v>
      </c>
      <c r="D121" s="28">
        <v>10</v>
      </c>
      <c r="E121" s="4">
        <v>2.35E-2</v>
      </c>
      <c r="F121" s="32">
        <f>VLOOKUP(A114, Setting!$E:$U, 17, FALSE)</f>
        <v>0</v>
      </c>
      <c r="G121" s="33">
        <f>VLOOKUP(A114, Setting!$E:$U, 13, FALSE)</f>
        <v>2.35E-2</v>
      </c>
      <c r="H121" s="5">
        <v>2.3500000000000001E-3</v>
      </c>
      <c r="I121" s="5">
        <v>2.9375000000000001E-4</v>
      </c>
      <c r="J121" s="6">
        <v>80</v>
      </c>
      <c r="K121" s="19"/>
      <c r="L121" s="7"/>
      <c r="M121" s="17"/>
    </row>
    <row r="122" spans="1:13">
      <c r="G122" s="34">
        <f>SUM(G118:G121)</f>
        <v>0.04</v>
      </c>
      <c r="H122" s="8">
        <f>SUM(H118:H121)</f>
        <v>2.5100000000000001E-3</v>
      </c>
    </row>
    <row r="123" spans="1:13">
      <c r="G123" s="34"/>
      <c r="H123" s="8"/>
    </row>
    <row r="124" spans="1:13">
      <c r="B124" s="1" t="s">
        <v>4</v>
      </c>
      <c r="C124" s="1" t="s">
        <v>8</v>
      </c>
    </row>
    <row r="125" spans="1:13">
      <c r="A125" s="26">
        <f>A114+1</f>
        <v>12</v>
      </c>
      <c r="B125" s="37" t="s">
        <v>26</v>
      </c>
      <c r="C125" s="30">
        <f>_xlfn.XLOOKUP(A125, Setting!E:E, Setting!F:F, , 0)*Setting!$C$3</f>
        <v>9</v>
      </c>
      <c r="D125" s="29">
        <f>C125*Setting!$C$5</f>
        <v>9</v>
      </c>
    </row>
    <row r="126" spans="1:13">
      <c r="H126" s="53"/>
      <c r="I126" s="18"/>
      <c r="K126" s="27"/>
    </row>
    <row r="127" spans="1:13">
      <c r="H127" s="53"/>
      <c r="I127" s="18"/>
    </row>
    <row r="128" spans="1:13">
      <c r="B128" s="1"/>
      <c r="C128" s="1" t="s">
        <v>2</v>
      </c>
      <c r="D128" s="1" t="s">
        <v>12</v>
      </c>
      <c r="E128" s="1" t="s">
        <v>7</v>
      </c>
      <c r="F128" s="1" t="s">
        <v>1</v>
      </c>
      <c r="G128" s="1" t="s">
        <v>3</v>
      </c>
      <c r="H128" s="1" t="s">
        <v>58</v>
      </c>
      <c r="I128" s="1" t="s">
        <v>5</v>
      </c>
      <c r="J128" s="1" t="s">
        <v>6</v>
      </c>
      <c r="K128" s="1" t="s">
        <v>59</v>
      </c>
    </row>
    <row r="129" spans="1:13">
      <c r="B129" s="3" t="s">
        <v>16</v>
      </c>
      <c r="C129" s="31">
        <f>_xlfn.XLOOKUP(A125, Setting!E:E, Setting!J:J, , 0)*Setting!$C$3</f>
        <v>500000</v>
      </c>
      <c r="D129" s="28" cm="1">
        <f t="array" ref="D129:D132">C129:C132/D125</f>
        <v>55555.555555555555</v>
      </c>
      <c r="E129" s="4" cm="1">
        <f t="array" ref="E129:E132">G129:G132-F129:F132</f>
        <v>0</v>
      </c>
      <c r="F129" s="32">
        <f>VLOOKUP(A125, Setting!$E:$U, 14, FALSE)</f>
        <v>3.5000000000000001E-3</v>
      </c>
      <c r="G129" s="32">
        <f>VLOOKUP(A125, Setting!$E:$U, 10, FALSE)</f>
        <v>3.5000000000000001E-3</v>
      </c>
      <c r="H129" s="5">
        <f>E129/D129-Setting!$C$33</f>
        <v>0</v>
      </c>
      <c r="I129" s="5" cm="1">
        <f t="array" ref="I129:I132">_xlfn.ANCHORARRAY(E129)/_xlfn.ANCHORARRAY(D129)/D125</f>
        <v>0</v>
      </c>
      <c r="J129" s="6" t="e" cm="1">
        <f t="array" ref="J129:J132">C129:C132+F129:F132/_xlfn.ANCHORARRAY(E129)*C129:C132</f>
        <v>#DIV/0!</v>
      </c>
      <c r="K129" s="19">
        <f>1/SUM(H129:H132)</f>
        <v>398.40637450199205</v>
      </c>
      <c r="L129" s="7"/>
      <c r="M129" s="17"/>
    </row>
    <row r="130" spans="1:13">
      <c r="B130" s="3" t="s">
        <v>25</v>
      </c>
      <c r="C130" s="31">
        <f>_xlfn.XLOOKUP(A125, Setting!E:E, Setting!K:K, , 0)*Setting!$C$3</f>
        <v>100000</v>
      </c>
      <c r="D130" s="28">
        <v>11111.111111111111</v>
      </c>
      <c r="E130" s="4">
        <v>0</v>
      </c>
      <c r="F130" s="32">
        <f>VLOOKUP(A125, Setting!$E:$U, 15, FALSE)</f>
        <v>5.0000000000000001E-3</v>
      </c>
      <c r="G130" s="32">
        <f>VLOOKUP(A125, Setting!$E:$U, 11, FALSE)</f>
        <v>5.0000000000000001E-3</v>
      </c>
      <c r="H130" s="5" cm="1">
        <f t="array" ref="H130:H132">E130:E132/D130:D132</f>
        <v>0</v>
      </c>
      <c r="I130" s="5">
        <v>0</v>
      </c>
      <c r="J130" s="6" t="e">
        <v>#DIV/0!</v>
      </c>
      <c r="K130" s="19"/>
      <c r="L130" s="7"/>
      <c r="M130" s="17"/>
    </row>
    <row r="131" spans="1:13">
      <c r="B131" s="3" t="s">
        <v>18</v>
      </c>
      <c r="C131" s="31">
        <f>_xlfn.XLOOKUP(A125, Setting!E:E, Setting!L:L, , 0)*Setting!$C$3</f>
        <v>450</v>
      </c>
      <c r="D131" s="28">
        <v>50</v>
      </c>
      <c r="E131" s="4">
        <v>8.0000000000000002E-3</v>
      </c>
      <c r="F131" s="32">
        <f>VLOOKUP(A125, Setting!$E:$U, 16, FALSE)</f>
        <v>0</v>
      </c>
      <c r="G131" s="33">
        <f>VLOOKUP(A125, Setting!$E:$U, 12, FALSE)</f>
        <v>8.0000000000000002E-3</v>
      </c>
      <c r="H131" s="5">
        <v>1.6000000000000001E-4</v>
      </c>
      <c r="I131" s="5">
        <v>1.777777777777778E-5</v>
      </c>
      <c r="J131" s="6">
        <v>450</v>
      </c>
      <c r="K131" s="19"/>
      <c r="L131" s="7"/>
      <c r="M131" s="17"/>
    </row>
    <row r="132" spans="1:13">
      <c r="B132" s="3" t="s">
        <v>19</v>
      </c>
      <c r="C132" s="31">
        <f>_xlfn.XLOOKUP(A125, Setting!E:E, Setting!M:M, , 0)*Setting!$C$3</f>
        <v>90</v>
      </c>
      <c r="D132" s="28">
        <v>10</v>
      </c>
      <c r="E132" s="4">
        <v>2.35E-2</v>
      </c>
      <c r="F132" s="32">
        <f>VLOOKUP(A125, Setting!$E:$U, 17, FALSE)</f>
        <v>0</v>
      </c>
      <c r="G132" s="33">
        <f>VLOOKUP(A125, Setting!$E:$U, 13, FALSE)</f>
        <v>2.35E-2</v>
      </c>
      <c r="H132" s="5">
        <v>2.3500000000000001E-3</v>
      </c>
      <c r="I132" s="5">
        <v>2.611111111111111E-4</v>
      </c>
      <c r="J132" s="6">
        <v>90</v>
      </c>
      <c r="K132" s="19"/>
      <c r="L132" s="7"/>
      <c r="M132" s="17"/>
    </row>
    <row r="133" spans="1:13">
      <c r="G133" s="34">
        <f>SUM(G129:G132)</f>
        <v>0.04</v>
      </c>
      <c r="H133" s="8">
        <f>SUM(H129:H132)</f>
        <v>2.5100000000000001E-3</v>
      </c>
    </row>
    <row r="134" spans="1:13">
      <c r="G134" s="34"/>
      <c r="H134" s="8"/>
    </row>
    <row r="135" spans="1:13">
      <c r="B135" s="1" t="s">
        <v>4</v>
      </c>
      <c r="C135" s="1" t="s">
        <v>8</v>
      </c>
    </row>
    <row r="136" spans="1:13">
      <c r="A136" s="26">
        <f>A125+1</f>
        <v>13</v>
      </c>
      <c r="B136" s="37" t="s">
        <v>26</v>
      </c>
      <c r="C136" s="30">
        <f>_xlfn.XLOOKUP(A136, Setting!E:E, Setting!F:F, , 0)*Setting!$C$3</f>
        <v>10</v>
      </c>
      <c r="D136" s="29">
        <f>C136*Setting!$C$5</f>
        <v>10</v>
      </c>
    </row>
    <row r="137" spans="1:13">
      <c r="H137" s="53"/>
      <c r="I137" s="18"/>
      <c r="K137" s="27"/>
    </row>
    <row r="138" spans="1:13">
      <c r="H138" s="53"/>
      <c r="I138" s="18"/>
    </row>
    <row r="139" spans="1:13">
      <c r="B139" s="1"/>
      <c r="C139" s="1" t="s">
        <v>2</v>
      </c>
      <c r="D139" s="1" t="s">
        <v>12</v>
      </c>
      <c r="E139" s="1" t="s">
        <v>7</v>
      </c>
      <c r="F139" s="1" t="s">
        <v>1</v>
      </c>
      <c r="G139" s="1" t="s">
        <v>3</v>
      </c>
      <c r="H139" s="1" t="s">
        <v>58</v>
      </c>
      <c r="I139" s="1" t="s">
        <v>5</v>
      </c>
      <c r="J139" s="1" t="s">
        <v>6</v>
      </c>
      <c r="K139" s="1" t="s">
        <v>59</v>
      </c>
    </row>
    <row r="140" spans="1:13">
      <c r="B140" s="3" t="s">
        <v>16</v>
      </c>
      <c r="C140" s="31">
        <f>_xlfn.XLOOKUP(A136, Setting!E:E, Setting!J:J, , 0)*Setting!$C$3</f>
        <v>500000</v>
      </c>
      <c r="D140" s="28" cm="1">
        <f t="array" ref="D140:D143">C140:C143/D136</f>
        <v>50000</v>
      </c>
      <c r="E140" s="4" cm="1">
        <f t="array" ref="E140:E143">G140:G143-F140:F143</f>
        <v>0</v>
      </c>
      <c r="F140" s="32">
        <f>VLOOKUP(A136, Setting!$E:$U, 14, FALSE)</f>
        <v>3.5000000000000001E-3</v>
      </c>
      <c r="G140" s="32">
        <f>VLOOKUP(A136, Setting!$E:$U, 10, FALSE)</f>
        <v>3.5000000000000001E-3</v>
      </c>
      <c r="H140" s="5">
        <f>E140/D140-Setting!$C$33</f>
        <v>0</v>
      </c>
      <c r="I140" s="5" cm="1">
        <f t="array" ref="I140:I143">_xlfn.ANCHORARRAY(E140)/_xlfn.ANCHORARRAY(D140)/D136</f>
        <v>0</v>
      </c>
      <c r="J140" s="6" t="e" cm="1">
        <f t="array" ref="J140:J143">C140:C143+F140:F143/_xlfn.ANCHORARRAY(E140)*C140:C143</f>
        <v>#DIV/0!</v>
      </c>
      <c r="K140" s="19">
        <f>1/SUM(H140:H143)</f>
        <v>398.40637450199205</v>
      </c>
      <c r="L140" s="7"/>
      <c r="M140" s="17"/>
    </row>
    <row r="141" spans="1:13">
      <c r="B141" s="3" t="s">
        <v>25</v>
      </c>
      <c r="C141" s="31">
        <f>_xlfn.XLOOKUP(A136, Setting!E:E, Setting!K:K, , 0)*Setting!$C$3</f>
        <v>100000</v>
      </c>
      <c r="D141" s="28">
        <v>10000</v>
      </c>
      <c r="E141" s="4">
        <v>0</v>
      </c>
      <c r="F141" s="32">
        <f>VLOOKUP(A136, Setting!$E:$U, 15, FALSE)</f>
        <v>5.0000000000000001E-3</v>
      </c>
      <c r="G141" s="32">
        <f>VLOOKUP(A136, Setting!$E:$U, 11, FALSE)</f>
        <v>5.0000000000000001E-3</v>
      </c>
      <c r="H141" s="5" cm="1">
        <f t="array" ref="H141:H143">E141:E143/D141:D143</f>
        <v>0</v>
      </c>
      <c r="I141" s="5">
        <v>0</v>
      </c>
      <c r="J141" s="6" t="e">
        <v>#DIV/0!</v>
      </c>
      <c r="K141" s="19"/>
      <c r="L141" s="7"/>
      <c r="M141" s="17"/>
    </row>
    <row r="142" spans="1:13">
      <c r="B142" s="3" t="s">
        <v>18</v>
      </c>
      <c r="C142" s="31">
        <f>_xlfn.XLOOKUP(A136, Setting!E:E, Setting!L:L, , 0)*Setting!$C$3</f>
        <v>500</v>
      </c>
      <c r="D142" s="28">
        <v>50</v>
      </c>
      <c r="E142" s="4">
        <v>8.0000000000000002E-3</v>
      </c>
      <c r="F142" s="32">
        <f>VLOOKUP(A136, Setting!$E:$U, 16, FALSE)</f>
        <v>0</v>
      </c>
      <c r="G142" s="33">
        <f>VLOOKUP(A136, Setting!$E:$U, 12, FALSE)</f>
        <v>8.0000000000000002E-3</v>
      </c>
      <c r="H142" s="5">
        <v>1.6000000000000001E-4</v>
      </c>
      <c r="I142" s="5">
        <v>1.6000000000000003E-5</v>
      </c>
      <c r="J142" s="6">
        <v>500</v>
      </c>
      <c r="K142" s="19"/>
      <c r="L142" s="7"/>
      <c r="M142" s="17"/>
    </row>
    <row r="143" spans="1:13">
      <c r="B143" s="3" t="s">
        <v>19</v>
      </c>
      <c r="C143" s="31">
        <f>_xlfn.XLOOKUP(A136, Setting!E:E, Setting!M:M, , 0)*Setting!$C$3</f>
        <v>100</v>
      </c>
      <c r="D143" s="28">
        <v>10</v>
      </c>
      <c r="E143" s="4">
        <v>2.35E-2</v>
      </c>
      <c r="F143" s="32">
        <f>VLOOKUP(A136, Setting!$E:$U, 17, FALSE)</f>
        <v>0</v>
      </c>
      <c r="G143" s="33">
        <f>VLOOKUP(A136, Setting!$E:$U, 13, FALSE)</f>
        <v>2.35E-2</v>
      </c>
      <c r="H143" s="5">
        <v>2.3500000000000001E-3</v>
      </c>
      <c r="I143" s="5">
        <v>2.3500000000000002E-4</v>
      </c>
      <c r="J143" s="6">
        <v>100</v>
      </c>
      <c r="K143" s="19"/>
      <c r="L143" s="7"/>
      <c r="M143" s="17"/>
    </row>
    <row r="144" spans="1:13">
      <c r="G144" s="34">
        <f>SUM(G140:G143)</f>
        <v>0.04</v>
      </c>
      <c r="H144" s="8">
        <f>SUM(H140:H143)</f>
        <v>2.5100000000000001E-3</v>
      </c>
    </row>
    <row r="145" spans="1:13">
      <c r="G145" s="34"/>
      <c r="H145" s="8"/>
    </row>
    <row r="146" spans="1:13">
      <c r="B146" s="1" t="s">
        <v>4</v>
      </c>
      <c r="C146" s="1" t="s">
        <v>8</v>
      </c>
    </row>
    <row r="147" spans="1:13">
      <c r="A147" s="26">
        <f>A136+1</f>
        <v>14</v>
      </c>
      <c r="B147" s="37" t="s">
        <v>26</v>
      </c>
      <c r="C147" s="30">
        <f>_xlfn.XLOOKUP(A147, Setting!E:E, Setting!F:F, , 0)*Setting!$C$3</f>
        <v>12</v>
      </c>
      <c r="D147" s="29">
        <f>C147*Setting!$C$5</f>
        <v>12</v>
      </c>
    </row>
    <row r="148" spans="1:13">
      <c r="H148" s="53"/>
      <c r="I148" s="18"/>
      <c r="K148" s="27"/>
    </row>
    <row r="149" spans="1:13">
      <c r="H149" s="53"/>
      <c r="I149" s="18"/>
    </row>
    <row r="150" spans="1:13">
      <c r="B150" s="1"/>
      <c r="C150" s="1" t="s">
        <v>2</v>
      </c>
      <c r="D150" s="1" t="s">
        <v>12</v>
      </c>
      <c r="E150" s="1" t="s">
        <v>7</v>
      </c>
      <c r="F150" s="1" t="s">
        <v>1</v>
      </c>
      <c r="G150" s="1" t="s">
        <v>3</v>
      </c>
      <c r="H150" s="1" t="s">
        <v>58</v>
      </c>
      <c r="I150" s="1" t="s">
        <v>5</v>
      </c>
      <c r="J150" s="1" t="s">
        <v>6</v>
      </c>
      <c r="K150" s="1" t="s">
        <v>59</v>
      </c>
    </row>
    <row r="151" spans="1:13">
      <c r="B151" s="3" t="s">
        <v>16</v>
      </c>
      <c r="C151" s="31">
        <f>_xlfn.XLOOKUP(A147, Setting!E:E, Setting!J:J, , 0)*Setting!$C$3</f>
        <v>500000</v>
      </c>
      <c r="D151" s="28" cm="1">
        <f t="array" ref="D151:D154">C151:C154/D147</f>
        <v>41666.666666666664</v>
      </c>
      <c r="E151" s="4" cm="1">
        <f t="array" ref="E151:E154">G151:G154-F151:F154</f>
        <v>0</v>
      </c>
      <c r="F151" s="32">
        <f>VLOOKUP(A147, Setting!$E:$U, 14, FALSE)</f>
        <v>3.5000000000000001E-3</v>
      </c>
      <c r="G151" s="32">
        <f>VLOOKUP(A147, Setting!$E:$U, 10, FALSE)</f>
        <v>3.5000000000000001E-3</v>
      </c>
      <c r="H151" s="5">
        <f>E151/D151-Setting!$C$33</f>
        <v>0</v>
      </c>
      <c r="I151" s="5" cm="1">
        <f t="array" ref="I151:I154">_xlfn.ANCHORARRAY(E151)/_xlfn.ANCHORARRAY(D151)/D147</f>
        <v>0</v>
      </c>
      <c r="J151" s="6" t="e" cm="1">
        <f t="array" ref="J151:J154">C151:C154+F151:F154/_xlfn.ANCHORARRAY(E151)*C151:C154</f>
        <v>#DIV/0!</v>
      </c>
      <c r="K151" s="19">
        <f>1/SUM(H151:H154)</f>
        <v>398.40637450199205</v>
      </c>
      <c r="L151" s="7"/>
      <c r="M151" s="17"/>
    </row>
    <row r="152" spans="1:13">
      <c r="B152" s="3" t="s">
        <v>25</v>
      </c>
      <c r="C152" s="31">
        <f>_xlfn.XLOOKUP(A147, Setting!E:E, Setting!K:K, , 0)*Setting!$C$3</f>
        <v>100000</v>
      </c>
      <c r="D152" s="28">
        <v>8333.3333333333339</v>
      </c>
      <c r="E152" s="4">
        <v>0</v>
      </c>
      <c r="F152" s="32">
        <f>VLOOKUP(A147, Setting!$E:$U, 15, FALSE)</f>
        <v>5.0000000000000001E-3</v>
      </c>
      <c r="G152" s="32">
        <f>VLOOKUP(A147, Setting!$E:$U, 11, FALSE)</f>
        <v>5.0000000000000001E-3</v>
      </c>
      <c r="H152" s="5" cm="1">
        <f t="array" ref="H152:H154">E152:E154/D152:D154</f>
        <v>0</v>
      </c>
      <c r="I152" s="5">
        <v>0</v>
      </c>
      <c r="J152" s="6" t="e">
        <v>#DIV/0!</v>
      </c>
      <c r="K152" s="19"/>
      <c r="L152" s="7"/>
      <c r="M152" s="17"/>
    </row>
    <row r="153" spans="1:13">
      <c r="B153" s="3" t="s">
        <v>18</v>
      </c>
      <c r="C153" s="31">
        <f>_xlfn.XLOOKUP(A147, Setting!E:E, Setting!L:L, , 0)*Setting!$C$3</f>
        <v>600</v>
      </c>
      <c r="D153" s="28">
        <v>50</v>
      </c>
      <c r="E153" s="4">
        <v>8.0000000000000002E-3</v>
      </c>
      <c r="F153" s="32">
        <f>VLOOKUP(A147, Setting!$E:$U, 16, FALSE)</f>
        <v>0</v>
      </c>
      <c r="G153" s="33">
        <f>VLOOKUP(A147, Setting!$E:$U, 12, FALSE)</f>
        <v>8.0000000000000002E-3</v>
      </c>
      <c r="H153" s="5">
        <v>1.6000000000000001E-4</v>
      </c>
      <c r="I153" s="5">
        <v>1.3333333333333335E-5</v>
      </c>
      <c r="J153" s="6">
        <v>600</v>
      </c>
      <c r="K153" s="19"/>
      <c r="L153" s="7"/>
      <c r="M153" s="17"/>
    </row>
    <row r="154" spans="1:13">
      <c r="B154" s="3" t="s">
        <v>19</v>
      </c>
      <c r="C154" s="31">
        <f>_xlfn.XLOOKUP(A147, Setting!E:E, Setting!M:M, , 0)*Setting!$C$3</f>
        <v>120</v>
      </c>
      <c r="D154" s="28">
        <v>10</v>
      </c>
      <c r="E154" s="4">
        <v>2.35E-2</v>
      </c>
      <c r="F154" s="32">
        <f>VLOOKUP(A147, Setting!$E:$U, 17, FALSE)</f>
        <v>0</v>
      </c>
      <c r="G154" s="33">
        <f>VLOOKUP(A147, Setting!$E:$U, 13, FALSE)</f>
        <v>2.35E-2</v>
      </c>
      <c r="H154" s="5">
        <v>2.3500000000000001E-3</v>
      </c>
      <c r="I154" s="5">
        <v>1.9583333333333334E-4</v>
      </c>
      <c r="J154" s="6">
        <v>120</v>
      </c>
      <c r="K154" s="19"/>
      <c r="L154" s="7"/>
      <c r="M154" s="17"/>
    </row>
    <row r="155" spans="1:13">
      <c r="G155" s="34">
        <f>SUM(G151:G154)</f>
        <v>0.04</v>
      </c>
      <c r="H155" s="8">
        <f>SUM(H151:H154)</f>
        <v>2.5100000000000001E-3</v>
      </c>
    </row>
    <row r="156" spans="1:13">
      <c r="G156" s="34"/>
      <c r="H156" s="8"/>
    </row>
    <row r="157" spans="1:13">
      <c r="B157" s="1" t="s">
        <v>4</v>
      </c>
      <c r="C157" s="1" t="s">
        <v>8</v>
      </c>
    </row>
    <row r="158" spans="1:13">
      <c r="A158" s="26">
        <f>A147+1</f>
        <v>15</v>
      </c>
      <c r="B158" s="37" t="s">
        <v>26</v>
      </c>
      <c r="C158" s="30">
        <f>_xlfn.XLOOKUP(A158, Setting!E:E, Setting!F:F, , 0)*Setting!$C$3</f>
        <v>14</v>
      </c>
      <c r="D158" s="29">
        <f>C158*Setting!$C$5</f>
        <v>14</v>
      </c>
    </row>
    <row r="159" spans="1:13">
      <c r="H159" s="53"/>
      <c r="I159" s="18"/>
      <c r="K159" s="27"/>
    </row>
    <row r="160" spans="1:13">
      <c r="H160" s="53"/>
      <c r="I160" s="18"/>
    </row>
    <row r="161" spans="1:13">
      <c r="B161" s="1"/>
      <c r="C161" s="1" t="s">
        <v>2</v>
      </c>
      <c r="D161" s="1" t="s">
        <v>12</v>
      </c>
      <c r="E161" s="1" t="s">
        <v>7</v>
      </c>
      <c r="F161" s="1" t="s">
        <v>1</v>
      </c>
      <c r="G161" s="1" t="s">
        <v>3</v>
      </c>
      <c r="H161" s="1" t="s">
        <v>58</v>
      </c>
      <c r="I161" s="1" t="s">
        <v>5</v>
      </c>
      <c r="J161" s="1" t="s">
        <v>6</v>
      </c>
      <c r="K161" s="1" t="s">
        <v>59</v>
      </c>
    </row>
    <row r="162" spans="1:13">
      <c r="B162" s="3" t="s">
        <v>16</v>
      </c>
      <c r="C162" s="31">
        <f>_xlfn.XLOOKUP(A158, Setting!E:E, Setting!J:J, , 0)*Setting!$C$3</f>
        <v>500000</v>
      </c>
      <c r="D162" s="28" cm="1">
        <f t="array" ref="D162:D165">C162:C165/D158</f>
        <v>35714.285714285717</v>
      </c>
      <c r="E162" s="4" cm="1">
        <f t="array" ref="E162:E165">G162:G165-F162:F165</f>
        <v>0</v>
      </c>
      <c r="F162" s="32">
        <f>VLOOKUP(A158, Setting!$E:$U, 14, FALSE)</f>
        <v>3.5000000000000001E-3</v>
      </c>
      <c r="G162" s="32">
        <f>VLOOKUP(A158, Setting!$E:$U, 10, FALSE)</f>
        <v>3.5000000000000001E-3</v>
      </c>
      <c r="H162" s="5">
        <f>E162/D162-Setting!$C$33</f>
        <v>0</v>
      </c>
      <c r="I162" s="5" cm="1">
        <f t="array" ref="I162:I165">_xlfn.ANCHORARRAY(E162)/_xlfn.ANCHORARRAY(D162)/D158</f>
        <v>0</v>
      </c>
      <c r="J162" s="6" t="e" cm="1">
        <f t="array" ref="J162:J165">C162:C165+F162:F165/_xlfn.ANCHORARRAY(E162)*C162:C165</f>
        <v>#DIV/0!</v>
      </c>
      <c r="K162" s="19">
        <f>1/SUM(H162:H165)</f>
        <v>398.40637450199205</v>
      </c>
      <c r="L162" s="7"/>
      <c r="M162" s="17"/>
    </row>
    <row r="163" spans="1:13">
      <c r="B163" s="3" t="s">
        <v>25</v>
      </c>
      <c r="C163" s="31">
        <f>_xlfn.XLOOKUP(A158, Setting!E:E, Setting!K:K, , 0)*Setting!$C$3</f>
        <v>100000</v>
      </c>
      <c r="D163" s="28">
        <v>7142.8571428571431</v>
      </c>
      <c r="E163" s="4">
        <v>0</v>
      </c>
      <c r="F163" s="32">
        <f>VLOOKUP(A158, Setting!$E:$U, 15, FALSE)</f>
        <v>5.0000000000000001E-3</v>
      </c>
      <c r="G163" s="32">
        <f>VLOOKUP(A158, Setting!$E:$U, 11, FALSE)</f>
        <v>5.0000000000000001E-3</v>
      </c>
      <c r="H163" s="5" cm="1">
        <f t="array" ref="H163:H165">E163:E165/D163:D165</f>
        <v>0</v>
      </c>
      <c r="I163" s="5">
        <v>0</v>
      </c>
      <c r="J163" s="6" t="e">
        <v>#DIV/0!</v>
      </c>
      <c r="K163" s="19"/>
      <c r="L163" s="7"/>
      <c r="M163" s="17"/>
    </row>
    <row r="164" spans="1:13">
      <c r="B164" s="3" t="s">
        <v>18</v>
      </c>
      <c r="C164" s="31">
        <f>_xlfn.XLOOKUP(A158, Setting!E:E, Setting!L:L, , 0)*Setting!$C$3</f>
        <v>700</v>
      </c>
      <c r="D164" s="28">
        <v>50</v>
      </c>
      <c r="E164" s="4">
        <v>8.0000000000000002E-3</v>
      </c>
      <c r="F164" s="32">
        <f>VLOOKUP(A158, Setting!$E:$U, 16, FALSE)</f>
        <v>0</v>
      </c>
      <c r="G164" s="33">
        <f>VLOOKUP(A158, Setting!$E:$U, 12, FALSE)</f>
        <v>8.0000000000000002E-3</v>
      </c>
      <c r="H164" s="5">
        <v>1.6000000000000001E-4</v>
      </c>
      <c r="I164" s="5">
        <v>1.1428571428571429E-5</v>
      </c>
      <c r="J164" s="6">
        <v>700</v>
      </c>
      <c r="K164" s="19"/>
      <c r="L164" s="7"/>
      <c r="M164" s="17"/>
    </row>
    <row r="165" spans="1:13">
      <c r="B165" s="3" t="s">
        <v>19</v>
      </c>
      <c r="C165" s="31">
        <f>_xlfn.XLOOKUP(A158, Setting!E:E, Setting!M:M, , 0)*Setting!$C$3</f>
        <v>140</v>
      </c>
      <c r="D165" s="28">
        <v>10</v>
      </c>
      <c r="E165" s="4">
        <v>2.35E-2</v>
      </c>
      <c r="F165" s="32">
        <f>VLOOKUP(A158, Setting!$E:$U, 17, FALSE)</f>
        <v>0</v>
      </c>
      <c r="G165" s="33">
        <f>VLOOKUP(A158, Setting!$E:$U, 13, FALSE)</f>
        <v>2.35E-2</v>
      </c>
      <c r="H165" s="5">
        <v>2.3500000000000001E-3</v>
      </c>
      <c r="I165" s="5">
        <v>1.6785714285714285E-4</v>
      </c>
      <c r="J165" s="6">
        <v>140</v>
      </c>
      <c r="K165" s="19"/>
      <c r="L165" s="7"/>
      <c r="M165" s="17"/>
    </row>
    <row r="166" spans="1:13">
      <c r="G166" s="34">
        <f>SUM(G162:G165)</f>
        <v>0.04</v>
      </c>
      <c r="H166" s="8">
        <f>SUM(H162:H165)</f>
        <v>2.5100000000000001E-3</v>
      </c>
    </row>
    <row r="167" spans="1:13">
      <c r="G167" s="34"/>
      <c r="H167" s="8"/>
    </row>
    <row r="168" spans="1:13">
      <c r="B168" s="1" t="s">
        <v>4</v>
      </c>
      <c r="C168" s="1" t="s">
        <v>8</v>
      </c>
    </row>
    <row r="169" spans="1:13">
      <c r="A169" s="26">
        <f>A158+1</f>
        <v>16</v>
      </c>
      <c r="B169" s="37" t="s">
        <v>26</v>
      </c>
      <c r="C169" s="30">
        <f>_xlfn.XLOOKUP(A169, Setting!E:E, Setting!F:F, , 0)*Setting!$C$3</f>
        <v>16</v>
      </c>
      <c r="D169" s="29">
        <f>C169*Setting!$C$5</f>
        <v>16</v>
      </c>
    </row>
    <row r="170" spans="1:13">
      <c r="H170" s="53"/>
      <c r="I170" s="18"/>
      <c r="K170" s="27"/>
    </row>
    <row r="171" spans="1:13">
      <c r="H171" s="53"/>
      <c r="I171" s="18"/>
    </row>
    <row r="172" spans="1:13">
      <c r="B172" s="1"/>
      <c r="C172" s="1" t="s">
        <v>2</v>
      </c>
      <c r="D172" s="1" t="s">
        <v>12</v>
      </c>
      <c r="E172" s="1" t="s">
        <v>7</v>
      </c>
      <c r="F172" s="1" t="s">
        <v>1</v>
      </c>
      <c r="G172" s="1" t="s">
        <v>3</v>
      </c>
      <c r="H172" s="1" t="s">
        <v>58</v>
      </c>
      <c r="I172" s="1" t="s">
        <v>5</v>
      </c>
      <c r="J172" s="1" t="s">
        <v>6</v>
      </c>
      <c r="K172" s="1" t="s">
        <v>59</v>
      </c>
    </row>
    <row r="173" spans="1:13">
      <c r="B173" s="3" t="s">
        <v>16</v>
      </c>
      <c r="C173" s="31">
        <f>_xlfn.XLOOKUP(A169, Setting!E:E, Setting!J:J, , 0)*Setting!$C$3</f>
        <v>500000</v>
      </c>
      <c r="D173" s="28" cm="1">
        <f t="array" ref="D173:D176">C173:C176/D169</f>
        <v>31250</v>
      </c>
      <c r="E173" s="4" cm="1">
        <f t="array" ref="E173:E176">G173:G176-F173:F176</f>
        <v>0</v>
      </c>
      <c r="F173" s="32">
        <f>VLOOKUP(A169, Setting!$E:$U, 14, FALSE)</f>
        <v>3.5000000000000001E-3</v>
      </c>
      <c r="G173" s="32">
        <f>VLOOKUP(A169, Setting!$E:$U, 10, FALSE)</f>
        <v>3.5000000000000001E-3</v>
      </c>
      <c r="H173" s="5">
        <f>E173/D173-Setting!$C$33</f>
        <v>0</v>
      </c>
      <c r="I173" s="5" cm="1">
        <f t="array" ref="I173:I176">_xlfn.ANCHORARRAY(E173)/_xlfn.ANCHORARRAY(D173)/D169</f>
        <v>0</v>
      </c>
      <c r="J173" s="6" t="e" cm="1">
        <f t="array" ref="J173:J176">C173:C176+F173:F176/_xlfn.ANCHORARRAY(E173)*C173:C176</f>
        <v>#DIV/0!</v>
      </c>
      <c r="K173" s="19">
        <f>1/SUM(H173:H176)</f>
        <v>398.40637450199205</v>
      </c>
      <c r="L173" s="7"/>
      <c r="M173" s="17"/>
    </row>
    <row r="174" spans="1:13">
      <c r="B174" s="3" t="s">
        <v>25</v>
      </c>
      <c r="C174" s="31">
        <f>_xlfn.XLOOKUP(A169, Setting!E:E, Setting!K:K, , 0)*Setting!$C$3</f>
        <v>100000</v>
      </c>
      <c r="D174" s="28">
        <v>6250</v>
      </c>
      <c r="E174" s="4">
        <v>0</v>
      </c>
      <c r="F174" s="32">
        <f>VLOOKUP(A169, Setting!$E:$U, 15, FALSE)</f>
        <v>5.0000000000000001E-3</v>
      </c>
      <c r="G174" s="32">
        <f>VLOOKUP(A169, Setting!$E:$U, 11, FALSE)</f>
        <v>5.0000000000000001E-3</v>
      </c>
      <c r="H174" s="5" cm="1">
        <f t="array" ref="H174:H176">E174:E176/D174:D176</f>
        <v>0</v>
      </c>
      <c r="I174" s="5">
        <v>0</v>
      </c>
      <c r="J174" s="6" t="e">
        <v>#DIV/0!</v>
      </c>
      <c r="K174" s="19"/>
      <c r="L174" s="7"/>
      <c r="M174" s="17"/>
    </row>
    <row r="175" spans="1:13">
      <c r="B175" s="3" t="s">
        <v>18</v>
      </c>
      <c r="C175" s="31">
        <f>_xlfn.XLOOKUP(A169, Setting!E:E, Setting!L:L, , 0)*Setting!$C$3</f>
        <v>800</v>
      </c>
      <c r="D175" s="28">
        <v>50</v>
      </c>
      <c r="E175" s="4">
        <v>8.0000000000000002E-3</v>
      </c>
      <c r="F175" s="32">
        <f>VLOOKUP(A169, Setting!$E:$U, 16, FALSE)</f>
        <v>0</v>
      </c>
      <c r="G175" s="33">
        <f>VLOOKUP(A169, Setting!$E:$U, 12, FALSE)</f>
        <v>8.0000000000000002E-3</v>
      </c>
      <c r="H175" s="5">
        <v>1.6000000000000001E-4</v>
      </c>
      <c r="I175" s="5">
        <v>1.0000000000000001E-5</v>
      </c>
      <c r="J175" s="6">
        <v>800</v>
      </c>
      <c r="K175" s="19"/>
      <c r="L175" s="7"/>
      <c r="M175" s="17"/>
    </row>
    <row r="176" spans="1:13">
      <c r="B176" s="3" t="s">
        <v>19</v>
      </c>
      <c r="C176" s="31">
        <f>_xlfn.XLOOKUP(A169, Setting!E:E, Setting!M:M, , 0)*Setting!$C$3</f>
        <v>160</v>
      </c>
      <c r="D176" s="28">
        <v>10</v>
      </c>
      <c r="E176" s="4">
        <v>2.35E-2</v>
      </c>
      <c r="F176" s="32">
        <f>VLOOKUP(A169, Setting!$E:$U, 17, FALSE)</f>
        <v>0</v>
      </c>
      <c r="G176" s="33">
        <f>VLOOKUP(A169, Setting!$E:$U, 13, FALSE)</f>
        <v>2.35E-2</v>
      </c>
      <c r="H176" s="5">
        <v>2.3500000000000001E-3</v>
      </c>
      <c r="I176" s="5">
        <v>1.4687500000000001E-4</v>
      </c>
      <c r="J176" s="6">
        <v>160</v>
      </c>
      <c r="K176" s="19"/>
      <c r="L176" s="7"/>
      <c r="M176" s="17"/>
    </row>
    <row r="177" spans="1:13">
      <c r="G177" s="34">
        <f>SUM(G173:G176)</f>
        <v>0.04</v>
      </c>
      <c r="H177" s="8">
        <f>SUM(H173:H176)</f>
        <v>2.5100000000000001E-3</v>
      </c>
    </row>
    <row r="178" spans="1:13">
      <c r="G178" s="34"/>
      <c r="H178" s="8"/>
    </row>
    <row r="179" spans="1:13">
      <c r="B179" s="1" t="s">
        <v>4</v>
      </c>
      <c r="C179" s="1" t="s">
        <v>8</v>
      </c>
    </row>
    <row r="180" spans="1:13">
      <c r="A180" s="26">
        <f>A169+1</f>
        <v>17</v>
      </c>
      <c r="B180" s="37" t="s">
        <v>26</v>
      </c>
      <c r="C180" s="30">
        <f>_xlfn.XLOOKUP(A180, Setting!E:E, Setting!F:F, , 0)*Setting!$C$3</f>
        <v>18</v>
      </c>
      <c r="D180" s="29">
        <f>C180*Setting!$C$5</f>
        <v>18</v>
      </c>
    </row>
    <row r="181" spans="1:13">
      <c r="H181" s="53"/>
      <c r="I181" s="18"/>
      <c r="K181" s="27"/>
    </row>
    <row r="182" spans="1:13">
      <c r="H182" s="53"/>
      <c r="I182" s="18"/>
    </row>
    <row r="183" spans="1:13">
      <c r="B183" s="1"/>
      <c r="C183" s="1" t="s">
        <v>2</v>
      </c>
      <c r="D183" s="1" t="s">
        <v>12</v>
      </c>
      <c r="E183" s="1" t="s">
        <v>7</v>
      </c>
      <c r="F183" s="1" t="s">
        <v>1</v>
      </c>
      <c r="G183" s="1" t="s">
        <v>3</v>
      </c>
      <c r="H183" s="1" t="s">
        <v>58</v>
      </c>
      <c r="I183" s="1" t="s">
        <v>5</v>
      </c>
      <c r="J183" s="1" t="s">
        <v>6</v>
      </c>
      <c r="K183" s="1" t="s">
        <v>59</v>
      </c>
    </row>
    <row r="184" spans="1:13">
      <c r="B184" s="3" t="s">
        <v>16</v>
      </c>
      <c r="C184" s="31">
        <f>_xlfn.XLOOKUP(A180, Setting!E:E, Setting!J:J, , 0)*Setting!$C$3</f>
        <v>500000</v>
      </c>
      <c r="D184" s="28" cm="1">
        <f t="array" ref="D184:D187">C184:C187/D180</f>
        <v>27777.777777777777</v>
      </c>
      <c r="E184" s="4" cm="1">
        <f t="array" ref="E184:E187">G184:G187-F184:F187</f>
        <v>0</v>
      </c>
      <c r="F184" s="32">
        <f>VLOOKUP(A180, Setting!$E:$U, 14, FALSE)</f>
        <v>3.5000000000000001E-3</v>
      </c>
      <c r="G184" s="32">
        <f>VLOOKUP(A180, Setting!$E:$U, 10, FALSE)</f>
        <v>3.5000000000000001E-3</v>
      </c>
      <c r="H184" s="5">
        <f>E184/D184-Setting!$C$33</f>
        <v>0</v>
      </c>
      <c r="I184" s="5" cm="1">
        <f t="array" ref="I184:I187">_xlfn.ANCHORARRAY(E184)/_xlfn.ANCHORARRAY(D184)/D180</f>
        <v>0</v>
      </c>
      <c r="J184" s="6" t="e" cm="1">
        <f t="array" ref="J184:J187">C184:C187+F184:F187/_xlfn.ANCHORARRAY(E184)*C184:C187</f>
        <v>#DIV/0!</v>
      </c>
      <c r="K184" s="19">
        <f>1/SUM(H184:H187)</f>
        <v>398.40637450199205</v>
      </c>
      <c r="L184" s="7"/>
      <c r="M184" s="17"/>
    </row>
    <row r="185" spans="1:13">
      <c r="B185" s="3" t="s">
        <v>25</v>
      </c>
      <c r="C185" s="31">
        <f>_xlfn.XLOOKUP(A180, Setting!E:E, Setting!K:K, , 0)*Setting!$C$3</f>
        <v>100000</v>
      </c>
      <c r="D185" s="28">
        <v>5555.5555555555557</v>
      </c>
      <c r="E185" s="4">
        <v>0</v>
      </c>
      <c r="F185" s="32">
        <f>VLOOKUP(A180, Setting!$E:$U, 15, FALSE)</f>
        <v>5.0000000000000001E-3</v>
      </c>
      <c r="G185" s="32">
        <f>VLOOKUP(A180, Setting!$E:$U, 11, FALSE)</f>
        <v>5.0000000000000001E-3</v>
      </c>
      <c r="H185" s="5" cm="1">
        <f t="array" ref="H185:H187">E185:E187/D185:D187</f>
        <v>0</v>
      </c>
      <c r="I185" s="5">
        <v>0</v>
      </c>
      <c r="J185" s="6" t="e">
        <v>#DIV/0!</v>
      </c>
      <c r="K185" s="19"/>
      <c r="L185" s="7"/>
      <c r="M185" s="17"/>
    </row>
    <row r="186" spans="1:13">
      <c r="B186" s="3" t="s">
        <v>18</v>
      </c>
      <c r="C186" s="31">
        <f>_xlfn.XLOOKUP(A180, Setting!E:E, Setting!L:L, , 0)*Setting!$C$3</f>
        <v>900</v>
      </c>
      <c r="D186" s="28">
        <v>50</v>
      </c>
      <c r="E186" s="4">
        <v>8.0000000000000002E-3</v>
      </c>
      <c r="F186" s="32">
        <f>VLOOKUP(A180, Setting!$E:$U, 16, FALSE)</f>
        <v>0</v>
      </c>
      <c r="G186" s="33">
        <f>VLOOKUP(A180, Setting!$E:$U, 12, FALSE)</f>
        <v>8.0000000000000002E-3</v>
      </c>
      <c r="H186" s="5">
        <v>1.6000000000000001E-4</v>
      </c>
      <c r="I186" s="5">
        <v>8.88888888888889E-6</v>
      </c>
      <c r="J186" s="6">
        <v>900</v>
      </c>
      <c r="K186" s="19"/>
      <c r="L186" s="7"/>
      <c r="M186" s="17"/>
    </row>
    <row r="187" spans="1:13">
      <c r="B187" s="3" t="s">
        <v>19</v>
      </c>
      <c r="C187" s="31">
        <f>_xlfn.XLOOKUP(A180, Setting!E:E, Setting!M:M, , 0)*Setting!$C$3</f>
        <v>180</v>
      </c>
      <c r="D187" s="28">
        <v>10</v>
      </c>
      <c r="E187" s="4">
        <v>2.35E-2</v>
      </c>
      <c r="F187" s="32">
        <f>VLOOKUP(A180, Setting!$E:$U, 17, FALSE)</f>
        <v>0</v>
      </c>
      <c r="G187" s="33">
        <f>VLOOKUP(A180, Setting!$E:$U, 13, FALSE)</f>
        <v>2.35E-2</v>
      </c>
      <c r="H187" s="5">
        <v>2.3500000000000001E-3</v>
      </c>
      <c r="I187" s="5">
        <v>1.3055555555555555E-4</v>
      </c>
      <c r="J187" s="6">
        <v>180</v>
      </c>
      <c r="K187" s="19"/>
      <c r="L187" s="7"/>
      <c r="M187" s="17"/>
    </row>
    <row r="188" spans="1:13">
      <c r="G188" s="34">
        <f>SUM(G184:G187)</f>
        <v>0.04</v>
      </c>
      <c r="H188" s="8">
        <f>SUM(H184:H187)</f>
        <v>2.5100000000000001E-3</v>
      </c>
    </row>
    <row r="189" spans="1:13">
      <c r="G189" s="34"/>
      <c r="H189" s="8"/>
    </row>
    <row r="190" spans="1:13">
      <c r="B190" s="1" t="s">
        <v>4</v>
      </c>
      <c r="C190" s="1" t="s">
        <v>8</v>
      </c>
    </row>
    <row r="191" spans="1:13">
      <c r="A191" s="26">
        <f>A180+1</f>
        <v>18</v>
      </c>
      <c r="B191" s="37" t="s">
        <v>26</v>
      </c>
      <c r="C191" s="30">
        <f>_xlfn.XLOOKUP(A191, Setting!E:E, Setting!F:F, , 0)*Setting!$C$3</f>
        <v>20</v>
      </c>
      <c r="D191" s="29">
        <f>C191*Setting!$C$5</f>
        <v>20</v>
      </c>
    </row>
    <row r="192" spans="1:13">
      <c r="H192" s="53"/>
      <c r="I192" s="18"/>
      <c r="K192" s="27"/>
    </row>
    <row r="193" spans="1:13">
      <c r="H193" s="53"/>
      <c r="I193" s="18"/>
    </row>
    <row r="194" spans="1:13">
      <c r="B194" s="1"/>
      <c r="C194" s="1" t="s">
        <v>2</v>
      </c>
      <c r="D194" s="1" t="s">
        <v>12</v>
      </c>
      <c r="E194" s="1" t="s">
        <v>7</v>
      </c>
      <c r="F194" s="1" t="s">
        <v>1</v>
      </c>
      <c r="G194" s="1" t="s">
        <v>3</v>
      </c>
      <c r="H194" s="1" t="s">
        <v>58</v>
      </c>
      <c r="I194" s="1" t="s">
        <v>5</v>
      </c>
      <c r="J194" s="1" t="s">
        <v>6</v>
      </c>
      <c r="K194" s="1" t="s">
        <v>59</v>
      </c>
    </row>
    <row r="195" spans="1:13">
      <c r="B195" s="3" t="s">
        <v>16</v>
      </c>
      <c r="C195" s="31">
        <f>_xlfn.XLOOKUP(A191, Setting!E:E, Setting!J:J, , 0)*Setting!$C$3</f>
        <v>500000</v>
      </c>
      <c r="D195" s="28" cm="1">
        <f t="array" ref="D195:D198">C195:C198/D191</f>
        <v>25000</v>
      </c>
      <c r="E195" s="4" cm="1">
        <f t="array" ref="E195:E198">G195:G198-F195:F198</f>
        <v>0</v>
      </c>
      <c r="F195" s="32">
        <f>VLOOKUP(A191, Setting!$E:$U, 14, FALSE)</f>
        <v>3.5000000000000001E-3</v>
      </c>
      <c r="G195" s="32">
        <f>VLOOKUP(A191, Setting!$E:$U, 10, FALSE)</f>
        <v>3.5000000000000001E-3</v>
      </c>
      <c r="H195" s="5">
        <f>E195/D195-Setting!$C$33</f>
        <v>0</v>
      </c>
      <c r="I195" s="5" cm="1">
        <f t="array" ref="I195:I198">_xlfn.ANCHORARRAY(E195)/_xlfn.ANCHORARRAY(D195)/D191</f>
        <v>0</v>
      </c>
      <c r="J195" s="6" t="e" cm="1">
        <f t="array" ref="J195:J198">C195:C198+F195:F198/_xlfn.ANCHORARRAY(E195)*C195:C198</f>
        <v>#DIV/0!</v>
      </c>
      <c r="K195" s="19">
        <f>1/SUM(H195:H198)</f>
        <v>398.40637450199205</v>
      </c>
      <c r="L195" s="7"/>
      <c r="M195" s="17"/>
    </row>
    <row r="196" spans="1:13">
      <c r="B196" s="3" t="s">
        <v>25</v>
      </c>
      <c r="C196" s="31">
        <f>_xlfn.XLOOKUP(A191, Setting!E:E, Setting!K:K, , 0)*Setting!$C$3</f>
        <v>100000</v>
      </c>
      <c r="D196" s="28">
        <v>5000</v>
      </c>
      <c r="E196" s="4">
        <v>0</v>
      </c>
      <c r="F196" s="32">
        <f>VLOOKUP(A191, Setting!$E:$U, 15, FALSE)</f>
        <v>5.0000000000000001E-3</v>
      </c>
      <c r="G196" s="32">
        <f>VLOOKUP(A191, Setting!$E:$U, 11, FALSE)</f>
        <v>5.0000000000000001E-3</v>
      </c>
      <c r="H196" s="5" cm="1">
        <f t="array" ref="H196:H198">E196:E198/D196:D198</f>
        <v>0</v>
      </c>
      <c r="I196" s="5">
        <v>0</v>
      </c>
      <c r="J196" s="6" t="e">
        <v>#DIV/0!</v>
      </c>
      <c r="K196" s="19"/>
      <c r="L196" s="7"/>
      <c r="M196" s="17"/>
    </row>
    <row r="197" spans="1:13">
      <c r="B197" s="3" t="s">
        <v>18</v>
      </c>
      <c r="C197" s="31">
        <f>_xlfn.XLOOKUP(A191, Setting!E:E, Setting!L:L, , 0)*Setting!$C$3</f>
        <v>1000</v>
      </c>
      <c r="D197" s="28">
        <v>50</v>
      </c>
      <c r="E197" s="4">
        <v>8.0000000000000002E-3</v>
      </c>
      <c r="F197" s="32">
        <f>VLOOKUP(A191, Setting!$E:$U, 16, FALSE)</f>
        <v>0</v>
      </c>
      <c r="G197" s="33">
        <f>VLOOKUP(A191, Setting!$E:$U, 12, FALSE)</f>
        <v>8.0000000000000002E-3</v>
      </c>
      <c r="H197" s="5">
        <v>1.6000000000000001E-4</v>
      </c>
      <c r="I197" s="5">
        <v>8.0000000000000013E-6</v>
      </c>
      <c r="J197" s="6">
        <v>1000</v>
      </c>
      <c r="K197" s="19"/>
      <c r="L197" s="7"/>
      <c r="M197" s="17"/>
    </row>
    <row r="198" spans="1:13">
      <c r="B198" s="3" t="s">
        <v>19</v>
      </c>
      <c r="C198" s="31">
        <f>_xlfn.XLOOKUP(A191, Setting!E:E, Setting!M:M, , 0)*Setting!$C$3</f>
        <v>200</v>
      </c>
      <c r="D198" s="28">
        <v>10</v>
      </c>
      <c r="E198" s="4">
        <v>2.35E-2</v>
      </c>
      <c r="F198" s="32">
        <f>VLOOKUP(A191, Setting!$E:$U, 17, FALSE)</f>
        <v>0</v>
      </c>
      <c r="G198" s="33">
        <f>VLOOKUP(A191, Setting!$E:$U, 13, FALSE)</f>
        <v>2.35E-2</v>
      </c>
      <c r="H198" s="5">
        <v>2.3500000000000001E-3</v>
      </c>
      <c r="I198" s="5">
        <v>1.1750000000000001E-4</v>
      </c>
      <c r="J198" s="6">
        <v>200</v>
      </c>
      <c r="K198" s="19"/>
      <c r="L198" s="7"/>
      <c r="M198" s="17"/>
    </row>
    <row r="199" spans="1:13">
      <c r="G199" s="34">
        <f>SUM(G195:G198)</f>
        <v>0.04</v>
      </c>
      <c r="H199" s="8">
        <f>SUM(H195:H198)</f>
        <v>2.5100000000000001E-3</v>
      </c>
    </row>
    <row r="200" spans="1:13">
      <c r="G200" s="34"/>
      <c r="H200" s="8"/>
    </row>
    <row r="201" spans="1:13">
      <c r="B201" s="1" t="s">
        <v>4</v>
      </c>
      <c r="C201" s="1" t="s">
        <v>8</v>
      </c>
    </row>
    <row r="202" spans="1:13">
      <c r="A202" s="26">
        <f>A191+1</f>
        <v>19</v>
      </c>
      <c r="B202" s="37" t="s">
        <v>26</v>
      </c>
      <c r="C202" s="30">
        <f>_xlfn.XLOOKUP(A202, Setting!E:E, Setting!F:F, , 0)*Setting!$C$3</f>
        <v>30</v>
      </c>
      <c r="D202" s="29">
        <f>C202*Setting!$C$5</f>
        <v>30</v>
      </c>
    </row>
    <row r="203" spans="1:13">
      <c r="H203" s="53"/>
      <c r="I203" s="18"/>
      <c r="K203" s="27"/>
    </row>
    <row r="204" spans="1:13">
      <c r="H204" s="53"/>
      <c r="I204" s="18"/>
    </row>
    <row r="205" spans="1:13">
      <c r="B205" s="1"/>
      <c r="C205" s="1" t="s">
        <v>2</v>
      </c>
      <c r="D205" s="1" t="s">
        <v>12</v>
      </c>
      <c r="E205" s="1" t="s">
        <v>7</v>
      </c>
      <c r="F205" s="1" t="s">
        <v>1</v>
      </c>
      <c r="G205" s="1" t="s">
        <v>3</v>
      </c>
      <c r="H205" s="1" t="s">
        <v>58</v>
      </c>
      <c r="I205" s="1" t="s">
        <v>5</v>
      </c>
      <c r="J205" s="1" t="s">
        <v>6</v>
      </c>
      <c r="K205" s="1" t="s">
        <v>59</v>
      </c>
    </row>
    <row r="206" spans="1:13">
      <c r="B206" s="3" t="s">
        <v>16</v>
      </c>
      <c r="C206" s="31">
        <f>_xlfn.XLOOKUP(A202, Setting!E:E, Setting!J:J, , 0)*Setting!$C$3</f>
        <v>500000</v>
      </c>
      <c r="D206" s="28" cm="1">
        <f t="array" ref="D206:D209">C206:C209/D202</f>
        <v>16666.666666666668</v>
      </c>
      <c r="E206" s="4" cm="1">
        <f t="array" ref="E206:E209">G206:G209-F206:F209</f>
        <v>0</v>
      </c>
      <c r="F206" s="32">
        <f>VLOOKUP(A202, Setting!$E:$U, 14, FALSE)</f>
        <v>3.5000000000000001E-3</v>
      </c>
      <c r="G206" s="32">
        <f>VLOOKUP(A202, Setting!$E:$U, 10, FALSE)</f>
        <v>3.5000000000000001E-3</v>
      </c>
      <c r="H206" s="5">
        <f>E206/D206-Setting!$C$33</f>
        <v>0</v>
      </c>
      <c r="I206" s="5" cm="1">
        <f t="array" ref="I206:I209">_xlfn.ANCHORARRAY(E206)/_xlfn.ANCHORARRAY(D206)/D202</f>
        <v>0</v>
      </c>
      <c r="J206" s="6" t="e" cm="1">
        <f t="array" ref="J206:J209">C206:C209+F206:F209/_xlfn.ANCHORARRAY(E206)*C206:C209</f>
        <v>#DIV/0!</v>
      </c>
      <c r="K206" s="19">
        <f>1/SUM(H206:H209)</f>
        <v>398.40637450199205</v>
      </c>
      <c r="L206" s="7"/>
      <c r="M206" s="17"/>
    </row>
    <row r="207" spans="1:13">
      <c r="B207" s="3" t="s">
        <v>25</v>
      </c>
      <c r="C207" s="31">
        <f>_xlfn.XLOOKUP(A202, Setting!E:E, Setting!K:K, , 0)*Setting!$C$3</f>
        <v>100000</v>
      </c>
      <c r="D207" s="28">
        <v>3333.3333333333335</v>
      </c>
      <c r="E207" s="4">
        <v>0</v>
      </c>
      <c r="F207" s="32">
        <f>VLOOKUP(A202, Setting!$E:$U, 15, FALSE)</f>
        <v>5.0000000000000001E-3</v>
      </c>
      <c r="G207" s="32">
        <f>VLOOKUP(A202, Setting!$E:$U, 11, FALSE)</f>
        <v>5.0000000000000001E-3</v>
      </c>
      <c r="H207" s="5" cm="1">
        <f t="array" ref="H207:H209">E207:E209/D207:D209</f>
        <v>0</v>
      </c>
      <c r="I207" s="5">
        <v>0</v>
      </c>
      <c r="J207" s="6" t="e">
        <v>#DIV/0!</v>
      </c>
      <c r="K207" s="19"/>
      <c r="L207" s="7"/>
      <c r="M207" s="17"/>
    </row>
    <row r="208" spans="1:13">
      <c r="B208" s="3" t="s">
        <v>18</v>
      </c>
      <c r="C208" s="31">
        <f>_xlfn.XLOOKUP(A202, Setting!E:E, Setting!L:L, , 0)*Setting!$C$3</f>
        <v>1500</v>
      </c>
      <c r="D208" s="28">
        <v>50</v>
      </c>
      <c r="E208" s="4">
        <v>8.0000000000000002E-3</v>
      </c>
      <c r="F208" s="32">
        <f>VLOOKUP(A202, Setting!$E:$U, 16, FALSE)</f>
        <v>0</v>
      </c>
      <c r="G208" s="33">
        <f>VLOOKUP(A202, Setting!$E:$U, 12, FALSE)</f>
        <v>8.0000000000000002E-3</v>
      </c>
      <c r="H208" s="5">
        <v>1.6000000000000001E-4</v>
      </c>
      <c r="I208" s="5">
        <v>5.3333333333333337E-6</v>
      </c>
      <c r="J208" s="6">
        <v>1500</v>
      </c>
      <c r="K208" s="19"/>
      <c r="L208" s="7"/>
      <c r="M208" s="17"/>
    </row>
    <row r="209" spans="1:13">
      <c r="B209" s="3" t="s">
        <v>19</v>
      </c>
      <c r="C209" s="31">
        <f>_xlfn.XLOOKUP(A202, Setting!E:E, Setting!M:M, , 0)*Setting!$C$3</f>
        <v>300</v>
      </c>
      <c r="D209" s="28">
        <v>10</v>
      </c>
      <c r="E209" s="4">
        <v>2.35E-2</v>
      </c>
      <c r="F209" s="32">
        <f>VLOOKUP(A202, Setting!$E:$U, 17, FALSE)</f>
        <v>0</v>
      </c>
      <c r="G209" s="33">
        <f>VLOOKUP(A202, Setting!$E:$U, 13, FALSE)</f>
        <v>2.35E-2</v>
      </c>
      <c r="H209" s="5">
        <v>2.3500000000000001E-3</v>
      </c>
      <c r="I209" s="5">
        <v>7.8333333333333331E-5</v>
      </c>
      <c r="J209" s="6">
        <v>300</v>
      </c>
      <c r="K209" s="19"/>
      <c r="L209" s="7"/>
      <c r="M209" s="17"/>
    </row>
    <row r="210" spans="1:13">
      <c r="G210" s="34">
        <f>SUM(G206:G209)</f>
        <v>0.04</v>
      </c>
      <c r="H210" s="8">
        <f>SUM(H206:H209)</f>
        <v>2.5100000000000001E-3</v>
      </c>
    </row>
    <row r="211" spans="1:13">
      <c r="G211" s="34"/>
      <c r="H211" s="8"/>
    </row>
    <row r="212" spans="1:13">
      <c r="B212" s="1" t="s">
        <v>4</v>
      </c>
      <c r="C212" s="1" t="s">
        <v>8</v>
      </c>
    </row>
    <row r="213" spans="1:13">
      <c r="A213" s="26">
        <f>A202+1</f>
        <v>20</v>
      </c>
      <c r="B213" s="37" t="s">
        <v>26</v>
      </c>
      <c r="C213" s="30">
        <f>_xlfn.XLOOKUP(A213, Setting!E:E, Setting!F:F, , 0)*Setting!$C$3</f>
        <v>40</v>
      </c>
      <c r="D213" s="29">
        <f>C213*Setting!$C$5</f>
        <v>40</v>
      </c>
    </row>
    <row r="214" spans="1:13">
      <c r="H214" s="53"/>
      <c r="I214" s="18"/>
      <c r="K214" s="27"/>
    </row>
    <row r="215" spans="1:13">
      <c r="H215" s="53"/>
      <c r="I215" s="18"/>
    </row>
    <row r="216" spans="1:13">
      <c r="B216" s="1"/>
      <c r="C216" s="1" t="s">
        <v>2</v>
      </c>
      <c r="D216" s="1" t="s">
        <v>12</v>
      </c>
      <c r="E216" s="1" t="s">
        <v>7</v>
      </c>
      <c r="F216" s="1" t="s">
        <v>1</v>
      </c>
      <c r="G216" s="1" t="s">
        <v>3</v>
      </c>
      <c r="H216" s="1" t="s">
        <v>58</v>
      </c>
      <c r="I216" s="1" t="s">
        <v>5</v>
      </c>
      <c r="J216" s="1" t="s">
        <v>6</v>
      </c>
      <c r="K216" s="1" t="s">
        <v>59</v>
      </c>
    </row>
    <row r="217" spans="1:13">
      <c r="B217" s="3" t="s">
        <v>16</v>
      </c>
      <c r="C217" s="31">
        <f>_xlfn.XLOOKUP(A213, Setting!E:E, Setting!J:J, , 0)*Setting!$C$3</f>
        <v>500000</v>
      </c>
      <c r="D217" s="28" cm="1">
        <f t="array" ref="D217:D220">C217:C220/D213</f>
        <v>12500</v>
      </c>
      <c r="E217" s="4" cm="1">
        <f t="array" ref="E217:E220">G217:G220-F217:F220</f>
        <v>0</v>
      </c>
      <c r="F217" s="32">
        <f>VLOOKUP(A213, Setting!$E:$U, 14, FALSE)</f>
        <v>3.5000000000000001E-3</v>
      </c>
      <c r="G217" s="32">
        <f>VLOOKUP(A213, Setting!$E:$U, 10, FALSE)</f>
        <v>3.5000000000000001E-3</v>
      </c>
      <c r="H217" s="5">
        <f>E217/D217-Setting!$C$33</f>
        <v>0</v>
      </c>
      <c r="I217" s="5" cm="1">
        <f t="array" ref="I217:I220">_xlfn.ANCHORARRAY(E217)/_xlfn.ANCHORARRAY(D217)/D213</f>
        <v>0</v>
      </c>
      <c r="J217" s="6" t="e" cm="1">
        <f t="array" ref="J217:J220">C217:C220+F217:F220/_xlfn.ANCHORARRAY(E217)*C217:C220</f>
        <v>#DIV/0!</v>
      </c>
      <c r="K217" s="19">
        <f>1/SUM(H217:H220)</f>
        <v>398.40637450199205</v>
      </c>
      <c r="L217" s="7"/>
      <c r="M217" s="17"/>
    </row>
    <row r="218" spans="1:13">
      <c r="B218" s="3" t="s">
        <v>25</v>
      </c>
      <c r="C218" s="31">
        <f>_xlfn.XLOOKUP(A213, Setting!E:E, Setting!K:K, , 0)*Setting!$C$3</f>
        <v>100000</v>
      </c>
      <c r="D218" s="28">
        <v>2500</v>
      </c>
      <c r="E218" s="4">
        <v>0</v>
      </c>
      <c r="F218" s="32">
        <f>VLOOKUP(A213, Setting!$E:$U, 15, FALSE)</f>
        <v>5.0000000000000001E-3</v>
      </c>
      <c r="G218" s="32">
        <f>VLOOKUP(A213, Setting!$E:$U, 11, FALSE)</f>
        <v>5.0000000000000001E-3</v>
      </c>
      <c r="H218" s="5" cm="1">
        <f t="array" ref="H218:H220">E218:E220/D218:D220</f>
        <v>0</v>
      </c>
      <c r="I218" s="5">
        <v>0</v>
      </c>
      <c r="J218" s="6" t="e">
        <v>#DIV/0!</v>
      </c>
      <c r="K218" s="19"/>
      <c r="L218" s="7"/>
      <c r="M218" s="17"/>
    </row>
    <row r="219" spans="1:13">
      <c r="B219" s="3" t="s">
        <v>18</v>
      </c>
      <c r="C219" s="31">
        <f>_xlfn.XLOOKUP(A213, Setting!E:E, Setting!L:L, , 0)*Setting!$C$3</f>
        <v>2000</v>
      </c>
      <c r="D219" s="28">
        <v>50</v>
      </c>
      <c r="E219" s="4">
        <v>8.0000000000000002E-3</v>
      </c>
      <c r="F219" s="32">
        <f>VLOOKUP(A213, Setting!$E:$U, 16, FALSE)</f>
        <v>0</v>
      </c>
      <c r="G219" s="33">
        <f>VLOOKUP(A213, Setting!$E:$U, 12, FALSE)</f>
        <v>8.0000000000000002E-3</v>
      </c>
      <c r="H219" s="5">
        <v>1.6000000000000001E-4</v>
      </c>
      <c r="I219" s="5">
        <v>4.0000000000000007E-6</v>
      </c>
      <c r="J219" s="6">
        <v>2000</v>
      </c>
      <c r="K219" s="19"/>
      <c r="L219" s="7"/>
      <c r="M219" s="17"/>
    </row>
    <row r="220" spans="1:13">
      <c r="B220" s="3" t="s">
        <v>19</v>
      </c>
      <c r="C220" s="31">
        <f>_xlfn.XLOOKUP(A213, Setting!E:E, Setting!M:M, , 0)*Setting!$C$3</f>
        <v>400</v>
      </c>
      <c r="D220" s="28">
        <v>10</v>
      </c>
      <c r="E220" s="4">
        <v>2.35E-2</v>
      </c>
      <c r="F220" s="32">
        <f>VLOOKUP(A213, Setting!$E:$U, 17, FALSE)</f>
        <v>0</v>
      </c>
      <c r="G220" s="33">
        <f>VLOOKUP(A213, Setting!$E:$U, 13, FALSE)</f>
        <v>2.35E-2</v>
      </c>
      <c r="H220" s="5">
        <v>2.3500000000000001E-3</v>
      </c>
      <c r="I220" s="5">
        <v>5.8750000000000005E-5</v>
      </c>
      <c r="J220" s="6">
        <v>400</v>
      </c>
      <c r="K220" s="19"/>
      <c r="L220" s="7"/>
      <c r="M220" s="17"/>
    </row>
    <row r="221" spans="1:13">
      <c r="G221" s="34">
        <f>SUM(G217:G220)</f>
        <v>0.04</v>
      </c>
      <c r="H221" s="8">
        <f>SUM(H217:H220)</f>
        <v>2.5100000000000001E-3</v>
      </c>
    </row>
    <row r="222" spans="1:13">
      <c r="G222" s="34"/>
      <c r="H222" s="8"/>
    </row>
    <row r="223" spans="1:13">
      <c r="B223" s="1" t="s">
        <v>4</v>
      </c>
      <c r="C223" s="1" t="s">
        <v>8</v>
      </c>
    </row>
    <row r="224" spans="1:13">
      <c r="A224" s="26">
        <f>A213+1</f>
        <v>21</v>
      </c>
      <c r="B224" s="37" t="s">
        <v>26</v>
      </c>
      <c r="C224" s="30">
        <f>_xlfn.XLOOKUP(A224, Setting!E:E, Setting!F:F, , 0)*Setting!$C$3</f>
        <v>60</v>
      </c>
      <c r="D224" s="29">
        <f>C224*Setting!$C$5</f>
        <v>60</v>
      </c>
    </row>
    <row r="225" spans="1:13">
      <c r="H225" s="53"/>
      <c r="I225" s="18"/>
      <c r="K225" s="27"/>
    </row>
    <row r="226" spans="1:13">
      <c r="H226" s="53"/>
      <c r="I226" s="18"/>
    </row>
    <row r="227" spans="1:13">
      <c r="B227" s="1"/>
      <c r="C227" s="1" t="s">
        <v>2</v>
      </c>
      <c r="D227" s="1" t="s">
        <v>12</v>
      </c>
      <c r="E227" s="1" t="s">
        <v>7</v>
      </c>
      <c r="F227" s="1" t="s">
        <v>1</v>
      </c>
      <c r="G227" s="1" t="s">
        <v>3</v>
      </c>
      <c r="H227" s="1" t="s">
        <v>58</v>
      </c>
      <c r="I227" s="1" t="s">
        <v>5</v>
      </c>
      <c r="J227" s="1" t="s">
        <v>6</v>
      </c>
      <c r="K227" s="1" t="s">
        <v>59</v>
      </c>
    </row>
    <row r="228" spans="1:13">
      <c r="B228" s="3" t="s">
        <v>16</v>
      </c>
      <c r="C228" s="31">
        <f>_xlfn.XLOOKUP(A224, Setting!E:E, Setting!J:J, , 0)*Setting!$C$3</f>
        <v>500000</v>
      </c>
      <c r="D228" s="28" cm="1">
        <f t="array" ref="D228:D231">C228:C231/D224</f>
        <v>8333.3333333333339</v>
      </c>
      <c r="E228" s="4" cm="1">
        <f t="array" ref="E228:E231">G228:G231-F228:F231</f>
        <v>0</v>
      </c>
      <c r="F228" s="32">
        <f>VLOOKUP(A224, Setting!$E:$U, 14, FALSE)</f>
        <v>3.5000000000000001E-3</v>
      </c>
      <c r="G228" s="32">
        <f>VLOOKUP(A224, Setting!$E:$U, 10, FALSE)</f>
        <v>3.5000000000000001E-3</v>
      </c>
      <c r="H228" s="5">
        <f>E228/D228-Setting!$C$33</f>
        <v>0</v>
      </c>
      <c r="I228" s="5" cm="1">
        <f t="array" ref="I228:I231">_xlfn.ANCHORARRAY(E228)/_xlfn.ANCHORARRAY(D228)/D224</f>
        <v>0</v>
      </c>
      <c r="J228" s="6" t="e" cm="1">
        <f t="array" ref="J228:J231">C228:C231+F228:F231/_xlfn.ANCHORARRAY(E228)*C228:C231</f>
        <v>#DIV/0!</v>
      </c>
      <c r="K228" s="19">
        <f>1/SUM(H228:H231)</f>
        <v>398.40637450199205</v>
      </c>
      <c r="L228" s="7"/>
      <c r="M228" s="17"/>
    </row>
    <row r="229" spans="1:13">
      <c r="B229" s="3" t="s">
        <v>25</v>
      </c>
      <c r="C229" s="31">
        <f>_xlfn.XLOOKUP(A224, Setting!E:E, Setting!K:K, , 0)*Setting!$C$3</f>
        <v>100000</v>
      </c>
      <c r="D229" s="28">
        <v>1666.6666666666667</v>
      </c>
      <c r="E229" s="4">
        <v>0</v>
      </c>
      <c r="F229" s="32">
        <f>VLOOKUP(A224, Setting!$E:$U, 15, FALSE)</f>
        <v>5.0000000000000001E-3</v>
      </c>
      <c r="G229" s="32">
        <f>VLOOKUP(A224, Setting!$E:$U, 11, FALSE)</f>
        <v>5.0000000000000001E-3</v>
      </c>
      <c r="H229" s="5" cm="1">
        <f t="array" ref="H229:H231">E229:E231/D229:D231</f>
        <v>0</v>
      </c>
      <c r="I229" s="5">
        <v>0</v>
      </c>
      <c r="J229" s="6" t="e">
        <v>#DIV/0!</v>
      </c>
      <c r="K229" s="19"/>
      <c r="L229" s="7"/>
      <c r="M229" s="17"/>
    </row>
    <row r="230" spans="1:13">
      <c r="B230" s="3" t="s">
        <v>18</v>
      </c>
      <c r="C230" s="31">
        <f>_xlfn.XLOOKUP(A224, Setting!E:E, Setting!L:L, , 0)*Setting!$C$3</f>
        <v>3000</v>
      </c>
      <c r="D230" s="28">
        <v>50</v>
      </c>
      <c r="E230" s="4">
        <v>8.0000000000000002E-3</v>
      </c>
      <c r="F230" s="32">
        <f>VLOOKUP(A224, Setting!$E:$U, 16, FALSE)</f>
        <v>0</v>
      </c>
      <c r="G230" s="33">
        <f>VLOOKUP(A224, Setting!$E:$U, 12, FALSE)</f>
        <v>8.0000000000000002E-3</v>
      </c>
      <c r="H230" s="5">
        <v>1.6000000000000001E-4</v>
      </c>
      <c r="I230" s="5">
        <v>2.6666666666666668E-6</v>
      </c>
      <c r="J230" s="6">
        <v>3000</v>
      </c>
      <c r="K230" s="19"/>
      <c r="L230" s="7"/>
      <c r="M230" s="17"/>
    </row>
    <row r="231" spans="1:13">
      <c r="B231" s="3" t="s">
        <v>19</v>
      </c>
      <c r="C231" s="31">
        <f>_xlfn.XLOOKUP(A224, Setting!E:E, Setting!M:M, , 0)*Setting!$C$3</f>
        <v>600</v>
      </c>
      <c r="D231" s="28">
        <v>10</v>
      </c>
      <c r="E231" s="4">
        <v>2.35E-2</v>
      </c>
      <c r="F231" s="32">
        <f>VLOOKUP(A224, Setting!$E:$U, 17, FALSE)</f>
        <v>0</v>
      </c>
      <c r="G231" s="33">
        <f>VLOOKUP(A224, Setting!$E:$U, 13, FALSE)</f>
        <v>2.35E-2</v>
      </c>
      <c r="H231" s="5">
        <v>2.3500000000000001E-3</v>
      </c>
      <c r="I231" s="5">
        <v>3.9166666666666665E-5</v>
      </c>
      <c r="J231" s="6">
        <v>600</v>
      </c>
      <c r="K231" s="19"/>
      <c r="L231" s="7"/>
      <c r="M231" s="17"/>
    </row>
    <row r="232" spans="1:13">
      <c r="G232" s="34">
        <f>SUM(G228:G231)</f>
        <v>0.04</v>
      </c>
      <c r="H232" s="8">
        <f>SUM(H228:H231)</f>
        <v>2.5100000000000001E-3</v>
      </c>
    </row>
    <row r="233" spans="1:13">
      <c r="G233" s="34"/>
      <c r="H233" s="8"/>
    </row>
    <row r="234" spans="1:13">
      <c r="B234" s="1" t="s">
        <v>4</v>
      </c>
      <c r="C234" s="1" t="s">
        <v>8</v>
      </c>
    </row>
    <row r="235" spans="1:13">
      <c r="A235" s="26">
        <f>A224+1</f>
        <v>22</v>
      </c>
      <c r="B235" s="37" t="s">
        <v>26</v>
      </c>
      <c r="C235" s="30">
        <f>_xlfn.XLOOKUP(A235, Setting!E:E, Setting!F:F, , 0)*Setting!$C$3</f>
        <v>100</v>
      </c>
      <c r="D235" s="29">
        <f>C235*Setting!$C$5</f>
        <v>100</v>
      </c>
    </row>
    <row r="236" spans="1:13">
      <c r="H236" s="53"/>
      <c r="I236" s="18"/>
      <c r="K236" s="27"/>
    </row>
    <row r="237" spans="1:13">
      <c r="H237" s="53"/>
      <c r="I237" s="18"/>
    </row>
    <row r="238" spans="1:13">
      <c r="B238" s="1"/>
      <c r="C238" s="1" t="s">
        <v>2</v>
      </c>
      <c r="D238" s="1" t="s">
        <v>12</v>
      </c>
      <c r="E238" s="1" t="s">
        <v>7</v>
      </c>
      <c r="F238" s="1" t="s">
        <v>1</v>
      </c>
      <c r="G238" s="1" t="s">
        <v>3</v>
      </c>
      <c r="H238" s="1" t="s">
        <v>58</v>
      </c>
      <c r="I238" s="1" t="s">
        <v>5</v>
      </c>
      <c r="J238" s="1" t="s">
        <v>6</v>
      </c>
      <c r="K238" s="1" t="s">
        <v>59</v>
      </c>
    </row>
    <row r="239" spans="1:13">
      <c r="B239" s="3" t="s">
        <v>16</v>
      </c>
      <c r="C239" s="31">
        <f>_xlfn.XLOOKUP(A235, Setting!E:E, Setting!J:J, , 0)*Setting!$C$3</f>
        <v>500000</v>
      </c>
      <c r="D239" s="28" cm="1">
        <f t="array" ref="D239:D242">C239:C242/D235</f>
        <v>5000</v>
      </c>
      <c r="E239" s="4" cm="1">
        <f t="array" ref="E239:E242">G239:G242-F239:F242</f>
        <v>0</v>
      </c>
      <c r="F239" s="32">
        <f>VLOOKUP(A235, Setting!$E:$U, 14, FALSE)</f>
        <v>3.5000000000000001E-3</v>
      </c>
      <c r="G239" s="32">
        <f>VLOOKUP(A235, Setting!$E:$U, 10, FALSE)</f>
        <v>3.5000000000000001E-3</v>
      </c>
      <c r="H239" s="5">
        <f>E239/D239-Setting!$C$33</f>
        <v>0</v>
      </c>
      <c r="I239" s="5" cm="1">
        <f t="array" ref="I239:I242">_xlfn.ANCHORARRAY(E239)/_xlfn.ANCHORARRAY(D239)/D235</f>
        <v>0</v>
      </c>
      <c r="J239" s="6" t="e" cm="1">
        <f t="array" ref="J239:J242">C239:C242+F239:F242/_xlfn.ANCHORARRAY(E239)*C239:C242</f>
        <v>#DIV/0!</v>
      </c>
      <c r="K239" s="19">
        <f>1/SUM(H239:H242)</f>
        <v>398.40637450199205</v>
      </c>
      <c r="L239" s="7"/>
      <c r="M239" s="17"/>
    </row>
    <row r="240" spans="1:13">
      <c r="B240" s="3" t="s">
        <v>25</v>
      </c>
      <c r="C240" s="31">
        <f>_xlfn.XLOOKUP(A235, Setting!E:E, Setting!K:K, , 0)*Setting!$C$3</f>
        <v>100000</v>
      </c>
      <c r="D240" s="28">
        <v>1000</v>
      </c>
      <c r="E240" s="4">
        <v>0</v>
      </c>
      <c r="F240" s="32">
        <f>VLOOKUP(A235, Setting!$E:$U, 15, FALSE)</f>
        <v>5.0000000000000001E-3</v>
      </c>
      <c r="G240" s="32">
        <f>VLOOKUP(A235, Setting!$E:$U, 11, FALSE)</f>
        <v>5.0000000000000001E-3</v>
      </c>
      <c r="H240" s="5" cm="1">
        <f t="array" ref="H240:H242">E240:E242/D240:D242</f>
        <v>0</v>
      </c>
      <c r="I240" s="5">
        <v>0</v>
      </c>
      <c r="J240" s="6" t="e">
        <v>#DIV/0!</v>
      </c>
      <c r="K240" s="19"/>
      <c r="L240" s="7"/>
      <c r="M240" s="17"/>
    </row>
    <row r="241" spans="1:13">
      <c r="B241" s="3" t="s">
        <v>18</v>
      </c>
      <c r="C241" s="31">
        <f>_xlfn.XLOOKUP(A235, Setting!E:E, Setting!L:L, , 0)*Setting!$C$3</f>
        <v>5000</v>
      </c>
      <c r="D241" s="28">
        <v>50</v>
      </c>
      <c r="E241" s="4">
        <v>8.0000000000000002E-3</v>
      </c>
      <c r="F241" s="32">
        <f>VLOOKUP(A235, Setting!$E:$U, 16, FALSE)</f>
        <v>0</v>
      </c>
      <c r="G241" s="33">
        <f>VLOOKUP(A235, Setting!$E:$U, 12, FALSE)</f>
        <v>8.0000000000000002E-3</v>
      </c>
      <c r="H241" s="5">
        <v>1.6000000000000001E-4</v>
      </c>
      <c r="I241" s="5">
        <v>1.6000000000000001E-6</v>
      </c>
      <c r="J241" s="6">
        <v>5000</v>
      </c>
      <c r="K241" s="19"/>
      <c r="L241" s="7"/>
      <c r="M241" s="17"/>
    </row>
    <row r="242" spans="1:13">
      <c r="B242" s="3" t="s">
        <v>19</v>
      </c>
      <c r="C242" s="31">
        <f>_xlfn.XLOOKUP(A235, Setting!E:E, Setting!M:M, , 0)*Setting!$C$3</f>
        <v>1000</v>
      </c>
      <c r="D242" s="28">
        <v>10</v>
      </c>
      <c r="E242" s="4">
        <v>2.35E-2</v>
      </c>
      <c r="F242" s="32">
        <f>VLOOKUP(A235, Setting!$E:$U, 17, FALSE)</f>
        <v>0</v>
      </c>
      <c r="G242" s="33">
        <f>VLOOKUP(A235, Setting!$E:$U, 13, FALSE)</f>
        <v>2.35E-2</v>
      </c>
      <c r="H242" s="5">
        <v>2.3500000000000001E-3</v>
      </c>
      <c r="I242" s="5">
        <v>2.3500000000000002E-5</v>
      </c>
      <c r="J242" s="6">
        <v>1000</v>
      </c>
      <c r="K242" s="19"/>
      <c r="L242" s="7"/>
      <c r="M242" s="17"/>
    </row>
    <row r="243" spans="1:13">
      <c r="G243" s="34">
        <f>SUM(G239:G242)</f>
        <v>0.04</v>
      </c>
      <c r="H243" s="8">
        <f>SUM(H239:H242)</f>
        <v>2.5100000000000001E-3</v>
      </c>
    </row>
    <row r="244" spans="1:13">
      <c r="G244" s="34"/>
      <c r="H244" s="8"/>
    </row>
    <row r="245" spans="1:13">
      <c r="B245" s="1" t="s">
        <v>4</v>
      </c>
      <c r="C245" s="1" t="s">
        <v>8</v>
      </c>
    </row>
    <row r="246" spans="1:13">
      <c r="A246" s="26">
        <f>A235+1</f>
        <v>23</v>
      </c>
      <c r="B246" s="37" t="s">
        <v>26</v>
      </c>
      <c r="C246" s="30">
        <f>_xlfn.XLOOKUP(A246, Setting!E:E, Setting!F:F, , 0)*Setting!$C$3</f>
        <v>200</v>
      </c>
      <c r="D246" s="29">
        <f>C246*Setting!$C$5</f>
        <v>200</v>
      </c>
    </row>
    <row r="247" spans="1:13">
      <c r="H247" s="53"/>
      <c r="I247" s="18"/>
      <c r="K247" s="27"/>
    </row>
    <row r="248" spans="1:13">
      <c r="H248" s="53"/>
      <c r="I248" s="18"/>
    </row>
    <row r="249" spans="1:13">
      <c r="B249" s="1"/>
      <c r="C249" s="1" t="s">
        <v>2</v>
      </c>
      <c r="D249" s="1" t="s">
        <v>12</v>
      </c>
      <c r="E249" s="1" t="s">
        <v>7</v>
      </c>
      <c r="F249" s="1" t="s">
        <v>1</v>
      </c>
      <c r="G249" s="1" t="s">
        <v>3</v>
      </c>
      <c r="H249" s="1" t="s">
        <v>58</v>
      </c>
      <c r="I249" s="1" t="s">
        <v>5</v>
      </c>
      <c r="J249" s="1" t="s">
        <v>6</v>
      </c>
      <c r="K249" s="1" t="s">
        <v>59</v>
      </c>
    </row>
    <row r="250" spans="1:13">
      <c r="B250" s="3" t="s">
        <v>16</v>
      </c>
      <c r="C250" s="31">
        <f>_xlfn.XLOOKUP(A246, Setting!E:E, Setting!J:J, , 0)*Setting!$C$3</f>
        <v>500000</v>
      </c>
      <c r="D250" s="28" cm="1">
        <f t="array" ref="D250:D253">C250:C253/D246</f>
        <v>2500</v>
      </c>
      <c r="E250" s="4" cm="1">
        <f t="array" ref="E250:E253">G250:G253-F250:F253</f>
        <v>0</v>
      </c>
      <c r="F250" s="32">
        <f>VLOOKUP(A246, Setting!$E:$U, 14, FALSE)</f>
        <v>3.5000000000000001E-3</v>
      </c>
      <c r="G250" s="32">
        <f>VLOOKUP(A246, Setting!$E:$U, 10, FALSE)</f>
        <v>3.5000000000000001E-3</v>
      </c>
      <c r="H250" s="5">
        <f>E250/D250-Setting!$C$33</f>
        <v>0</v>
      </c>
      <c r="I250" s="5" cm="1">
        <f t="array" ref="I250:I253">_xlfn.ANCHORARRAY(E250)/_xlfn.ANCHORARRAY(D250)/D246</f>
        <v>0</v>
      </c>
      <c r="J250" s="6" t="e" cm="1">
        <f t="array" ref="J250:J253">C250:C253+F250:F253/_xlfn.ANCHORARRAY(E250)*C250:C253</f>
        <v>#DIV/0!</v>
      </c>
      <c r="K250" s="19">
        <f>1/SUM(H250:H253)</f>
        <v>398.40637450199205</v>
      </c>
      <c r="L250" s="7"/>
      <c r="M250" s="17"/>
    </row>
    <row r="251" spans="1:13">
      <c r="B251" s="3" t="s">
        <v>25</v>
      </c>
      <c r="C251" s="31">
        <f>_xlfn.XLOOKUP(A246, Setting!E:E, Setting!K:K, , 0)*Setting!$C$3</f>
        <v>100000</v>
      </c>
      <c r="D251" s="28">
        <v>500</v>
      </c>
      <c r="E251" s="4">
        <v>0</v>
      </c>
      <c r="F251" s="32">
        <f>VLOOKUP(A246, Setting!$E:$U, 15, FALSE)</f>
        <v>5.0000000000000001E-3</v>
      </c>
      <c r="G251" s="32">
        <f>VLOOKUP(A246, Setting!$E:$U, 11, FALSE)</f>
        <v>5.0000000000000001E-3</v>
      </c>
      <c r="H251" s="5" cm="1">
        <f t="array" ref="H251:H253">E251:E253/D251:D253</f>
        <v>0</v>
      </c>
      <c r="I251" s="5">
        <v>0</v>
      </c>
      <c r="J251" s="6" t="e">
        <v>#DIV/0!</v>
      </c>
      <c r="K251" s="19"/>
      <c r="L251" s="7"/>
      <c r="M251" s="17"/>
    </row>
    <row r="252" spans="1:13">
      <c r="B252" s="3" t="s">
        <v>18</v>
      </c>
      <c r="C252" s="31">
        <f>_xlfn.XLOOKUP(A246, Setting!E:E, Setting!L:L, , 0)*Setting!$C$3</f>
        <v>10000</v>
      </c>
      <c r="D252" s="28">
        <v>50</v>
      </c>
      <c r="E252" s="4">
        <v>8.0000000000000002E-3</v>
      </c>
      <c r="F252" s="32">
        <f>VLOOKUP(A246, Setting!$E:$U, 16, FALSE)</f>
        <v>0</v>
      </c>
      <c r="G252" s="33">
        <f>VLOOKUP(A246, Setting!$E:$U, 12, FALSE)</f>
        <v>8.0000000000000002E-3</v>
      </c>
      <c r="H252" s="5">
        <v>1.6000000000000001E-4</v>
      </c>
      <c r="I252" s="5">
        <v>8.0000000000000007E-7</v>
      </c>
      <c r="J252" s="6">
        <v>10000</v>
      </c>
      <c r="K252" s="19"/>
      <c r="L252" s="7"/>
      <c r="M252" s="17"/>
    </row>
    <row r="253" spans="1:13">
      <c r="B253" s="3" t="s">
        <v>19</v>
      </c>
      <c r="C253" s="31">
        <f>_xlfn.XLOOKUP(A246, Setting!E:E, Setting!M:M, , 0)*Setting!$C$3</f>
        <v>2000</v>
      </c>
      <c r="D253" s="28">
        <v>10</v>
      </c>
      <c r="E253" s="4">
        <v>2.35E-2</v>
      </c>
      <c r="F253" s="32">
        <f>VLOOKUP(A246, Setting!$E:$U, 17, FALSE)</f>
        <v>0</v>
      </c>
      <c r="G253" s="33">
        <f>VLOOKUP(A246, Setting!$E:$U, 13, FALSE)</f>
        <v>2.35E-2</v>
      </c>
      <c r="H253" s="5">
        <v>2.3500000000000001E-3</v>
      </c>
      <c r="I253" s="5">
        <v>1.1750000000000001E-5</v>
      </c>
      <c r="J253" s="6">
        <v>2000</v>
      </c>
      <c r="K253" s="19"/>
      <c r="L253" s="7"/>
      <c r="M253" s="17"/>
    </row>
    <row r="254" spans="1:13">
      <c r="G254" s="34">
        <f>SUM(G250:G253)</f>
        <v>0.04</v>
      </c>
      <c r="H254" s="8">
        <f>SUM(H250:H253)</f>
        <v>2.5100000000000001E-3</v>
      </c>
    </row>
    <row r="255" spans="1:13">
      <c r="G255" s="34"/>
      <c r="H255" s="8"/>
    </row>
    <row r="256" spans="1:13">
      <c r="B256" s="1" t="s">
        <v>4</v>
      </c>
      <c r="C256" s="1" t="s">
        <v>8</v>
      </c>
    </row>
    <row r="257" spans="1:13">
      <c r="A257" s="26">
        <f>A246+1</f>
        <v>24</v>
      </c>
      <c r="B257" s="37" t="s">
        <v>26</v>
      </c>
      <c r="C257" s="30">
        <f>_xlfn.XLOOKUP(A257, Setting!E:E, Setting!F:F, , 0)*Setting!$C$3</f>
        <v>300</v>
      </c>
      <c r="D257" s="29">
        <f>C257*Setting!$C$5</f>
        <v>300</v>
      </c>
    </row>
    <row r="258" spans="1:13">
      <c r="H258" s="53"/>
      <c r="I258" s="18"/>
      <c r="K258" s="27"/>
    </row>
    <row r="259" spans="1:13">
      <c r="H259" s="53"/>
      <c r="I259" s="18"/>
    </row>
    <row r="260" spans="1:13">
      <c r="B260" s="1"/>
      <c r="C260" s="1" t="s">
        <v>2</v>
      </c>
      <c r="D260" s="1" t="s">
        <v>12</v>
      </c>
      <c r="E260" s="1" t="s">
        <v>7</v>
      </c>
      <c r="F260" s="1" t="s">
        <v>1</v>
      </c>
      <c r="G260" s="1" t="s">
        <v>3</v>
      </c>
      <c r="H260" s="1" t="s">
        <v>58</v>
      </c>
      <c r="I260" s="1" t="s">
        <v>5</v>
      </c>
      <c r="J260" s="1" t="s">
        <v>6</v>
      </c>
      <c r="K260" s="1" t="s">
        <v>59</v>
      </c>
    </row>
    <row r="261" spans="1:13">
      <c r="B261" s="3" t="s">
        <v>16</v>
      </c>
      <c r="C261" s="31">
        <f>_xlfn.XLOOKUP(A257, Setting!E:E, Setting!J:J, , 0)*Setting!$C$3</f>
        <v>500000</v>
      </c>
      <c r="D261" s="28" cm="1">
        <f t="array" ref="D261:D264">C261:C264/D257</f>
        <v>1666.6666666666667</v>
      </c>
      <c r="E261" s="4" cm="1">
        <f t="array" ref="E261:E264">G261:G264-F261:F264</f>
        <v>0</v>
      </c>
      <c r="F261" s="32">
        <f>VLOOKUP(A257, Setting!$E:$U, 14, FALSE)</f>
        <v>3.5000000000000001E-3</v>
      </c>
      <c r="G261" s="32">
        <f>VLOOKUP(A257, Setting!$E:$U, 10, FALSE)</f>
        <v>3.5000000000000001E-3</v>
      </c>
      <c r="H261" s="5">
        <f>E261/D261-Setting!$C$33</f>
        <v>0</v>
      </c>
      <c r="I261" s="5" cm="1">
        <f t="array" ref="I261:I264">_xlfn.ANCHORARRAY(E261)/_xlfn.ANCHORARRAY(D261)/D257</f>
        <v>0</v>
      </c>
      <c r="J261" s="6" t="e" cm="1">
        <f t="array" ref="J261:J264">C261:C264+F261:F264/_xlfn.ANCHORARRAY(E261)*C261:C264</f>
        <v>#DIV/0!</v>
      </c>
      <c r="K261" s="19">
        <f>1/SUM(H261:H264)</f>
        <v>398.40637450199205</v>
      </c>
      <c r="L261" s="7"/>
      <c r="M261" s="17"/>
    </row>
    <row r="262" spans="1:13">
      <c r="B262" s="3" t="s">
        <v>25</v>
      </c>
      <c r="C262" s="31">
        <f>_xlfn.XLOOKUP(A257, Setting!E:E, Setting!K:K, , 0)*Setting!$C$3</f>
        <v>100000</v>
      </c>
      <c r="D262" s="28">
        <v>333.33333333333331</v>
      </c>
      <c r="E262" s="4">
        <v>0</v>
      </c>
      <c r="F262" s="32">
        <f>VLOOKUP(A257, Setting!$E:$U, 15, FALSE)</f>
        <v>5.0000000000000001E-3</v>
      </c>
      <c r="G262" s="32">
        <f>VLOOKUP(A257, Setting!$E:$U, 11, FALSE)</f>
        <v>5.0000000000000001E-3</v>
      </c>
      <c r="H262" s="5" cm="1">
        <f t="array" ref="H262:H264">E262:E264/D262:D264</f>
        <v>0</v>
      </c>
      <c r="I262" s="5">
        <v>0</v>
      </c>
      <c r="J262" s="6" t="e">
        <v>#DIV/0!</v>
      </c>
      <c r="K262" s="19"/>
      <c r="L262" s="7"/>
      <c r="M262" s="17"/>
    </row>
    <row r="263" spans="1:13">
      <c r="B263" s="3" t="s">
        <v>18</v>
      </c>
      <c r="C263" s="31">
        <f>_xlfn.XLOOKUP(A257, Setting!E:E, Setting!L:L, , 0)*Setting!$C$3</f>
        <v>15000</v>
      </c>
      <c r="D263" s="28">
        <v>50</v>
      </c>
      <c r="E263" s="4">
        <v>8.0000000000000002E-3</v>
      </c>
      <c r="F263" s="32">
        <f>VLOOKUP(A257, Setting!$E:$U, 16, FALSE)</f>
        <v>0</v>
      </c>
      <c r="G263" s="33">
        <f>VLOOKUP(A257, Setting!$E:$U, 12, FALSE)</f>
        <v>8.0000000000000002E-3</v>
      </c>
      <c r="H263" s="5">
        <v>1.6000000000000001E-4</v>
      </c>
      <c r="I263" s="5">
        <v>5.3333333333333334E-7</v>
      </c>
      <c r="J263" s="6">
        <v>15000</v>
      </c>
      <c r="K263" s="19"/>
      <c r="L263" s="7"/>
      <c r="M263" s="17"/>
    </row>
    <row r="264" spans="1:13">
      <c r="B264" s="3" t="s">
        <v>19</v>
      </c>
      <c r="C264" s="31">
        <f>_xlfn.XLOOKUP(A257, Setting!E:E, Setting!M:M, , 0)*Setting!$C$3</f>
        <v>3000</v>
      </c>
      <c r="D264" s="28">
        <v>10</v>
      </c>
      <c r="E264" s="4">
        <v>2.35E-2</v>
      </c>
      <c r="F264" s="32">
        <f>VLOOKUP(A257, Setting!$E:$U, 17, FALSE)</f>
        <v>0</v>
      </c>
      <c r="G264" s="33">
        <f>VLOOKUP(A257, Setting!$E:$U, 13, FALSE)</f>
        <v>2.35E-2</v>
      </c>
      <c r="H264" s="5">
        <v>2.3500000000000001E-3</v>
      </c>
      <c r="I264" s="5">
        <v>7.8333333333333334E-6</v>
      </c>
      <c r="J264" s="6">
        <v>3000</v>
      </c>
      <c r="K264" s="19"/>
      <c r="L264" s="7"/>
      <c r="M264" s="17"/>
    </row>
    <row r="265" spans="1:13">
      <c r="G265" s="34">
        <f>SUM(G261:G264)</f>
        <v>0.04</v>
      </c>
      <c r="H265" s="8">
        <f>SUM(H261:H264)</f>
        <v>2.5100000000000001E-3</v>
      </c>
    </row>
    <row r="266" spans="1:13">
      <c r="G266" s="34"/>
      <c r="H266" s="8"/>
    </row>
    <row r="267" spans="1:13">
      <c r="B267" s="1" t="s">
        <v>4</v>
      </c>
      <c r="C267" s="1" t="s">
        <v>8</v>
      </c>
    </row>
    <row r="268" spans="1:13">
      <c r="A268" s="26">
        <f>A257+1</f>
        <v>25</v>
      </c>
      <c r="B268" s="37" t="s">
        <v>26</v>
      </c>
      <c r="C268" s="30">
        <f>_xlfn.XLOOKUP(A268, Setting!E:E, Setting!F:F, , 0)*Setting!$C$3</f>
        <v>600</v>
      </c>
      <c r="D268" s="29">
        <f>C268*Setting!$C$5</f>
        <v>600</v>
      </c>
    </row>
    <row r="269" spans="1:13">
      <c r="H269" s="53"/>
      <c r="I269" s="18"/>
      <c r="K269" s="27"/>
    </row>
    <row r="270" spans="1:13">
      <c r="H270" s="53"/>
      <c r="I270" s="18"/>
    </row>
    <row r="271" spans="1:13">
      <c r="B271" s="1"/>
      <c r="C271" s="1" t="s">
        <v>2</v>
      </c>
      <c r="D271" s="1" t="s">
        <v>12</v>
      </c>
      <c r="E271" s="1" t="s">
        <v>7</v>
      </c>
      <c r="F271" s="1" t="s">
        <v>1</v>
      </c>
      <c r="G271" s="1" t="s">
        <v>3</v>
      </c>
      <c r="H271" s="1" t="s">
        <v>58</v>
      </c>
      <c r="I271" s="1" t="s">
        <v>5</v>
      </c>
      <c r="J271" s="1" t="s">
        <v>6</v>
      </c>
      <c r="K271" s="1" t="s">
        <v>59</v>
      </c>
    </row>
    <row r="272" spans="1:13">
      <c r="B272" s="3" t="s">
        <v>16</v>
      </c>
      <c r="C272" s="31">
        <f>_xlfn.XLOOKUP(A268, Setting!E:E, Setting!J:J, , 0)*Setting!$C$3</f>
        <v>500000</v>
      </c>
      <c r="D272" s="28" cm="1">
        <f t="array" ref="D272:D275">C272:C275/D268</f>
        <v>833.33333333333337</v>
      </c>
      <c r="E272" s="4" cm="1">
        <f t="array" ref="E272:E275">G272:G275-F272:F275</f>
        <v>0</v>
      </c>
      <c r="F272" s="32">
        <f>VLOOKUP(A268, Setting!$E:$U, 14, FALSE)</f>
        <v>3.5000000000000001E-3</v>
      </c>
      <c r="G272" s="32">
        <f>VLOOKUP(A268, Setting!$E:$U, 10, FALSE)</f>
        <v>3.5000000000000001E-3</v>
      </c>
      <c r="H272" s="5">
        <f>E272/D272-Setting!$C$33</f>
        <v>0</v>
      </c>
      <c r="I272" s="5" cm="1">
        <f t="array" ref="I272:I275">_xlfn.ANCHORARRAY(E272)/_xlfn.ANCHORARRAY(D272)/D268</f>
        <v>0</v>
      </c>
      <c r="J272" s="6" t="e" cm="1">
        <f t="array" ref="J272:J275">C272:C275+F272:F275/_xlfn.ANCHORARRAY(E272)*C272:C275</f>
        <v>#DIV/0!</v>
      </c>
      <c r="K272" s="19">
        <f>1/SUM(H272:H275)</f>
        <v>398.40637450199205</v>
      </c>
      <c r="L272" s="7"/>
      <c r="M272" s="17"/>
    </row>
    <row r="273" spans="1:13">
      <c r="B273" s="3" t="s">
        <v>25</v>
      </c>
      <c r="C273" s="31">
        <f>_xlfn.XLOOKUP(A268, Setting!E:E, Setting!K:K, , 0)*Setting!$C$3</f>
        <v>100000</v>
      </c>
      <c r="D273" s="28">
        <v>166.66666666666666</v>
      </c>
      <c r="E273" s="4">
        <v>0</v>
      </c>
      <c r="F273" s="32">
        <f>VLOOKUP(A268, Setting!$E:$U, 15, FALSE)</f>
        <v>5.0000000000000001E-3</v>
      </c>
      <c r="G273" s="32">
        <f>VLOOKUP(A268, Setting!$E:$U, 11, FALSE)</f>
        <v>5.0000000000000001E-3</v>
      </c>
      <c r="H273" s="5" cm="1">
        <f t="array" ref="H273:H275">E273:E275/D273:D275</f>
        <v>0</v>
      </c>
      <c r="I273" s="5">
        <v>0</v>
      </c>
      <c r="J273" s="6" t="e">
        <v>#DIV/0!</v>
      </c>
      <c r="K273" s="19"/>
      <c r="L273" s="7"/>
      <c r="M273" s="17"/>
    </row>
    <row r="274" spans="1:13">
      <c r="B274" s="3" t="s">
        <v>18</v>
      </c>
      <c r="C274" s="31">
        <f>_xlfn.XLOOKUP(A268, Setting!E:E, Setting!L:L, , 0)*Setting!$C$3</f>
        <v>30000</v>
      </c>
      <c r="D274" s="28">
        <v>50</v>
      </c>
      <c r="E274" s="4">
        <v>8.0000000000000002E-3</v>
      </c>
      <c r="F274" s="32">
        <f>VLOOKUP(A268, Setting!$E:$U, 16, FALSE)</f>
        <v>0</v>
      </c>
      <c r="G274" s="33">
        <f>VLOOKUP(A268, Setting!$E:$U, 12, FALSE)</f>
        <v>8.0000000000000002E-3</v>
      </c>
      <c r="H274" s="5">
        <v>1.6000000000000001E-4</v>
      </c>
      <c r="I274" s="5">
        <v>2.6666666666666667E-7</v>
      </c>
      <c r="J274" s="6">
        <v>30000</v>
      </c>
      <c r="K274" s="19"/>
      <c r="L274" s="7"/>
      <c r="M274" s="17"/>
    </row>
    <row r="275" spans="1:13">
      <c r="B275" s="3" t="s">
        <v>19</v>
      </c>
      <c r="C275" s="31">
        <f>_xlfn.XLOOKUP(A268, Setting!E:E, Setting!M:M, , 0)*Setting!$C$3</f>
        <v>6000</v>
      </c>
      <c r="D275" s="28">
        <v>10</v>
      </c>
      <c r="E275" s="4">
        <v>2.35E-2</v>
      </c>
      <c r="F275" s="32">
        <f>VLOOKUP(A268, Setting!$E:$U, 17, FALSE)</f>
        <v>0</v>
      </c>
      <c r="G275" s="33">
        <f>VLOOKUP(A268, Setting!$E:$U, 13, FALSE)</f>
        <v>2.35E-2</v>
      </c>
      <c r="H275" s="5">
        <v>2.3500000000000001E-3</v>
      </c>
      <c r="I275" s="5">
        <v>3.9166666666666667E-6</v>
      </c>
      <c r="J275" s="6">
        <v>6000</v>
      </c>
      <c r="K275" s="19"/>
      <c r="L275" s="7"/>
      <c r="M275" s="17"/>
    </row>
    <row r="276" spans="1:13">
      <c r="G276" s="34">
        <f>SUM(G272:G275)</f>
        <v>0.04</v>
      </c>
      <c r="H276" s="8">
        <f>SUM(H272:H275)</f>
        <v>2.5100000000000001E-3</v>
      </c>
    </row>
    <row r="277" spans="1:13">
      <c r="G277" s="34"/>
      <c r="H277" s="8"/>
    </row>
    <row r="278" spans="1:13">
      <c r="B278" s="1" t="s">
        <v>4</v>
      </c>
      <c r="C278" s="1" t="s">
        <v>8</v>
      </c>
    </row>
    <row r="279" spans="1:13">
      <c r="A279" s="26">
        <f>A268+1</f>
        <v>26</v>
      </c>
      <c r="B279" s="37" t="s">
        <v>26</v>
      </c>
      <c r="C279" s="30">
        <f>_xlfn.XLOOKUP(A279, Setting!E:E, Setting!F:F, , 0)*Setting!$C$3</f>
        <v>1000</v>
      </c>
      <c r="D279" s="29">
        <f>C279*Setting!$C$5</f>
        <v>1000</v>
      </c>
    </row>
    <row r="280" spans="1:13">
      <c r="H280" s="53"/>
      <c r="I280" s="18"/>
      <c r="K280" s="27"/>
    </row>
    <row r="281" spans="1:13">
      <c r="H281" s="53"/>
      <c r="I281" s="18"/>
    </row>
    <row r="282" spans="1:13">
      <c r="B282" s="1"/>
      <c r="C282" s="1" t="s">
        <v>2</v>
      </c>
      <c r="D282" s="1" t="s">
        <v>12</v>
      </c>
      <c r="E282" s="1" t="s">
        <v>7</v>
      </c>
      <c r="F282" s="1" t="s">
        <v>1</v>
      </c>
      <c r="G282" s="1" t="s">
        <v>3</v>
      </c>
      <c r="H282" s="1" t="s">
        <v>58</v>
      </c>
      <c r="I282" s="1" t="s">
        <v>5</v>
      </c>
      <c r="J282" s="1" t="s">
        <v>6</v>
      </c>
      <c r="K282" s="1" t="s">
        <v>59</v>
      </c>
    </row>
    <row r="283" spans="1:13">
      <c r="B283" s="3" t="s">
        <v>16</v>
      </c>
      <c r="C283" s="31">
        <f>_xlfn.XLOOKUP(A279, Setting!E:E, Setting!J:J, , 0)*Setting!$C$3</f>
        <v>500000</v>
      </c>
      <c r="D283" s="28" cm="1">
        <f t="array" ref="D283:D286">C283:C286/D279</f>
        <v>500</v>
      </c>
      <c r="E283" s="4" cm="1">
        <f t="array" ref="E283:E286">G283:G286-F283:F286</f>
        <v>0</v>
      </c>
      <c r="F283" s="32">
        <f>VLOOKUP(A279, Setting!$E:$U, 14, FALSE)</f>
        <v>3.5000000000000001E-3</v>
      </c>
      <c r="G283" s="32">
        <f>VLOOKUP(A279, Setting!$E:$U, 10, FALSE)</f>
        <v>3.5000000000000001E-3</v>
      </c>
      <c r="H283" s="5">
        <f>E283/D283-Setting!$C$33</f>
        <v>0</v>
      </c>
      <c r="I283" s="5" cm="1">
        <f t="array" ref="I283:I286">_xlfn.ANCHORARRAY(E283)/_xlfn.ANCHORARRAY(D283)/D279</f>
        <v>0</v>
      </c>
      <c r="J283" s="6" t="e" cm="1">
        <f t="array" ref="J283:J286">C283:C286+F283:F286/_xlfn.ANCHORARRAY(E283)*C283:C286</f>
        <v>#DIV/0!</v>
      </c>
      <c r="K283" s="19">
        <f>1/SUM(H283:H286)</f>
        <v>398.40637450199205</v>
      </c>
      <c r="L283" s="7"/>
      <c r="M283" s="17"/>
    </row>
    <row r="284" spans="1:13">
      <c r="B284" s="3" t="s">
        <v>25</v>
      </c>
      <c r="C284" s="31">
        <f>_xlfn.XLOOKUP(A279, Setting!E:E, Setting!K:K, , 0)*Setting!$C$3</f>
        <v>100000</v>
      </c>
      <c r="D284" s="28">
        <v>100</v>
      </c>
      <c r="E284" s="4">
        <v>0</v>
      </c>
      <c r="F284" s="32">
        <f>VLOOKUP(A279, Setting!$E:$U, 15, FALSE)</f>
        <v>5.0000000000000001E-3</v>
      </c>
      <c r="G284" s="32">
        <f>VLOOKUP(A279, Setting!$E:$U, 11, FALSE)</f>
        <v>5.0000000000000001E-3</v>
      </c>
      <c r="H284" s="5" cm="1">
        <f t="array" ref="H284:H286">E284:E286/D284:D286</f>
        <v>0</v>
      </c>
      <c r="I284" s="5">
        <v>0</v>
      </c>
      <c r="J284" s="6" t="e">
        <v>#DIV/0!</v>
      </c>
      <c r="K284" s="19"/>
      <c r="L284" s="7"/>
      <c r="M284" s="17"/>
    </row>
    <row r="285" spans="1:13">
      <c r="B285" s="3" t="s">
        <v>18</v>
      </c>
      <c r="C285" s="31">
        <f>_xlfn.XLOOKUP(A279, Setting!E:E, Setting!L:L, , 0)*Setting!$C$3</f>
        <v>50000</v>
      </c>
      <c r="D285" s="28">
        <v>50</v>
      </c>
      <c r="E285" s="4">
        <v>8.0000000000000002E-3</v>
      </c>
      <c r="F285" s="32">
        <f>VLOOKUP(A279, Setting!$E:$U, 16, FALSE)</f>
        <v>0</v>
      </c>
      <c r="G285" s="33">
        <f>VLOOKUP(A279, Setting!$E:$U, 12, FALSE)</f>
        <v>8.0000000000000002E-3</v>
      </c>
      <c r="H285" s="5">
        <v>1.6000000000000001E-4</v>
      </c>
      <c r="I285" s="5">
        <v>1.6E-7</v>
      </c>
      <c r="J285" s="6">
        <v>50000</v>
      </c>
      <c r="K285" s="19"/>
      <c r="L285" s="7"/>
      <c r="M285" s="17"/>
    </row>
    <row r="286" spans="1:13">
      <c r="B286" s="3" t="s">
        <v>19</v>
      </c>
      <c r="C286" s="31">
        <f>_xlfn.XLOOKUP(A279, Setting!E:E, Setting!M:M, , 0)*Setting!$C$3</f>
        <v>10000</v>
      </c>
      <c r="D286" s="28">
        <v>10</v>
      </c>
      <c r="E286" s="4">
        <v>2.35E-2</v>
      </c>
      <c r="F286" s="32">
        <f>VLOOKUP(A279, Setting!$E:$U, 17, FALSE)</f>
        <v>0</v>
      </c>
      <c r="G286" s="33">
        <f>VLOOKUP(A279, Setting!$E:$U, 13, FALSE)</f>
        <v>2.35E-2</v>
      </c>
      <c r="H286" s="5">
        <v>2.3500000000000001E-3</v>
      </c>
      <c r="I286" s="5">
        <v>2.3499999999999999E-6</v>
      </c>
      <c r="J286" s="6">
        <v>10000</v>
      </c>
      <c r="K286" s="19"/>
      <c r="L286" s="7"/>
      <c r="M286" s="17"/>
    </row>
    <row r="287" spans="1:13">
      <c r="G287" s="34">
        <f>SUM(G283:G286)</f>
        <v>0.04</v>
      </c>
      <c r="H287" s="8">
        <f>SUM(H283:H286)</f>
        <v>2.5100000000000001E-3</v>
      </c>
    </row>
    <row r="288" spans="1:13">
      <c r="G288" s="34"/>
      <c r="H288" s="8"/>
    </row>
    <row r="289" spans="1:13">
      <c r="B289" s="1" t="s">
        <v>4</v>
      </c>
      <c r="C289" s="1" t="s">
        <v>8</v>
      </c>
    </row>
    <row r="290" spans="1:13">
      <c r="A290" s="26">
        <f>A279+1</f>
        <v>27</v>
      </c>
      <c r="B290" s="37" t="s">
        <v>26</v>
      </c>
      <c r="C290" s="30">
        <f>_xlfn.XLOOKUP(A290, Setting!E:E, Setting!F:F, , 0)*Setting!$C$3</f>
        <v>1500</v>
      </c>
      <c r="D290" s="29">
        <f>C290*Setting!$C$5</f>
        <v>1500</v>
      </c>
    </row>
    <row r="291" spans="1:13">
      <c r="H291" s="53"/>
      <c r="I291" s="18"/>
      <c r="K291" s="27"/>
    </row>
    <row r="292" spans="1:13">
      <c r="H292" s="53"/>
      <c r="I292" s="18"/>
    </row>
    <row r="293" spans="1:13">
      <c r="B293" s="1"/>
      <c r="C293" s="1" t="s">
        <v>2</v>
      </c>
      <c r="D293" s="1" t="s">
        <v>12</v>
      </c>
      <c r="E293" s="1" t="s">
        <v>7</v>
      </c>
      <c r="F293" s="1" t="s">
        <v>1</v>
      </c>
      <c r="G293" s="1" t="s">
        <v>3</v>
      </c>
      <c r="H293" s="1" t="s">
        <v>58</v>
      </c>
      <c r="I293" s="1" t="s">
        <v>5</v>
      </c>
      <c r="J293" s="1" t="s">
        <v>6</v>
      </c>
      <c r="K293" s="1" t="s">
        <v>59</v>
      </c>
    </row>
    <row r="294" spans="1:13">
      <c r="B294" s="3" t="s">
        <v>16</v>
      </c>
      <c r="C294" s="31">
        <f>_xlfn.XLOOKUP(A290, Setting!E:E, Setting!J:J, , 0)*Setting!$C$3</f>
        <v>500000</v>
      </c>
      <c r="D294" s="28" cm="1">
        <f t="array" ref="D294:D297">C294:C297/D290</f>
        <v>333.33333333333331</v>
      </c>
      <c r="E294" s="4" cm="1">
        <f t="array" ref="E294:E297">G294:G297-F294:F297</f>
        <v>0</v>
      </c>
      <c r="F294" s="32">
        <f>VLOOKUP(A290, Setting!$E:$U, 14, FALSE)</f>
        <v>3.5000000000000001E-3</v>
      </c>
      <c r="G294" s="32">
        <f>VLOOKUP(A290, Setting!$E:$U, 10, FALSE)</f>
        <v>3.5000000000000001E-3</v>
      </c>
      <c r="H294" s="5">
        <f>E294/D294-Setting!$C$33</f>
        <v>0</v>
      </c>
      <c r="I294" s="5" cm="1">
        <f t="array" ref="I294:I297">_xlfn.ANCHORARRAY(E294)/_xlfn.ANCHORARRAY(D294)/D290</f>
        <v>0</v>
      </c>
      <c r="J294" s="6" t="e" cm="1">
        <f t="array" ref="J294:J297">C294:C297+F294:F297/_xlfn.ANCHORARRAY(E294)*C294:C297</f>
        <v>#DIV/0!</v>
      </c>
      <c r="K294" s="19">
        <f>1/SUM(H294:H297)</f>
        <v>398.40637450199205</v>
      </c>
      <c r="L294" s="7"/>
      <c r="M294" s="17"/>
    </row>
    <row r="295" spans="1:13">
      <c r="B295" s="3" t="s">
        <v>25</v>
      </c>
      <c r="C295" s="31">
        <f>_xlfn.XLOOKUP(A290, Setting!E:E, Setting!K:K, , 0)*Setting!$C$3</f>
        <v>100000</v>
      </c>
      <c r="D295" s="28">
        <v>66.666666666666671</v>
      </c>
      <c r="E295" s="4">
        <v>0</v>
      </c>
      <c r="F295" s="32">
        <f>VLOOKUP(A290, Setting!$E:$U, 15, FALSE)</f>
        <v>5.0000000000000001E-3</v>
      </c>
      <c r="G295" s="32">
        <f>VLOOKUP(A290, Setting!$E:$U, 11, FALSE)</f>
        <v>5.0000000000000001E-3</v>
      </c>
      <c r="H295" s="5" cm="1">
        <f t="array" ref="H295:H297">E295:E297/D295:D297</f>
        <v>0</v>
      </c>
      <c r="I295" s="5">
        <v>0</v>
      </c>
      <c r="J295" s="6" t="e">
        <v>#DIV/0!</v>
      </c>
      <c r="K295" s="19"/>
      <c r="L295" s="7"/>
      <c r="M295" s="17"/>
    </row>
    <row r="296" spans="1:13">
      <c r="B296" s="3" t="s">
        <v>18</v>
      </c>
      <c r="C296" s="31">
        <f>_xlfn.XLOOKUP(A290, Setting!E:E, Setting!L:L, , 0)*Setting!$C$3</f>
        <v>75000</v>
      </c>
      <c r="D296" s="28">
        <v>50</v>
      </c>
      <c r="E296" s="4">
        <v>8.0000000000000002E-3</v>
      </c>
      <c r="F296" s="32">
        <f>VLOOKUP(A290, Setting!$E:$U, 16, FALSE)</f>
        <v>0</v>
      </c>
      <c r="G296" s="33">
        <f>VLOOKUP(A290, Setting!$E:$U, 12, FALSE)</f>
        <v>8.0000000000000002E-3</v>
      </c>
      <c r="H296" s="5">
        <v>1.6000000000000001E-4</v>
      </c>
      <c r="I296" s="5">
        <v>1.0666666666666667E-7</v>
      </c>
      <c r="J296" s="6">
        <v>75000</v>
      </c>
      <c r="K296" s="19"/>
      <c r="L296" s="7"/>
      <c r="M296" s="17"/>
    </row>
    <row r="297" spans="1:13">
      <c r="B297" s="3" t="s">
        <v>19</v>
      </c>
      <c r="C297" s="31">
        <f>_xlfn.XLOOKUP(A290, Setting!E:E, Setting!M:M, , 0)*Setting!$C$3</f>
        <v>15000</v>
      </c>
      <c r="D297" s="28">
        <v>10</v>
      </c>
      <c r="E297" s="4">
        <v>2.35E-2</v>
      </c>
      <c r="F297" s="32">
        <f>VLOOKUP(A290, Setting!$E:$U, 17, FALSE)</f>
        <v>0</v>
      </c>
      <c r="G297" s="33">
        <f>VLOOKUP(A290, Setting!$E:$U, 13, FALSE)</f>
        <v>2.35E-2</v>
      </c>
      <c r="H297" s="5">
        <v>2.3500000000000001E-3</v>
      </c>
      <c r="I297" s="5">
        <v>1.5666666666666668E-6</v>
      </c>
      <c r="J297" s="6">
        <v>15000</v>
      </c>
      <c r="K297" s="19"/>
      <c r="L297" s="7"/>
      <c r="M297" s="17"/>
    </row>
    <row r="298" spans="1:13">
      <c r="G298" s="34">
        <f>SUM(G294:G297)</f>
        <v>0.04</v>
      </c>
      <c r="H298" s="8">
        <f>SUM(H294:H297)</f>
        <v>2.5100000000000001E-3</v>
      </c>
    </row>
    <row r="299" spans="1:13">
      <c r="G299" s="34"/>
      <c r="H299" s="8"/>
    </row>
    <row r="300" spans="1:13">
      <c r="B300" s="1" t="s">
        <v>4</v>
      </c>
      <c r="C300" s="1" t="s">
        <v>8</v>
      </c>
    </row>
    <row r="301" spans="1:13">
      <c r="A301" s="26">
        <f>A290+1</f>
        <v>28</v>
      </c>
      <c r="B301" s="37" t="s">
        <v>26</v>
      </c>
      <c r="C301" s="30">
        <f>_xlfn.XLOOKUP(A301, Setting!E:E, Setting!F:F, , 0)*Setting!$C$3</f>
        <v>2000</v>
      </c>
      <c r="D301" s="29">
        <f>C301*Setting!$C$5</f>
        <v>2000</v>
      </c>
    </row>
    <row r="302" spans="1:13">
      <c r="H302" s="53"/>
      <c r="I302" s="18"/>
      <c r="K302" s="27"/>
    </row>
    <row r="303" spans="1:13">
      <c r="H303" s="53"/>
      <c r="I303" s="18"/>
    </row>
    <row r="304" spans="1:13">
      <c r="B304" s="1"/>
      <c r="C304" s="1" t="s">
        <v>2</v>
      </c>
      <c r="D304" s="1" t="s">
        <v>12</v>
      </c>
      <c r="E304" s="1" t="s">
        <v>7</v>
      </c>
      <c r="F304" s="1" t="s">
        <v>1</v>
      </c>
      <c r="G304" s="1" t="s">
        <v>3</v>
      </c>
      <c r="H304" s="1" t="s">
        <v>58</v>
      </c>
      <c r="I304" s="1" t="s">
        <v>5</v>
      </c>
      <c r="J304" s="1" t="s">
        <v>6</v>
      </c>
      <c r="K304" s="1" t="s">
        <v>59</v>
      </c>
    </row>
    <row r="305" spans="1:13">
      <c r="B305" s="3" t="s">
        <v>16</v>
      </c>
      <c r="C305" s="31">
        <f>_xlfn.XLOOKUP(A301, Setting!E:E, Setting!J:J, , 0)*Setting!$C$3</f>
        <v>500000</v>
      </c>
      <c r="D305" s="28" cm="1">
        <f t="array" ref="D305:D308">C305:C308/D301</f>
        <v>250</v>
      </c>
      <c r="E305" s="4" cm="1">
        <f t="array" ref="E305:E308">G305:G308-F305:F308</f>
        <v>0</v>
      </c>
      <c r="F305" s="32">
        <f>VLOOKUP(A301, Setting!$E:$U, 14, FALSE)</f>
        <v>3.5000000000000001E-3</v>
      </c>
      <c r="G305" s="32">
        <f>VLOOKUP(A301, Setting!$E:$U, 10, FALSE)</f>
        <v>3.5000000000000001E-3</v>
      </c>
      <c r="H305" s="5">
        <f>E305/D305-Setting!$C$33</f>
        <v>0</v>
      </c>
      <c r="I305" s="5" cm="1">
        <f t="array" ref="I305:I308">_xlfn.ANCHORARRAY(E305)/_xlfn.ANCHORARRAY(D305)/D301</f>
        <v>0</v>
      </c>
      <c r="J305" s="6" t="e" cm="1">
        <f t="array" ref="J305:J308">C305:C308+F305:F308/_xlfn.ANCHORARRAY(E305)*C305:C308</f>
        <v>#DIV/0!</v>
      </c>
      <c r="K305" s="19">
        <f>1/SUM(H305:H308)</f>
        <v>398.40637450199205</v>
      </c>
      <c r="L305" s="7"/>
      <c r="M305" s="17"/>
    </row>
    <row r="306" spans="1:13">
      <c r="B306" s="3" t="s">
        <v>25</v>
      </c>
      <c r="C306" s="31">
        <f>_xlfn.XLOOKUP(A301, Setting!E:E, Setting!K:K, , 0)*Setting!$C$3</f>
        <v>100000</v>
      </c>
      <c r="D306" s="28">
        <v>50</v>
      </c>
      <c r="E306" s="4">
        <v>0</v>
      </c>
      <c r="F306" s="32">
        <f>VLOOKUP(A301, Setting!$E:$U, 15, FALSE)</f>
        <v>5.0000000000000001E-3</v>
      </c>
      <c r="G306" s="32">
        <f>VLOOKUP(A301, Setting!$E:$U, 11, FALSE)</f>
        <v>5.0000000000000001E-3</v>
      </c>
      <c r="H306" s="5" cm="1">
        <f t="array" ref="H306:H308">E306:E308/D306:D308</f>
        <v>0</v>
      </c>
      <c r="I306" s="5">
        <v>0</v>
      </c>
      <c r="J306" s="6" t="e">
        <v>#DIV/0!</v>
      </c>
      <c r="K306" s="19"/>
      <c r="L306" s="7"/>
      <c r="M306" s="17"/>
    </row>
    <row r="307" spans="1:13">
      <c r="B307" s="3" t="s">
        <v>18</v>
      </c>
      <c r="C307" s="31">
        <f>_xlfn.XLOOKUP(A301, Setting!E:E, Setting!L:L, , 0)*Setting!$C$3</f>
        <v>100000</v>
      </c>
      <c r="D307" s="28">
        <v>50</v>
      </c>
      <c r="E307" s="4">
        <v>8.0000000000000002E-3</v>
      </c>
      <c r="F307" s="32">
        <f>VLOOKUP(A301, Setting!$E:$U, 16, FALSE)</f>
        <v>0</v>
      </c>
      <c r="G307" s="33">
        <f>VLOOKUP(A301, Setting!$E:$U, 12, FALSE)</f>
        <v>8.0000000000000002E-3</v>
      </c>
      <c r="H307" s="5">
        <v>1.6000000000000001E-4</v>
      </c>
      <c r="I307" s="5">
        <v>8.0000000000000002E-8</v>
      </c>
      <c r="J307" s="6">
        <v>100000</v>
      </c>
      <c r="K307" s="19"/>
      <c r="L307" s="7"/>
      <c r="M307" s="17"/>
    </row>
    <row r="308" spans="1:13">
      <c r="B308" s="3" t="s">
        <v>19</v>
      </c>
      <c r="C308" s="31">
        <f>_xlfn.XLOOKUP(A301, Setting!E:E, Setting!M:M, , 0)*Setting!$C$3</f>
        <v>20000</v>
      </c>
      <c r="D308" s="28">
        <v>10</v>
      </c>
      <c r="E308" s="4">
        <v>2.35E-2</v>
      </c>
      <c r="F308" s="32">
        <f>VLOOKUP(A301, Setting!$E:$U, 17, FALSE)</f>
        <v>0</v>
      </c>
      <c r="G308" s="33">
        <f>VLOOKUP(A301, Setting!$E:$U, 13, FALSE)</f>
        <v>2.35E-2</v>
      </c>
      <c r="H308" s="5">
        <v>2.3500000000000001E-3</v>
      </c>
      <c r="I308" s="5">
        <v>1.175E-6</v>
      </c>
      <c r="J308" s="6">
        <v>20000</v>
      </c>
      <c r="K308" s="19"/>
      <c r="L308" s="7"/>
      <c r="M308" s="17"/>
    </row>
    <row r="309" spans="1:13">
      <c r="G309" s="34">
        <f>SUM(G305:G308)</f>
        <v>0.04</v>
      </c>
      <c r="H309" s="8">
        <f>SUM(H305:H308)</f>
        <v>2.5100000000000001E-3</v>
      </c>
    </row>
    <row r="310" spans="1:13">
      <c r="G310" s="34"/>
      <c r="H310" s="8"/>
    </row>
    <row r="311" spans="1:13">
      <c r="B311" s="1" t="s">
        <v>4</v>
      </c>
      <c r="C311" s="1" t="s">
        <v>8</v>
      </c>
    </row>
    <row r="312" spans="1:13">
      <c r="A312" s="26">
        <f>A301+1</f>
        <v>29</v>
      </c>
      <c r="B312" s="37" t="s">
        <v>26</v>
      </c>
      <c r="C312" s="30">
        <f>_xlfn.XLOOKUP(A312, Setting!E:E, Setting!F:F, , 0)*Setting!$C$3</f>
        <v>3000</v>
      </c>
      <c r="D312" s="29">
        <f>C312*Setting!$C$5</f>
        <v>3000</v>
      </c>
    </row>
    <row r="313" spans="1:13">
      <c r="H313" s="53"/>
      <c r="I313" s="18"/>
      <c r="K313" s="27"/>
    </row>
    <row r="314" spans="1:13">
      <c r="H314" s="53"/>
      <c r="I314" s="18"/>
    </row>
    <row r="315" spans="1:13">
      <c r="B315" s="1"/>
      <c r="C315" s="1" t="s">
        <v>2</v>
      </c>
      <c r="D315" s="1" t="s">
        <v>12</v>
      </c>
      <c r="E315" s="1" t="s">
        <v>7</v>
      </c>
      <c r="F315" s="1" t="s">
        <v>1</v>
      </c>
      <c r="G315" s="1" t="s">
        <v>3</v>
      </c>
      <c r="H315" s="1" t="s">
        <v>58</v>
      </c>
      <c r="I315" s="1" t="s">
        <v>5</v>
      </c>
      <c r="J315" s="1" t="s">
        <v>6</v>
      </c>
      <c r="K315" s="1" t="s">
        <v>59</v>
      </c>
    </row>
    <row r="316" spans="1:13">
      <c r="B316" s="3" t="s">
        <v>16</v>
      </c>
      <c r="C316" s="31">
        <f>_xlfn.XLOOKUP(A312, Setting!E:E, Setting!J:J, , 0)*Setting!$C$3</f>
        <v>500000</v>
      </c>
      <c r="D316" s="28" cm="1">
        <f t="array" ref="D316:D319">C316:C319/D312</f>
        <v>166.66666666666666</v>
      </c>
      <c r="E316" s="4" cm="1">
        <f t="array" ref="E316:E319">G316:G319-F316:F319</f>
        <v>0</v>
      </c>
      <c r="F316" s="32">
        <f>VLOOKUP(A312, Setting!$E:$U, 14, FALSE)</f>
        <v>3.5000000000000001E-3</v>
      </c>
      <c r="G316" s="32">
        <f>VLOOKUP(A312, Setting!$E:$U, 10, FALSE)</f>
        <v>3.5000000000000001E-3</v>
      </c>
      <c r="H316" s="5">
        <f>E316/D316-Setting!$C$33</f>
        <v>0</v>
      </c>
      <c r="I316" s="5" cm="1">
        <f t="array" ref="I316:I319">_xlfn.ANCHORARRAY(E316)/_xlfn.ANCHORARRAY(D316)/D312</f>
        <v>0</v>
      </c>
      <c r="J316" s="6" t="e" cm="1">
        <f t="array" ref="J316:J319">C316:C319+F316:F319/_xlfn.ANCHORARRAY(E316)*C316:C319</f>
        <v>#DIV/0!</v>
      </c>
      <c r="K316" s="19">
        <f>1/SUM(H316:H319)</f>
        <v>398.40637450199205</v>
      </c>
      <c r="L316" s="7"/>
      <c r="M316" s="17"/>
    </row>
    <row r="317" spans="1:13">
      <c r="B317" s="3" t="s">
        <v>25</v>
      </c>
      <c r="C317" s="31">
        <f>_xlfn.XLOOKUP(A312, Setting!E:E, Setting!K:K, , 0)*Setting!$C$3</f>
        <v>100000</v>
      </c>
      <c r="D317" s="28">
        <v>33.333333333333336</v>
      </c>
      <c r="E317" s="4">
        <v>0</v>
      </c>
      <c r="F317" s="32">
        <f>VLOOKUP(A312, Setting!$E:$U, 15, FALSE)</f>
        <v>5.0000000000000001E-3</v>
      </c>
      <c r="G317" s="32">
        <f>VLOOKUP(A312, Setting!$E:$U, 11, FALSE)</f>
        <v>5.0000000000000001E-3</v>
      </c>
      <c r="H317" s="5" cm="1">
        <f t="array" ref="H317:H319">E317:E319/D317:D319</f>
        <v>0</v>
      </c>
      <c r="I317" s="5">
        <v>0</v>
      </c>
      <c r="J317" s="6" t="e">
        <v>#DIV/0!</v>
      </c>
      <c r="K317" s="19"/>
      <c r="L317" s="7"/>
      <c r="M317" s="17"/>
    </row>
    <row r="318" spans="1:13">
      <c r="B318" s="3" t="s">
        <v>18</v>
      </c>
      <c r="C318" s="31">
        <f>_xlfn.XLOOKUP(A312, Setting!E:E, Setting!L:L, , 0)*Setting!$C$3</f>
        <v>150000</v>
      </c>
      <c r="D318" s="28">
        <v>50</v>
      </c>
      <c r="E318" s="4">
        <v>8.0000000000000002E-3</v>
      </c>
      <c r="F318" s="32">
        <f>VLOOKUP(A312, Setting!$E:$U, 16, FALSE)</f>
        <v>0</v>
      </c>
      <c r="G318" s="33">
        <f>VLOOKUP(A312, Setting!$E:$U, 12, FALSE)</f>
        <v>8.0000000000000002E-3</v>
      </c>
      <c r="H318" s="5">
        <v>1.6000000000000001E-4</v>
      </c>
      <c r="I318" s="5">
        <v>5.3333333333333334E-8</v>
      </c>
      <c r="J318" s="6">
        <v>150000</v>
      </c>
      <c r="K318" s="19"/>
      <c r="L318" s="7"/>
      <c r="M318" s="17"/>
    </row>
    <row r="319" spans="1:13">
      <c r="B319" s="3" t="s">
        <v>19</v>
      </c>
      <c r="C319" s="31">
        <f>_xlfn.XLOOKUP(A312, Setting!E:E, Setting!M:M, , 0)*Setting!$C$3</f>
        <v>30000</v>
      </c>
      <c r="D319" s="28">
        <v>10</v>
      </c>
      <c r="E319" s="4">
        <v>2.35E-2</v>
      </c>
      <c r="F319" s="32">
        <f>VLOOKUP(A312, Setting!$E:$U, 17, FALSE)</f>
        <v>0</v>
      </c>
      <c r="G319" s="33">
        <f>VLOOKUP(A312, Setting!$E:$U, 13, FALSE)</f>
        <v>2.35E-2</v>
      </c>
      <c r="H319" s="5">
        <v>2.3500000000000001E-3</v>
      </c>
      <c r="I319" s="5">
        <v>7.8333333333333339E-7</v>
      </c>
      <c r="J319" s="6">
        <v>30000</v>
      </c>
      <c r="K319" s="19"/>
      <c r="L319" s="7"/>
      <c r="M319" s="17"/>
    </row>
    <row r="320" spans="1:13">
      <c r="G320" s="34">
        <f>SUM(G316:G319)</f>
        <v>0.04</v>
      </c>
      <c r="H320" s="8">
        <f>SUM(H316:H319)</f>
        <v>2.5100000000000001E-3</v>
      </c>
    </row>
    <row r="321" spans="1:13">
      <c r="G321" s="34"/>
      <c r="H321" s="8"/>
    </row>
    <row r="322" spans="1:13">
      <c r="B322" s="1" t="s">
        <v>4</v>
      </c>
      <c r="C322" s="1" t="s">
        <v>8</v>
      </c>
    </row>
    <row r="323" spans="1:13">
      <c r="A323" s="26">
        <f>A312+1</f>
        <v>30</v>
      </c>
      <c r="B323" s="37" t="s">
        <v>26</v>
      </c>
      <c r="C323" s="30">
        <f>_xlfn.XLOOKUP(A323, Setting!E:E, Setting!F:F, , 0)*Setting!$C$3</f>
        <v>5000</v>
      </c>
      <c r="D323" s="29">
        <f>C323*Setting!$C$5</f>
        <v>5000</v>
      </c>
    </row>
    <row r="324" spans="1:13">
      <c r="H324" s="53"/>
      <c r="I324" s="18"/>
      <c r="K324" s="27"/>
    </row>
    <row r="325" spans="1:13">
      <c r="H325" s="53"/>
      <c r="I325" s="18"/>
    </row>
    <row r="326" spans="1:13">
      <c r="B326" s="1"/>
      <c r="C326" s="1" t="s">
        <v>2</v>
      </c>
      <c r="D326" s="1" t="s">
        <v>12</v>
      </c>
      <c r="E326" s="1" t="s">
        <v>7</v>
      </c>
      <c r="F326" s="1" t="s">
        <v>1</v>
      </c>
      <c r="G326" s="1" t="s">
        <v>3</v>
      </c>
      <c r="H326" s="1" t="s">
        <v>58</v>
      </c>
      <c r="I326" s="1" t="s">
        <v>5</v>
      </c>
      <c r="J326" s="1" t="s">
        <v>6</v>
      </c>
      <c r="K326" s="1" t="s">
        <v>59</v>
      </c>
    </row>
    <row r="327" spans="1:13">
      <c r="B327" s="3" t="s">
        <v>16</v>
      </c>
      <c r="C327" s="31">
        <f>_xlfn.XLOOKUP(A323, Setting!E:E, Setting!J:J, , 0)*Setting!$C$3</f>
        <v>500000</v>
      </c>
      <c r="D327" s="28" cm="1">
        <f t="array" ref="D327:D330">C327:C330/D323</f>
        <v>100</v>
      </c>
      <c r="E327" s="4" cm="1">
        <f t="array" ref="E327:E330">G327:G330-F327:F330</f>
        <v>0</v>
      </c>
      <c r="F327" s="32">
        <f>VLOOKUP(A323, Setting!$E:$U, 14, FALSE)</f>
        <v>3.5000000000000001E-3</v>
      </c>
      <c r="G327" s="32">
        <f>VLOOKUP(A323, Setting!$E:$U, 10, FALSE)</f>
        <v>3.5000000000000001E-3</v>
      </c>
      <c r="H327" s="5">
        <f>E327/D327-Setting!$C$33</f>
        <v>0</v>
      </c>
      <c r="I327" s="5" cm="1">
        <f t="array" ref="I327:I330">_xlfn.ANCHORARRAY(E327)/_xlfn.ANCHORARRAY(D327)/D323</f>
        <v>0</v>
      </c>
      <c r="J327" s="6" t="e" cm="1">
        <f t="array" ref="J327:J330">C327:C330+F327:F330/_xlfn.ANCHORARRAY(E327)*C327:C330</f>
        <v>#DIV/0!</v>
      </c>
      <c r="K327" s="19">
        <f>1/SUM(H327:H330)</f>
        <v>398.40637450199205</v>
      </c>
      <c r="L327" s="7"/>
      <c r="M327" s="17"/>
    </row>
    <row r="328" spans="1:13">
      <c r="B328" s="3" t="s">
        <v>25</v>
      </c>
      <c r="C328" s="31">
        <f>_xlfn.XLOOKUP(A323, Setting!E:E, Setting!K:K, , 0)*Setting!$C$3</f>
        <v>100000</v>
      </c>
      <c r="D328" s="28">
        <v>20</v>
      </c>
      <c r="E328" s="4">
        <v>0</v>
      </c>
      <c r="F328" s="32">
        <f>VLOOKUP(A323, Setting!$E:$U, 15, FALSE)</f>
        <v>5.0000000000000001E-3</v>
      </c>
      <c r="G328" s="32">
        <f>VLOOKUP(A323, Setting!$E:$U, 11, FALSE)</f>
        <v>5.0000000000000001E-3</v>
      </c>
      <c r="H328" s="5" cm="1">
        <f t="array" ref="H328:H330">E328:E330/D328:D330</f>
        <v>0</v>
      </c>
      <c r="I328" s="5">
        <v>0</v>
      </c>
      <c r="J328" s="6" t="e">
        <v>#DIV/0!</v>
      </c>
      <c r="K328" s="19"/>
      <c r="L328" s="7"/>
      <c r="M328" s="17"/>
    </row>
    <row r="329" spans="1:13">
      <c r="B329" s="3" t="s">
        <v>18</v>
      </c>
      <c r="C329" s="31">
        <f>_xlfn.XLOOKUP(A323, Setting!E:E, Setting!L:L, , 0)*Setting!$C$3</f>
        <v>250000</v>
      </c>
      <c r="D329" s="28">
        <v>50</v>
      </c>
      <c r="E329" s="4">
        <v>8.0000000000000002E-3</v>
      </c>
      <c r="F329" s="32">
        <f>VLOOKUP(A323, Setting!$E:$U, 16, FALSE)</f>
        <v>0</v>
      </c>
      <c r="G329" s="33">
        <f>VLOOKUP(A323, Setting!$E:$U, 12, FALSE)</f>
        <v>8.0000000000000002E-3</v>
      </c>
      <c r="H329" s="5">
        <v>1.6000000000000001E-4</v>
      </c>
      <c r="I329" s="5">
        <v>3.2000000000000002E-8</v>
      </c>
      <c r="J329" s="6">
        <v>250000</v>
      </c>
      <c r="K329" s="19"/>
      <c r="L329" s="7"/>
      <c r="M329" s="17"/>
    </row>
    <row r="330" spans="1:13">
      <c r="B330" s="3" t="s">
        <v>19</v>
      </c>
      <c r="C330" s="31">
        <f>_xlfn.XLOOKUP(A323, Setting!E:E, Setting!M:M, , 0)*Setting!$C$3</f>
        <v>50000</v>
      </c>
      <c r="D330" s="28">
        <v>10</v>
      </c>
      <c r="E330" s="4">
        <v>2.35E-2</v>
      </c>
      <c r="F330" s="32">
        <f>VLOOKUP(A323, Setting!$E:$U, 17, FALSE)</f>
        <v>0</v>
      </c>
      <c r="G330" s="33">
        <f>VLOOKUP(A323, Setting!$E:$U, 13, FALSE)</f>
        <v>2.35E-2</v>
      </c>
      <c r="H330" s="5">
        <v>2.3500000000000001E-3</v>
      </c>
      <c r="I330" s="5">
        <v>4.7E-7</v>
      </c>
      <c r="J330" s="6">
        <v>50000</v>
      </c>
      <c r="K330" s="19"/>
      <c r="L330" s="7"/>
      <c r="M330" s="17"/>
    </row>
    <row r="331" spans="1:13">
      <c r="G331" s="34">
        <f>SUM(G327:G330)</f>
        <v>0.04</v>
      </c>
      <c r="H331" s="8">
        <f>SUM(H327:H330)</f>
        <v>2.5100000000000001E-3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Overview</vt:lpstr>
      <vt:lpstr>Parameter_List</vt:lpstr>
      <vt:lpstr>Output</vt:lpstr>
      <vt:lpstr>Setting</vt:lpstr>
      <vt:lpstr>Calculate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沈宏羲</dc:creator>
  <cp:lastModifiedBy>沈宏羲</cp:lastModifiedBy>
  <dcterms:created xsi:type="dcterms:W3CDTF">2024-07-31T05:20:51Z</dcterms:created>
  <dcterms:modified xsi:type="dcterms:W3CDTF">2026-04-07T03:36:58Z</dcterms:modified>
</cp:coreProperties>
</file>