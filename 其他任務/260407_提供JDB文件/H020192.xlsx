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Desktop\260407_JDB\"/>
    </mc:Choice>
  </mc:AlternateContent>
  <xr:revisionPtr revIDLastSave="0" documentId="13_ncr:1_{E824D2BA-AE3D-43B7-A93D-EF1EBE944B3D}" xr6:coauthVersionLast="47" xr6:coauthVersionMax="47" xr10:uidLastSave="{00000000-0000-0000-0000-000000000000}"/>
  <bookViews>
    <workbookView xWindow="-108" yWindow="-108" windowWidth="23256" windowHeight="12456" xr2:uid="{85BF6E6F-3ACA-4BFC-ADD9-3709E759D9D9}"/>
  </bookViews>
  <sheets>
    <sheet name="Overview" sheetId="9" r:id="rId1"/>
    <sheet name="Parameter" sheetId="19" r:id="rId2"/>
    <sheet name="Parameter-卡片" sheetId="31" r:id="rId3"/>
    <sheet name="Regular Symbol" sheetId="1" r:id="rId4"/>
    <sheet name="Reel 4 Symbol" sheetId="20" r:id="rId5"/>
    <sheet name="Pay Combo Normal Bet" sheetId="2" r:id="rId6"/>
    <sheet name="Pay Combo Extra Bet (1)" sheetId="41" r:id="rId7"/>
    <sheet name="Pay Combo Extra Bet (2)" sheetId="42" r:id="rId8"/>
    <sheet name="Pay Combo Super Feature Buy" sheetId="27" r:id="rId9"/>
    <sheet name="Multiplier Weight" sheetId="28" r:id="rId10"/>
    <sheet name="Multiplier Weight (new_player)" sheetId="32" r:id="rId11"/>
  </sheets>
  <externalReferences>
    <externalReference r:id="rId12"/>
  </externalReferences>
  <definedNames>
    <definedName name="Bet_1">Overview!$A$6</definedName>
    <definedName name="Bet_2">Overview!$A$7</definedName>
    <definedName name="Bet_3">Overview!$A$8</definedName>
    <definedName name="Bet_4">Overview!$A$9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27" i="19" l="1" a="1"/>
  <c r="AI127" i="19" s="1"/>
  <c r="AH127" i="19" a="1"/>
  <c r="AH127" i="19" s="1"/>
  <c r="AH112" i="19" a="1"/>
  <c r="AH112" i="19" s="1"/>
  <c r="AH96" i="19" a="1"/>
  <c r="AH96" i="19" s="1"/>
  <c r="AI80" i="19" a="1"/>
  <c r="AI80" i="19" s="1"/>
  <c r="AH80" i="19" a="1"/>
  <c r="AH80" i="19" s="1"/>
  <c r="AH65" i="19" a="1"/>
  <c r="AH65" i="19" s="1"/>
  <c r="AH49" i="19" a="1"/>
  <c r="AH49" i="19" s="1"/>
  <c r="I13" i="2"/>
  <c r="E68" i="42"/>
  <c r="E67" i="42"/>
  <c r="C67" i="42"/>
  <c r="E66" i="42"/>
  <c r="E65" i="42"/>
  <c r="C65" i="42"/>
  <c r="E64" i="42"/>
  <c r="C64" i="42"/>
  <c r="E63" i="42"/>
  <c r="C63" i="42"/>
  <c r="E62" i="42"/>
  <c r="C62" i="42"/>
  <c r="E61" i="42"/>
  <c r="C61" i="42"/>
  <c r="C59" i="42"/>
  <c r="E56" i="42"/>
  <c r="C56" i="42"/>
  <c r="E55" i="42"/>
  <c r="C55" i="42"/>
  <c r="E54" i="42"/>
  <c r="C54" i="42"/>
  <c r="E53" i="42"/>
  <c r="C53" i="42"/>
  <c r="E52" i="42"/>
  <c r="C52" i="42"/>
  <c r="E51" i="42"/>
  <c r="C51" i="42"/>
  <c r="C50" i="42"/>
  <c r="E49" i="42"/>
  <c r="C49" i="42"/>
  <c r="C47" i="42"/>
  <c r="E44" i="42"/>
  <c r="E43" i="42"/>
  <c r="C43" i="42"/>
  <c r="E42" i="42"/>
  <c r="E41" i="42"/>
  <c r="C41" i="42"/>
  <c r="E40" i="42"/>
  <c r="C40" i="42"/>
  <c r="E39" i="42"/>
  <c r="C39" i="42"/>
  <c r="C38" i="42"/>
  <c r="E37" i="42"/>
  <c r="C37" i="42"/>
  <c r="C35" i="42"/>
  <c r="E32" i="42"/>
  <c r="E31" i="42"/>
  <c r="C31" i="42"/>
  <c r="E30" i="42"/>
  <c r="C30" i="42"/>
  <c r="E29" i="42"/>
  <c r="C29" i="42"/>
  <c r="E28" i="42"/>
  <c r="C28" i="42"/>
  <c r="E27" i="42"/>
  <c r="C27" i="42"/>
  <c r="C26" i="42"/>
  <c r="E25" i="42"/>
  <c r="C25" i="42"/>
  <c r="C23" i="42"/>
  <c r="N20" i="42" a="1"/>
  <c r="N20" i="42" s="1"/>
  <c r="E20" i="42"/>
  <c r="D20" i="42"/>
  <c r="C20" i="42"/>
  <c r="F20" i="42" s="1"/>
  <c r="L19" i="42"/>
  <c r="L19" i="42" a="1"/>
  <c r="E19" i="42"/>
  <c r="D19" i="42"/>
  <c r="C19" i="42"/>
  <c r="E18" i="42"/>
  <c r="D18" i="42"/>
  <c r="C18" i="42"/>
  <c r="E17" i="42"/>
  <c r="D17" i="42"/>
  <c r="C17" i="42"/>
  <c r="F17" i="42" s="1"/>
  <c r="J17" i="42" s="1"/>
  <c r="I17" i="42" s="1"/>
  <c r="E16" i="42"/>
  <c r="F16" i="42" s="1"/>
  <c r="D16" i="42"/>
  <c r="C16" i="42"/>
  <c r="E15" i="42"/>
  <c r="D15" i="42"/>
  <c r="C15" i="42"/>
  <c r="E14" i="42"/>
  <c r="D14" i="42"/>
  <c r="C14" i="42"/>
  <c r="H13" i="42" a="1"/>
  <c r="H13" i="42" s="1"/>
  <c r="H25" i="42" s="1" a="1"/>
  <c r="H25" i="42" s="1"/>
  <c r="H37" i="42" s="1" a="1"/>
  <c r="H37" i="42" s="1"/>
  <c r="H49" i="42" s="1" a="1"/>
  <c r="H49" i="42" s="1"/>
  <c r="H61" i="42" s="1" a="1"/>
  <c r="H61" i="42" s="1"/>
  <c r="E13" i="42"/>
  <c r="D13" i="42"/>
  <c r="C13" i="42"/>
  <c r="F13" i="42" s="1"/>
  <c r="J13" i="42" s="1"/>
  <c r="I13" i="42" s="1"/>
  <c r="C11" i="42"/>
  <c r="AG3" i="42" a="1"/>
  <c r="AG3" i="42" s="1"/>
  <c r="AG14" i="42" s="1"/>
  <c r="AF3" i="42" a="1"/>
  <c r="AF3" i="42" s="1"/>
  <c r="AF14" i="42" s="1"/>
  <c r="AE3" i="42" a="1"/>
  <c r="AE3" i="42" s="1"/>
  <c r="AE14" i="42" s="1"/>
  <c r="AD3" i="42" a="1"/>
  <c r="AD3" i="42" s="1"/>
  <c r="AD14" i="42" s="1"/>
  <c r="AC3" i="42" a="1"/>
  <c r="AC3" i="42" s="1"/>
  <c r="AC14" i="42" s="1"/>
  <c r="AB3" i="42"/>
  <c r="AB14" i="42" s="1"/>
  <c r="AB3" i="42" a="1"/>
  <c r="AA3" i="42" a="1"/>
  <c r="AA3" i="42" s="1"/>
  <c r="AA14" i="42" s="1"/>
  <c r="Z3" i="42" a="1"/>
  <c r="Z3" i="42" s="1"/>
  <c r="Z14" i="42" s="1"/>
  <c r="Y3" i="42" a="1"/>
  <c r="Y3" i="42" s="1"/>
  <c r="Y14" i="42" s="1"/>
  <c r="X3" i="42" a="1"/>
  <c r="X3" i="42" s="1"/>
  <c r="X14" i="42" s="1"/>
  <c r="W3" i="42" a="1"/>
  <c r="W3" i="42" s="1"/>
  <c r="W14" i="42" s="1"/>
  <c r="R3" i="42" a="1"/>
  <c r="R3" i="42" s="1"/>
  <c r="T14" i="42" s="1"/>
  <c r="O3" i="42"/>
  <c r="O3" i="42" a="1"/>
  <c r="M3" i="42" a="1"/>
  <c r="M3" i="42" s="1"/>
  <c r="E68" i="41"/>
  <c r="E67" i="41"/>
  <c r="C67" i="41"/>
  <c r="E66" i="41"/>
  <c r="E65" i="41"/>
  <c r="C65" i="41"/>
  <c r="E64" i="41"/>
  <c r="C64" i="41"/>
  <c r="E63" i="41"/>
  <c r="C63" i="41"/>
  <c r="E62" i="41"/>
  <c r="C62" i="41"/>
  <c r="E61" i="41"/>
  <c r="C61" i="41"/>
  <c r="C59" i="41"/>
  <c r="E56" i="41"/>
  <c r="C56" i="41"/>
  <c r="E55" i="41"/>
  <c r="C55" i="41"/>
  <c r="E54" i="41"/>
  <c r="C54" i="41"/>
  <c r="E53" i="41"/>
  <c r="C53" i="41"/>
  <c r="E52" i="41"/>
  <c r="C52" i="41"/>
  <c r="E51" i="41"/>
  <c r="C51" i="41"/>
  <c r="C50" i="41"/>
  <c r="E49" i="41"/>
  <c r="C49" i="41"/>
  <c r="C47" i="41"/>
  <c r="E44" i="41"/>
  <c r="E43" i="41"/>
  <c r="C43" i="41"/>
  <c r="E42" i="41"/>
  <c r="E41" i="41"/>
  <c r="C41" i="41"/>
  <c r="E40" i="41"/>
  <c r="C40" i="41"/>
  <c r="E39" i="41"/>
  <c r="C39" i="41"/>
  <c r="C38" i="41"/>
  <c r="E37" i="41"/>
  <c r="C37" i="41"/>
  <c r="C35" i="41"/>
  <c r="E32" i="41"/>
  <c r="E31" i="41"/>
  <c r="C31" i="41"/>
  <c r="E30" i="41"/>
  <c r="C30" i="41"/>
  <c r="E29" i="41"/>
  <c r="C29" i="41"/>
  <c r="E28" i="41"/>
  <c r="C28" i="41"/>
  <c r="E27" i="41"/>
  <c r="C27" i="41"/>
  <c r="C26" i="41"/>
  <c r="H25" i="41" a="1"/>
  <c r="H25" i="41" s="1"/>
  <c r="H37" i="41" s="1" a="1"/>
  <c r="H37" i="41" s="1"/>
  <c r="H49" i="41" s="1" a="1"/>
  <c r="H49" i="41" s="1"/>
  <c r="H61" i="41" s="1" a="1"/>
  <c r="H61" i="41" s="1"/>
  <c r="E25" i="41"/>
  <c r="C25" i="41"/>
  <c r="C23" i="41"/>
  <c r="N20" i="41" a="1"/>
  <c r="N20" i="41" s="1"/>
  <c r="E20" i="41"/>
  <c r="D20" i="41"/>
  <c r="C20" i="41"/>
  <c r="L19" i="41" a="1"/>
  <c r="L19" i="41" s="1"/>
  <c r="E19" i="41"/>
  <c r="D19" i="41"/>
  <c r="C19" i="41"/>
  <c r="E18" i="41"/>
  <c r="D18" i="41"/>
  <c r="C18" i="41"/>
  <c r="E17" i="41"/>
  <c r="D17" i="41"/>
  <c r="C17" i="41"/>
  <c r="F17" i="41" s="1"/>
  <c r="J17" i="41" s="1"/>
  <c r="E16" i="41"/>
  <c r="D16" i="41"/>
  <c r="C16" i="41"/>
  <c r="E15" i="41"/>
  <c r="D15" i="41"/>
  <c r="C15" i="41"/>
  <c r="E14" i="41"/>
  <c r="D14" i="41"/>
  <c r="C14" i="41"/>
  <c r="H13" i="41"/>
  <c r="H13" i="41" a="1"/>
  <c r="E13" i="41"/>
  <c r="D13" i="41"/>
  <c r="C13" i="41"/>
  <c r="F13" i="41" s="1"/>
  <c r="C11" i="41"/>
  <c r="AG3" i="41" a="1"/>
  <c r="AG3" i="41" s="1"/>
  <c r="AG14" i="41" s="1"/>
  <c r="AF3" i="41" a="1"/>
  <c r="AF3" i="41" s="1"/>
  <c r="AF14" i="41" s="1"/>
  <c r="AE3" i="41" a="1"/>
  <c r="AE3" i="41" s="1"/>
  <c r="AE14" i="41" s="1"/>
  <c r="AD3" i="41" a="1"/>
  <c r="AD3" i="41" s="1"/>
  <c r="AD14" i="41" s="1"/>
  <c r="AC3" i="41" a="1"/>
  <c r="AC3" i="41" s="1"/>
  <c r="AC14" i="41" s="1"/>
  <c r="AB3" i="41" a="1"/>
  <c r="AB3" i="41" s="1"/>
  <c r="AB14" i="41" s="1"/>
  <c r="AA3" i="41" a="1"/>
  <c r="AA3" i="41" s="1"/>
  <c r="AA14" i="41" s="1"/>
  <c r="Z3" i="41" a="1"/>
  <c r="Z3" i="41" s="1"/>
  <c r="Z14" i="41" s="1"/>
  <c r="Y3" i="41" a="1"/>
  <c r="Y3" i="41" s="1"/>
  <c r="Y14" i="41" s="1"/>
  <c r="X3" i="41" a="1"/>
  <c r="X3" i="41" s="1"/>
  <c r="X14" i="41" s="1"/>
  <c r="W3" i="41"/>
  <c r="W14" i="41" s="1"/>
  <c r="W3" i="41" a="1"/>
  <c r="R3" i="41" a="1"/>
  <c r="R3" i="41" s="1"/>
  <c r="T14" i="41" s="1"/>
  <c r="O3" i="41" a="1"/>
  <c r="O3" i="41" s="1"/>
  <c r="M3" i="41" a="1"/>
  <c r="M3" i="41" s="1"/>
  <c r="F19" i="42" l="1"/>
  <c r="J19" i="42" s="1"/>
  <c r="I19" i="42" s="1"/>
  <c r="J20" i="42"/>
  <c r="I20" i="42" s="1"/>
  <c r="G20" i="42"/>
  <c r="T3" i="42" a="1"/>
  <c r="T3" i="42" s="1"/>
  <c r="T15" i="42" s="1" a="1"/>
  <c r="T15" i="42" s="1"/>
  <c r="O14" i="42" s="1"/>
  <c r="O15" i="42" s="1"/>
  <c r="J16" i="42"/>
  <c r="I16" i="42" s="1"/>
  <c r="G16" i="42"/>
  <c r="F18" i="42"/>
  <c r="F14" i="42"/>
  <c r="F15" i="42"/>
  <c r="J15" i="42" s="1"/>
  <c r="I15" i="42" s="1"/>
  <c r="G17" i="42"/>
  <c r="I17" i="41"/>
  <c r="G13" i="42"/>
  <c r="F18" i="41"/>
  <c r="J18" i="41" s="1"/>
  <c r="I18" i="41" s="1"/>
  <c r="T3" i="41" a="1"/>
  <c r="T3" i="41" s="1"/>
  <c r="T15" i="41" s="1" a="1"/>
  <c r="T15" i="41" s="1"/>
  <c r="O14" i="41" s="1"/>
  <c r="O15" i="41" s="1"/>
  <c r="F14" i="41"/>
  <c r="J13" i="41"/>
  <c r="I13" i="41" s="1"/>
  <c r="F16" i="41"/>
  <c r="F19" i="41"/>
  <c r="J19" i="41" s="1"/>
  <c r="I19" i="41" s="1"/>
  <c r="F15" i="41"/>
  <c r="J15" i="41" s="1"/>
  <c r="I15" i="41" s="1"/>
  <c r="F20" i="41"/>
  <c r="J20" i="41" s="1"/>
  <c r="I20" i="41" s="1"/>
  <c r="G17" i="41"/>
  <c r="G13" i="41"/>
  <c r="G18" i="41"/>
  <c r="J18" i="42" l="1"/>
  <c r="I18" i="42" s="1"/>
  <c r="G18" i="42"/>
  <c r="J14" i="42"/>
  <c r="I14" i="42" s="1"/>
  <c r="G14" i="42"/>
  <c r="G15" i="42"/>
  <c r="G19" i="42"/>
  <c r="J14" i="41"/>
  <c r="I14" i="41" s="1"/>
  <c r="G14" i="41"/>
  <c r="G20" i="41"/>
  <c r="G19" i="41"/>
  <c r="G16" i="41"/>
  <c r="J16" i="41"/>
  <c r="I16" i="41" s="1"/>
  <c r="G15" i="41"/>
  <c r="P229" i="28" a="1"/>
  <c r="P229" i="28" s="1"/>
  <c r="C199" i="28" a="1"/>
  <c r="C199" i="28" s="1"/>
  <c r="AG206" i="1" l="1"/>
  <c r="AK206" i="1"/>
  <c r="AK207" i="1"/>
  <c r="E68" i="27" l="1"/>
  <c r="E67" i="27"/>
  <c r="C67" i="27"/>
  <c r="E66" i="27"/>
  <c r="E65" i="27"/>
  <c r="C65" i="27"/>
  <c r="E64" i="27"/>
  <c r="C64" i="27"/>
  <c r="E63" i="27"/>
  <c r="C63" i="27"/>
  <c r="E62" i="27"/>
  <c r="C62" i="27"/>
  <c r="E61" i="27"/>
  <c r="C61" i="27"/>
  <c r="C56" i="27"/>
  <c r="C55" i="27"/>
  <c r="C54" i="27"/>
  <c r="C53" i="27"/>
  <c r="C52" i="27"/>
  <c r="C51" i="27"/>
  <c r="C50" i="27"/>
  <c r="E49" i="27"/>
  <c r="C49" i="27"/>
  <c r="C43" i="27"/>
  <c r="C41" i="27"/>
  <c r="C40" i="27"/>
  <c r="C39" i="27"/>
  <c r="C38" i="27"/>
  <c r="E37" i="27"/>
  <c r="C37" i="27"/>
  <c r="C31" i="27"/>
  <c r="C30" i="27"/>
  <c r="C29" i="27"/>
  <c r="C28" i="27"/>
  <c r="C27" i="27"/>
  <c r="C26" i="27"/>
  <c r="E25" i="27"/>
  <c r="C25" i="27"/>
  <c r="C14" i="27"/>
  <c r="D14" i="27"/>
  <c r="E14" i="27"/>
  <c r="C15" i="27"/>
  <c r="D15" i="27"/>
  <c r="E15" i="27"/>
  <c r="C16" i="27"/>
  <c r="D16" i="27"/>
  <c r="E16" i="27"/>
  <c r="C17" i="27"/>
  <c r="D17" i="27"/>
  <c r="E17" i="27"/>
  <c r="C18" i="27"/>
  <c r="D18" i="27"/>
  <c r="E18" i="27"/>
  <c r="C19" i="27"/>
  <c r="D19" i="27"/>
  <c r="E19" i="27"/>
  <c r="C20" i="27"/>
  <c r="D20" i="27"/>
  <c r="E20" i="27"/>
  <c r="D13" i="27"/>
  <c r="E13" i="27"/>
  <c r="C13" i="27"/>
  <c r="F13" i="27" l="1"/>
  <c r="N261" i="28"/>
  <c r="AI14" i="27" l="1" a="1"/>
  <c r="AI14" i="27" s="1"/>
  <c r="AJ14" i="27" a="1"/>
  <c r="AJ14" i="27" s="1"/>
  <c r="AK14" i="27" a="1"/>
  <c r="AK14" i="27" s="1"/>
  <c r="AL14" i="27" a="1"/>
  <c r="AL14" i="27" s="1"/>
  <c r="AM14" i="27" a="1"/>
  <c r="AM14" i="27" s="1"/>
  <c r="AN14" i="27" a="1"/>
  <c r="AN14" i="27" s="1"/>
  <c r="AO14" i="27" a="1"/>
  <c r="AO14" i="27" s="1"/>
  <c r="AP14" i="27" a="1"/>
  <c r="AP14" i="27" s="1"/>
  <c r="AQ14" i="27" a="1"/>
  <c r="AQ14" i="27" s="1"/>
  <c r="AR14" i="27" a="1"/>
  <c r="AR14" i="27" s="1"/>
  <c r="AH14" i="27" a="1"/>
  <c r="AH14" i="27" s="1"/>
  <c r="E200" i="28" l="1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N20" i="2" l="1" a="1"/>
  <c r="N20" i="2" s="1"/>
  <c r="L19" i="2" a="1"/>
  <c r="L19" i="2" s="1"/>
  <c r="A2" i="31" l="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F199" i="28" a="1"/>
  <c r="F199" i="28" s="1"/>
  <c r="A134" i="28" a="1"/>
  <c r="A134" i="28" s="1"/>
  <c r="A199" i="28" s="1" a="1"/>
  <c r="A69" i="28" a="1"/>
  <c r="A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G4" i="28" s="1" a="1"/>
  <c r="G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123" i="28"/>
  <c r="I122" i="28"/>
  <c r="I121" i="28"/>
  <c r="I56" i="28"/>
  <c r="I57" i="28"/>
  <c r="I58" i="28"/>
  <c r="I59" i="28"/>
  <c r="I60" i="28"/>
  <c r="I61" i="28"/>
  <c r="E134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82" i="32" l="1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I186" i="28"/>
  <c r="E81" i="32"/>
  <c r="E111" i="32"/>
  <c r="E122" i="32"/>
  <c r="I187" i="28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I191" i="28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A134" i="32" l="1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N65" i="32" l="1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H8" i="9" s="1"/>
  <c r="N64" i="32"/>
  <c r="O69" i="32" a="1"/>
  <c r="O4" i="32" a="1"/>
  <c r="O129" i="32" l="1" a="1"/>
  <c r="O129" i="32" s="1"/>
  <c r="O64" i="32" a="1"/>
  <c r="O64" i="32" s="1"/>
  <c r="H134" i="32" a="1"/>
  <c r="H134" i="32" s="1"/>
  <c r="I134" i="32"/>
  <c r="O4" i="32"/>
  <c r="O2" i="32" s="1"/>
  <c r="H6" i="9" s="1"/>
  <c r="O62" i="32"/>
  <c r="O127" i="32"/>
  <c r="O69" i="32"/>
  <c r="O67" i="32" s="1"/>
  <c r="H7" i="9" s="1"/>
  <c r="N131" i="28" l="1"/>
  <c r="N196" i="28" s="1"/>
  <c r="AT2" i="20" l="1" a="1"/>
  <c r="AT2" i="20" s="1"/>
  <c r="AC3" i="20" l="1"/>
  <c r="AC4" i="20"/>
  <c r="AC5" i="20"/>
  <c r="AC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39" i="20"/>
  <c r="AC40" i="20"/>
  <c r="AC41" i="20"/>
  <c r="AC42" i="20"/>
  <c r="AC43" i="20"/>
  <c r="AC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58" i="20"/>
  <c r="AC59" i="20"/>
  <c r="AC60" i="20"/>
  <c r="AC61" i="20"/>
  <c r="AC62" i="20"/>
  <c r="AC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X24" i="20" l="1"/>
  <c r="G199" i="28" l="1" a="1"/>
  <c r="G199" i="28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G3" i="27" a="1"/>
  <c r="AG3" i="27" s="1"/>
  <c r="AG14" i="27" s="1"/>
  <c r="AF3" i="27" a="1"/>
  <c r="AF3" i="27" s="1"/>
  <c r="AF14" i="27" s="1"/>
  <c r="AE3" i="27" a="1"/>
  <c r="AE3" i="27" s="1"/>
  <c r="AE14" i="27" s="1"/>
  <c r="AD3" i="27" a="1"/>
  <c r="AD3" i="27" s="1"/>
  <c r="AD14" i="27" s="1"/>
  <c r="AC3" i="27" a="1"/>
  <c r="AC3" i="27" s="1"/>
  <c r="AC14" i="27" s="1"/>
  <c r="AB3" i="27" a="1"/>
  <c r="AB3" i="27" s="1"/>
  <c r="AB14" i="27" s="1"/>
  <c r="AA3" i="27" a="1"/>
  <c r="AA3" i="27" s="1"/>
  <c r="AA14" i="27" s="1"/>
  <c r="Z3" i="27" a="1"/>
  <c r="Z3" i="27" s="1"/>
  <c r="Z14" i="27" s="1"/>
  <c r="Y3" i="27" a="1"/>
  <c r="Y3" i="27" s="1"/>
  <c r="Y14" i="27" s="1"/>
  <c r="X3" i="27" a="1"/>
  <c r="X3" i="27" s="1"/>
  <c r="X14" i="27" s="1"/>
  <c r="W3" i="27" a="1"/>
  <c r="W3" i="27" s="1"/>
  <c r="W14" i="27" s="1"/>
  <c r="R3" i="27" a="1"/>
  <c r="R3" i="27" s="1"/>
  <c r="O3" i="27" a="1"/>
  <c r="O3" i="27" s="1"/>
  <c r="M3" i="27" a="1"/>
  <c r="M3" i="27" s="1"/>
  <c r="AH143" i="19" s="1" a="1"/>
  <c r="AH143" i="19" s="1"/>
  <c r="V228" i="28" l="1"/>
  <c r="V227" i="28"/>
  <c r="V226" i="28"/>
  <c r="V225" i="28"/>
  <c r="V224" i="28"/>
  <c r="N259" i="28"/>
  <c r="N257" i="28"/>
  <c r="N260" i="28" s="1"/>
  <c r="N199" i="28"/>
  <c r="T14" i="27"/>
  <c r="AH159" i="19" a="1"/>
  <c r="AH159" i="19" s="1"/>
  <c r="N134" i="28"/>
  <c r="D8" i="9" s="1"/>
  <c r="N192" i="28"/>
  <c r="N195" i="28" s="1"/>
  <c r="G8" i="9"/>
  <c r="F8" i="9" s="1"/>
  <c r="E8" i="9" s="1"/>
  <c r="N69" i="28"/>
  <c r="D7" i="9" s="1"/>
  <c r="G7" i="9"/>
  <c r="F7" i="9" s="1"/>
  <c r="E7" i="9" s="1"/>
  <c r="C2" i="31" a="1"/>
  <c r="C2" i="31" s="1"/>
  <c r="N4" i="28" a="1"/>
  <c r="N194" i="28"/>
  <c r="N129" i="28"/>
  <c r="N130" i="28"/>
  <c r="T3" i="27" a="1"/>
  <c r="T3" i="27" s="1"/>
  <c r="T15" i="27" s="1" a="1"/>
  <c r="T15" i="27" s="1"/>
  <c r="O14" i="27" s="1"/>
  <c r="O15" i="27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C103" i="1"/>
  <c r="Q102" i="1"/>
  <c r="J102" i="1"/>
  <c r="C102" i="1"/>
  <c r="J101" i="1"/>
  <c r="C101" i="1"/>
  <c r="Q100" i="1"/>
  <c r="J100" i="1"/>
  <c r="C100" i="1"/>
  <c r="Q99" i="1"/>
  <c r="J99" i="1"/>
  <c r="C99" i="1"/>
  <c r="Q98" i="1"/>
  <c r="J98" i="1"/>
  <c r="C98" i="1"/>
  <c r="Q97" i="1"/>
  <c r="J97" i="1"/>
  <c r="C97" i="1"/>
  <c r="H96" i="1"/>
  <c r="O96" i="1" s="1" a="1"/>
  <c r="O96" i="1" s="1"/>
  <c r="H96" i="1" a="1"/>
  <c r="H81" i="1" a="1"/>
  <c r="C77" i="1"/>
  <c r="Q76" i="1"/>
  <c r="J76" i="1"/>
  <c r="C76" i="1"/>
  <c r="J75" i="1"/>
  <c r="C75" i="1"/>
  <c r="Q74" i="1"/>
  <c r="J74" i="1"/>
  <c r="C74" i="1"/>
  <c r="Q73" i="1"/>
  <c r="J73" i="1"/>
  <c r="C73" i="1"/>
  <c r="Q72" i="1"/>
  <c r="J72" i="1"/>
  <c r="C72" i="1"/>
  <c r="Q71" i="1"/>
  <c r="J71" i="1"/>
  <c r="C71" i="1"/>
  <c r="H70" i="1"/>
  <c r="O70" i="1" s="1" a="1"/>
  <c r="O70" i="1" s="1"/>
  <c r="H70" i="1" a="1"/>
  <c r="H55" i="1" a="1"/>
  <c r="C51" i="1"/>
  <c r="Q50" i="1"/>
  <c r="J50" i="1"/>
  <c r="C50" i="1"/>
  <c r="J49" i="1"/>
  <c r="C49" i="1"/>
  <c r="Q48" i="1"/>
  <c r="J48" i="1"/>
  <c r="C48" i="1"/>
  <c r="Q47" i="1"/>
  <c r="J47" i="1"/>
  <c r="C47" i="1"/>
  <c r="Q46" i="1"/>
  <c r="J46" i="1"/>
  <c r="C46" i="1"/>
  <c r="Q45" i="1"/>
  <c r="J45" i="1"/>
  <c r="C45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V223" i="28" l="1"/>
  <c r="D9" i="9"/>
  <c r="O194" i="28" a="1"/>
  <c r="O194" i="28" s="1"/>
  <c r="W223" i="28" a="1"/>
  <c r="W223" i="28" s="1"/>
  <c r="O199" i="28" a="1"/>
  <c r="O199" i="28" s="1"/>
  <c r="O197" i="28" s="1"/>
  <c r="C9" i="9" s="1"/>
  <c r="N25" i="27"/>
  <c r="N23" i="27"/>
  <c r="N24" i="27"/>
  <c r="N22" i="27"/>
  <c r="N21" i="27"/>
  <c r="O259" i="28" a="1"/>
  <c r="O259" i="28" s="1"/>
  <c r="N4" i="28"/>
  <c r="D6" i="9" s="1"/>
  <c r="G6" i="9"/>
  <c r="F6" i="9" s="1"/>
  <c r="E6" i="9" s="1"/>
  <c r="O69" i="28" a="1"/>
  <c r="O69" i="28" s="1"/>
  <c r="O134" i="28" a="1"/>
  <c r="O134" i="28" s="1"/>
  <c r="O132" i="28" s="1"/>
  <c r="C8" i="9" s="1"/>
  <c r="O129" i="28" a="1"/>
  <c r="O129" i="28" s="1"/>
  <c r="P134" i="28" a="1"/>
  <c r="P134" i="28" s="1"/>
  <c r="E47" i="1"/>
  <c r="D46" i="1"/>
  <c r="D100" i="1"/>
  <c r="D102" i="1"/>
  <c r="D73" i="1"/>
  <c r="D75" i="1"/>
  <c r="D45" i="1"/>
  <c r="D49" i="1"/>
  <c r="D72" i="1"/>
  <c r="D99" i="1"/>
  <c r="D48" i="1"/>
  <c r="D71" i="1"/>
  <c r="D98" i="1"/>
  <c r="D50" i="1"/>
  <c r="D77" i="1"/>
  <c r="D51" i="1"/>
  <c r="D47" i="1"/>
  <c r="D74" i="1"/>
  <c r="D97" i="1"/>
  <c r="D101" i="1"/>
  <c r="D76" i="1"/>
  <c r="D103" i="1"/>
  <c r="E72" i="1"/>
  <c r="E46" i="1"/>
  <c r="E71" i="1"/>
  <c r="E76" i="1"/>
  <c r="E74" i="1"/>
  <c r="E48" i="1"/>
  <c r="E101" i="1"/>
  <c r="E75" i="1"/>
  <c r="E49" i="1"/>
  <c r="E98" i="1"/>
  <c r="E99" i="1"/>
  <c r="E103" i="1"/>
  <c r="E73" i="1"/>
  <c r="E97" i="1"/>
  <c r="E102" i="1"/>
  <c r="E45" i="1"/>
  <c r="E50" i="1"/>
  <c r="E100" i="1"/>
  <c r="E77" i="1"/>
  <c r="E51" i="1"/>
  <c r="BU21" i="1"/>
  <c r="C40" i="1"/>
  <c r="BQ197" i="1"/>
  <c r="BU182" i="1"/>
  <c r="BP87" i="1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J59" i="1" s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R34" i="1" s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Q101" i="1" s="1"/>
  <c r="S9" i="1"/>
  <c r="E13" i="2"/>
  <c r="Q6" i="1"/>
  <c r="K5" i="1"/>
  <c r="D87" i="1"/>
  <c r="R7" i="1"/>
  <c r="C13" i="2"/>
  <c r="R6" i="1"/>
  <c r="S6" i="1"/>
  <c r="L9" i="1"/>
  <c r="L5" i="1"/>
  <c r="J10" i="1"/>
  <c r="J103" i="1" s="1"/>
  <c r="L6" i="1"/>
  <c r="L4" i="1"/>
  <c r="J4" i="1"/>
  <c r="S7" i="1"/>
  <c r="Q10" i="1"/>
  <c r="Q103" i="1" s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32" i="27" l="1"/>
  <c r="O257" i="28"/>
  <c r="C44" i="27"/>
  <c r="C68" i="27"/>
  <c r="C42" i="27"/>
  <c r="C66" i="27"/>
  <c r="O4" i="28" a="1"/>
  <c r="O4" i="28" s="1"/>
  <c r="O192" i="28"/>
  <c r="O67" i="28"/>
  <c r="C7" i="9" s="1"/>
  <c r="O127" i="28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J58" i="1"/>
  <c r="S59" i="1"/>
  <c r="Q55" i="1"/>
  <c r="R59" i="1"/>
  <c r="S62" i="1"/>
  <c r="K58" i="1"/>
  <c r="L57" i="1"/>
  <c r="K60" i="1"/>
  <c r="J55" i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L35" i="1"/>
  <c r="D83" i="1"/>
  <c r="L34" i="1"/>
  <c r="K36" i="1"/>
  <c r="E83" i="1"/>
  <c r="D84" i="1"/>
  <c r="J36" i="1"/>
  <c r="R35" i="1"/>
  <c r="L29" i="1"/>
  <c r="J30" i="1"/>
  <c r="J31" i="1"/>
  <c r="S31" i="1"/>
  <c r="S33" i="1"/>
  <c r="J34" i="1"/>
  <c r="L31" i="1"/>
  <c r="S32" i="1"/>
  <c r="D82" i="1"/>
  <c r="E84" i="1"/>
  <c r="K34" i="1"/>
  <c r="Q29" i="1"/>
  <c r="R30" i="1"/>
  <c r="E85" i="1"/>
  <c r="K31" i="1"/>
  <c r="C85" i="1"/>
  <c r="L32" i="1"/>
  <c r="S36" i="1"/>
  <c r="D85" i="1"/>
  <c r="E88" i="1"/>
  <c r="C81" i="1"/>
  <c r="R33" i="1"/>
  <c r="Q31" i="1"/>
  <c r="R31" i="1"/>
  <c r="K33" i="1"/>
  <c r="C83" i="1"/>
  <c r="E87" i="1"/>
  <c r="J29" i="1"/>
  <c r="C84" i="1"/>
  <c r="K30" i="1"/>
  <c r="S35" i="1"/>
  <c r="L36" i="1"/>
  <c r="J33" i="1"/>
  <c r="Q36" i="1"/>
  <c r="K32" i="1"/>
  <c r="C88" i="1"/>
  <c r="R2" i="19" a="1"/>
  <c r="R2" i="19" s="1"/>
  <c r="J62" i="1"/>
  <c r="D66" i="1"/>
  <c r="D40" i="1"/>
  <c r="Q60" i="1"/>
  <c r="C86" i="1"/>
  <c r="E82" i="1"/>
  <c r="D81" i="1"/>
  <c r="S56" i="1"/>
  <c r="R55" i="1"/>
  <c r="L56" i="1"/>
  <c r="J60" i="1"/>
  <c r="K55" i="1"/>
  <c r="E70" i="1"/>
  <c r="D70" i="1"/>
  <c r="Q34" i="1"/>
  <c r="L30" i="1"/>
  <c r="S30" i="1"/>
  <c r="D44" i="1"/>
  <c r="R29" i="1"/>
  <c r="K29" i="1"/>
  <c r="O81" i="1" a="1"/>
  <c r="O81" i="1" s="1"/>
  <c r="O55" i="1" a="1"/>
  <c r="O55" i="1" s="1"/>
  <c r="Q49" i="1"/>
  <c r="Q75" i="1"/>
  <c r="J51" i="1"/>
  <c r="J77" i="1"/>
  <c r="Q51" i="1"/>
  <c r="Q77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S81" i="1" s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24" i="1" s="1"/>
  <c r="C31" i="2" s="1"/>
  <c r="S3" i="1"/>
  <c r="S45" i="1" s="1"/>
  <c r="Q3" i="1"/>
  <c r="Q21" i="1" s="1"/>
  <c r="D49" i="42" l="1"/>
  <c r="F49" i="42" s="1"/>
  <c r="D61" i="42"/>
  <c r="F61" i="42" s="1"/>
  <c r="D25" i="42"/>
  <c r="F25" i="42" s="1"/>
  <c r="D37" i="41"/>
  <c r="F37" i="41" s="1"/>
  <c r="G37" i="41" s="1"/>
  <c r="D37" i="42"/>
  <c r="F37" i="42" s="1"/>
  <c r="D49" i="41"/>
  <c r="F49" i="41" s="1"/>
  <c r="D25" i="41"/>
  <c r="F25" i="41" s="1"/>
  <c r="D61" i="41"/>
  <c r="F61" i="41" s="1"/>
  <c r="L45" i="1"/>
  <c r="L22" i="1"/>
  <c r="E29" i="2" s="1"/>
  <c r="L77" i="1"/>
  <c r="L46" i="1"/>
  <c r="L98" i="1"/>
  <c r="E27" i="27" s="1"/>
  <c r="L50" i="1"/>
  <c r="L103" i="1"/>
  <c r="E32" i="27" s="1"/>
  <c r="L72" i="1"/>
  <c r="L48" i="1"/>
  <c r="L74" i="1"/>
  <c r="L100" i="1"/>
  <c r="E29" i="27" s="1"/>
  <c r="L76" i="1"/>
  <c r="L101" i="1"/>
  <c r="E30" i="27" s="1"/>
  <c r="L102" i="1"/>
  <c r="E31" i="27" s="1"/>
  <c r="L47" i="1"/>
  <c r="L73" i="1"/>
  <c r="L99" i="1"/>
  <c r="E28" i="27" s="1"/>
  <c r="L49" i="1"/>
  <c r="L75" i="1"/>
  <c r="L51" i="1"/>
  <c r="S71" i="1"/>
  <c r="S103" i="1"/>
  <c r="S98" i="1"/>
  <c r="S48" i="1"/>
  <c r="S100" i="1"/>
  <c r="S74" i="1"/>
  <c r="S50" i="1"/>
  <c r="S76" i="1"/>
  <c r="S102" i="1"/>
  <c r="S51" i="1"/>
  <c r="S46" i="1"/>
  <c r="S47" i="1"/>
  <c r="S73" i="1"/>
  <c r="S99" i="1"/>
  <c r="S49" i="1"/>
  <c r="S75" i="1"/>
  <c r="S101" i="1"/>
  <c r="S77" i="1"/>
  <c r="S72" i="1"/>
  <c r="S97" i="1"/>
  <c r="L97" i="1"/>
  <c r="L85" i="1"/>
  <c r="Q84" i="1"/>
  <c r="S84" i="1"/>
  <c r="Q82" i="1"/>
  <c r="J83" i="1"/>
  <c r="L86" i="1"/>
  <c r="L87" i="1"/>
  <c r="L81" i="1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R88" i="1"/>
  <c r="S82" i="1"/>
  <c r="Q86" i="1"/>
  <c r="S87" i="1"/>
  <c r="L82" i="1"/>
  <c r="J86" i="1"/>
  <c r="C96" i="1"/>
  <c r="R81" i="1"/>
  <c r="E92" i="1"/>
  <c r="E96" i="1"/>
  <c r="K81" i="1"/>
  <c r="D96" i="1"/>
  <c r="R103" i="1"/>
  <c r="R101" i="1"/>
  <c r="R97" i="1"/>
  <c r="R98" i="1"/>
  <c r="R100" i="1"/>
  <c r="R99" i="1"/>
  <c r="R102" i="1"/>
  <c r="K101" i="1"/>
  <c r="K100" i="1"/>
  <c r="K98" i="1"/>
  <c r="K97" i="1"/>
  <c r="K102" i="1"/>
  <c r="K103" i="1"/>
  <c r="K99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J19" i="1"/>
  <c r="C26" i="2" s="1"/>
  <c r="R14" i="1"/>
  <c r="R22" i="1"/>
  <c r="R18" i="1"/>
  <c r="R21" i="1"/>
  <c r="R24" i="1"/>
  <c r="R19" i="1"/>
  <c r="K18" i="1"/>
  <c r="R25" i="1"/>
  <c r="D44" i="4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C40" i="2"/>
  <c r="C64" i="2"/>
  <c r="C65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D51" i="42" l="1"/>
  <c r="F51" i="42" s="1"/>
  <c r="D63" i="42"/>
  <c r="F63" i="42" s="1"/>
  <c r="D27" i="42"/>
  <c r="F27" i="42" s="1"/>
  <c r="D38" i="41"/>
  <c r="D38" i="42"/>
  <c r="E26" i="41"/>
  <c r="E26" i="42"/>
  <c r="C68" i="42"/>
  <c r="C44" i="42"/>
  <c r="F44" i="42" s="1"/>
  <c r="J37" i="41"/>
  <c r="I37" i="41" s="1"/>
  <c r="D43" i="41"/>
  <c r="F43" i="41" s="1"/>
  <c r="J43" i="41" s="1"/>
  <c r="I43" i="41" s="1"/>
  <c r="D43" i="42"/>
  <c r="F43" i="42" s="1"/>
  <c r="D41" i="41"/>
  <c r="F41" i="41" s="1"/>
  <c r="G41" i="41" s="1"/>
  <c r="D41" i="42"/>
  <c r="F41" i="42" s="1"/>
  <c r="D50" i="42"/>
  <c r="D62" i="42"/>
  <c r="F62" i="42" s="1"/>
  <c r="D26" i="42"/>
  <c r="J37" i="42"/>
  <c r="I37" i="42" s="1"/>
  <c r="G37" i="42"/>
  <c r="D55" i="42"/>
  <c r="F55" i="42" s="1"/>
  <c r="D67" i="42"/>
  <c r="F67" i="42" s="1"/>
  <c r="D31" i="42"/>
  <c r="F31" i="42" s="1"/>
  <c r="D56" i="42"/>
  <c r="F56" i="42" s="1"/>
  <c r="D68" i="42"/>
  <c r="D32" i="42"/>
  <c r="D54" i="42"/>
  <c r="F54" i="42" s="1"/>
  <c r="D66" i="42"/>
  <c r="D30" i="42"/>
  <c r="F30" i="42" s="1"/>
  <c r="J25" i="42"/>
  <c r="I25" i="42" s="1"/>
  <c r="G25" i="42"/>
  <c r="D40" i="41"/>
  <c r="F40" i="41" s="1"/>
  <c r="J40" i="41" s="1"/>
  <c r="I40" i="41" s="1"/>
  <c r="D40" i="42"/>
  <c r="F40" i="42" s="1"/>
  <c r="D39" i="41"/>
  <c r="F39" i="41" s="1"/>
  <c r="G39" i="41" s="1"/>
  <c r="D39" i="42"/>
  <c r="F39" i="42" s="1"/>
  <c r="E38" i="42"/>
  <c r="E50" i="42"/>
  <c r="C66" i="42"/>
  <c r="C42" i="42"/>
  <c r="C32" i="41"/>
  <c r="C32" i="42"/>
  <c r="D42" i="41"/>
  <c r="D42" i="42"/>
  <c r="D53" i="42"/>
  <c r="F53" i="42" s="1"/>
  <c r="D65" i="42"/>
  <c r="F65" i="42" s="1"/>
  <c r="D29" i="42"/>
  <c r="F29" i="42" s="1"/>
  <c r="J61" i="42"/>
  <c r="I61" i="42" s="1"/>
  <c r="G61" i="42"/>
  <c r="D64" i="42"/>
  <c r="F64" i="42" s="1"/>
  <c r="D28" i="42"/>
  <c r="F28" i="42" s="1"/>
  <c r="D52" i="42"/>
  <c r="F52" i="42" s="1"/>
  <c r="G49" i="42"/>
  <c r="J49" i="42"/>
  <c r="I49" i="42" s="1"/>
  <c r="D55" i="41"/>
  <c r="F55" i="41" s="1"/>
  <c r="D67" i="41"/>
  <c r="F67" i="41" s="1"/>
  <c r="D31" i="41"/>
  <c r="F31" i="41" s="1"/>
  <c r="D44" i="2"/>
  <c r="D44" i="41"/>
  <c r="D51" i="41"/>
  <c r="F51" i="41" s="1"/>
  <c r="D63" i="41"/>
  <c r="F63" i="41" s="1"/>
  <c r="D27" i="41"/>
  <c r="F27" i="41" s="1"/>
  <c r="E50" i="41"/>
  <c r="E38" i="41"/>
  <c r="F38" i="41" s="1"/>
  <c r="D26" i="41"/>
  <c r="D50" i="41"/>
  <c r="D62" i="41"/>
  <c r="F62" i="41" s="1"/>
  <c r="J61" i="41"/>
  <c r="I61" i="41" s="1"/>
  <c r="G61" i="41"/>
  <c r="C66" i="41"/>
  <c r="C42" i="41"/>
  <c r="J25" i="41"/>
  <c r="I25" i="41" s="1"/>
  <c r="G25" i="41"/>
  <c r="J49" i="41"/>
  <c r="I49" i="41" s="1"/>
  <c r="G49" i="41"/>
  <c r="D66" i="41"/>
  <c r="D30" i="41"/>
  <c r="F30" i="41" s="1"/>
  <c r="D54" i="41"/>
  <c r="F54" i="41" s="1"/>
  <c r="D29" i="41"/>
  <c r="F29" i="41" s="1"/>
  <c r="D53" i="41"/>
  <c r="F53" i="41" s="1"/>
  <c r="D65" i="41"/>
  <c r="F65" i="41" s="1"/>
  <c r="D28" i="41"/>
  <c r="F28" i="41" s="1"/>
  <c r="D64" i="41"/>
  <c r="F64" i="41" s="1"/>
  <c r="D52" i="41"/>
  <c r="F52" i="41" s="1"/>
  <c r="C68" i="41"/>
  <c r="C44" i="41"/>
  <c r="D56" i="2"/>
  <c r="D56" i="41"/>
  <c r="F56" i="41" s="1"/>
  <c r="D68" i="41"/>
  <c r="D32" i="41"/>
  <c r="E26" i="27"/>
  <c r="D62" i="27"/>
  <c r="D66" i="27"/>
  <c r="D65" i="27"/>
  <c r="D64" i="27"/>
  <c r="D61" i="27"/>
  <c r="D68" i="27"/>
  <c r="D63" i="27"/>
  <c r="D67" i="27"/>
  <c r="E55" i="27"/>
  <c r="E43" i="27"/>
  <c r="E44" i="27"/>
  <c r="E56" i="27"/>
  <c r="E42" i="27"/>
  <c r="E54" i="27"/>
  <c r="E52" i="27"/>
  <c r="E40" i="27"/>
  <c r="E39" i="27"/>
  <c r="E51" i="27"/>
  <c r="E41" i="27"/>
  <c r="E53" i="27"/>
  <c r="D26" i="27"/>
  <c r="D50" i="27"/>
  <c r="D31" i="27"/>
  <c r="D55" i="27"/>
  <c r="D27" i="27"/>
  <c r="D51" i="27"/>
  <c r="D29" i="27"/>
  <c r="D53" i="27"/>
  <c r="E38" i="27"/>
  <c r="E50" i="27"/>
  <c r="D30" i="27"/>
  <c r="D54" i="27"/>
  <c r="D32" i="27"/>
  <c r="D56" i="27"/>
  <c r="D25" i="27"/>
  <c r="D49" i="27"/>
  <c r="D28" i="27"/>
  <c r="D52" i="27"/>
  <c r="D37" i="27"/>
  <c r="F37" i="27" s="1"/>
  <c r="D40" i="27"/>
  <c r="D41" i="27"/>
  <c r="D39" i="27"/>
  <c r="D38" i="27"/>
  <c r="D43" i="27"/>
  <c r="D42" i="27"/>
  <c r="D44" i="27"/>
  <c r="E56" i="2"/>
  <c r="Q96" i="1"/>
  <c r="F16" i="27"/>
  <c r="F17" i="27"/>
  <c r="J92" i="1"/>
  <c r="L96" i="1"/>
  <c r="F19" i="27"/>
  <c r="F20" i="27"/>
  <c r="F14" i="27"/>
  <c r="K92" i="1"/>
  <c r="F18" i="27"/>
  <c r="F15" i="27"/>
  <c r="C59" i="27"/>
  <c r="C47" i="27"/>
  <c r="C23" i="27"/>
  <c r="C11" i="27"/>
  <c r="C35" i="27"/>
  <c r="R92" i="1"/>
  <c r="S92" i="1"/>
  <c r="S96" i="1"/>
  <c r="D68" i="2"/>
  <c r="D62" i="2"/>
  <c r="C42" i="2"/>
  <c r="D66" i="2"/>
  <c r="C32" i="2"/>
  <c r="D64" i="2"/>
  <c r="D67" i="2"/>
  <c r="D65" i="2"/>
  <c r="D63" i="2"/>
  <c r="D38" i="2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F50" i="42" l="1"/>
  <c r="J39" i="41"/>
  <c r="I39" i="41" s="1"/>
  <c r="F26" i="41"/>
  <c r="F50" i="41"/>
  <c r="F32" i="41"/>
  <c r="J32" i="41" s="1"/>
  <c r="I32" i="41" s="1"/>
  <c r="F42" i="41"/>
  <c r="G42" i="41" s="1"/>
  <c r="F38" i="42"/>
  <c r="J38" i="42" s="1"/>
  <c r="I38" i="42" s="1"/>
  <c r="J41" i="41"/>
  <c r="I41" i="41" s="1"/>
  <c r="F42" i="42"/>
  <c r="J42" i="42" s="1"/>
  <c r="I42" i="42" s="1"/>
  <c r="G40" i="41"/>
  <c r="J62" i="42"/>
  <c r="I62" i="42" s="1"/>
  <c r="G62" i="42"/>
  <c r="J50" i="42"/>
  <c r="I50" i="42" s="1"/>
  <c r="G50" i="42"/>
  <c r="J40" i="42"/>
  <c r="I40" i="42" s="1"/>
  <c r="G40" i="42"/>
  <c r="G41" i="42"/>
  <c r="J41" i="42"/>
  <c r="I41" i="42" s="1"/>
  <c r="J29" i="42"/>
  <c r="I29" i="42" s="1"/>
  <c r="G29" i="42"/>
  <c r="J65" i="42"/>
  <c r="I65" i="42" s="1"/>
  <c r="G65" i="42"/>
  <c r="J30" i="42"/>
  <c r="I30" i="42" s="1"/>
  <c r="G30" i="42"/>
  <c r="J43" i="42"/>
  <c r="I43" i="42" s="1"/>
  <c r="G43" i="42"/>
  <c r="J53" i="42"/>
  <c r="I53" i="42" s="1"/>
  <c r="G53" i="42"/>
  <c r="G64" i="42"/>
  <c r="J64" i="42"/>
  <c r="I64" i="42" s="1"/>
  <c r="F44" i="41"/>
  <c r="G44" i="41" s="1"/>
  <c r="G54" i="42"/>
  <c r="J54" i="42"/>
  <c r="I54" i="42" s="1"/>
  <c r="J44" i="42"/>
  <c r="I44" i="42" s="1"/>
  <c r="G44" i="42"/>
  <c r="F32" i="42"/>
  <c r="F68" i="42"/>
  <c r="G56" i="42"/>
  <c r="J56" i="42"/>
  <c r="I56" i="42" s="1"/>
  <c r="J31" i="42"/>
  <c r="I31" i="42" s="1"/>
  <c r="G31" i="42"/>
  <c r="F66" i="42"/>
  <c r="J67" i="42"/>
  <c r="I67" i="42" s="1"/>
  <c r="G67" i="42"/>
  <c r="J55" i="42"/>
  <c r="I55" i="42" s="1"/>
  <c r="G55" i="42"/>
  <c r="G43" i="41"/>
  <c r="J27" i="42"/>
  <c r="I27" i="42" s="1"/>
  <c r="G27" i="42"/>
  <c r="J52" i="42"/>
  <c r="I52" i="42" s="1"/>
  <c r="G52" i="42"/>
  <c r="G39" i="42"/>
  <c r="J39" i="42"/>
  <c r="I39" i="42" s="1"/>
  <c r="J63" i="42"/>
  <c r="I63" i="42" s="1"/>
  <c r="G63" i="42"/>
  <c r="J28" i="42"/>
  <c r="I28" i="42" s="1"/>
  <c r="G28" i="42"/>
  <c r="F26" i="42"/>
  <c r="G51" i="42"/>
  <c r="J51" i="42"/>
  <c r="I51" i="42" s="1"/>
  <c r="J38" i="41"/>
  <c r="I38" i="41" s="1"/>
  <c r="G38" i="41"/>
  <c r="J53" i="41"/>
  <c r="I53" i="41" s="1"/>
  <c r="G53" i="41"/>
  <c r="F68" i="41"/>
  <c r="J63" i="41"/>
  <c r="I63" i="41" s="1"/>
  <c r="G63" i="41"/>
  <c r="J51" i="41"/>
  <c r="I51" i="41" s="1"/>
  <c r="G51" i="41"/>
  <c r="J26" i="41"/>
  <c r="I26" i="41" s="1"/>
  <c r="G26" i="41"/>
  <c r="J27" i="41"/>
  <c r="I27" i="41" s="1"/>
  <c r="G27" i="41"/>
  <c r="J54" i="41"/>
  <c r="I54" i="41" s="1"/>
  <c r="G54" i="41"/>
  <c r="J30" i="41"/>
  <c r="I30" i="41" s="1"/>
  <c r="G30" i="41"/>
  <c r="J29" i="41"/>
  <c r="I29" i="41" s="1"/>
  <c r="G29" i="41"/>
  <c r="J56" i="41"/>
  <c r="I56" i="41" s="1"/>
  <c r="G56" i="41"/>
  <c r="J31" i="41"/>
  <c r="I31" i="41" s="1"/>
  <c r="G31" i="41"/>
  <c r="J28" i="41"/>
  <c r="I28" i="41" s="1"/>
  <c r="G28" i="41"/>
  <c r="J65" i="41"/>
  <c r="I65" i="41" s="1"/>
  <c r="G65" i="41"/>
  <c r="J62" i="41"/>
  <c r="I62" i="41" s="1"/>
  <c r="G62" i="41"/>
  <c r="J50" i="41"/>
  <c r="I50" i="41" s="1"/>
  <c r="G50" i="41"/>
  <c r="J52" i="41"/>
  <c r="I52" i="41" s="1"/>
  <c r="G52" i="41"/>
  <c r="F66" i="41"/>
  <c r="J67" i="41"/>
  <c r="I67" i="41" s="1"/>
  <c r="G67" i="41"/>
  <c r="J64" i="41"/>
  <c r="I64" i="41" s="1"/>
  <c r="G64" i="41"/>
  <c r="J55" i="41"/>
  <c r="I55" i="41" s="1"/>
  <c r="G55" i="41"/>
  <c r="F43" i="27"/>
  <c r="J43" i="27" s="1"/>
  <c r="J15" i="27"/>
  <c r="F61" i="27"/>
  <c r="F49" i="27"/>
  <c r="F39" i="27"/>
  <c r="J39" i="27" s="1"/>
  <c r="F41" i="27"/>
  <c r="G41" i="27" s="1"/>
  <c r="F38" i="27"/>
  <c r="J38" i="27" s="1"/>
  <c r="J37" i="27"/>
  <c r="F44" i="27"/>
  <c r="G44" i="27" s="1"/>
  <c r="F42" i="27"/>
  <c r="G42" i="27" s="1"/>
  <c r="F40" i="27"/>
  <c r="J40" i="27" s="1"/>
  <c r="J14" i="27"/>
  <c r="J19" i="27"/>
  <c r="J18" i="27"/>
  <c r="G17" i="27"/>
  <c r="J17" i="27"/>
  <c r="J20" i="27"/>
  <c r="G37" i="27"/>
  <c r="G19" i="27"/>
  <c r="J13" i="27"/>
  <c r="G20" i="27"/>
  <c r="G13" i="27"/>
  <c r="G18" i="27"/>
  <c r="G16" i="27"/>
  <c r="J16" i="27"/>
  <c r="G14" i="27"/>
  <c r="G15" i="27"/>
  <c r="G38" i="42" l="1"/>
  <c r="J42" i="41"/>
  <c r="I42" i="41" s="1"/>
  <c r="G32" i="41"/>
  <c r="G42" i="42"/>
  <c r="J44" i="41"/>
  <c r="I44" i="41" s="1"/>
  <c r="J68" i="42"/>
  <c r="I68" i="42" s="1"/>
  <c r="G68" i="42"/>
  <c r="J32" i="42"/>
  <c r="I32" i="42" s="1"/>
  <c r="G32" i="42"/>
  <c r="J26" i="42"/>
  <c r="I26" i="42" s="1"/>
  <c r="G26" i="42"/>
  <c r="J66" i="42"/>
  <c r="I66" i="42" s="1"/>
  <c r="G66" i="42"/>
  <c r="J66" i="41"/>
  <c r="I66" i="41" s="1"/>
  <c r="G66" i="41"/>
  <c r="J68" i="41"/>
  <c r="I68" i="41" s="1"/>
  <c r="G68" i="41"/>
  <c r="G43" i="27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39" i="27"/>
  <c r="J41" i="27"/>
  <c r="G38" i="27"/>
  <c r="J44" i="27"/>
  <c r="J42" i="27"/>
  <c r="G40" i="27"/>
  <c r="I1" i="41" l="1"/>
  <c r="I2" i="41" s="1"/>
  <c r="I1" i="42"/>
  <c r="I2" i="42" s="1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6" i="27" l="1"/>
  <c r="J32" i="27"/>
  <c r="G31" i="27"/>
  <c r="G29" i="27"/>
  <c r="J30" i="27"/>
  <c r="G27" i="27"/>
  <c r="J27" i="27"/>
  <c r="J28" i="27"/>
  <c r="G28" i="27"/>
  <c r="B48" i="9" l="1"/>
  <c r="B47" i="9"/>
  <c r="B46" i="9"/>
  <c r="B45" i="9"/>
  <c r="B44" i="9"/>
  <c r="B43" i="9"/>
  <c r="B42" i="9"/>
  <c r="B41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32" i="20"/>
  <c r="AD40" i="20"/>
  <c r="AD44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AF2" i="20" s="1" a="1"/>
  <c r="AF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E5" i="20" s="1"/>
  <c r="AM28" i="20" s="1"/>
  <c r="H13" i="27" l="1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AM33" i="20"/>
  <c r="AD16" i="20"/>
  <c r="U26" i="20"/>
  <c r="V26" i="20"/>
  <c r="AD64" i="20"/>
  <c r="AD82" i="20"/>
  <c r="AD8" i="20"/>
  <c r="AC101" i="20"/>
  <c r="AD24" i="20"/>
  <c r="AN90" i="20"/>
  <c r="AW2" i="20" a="1"/>
  <c r="AW2" i="20" s="1"/>
  <c r="AZ2" i="20" s="1" a="1"/>
  <c r="AZ2" i="20" s="1"/>
  <c r="AM89" i="20"/>
  <c r="AN64" i="20"/>
  <c r="AN48" i="20"/>
  <c r="AN82" i="20"/>
  <c r="AD48" i="20"/>
  <c r="AN40" i="20"/>
  <c r="AN16" i="20"/>
  <c r="AC93" i="20"/>
  <c r="AN8" i="20"/>
  <c r="AN24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75" i="20"/>
  <c r="AM59" i="20"/>
  <c r="AM19" i="20"/>
  <c r="AM3" i="20"/>
  <c r="AM90" i="20"/>
  <c r="AM82" i="20"/>
  <c r="AD28" i="20"/>
  <c r="AD12" i="20"/>
  <c r="AM64" i="20"/>
  <c r="AM48" i="20"/>
  <c r="AM40" i="20"/>
  <c r="AM24" i="20"/>
  <c r="AM16" i="20"/>
  <c r="AM8" i="20"/>
  <c r="AC90" i="20"/>
  <c r="AC82" i="20"/>
  <c r="AM79" i="20"/>
  <c r="AM47" i="20"/>
  <c r="AM15" i="20"/>
  <c r="AC89" i="20"/>
  <c r="AM101" i="20"/>
  <c r="AM93" i="20"/>
  <c r="AM69" i="20"/>
  <c r="AM61" i="20"/>
  <c r="AM5" i="20"/>
  <c r="AN44" i="20"/>
  <c r="AN28" i="20"/>
  <c r="AN12" i="20"/>
  <c r="AC79" i="20"/>
  <c r="AM44" i="20"/>
  <c r="AM12" i="20"/>
  <c r="P26" i="20"/>
  <c r="O26" i="20"/>
  <c r="C26" i="20"/>
  <c r="D26" i="20"/>
  <c r="E6" i="20"/>
  <c r="H13" i="27" l="1"/>
  <c r="I18" i="27"/>
  <c r="I20" i="27"/>
  <c r="I14" i="27"/>
  <c r="I17" i="27"/>
  <c r="I15" i="27"/>
  <c r="I19" i="27"/>
  <c r="I16" i="27"/>
  <c r="BG81" i="20"/>
  <c r="BG73" i="20"/>
  <c r="BG53" i="20"/>
  <c r="BG33" i="20"/>
  <c r="BG5" i="20"/>
  <c r="BH70" i="20"/>
  <c r="BH84" i="20"/>
  <c r="BH28" i="20"/>
  <c r="BG84" i="20"/>
  <c r="BG28" i="20"/>
  <c r="BG70" i="20"/>
  <c r="I26" i="20"/>
  <c r="AD6" i="20"/>
  <c r="AD22" i="20"/>
  <c r="AD38" i="20"/>
  <c r="AM13" i="20"/>
  <c r="AM29" i="20"/>
  <c r="AM53" i="20"/>
  <c r="AM85" i="20"/>
  <c r="AM6" i="20"/>
  <c r="AM22" i="20"/>
  <c r="AM38" i="20"/>
  <c r="AN6" i="20"/>
  <c r="AN22" i="20"/>
  <c r="AN38" i="20"/>
  <c r="AM31" i="20"/>
  <c r="AD74" i="20"/>
  <c r="AD42" i="20"/>
  <c r="AN42" i="20"/>
  <c r="AN74" i="20"/>
  <c r="AM42" i="20"/>
  <c r="AC85" i="20"/>
  <c r="AM17" i="20"/>
  <c r="AM35" i="20"/>
  <c r="AM51" i="20"/>
  <c r="J26" i="20"/>
  <c r="E7" i="20"/>
  <c r="H25" i="27" l="1" a="1"/>
  <c r="I13" i="27"/>
  <c r="BG77" i="20"/>
  <c r="BG57" i="20"/>
  <c r="BG49" i="20"/>
  <c r="BH18" i="20"/>
  <c r="BH100" i="20"/>
  <c r="BH44" i="20"/>
  <c r="BH36" i="20"/>
  <c r="BH32" i="20"/>
  <c r="BG44" i="20"/>
  <c r="BG36" i="20"/>
  <c r="BG87" i="20"/>
  <c r="BG67" i="20"/>
  <c r="BG27" i="20"/>
  <c r="BG23" i="20"/>
  <c r="BG15" i="20"/>
  <c r="BG7" i="20"/>
  <c r="BG3" i="20"/>
  <c r="AX18" i="20"/>
  <c r="AM36" i="20"/>
  <c r="AW3" i="20"/>
  <c r="AW27" i="20"/>
  <c r="AW67" i="20"/>
  <c r="AC87" i="20"/>
  <c r="AN36" i="20"/>
  <c r="AN100" i="20"/>
  <c r="AM49" i="20"/>
  <c r="AM77" i="20"/>
  <c r="AW36" i="20"/>
  <c r="AW44" i="20"/>
  <c r="AX36" i="20"/>
  <c r="AX44" i="20"/>
  <c r="AX100" i="20"/>
  <c r="AN32" i="20"/>
  <c r="AW77" i="20"/>
  <c r="AM7" i="20"/>
  <c r="AM23" i="20"/>
  <c r="AM87" i="20"/>
  <c r="AM57" i="20"/>
  <c r="AD18" i="20"/>
  <c r="AW7" i="20"/>
  <c r="AW15" i="20"/>
  <c r="AW23" i="20"/>
  <c r="AW87" i="20"/>
  <c r="AX32" i="20"/>
  <c r="AD36" i="20"/>
  <c r="AD100" i="20"/>
  <c r="AC77" i="20"/>
  <c r="AW33" i="20"/>
  <c r="AW49" i="20"/>
  <c r="AW57" i="20"/>
  <c r="AN18" i="20"/>
  <c r="AM27" i="20"/>
  <c r="E8" i="20"/>
  <c r="H25" i="27" l="1"/>
  <c r="I26" i="27"/>
  <c r="I31" i="27"/>
  <c r="I29" i="27"/>
  <c r="I30" i="27"/>
  <c r="I28" i="27"/>
  <c r="I32" i="27"/>
  <c r="I27" i="27"/>
  <c r="BG61" i="20"/>
  <c r="BG25" i="20"/>
  <c r="BH8" i="20"/>
  <c r="BH94" i="20"/>
  <c r="BH66" i="20"/>
  <c r="BH58" i="20"/>
  <c r="BH42" i="20"/>
  <c r="BH38" i="20"/>
  <c r="BG8" i="20"/>
  <c r="BG99" i="20"/>
  <c r="BG91" i="20"/>
  <c r="BG83" i="20"/>
  <c r="BG75" i="20"/>
  <c r="BG19" i="20"/>
  <c r="BG11" i="20"/>
  <c r="BG94" i="20"/>
  <c r="BG66" i="20"/>
  <c r="BG58" i="20"/>
  <c r="AX42" i="20"/>
  <c r="AX58" i="20"/>
  <c r="AX66" i="20"/>
  <c r="AD94" i="20"/>
  <c r="AW8" i="20"/>
  <c r="AW11" i="20"/>
  <c r="AW19" i="20"/>
  <c r="AW75" i="20"/>
  <c r="AW83" i="20"/>
  <c r="AW91" i="20"/>
  <c r="AW99" i="20"/>
  <c r="AM94" i="20"/>
  <c r="AM102" i="20"/>
  <c r="AW53" i="20"/>
  <c r="AW61" i="20"/>
  <c r="AC99" i="20"/>
  <c r="AN94" i="20"/>
  <c r="AN102" i="20"/>
  <c r="AW94" i="20"/>
  <c r="AD58" i="20"/>
  <c r="AC91" i="20"/>
  <c r="AX38" i="20"/>
  <c r="AX94" i="20"/>
  <c r="AD66" i="20"/>
  <c r="AX8" i="20"/>
  <c r="AN58" i="20"/>
  <c r="AM58" i="20"/>
  <c r="AM66" i="20"/>
  <c r="AW25" i="20"/>
  <c r="AN66" i="20"/>
  <c r="AM11" i="20"/>
  <c r="AM91" i="20"/>
  <c r="AM99" i="20"/>
  <c r="AW58" i="20"/>
  <c r="AW66" i="20"/>
  <c r="AC94" i="20"/>
  <c r="AM25" i="20"/>
  <c r="E9" i="20"/>
  <c r="H37" i="27" l="1" a="1"/>
  <c r="I25" i="27"/>
  <c r="BG97" i="20"/>
  <c r="BG89" i="20"/>
  <c r="BG9" i="20"/>
  <c r="BH62" i="20"/>
  <c r="BH6" i="20"/>
  <c r="BG30" i="20"/>
  <c r="BH80" i="20"/>
  <c r="BH68" i="20"/>
  <c r="BH40" i="20"/>
  <c r="BH102" i="20"/>
  <c r="BH74" i="20"/>
  <c r="BG80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W59" i="20"/>
  <c r="AM73" i="20"/>
  <c r="AN68" i="20"/>
  <c r="AW68" i="20"/>
  <c r="AC80" i="20"/>
  <c r="AD80" i="20"/>
  <c r="AX68" i="20"/>
  <c r="AM30" i="20"/>
  <c r="AM62" i="20"/>
  <c r="AC97" i="20"/>
  <c r="AN80" i="20"/>
  <c r="AW80" i="20"/>
  <c r="AN30" i="20"/>
  <c r="AN62" i="20"/>
  <c r="AW6" i="20"/>
  <c r="AW30" i="20"/>
  <c r="AW62" i="20"/>
  <c r="AW102" i="20"/>
  <c r="AX6" i="20"/>
  <c r="AX30" i="20"/>
  <c r="AX62" i="20"/>
  <c r="AX102" i="20"/>
  <c r="AM80" i="20"/>
  <c r="AX40" i="20"/>
  <c r="AX80" i="20"/>
  <c r="AD68" i="20"/>
  <c r="AM9" i="20"/>
  <c r="AW9" i="20"/>
  <c r="AW73" i="20"/>
  <c r="AW89" i="20"/>
  <c r="AW97" i="20"/>
  <c r="AW40" i="20"/>
  <c r="AM83" i="20"/>
  <c r="E10" i="20"/>
  <c r="H37" i="27" l="1"/>
  <c r="I39" i="27"/>
  <c r="I43" i="27"/>
  <c r="I38" i="27"/>
  <c r="I40" i="27"/>
  <c r="I42" i="27"/>
  <c r="I44" i="27"/>
  <c r="I41" i="27"/>
  <c r="BG45" i="20"/>
  <c r="BG37" i="20"/>
  <c r="BG17" i="20"/>
  <c r="BH64" i="20"/>
  <c r="BH52" i="20"/>
  <c r="BH48" i="20"/>
  <c r="BH20" i="20"/>
  <c r="BH34" i="20"/>
  <c r="BH26" i="20"/>
  <c r="BH14" i="20"/>
  <c r="BG64" i="20"/>
  <c r="BG52" i="20"/>
  <c r="BG48" i="20"/>
  <c r="BG20" i="20"/>
  <c r="BG31" i="20"/>
  <c r="BG34" i="20"/>
  <c r="BG26" i="20"/>
  <c r="BG14" i="20"/>
  <c r="AX26" i="20"/>
  <c r="AX34" i="20"/>
  <c r="AD14" i="20"/>
  <c r="AM20" i="20"/>
  <c r="AM52" i="20"/>
  <c r="AW64" i="20"/>
  <c r="AN20" i="20"/>
  <c r="AN52" i="20"/>
  <c r="AW48" i="20"/>
  <c r="AM37" i="20"/>
  <c r="AM45" i="20"/>
  <c r="AW20" i="20"/>
  <c r="AW52" i="20"/>
  <c r="AX20" i="20"/>
  <c r="AX52" i="20"/>
  <c r="AM14" i="20"/>
  <c r="AW5" i="20"/>
  <c r="AW37" i="20"/>
  <c r="AW45" i="20"/>
  <c r="AN14" i="20"/>
  <c r="AW14" i="20"/>
  <c r="AD26" i="20"/>
  <c r="AX14" i="20"/>
  <c r="AD34" i="20"/>
  <c r="AW31" i="20"/>
  <c r="AX48" i="20"/>
  <c r="AX64" i="20"/>
  <c r="AD20" i="20"/>
  <c r="AD52" i="20"/>
  <c r="AN26" i="20"/>
  <c r="AM26" i="20"/>
  <c r="AM34" i="20"/>
  <c r="AW17" i="20"/>
  <c r="AN34" i="20"/>
  <c r="AM67" i="20"/>
  <c r="AW26" i="20"/>
  <c r="AW34" i="20"/>
  <c r="E11" i="20"/>
  <c r="H49" i="27" l="1" a="1"/>
  <c r="I37" i="27"/>
  <c r="BG69" i="20"/>
  <c r="BG13" i="20"/>
  <c r="BH98" i="20"/>
  <c r="BH54" i="20"/>
  <c r="BH72" i="20"/>
  <c r="BH24" i="20"/>
  <c r="BH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W69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H49" i="27" l="1"/>
  <c r="I51" i="27"/>
  <c r="I54" i="27"/>
  <c r="I53" i="27"/>
  <c r="I52" i="27"/>
  <c r="I56" i="27"/>
  <c r="I55" i="27"/>
  <c r="I50" i="27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12" i="20"/>
  <c r="BH47" i="20"/>
  <c r="BG51" i="20"/>
  <c r="BG47" i="20"/>
  <c r="BG39" i="20"/>
  <c r="BG22" i="20"/>
  <c r="AD70" i="20"/>
  <c r="AM76" i="20"/>
  <c r="AW51" i="20"/>
  <c r="AN88" i="20"/>
  <c r="AX47" i="20"/>
  <c r="AW88" i="20"/>
  <c r="AN76" i="20"/>
  <c r="AW12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X70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H61" i="27" l="1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H61" i="27" l="1"/>
  <c r="I61" i="27" s="1"/>
  <c r="I65" i="27"/>
  <c r="I68" i="27"/>
  <c r="I66" i="27"/>
  <c r="I67" i="27"/>
  <c r="I63" i="27"/>
  <c r="I62" i="27"/>
  <c r="I64" i="27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27" l="1"/>
  <c r="AD3" i="20"/>
  <c r="AD15" i="20"/>
  <c r="AD19" i="20"/>
  <c r="AD67" i="20"/>
  <c r="AD57" i="20"/>
  <c r="AD83" i="20"/>
  <c r="AD53" i="20"/>
  <c r="E16" i="20"/>
  <c r="M21" i="27" l="1"/>
  <c r="M22" i="27"/>
  <c r="M23" i="27"/>
  <c r="M24" i="27"/>
  <c r="M25" i="27"/>
  <c r="AN3" i="20"/>
  <c r="AD47" i="20"/>
  <c r="AD79" i="20"/>
  <c r="AN61" i="20"/>
  <c r="AN69" i="20"/>
  <c r="AN93" i="20"/>
  <c r="AD89" i="20"/>
  <c r="AD33" i="20"/>
  <c r="AN15" i="20"/>
  <c r="AN47" i="20"/>
  <c r="AN79" i="20"/>
  <c r="AN33" i="20"/>
  <c r="AN89" i="20"/>
  <c r="AD61" i="20"/>
  <c r="AD93" i="20"/>
  <c r="AD69" i="20"/>
  <c r="E17" i="20"/>
  <c r="AN19" i="20" l="1"/>
  <c r="AN59" i="20"/>
  <c r="AN75" i="20"/>
  <c r="AD95" i="20"/>
  <c r="AD59" i="20"/>
  <c r="AN5" i="20"/>
  <c r="AN101" i="20"/>
  <c r="AD81" i="20"/>
  <c r="AN95" i="20"/>
  <c r="AD75" i="20"/>
  <c r="AN81" i="20"/>
  <c r="AD5" i="20"/>
  <c r="AD101" i="20"/>
  <c r="E18" i="20"/>
  <c r="BH81" i="20" l="1"/>
  <c r="BH73" i="20"/>
  <c r="BH53" i="20"/>
  <c r="BH33" i="20"/>
  <c r="BH5" i="20"/>
  <c r="AN35" i="20"/>
  <c r="AN51" i="20"/>
  <c r="AD31" i="20"/>
  <c r="AD35" i="20"/>
  <c r="AN13" i="20"/>
  <c r="AN29" i="20"/>
  <c r="AN53" i="20"/>
  <c r="AN85" i="20"/>
  <c r="AD17" i="20"/>
  <c r="AN31" i="20"/>
  <c r="AN17" i="20"/>
  <c r="AD13" i="20"/>
  <c r="AD29" i="20"/>
  <c r="AD85" i="20"/>
  <c r="AD51" i="20"/>
  <c r="E19" i="20"/>
  <c r="BH93" i="20" l="1"/>
  <c r="BH77" i="20"/>
  <c r="BH57" i="20"/>
  <c r="BH49" i="20"/>
  <c r="BH29" i="20"/>
  <c r="BH87" i="20"/>
  <c r="BH67" i="20"/>
  <c r="BH27" i="20"/>
  <c r="BH23" i="20"/>
  <c r="BH15" i="20"/>
  <c r="BH7" i="20"/>
  <c r="BH3" i="20"/>
  <c r="AN27" i="20"/>
  <c r="AX7" i="20"/>
  <c r="AD27" i="20"/>
  <c r="AX23" i="20"/>
  <c r="AX87" i="20"/>
  <c r="AX3" i="20"/>
  <c r="AX27" i="20"/>
  <c r="AX67" i="20"/>
  <c r="AD7" i="20"/>
  <c r="AD23" i="20"/>
  <c r="AD87" i="20"/>
  <c r="AN77" i="20"/>
  <c r="AX15" i="20"/>
  <c r="AX29" i="20"/>
  <c r="AX77" i="20"/>
  <c r="AX93" i="20"/>
  <c r="AD49" i="20"/>
  <c r="AN7" i="20"/>
  <c r="AN23" i="20"/>
  <c r="AN87" i="20"/>
  <c r="AN49" i="20"/>
  <c r="AN57" i="20"/>
  <c r="AX57" i="20"/>
  <c r="AD77" i="20"/>
  <c r="AX33" i="20"/>
  <c r="AX49" i="20"/>
  <c r="E20" i="20"/>
  <c r="BH61" i="20" l="1"/>
  <c r="BH25" i="20"/>
  <c r="BH99" i="20"/>
  <c r="BH91" i="20"/>
  <c r="BH83" i="20"/>
  <c r="BH75" i="20"/>
  <c r="BH19" i="20"/>
  <c r="BH11" i="20"/>
  <c r="AN11" i="20"/>
  <c r="AN91" i="20"/>
  <c r="AN99" i="20"/>
  <c r="AD99" i="20"/>
  <c r="AX11" i="20"/>
  <c r="AX19" i="20"/>
  <c r="AX75" i="20"/>
  <c r="AX83" i="20"/>
  <c r="AX91" i="20"/>
  <c r="AX99" i="20"/>
  <c r="AD11" i="20"/>
  <c r="AD91" i="20"/>
  <c r="AX53" i="20"/>
  <c r="AX61" i="20"/>
  <c r="AD25" i="20"/>
  <c r="AN25" i="20"/>
  <c r="AX25" i="20"/>
  <c r="AX81" i="20"/>
  <c r="E21" i="20"/>
  <c r="BH97" i="20" l="1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BH45" i="20" l="1"/>
  <c r="BH37" i="20"/>
  <c r="BH17" i="20"/>
  <c r="BH60" i="20"/>
  <c r="BH79" i="20"/>
  <c r="BH95" i="20"/>
  <c r="BH31" i="20"/>
  <c r="AN67" i="20"/>
  <c r="AN60" i="20"/>
  <c r="AX79" i="20"/>
  <c r="AN37" i="20"/>
  <c r="AN45" i="20"/>
  <c r="AX60" i="20"/>
  <c r="AX5" i="20"/>
  <c r="AX37" i="20"/>
  <c r="AX45" i="20"/>
  <c r="AX31" i="20"/>
  <c r="AX95" i="20"/>
  <c r="AD60" i="20"/>
  <c r="AD45" i="20"/>
  <c r="AX17" i="20"/>
  <c r="AD37" i="20"/>
  <c r="E23" i="20"/>
  <c r="BH69" i="20" l="1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K3" i="20" l="1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4" i="2" s="1"/>
  <c r="Z3" i="2" a="1"/>
  <c r="Z3" i="2" s="1"/>
  <c r="Z14" i="2" s="1"/>
  <c r="AA3" i="2" a="1"/>
  <c r="AA3" i="2" s="1"/>
  <c r="AA14" i="2" s="1"/>
  <c r="AB3" i="2" a="1"/>
  <c r="AB3" i="2" s="1"/>
  <c r="AB14" i="2" s="1"/>
  <c r="AC3" i="2" a="1"/>
  <c r="AC3" i="2" s="1"/>
  <c r="AC14" i="2" s="1"/>
  <c r="AD3" i="2" a="1"/>
  <c r="AD3" i="2" s="1"/>
  <c r="AD14" i="2" s="1"/>
  <c r="AE3" i="2" a="1"/>
  <c r="AE3" i="2" s="1"/>
  <c r="AE14" i="2" s="1"/>
  <c r="AF3" i="2" a="1"/>
  <c r="AF3" i="2" s="1"/>
  <c r="AF14" i="2" s="1"/>
  <c r="AG3" i="2" a="1"/>
  <c r="AG3" i="2" s="1"/>
  <c r="AG14" i="2" s="1"/>
  <c r="W3" i="2" a="1"/>
  <c r="W3" i="2" s="1"/>
  <c r="W14" i="2" s="1"/>
  <c r="R3" i="2" a="1"/>
  <c r="R3" i="2" s="1"/>
  <c r="AH18" i="19" s="1" a="1"/>
  <c r="O3" i="2" a="1"/>
  <c r="O3" i="2" s="1"/>
  <c r="M3" i="2" a="1"/>
  <c r="M3" i="2" s="1"/>
  <c r="AH2" i="19" s="1" a="1"/>
  <c r="B2" i="9"/>
  <c r="F2" i="19" a="1"/>
  <c r="F2" i="19" s="1"/>
  <c r="AH18" i="19" l="1"/>
  <c r="AH2" i="19"/>
  <c r="AI33" i="19"/>
  <c r="Y3" i="2" a="1"/>
  <c r="Y3" i="2" s="1"/>
  <c r="Y14" i="2" s="1"/>
  <c r="T3" i="2" s="1" a="1"/>
  <c r="T3" i="2" s="1"/>
  <c r="T15" i="2" s="1" a="1"/>
  <c r="T15" i="2" s="1"/>
  <c r="O14" i="2" s="1"/>
  <c r="O15" i="2" s="1"/>
  <c r="T14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G26" i="2"/>
  <c r="J63" i="2"/>
  <c r="I63" i="2" s="1"/>
  <c r="G40" i="2"/>
  <c r="G65" i="2"/>
  <c r="G64" i="2"/>
  <c r="J68" i="2"/>
  <c r="I68" i="2" s="1"/>
  <c r="J30" i="2"/>
  <c r="I30" i="2" s="1"/>
  <c r="G30" i="2"/>
  <c r="I1" i="2" l="1"/>
  <c r="I2" i="2" l="1"/>
  <c r="N65" i="28" l="1"/>
  <c r="N64" i="28"/>
  <c r="Q134" i="28" a="1"/>
  <c r="Q134" i="28" s="1"/>
  <c r="O64" i="28" l="1" a="1"/>
  <c r="O64" i="28" s="1"/>
  <c r="O62" i="28"/>
  <c r="O2" i="28" l="1"/>
  <c r="Q2" i="28" l="1"/>
  <c r="C6" i="9"/>
  <c r="B4" i="9" s="1"/>
  <c r="O21" i="27" a="1"/>
  <c r="O21" i="27" s="1"/>
  <c r="I2" i="2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<sst xmlns="http://schemas.openxmlformats.org/spreadsheetml/2006/main" count="1829" uniqueCount="222">
  <si>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</si>
  <si>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</si>
  <si>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</si>
  <si>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</si>
  <si>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</si>
  <si>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</si>
  <si>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</si>
  <si>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</si>
  <si>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</si>
  <si>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</si>
  <si>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</si>
  <si>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</si>
  <si>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</si>
  <si>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</si>
  <si>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</si>
  <si>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</si>
  <si>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</si>
  <si>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</si>
  <si>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</si>
  <si>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</si>
  <si>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</si>
  <si>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</si>
  <si>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</si>
  <si>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</si>
  <si>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</si>
  <si>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</si>
  <si>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</si>
  <si>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</si>
  <si>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</si>
  <si>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</si>
  <si>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</si>
  <si>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</si>
  <si>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</si>
  <si>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</si>
  <si>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</si>
  <si>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</si>
  <si>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</si>
  <si>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</si>
  <si>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</si>
  <si>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</si>
  <si>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</si>
  <si>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</si>
  <si>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</si>
  <si>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</si>
  <si>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</si>
  <si>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</si>
  <si>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</si>
  <si>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</si>
  <si>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</si>
  <si>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</si>
  <si>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</si>
  <si>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</si>
  <si>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</si>
  <si>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</si>
  <si>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</si>
  <si>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</si>
  <si>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</si>
  <si>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</si>
  <si>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</si>
  <si>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</si>
  <si>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</si>
  <si>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</si>
  <si>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</si>
  <si>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</si>
  <si>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</si>
  <si>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</si>
  <si>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</si>
  <si>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</si>
  <si>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</si>
  <si>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</si>
  <si>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</si>
  <si>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</si>
  <si>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</si>
  <si>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</si>
  <si>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</si>
  <si>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</si>
  <si>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</si>
  <si>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</si>
  <si>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</si>
  <si>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</si>
  <si>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</si>
  <si>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</si>
  <si>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</si>
  <si>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</si>
  <si>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</si>
  <si>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</si>
  <si>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</si>
  <si>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</si>
  <si>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</si>
  <si>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</si>
  <si>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</si>
  <si>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</si>
  <si>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</si>
  <si>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</si>
  <si>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</si>
  <si>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</si>
  <si>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</si>
  <si>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</si>
  <si>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</si>
  <si>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</si>
  <si>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</si>
  <si>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</si>
  <si>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</si>
  <si>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</si>
  <si>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</si>
  <si>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</si>
  <si>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</si>
  <si>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</si>
  <si>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</si>
  <si>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</si>
  <si>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</si>
  <si>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</si>
  <si>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</si>
  <si>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</si>
  <si>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</si>
  <si>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</si>
  <si>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</si>
  <si>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</si>
  <si>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</si>
  <si>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</si>
  <si>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</si>
  <si>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</si>
  <si>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</si>
  <si>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</si>
  <si>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</si>
  <si>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</si>
  <si>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</si>
  <si>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</si>
  <si>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</si>
  <si>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</si>
  <si>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</si>
  <si>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</si>
  <si>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</si>
  <si>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</si>
  <si>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</si>
  <si>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</si>
  <si>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</si>
  <si>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</si>
  <si>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</si>
  <si>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</si>
  <si>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</si>
  <si>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</si>
  <si>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</si>
  <si>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</si>
  <si>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</si>
  <si>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</si>
  <si>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</si>
  <si>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</si>
  <si>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</si>
  <si>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</si>
  <si>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</si>
  <si>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</si>
  <si>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</si>
  <si>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</si>
  <si>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</si>
  <si>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</si>
  <si>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</si>
  <si>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</si>
  <si>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</si>
  <si>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</si>
  <si>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</si>
  <si>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</si>
  <si>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</si>
  <si>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</si>
  <si>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</si>
  <si>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</si>
  <si>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</si>
  <si>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</si>
  <si>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</si>
  <si>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</si>
  <si>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</si>
  <si>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</si>
  <si>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</si>
  <si>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>G10</t>
    <phoneticPr fontId="2" type="noConversion"/>
  </si>
  <si>
    <t>G25</t>
    <phoneticPr fontId="2" type="noConversion"/>
  </si>
  <si>
    <t>1.0.0.6</t>
    <phoneticPr fontId="2" type="noConversion"/>
  </si>
  <si>
    <t>週期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</si>
  <si>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</si>
  <si>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</si>
  <si>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</si>
  <si>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</si>
  <si>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</si>
  <si>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</si>
  <si>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</si>
  <si>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</si>
  <si>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</si>
  <si>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</si>
  <si>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</si>
  <si>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</si>
  <si>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</si>
  <si>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</si>
  <si>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</si>
  <si>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</si>
  <si>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</si>
  <si>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</si>
  <si>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</si>
  <si>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</si>
  <si>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</si>
  <si>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</si>
  <si>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</si>
  <si>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</si>
  <si>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</si>
  <si>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</si>
  <si>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</si>
  <si>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</si>
  <si>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</si>
  <si>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</si>
  <si>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</si>
  <si>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1.0.1.4</t>
    <phoneticPr fontId="2" type="noConversion"/>
  </si>
  <si>
    <t>RTP(New)</t>
    <phoneticPr fontId="2" type="noConversion"/>
  </si>
  <si>
    <t>R4 Multiplier</t>
    <phoneticPr fontId="2" type="noConversion"/>
  </si>
  <si>
    <t>weight</t>
    <phoneticPr fontId="2" type="noConversion"/>
  </si>
  <si>
    <t>real multi</t>
    <phoneticPr fontId="2" type="noConversion"/>
  </si>
  <si>
    <t>avg. multi</t>
    <phoneticPr fontId="2" type="noConversion"/>
  </si>
  <si>
    <t>Re-spin multi(per spin)</t>
    <phoneticPr fontId="2" type="noConversion"/>
  </si>
  <si>
    <r>
      <t xml:space="preserve">re-spin </t>
    </r>
    <r>
      <rPr>
        <sz val="12"/>
        <rFont val="細明體"/>
        <family val="3"/>
        <charset val="136"/>
      </rPr>
      <t>平均倍數</t>
    </r>
    <phoneticPr fontId="2" type="noConversion"/>
  </si>
  <si>
    <t>re-spin avg. times</t>
    <phoneticPr fontId="2" type="noConversion"/>
  </si>
  <si>
    <t>re-spin avg. multi</t>
    <phoneticPr fontId="2" type="noConversion"/>
  </si>
  <si>
    <t>R4 avg. multi</t>
    <phoneticPr fontId="2" type="noConversion"/>
  </si>
  <si>
    <r>
      <rPr>
        <sz val="12"/>
        <rFont val="細明體"/>
        <family val="3"/>
        <charset val="136"/>
      </rPr>
      <t>機率</t>
    </r>
    <phoneticPr fontId="2" type="noConversion"/>
  </si>
  <si>
    <r>
      <rPr>
        <sz val="12"/>
        <rFont val="細明體"/>
        <family val="3"/>
        <charset val="136"/>
      </rPr>
      <t>週期</t>
    </r>
    <phoneticPr fontId="2" type="noConversion"/>
  </si>
  <si>
    <t>H020192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</si>
</sst>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77" fontId="3" fillId="0" borderId="12" xfId="2" applyNumberFormat="1" applyFont="1" applyBorder="1">
      <alignment vertical="center"/>
    </xf>
    <xf numFmtId="177" fontId="3" fillId="0" borderId="18" xfId="2" applyNumberFormat="1" applyFont="1" applyBorder="1">
      <alignment vertical="center"/>
    </xf>
    <xf numFmtId="177" fontId="3" fillId="0" borderId="9" xfId="2" quotePrefix="1" applyNumberFormat="1" applyFont="1" applyBorder="1">
      <alignment vertical="center"/>
    </xf>
    <xf numFmtId="186" fontId="3" fillId="0" borderId="11" xfId="0" applyNumberFormat="1" applyFont="1" applyBorder="1" applyAlignment="1">
      <alignment horizontal="right" vertical="center"/>
    </xf>
    <xf numFmtId="186" fontId="3" fillId="0" borderId="16" xfId="0" applyNumberFormat="1" applyFont="1" applyBorder="1" applyAlignment="1">
      <alignment horizontal="right" vertical="center"/>
    </xf>
    <xf numFmtId="186" fontId="3" fillId="0" borderId="16" xfId="0" applyNumberFormat="1" applyFont="1" applyBorder="1">
      <alignment vertical="center"/>
    </xf>
    <xf numFmtId="186" fontId="3" fillId="0" borderId="4" xfId="0" applyNumberFormat="1" applyFont="1" applyBorder="1">
      <alignment vertical="center"/>
    </xf>
    <xf numFmtId="186" fontId="3" fillId="0" borderId="5" xfId="0" applyNumberFormat="1" applyFont="1" applyBorder="1">
      <alignment vertical="center"/>
    </xf>
    <xf numFmtId="186" fontId="3" fillId="0" borderId="6" xfId="0" applyNumberFormat="1" applyFont="1" applyBorder="1">
      <alignment vertical="center"/>
    </xf>
    <xf numFmtId="186" fontId="3" fillId="0" borderId="11" xfId="0" applyNumberFormat="1" applyFont="1" applyBorder="1">
      <alignment vertical="center"/>
    </xf>
    <xf numFmtId="186" fontId="3" fillId="3" borderId="10" xfId="0" applyNumberFormat="1" applyFont="1" applyFill="1" applyBorder="1">
      <alignment vertical="center"/>
    </xf>
    <xf numFmtId="180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>
      <alignment vertical="center"/>
    </xf>
    <xf numFmtId="10" fontId="3" fillId="0" borderId="0" xfId="0" applyNumberFormat="1" applyFont="1" applyFill="1" applyBorder="1">
      <alignment vertical="center"/>
    </xf>
    <xf numFmtId="1" fontId="3" fillId="0" borderId="0" xfId="0" applyNumberFormat="1" applyFont="1" applyFill="1" applyBorder="1">
      <alignment vertical="center"/>
    </xf>
    <xf numFmtId="177" fontId="3" fillId="0" borderId="0" xfId="0" applyNumberFormat="1" applyFont="1" applyFill="1" applyBorder="1" applyAlignment="1">
      <alignment horizontal="right" vertical="center"/>
    </xf>
    <xf numFmtId="0" fontId="3" fillId="0" borderId="18" xfId="0" applyFont="1" applyFill="1" applyBorder="1">
      <alignment vertical="center"/>
    </xf>
    <xf numFmtId="10" fontId="3" fillId="0" borderId="8" xfId="0" applyNumberFormat="1" applyFont="1" applyFill="1" applyBorder="1">
      <alignment vertical="center"/>
    </xf>
    <xf numFmtId="1" fontId="3" fillId="0" borderId="8" xfId="0" applyNumberFormat="1" applyFont="1" applyFill="1" applyBorder="1">
      <alignment vertical="center"/>
    </xf>
    <xf numFmtId="0" fontId="3" fillId="0" borderId="9" xfId="0" applyFont="1" applyFill="1" applyBorder="1">
      <alignment vertical="center"/>
    </xf>
    <xf numFmtId="10" fontId="3" fillId="0" borderId="5" xfId="0" applyNumberFormat="1" applyFont="1" applyFill="1" applyBorder="1">
      <alignment vertical="center"/>
    </xf>
    <xf numFmtId="1" fontId="3" fillId="0" borderId="5" xfId="0" applyNumberFormat="1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3" fillId="0" borderId="17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6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'Multiplier Weight'!$P$5:$P$55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9.5553891151628531E-2</c:v>
                      </c:pt>
                      <c:pt idx="19">
                        <c:v>6.9443250538067616E-2</c:v>
                      </c:pt>
                      <c:pt idx="20">
                        <c:v>5.994542846410756E-2</c:v>
                      </c:pt>
                      <c:pt idx="21">
                        <c:v>7.2709753672679844E-2</c:v>
                      </c:pt>
                      <c:pt idx="22">
                        <c:v>0.13432815064938594</c:v>
                      </c:pt>
                      <c:pt idx="23">
                        <c:v>0.148460531248753</c:v>
                      </c:pt>
                      <c:pt idx="24">
                        <c:v>7.8208585548017559E-2</c:v>
                      </c:pt>
                      <c:pt idx="25">
                        <c:v>3.566989606605498E-2</c:v>
                      </c:pt>
                      <c:pt idx="26">
                        <c:v>2.0339301810089548E-2</c:v>
                      </c:pt>
                      <c:pt idx="27">
                        <c:v>2.9835815774350866E-2</c:v>
                      </c:pt>
                      <c:pt idx="28">
                        <c:v>1.2643844021836451E-2</c:v>
                      </c:pt>
                      <c:pt idx="29">
                        <c:v>7.3344190171551388E-2</c:v>
                      </c:pt>
                      <c:pt idx="30">
                        <c:v>1.1021239380132417E-2</c:v>
                      </c:pt>
                      <c:pt idx="31">
                        <c:v>1.262259300545869E-2</c:v>
                      </c:pt>
                      <c:pt idx="32">
                        <c:v>9.8314147595364963E-3</c:v>
                      </c:pt>
                      <c:pt idx="33">
                        <c:v>1.2229794352321386E-2</c:v>
                      </c:pt>
                      <c:pt idx="34">
                        <c:v>3.5253086845223325E-2</c:v>
                      </c:pt>
                      <c:pt idx="35">
                        <c:v>1.8565252992130833E-2</c:v>
                      </c:pt>
                      <c:pt idx="36">
                        <c:v>1.2263923824007691E-2</c:v>
                      </c:pt>
                      <c:pt idx="37">
                        <c:v>5.7745860128116692E-3</c:v>
                      </c:pt>
                      <c:pt idx="38">
                        <c:v>4.8841669438395704E-3</c:v>
                      </c:pt>
                      <c:pt idx="39">
                        <c:v>8.0331543796979803E-3</c:v>
                      </c:pt>
                      <c:pt idx="40">
                        <c:v>4.5068283680484858E-3</c:v>
                      </c:pt>
                      <c:pt idx="41">
                        <c:v>4.3804821050815622E-3</c:v>
                      </c:pt>
                      <c:pt idx="42">
                        <c:v>3.3661682432076698E-3</c:v>
                      </c:pt>
                      <c:pt idx="43">
                        <c:v>6.1451402110972407E-3</c:v>
                      </c:pt>
                      <c:pt idx="44">
                        <c:v>1.5281021181866141E-2</c:v>
                      </c:pt>
                      <c:pt idx="45">
                        <c:v>1.585562401822063E-3</c:v>
                      </c:pt>
                      <c:pt idx="46">
                        <c:v>1.2823610255812664E-3</c:v>
                      </c:pt>
                      <c:pt idx="47">
                        <c:v>1.01960561042846E-3</c:v>
                      </c:pt>
                      <c:pt idx="48">
                        <c:v>3.3832758138772293E-4</c:v>
                      </c:pt>
                      <c:pt idx="49">
                        <c:v>3.1976197912700756E-4</c:v>
                      </c:pt>
                      <c:pt idx="50">
                        <c:v>2.9806943453859335E-4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0.148460531248753</c:v>
                      </c:pt>
                      <c:pt idx="1">
                        <c:v>7.8208585548017559E-2</c:v>
                      </c:pt>
                      <c:pt idx="2">
                        <c:v>3.566989606605498E-2</c:v>
                      </c:pt>
                      <c:pt idx="3">
                        <c:v>2.0339301810089548E-2</c:v>
                      </c:pt>
                      <c:pt idx="4">
                        <c:v>2.9835815774350866E-2</c:v>
                      </c:pt>
                      <c:pt idx="5">
                        <c:v>1.2643844021836451E-2</c:v>
                      </c:pt>
                      <c:pt idx="6">
                        <c:v>7.3344190171551388E-2</c:v>
                      </c:pt>
                      <c:pt idx="7">
                        <c:v>1.1021239380132417E-2</c:v>
                      </c:pt>
                      <c:pt idx="8">
                        <c:v>1.262259300545869E-2</c:v>
                      </c:pt>
                      <c:pt idx="9">
                        <c:v>9.8314147595364963E-3</c:v>
                      </c:pt>
                      <c:pt idx="10">
                        <c:v>1.2229794352321386E-2</c:v>
                      </c:pt>
                      <c:pt idx="11">
                        <c:v>3.5253086845223325E-2</c:v>
                      </c:pt>
                      <c:pt idx="12">
                        <c:v>1.5281021181866141E-2</c:v>
                      </c:pt>
                      <c:pt idx="13">
                        <c:v>1.585562401822063E-3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5.6256737943768892E-3</c:v>
                </c:pt>
                <c:pt idx="1">
                  <c:v>9.1389889279738443E-3</c:v>
                </c:pt>
                <c:pt idx="2">
                  <c:v>6.4520976822788822E-3</c:v>
                </c:pt>
                <c:pt idx="3">
                  <c:v>8.4930567322454385E-3</c:v>
                </c:pt>
                <c:pt idx="4">
                  <c:v>5.8100079899652242E-3</c:v>
                </c:pt>
                <c:pt idx="5">
                  <c:v>5.7798484847458673E-3</c:v>
                </c:pt>
                <c:pt idx="6">
                  <c:v>1.4560830355957583E-3</c:v>
                </c:pt>
                <c:pt idx="7">
                  <c:v>1.5162739625873134E-2</c:v>
                </c:pt>
                <c:pt idx="8">
                  <c:v>3.3067229835761869E-3</c:v>
                </c:pt>
                <c:pt idx="9">
                  <c:v>4.1111100683214157E-3</c:v>
                </c:pt>
                <c:pt idx="10">
                  <c:v>2.0629622197001454E-2</c:v>
                </c:pt>
                <c:pt idx="11">
                  <c:v>5.1819982622024908E-3</c:v>
                </c:pt>
                <c:pt idx="12">
                  <c:v>7.1642278265242028E-3</c:v>
                </c:pt>
                <c:pt idx="13">
                  <c:v>2.4937386429893264E-3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1.0113771861676021E-2</c:v>
                </c:pt>
                <c:pt idx="1">
                  <c:v>1.642996953650212E-2</c:v>
                </c:pt>
                <c:pt idx="2">
                  <c:v>1.1599507254231938E-2</c:v>
                </c:pt>
                <c:pt idx="3">
                  <c:v>1.2662919802011802E-2</c:v>
                </c:pt>
                <c:pt idx="4">
                  <c:v>8.6625657442073404E-3</c:v>
                </c:pt>
                <c:pt idx="5">
                  <c:v>8.6175990810764859E-3</c:v>
                </c:pt>
                <c:pt idx="6">
                  <c:v>2.170980026265955E-3</c:v>
                </c:pt>
                <c:pt idx="7">
                  <c:v>9.0428963453799277E-3</c:v>
                </c:pt>
                <c:pt idx="8">
                  <c:v>3.944189628705695E-3</c:v>
                </c:pt>
                <c:pt idx="9">
                  <c:v>4.9036432735440191E-3</c:v>
                </c:pt>
                <c:pt idx="10">
                  <c:v>7.4175404908927156E-3</c:v>
                </c:pt>
                <c:pt idx="11">
                  <c:v>1.8632274151374813E-2</c:v>
                </c:pt>
                <c:pt idx="12">
                  <c:v>2.575954161211552E-3</c:v>
                </c:pt>
                <c:pt idx="13">
                  <c:v>1.7932867271750184E-3</c:v>
                </c:pt>
                <c:pt idx="14">
                  <c:v>8.8713656878784113E-3</c:v>
                </c:pt>
                <c:pt idx="15">
                  <c:v>1.5589031310554748E-3</c:v>
                </c:pt>
                <c:pt idx="16">
                  <c:v>2.7367144547156747E-3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3.2722607481704587E-2</c:v>
                      </c:pt>
                      <c:pt idx="8">
                        <c:v>0</c:v>
                      </c:pt>
                      <c:pt idx="9">
                        <c:v>4.9346479788107168E-3</c:v>
                      </c:pt>
                      <c:pt idx="10">
                        <c:v>3.941870812471754E-3</c:v>
                      </c:pt>
                      <c:pt idx="11">
                        <c:v>1.3551895367149293E-2</c:v>
                      </c:pt>
                      <c:pt idx="12">
                        <c:v>8.5429934797781396E-3</c:v>
                      </c:pt>
                      <c:pt idx="13">
                        <c:v>6.7805622056698973E-3</c:v>
                      </c:pt>
                      <c:pt idx="14">
                        <c:v>4.5392444101726888E-3</c:v>
                      </c:pt>
                      <c:pt idx="15">
                        <c:v>3.1836137462232057E-3</c:v>
                      </c:pt>
                      <c:pt idx="16">
                        <c:v>3.3826479455680912E-3</c:v>
                      </c:pt>
                      <c:pt idx="17">
                        <c:v>2.307176736617803E-3</c:v>
                      </c:pt>
                      <c:pt idx="18">
                        <c:v>2.3966909374971489E-3</c:v>
                      </c:pt>
                      <c:pt idx="19">
                        <c:v>6.562527918611453E-4</c:v>
                      </c:pt>
                      <c:pt idx="20">
                        <c:v>3.0662648685096071E-3</c:v>
                      </c:pt>
                      <c:pt idx="21">
                        <c:v>1.4410015810421641E-2</c:v>
                      </c:pt>
                      <c:pt idx="22">
                        <c:v>2.4892162457795944E-3</c:v>
                      </c:pt>
                      <c:pt idx="23">
                        <c:v>1.9958914643927665E-3</c:v>
                      </c:pt>
                      <c:pt idx="24">
                        <c:v>7.2178653338220557E-4</c:v>
                      </c:pt>
                      <c:pt idx="25">
                        <c:v>2.3537284570697235E-3</c:v>
                      </c:pt>
                      <c:pt idx="26">
                        <c:v>6.6069718638812032E-3</c:v>
                      </c:pt>
                      <c:pt idx="27">
                        <c:v>2.3684889055597177E-3</c:v>
                      </c:pt>
                      <c:pt idx="28">
                        <c:v>6.5859031453817159E-3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1.9958914643927665E-3</c:v>
                      </c:pt>
                      <c:pt idx="1">
                        <c:v>7.2178653338220557E-4</c:v>
                      </c:pt>
                      <c:pt idx="2">
                        <c:v>2.3537284570697235E-3</c:v>
                      </c:pt>
                      <c:pt idx="3">
                        <c:v>6.6069718638812032E-3</c:v>
                      </c:pt>
                      <c:pt idx="4">
                        <c:v>2.3684889055597177E-3</c:v>
                      </c:pt>
                      <c:pt idx="5">
                        <c:v>6.5859031453817159E-3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0106_100000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31793475</v>
          </cell>
          <cell r="T1">
            <v>0</v>
          </cell>
        </row>
        <row r="2">
          <cell r="S2">
            <v>87336</v>
          </cell>
          <cell r="T2">
            <v>69868.800000007104</v>
          </cell>
        </row>
        <row r="3">
          <cell r="S3">
            <v>445099</v>
          </cell>
          <cell r="T3">
            <v>776381.59999989392</v>
          </cell>
        </row>
        <row r="4">
          <cell r="S4">
            <v>206522</v>
          </cell>
          <cell r="T4">
            <v>579814.40000004496</v>
          </cell>
        </row>
        <row r="5">
          <cell r="S5">
            <v>523202</v>
          </cell>
          <cell r="T5">
            <v>1993365.19999982</v>
          </cell>
        </row>
        <row r="6">
          <cell r="S6">
            <v>470796</v>
          </cell>
          <cell r="T6">
            <v>2300695.4000002109</v>
          </cell>
        </row>
        <row r="7">
          <cell r="S7">
            <v>515408</v>
          </cell>
          <cell r="T7">
            <v>3082878.4000000414</v>
          </cell>
        </row>
        <row r="8">
          <cell r="S8">
            <v>64703</v>
          </cell>
          <cell r="T8">
            <v>417548.80000001274</v>
          </cell>
        </row>
        <row r="9">
          <cell r="S9">
            <v>811727</v>
          </cell>
          <cell r="T9">
            <v>6369123.0000010356</v>
          </cell>
        </row>
        <row r="10">
          <cell r="S10">
            <v>180638</v>
          </cell>
          <cell r="T10">
            <v>1612065.5999999999</v>
          </cell>
        </row>
        <row r="11">
          <cell r="S11">
            <v>723996</v>
          </cell>
          <cell r="T11">
            <v>7173791.5999993756</v>
          </cell>
        </row>
        <row r="12">
          <cell r="S12">
            <v>1429134</v>
          </cell>
          <cell r="T12">
            <v>18936692.999999009</v>
          </cell>
        </row>
        <row r="13">
          <cell r="S13">
            <v>1893669</v>
          </cell>
          <cell r="T13">
            <v>34749383.799997613</v>
          </cell>
        </row>
        <row r="14">
          <cell r="S14">
            <v>1198419</v>
          </cell>
          <cell r="T14">
            <v>28277717.599998325</v>
          </cell>
        </row>
        <row r="15">
          <cell r="S15">
            <v>1193075</v>
          </cell>
          <cell r="T15">
            <v>34514758.599997401</v>
          </cell>
        </row>
        <row r="16">
          <cell r="S16">
            <v>863756</v>
          </cell>
          <cell r="T16">
            <v>28120411.799997173</v>
          </cell>
        </row>
        <row r="17">
          <cell r="S17">
            <v>1624478</v>
          </cell>
          <cell r="T17">
            <v>62803369.600001521</v>
          </cell>
        </row>
        <row r="18">
          <cell r="S18">
            <v>729957</v>
          </cell>
          <cell r="T18">
            <v>31952887.399999078</v>
          </cell>
        </row>
        <row r="19">
          <cell r="S19">
            <v>1147882</v>
          </cell>
          <cell r="T19">
            <v>55492008.600002214</v>
          </cell>
        </row>
        <row r="20">
          <cell r="S20">
            <v>1827391</v>
          </cell>
          <cell r="T20">
            <v>104804012.40000774</v>
          </cell>
        </row>
        <row r="21">
          <cell r="S21">
            <v>1194177</v>
          </cell>
          <cell r="T21">
            <v>78501248.59999916</v>
          </cell>
        </row>
        <row r="22">
          <cell r="S22">
            <v>1857617</v>
          </cell>
          <cell r="T22">
            <v>142317235.40000734</v>
          </cell>
        </row>
        <row r="23">
          <cell r="S23">
            <v>1162434</v>
          </cell>
          <cell r="T23">
            <v>100563565.39999692</v>
          </cell>
        </row>
        <row r="24">
          <cell r="S24">
            <v>1405737</v>
          </cell>
          <cell r="T24">
            <v>135925771.80000448</v>
          </cell>
        </row>
        <row r="25">
          <cell r="S25">
            <v>2375046</v>
          </cell>
          <cell r="T25">
            <v>266821252.00001076</v>
          </cell>
        </row>
        <row r="26">
          <cell r="S26">
            <v>1829546</v>
          </cell>
          <cell r="T26">
            <v>240457937.39999625</v>
          </cell>
        </row>
        <row r="27">
          <cell r="S27">
            <v>2074929</v>
          </cell>
          <cell r="T27">
            <v>314924383.00001752</v>
          </cell>
        </row>
        <row r="28">
          <cell r="S28">
            <v>1668205</v>
          </cell>
          <cell r="T28">
            <v>286436695.79998577</v>
          </cell>
        </row>
        <row r="29">
          <cell r="S29">
            <v>1747165</v>
          </cell>
          <cell r="T29">
            <v>336589328.19999319</v>
          </cell>
        </row>
        <row r="30">
          <cell r="S30">
            <v>3469209</v>
          </cell>
          <cell r="T30">
            <v>783622512.80004096</v>
          </cell>
        </row>
        <row r="31">
          <cell r="S31">
            <v>3017071</v>
          </cell>
          <cell r="T31">
            <v>833314045.80001783</v>
          </cell>
        </row>
        <row r="32">
          <cell r="S32">
            <v>2404948</v>
          </cell>
          <cell r="T32">
            <v>781820966.20000577</v>
          </cell>
        </row>
        <row r="33">
          <cell r="S33">
            <v>2297534</v>
          </cell>
          <cell r="T33">
            <v>865200651.79998469</v>
          </cell>
        </row>
        <row r="34">
          <cell r="S34">
            <v>1834931</v>
          </cell>
          <cell r="T34">
            <v>781318106.79999387</v>
          </cell>
        </row>
        <row r="35">
          <cell r="S35">
            <v>1743465</v>
          </cell>
          <cell r="T35">
            <v>830907635.39999986</v>
          </cell>
        </row>
        <row r="36">
          <cell r="S36">
            <v>1455019</v>
          </cell>
          <cell r="T36">
            <v>764396994.99999642</v>
          </cell>
        </row>
        <row r="37">
          <cell r="S37">
            <v>1424067</v>
          </cell>
          <cell r="T37">
            <v>820759390.99999714</v>
          </cell>
        </row>
        <row r="38">
          <cell r="S38">
            <v>1152860</v>
          </cell>
          <cell r="T38">
            <v>721511146.39999747</v>
          </cell>
        </row>
        <row r="39">
          <cell r="S39">
            <v>1052234</v>
          </cell>
          <cell r="T39">
            <v>710614398.79999399</v>
          </cell>
        </row>
        <row r="40">
          <cell r="S40">
            <v>947593</v>
          </cell>
          <cell r="T40">
            <v>687119571.39999485</v>
          </cell>
        </row>
        <row r="41">
          <cell r="S41">
            <v>961798</v>
          </cell>
          <cell r="T41">
            <v>748574591.99999762</v>
          </cell>
        </row>
        <row r="42">
          <cell r="S42">
            <v>777660</v>
          </cell>
          <cell r="T42">
            <v>642172326.79999638</v>
          </cell>
        </row>
        <row r="43">
          <cell r="S43">
            <v>749319</v>
          </cell>
          <cell r="T43">
            <v>656319274.99999499</v>
          </cell>
        </row>
        <row r="44">
          <cell r="S44">
            <v>664325</v>
          </cell>
          <cell r="T44">
            <v>614612265.79999816</v>
          </cell>
        </row>
        <row r="45">
          <cell r="S45">
            <v>707435</v>
          </cell>
          <cell r="T45">
            <v>692206913.99999499</v>
          </cell>
        </row>
        <row r="46">
          <cell r="S46">
            <v>6776726</v>
          </cell>
          <cell r="T46">
            <v>9522490079.9991722</v>
          </cell>
        </row>
        <row r="47">
          <cell r="S47">
            <v>2434947</v>
          </cell>
          <cell r="T47">
            <v>5936244713.9997463</v>
          </cell>
        </row>
        <row r="48">
          <cell r="S48">
            <v>1162298</v>
          </cell>
          <cell r="T48">
            <v>4019809478.8000169</v>
          </cell>
        </row>
        <row r="49">
          <cell r="S49">
            <v>676302</v>
          </cell>
          <cell r="T49">
            <v>3019851371.1999927</v>
          </cell>
        </row>
        <row r="50">
          <cell r="S50">
            <v>416443</v>
          </cell>
          <cell r="T50">
            <v>2277477620.0000114</v>
          </cell>
        </row>
        <row r="51">
          <cell r="S51">
            <v>265365</v>
          </cell>
          <cell r="T51">
            <v>1716492367.0000064</v>
          </cell>
        </row>
        <row r="52">
          <cell r="S52">
            <v>174776</v>
          </cell>
          <cell r="T52">
            <v>1305679208.8000031</v>
          </cell>
        </row>
        <row r="53">
          <cell r="S53">
            <v>117151</v>
          </cell>
          <cell r="T53">
            <v>992176702.5999999</v>
          </cell>
        </row>
        <row r="54">
          <cell r="S54">
            <v>80616</v>
          </cell>
          <cell r="T54">
            <v>763643690.40000033</v>
          </cell>
        </row>
        <row r="55">
          <cell r="S55">
            <v>180537</v>
          </cell>
          <cell r="T55">
            <v>2277134633.8000031</v>
          </cell>
        </row>
        <row r="56">
          <cell r="S56">
            <v>8852</v>
          </cell>
          <cell r="T56">
            <v>204279606.00000003</v>
          </cell>
        </row>
        <row r="57">
          <cell r="S57">
            <v>1000</v>
          </cell>
          <cell r="T57">
            <v>35397581.600000001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H48"/>
  <sheetViews>
    <sheetView tabSelected="1" topLeftCell="B1" zoomScale="85" zoomScaleNormal="85" workbookViewId="0">
      <selection activeCell="I14" sqref="I14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8" width="17.6640625" style="1" customWidth="1"/>
    <col min="9" max="9" width="14" style="1" bestFit="1" customWidth="1"/>
    <col min="10" max="11" width="22.88671875" style="1" bestFit="1" customWidth="1"/>
    <col min="12" max="16384" width="8.88671875" style="1"/>
  </cols>
  <sheetData>
    <row r="1" spans="1:8">
      <c r="A1" s="23"/>
    </row>
    <row r="2" spans="1:8" ht="16.2">
      <c r="A2" s="2" t="s">
        <v>42</v>
      </c>
      <c r="B2" s="11" t="str">
        <f>C2&amp;"-"&amp;B3</f>
        <v>H020192-1.0.1.4</v>
      </c>
      <c r="C2" s="11" t="s">
        <v>221</v>
      </c>
    </row>
    <row r="3" spans="1:8" ht="16.2">
      <c r="A3" s="2" t="s">
        <v>82</v>
      </c>
      <c r="B3" s="11" t="s">
        <v>208</v>
      </c>
      <c r="C3" s="11"/>
    </row>
    <row r="4" spans="1:8" ht="16.8" thickBot="1">
      <c r="A4" s="2" t="s">
        <v>43</v>
      </c>
      <c r="B4" s="10">
        <f>1-C6</f>
        <v>7.9999985088450853E-2</v>
      </c>
    </row>
    <row r="5" spans="1:8" ht="16.8" thickBot="1">
      <c r="A5" s="75" t="s">
        <v>44</v>
      </c>
      <c r="B5" s="146" t="s">
        <v>45</v>
      </c>
      <c r="C5" s="146" t="s">
        <v>46</v>
      </c>
      <c r="D5" s="147" t="s">
        <v>59</v>
      </c>
      <c r="E5" s="180" t="s">
        <v>177</v>
      </c>
      <c r="F5" s="180" t="s">
        <v>178</v>
      </c>
      <c r="G5" s="162" t="s">
        <v>179</v>
      </c>
      <c r="H5" s="162" t="s">
        <v>209</v>
      </c>
    </row>
    <row r="6" spans="1:8" ht="16.2">
      <c r="A6" s="41">
        <v>1</v>
      </c>
      <c r="B6" s="148">
        <v>5</v>
      </c>
      <c r="C6" s="149">
        <f>'Multiplier Weight'!O2</f>
        <v>0.92000001491154915</v>
      </c>
      <c r="D6" s="150">
        <f>1-'Multiplier Weight'!N4</f>
        <v>0.11403223896527781</v>
      </c>
      <c r="E6" s="184">
        <f>SUM('Multiplier Weight'!$N$12:$N$61)-F6-G6</f>
        <v>1.770460505420822E-2</v>
      </c>
      <c r="F6" s="184">
        <f>SUM('Multiplier Weight'!$N$15:$N$61)-G6</f>
        <v>2.036284941927391E-2</v>
      </c>
      <c r="G6" s="185">
        <f>SUM('Multiplier Weight'!$N$19:$N$61)</f>
        <v>3.7195305874717834E-3</v>
      </c>
      <c r="H6" s="289">
        <f>'Multiplier Weight (new_player)'!O2</f>
        <v>0.91999953740811868</v>
      </c>
    </row>
    <row r="7" spans="1:8" ht="16.2">
      <c r="A7" s="46">
        <v>1.5</v>
      </c>
      <c r="B7" s="133">
        <v>5</v>
      </c>
      <c r="C7" s="89">
        <f>'Multiplier Weight'!O67</f>
        <v>0.91999674230626383</v>
      </c>
      <c r="D7" s="137">
        <f>1-'Multiplier Weight'!N69</f>
        <v>0.11535026581859442</v>
      </c>
      <c r="E7" s="184">
        <f>SUM('Multiplier Weight'!N79:N126)-F7-G7</f>
        <v>2.297388522511979E-2</v>
      </c>
      <c r="F7" s="184">
        <f>SUM('Multiplier Weight'!N81:N126)-G7</f>
        <v>2.11631805526422E-2</v>
      </c>
      <c r="G7" s="185">
        <f>SUM('Multiplier Weight'!N87:N126)</f>
        <v>3.6851889674443233E-3</v>
      </c>
      <c r="H7" s="290">
        <f>'Multiplier Weight (new_player)'!O67</f>
        <v>0.92000350909006678</v>
      </c>
    </row>
    <row r="8" spans="1:8" ht="16.2">
      <c r="A8" s="46">
        <v>8</v>
      </c>
      <c r="B8" s="133">
        <v>5</v>
      </c>
      <c r="C8" s="89">
        <f>'Multiplier Weight'!O132</f>
        <v>0.91999937006948573</v>
      </c>
      <c r="D8" s="137">
        <f>1-'Multiplier Weight'!N134</f>
        <v>0.1458620989462498</v>
      </c>
      <c r="E8" s="184">
        <f>SUM('Multiplier Weight'!N153:N191)-F8-G8</f>
        <v>5.4962515913748559E-3</v>
      </c>
      <c r="F8" s="184">
        <f>SUM('Multiplier Weight'!N156:N191)-G8</f>
        <v>2.3092958057299023E-2</v>
      </c>
      <c r="G8" s="185">
        <f>SUM('Multiplier Weight'!N164:N191)</f>
        <v>4.1767056991204414E-3</v>
      </c>
      <c r="H8" s="290">
        <f>'Multiplier Weight (new_player)'!O132</f>
        <v>0.9199969015112508</v>
      </c>
    </row>
    <row r="9" spans="1:8" ht="16.8" thickBot="1">
      <c r="A9" s="91">
        <v>250</v>
      </c>
      <c r="B9" s="136">
        <v>5</v>
      </c>
      <c r="C9" s="138">
        <f>'Multiplier Weight'!O197</f>
        <v>0.91999585481002999</v>
      </c>
      <c r="D9" s="139">
        <f>1-'Multiplier Weight'!N199</f>
        <v>1</v>
      </c>
      <c r="E9" s="187"/>
      <c r="F9" s="187"/>
      <c r="G9" s="264"/>
      <c r="H9" s="291" t="s">
        <v>207</v>
      </c>
    </row>
    <row r="10" spans="1:8" ht="16.2">
      <c r="A10" s="87"/>
      <c r="B10" s="88"/>
      <c r="C10" s="89"/>
      <c r="D10" s="89"/>
    </row>
    <row r="11" spans="1:8" ht="16.2" thickBot="1"/>
    <row r="12" spans="1:8" ht="16.8" thickBot="1">
      <c r="A12" s="13" t="s">
        <v>47</v>
      </c>
      <c r="B12" s="14">
        <v>1</v>
      </c>
      <c r="C12" s="14">
        <v>2</v>
      </c>
      <c r="D12" s="14">
        <v>3</v>
      </c>
      <c r="E12" s="15">
        <v>4</v>
      </c>
    </row>
    <row r="13" spans="1:8" ht="33" thickBot="1">
      <c r="A13" s="16" t="s">
        <v>48</v>
      </c>
      <c r="B13" s="104">
        <v>3</v>
      </c>
      <c r="C13" s="104">
        <v>3</v>
      </c>
      <c r="D13" s="104">
        <v>3</v>
      </c>
      <c r="E13" s="17">
        <v>3</v>
      </c>
    </row>
    <row r="15" spans="1:8" ht="16.2">
      <c r="A15" s="82"/>
      <c r="B15" s="32"/>
    </row>
    <row r="16" spans="1:8" ht="16.2">
      <c r="A16" s="22"/>
    </row>
    <row r="18" spans="1:6" ht="16.8" thickBot="1">
      <c r="A18" s="2" t="s">
        <v>49</v>
      </c>
    </row>
    <row r="19" spans="1:6" ht="31.8" customHeight="1">
      <c r="A19" s="314" t="s">
        <v>206</v>
      </c>
      <c r="B19" s="315"/>
      <c r="C19" s="315"/>
      <c r="D19" s="315"/>
      <c r="E19" s="315"/>
      <c r="F19" s="316"/>
    </row>
    <row r="20" spans="1:6" ht="31.8" customHeight="1">
      <c r="A20" s="317"/>
      <c r="B20" s="318"/>
      <c r="C20" s="318"/>
      <c r="D20" s="318"/>
      <c r="E20" s="318"/>
      <c r="F20" s="319"/>
    </row>
    <row r="21" spans="1:6" ht="31.8" customHeight="1">
      <c r="A21" s="317"/>
      <c r="B21" s="318"/>
      <c r="C21" s="318"/>
      <c r="D21" s="318"/>
      <c r="E21" s="318"/>
      <c r="F21" s="319"/>
    </row>
    <row r="22" spans="1:6" ht="31.8" customHeight="1">
      <c r="A22" s="317"/>
      <c r="B22" s="318"/>
      <c r="C22" s="318"/>
      <c r="D22" s="318"/>
      <c r="E22" s="318"/>
      <c r="F22" s="319"/>
    </row>
    <row r="23" spans="1:6" ht="31.8" customHeight="1" thickBot="1">
      <c r="A23" s="320"/>
      <c r="B23" s="321"/>
      <c r="C23" s="321"/>
      <c r="D23" s="321"/>
      <c r="E23" s="321"/>
      <c r="F23" s="322"/>
    </row>
    <row r="25" spans="1:6" ht="16.2">
      <c r="A25" s="31" t="s">
        <v>50</v>
      </c>
      <c r="B25" s="1" t="s">
        <v>51</v>
      </c>
    </row>
    <row r="26" spans="1:6" ht="16.2">
      <c r="A26" s="3"/>
      <c r="B26" s="3" t="s">
        <v>61</v>
      </c>
      <c r="C26" s="3" t="s">
        <v>62</v>
      </c>
    </row>
    <row r="27" spans="1:6" ht="16.2">
      <c r="A27" s="4">
        <v>5</v>
      </c>
      <c r="B27" s="7">
        <v>0</v>
      </c>
      <c r="C27" s="7">
        <v>0</v>
      </c>
    </row>
    <row r="28" spans="1:6" ht="16.2">
      <c r="A28" s="4">
        <v>4</v>
      </c>
      <c r="B28" s="7">
        <v>0</v>
      </c>
      <c r="C28" s="7">
        <v>0</v>
      </c>
    </row>
    <row r="29" spans="1:6" ht="16.2">
      <c r="A29" s="4">
        <v>3</v>
      </c>
      <c r="B29" s="7">
        <v>5</v>
      </c>
      <c r="C29" s="5">
        <v>0</v>
      </c>
    </row>
    <row r="30" spans="1:6" ht="16.2">
      <c r="A30" s="3"/>
      <c r="B30" s="6" t="s">
        <v>13</v>
      </c>
      <c r="C30" s="6" t="s">
        <v>21</v>
      </c>
      <c r="D30" s="6" t="s">
        <v>23</v>
      </c>
    </row>
    <row r="31" spans="1:6" ht="16.2">
      <c r="A31" s="4">
        <v>5</v>
      </c>
      <c r="B31" s="7">
        <v>0</v>
      </c>
      <c r="C31" s="7">
        <v>0</v>
      </c>
      <c r="D31" s="7">
        <v>0</v>
      </c>
    </row>
    <row r="32" spans="1:6" ht="16.2">
      <c r="A32" s="4">
        <v>4</v>
      </c>
      <c r="B32" s="7">
        <v>0</v>
      </c>
      <c r="C32" s="7">
        <v>0</v>
      </c>
      <c r="D32" s="7">
        <v>0</v>
      </c>
    </row>
    <row r="33" spans="1:5" ht="16.2">
      <c r="A33" s="4">
        <v>3</v>
      </c>
      <c r="B33" s="7">
        <v>4</v>
      </c>
      <c r="C33" s="7">
        <v>3</v>
      </c>
      <c r="D33" s="7">
        <v>2.4</v>
      </c>
    </row>
    <row r="34" spans="1:5" ht="16.2">
      <c r="A34" s="9"/>
      <c r="B34" s="6" t="s">
        <v>63</v>
      </c>
      <c r="C34" s="3" t="s">
        <v>64</v>
      </c>
      <c r="D34" s="3" t="s">
        <v>65</v>
      </c>
      <c r="E34" s="3" t="s">
        <v>66</v>
      </c>
    </row>
    <row r="35" spans="1:5" ht="16.2">
      <c r="A35" s="4">
        <v>5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4</v>
      </c>
      <c r="B36" s="7">
        <v>0</v>
      </c>
      <c r="C36" s="7">
        <v>0</v>
      </c>
      <c r="D36" s="7">
        <v>0</v>
      </c>
      <c r="E36" s="7">
        <v>0</v>
      </c>
    </row>
    <row r="37" spans="1:5" ht="16.2">
      <c r="A37" s="4">
        <v>3</v>
      </c>
      <c r="B37" s="7">
        <v>2</v>
      </c>
      <c r="C37" s="7">
        <v>1.6</v>
      </c>
      <c r="D37" s="7">
        <v>1</v>
      </c>
      <c r="E37" s="7">
        <v>0.4</v>
      </c>
    </row>
    <row r="39" spans="1:5" ht="16.2" thickBot="1"/>
    <row r="40" spans="1:5" ht="16.2" thickBot="1">
      <c r="A40" s="161" t="s">
        <v>122</v>
      </c>
      <c r="B40" s="162" t="s">
        <v>125</v>
      </c>
    </row>
    <row r="41" spans="1:5">
      <c r="A41" s="155" t="s">
        <v>25</v>
      </c>
      <c r="B41" s="156">
        <f>B29</f>
        <v>5</v>
      </c>
    </row>
    <row r="42" spans="1:5">
      <c r="A42" s="157" t="s">
        <v>13</v>
      </c>
      <c r="B42" s="158">
        <f>B33</f>
        <v>4</v>
      </c>
    </row>
    <row r="43" spans="1:5">
      <c r="A43" s="157" t="s">
        <v>123</v>
      </c>
      <c r="B43" s="158">
        <f>C33</f>
        <v>3</v>
      </c>
    </row>
    <row r="44" spans="1:5">
      <c r="A44" s="157" t="s">
        <v>124</v>
      </c>
      <c r="B44" s="158">
        <f>D33</f>
        <v>2.4</v>
      </c>
    </row>
    <row r="45" spans="1:5">
      <c r="A45" s="157" t="s">
        <v>55</v>
      </c>
      <c r="B45" s="158">
        <f>B37</f>
        <v>2</v>
      </c>
    </row>
    <row r="46" spans="1:5">
      <c r="A46" s="157" t="s">
        <v>56</v>
      </c>
      <c r="B46" s="158">
        <f>C37</f>
        <v>1.6</v>
      </c>
    </row>
    <row r="47" spans="1:5">
      <c r="A47" s="157" t="s">
        <v>57</v>
      </c>
      <c r="B47" s="158">
        <f>D37</f>
        <v>1</v>
      </c>
    </row>
    <row r="48" spans="1:5" ht="16.2" thickBot="1">
      <c r="A48" s="159" t="s">
        <v>58</v>
      </c>
      <c r="B48" s="160">
        <f>E37</f>
        <v>0.4</v>
      </c>
    </row>
  </sheetData>
  <mergeCells count="1">
    <mergeCell ref="A19:F23"/>
  </mergeCells>
  <phoneticPr fontId="2" type="noConversion"/>
  <conditionalFormatting sqref="B27:E38">
    <cfRule type="cellIs" dxfId="63" priority="1" operator="equal">
      <formula>0</formula>
    </cfRule>
  </conditionalFormatting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>
    <tabColor theme="4" tint="0.39997558519241921"/>
  </sheetPr>
  <dimension ref="B1:AS211"/>
  <sheetViews>
    <sheetView workbookViewId="0"/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1" t="s">
        <v>117</v>
      </c>
      <c r="C1" s="141"/>
      <c r="D1" s="141"/>
      <c r="E1" s="141"/>
      <c r="F1" s="131" t="s">
        <v>106</v>
      </c>
      <c r="G1" s="131"/>
      <c r="H1" s="131"/>
      <c r="I1" s="141"/>
      <c r="J1" s="140" t="s">
        <v>107</v>
      </c>
      <c r="K1" s="140"/>
      <c r="L1" s="140"/>
      <c r="M1" s="141"/>
      <c r="N1" s="132" t="s">
        <v>108</v>
      </c>
      <c r="O1" s="132"/>
      <c r="P1" s="132"/>
      <c r="Q1" s="141"/>
      <c r="R1" s="153" t="s">
        <v>142</v>
      </c>
      <c r="S1" s="153"/>
      <c r="T1" s="153"/>
      <c r="U1" s="141"/>
      <c r="V1" s="131" t="s">
        <v>109</v>
      </c>
      <c r="W1" s="131"/>
      <c r="X1" s="141"/>
      <c r="Y1" s="140" t="s">
        <v>110</v>
      </c>
      <c r="Z1" s="140"/>
      <c r="AA1" s="141"/>
      <c r="AB1" s="132" t="s">
        <v>111</v>
      </c>
      <c r="AC1" s="132"/>
      <c r="AE1" s="153" t="s">
        <v>143</v>
      </c>
      <c r="AF1" s="153"/>
      <c r="AH1" s="131" t="s">
        <v>98</v>
      </c>
      <c r="AI1" s="142"/>
      <c r="AJ1" s="142"/>
    </row>
    <row r="2" spans="2:36" ht="16.2">
      <c r="B2" s="98" t="str" cm="1">
        <f t="array" ref="B2:D211">_xlfn.LET(_xlpm.x, 'Regular Symbol'!BW2:BY211, IF(_xlpm.x="", "", _xlpm.x))</f>
        <v>R1</v>
      </c>
      <c r="C2" s="98" t="str">
        <v>R2</v>
      </c>
      <c r="D2" s="98" t="str">
        <v>R3</v>
      </c>
      <c r="F2" s="98" t="str" cm="1">
        <f t="array" ref="F2:H211">_xlfn.LET(_xlpm.x, 'Regular Symbol'!AA2:AC211, IF(_xlpm.x="", "", _xlpm.x))</f>
        <v>R1</v>
      </c>
      <c r="G2" s="98" t="str">
        <v>R2</v>
      </c>
      <c r="H2" s="98" t="str">
        <v>R3</v>
      </c>
      <c r="J2" s="98" t="str" cm="1">
        <f t="array" ref="J2:L211">_xlfn.LET(_xlpm.x, 'Regular Symbol'!AM2:AO211, IF(_xlpm.x="", "", _xlpm.x))</f>
        <v>R1</v>
      </c>
      <c r="K2" s="98" t="str">
        <v>R2</v>
      </c>
      <c r="L2" s="98" t="str">
        <v>R3</v>
      </c>
      <c r="N2" s="98" t="str" cm="1">
        <f t="array" ref="N2:P211">_xlfn.LET(_xlpm.x, 'Regular Symbol'!AY2:BA211, IF(_xlpm.x="", "", _xlpm.x))</f>
        <v>R1</v>
      </c>
      <c r="O2" s="98" t="str">
        <v>R2</v>
      </c>
      <c r="P2" s="98" t="str">
        <v>R3</v>
      </c>
      <c r="R2" s="98" t="str" cm="1">
        <f t="array" ref="R2:T211">_xlfn.LET(_xlpm.x, 'Regular Symbol'!BK2:BM211, IF(_xlpm.x="", "", _xlpm.x))</f>
        <v>R1</v>
      </c>
      <c r="S2" s="98" t="str">
        <v>R2</v>
      </c>
      <c r="T2" s="98" t="str">
        <v>R3</v>
      </c>
      <c r="V2" s="98" t="s">
        <v>101</v>
      </c>
      <c r="W2" s="98" t="s">
        <v>102</v>
      </c>
      <c r="Y2" s="98" t="s">
        <v>101</v>
      </c>
      <c r="Z2" s="98" t="s">
        <v>102</v>
      </c>
      <c r="AB2" s="98" t="s">
        <v>101</v>
      </c>
      <c r="AC2" s="98" t="s">
        <v>102</v>
      </c>
      <c r="AE2" s="98" t="s">
        <v>101</v>
      </c>
      <c r="AF2" s="98" t="s">
        <v>102</v>
      </c>
      <c r="AH2" s="98" t="str" cm="1">
        <f t="array" ref="AH2:AJ14">'Pay Combo Normal Bet'!$L$2:$N$14</f>
        <v>R4 Multiplier</v>
      </c>
      <c r="AI2" s="98" t="str">
        <v>prob.</v>
      </c>
      <c r="AJ2" s="98" t="str">
        <v>weight</v>
      </c>
    </row>
    <row r="3" spans="2:36">
      <c r="B3" s="99">
        <v>7</v>
      </c>
      <c r="C3" s="99">
        <v>0</v>
      </c>
      <c r="D3" s="99">
        <v>1</v>
      </c>
      <c r="F3" s="99">
        <v>1</v>
      </c>
      <c r="G3" s="99">
        <v>1</v>
      </c>
      <c r="H3" s="99">
        <v>1</v>
      </c>
      <c r="J3" s="99">
        <v>1</v>
      </c>
      <c r="K3" s="99">
        <v>1</v>
      </c>
      <c r="L3" s="99">
        <v>1</v>
      </c>
      <c r="N3" s="99">
        <v>1</v>
      </c>
      <c r="O3" s="99">
        <v>1</v>
      </c>
      <c r="P3" s="99">
        <v>1</v>
      </c>
      <c r="R3" s="99">
        <v>1</v>
      </c>
      <c r="S3" s="99">
        <v>1</v>
      </c>
      <c r="T3" s="99">
        <v>1</v>
      </c>
      <c r="V3" s="99" cm="1">
        <f t="array" ref="V3:W211">'Reel 4 Symbol'!AC3:AD211</f>
        <v>18</v>
      </c>
      <c r="W3" s="99">
        <v>30</v>
      </c>
      <c r="Y3" s="99" cm="1">
        <f t="array" ref="Y3:Z211">'Reel 4 Symbol'!AM3:AN211</f>
        <v>18</v>
      </c>
      <c r="Z3" s="99">
        <v>30</v>
      </c>
      <c r="AB3" s="99" cm="1">
        <f t="array" ref="AB3:AC211">'Reel 4 Symbol'!AW3:AX211</f>
        <v>18</v>
      </c>
      <c r="AC3" s="99">
        <v>30</v>
      </c>
      <c r="AE3" s="99" cm="1">
        <f t="array" ref="AE3:AF211">'Reel 4 Symbol'!BG3:BH211</f>
        <v>18</v>
      </c>
      <c r="AF3" s="99">
        <v>30</v>
      </c>
      <c r="AH3" s="8">
        <v>1</v>
      </c>
      <c r="AI3" s="101">
        <v>0.2247191011235955</v>
      </c>
      <c r="AJ3" s="102">
        <v>220000000</v>
      </c>
    </row>
    <row r="4" spans="2:36">
      <c r="B4" s="100">
        <v>5</v>
      </c>
      <c r="C4" s="100">
        <v>0</v>
      </c>
      <c r="D4" s="100">
        <v>1</v>
      </c>
      <c r="F4" s="100">
        <v>1</v>
      </c>
      <c r="G4" s="100">
        <v>1</v>
      </c>
      <c r="H4" s="100">
        <v>1</v>
      </c>
      <c r="J4" s="100">
        <v>1</v>
      </c>
      <c r="K4" s="100">
        <v>1</v>
      </c>
      <c r="L4" s="100">
        <v>1</v>
      </c>
      <c r="N4" s="100">
        <v>1</v>
      </c>
      <c r="O4" s="100">
        <v>1</v>
      </c>
      <c r="P4" s="100">
        <v>1</v>
      </c>
      <c r="R4" s="100">
        <v>1</v>
      </c>
      <c r="S4" s="100">
        <v>1</v>
      </c>
      <c r="T4" s="100">
        <v>1</v>
      </c>
      <c r="V4" s="100">
        <v>17</v>
      </c>
      <c r="W4" s="100">
        <v>17</v>
      </c>
      <c r="Y4" s="100">
        <v>17</v>
      </c>
      <c r="Z4" s="100">
        <v>17</v>
      </c>
      <c r="AB4" s="100">
        <v>17</v>
      </c>
      <c r="AC4" s="100">
        <v>17</v>
      </c>
      <c r="AE4" s="100">
        <v>17</v>
      </c>
      <c r="AF4" s="100">
        <v>17</v>
      </c>
      <c r="AH4" s="8">
        <v>2</v>
      </c>
      <c r="AI4" s="101">
        <v>0.2247191011235955</v>
      </c>
      <c r="AJ4" s="102">
        <v>220000000</v>
      </c>
    </row>
    <row r="5" spans="2:36">
      <c r="B5" s="100">
        <v>5</v>
      </c>
      <c r="C5" s="100">
        <v>0</v>
      </c>
      <c r="D5" s="100">
        <v>1</v>
      </c>
      <c r="F5" s="100">
        <v>1</v>
      </c>
      <c r="G5" s="100">
        <v>1</v>
      </c>
      <c r="H5" s="100">
        <v>1</v>
      </c>
      <c r="J5" s="100">
        <v>1</v>
      </c>
      <c r="K5" s="100">
        <v>1</v>
      </c>
      <c r="L5" s="100">
        <v>1</v>
      </c>
      <c r="N5" s="100">
        <v>1</v>
      </c>
      <c r="O5" s="100">
        <v>1</v>
      </c>
      <c r="P5" s="100">
        <v>1</v>
      </c>
      <c r="R5" s="100">
        <v>1</v>
      </c>
      <c r="S5" s="100">
        <v>1</v>
      </c>
      <c r="T5" s="100">
        <v>1</v>
      </c>
      <c r="V5" s="100">
        <v>16</v>
      </c>
      <c r="W5" s="100">
        <v>28</v>
      </c>
      <c r="Y5" s="100">
        <v>16</v>
      </c>
      <c r="Z5" s="100">
        <v>28</v>
      </c>
      <c r="AB5" s="100">
        <v>16</v>
      </c>
      <c r="AC5" s="100">
        <v>28</v>
      </c>
      <c r="AE5" s="100">
        <v>16</v>
      </c>
      <c r="AF5" s="100">
        <v>28</v>
      </c>
      <c r="AH5" s="8">
        <v>3</v>
      </c>
      <c r="AI5" s="101">
        <v>0.2247191011235955</v>
      </c>
      <c r="AJ5" s="102">
        <v>220000000</v>
      </c>
    </row>
    <row r="6" spans="2:36">
      <c r="B6" s="100">
        <v>0</v>
      </c>
      <c r="C6" s="100">
        <v>7</v>
      </c>
      <c r="D6" s="100">
        <v>0</v>
      </c>
      <c r="F6" s="100">
        <v>1</v>
      </c>
      <c r="G6" s="100">
        <v>1</v>
      </c>
      <c r="H6" s="100">
        <v>1</v>
      </c>
      <c r="J6" s="100">
        <v>1</v>
      </c>
      <c r="K6" s="100">
        <v>1</v>
      </c>
      <c r="L6" s="100">
        <v>1</v>
      </c>
      <c r="N6" s="100">
        <v>1</v>
      </c>
      <c r="O6" s="100">
        <v>1</v>
      </c>
      <c r="P6" s="100">
        <v>1</v>
      </c>
      <c r="R6" s="100">
        <v>1</v>
      </c>
      <c r="S6" s="100">
        <v>1</v>
      </c>
      <c r="T6" s="100">
        <v>1</v>
      </c>
      <c r="V6" s="100">
        <v>12</v>
      </c>
      <c r="W6" s="100">
        <v>12</v>
      </c>
      <c r="Y6" s="100">
        <v>12</v>
      </c>
      <c r="Z6" s="100">
        <v>12</v>
      </c>
      <c r="AB6" s="100">
        <v>12</v>
      </c>
      <c r="AC6" s="100">
        <v>12</v>
      </c>
      <c r="AE6" s="100">
        <v>12</v>
      </c>
      <c r="AF6" s="100">
        <v>12</v>
      </c>
      <c r="AH6" s="8">
        <v>5</v>
      </c>
      <c r="AI6" s="101">
        <v>6.6394279877425938E-2</v>
      </c>
      <c r="AJ6" s="102">
        <v>65000000</v>
      </c>
    </row>
    <row r="7" spans="2:36">
      <c r="B7" s="100">
        <v>0</v>
      </c>
      <c r="C7" s="100">
        <v>7</v>
      </c>
      <c r="D7" s="100">
        <v>0</v>
      </c>
      <c r="F7" s="100">
        <v>1</v>
      </c>
      <c r="G7" s="100">
        <v>1</v>
      </c>
      <c r="H7" s="100">
        <v>1</v>
      </c>
      <c r="J7" s="100">
        <v>1</v>
      </c>
      <c r="K7" s="100">
        <v>1</v>
      </c>
      <c r="L7" s="100">
        <v>1</v>
      </c>
      <c r="N7" s="100">
        <v>1</v>
      </c>
      <c r="O7" s="100">
        <v>1</v>
      </c>
      <c r="P7" s="100">
        <v>1</v>
      </c>
      <c r="R7" s="100">
        <v>1</v>
      </c>
      <c r="S7" s="100">
        <v>1</v>
      </c>
      <c r="T7" s="100">
        <v>1</v>
      </c>
      <c r="V7" s="100">
        <v>13</v>
      </c>
      <c r="W7" s="100">
        <v>25</v>
      </c>
      <c r="Y7" s="100">
        <v>13</v>
      </c>
      <c r="Z7" s="100">
        <v>25</v>
      </c>
      <c r="AB7" s="100">
        <v>13</v>
      </c>
      <c r="AC7" s="100">
        <v>25</v>
      </c>
      <c r="AE7" s="100">
        <v>13</v>
      </c>
      <c r="AF7" s="100">
        <v>25</v>
      </c>
      <c r="AH7" s="8">
        <v>10</v>
      </c>
      <c r="AI7" s="101">
        <v>3.0643513789581207E-2</v>
      </c>
      <c r="AJ7" s="102">
        <v>30000000</v>
      </c>
    </row>
    <row r="8" spans="2:36">
      <c r="B8" s="100">
        <v>0</v>
      </c>
      <c r="C8" s="100">
        <v>4</v>
      </c>
      <c r="D8" s="100">
        <v>0</v>
      </c>
      <c r="F8" s="100">
        <v>1</v>
      </c>
      <c r="G8" s="100">
        <v>1</v>
      </c>
      <c r="H8" s="100">
        <v>1</v>
      </c>
      <c r="J8" s="100">
        <v>1</v>
      </c>
      <c r="K8" s="100">
        <v>1</v>
      </c>
      <c r="L8" s="100">
        <v>1</v>
      </c>
      <c r="N8" s="100">
        <v>1</v>
      </c>
      <c r="O8" s="100">
        <v>1</v>
      </c>
      <c r="P8" s="100">
        <v>1</v>
      </c>
      <c r="R8" s="100">
        <v>1</v>
      </c>
      <c r="S8" s="100">
        <v>1</v>
      </c>
      <c r="T8" s="100">
        <v>1</v>
      </c>
      <c r="V8" s="100">
        <v>15</v>
      </c>
      <c r="W8" s="100">
        <v>15</v>
      </c>
      <c r="Y8" s="100">
        <v>15</v>
      </c>
      <c r="Z8" s="100">
        <v>15</v>
      </c>
      <c r="AB8" s="100">
        <v>15</v>
      </c>
      <c r="AC8" s="100">
        <v>15</v>
      </c>
      <c r="AE8" s="100">
        <v>15</v>
      </c>
      <c r="AF8" s="100">
        <v>15</v>
      </c>
      <c r="AH8" s="8">
        <v>15</v>
      </c>
      <c r="AI8" s="101">
        <v>1.0214504596527068E-2</v>
      </c>
      <c r="AJ8" s="102">
        <v>10000000</v>
      </c>
    </row>
    <row r="9" spans="2:36">
      <c r="B9" s="100">
        <v>4</v>
      </c>
      <c r="C9" s="100">
        <v>4</v>
      </c>
      <c r="D9" s="100">
        <v>4</v>
      </c>
      <c r="F9" s="100">
        <v>1</v>
      </c>
      <c r="G9" s="100">
        <v>1</v>
      </c>
      <c r="H9" s="100">
        <v>1</v>
      </c>
      <c r="J9" s="100">
        <v>1</v>
      </c>
      <c r="K9" s="100">
        <v>1</v>
      </c>
      <c r="L9" s="100">
        <v>1</v>
      </c>
      <c r="N9" s="100">
        <v>1</v>
      </c>
      <c r="O9" s="100">
        <v>1</v>
      </c>
      <c r="P9" s="100">
        <v>1</v>
      </c>
      <c r="R9" s="100">
        <v>1</v>
      </c>
      <c r="S9" s="100">
        <v>1</v>
      </c>
      <c r="T9" s="100">
        <v>1</v>
      </c>
      <c r="V9" s="100">
        <v>14</v>
      </c>
      <c r="W9" s="100">
        <v>26</v>
      </c>
      <c r="Y9" s="100">
        <v>14</v>
      </c>
      <c r="Z9" s="100">
        <v>26</v>
      </c>
      <c r="AB9" s="100">
        <v>14</v>
      </c>
      <c r="AC9" s="100">
        <v>26</v>
      </c>
      <c r="AE9" s="100">
        <v>14</v>
      </c>
      <c r="AF9" s="100">
        <v>26</v>
      </c>
      <c r="AH9" s="8">
        <v>20</v>
      </c>
      <c r="AI9" s="101">
        <v>5.1072522982635342E-3</v>
      </c>
      <c r="AJ9" s="102">
        <v>5000000</v>
      </c>
    </row>
    <row r="10" spans="2:36">
      <c r="B10" s="100">
        <v>4</v>
      </c>
      <c r="C10" s="100">
        <v>4</v>
      </c>
      <c r="D10" s="100">
        <v>4</v>
      </c>
      <c r="F10" s="100">
        <v>1</v>
      </c>
      <c r="G10" s="100">
        <v>1</v>
      </c>
      <c r="H10" s="100">
        <v>1</v>
      </c>
      <c r="J10" s="100">
        <v>1</v>
      </c>
      <c r="K10" s="100">
        <v>1</v>
      </c>
      <c r="L10" s="100">
        <v>1</v>
      </c>
      <c r="N10" s="100">
        <v>1</v>
      </c>
      <c r="O10" s="100">
        <v>1</v>
      </c>
      <c r="P10" s="100">
        <v>1</v>
      </c>
      <c r="R10" s="100">
        <v>1</v>
      </c>
      <c r="S10" s="100">
        <v>1</v>
      </c>
      <c r="T10" s="100">
        <v>1</v>
      </c>
      <c r="V10" s="100">
        <v>11</v>
      </c>
      <c r="W10" s="100">
        <v>11</v>
      </c>
      <c r="Y10" s="100">
        <v>11</v>
      </c>
      <c r="Z10" s="100">
        <v>11</v>
      </c>
      <c r="AB10" s="100">
        <v>13</v>
      </c>
      <c r="AC10" s="100">
        <v>13</v>
      </c>
      <c r="AE10" s="100">
        <v>11</v>
      </c>
      <c r="AF10" s="100">
        <v>11</v>
      </c>
      <c r="AH10" s="8">
        <v>25</v>
      </c>
      <c r="AI10" s="101">
        <v>2.0429009193054137E-3</v>
      </c>
      <c r="AJ10" s="102">
        <v>2000000</v>
      </c>
    </row>
    <row r="11" spans="2:36">
      <c r="B11" s="100">
        <v>4</v>
      </c>
      <c r="C11" s="100">
        <v>2</v>
      </c>
      <c r="D11" s="100">
        <v>4</v>
      </c>
      <c r="F11" s="100">
        <v>1</v>
      </c>
      <c r="G11" s="100">
        <v>1</v>
      </c>
      <c r="H11" s="100">
        <v>1</v>
      </c>
      <c r="J11" s="100">
        <v>1</v>
      </c>
      <c r="K11" s="100">
        <v>1</v>
      </c>
      <c r="L11" s="100">
        <v>1</v>
      </c>
      <c r="N11" s="100">
        <v>1</v>
      </c>
      <c r="O11" s="100">
        <v>1</v>
      </c>
      <c r="P11" s="100">
        <v>1</v>
      </c>
      <c r="R11" s="100">
        <v>1</v>
      </c>
      <c r="S11" s="100">
        <v>1</v>
      </c>
      <c r="T11" s="100">
        <v>1</v>
      </c>
      <c r="V11" s="100">
        <v>10</v>
      </c>
      <c r="W11" s="100">
        <v>22</v>
      </c>
      <c r="Y11" s="100">
        <v>10</v>
      </c>
      <c r="Z11" s="100">
        <v>22</v>
      </c>
      <c r="AB11" s="100">
        <v>12</v>
      </c>
      <c r="AC11" s="100">
        <v>24</v>
      </c>
      <c r="AE11" s="100">
        <v>10</v>
      </c>
      <c r="AF11" s="100">
        <v>22</v>
      </c>
      <c r="AH11" s="8">
        <v>50</v>
      </c>
      <c r="AI11" s="101">
        <v>2.0429009193054137E-3</v>
      </c>
      <c r="AJ11" s="102">
        <v>2000000</v>
      </c>
    </row>
    <row r="12" spans="2:36">
      <c r="B12" s="100">
        <v>2</v>
      </c>
      <c r="C12" s="100">
        <v>2</v>
      </c>
      <c r="D12" s="100">
        <v>2</v>
      </c>
      <c r="F12" s="100">
        <v>1</v>
      </c>
      <c r="G12" s="100">
        <v>1</v>
      </c>
      <c r="H12" s="100">
        <v>1</v>
      </c>
      <c r="J12" s="100">
        <v>1</v>
      </c>
      <c r="K12" s="100">
        <v>1</v>
      </c>
      <c r="L12" s="100">
        <v>1</v>
      </c>
      <c r="N12" s="100">
        <v>1</v>
      </c>
      <c r="O12" s="100">
        <v>1</v>
      </c>
      <c r="P12" s="100">
        <v>1</v>
      </c>
      <c r="R12" s="100">
        <v>1</v>
      </c>
      <c r="S12" s="100">
        <v>1</v>
      </c>
      <c r="T12" s="100">
        <v>1</v>
      </c>
      <c r="V12" s="100">
        <v>19</v>
      </c>
      <c r="W12" s="100">
        <v>11</v>
      </c>
      <c r="Y12" s="100">
        <v>19</v>
      </c>
      <c r="Z12" s="100">
        <v>11</v>
      </c>
      <c r="AB12" s="100">
        <v>19</v>
      </c>
      <c r="AC12" s="100">
        <v>12</v>
      </c>
      <c r="AE12" s="100">
        <v>19</v>
      </c>
      <c r="AF12" s="100">
        <v>11</v>
      </c>
      <c r="AH12" s="8">
        <v>100</v>
      </c>
      <c r="AI12" s="101">
        <v>2.0429009193054137E-3</v>
      </c>
      <c r="AJ12" s="102">
        <v>2000000</v>
      </c>
    </row>
    <row r="13" spans="2:36">
      <c r="B13" s="100">
        <v>2</v>
      </c>
      <c r="C13" s="100">
        <v>2</v>
      </c>
      <c r="D13" s="100">
        <v>2</v>
      </c>
      <c r="F13" s="100">
        <v>1</v>
      </c>
      <c r="G13" s="100">
        <v>1</v>
      </c>
      <c r="H13" s="100">
        <v>1</v>
      </c>
      <c r="J13" s="100">
        <v>1</v>
      </c>
      <c r="K13" s="100">
        <v>1</v>
      </c>
      <c r="L13" s="100">
        <v>1</v>
      </c>
      <c r="N13" s="100">
        <v>1</v>
      </c>
      <c r="O13" s="100">
        <v>1</v>
      </c>
      <c r="P13" s="100">
        <v>1</v>
      </c>
      <c r="R13" s="100">
        <v>1</v>
      </c>
      <c r="S13" s="100">
        <v>1</v>
      </c>
      <c r="T13" s="100">
        <v>1</v>
      </c>
      <c r="V13" s="100">
        <v>9</v>
      </c>
      <c r="W13" s="100">
        <v>21</v>
      </c>
      <c r="Y13" s="100">
        <v>9</v>
      </c>
      <c r="Z13" s="100">
        <v>21</v>
      </c>
      <c r="AB13" s="100">
        <v>12</v>
      </c>
      <c r="AC13" s="100">
        <v>24</v>
      </c>
      <c r="AE13" s="100">
        <v>9</v>
      </c>
      <c r="AF13" s="100">
        <v>21</v>
      </c>
      <c r="AH13" s="8">
        <v>500</v>
      </c>
      <c r="AI13" s="101">
        <v>3.0643513789581204E-3</v>
      </c>
      <c r="AJ13" s="102">
        <v>3000000</v>
      </c>
    </row>
    <row r="14" spans="2:36">
      <c r="B14" s="100">
        <v>5</v>
      </c>
      <c r="C14" s="100">
        <v>5</v>
      </c>
      <c r="D14" s="100">
        <v>2</v>
      </c>
      <c r="F14" s="100">
        <v>1</v>
      </c>
      <c r="G14" s="100">
        <v>1</v>
      </c>
      <c r="H14" s="100">
        <v>1</v>
      </c>
      <c r="J14" s="100">
        <v>1</v>
      </c>
      <c r="K14" s="100">
        <v>1</v>
      </c>
      <c r="L14" s="100">
        <v>1</v>
      </c>
      <c r="N14" s="100">
        <v>1</v>
      </c>
      <c r="O14" s="100">
        <v>1</v>
      </c>
      <c r="P14" s="100">
        <v>1</v>
      </c>
      <c r="R14" s="100">
        <v>1</v>
      </c>
      <c r="S14" s="100">
        <v>1</v>
      </c>
      <c r="T14" s="100">
        <v>1</v>
      </c>
      <c r="V14" s="100">
        <v>8</v>
      </c>
      <c r="W14" s="100">
        <v>8</v>
      </c>
      <c r="Y14" s="100">
        <v>9</v>
      </c>
      <c r="Z14" s="100">
        <v>9</v>
      </c>
      <c r="AB14" s="100">
        <v>13</v>
      </c>
      <c r="AC14" s="100">
        <v>13</v>
      </c>
      <c r="AE14" s="100">
        <v>9</v>
      </c>
      <c r="AF14" s="100">
        <v>9</v>
      </c>
      <c r="AH14" s="8" t="str">
        <v>Re-spin</v>
      </c>
      <c r="AI14" s="101">
        <v>0.20429009193054137</v>
      </c>
      <c r="AJ14" s="102">
        <v>200000000</v>
      </c>
    </row>
    <row r="15" spans="2:36">
      <c r="B15" s="100">
        <v>5</v>
      </c>
      <c r="C15" s="100">
        <v>5</v>
      </c>
      <c r="D15" s="100">
        <v>5</v>
      </c>
      <c r="F15" s="100">
        <v>1</v>
      </c>
      <c r="G15" s="100">
        <v>1</v>
      </c>
      <c r="H15" s="100">
        <v>1</v>
      </c>
      <c r="J15" s="100">
        <v>1</v>
      </c>
      <c r="K15" s="100">
        <v>1</v>
      </c>
      <c r="L15" s="100">
        <v>1</v>
      </c>
      <c r="N15" s="100">
        <v>1</v>
      </c>
      <c r="O15" s="100">
        <v>1</v>
      </c>
      <c r="P15" s="100">
        <v>1</v>
      </c>
      <c r="R15" s="100">
        <v>1</v>
      </c>
      <c r="S15" s="100">
        <v>1</v>
      </c>
      <c r="T15" s="100">
        <v>1</v>
      </c>
      <c r="V15" s="100">
        <v>11</v>
      </c>
      <c r="W15" s="100">
        <v>23</v>
      </c>
      <c r="Y15" s="100">
        <v>11</v>
      </c>
      <c r="Z15" s="100">
        <v>23</v>
      </c>
      <c r="AB15" s="100">
        <v>14</v>
      </c>
      <c r="AC15" s="100">
        <v>26</v>
      </c>
      <c r="AE15" s="100">
        <v>11</v>
      </c>
      <c r="AF15" s="100">
        <v>23</v>
      </c>
      <c r="AJ15" s="103"/>
    </row>
    <row r="16" spans="2:36">
      <c r="B16" s="100">
        <v>1</v>
      </c>
      <c r="C16" s="100">
        <v>5</v>
      </c>
      <c r="D16" s="100">
        <v>5</v>
      </c>
      <c r="F16" s="100">
        <v>1</v>
      </c>
      <c r="G16" s="100">
        <v>1</v>
      </c>
      <c r="H16" s="100">
        <v>1</v>
      </c>
      <c r="J16" s="100">
        <v>1</v>
      </c>
      <c r="K16" s="100">
        <v>1</v>
      </c>
      <c r="L16" s="100">
        <v>1</v>
      </c>
      <c r="N16" s="100">
        <v>1</v>
      </c>
      <c r="O16" s="100">
        <v>1</v>
      </c>
      <c r="P16" s="100">
        <v>1</v>
      </c>
      <c r="R16" s="100">
        <v>1</v>
      </c>
      <c r="S16" s="100">
        <v>1</v>
      </c>
      <c r="T16" s="100">
        <v>1</v>
      </c>
      <c r="V16" s="100">
        <v>12</v>
      </c>
      <c r="W16" s="100">
        <v>12</v>
      </c>
      <c r="Y16" s="100">
        <v>12</v>
      </c>
      <c r="Z16" s="100">
        <v>12</v>
      </c>
      <c r="AB16" s="100">
        <v>12</v>
      </c>
      <c r="AC16" s="100">
        <v>12</v>
      </c>
      <c r="AE16" s="100">
        <v>12</v>
      </c>
      <c r="AF16" s="100">
        <v>12</v>
      </c>
    </row>
    <row r="17" spans="2:45" ht="16.2">
      <c r="B17" s="100">
        <v>1</v>
      </c>
      <c r="C17" s="100">
        <v>4</v>
      </c>
      <c r="D17" s="100">
        <v>5</v>
      </c>
      <c r="F17" s="100">
        <v>1</v>
      </c>
      <c r="G17" s="100">
        <v>1</v>
      </c>
      <c r="H17" s="100">
        <v>1</v>
      </c>
      <c r="J17" s="100">
        <v>1</v>
      </c>
      <c r="K17" s="100">
        <v>1</v>
      </c>
      <c r="L17" s="100">
        <v>1</v>
      </c>
      <c r="N17" s="100">
        <v>1</v>
      </c>
      <c r="O17" s="100">
        <v>1</v>
      </c>
      <c r="P17" s="100">
        <v>1</v>
      </c>
      <c r="R17" s="100">
        <v>1</v>
      </c>
      <c r="S17" s="100">
        <v>1</v>
      </c>
      <c r="T17" s="100">
        <v>1</v>
      </c>
      <c r="V17" s="100">
        <v>13</v>
      </c>
      <c r="W17" s="100">
        <v>25</v>
      </c>
      <c r="Y17" s="100">
        <v>13</v>
      </c>
      <c r="Z17" s="100">
        <v>25</v>
      </c>
      <c r="AB17" s="100">
        <v>13</v>
      </c>
      <c r="AC17" s="100">
        <v>25</v>
      </c>
      <c r="AE17" s="100">
        <v>13</v>
      </c>
      <c r="AF17" s="100">
        <v>25</v>
      </c>
      <c r="AH17" s="131" t="s">
        <v>99</v>
      </c>
      <c r="AI17" s="142"/>
      <c r="AJ17" s="142"/>
    </row>
    <row r="18" spans="2:45" ht="16.2">
      <c r="B18" s="100">
        <v>1</v>
      </c>
      <c r="C18" s="100">
        <v>4</v>
      </c>
      <c r="D18" s="100">
        <v>1</v>
      </c>
      <c r="F18" s="100">
        <v>1</v>
      </c>
      <c r="G18" s="100">
        <v>1</v>
      </c>
      <c r="H18" s="100">
        <v>1</v>
      </c>
      <c r="J18" s="100">
        <v>1</v>
      </c>
      <c r="K18" s="100">
        <v>1</v>
      </c>
      <c r="L18" s="100">
        <v>1</v>
      </c>
      <c r="N18" s="100">
        <v>1</v>
      </c>
      <c r="O18" s="100">
        <v>1</v>
      </c>
      <c r="P18" s="100">
        <v>1</v>
      </c>
      <c r="R18" s="100">
        <v>1</v>
      </c>
      <c r="S18" s="100">
        <v>1</v>
      </c>
      <c r="T18" s="100">
        <v>1</v>
      </c>
      <c r="V18" s="100">
        <v>14</v>
      </c>
      <c r="W18" s="100">
        <v>14</v>
      </c>
      <c r="Y18" s="100">
        <v>14</v>
      </c>
      <c r="Z18" s="100">
        <v>14</v>
      </c>
      <c r="AB18" s="100">
        <v>14</v>
      </c>
      <c r="AC18" s="100">
        <v>14</v>
      </c>
      <c r="AE18" s="100">
        <v>14</v>
      </c>
      <c r="AF18" s="100">
        <v>14</v>
      </c>
      <c r="AH18" s="98" t="str" cm="1">
        <f t="array" ref="AH18:AJ29">'Pay Combo Normal Bet'!$Q$2:$S$13</f>
        <v>Re-spin times</v>
      </c>
      <c r="AI18" s="98" t="str">
        <v>prob.</v>
      </c>
      <c r="AJ18" s="98" t="str">
        <v>weight</v>
      </c>
    </row>
    <row r="19" spans="2:45">
      <c r="B19" s="100">
        <v>7</v>
      </c>
      <c r="C19" s="100">
        <v>4</v>
      </c>
      <c r="D19" s="100">
        <v>1</v>
      </c>
      <c r="F19" s="100">
        <v>1</v>
      </c>
      <c r="G19" s="100">
        <v>1</v>
      </c>
      <c r="H19" s="100">
        <v>1</v>
      </c>
      <c r="J19" s="100">
        <v>1</v>
      </c>
      <c r="K19" s="100">
        <v>1</v>
      </c>
      <c r="L19" s="100">
        <v>1</v>
      </c>
      <c r="N19" s="100">
        <v>1</v>
      </c>
      <c r="O19" s="100">
        <v>1</v>
      </c>
      <c r="P19" s="100">
        <v>1</v>
      </c>
      <c r="R19" s="100">
        <v>1</v>
      </c>
      <c r="S19" s="100">
        <v>1</v>
      </c>
      <c r="T19" s="100">
        <v>1</v>
      </c>
      <c r="V19" s="100">
        <v>15</v>
      </c>
      <c r="W19" s="100">
        <v>27</v>
      </c>
      <c r="Y19" s="100">
        <v>15</v>
      </c>
      <c r="Z19" s="100">
        <v>27</v>
      </c>
      <c r="AB19" s="100">
        <v>15</v>
      </c>
      <c r="AC19" s="100">
        <v>27</v>
      </c>
      <c r="AE19" s="100">
        <v>15</v>
      </c>
      <c r="AF19" s="100">
        <v>27</v>
      </c>
      <c r="AH19" s="8">
        <v>2</v>
      </c>
      <c r="AI19" s="101">
        <v>0.1111111111111111</v>
      </c>
      <c r="AJ19" s="102">
        <v>120000000</v>
      </c>
    </row>
    <row r="20" spans="2:45">
      <c r="B20" s="100">
        <v>7</v>
      </c>
      <c r="C20" s="100">
        <v>2</v>
      </c>
      <c r="D20" s="100">
        <v>1</v>
      </c>
      <c r="F20" s="100">
        <v>1</v>
      </c>
      <c r="G20" s="100">
        <v>1</v>
      </c>
      <c r="H20" s="100">
        <v>1</v>
      </c>
      <c r="J20" s="100">
        <v>1</v>
      </c>
      <c r="K20" s="100">
        <v>1</v>
      </c>
      <c r="L20" s="100">
        <v>1</v>
      </c>
      <c r="N20" s="100">
        <v>1</v>
      </c>
      <c r="O20" s="100">
        <v>1</v>
      </c>
      <c r="P20" s="100">
        <v>1</v>
      </c>
      <c r="R20" s="100">
        <v>1</v>
      </c>
      <c r="S20" s="100">
        <v>1</v>
      </c>
      <c r="T20" s="100">
        <v>1</v>
      </c>
      <c r="V20" s="100">
        <v>16</v>
      </c>
      <c r="W20" s="100">
        <v>16</v>
      </c>
      <c r="Y20" s="100">
        <v>16</v>
      </c>
      <c r="Z20" s="100">
        <v>16</v>
      </c>
      <c r="AB20" s="100">
        <v>16</v>
      </c>
      <c r="AC20" s="100">
        <v>16</v>
      </c>
      <c r="AE20" s="100">
        <v>16</v>
      </c>
      <c r="AF20" s="100">
        <v>16</v>
      </c>
      <c r="AH20" s="8">
        <v>3</v>
      </c>
      <c r="AI20" s="101">
        <v>0.1111111111111111</v>
      </c>
      <c r="AJ20" s="102">
        <v>120000000</v>
      </c>
    </row>
    <row r="21" spans="2:45">
      <c r="B21" s="100">
        <v>2</v>
      </c>
      <c r="C21" s="100">
        <v>2</v>
      </c>
      <c r="D21" s="100">
        <v>3</v>
      </c>
      <c r="F21" s="100">
        <v>1</v>
      </c>
      <c r="G21" s="100">
        <v>1</v>
      </c>
      <c r="H21" s="100">
        <v>1</v>
      </c>
      <c r="J21" s="100">
        <v>1</v>
      </c>
      <c r="K21" s="100">
        <v>1</v>
      </c>
      <c r="L21" s="100">
        <v>1</v>
      </c>
      <c r="N21" s="100">
        <v>1</v>
      </c>
      <c r="O21" s="100">
        <v>1</v>
      </c>
      <c r="P21" s="100">
        <v>1</v>
      </c>
      <c r="R21" s="100">
        <v>1</v>
      </c>
      <c r="S21" s="100">
        <v>1</v>
      </c>
      <c r="T21" s="100">
        <v>1</v>
      </c>
      <c r="V21" s="100">
        <v>17</v>
      </c>
      <c r="W21" s="100">
        <v>29</v>
      </c>
      <c r="Y21" s="100">
        <v>17</v>
      </c>
      <c r="Z21" s="100">
        <v>29</v>
      </c>
      <c r="AB21" s="100">
        <v>17</v>
      </c>
      <c r="AC21" s="100">
        <v>29</v>
      </c>
      <c r="AE21" s="100">
        <v>17</v>
      </c>
      <c r="AF21" s="100">
        <v>29</v>
      </c>
      <c r="AH21" s="8">
        <v>4</v>
      </c>
      <c r="AI21" s="101">
        <v>0.1111111111111111</v>
      </c>
      <c r="AJ21" s="102">
        <v>120000000</v>
      </c>
    </row>
    <row r="22" spans="2:45">
      <c r="B22" s="100">
        <v>2</v>
      </c>
      <c r="C22" s="100">
        <v>2</v>
      </c>
      <c r="D22" s="100">
        <v>3</v>
      </c>
      <c r="F22" s="100">
        <v>1</v>
      </c>
      <c r="G22" s="100">
        <v>1</v>
      </c>
      <c r="H22" s="100">
        <v>1</v>
      </c>
      <c r="J22" s="100">
        <v>1</v>
      </c>
      <c r="K22" s="100">
        <v>1</v>
      </c>
      <c r="L22" s="100">
        <v>1</v>
      </c>
      <c r="N22" s="100">
        <v>1</v>
      </c>
      <c r="O22" s="100">
        <v>1</v>
      </c>
      <c r="P22" s="100">
        <v>1</v>
      </c>
      <c r="R22" s="100">
        <v>1</v>
      </c>
      <c r="S22" s="100">
        <v>1</v>
      </c>
      <c r="T22" s="100">
        <v>1</v>
      </c>
      <c r="V22" s="100">
        <v>13</v>
      </c>
      <c r="W22" s="100">
        <v>13</v>
      </c>
      <c r="Y22" s="100">
        <v>13</v>
      </c>
      <c r="Z22" s="100">
        <v>13</v>
      </c>
      <c r="AB22" s="100">
        <v>13</v>
      </c>
      <c r="AC22" s="100">
        <v>13</v>
      </c>
      <c r="AE22" s="100">
        <v>13</v>
      </c>
      <c r="AF22" s="100">
        <v>13</v>
      </c>
      <c r="AH22" s="8">
        <v>5</v>
      </c>
      <c r="AI22" s="101">
        <v>0.1111111111111111</v>
      </c>
      <c r="AJ22" s="102">
        <v>120000000</v>
      </c>
    </row>
    <row r="23" spans="2:45">
      <c r="B23" s="100">
        <v>4</v>
      </c>
      <c r="C23" s="100">
        <v>4</v>
      </c>
      <c r="D23" s="100">
        <v>6</v>
      </c>
      <c r="F23" s="100">
        <v>1</v>
      </c>
      <c r="G23" s="100">
        <v>1</v>
      </c>
      <c r="H23" s="100">
        <v>1</v>
      </c>
      <c r="J23" s="100">
        <v>1</v>
      </c>
      <c r="K23" s="100">
        <v>1</v>
      </c>
      <c r="L23" s="100">
        <v>1</v>
      </c>
      <c r="N23" s="100">
        <v>1</v>
      </c>
      <c r="O23" s="100">
        <v>1</v>
      </c>
      <c r="P23" s="100">
        <v>1</v>
      </c>
      <c r="R23" s="100">
        <v>1</v>
      </c>
      <c r="S23" s="100">
        <v>1</v>
      </c>
      <c r="T23" s="100">
        <v>1</v>
      </c>
      <c r="V23" s="100">
        <v>12</v>
      </c>
      <c r="W23" s="100">
        <v>24</v>
      </c>
      <c r="Y23" s="100">
        <v>12</v>
      </c>
      <c r="Z23" s="100">
        <v>24</v>
      </c>
      <c r="AB23" s="100">
        <v>12</v>
      </c>
      <c r="AC23" s="100">
        <v>24</v>
      </c>
      <c r="AE23" s="100">
        <v>12</v>
      </c>
      <c r="AF23" s="100">
        <v>24</v>
      </c>
      <c r="AH23" s="8">
        <v>6</v>
      </c>
      <c r="AI23" s="101">
        <v>0.1111111111111111</v>
      </c>
      <c r="AJ23" s="102">
        <v>120000000</v>
      </c>
    </row>
    <row r="24" spans="2:45">
      <c r="B24" s="100">
        <v>4</v>
      </c>
      <c r="C24" s="100">
        <v>4</v>
      </c>
      <c r="D24" s="100">
        <v>6</v>
      </c>
      <c r="F24" s="100">
        <v>1</v>
      </c>
      <c r="G24" s="100">
        <v>1</v>
      </c>
      <c r="H24" s="100">
        <v>1</v>
      </c>
      <c r="J24" s="100">
        <v>1</v>
      </c>
      <c r="K24" s="100">
        <v>1</v>
      </c>
      <c r="L24" s="100">
        <v>1</v>
      </c>
      <c r="N24" s="100">
        <v>1</v>
      </c>
      <c r="O24" s="100">
        <v>1</v>
      </c>
      <c r="P24" s="100">
        <v>1</v>
      </c>
      <c r="R24" s="100">
        <v>1</v>
      </c>
      <c r="S24" s="100">
        <v>1</v>
      </c>
      <c r="T24" s="100">
        <v>1</v>
      </c>
      <c r="V24" s="100">
        <v>16</v>
      </c>
      <c r="W24" s="100">
        <v>16</v>
      </c>
      <c r="Y24" s="100">
        <v>16</v>
      </c>
      <c r="Z24" s="100">
        <v>16</v>
      </c>
      <c r="AB24" s="100">
        <v>16</v>
      </c>
      <c r="AC24" s="100">
        <v>16</v>
      </c>
      <c r="AE24" s="100">
        <v>16</v>
      </c>
      <c r="AF24" s="100">
        <v>16</v>
      </c>
      <c r="AH24" s="8">
        <v>7</v>
      </c>
      <c r="AI24" s="101">
        <v>7.407407407407407E-2</v>
      </c>
      <c r="AJ24" s="102">
        <v>80000000</v>
      </c>
    </row>
    <row r="25" spans="2:45">
      <c r="B25" s="100">
        <v>4</v>
      </c>
      <c r="C25" s="100">
        <v>0</v>
      </c>
      <c r="D25" s="100">
        <v>6</v>
      </c>
      <c r="F25" s="100">
        <v>1</v>
      </c>
      <c r="G25" s="100">
        <v>1</v>
      </c>
      <c r="H25" s="100">
        <v>1</v>
      </c>
      <c r="J25" s="100">
        <v>1</v>
      </c>
      <c r="K25" s="100">
        <v>1</v>
      </c>
      <c r="L25" s="100">
        <v>1</v>
      </c>
      <c r="N25" s="100">
        <v>1</v>
      </c>
      <c r="O25" s="100">
        <v>1</v>
      </c>
      <c r="P25" s="100">
        <v>1</v>
      </c>
      <c r="R25" s="100">
        <v>1</v>
      </c>
      <c r="S25" s="100">
        <v>1</v>
      </c>
      <c r="T25" s="100">
        <v>1</v>
      </c>
      <c r="V25" s="100">
        <v>15</v>
      </c>
      <c r="W25" s="100">
        <v>15</v>
      </c>
      <c r="Y25" s="100">
        <v>15</v>
      </c>
      <c r="Z25" s="100">
        <v>15</v>
      </c>
      <c r="AB25" s="100">
        <v>15</v>
      </c>
      <c r="AC25" s="100">
        <v>15</v>
      </c>
      <c r="AE25" s="100">
        <v>15</v>
      </c>
      <c r="AF25" s="100">
        <v>15</v>
      </c>
      <c r="AH25" s="8">
        <v>8</v>
      </c>
      <c r="AI25" s="101">
        <v>7.407407407407407E-2</v>
      </c>
      <c r="AJ25" s="102">
        <v>80000000</v>
      </c>
    </row>
    <row r="26" spans="2:45">
      <c r="B26" s="100">
        <v>3</v>
      </c>
      <c r="C26" s="100">
        <v>0</v>
      </c>
      <c r="D26" s="100">
        <v>4</v>
      </c>
      <c r="F26" s="100">
        <v>1</v>
      </c>
      <c r="G26" s="100">
        <v>1</v>
      </c>
      <c r="H26" s="100">
        <v>1</v>
      </c>
      <c r="J26" s="100">
        <v>1</v>
      </c>
      <c r="K26" s="100">
        <v>1</v>
      </c>
      <c r="L26" s="100">
        <v>1</v>
      </c>
      <c r="N26" s="100">
        <v>1</v>
      </c>
      <c r="O26" s="100">
        <v>1</v>
      </c>
      <c r="P26" s="100">
        <v>1</v>
      </c>
      <c r="R26" s="100">
        <v>1</v>
      </c>
      <c r="S26" s="100">
        <v>1</v>
      </c>
      <c r="T26" s="100">
        <v>1</v>
      </c>
      <c r="V26" s="100">
        <v>14</v>
      </c>
      <c r="W26" s="100">
        <v>14</v>
      </c>
      <c r="Y26" s="100">
        <v>14</v>
      </c>
      <c r="Z26" s="100">
        <v>14</v>
      </c>
      <c r="AB26" s="100">
        <v>14</v>
      </c>
      <c r="AC26" s="100">
        <v>14</v>
      </c>
      <c r="AE26" s="100">
        <v>14</v>
      </c>
      <c r="AF26" s="100">
        <v>14</v>
      </c>
      <c r="AH26" s="8">
        <v>9</v>
      </c>
      <c r="AI26" s="101">
        <v>7.407407407407407E-2</v>
      </c>
      <c r="AJ26" s="102">
        <v>80000000</v>
      </c>
    </row>
    <row r="27" spans="2:45">
      <c r="B27" s="100">
        <v>3</v>
      </c>
      <c r="C27" s="100">
        <v>0</v>
      </c>
      <c r="D27" s="100">
        <v>4</v>
      </c>
      <c r="F27" s="100">
        <v>1</v>
      </c>
      <c r="G27" s="100">
        <v>1</v>
      </c>
      <c r="H27" s="100">
        <v>1</v>
      </c>
      <c r="J27" s="100">
        <v>1</v>
      </c>
      <c r="K27" s="100">
        <v>1</v>
      </c>
      <c r="L27" s="100">
        <v>1</v>
      </c>
      <c r="N27" s="100">
        <v>1</v>
      </c>
      <c r="O27" s="100">
        <v>1</v>
      </c>
      <c r="P27" s="100">
        <v>1</v>
      </c>
      <c r="R27" s="100">
        <v>1</v>
      </c>
      <c r="S27" s="100">
        <v>1</v>
      </c>
      <c r="T27" s="100">
        <v>1</v>
      </c>
      <c r="V27" s="100">
        <v>11</v>
      </c>
      <c r="W27" s="100">
        <v>23</v>
      </c>
      <c r="Y27" s="100">
        <v>11</v>
      </c>
      <c r="Z27" s="100">
        <v>23</v>
      </c>
      <c r="AB27" s="100">
        <v>13</v>
      </c>
      <c r="AC27" s="100">
        <v>25</v>
      </c>
      <c r="AE27" s="100">
        <v>11</v>
      </c>
      <c r="AF27" s="100">
        <v>23</v>
      </c>
      <c r="AH27" s="8">
        <v>10</v>
      </c>
      <c r="AI27" s="101">
        <v>7.407407407407407E-2</v>
      </c>
      <c r="AJ27" s="102">
        <v>80000000</v>
      </c>
    </row>
    <row r="28" spans="2:45">
      <c r="B28" s="100">
        <v>6</v>
      </c>
      <c r="C28" s="100">
        <v>6</v>
      </c>
      <c r="D28" s="100">
        <v>4</v>
      </c>
      <c r="F28" s="100">
        <v>1</v>
      </c>
      <c r="G28" s="100">
        <v>1</v>
      </c>
      <c r="H28" s="100">
        <v>1</v>
      </c>
      <c r="J28" s="100">
        <v>1</v>
      </c>
      <c r="K28" s="100">
        <v>1</v>
      </c>
      <c r="L28" s="100">
        <v>1</v>
      </c>
      <c r="N28" s="100">
        <v>1</v>
      </c>
      <c r="O28" s="100">
        <v>1</v>
      </c>
      <c r="P28" s="100">
        <v>1</v>
      </c>
      <c r="R28" s="100">
        <v>1</v>
      </c>
      <c r="S28" s="100">
        <v>1</v>
      </c>
      <c r="T28" s="100">
        <v>1</v>
      </c>
      <c r="V28" s="100">
        <v>9</v>
      </c>
      <c r="W28" s="100">
        <v>9</v>
      </c>
      <c r="Y28" s="100">
        <v>9</v>
      </c>
      <c r="Z28" s="100">
        <v>9</v>
      </c>
      <c r="AB28" s="100">
        <v>12</v>
      </c>
      <c r="AC28" s="100">
        <v>12</v>
      </c>
      <c r="AE28" s="100">
        <v>9</v>
      </c>
      <c r="AF28" s="100">
        <v>9</v>
      </c>
      <c r="AH28" s="8">
        <v>20</v>
      </c>
      <c r="AI28" s="101">
        <v>7.407407407407407E-2</v>
      </c>
      <c r="AJ28" s="102">
        <v>80000000</v>
      </c>
    </row>
    <row r="29" spans="2:45">
      <c r="B29" s="100">
        <v>6</v>
      </c>
      <c r="C29" s="100">
        <v>6</v>
      </c>
      <c r="D29" s="100">
        <v>2</v>
      </c>
      <c r="F29" s="100">
        <v>1</v>
      </c>
      <c r="G29" s="100">
        <v>1</v>
      </c>
      <c r="H29" s="100">
        <v>1</v>
      </c>
      <c r="J29" s="100">
        <v>1</v>
      </c>
      <c r="K29" s="100">
        <v>1</v>
      </c>
      <c r="L29" s="100">
        <v>1</v>
      </c>
      <c r="N29" s="100">
        <v>1</v>
      </c>
      <c r="O29" s="100">
        <v>1</v>
      </c>
      <c r="P29" s="100">
        <v>1</v>
      </c>
      <c r="R29" s="100">
        <v>1</v>
      </c>
      <c r="S29" s="100">
        <v>1</v>
      </c>
      <c r="T29" s="100">
        <v>1</v>
      </c>
      <c r="V29" s="100">
        <v>19</v>
      </c>
      <c r="W29" s="100">
        <v>22</v>
      </c>
      <c r="Y29" s="100">
        <v>19</v>
      </c>
      <c r="Z29" s="100">
        <v>22</v>
      </c>
      <c r="AB29" s="100">
        <v>19</v>
      </c>
      <c r="AC29" s="100">
        <v>25</v>
      </c>
      <c r="AE29" s="100">
        <v>19</v>
      </c>
      <c r="AF29" s="100">
        <v>22</v>
      </c>
      <c r="AH29" s="8">
        <v>50</v>
      </c>
      <c r="AI29" s="101">
        <v>7.407407407407407E-2</v>
      </c>
      <c r="AJ29" s="102">
        <v>80000000</v>
      </c>
    </row>
    <row r="30" spans="2:45">
      <c r="B30" s="100">
        <v>1</v>
      </c>
      <c r="C30" s="100">
        <v>3</v>
      </c>
      <c r="D30" s="100">
        <v>2</v>
      </c>
      <c r="F30" s="100">
        <v>1</v>
      </c>
      <c r="G30" s="100">
        <v>1</v>
      </c>
      <c r="H30" s="100">
        <v>1</v>
      </c>
      <c r="J30" s="100">
        <v>1</v>
      </c>
      <c r="K30" s="100">
        <v>1</v>
      </c>
      <c r="L30" s="100">
        <v>1</v>
      </c>
      <c r="N30" s="100">
        <v>1</v>
      </c>
      <c r="O30" s="100">
        <v>1</v>
      </c>
      <c r="P30" s="100">
        <v>1</v>
      </c>
      <c r="R30" s="100">
        <v>1</v>
      </c>
      <c r="S30" s="100">
        <v>1</v>
      </c>
      <c r="T30" s="100">
        <v>1</v>
      </c>
      <c r="V30" s="100">
        <v>8</v>
      </c>
      <c r="W30" s="100">
        <v>8</v>
      </c>
      <c r="Y30" s="100">
        <v>9</v>
      </c>
      <c r="Z30" s="100">
        <v>9</v>
      </c>
      <c r="AB30" s="100">
        <v>12</v>
      </c>
      <c r="AC30" s="100">
        <v>12</v>
      </c>
      <c r="AE30" s="100">
        <v>9</v>
      </c>
      <c r="AF30" s="100">
        <v>9</v>
      </c>
      <c r="AJ30" s="103"/>
    </row>
    <row r="31" spans="2:45">
      <c r="B31" s="100">
        <v>1</v>
      </c>
      <c r="C31" s="100">
        <v>3</v>
      </c>
      <c r="D31" s="100">
        <v>7</v>
      </c>
      <c r="F31" s="100">
        <v>1</v>
      </c>
      <c r="G31" s="100">
        <v>1</v>
      </c>
      <c r="H31" s="100">
        <v>1</v>
      </c>
      <c r="J31" s="100">
        <v>1</v>
      </c>
      <c r="K31" s="100">
        <v>1</v>
      </c>
      <c r="L31" s="100">
        <v>1</v>
      </c>
      <c r="N31" s="100">
        <v>1</v>
      </c>
      <c r="O31" s="100">
        <v>1</v>
      </c>
      <c r="P31" s="100">
        <v>1</v>
      </c>
      <c r="R31" s="100">
        <v>1</v>
      </c>
      <c r="S31" s="100">
        <v>1</v>
      </c>
      <c r="T31" s="100">
        <v>1</v>
      </c>
      <c r="V31" s="100">
        <v>10</v>
      </c>
      <c r="W31" s="100">
        <v>22</v>
      </c>
      <c r="Y31" s="100">
        <v>10</v>
      </c>
      <c r="Z31" s="100">
        <v>22</v>
      </c>
      <c r="AB31" s="100">
        <v>13</v>
      </c>
      <c r="AC31" s="100">
        <v>13</v>
      </c>
      <c r="AE31" s="100">
        <v>10</v>
      </c>
      <c r="AF31" s="100">
        <v>22</v>
      </c>
    </row>
    <row r="32" spans="2:45" ht="16.2">
      <c r="B32" s="100">
        <v>7</v>
      </c>
      <c r="C32" s="100">
        <v>3</v>
      </c>
      <c r="D32" s="100">
        <v>7</v>
      </c>
      <c r="F32" s="100">
        <v>1</v>
      </c>
      <c r="G32" s="100">
        <v>1</v>
      </c>
      <c r="H32" s="100">
        <v>1</v>
      </c>
      <c r="J32" s="100">
        <v>1</v>
      </c>
      <c r="K32" s="100">
        <v>1</v>
      </c>
      <c r="L32" s="100">
        <v>1</v>
      </c>
      <c r="N32" s="100">
        <v>1</v>
      </c>
      <c r="O32" s="100">
        <v>1</v>
      </c>
      <c r="P32" s="100">
        <v>1</v>
      </c>
      <c r="R32" s="100">
        <v>1</v>
      </c>
      <c r="S32" s="100">
        <v>1</v>
      </c>
      <c r="T32" s="100">
        <v>1</v>
      </c>
      <c r="V32" s="100">
        <v>11</v>
      </c>
      <c r="W32" s="100">
        <v>11</v>
      </c>
      <c r="Y32" s="100">
        <v>11</v>
      </c>
      <c r="Z32" s="100">
        <v>11</v>
      </c>
      <c r="AB32" s="100">
        <v>12</v>
      </c>
      <c r="AC32" s="100">
        <v>12</v>
      </c>
      <c r="AE32" s="100">
        <v>11</v>
      </c>
      <c r="AF32" s="100">
        <v>11</v>
      </c>
      <c r="AH32" s="131" t="s">
        <v>100</v>
      </c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</row>
    <row r="33" spans="2:45" ht="16.2">
      <c r="B33" s="100">
        <v>7</v>
      </c>
      <c r="C33" s="100">
        <v>6</v>
      </c>
      <c r="D33" s="100">
        <v>7</v>
      </c>
      <c r="F33" s="100">
        <v>1</v>
      </c>
      <c r="G33" s="100">
        <v>1</v>
      </c>
      <c r="H33" s="100">
        <v>1</v>
      </c>
      <c r="J33" s="100">
        <v>1</v>
      </c>
      <c r="K33" s="100">
        <v>1</v>
      </c>
      <c r="L33" s="100">
        <v>1</v>
      </c>
      <c r="N33" s="100">
        <v>1</v>
      </c>
      <c r="O33" s="100">
        <v>1</v>
      </c>
      <c r="P33" s="100">
        <v>1</v>
      </c>
      <c r="R33" s="100">
        <v>1</v>
      </c>
      <c r="S33" s="100">
        <v>1</v>
      </c>
      <c r="T33" s="100">
        <v>1</v>
      </c>
      <c r="V33" s="100">
        <v>12</v>
      </c>
      <c r="W33" s="100">
        <v>24</v>
      </c>
      <c r="Y33" s="100">
        <v>12</v>
      </c>
      <c r="Z33" s="100">
        <v>24</v>
      </c>
      <c r="AB33" s="100">
        <v>12</v>
      </c>
      <c r="AC33" s="100">
        <v>24</v>
      </c>
      <c r="AE33" s="100">
        <v>12</v>
      </c>
      <c r="AF33" s="100">
        <v>24</v>
      </c>
      <c r="AH33" s="98" t="s">
        <v>83</v>
      </c>
      <c r="AI33" s="98" cm="1">
        <f t="array" ref="AI33:AS44">'Pay Combo Normal Bet'!$AH$2:$AR$13</f>
        <v>2</v>
      </c>
      <c r="AJ33" s="98">
        <v>3</v>
      </c>
      <c r="AK33" s="98">
        <v>4</v>
      </c>
      <c r="AL33" s="98">
        <v>5</v>
      </c>
      <c r="AM33" s="98">
        <v>6</v>
      </c>
      <c r="AN33" s="98">
        <v>7</v>
      </c>
      <c r="AO33" s="98">
        <v>8</v>
      </c>
      <c r="AP33" s="98">
        <v>9</v>
      </c>
      <c r="AQ33" s="98">
        <v>10</v>
      </c>
      <c r="AR33" s="98">
        <v>20</v>
      </c>
      <c r="AS33" s="98">
        <v>50</v>
      </c>
    </row>
    <row r="34" spans="2:45">
      <c r="B34" s="100">
        <v>2</v>
      </c>
      <c r="C34" s="100">
        <v>6</v>
      </c>
      <c r="D34" s="100">
        <v>0</v>
      </c>
      <c r="F34" s="100">
        <v>1</v>
      </c>
      <c r="G34" s="100">
        <v>1</v>
      </c>
      <c r="H34" s="100">
        <v>1</v>
      </c>
      <c r="J34" s="100">
        <v>1</v>
      </c>
      <c r="K34" s="100">
        <v>1</v>
      </c>
      <c r="L34" s="100">
        <v>1</v>
      </c>
      <c r="N34" s="100">
        <v>1</v>
      </c>
      <c r="O34" s="100">
        <v>1</v>
      </c>
      <c r="P34" s="100">
        <v>1</v>
      </c>
      <c r="R34" s="100">
        <v>1</v>
      </c>
      <c r="S34" s="100">
        <v>1</v>
      </c>
      <c r="T34" s="100">
        <v>1</v>
      </c>
      <c r="V34" s="100">
        <v>13</v>
      </c>
      <c r="W34" s="100">
        <v>13</v>
      </c>
      <c r="Y34" s="100">
        <v>13</v>
      </c>
      <c r="Z34" s="100">
        <v>13</v>
      </c>
      <c r="AB34" s="100">
        <v>13</v>
      </c>
      <c r="AC34" s="100">
        <v>13</v>
      </c>
      <c r="AE34" s="100">
        <v>13</v>
      </c>
      <c r="AF34" s="100">
        <v>13</v>
      </c>
      <c r="AH34" s="8" cm="1">
        <f t="array" ref="AH34:AH44">'Pay Combo Normal Bet'!$V$3:$V$13</f>
        <v>1</v>
      </c>
      <c r="AI34" s="102">
        <v>0</v>
      </c>
      <c r="AJ34" s="102">
        <v>0</v>
      </c>
      <c r="AK34" s="102">
        <v>0</v>
      </c>
      <c r="AL34" s="102">
        <v>0</v>
      </c>
      <c r="AM34" s="102">
        <v>0</v>
      </c>
      <c r="AN34" s="102">
        <v>0</v>
      </c>
      <c r="AO34" s="102">
        <v>0</v>
      </c>
      <c r="AP34" s="102">
        <v>0</v>
      </c>
      <c r="AQ34" s="102">
        <v>265000000</v>
      </c>
      <c r="AR34" s="102">
        <v>265000000</v>
      </c>
      <c r="AS34" s="102">
        <v>265000000</v>
      </c>
    </row>
    <row r="35" spans="2:45">
      <c r="B35" s="100">
        <v>2</v>
      </c>
      <c r="C35" s="100">
        <v>6</v>
      </c>
      <c r="D35" s="100">
        <v>0</v>
      </c>
      <c r="F35" s="100">
        <v>1</v>
      </c>
      <c r="G35" s="100">
        <v>1</v>
      </c>
      <c r="H35" s="100">
        <v>1</v>
      </c>
      <c r="J35" s="100">
        <v>1</v>
      </c>
      <c r="K35" s="100">
        <v>1</v>
      </c>
      <c r="L35" s="100">
        <v>1</v>
      </c>
      <c r="N35" s="100">
        <v>1</v>
      </c>
      <c r="O35" s="100">
        <v>1</v>
      </c>
      <c r="P35" s="100">
        <v>1</v>
      </c>
      <c r="R35" s="100">
        <v>1</v>
      </c>
      <c r="S35" s="100">
        <v>1</v>
      </c>
      <c r="T35" s="100">
        <v>1</v>
      </c>
      <c r="V35" s="100">
        <v>14</v>
      </c>
      <c r="W35" s="100">
        <v>26</v>
      </c>
      <c r="Y35" s="100">
        <v>14</v>
      </c>
      <c r="Z35" s="100">
        <v>26</v>
      </c>
      <c r="AB35" s="100">
        <v>14</v>
      </c>
      <c r="AC35" s="100">
        <v>26</v>
      </c>
      <c r="AE35" s="100">
        <v>14</v>
      </c>
      <c r="AF35" s="100">
        <v>26</v>
      </c>
      <c r="AH35" s="8">
        <v>2</v>
      </c>
      <c r="AI35" s="102">
        <v>0</v>
      </c>
      <c r="AJ35" s="102">
        <v>0</v>
      </c>
      <c r="AK35" s="102">
        <v>0</v>
      </c>
      <c r="AL35" s="102">
        <v>250000000</v>
      </c>
      <c r="AM35" s="102">
        <v>250000000</v>
      </c>
      <c r="AN35" s="102">
        <v>250000000</v>
      </c>
      <c r="AO35" s="102">
        <v>240000000</v>
      </c>
      <c r="AP35" s="102">
        <v>240000000</v>
      </c>
      <c r="AQ35" s="102">
        <v>240000000</v>
      </c>
      <c r="AR35" s="102">
        <v>240000000</v>
      </c>
      <c r="AS35" s="102">
        <v>240000000</v>
      </c>
    </row>
    <row r="36" spans="2:45">
      <c r="B36" s="100">
        <v>5</v>
      </c>
      <c r="C36" s="100">
        <v>2</v>
      </c>
      <c r="D36" s="100">
        <v>0</v>
      </c>
      <c r="F36" s="100">
        <v>1</v>
      </c>
      <c r="G36" s="100">
        <v>1</v>
      </c>
      <c r="H36" s="100">
        <v>1</v>
      </c>
      <c r="J36" s="100">
        <v>1</v>
      </c>
      <c r="K36" s="100">
        <v>1</v>
      </c>
      <c r="L36" s="100">
        <v>1</v>
      </c>
      <c r="N36" s="100">
        <v>1</v>
      </c>
      <c r="O36" s="100">
        <v>1</v>
      </c>
      <c r="P36" s="100">
        <v>1</v>
      </c>
      <c r="R36" s="100">
        <v>1</v>
      </c>
      <c r="S36" s="100">
        <v>1</v>
      </c>
      <c r="T36" s="100">
        <v>1</v>
      </c>
      <c r="V36" s="100">
        <v>15</v>
      </c>
      <c r="W36" s="100">
        <v>15</v>
      </c>
      <c r="Y36" s="100">
        <v>15</v>
      </c>
      <c r="Z36" s="100">
        <v>15</v>
      </c>
      <c r="AB36" s="100">
        <v>15</v>
      </c>
      <c r="AC36" s="100">
        <v>15</v>
      </c>
      <c r="AE36" s="100">
        <v>15</v>
      </c>
      <c r="AF36" s="100">
        <v>15</v>
      </c>
      <c r="AH36" s="8">
        <v>3</v>
      </c>
      <c r="AI36" s="102">
        <v>0</v>
      </c>
      <c r="AJ36" s="102">
        <v>250000000</v>
      </c>
      <c r="AK36" s="102">
        <v>250000000</v>
      </c>
      <c r="AL36" s="102">
        <v>200000000</v>
      </c>
      <c r="AM36" s="102">
        <v>200000000</v>
      </c>
      <c r="AN36" s="102">
        <v>200000000</v>
      </c>
      <c r="AO36" s="102">
        <v>170000000</v>
      </c>
      <c r="AP36" s="102">
        <v>170000000</v>
      </c>
      <c r="AQ36" s="102">
        <v>170000000</v>
      </c>
      <c r="AR36" s="102">
        <v>170000000</v>
      </c>
      <c r="AS36" s="102">
        <v>170000000</v>
      </c>
    </row>
    <row r="37" spans="2:45">
      <c r="B37" s="100">
        <v>5</v>
      </c>
      <c r="C37" s="100">
        <v>2</v>
      </c>
      <c r="D37" s="100">
        <v>6</v>
      </c>
      <c r="F37" s="100">
        <v>1</v>
      </c>
      <c r="G37" s="100">
        <v>1</v>
      </c>
      <c r="H37" s="100">
        <v>1</v>
      </c>
      <c r="J37" s="100">
        <v>1</v>
      </c>
      <c r="K37" s="100">
        <v>1</v>
      </c>
      <c r="L37" s="100">
        <v>1</v>
      </c>
      <c r="N37" s="100">
        <v>1</v>
      </c>
      <c r="O37" s="100">
        <v>1</v>
      </c>
      <c r="P37" s="100">
        <v>1</v>
      </c>
      <c r="R37" s="100">
        <v>1</v>
      </c>
      <c r="S37" s="100">
        <v>1</v>
      </c>
      <c r="T37" s="100">
        <v>1</v>
      </c>
      <c r="V37" s="100">
        <v>16</v>
      </c>
      <c r="W37" s="100">
        <v>28</v>
      </c>
      <c r="Y37" s="100">
        <v>16</v>
      </c>
      <c r="Z37" s="100">
        <v>28</v>
      </c>
      <c r="AB37" s="100">
        <v>16</v>
      </c>
      <c r="AC37" s="100">
        <v>28</v>
      </c>
      <c r="AE37" s="100">
        <v>16</v>
      </c>
      <c r="AF37" s="100">
        <v>28</v>
      </c>
      <c r="AH37" s="8">
        <v>5</v>
      </c>
      <c r="AI37" s="102">
        <v>150000000</v>
      </c>
      <c r="AJ37" s="102">
        <v>150000000</v>
      </c>
      <c r="AK37" s="102">
        <v>150000000</v>
      </c>
      <c r="AL37" s="102">
        <v>160000000</v>
      </c>
      <c r="AM37" s="102">
        <v>160000000</v>
      </c>
      <c r="AN37" s="102">
        <v>160000000</v>
      </c>
      <c r="AO37" s="102">
        <v>130000000</v>
      </c>
      <c r="AP37" s="102">
        <v>130000000</v>
      </c>
      <c r="AQ37" s="102">
        <v>130000000</v>
      </c>
      <c r="AR37" s="102">
        <v>130000000</v>
      </c>
      <c r="AS37" s="102">
        <v>130000000</v>
      </c>
    </row>
    <row r="38" spans="2:45">
      <c r="B38" s="100">
        <v>1</v>
      </c>
      <c r="C38" s="100">
        <v>2</v>
      </c>
      <c r="D38" s="100">
        <v>6</v>
      </c>
      <c r="F38" s="100">
        <v>1</v>
      </c>
      <c r="G38" s="100">
        <v>1</v>
      </c>
      <c r="H38" s="100">
        <v>1</v>
      </c>
      <c r="J38" s="100">
        <v>1</v>
      </c>
      <c r="K38" s="100">
        <v>1</v>
      </c>
      <c r="L38" s="100">
        <v>1</v>
      </c>
      <c r="N38" s="100">
        <v>1</v>
      </c>
      <c r="O38" s="100">
        <v>1</v>
      </c>
      <c r="P38" s="100">
        <v>1</v>
      </c>
      <c r="R38" s="100">
        <v>1</v>
      </c>
      <c r="S38" s="100">
        <v>1</v>
      </c>
      <c r="T38" s="100">
        <v>1</v>
      </c>
      <c r="V38" s="100">
        <v>18</v>
      </c>
      <c r="W38" s="100">
        <v>18</v>
      </c>
      <c r="Y38" s="100">
        <v>18</v>
      </c>
      <c r="Z38" s="100">
        <v>18</v>
      </c>
      <c r="AB38" s="100">
        <v>18</v>
      </c>
      <c r="AC38" s="100">
        <v>18</v>
      </c>
      <c r="AE38" s="100">
        <v>18</v>
      </c>
      <c r="AF38" s="100">
        <v>18</v>
      </c>
      <c r="AH38" s="8">
        <v>10</v>
      </c>
      <c r="AI38" s="102">
        <v>100000000</v>
      </c>
      <c r="AJ38" s="102">
        <v>100000000</v>
      </c>
      <c r="AK38" s="102">
        <v>100000000</v>
      </c>
      <c r="AL38" s="102">
        <v>80000000</v>
      </c>
      <c r="AM38" s="102">
        <v>80000000</v>
      </c>
      <c r="AN38" s="102">
        <v>80000000</v>
      </c>
      <c r="AO38" s="102">
        <v>80000000</v>
      </c>
      <c r="AP38" s="102">
        <v>80000000</v>
      </c>
      <c r="AQ38" s="102">
        <v>80000000</v>
      </c>
      <c r="AR38" s="102">
        <v>80000000</v>
      </c>
      <c r="AS38" s="102">
        <v>80000000</v>
      </c>
    </row>
    <row r="39" spans="2:45">
      <c r="B39" s="100">
        <v>1</v>
      </c>
      <c r="C39" s="100">
        <v>5</v>
      </c>
      <c r="D39" s="100">
        <v>6</v>
      </c>
      <c r="F39" s="100">
        <v>1</v>
      </c>
      <c r="G39" s="100">
        <v>1</v>
      </c>
      <c r="H39" s="100">
        <v>1</v>
      </c>
      <c r="J39" s="100">
        <v>1</v>
      </c>
      <c r="K39" s="100">
        <v>1</v>
      </c>
      <c r="L39" s="100">
        <v>1</v>
      </c>
      <c r="N39" s="100">
        <v>1</v>
      </c>
      <c r="O39" s="100">
        <v>1</v>
      </c>
      <c r="P39" s="100">
        <v>1</v>
      </c>
      <c r="R39" s="100">
        <v>1</v>
      </c>
      <c r="S39" s="100">
        <v>1</v>
      </c>
      <c r="T39" s="100">
        <v>1</v>
      </c>
      <c r="V39" s="100">
        <v>17</v>
      </c>
      <c r="W39" s="100">
        <v>17</v>
      </c>
      <c r="Y39" s="100">
        <v>17</v>
      </c>
      <c r="Z39" s="100">
        <v>17</v>
      </c>
      <c r="AB39" s="100">
        <v>17</v>
      </c>
      <c r="AC39" s="100">
        <v>17</v>
      </c>
      <c r="AE39" s="100">
        <v>17</v>
      </c>
      <c r="AF39" s="100">
        <v>17</v>
      </c>
      <c r="AH39" s="8">
        <v>15</v>
      </c>
      <c r="AI39" s="102">
        <v>80000000</v>
      </c>
      <c r="AJ39" s="102">
        <v>80000000</v>
      </c>
      <c r="AK39" s="102">
        <v>80000000</v>
      </c>
      <c r="AL39" s="102">
        <v>50000000</v>
      </c>
      <c r="AM39" s="102">
        <v>50000000</v>
      </c>
      <c r="AN39" s="102">
        <v>50000000</v>
      </c>
      <c r="AO39" s="102">
        <v>50000000</v>
      </c>
      <c r="AP39" s="102">
        <v>50000000</v>
      </c>
      <c r="AQ39" s="102">
        <v>50000000</v>
      </c>
      <c r="AR39" s="102">
        <v>50000000</v>
      </c>
      <c r="AS39" s="102">
        <v>50000000</v>
      </c>
    </row>
    <row r="40" spans="2:45">
      <c r="B40" s="100">
        <v>7</v>
      </c>
      <c r="C40" s="100">
        <v>5</v>
      </c>
      <c r="D40" s="100">
        <v>6</v>
      </c>
      <c r="F40" s="100">
        <v>1</v>
      </c>
      <c r="G40" s="100">
        <v>1</v>
      </c>
      <c r="H40" s="100">
        <v>1</v>
      </c>
      <c r="J40" s="100">
        <v>1</v>
      </c>
      <c r="K40" s="100">
        <v>1</v>
      </c>
      <c r="L40" s="100">
        <v>1</v>
      </c>
      <c r="N40" s="100">
        <v>1</v>
      </c>
      <c r="O40" s="100">
        <v>1</v>
      </c>
      <c r="P40" s="100">
        <v>1</v>
      </c>
      <c r="R40" s="100">
        <v>1</v>
      </c>
      <c r="S40" s="100">
        <v>1</v>
      </c>
      <c r="T40" s="100">
        <v>1</v>
      </c>
      <c r="V40" s="100">
        <v>9</v>
      </c>
      <c r="W40" s="100">
        <v>9</v>
      </c>
      <c r="Y40" s="100">
        <v>9</v>
      </c>
      <c r="Z40" s="100">
        <v>9</v>
      </c>
      <c r="AB40" s="100">
        <v>15</v>
      </c>
      <c r="AC40" s="100">
        <v>27</v>
      </c>
      <c r="AE40" s="100">
        <v>9</v>
      </c>
      <c r="AF40" s="100">
        <v>9</v>
      </c>
      <c r="AH40" s="8">
        <v>20</v>
      </c>
      <c r="AI40" s="102">
        <v>20000000</v>
      </c>
      <c r="AJ40" s="102">
        <v>20000000</v>
      </c>
      <c r="AK40" s="102">
        <v>20000000</v>
      </c>
      <c r="AL40" s="102">
        <v>20000000</v>
      </c>
      <c r="AM40" s="102">
        <v>20000000</v>
      </c>
      <c r="AN40" s="102">
        <v>20000000</v>
      </c>
      <c r="AO40" s="102">
        <v>20000000</v>
      </c>
      <c r="AP40" s="102">
        <v>20000000</v>
      </c>
      <c r="AQ40" s="102">
        <v>20000000</v>
      </c>
      <c r="AR40" s="102">
        <v>20000000</v>
      </c>
      <c r="AS40" s="102">
        <v>20000000</v>
      </c>
    </row>
    <row r="41" spans="2:45">
      <c r="B41" s="100">
        <v>7</v>
      </c>
      <c r="C41" s="100">
        <v>1</v>
      </c>
      <c r="D41" s="100">
        <v>4</v>
      </c>
      <c r="F41" s="100">
        <v>1</v>
      </c>
      <c r="G41" s="100">
        <v>1</v>
      </c>
      <c r="H41" s="100">
        <v>1</v>
      </c>
      <c r="J41" s="100">
        <v>1</v>
      </c>
      <c r="K41" s="100">
        <v>1</v>
      </c>
      <c r="L41" s="100">
        <v>1</v>
      </c>
      <c r="N41" s="100">
        <v>1</v>
      </c>
      <c r="O41" s="100">
        <v>1</v>
      </c>
      <c r="P41" s="100">
        <v>1</v>
      </c>
      <c r="R41" s="100">
        <v>1</v>
      </c>
      <c r="S41" s="100">
        <v>1</v>
      </c>
      <c r="T41" s="100">
        <v>1</v>
      </c>
      <c r="V41" s="100">
        <v>8</v>
      </c>
      <c r="W41" s="100">
        <v>20</v>
      </c>
      <c r="Y41" s="100">
        <v>10</v>
      </c>
      <c r="Z41" s="100">
        <v>22</v>
      </c>
      <c r="AB41" s="100">
        <v>14</v>
      </c>
      <c r="AC41" s="100">
        <v>14</v>
      </c>
      <c r="AE41" s="100">
        <v>10</v>
      </c>
      <c r="AF41" s="100">
        <v>22</v>
      </c>
      <c r="AH41" s="8">
        <v>25</v>
      </c>
      <c r="AI41" s="102">
        <v>15000000</v>
      </c>
      <c r="AJ41" s="102">
        <v>15000000</v>
      </c>
      <c r="AK41" s="102">
        <v>15000000</v>
      </c>
      <c r="AL41" s="102">
        <v>15000000</v>
      </c>
      <c r="AM41" s="102">
        <v>15000000</v>
      </c>
      <c r="AN41" s="102">
        <v>15000000</v>
      </c>
      <c r="AO41" s="102">
        <v>15000000</v>
      </c>
      <c r="AP41" s="102">
        <v>15000000</v>
      </c>
      <c r="AQ41" s="102">
        <v>15000000</v>
      </c>
      <c r="AR41" s="102">
        <v>15000000</v>
      </c>
      <c r="AS41" s="102">
        <v>15000000</v>
      </c>
    </row>
    <row r="42" spans="2:45">
      <c r="B42" s="100">
        <v>2</v>
      </c>
      <c r="C42" s="100">
        <v>1</v>
      </c>
      <c r="D42" s="100">
        <v>4</v>
      </c>
      <c r="F42" s="100">
        <v>1</v>
      </c>
      <c r="G42" s="100">
        <v>1</v>
      </c>
      <c r="H42" s="100">
        <v>1</v>
      </c>
      <c r="J42" s="100">
        <v>1</v>
      </c>
      <c r="K42" s="100">
        <v>1</v>
      </c>
      <c r="L42" s="100">
        <v>1</v>
      </c>
      <c r="N42" s="100">
        <v>1</v>
      </c>
      <c r="O42" s="100">
        <v>1</v>
      </c>
      <c r="P42" s="100">
        <v>1</v>
      </c>
      <c r="R42" s="100">
        <v>1</v>
      </c>
      <c r="S42" s="100">
        <v>1</v>
      </c>
      <c r="T42" s="100">
        <v>1</v>
      </c>
      <c r="V42" s="100">
        <v>10</v>
      </c>
      <c r="W42" s="100">
        <v>10</v>
      </c>
      <c r="Y42" s="100">
        <v>10</v>
      </c>
      <c r="Z42" s="100">
        <v>10</v>
      </c>
      <c r="AB42" s="100">
        <v>13</v>
      </c>
      <c r="AC42" s="100">
        <v>25</v>
      </c>
      <c r="AE42" s="100">
        <v>10</v>
      </c>
      <c r="AF42" s="100">
        <v>10</v>
      </c>
      <c r="AH42" s="8">
        <v>50</v>
      </c>
      <c r="AI42" s="102">
        <v>15000000</v>
      </c>
      <c r="AJ42" s="102">
        <v>15000000</v>
      </c>
      <c r="AK42" s="102">
        <v>15000000</v>
      </c>
      <c r="AL42" s="102">
        <v>15000000</v>
      </c>
      <c r="AM42" s="102">
        <v>15000000</v>
      </c>
      <c r="AN42" s="102">
        <v>15000000</v>
      </c>
      <c r="AO42" s="102">
        <v>15000000</v>
      </c>
      <c r="AP42" s="102">
        <v>15000000</v>
      </c>
      <c r="AQ42" s="102">
        <v>15000000</v>
      </c>
      <c r="AR42" s="102">
        <v>15000000</v>
      </c>
      <c r="AS42" s="102">
        <v>15000000</v>
      </c>
    </row>
    <row r="43" spans="2:45">
      <c r="B43" s="100">
        <v>2</v>
      </c>
      <c r="C43" s="100">
        <v>1</v>
      </c>
      <c r="D43" s="100">
        <v>7</v>
      </c>
      <c r="F43" s="100">
        <v>1</v>
      </c>
      <c r="G43" s="100">
        <v>1</v>
      </c>
      <c r="H43" s="100">
        <v>1</v>
      </c>
      <c r="J43" s="100">
        <v>1</v>
      </c>
      <c r="K43" s="100">
        <v>1</v>
      </c>
      <c r="L43" s="100">
        <v>1</v>
      </c>
      <c r="N43" s="100">
        <v>1</v>
      </c>
      <c r="O43" s="100">
        <v>1</v>
      </c>
      <c r="P43" s="100">
        <v>1</v>
      </c>
      <c r="R43" s="100">
        <v>1</v>
      </c>
      <c r="S43" s="100">
        <v>1</v>
      </c>
      <c r="T43" s="100">
        <v>1</v>
      </c>
      <c r="V43" s="100">
        <v>9</v>
      </c>
      <c r="W43" s="100">
        <v>9</v>
      </c>
      <c r="Y43" s="100">
        <v>9</v>
      </c>
      <c r="Z43" s="100">
        <v>9</v>
      </c>
      <c r="AB43" s="100">
        <v>12</v>
      </c>
      <c r="AC43" s="100">
        <v>12</v>
      </c>
      <c r="AE43" s="100">
        <v>9</v>
      </c>
      <c r="AF43" s="100">
        <v>9</v>
      </c>
      <c r="AH43" s="8">
        <v>100</v>
      </c>
      <c r="AI43" s="102">
        <v>10000000</v>
      </c>
      <c r="AJ43" s="102">
        <v>10000000</v>
      </c>
      <c r="AK43" s="102">
        <v>10000000</v>
      </c>
      <c r="AL43" s="102">
        <v>10000000</v>
      </c>
      <c r="AM43" s="102">
        <v>10000000</v>
      </c>
      <c r="AN43" s="102">
        <v>10000000</v>
      </c>
      <c r="AO43" s="102">
        <v>10000000</v>
      </c>
      <c r="AP43" s="102">
        <v>10000000</v>
      </c>
      <c r="AQ43" s="102">
        <v>10000000</v>
      </c>
      <c r="AR43" s="102">
        <v>10000000</v>
      </c>
      <c r="AS43" s="102">
        <v>10000000</v>
      </c>
    </row>
    <row r="44" spans="2:45">
      <c r="B44" s="100">
        <v>6</v>
      </c>
      <c r="C44" s="100">
        <v>7</v>
      </c>
      <c r="D44" s="100">
        <v>7</v>
      </c>
      <c r="F44" s="100">
        <v>1</v>
      </c>
      <c r="G44" s="100">
        <v>1</v>
      </c>
      <c r="H44" s="100">
        <v>1</v>
      </c>
      <c r="J44" s="100">
        <v>1</v>
      </c>
      <c r="K44" s="100">
        <v>1</v>
      </c>
      <c r="L44" s="100">
        <v>1</v>
      </c>
      <c r="N44" s="100">
        <v>1</v>
      </c>
      <c r="O44" s="100">
        <v>1</v>
      </c>
      <c r="P44" s="100">
        <v>1</v>
      </c>
      <c r="R44" s="100">
        <v>1</v>
      </c>
      <c r="S44" s="100">
        <v>1</v>
      </c>
      <c r="T44" s="100">
        <v>1</v>
      </c>
      <c r="V44" s="100">
        <v>14</v>
      </c>
      <c r="W44" s="100">
        <v>14</v>
      </c>
      <c r="Y44" s="100">
        <v>14</v>
      </c>
      <c r="Z44" s="100">
        <v>14</v>
      </c>
      <c r="AB44" s="100">
        <v>14</v>
      </c>
      <c r="AC44" s="100">
        <v>14</v>
      </c>
      <c r="AE44" s="100">
        <v>14</v>
      </c>
      <c r="AF44" s="100">
        <v>14</v>
      </c>
      <c r="AH44" s="8">
        <v>500</v>
      </c>
      <c r="AI44" s="102">
        <v>10000000</v>
      </c>
      <c r="AJ44" s="102">
        <v>10000000</v>
      </c>
      <c r="AK44" s="102">
        <v>10000000</v>
      </c>
      <c r="AL44" s="102">
        <v>10000000</v>
      </c>
      <c r="AM44" s="102">
        <v>10000000</v>
      </c>
      <c r="AN44" s="102">
        <v>10000000</v>
      </c>
      <c r="AO44" s="102">
        <v>10000000</v>
      </c>
      <c r="AP44" s="102">
        <v>10000000</v>
      </c>
      <c r="AQ44" s="102">
        <v>10000000</v>
      </c>
      <c r="AR44" s="102">
        <v>10000000</v>
      </c>
      <c r="AS44" s="102">
        <v>10000000</v>
      </c>
    </row>
    <row r="45" spans="2:45">
      <c r="B45" s="100">
        <v>6</v>
      </c>
      <c r="C45" s="100">
        <v>7</v>
      </c>
      <c r="D45" s="100">
        <v>7</v>
      </c>
      <c r="F45" s="100">
        <v>1</v>
      </c>
      <c r="G45" s="100">
        <v>1</v>
      </c>
      <c r="H45" s="100">
        <v>1</v>
      </c>
      <c r="J45" s="100">
        <v>1</v>
      </c>
      <c r="K45" s="100">
        <v>1</v>
      </c>
      <c r="L45" s="100">
        <v>1</v>
      </c>
      <c r="N45" s="100">
        <v>1</v>
      </c>
      <c r="O45" s="100">
        <v>1</v>
      </c>
      <c r="P45" s="100">
        <v>1</v>
      </c>
      <c r="R45" s="100">
        <v>1</v>
      </c>
      <c r="S45" s="100">
        <v>1</v>
      </c>
      <c r="T45" s="100">
        <v>1</v>
      </c>
      <c r="V45" s="100">
        <v>13</v>
      </c>
      <c r="W45" s="100">
        <v>25</v>
      </c>
      <c r="Y45" s="100">
        <v>13</v>
      </c>
      <c r="Z45" s="100">
        <v>25</v>
      </c>
      <c r="AB45" s="100">
        <v>13</v>
      </c>
      <c r="AC45" s="100">
        <v>25</v>
      </c>
      <c r="AE45" s="100">
        <v>13</v>
      </c>
      <c r="AF45" s="100">
        <v>25</v>
      </c>
    </row>
    <row r="46" spans="2:45">
      <c r="B46" s="100">
        <v>6</v>
      </c>
      <c r="C46" s="100">
        <v>7</v>
      </c>
      <c r="D46" s="100">
        <v>3</v>
      </c>
      <c r="F46" s="100">
        <v>1</v>
      </c>
      <c r="G46" s="100">
        <v>1</v>
      </c>
      <c r="H46" s="100">
        <v>1</v>
      </c>
      <c r="J46" s="100">
        <v>1</v>
      </c>
      <c r="K46" s="100">
        <v>1</v>
      </c>
      <c r="L46" s="100">
        <v>1</v>
      </c>
      <c r="N46" s="100">
        <v>1</v>
      </c>
      <c r="O46" s="100">
        <v>1</v>
      </c>
      <c r="P46" s="100">
        <v>1</v>
      </c>
      <c r="R46" s="100">
        <v>1</v>
      </c>
      <c r="S46" s="100">
        <v>1</v>
      </c>
      <c r="T46" s="100">
        <v>1</v>
      </c>
      <c r="V46" s="100">
        <v>11</v>
      </c>
      <c r="W46" s="100">
        <v>11</v>
      </c>
      <c r="Y46" s="100">
        <v>11</v>
      </c>
      <c r="Z46" s="100">
        <v>11</v>
      </c>
      <c r="AB46" s="100">
        <v>12</v>
      </c>
      <c r="AC46" s="100">
        <v>12</v>
      </c>
      <c r="AE46" s="100">
        <v>11</v>
      </c>
      <c r="AF46" s="100">
        <v>11</v>
      </c>
    </row>
    <row r="47" spans="2:45">
      <c r="B47" s="100">
        <v>5</v>
      </c>
      <c r="C47" s="100">
        <v>3</v>
      </c>
      <c r="D47" s="100">
        <v>3</v>
      </c>
      <c r="F47" s="100">
        <v>1</v>
      </c>
      <c r="G47" s="100">
        <v>1</v>
      </c>
      <c r="H47" s="100">
        <v>1</v>
      </c>
      <c r="J47" s="100">
        <v>1</v>
      </c>
      <c r="K47" s="100">
        <v>1</v>
      </c>
      <c r="L47" s="100">
        <v>1</v>
      </c>
      <c r="N47" s="100">
        <v>1</v>
      </c>
      <c r="O47" s="100">
        <v>1</v>
      </c>
      <c r="P47" s="100">
        <v>1</v>
      </c>
      <c r="R47" s="100">
        <v>1</v>
      </c>
      <c r="S47" s="100">
        <v>1</v>
      </c>
      <c r="T47" s="100">
        <v>1</v>
      </c>
      <c r="V47" s="100">
        <v>8</v>
      </c>
      <c r="W47" s="100">
        <v>20</v>
      </c>
      <c r="Y47" s="100">
        <v>9</v>
      </c>
      <c r="Z47" s="100">
        <v>21</v>
      </c>
      <c r="AB47" s="100">
        <v>12</v>
      </c>
      <c r="AC47" s="100">
        <v>24</v>
      </c>
      <c r="AE47" s="100">
        <v>9</v>
      </c>
      <c r="AF47" s="100">
        <v>21</v>
      </c>
    </row>
    <row r="48" spans="2:45" ht="16.2">
      <c r="B48" s="100">
        <v>1</v>
      </c>
      <c r="C48" s="100">
        <v>3</v>
      </c>
      <c r="D48" s="100">
        <v>6</v>
      </c>
      <c r="F48" s="100">
        <v>1</v>
      </c>
      <c r="G48" s="100">
        <v>1</v>
      </c>
      <c r="H48" s="100">
        <v>1</v>
      </c>
      <c r="J48" s="100">
        <v>1</v>
      </c>
      <c r="K48" s="100">
        <v>1</v>
      </c>
      <c r="L48" s="100">
        <v>1</v>
      </c>
      <c r="N48" s="100">
        <v>1</v>
      </c>
      <c r="O48" s="100">
        <v>1</v>
      </c>
      <c r="P48" s="100">
        <v>1</v>
      </c>
      <c r="R48" s="100">
        <v>1</v>
      </c>
      <c r="S48" s="100">
        <v>1</v>
      </c>
      <c r="T48" s="100">
        <v>1</v>
      </c>
      <c r="V48" s="100">
        <v>19</v>
      </c>
      <c r="W48" s="100">
        <v>12</v>
      </c>
      <c r="Y48" s="100">
        <v>19</v>
      </c>
      <c r="Z48" s="100">
        <v>12</v>
      </c>
      <c r="AB48" s="100">
        <v>19</v>
      </c>
      <c r="AC48" s="100">
        <v>12</v>
      </c>
      <c r="AE48" s="100">
        <v>19</v>
      </c>
      <c r="AF48" s="100">
        <v>12</v>
      </c>
      <c r="AH48" s="140" t="s">
        <v>98</v>
      </c>
      <c r="AI48" s="143"/>
      <c r="AJ48" s="143"/>
    </row>
    <row r="49" spans="2:36" ht="16.2">
      <c r="B49" s="100">
        <v>1</v>
      </c>
      <c r="C49" s="100">
        <v>6</v>
      </c>
      <c r="D49" s="100">
        <v>6</v>
      </c>
      <c r="F49" s="100">
        <v>1</v>
      </c>
      <c r="G49" s="100">
        <v>1</v>
      </c>
      <c r="H49" s="100">
        <v>1</v>
      </c>
      <c r="J49" s="100">
        <v>1</v>
      </c>
      <c r="K49" s="100">
        <v>1</v>
      </c>
      <c r="L49" s="100">
        <v>1</v>
      </c>
      <c r="N49" s="100">
        <v>1</v>
      </c>
      <c r="O49" s="100">
        <v>1</v>
      </c>
      <c r="P49" s="100">
        <v>1</v>
      </c>
      <c r="R49" s="100">
        <v>1</v>
      </c>
      <c r="S49" s="100">
        <v>1</v>
      </c>
      <c r="T49" s="100">
        <v>1</v>
      </c>
      <c r="V49" s="100">
        <v>9</v>
      </c>
      <c r="W49" s="100">
        <v>21</v>
      </c>
      <c r="Y49" s="100">
        <v>9</v>
      </c>
      <c r="Z49" s="100">
        <v>21</v>
      </c>
      <c r="AB49" s="100">
        <v>13</v>
      </c>
      <c r="AC49" s="100">
        <v>25</v>
      </c>
      <c r="AE49" s="100">
        <v>9</v>
      </c>
      <c r="AF49" s="100">
        <v>21</v>
      </c>
      <c r="AH49" s="98" t="str" cm="1">
        <f t="array" ref="AH49:AJ61">'Pay Combo Extra Bet (1)'!L2:N14</f>
        <v>R4 Multiplier</v>
      </c>
      <c r="AI49" s="98" t="str">
        <v>prob.</v>
      </c>
      <c r="AJ49" s="98" t="str">
        <v>weight</v>
      </c>
    </row>
    <row r="50" spans="2:36">
      <c r="B50" s="100">
        <v>1</v>
      </c>
      <c r="C50" s="100">
        <v>6</v>
      </c>
      <c r="D50" s="100">
        <v>6</v>
      </c>
      <c r="F50" s="100">
        <v>1</v>
      </c>
      <c r="G50" s="100">
        <v>1</v>
      </c>
      <c r="H50" s="100">
        <v>1</v>
      </c>
      <c r="J50" s="100">
        <v>1</v>
      </c>
      <c r="K50" s="100">
        <v>1</v>
      </c>
      <c r="L50" s="100">
        <v>1</v>
      </c>
      <c r="N50" s="100">
        <v>1</v>
      </c>
      <c r="O50" s="100">
        <v>1</v>
      </c>
      <c r="P50" s="100">
        <v>1</v>
      </c>
      <c r="R50" s="100">
        <v>1</v>
      </c>
      <c r="S50" s="100">
        <v>1</v>
      </c>
      <c r="T50" s="100">
        <v>1</v>
      </c>
      <c r="V50" s="100">
        <v>10</v>
      </c>
      <c r="W50" s="100">
        <v>10</v>
      </c>
      <c r="Y50" s="100">
        <v>10</v>
      </c>
      <c r="Z50" s="100">
        <v>10</v>
      </c>
      <c r="AB50" s="100">
        <v>14</v>
      </c>
      <c r="AC50" s="100">
        <v>14</v>
      </c>
      <c r="AE50" s="100">
        <v>10</v>
      </c>
      <c r="AF50" s="100">
        <v>10</v>
      </c>
      <c r="AH50" s="8">
        <v>1</v>
      </c>
      <c r="AI50" s="101">
        <v>0</v>
      </c>
      <c r="AJ50" s="102">
        <v>0</v>
      </c>
    </row>
    <row r="51" spans="2:36">
      <c r="B51" s="100">
        <v>7</v>
      </c>
      <c r="C51" s="100">
        <v>5</v>
      </c>
      <c r="D51" s="100">
        <v>2</v>
      </c>
      <c r="F51" s="100">
        <v>1</v>
      </c>
      <c r="G51" s="100">
        <v>1</v>
      </c>
      <c r="H51" s="100">
        <v>1</v>
      </c>
      <c r="J51" s="100">
        <v>1</v>
      </c>
      <c r="K51" s="100">
        <v>1</v>
      </c>
      <c r="L51" s="100">
        <v>1</v>
      </c>
      <c r="N51" s="100">
        <v>1</v>
      </c>
      <c r="O51" s="100">
        <v>1</v>
      </c>
      <c r="P51" s="100">
        <v>1</v>
      </c>
      <c r="R51" s="100">
        <v>1</v>
      </c>
      <c r="S51" s="100">
        <v>1</v>
      </c>
      <c r="T51" s="100">
        <v>1</v>
      </c>
      <c r="V51" s="100">
        <v>11</v>
      </c>
      <c r="W51" s="100">
        <v>23</v>
      </c>
      <c r="Y51" s="100">
        <v>11</v>
      </c>
      <c r="Z51" s="100">
        <v>23</v>
      </c>
      <c r="AB51" s="100">
        <v>15</v>
      </c>
      <c r="AC51" s="100">
        <v>15</v>
      </c>
      <c r="AE51" s="100">
        <v>11</v>
      </c>
      <c r="AF51" s="100">
        <v>23</v>
      </c>
      <c r="AH51" s="8">
        <v>2</v>
      </c>
      <c r="AI51" s="101">
        <v>0.28985507246376813</v>
      </c>
      <c r="AJ51" s="102">
        <v>220000000</v>
      </c>
    </row>
    <row r="52" spans="2:36">
      <c r="B52" s="100">
        <v>7</v>
      </c>
      <c r="C52" s="100">
        <v>5</v>
      </c>
      <c r="D52" s="100">
        <v>2</v>
      </c>
      <c r="F52" s="100">
        <v>1</v>
      </c>
      <c r="G52" s="100">
        <v>1</v>
      </c>
      <c r="H52" s="100">
        <v>1</v>
      </c>
      <c r="J52" s="100">
        <v>1</v>
      </c>
      <c r="K52" s="100">
        <v>1</v>
      </c>
      <c r="L52" s="100">
        <v>1</v>
      </c>
      <c r="N52" s="100">
        <v>1</v>
      </c>
      <c r="O52" s="100">
        <v>1</v>
      </c>
      <c r="P52" s="100">
        <v>1</v>
      </c>
      <c r="R52" s="100">
        <v>1</v>
      </c>
      <c r="S52" s="100">
        <v>1</v>
      </c>
      <c r="T52" s="100">
        <v>1</v>
      </c>
      <c r="V52" s="100">
        <v>12</v>
      </c>
      <c r="W52" s="100">
        <v>12</v>
      </c>
      <c r="Y52" s="100">
        <v>12</v>
      </c>
      <c r="Z52" s="100">
        <v>12</v>
      </c>
      <c r="AB52" s="100">
        <v>12</v>
      </c>
      <c r="AC52" s="100">
        <v>12</v>
      </c>
      <c r="AE52" s="100">
        <v>12</v>
      </c>
      <c r="AF52" s="100">
        <v>12</v>
      </c>
      <c r="AH52" s="8">
        <v>3</v>
      </c>
      <c r="AI52" s="101">
        <v>0.28985507246376813</v>
      </c>
      <c r="AJ52" s="102">
        <v>220000000</v>
      </c>
    </row>
    <row r="53" spans="2:36">
      <c r="B53" s="100">
        <v>0</v>
      </c>
      <c r="C53" s="100">
        <v>0</v>
      </c>
      <c r="D53" s="100">
        <v>2</v>
      </c>
      <c r="F53" s="100">
        <v>1</v>
      </c>
      <c r="G53" s="100">
        <v>1</v>
      </c>
      <c r="H53" s="100">
        <v>1</v>
      </c>
      <c r="J53" s="100">
        <v>1</v>
      </c>
      <c r="K53" s="100">
        <v>1</v>
      </c>
      <c r="L53" s="100">
        <v>1</v>
      </c>
      <c r="N53" s="100">
        <v>1</v>
      </c>
      <c r="O53" s="100">
        <v>1</v>
      </c>
      <c r="P53" s="100">
        <v>1</v>
      </c>
      <c r="R53" s="100">
        <v>1</v>
      </c>
      <c r="S53" s="100">
        <v>1</v>
      </c>
      <c r="T53" s="100">
        <v>1</v>
      </c>
      <c r="V53" s="100">
        <v>13</v>
      </c>
      <c r="W53" s="100">
        <v>25</v>
      </c>
      <c r="Y53" s="100">
        <v>13</v>
      </c>
      <c r="Z53" s="100">
        <v>25</v>
      </c>
      <c r="AB53" s="100">
        <v>13</v>
      </c>
      <c r="AC53" s="100">
        <v>25</v>
      </c>
      <c r="AE53" s="100">
        <v>13</v>
      </c>
      <c r="AF53" s="100">
        <v>25</v>
      </c>
      <c r="AH53" s="8">
        <v>5</v>
      </c>
      <c r="AI53" s="101">
        <v>8.5638998682476944E-2</v>
      </c>
      <c r="AJ53" s="102">
        <v>65000000</v>
      </c>
    </row>
    <row r="54" spans="2:36">
      <c r="B54" s="100">
        <v>0</v>
      </c>
      <c r="C54" s="100">
        <v>0</v>
      </c>
      <c r="D54" s="100">
        <v>2</v>
      </c>
      <c r="F54" s="100">
        <v>1</v>
      </c>
      <c r="G54" s="100">
        <v>1</v>
      </c>
      <c r="H54" s="100">
        <v>1</v>
      </c>
      <c r="J54" s="100">
        <v>1</v>
      </c>
      <c r="K54" s="100">
        <v>1</v>
      </c>
      <c r="L54" s="100">
        <v>1</v>
      </c>
      <c r="N54" s="100">
        <v>1</v>
      </c>
      <c r="O54" s="100">
        <v>1</v>
      </c>
      <c r="P54" s="100">
        <v>1</v>
      </c>
      <c r="R54" s="100">
        <v>1</v>
      </c>
      <c r="S54" s="100">
        <v>1</v>
      </c>
      <c r="T54" s="100">
        <v>1</v>
      </c>
      <c r="V54" s="100">
        <v>14</v>
      </c>
      <c r="W54" s="100">
        <v>14</v>
      </c>
      <c r="Y54" s="100">
        <v>14</v>
      </c>
      <c r="Z54" s="100">
        <v>14</v>
      </c>
      <c r="AB54" s="100">
        <v>14</v>
      </c>
      <c r="AC54" s="100">
        <v>14</v>
      </c>
      <c r="AE54" s="100">
        <v>14</v>
      </c>
      <c r="AF54" s="100">
        <v>14</v>
      </c>
      <c r="AH54" s="8">
        <v>10</v>
      </c>
      <c r="AI54" s="101">
        <v>3.9525691699604744E-2</v>
      </c>
      <c r="AJ54" s="102">
        <v>30000000</v>
      </c>
    </row>
    <row r="55" spans="2:36">
      <c r="B55" s="100">
        <v>0</v>
      </c>
      <c r="C55" s="100">
        <v>0</v>
      </c>
      <c r="D55" s="100">
        <v>4</v>
      </c>
      <c r="F55" s="100">
        <v>1</v>
      </c>
      <c r="G55" s="100">
        <v>1</v>
      </c>
      <c r="H55" s="100">
        <v>1</v>
      </c>
      <c r="J55" s="100">
        <v>1</v>
      </c>
      <c r="K55" s="100">
        <v>1</v>
      </c>
      <c r="L55" s="100">
        <v>1</v>
      </c>
      <c r="N55" s="100">
        <v>1</v>
      </c>
      <c r="O55" s="100">
        <v>1</v>
      </c>
      <c r="P55" s="100">
        <v>1</v>
      </c>
      <c r="R55" s="100">
        <v>1</v>
      </c>
      <c r="S55" s="100">
        <v>1</v>
      </c>
      <c r="T55" s="100">
        <v>1</v>
      </c>
      <c r="V55" s="100">
        <v>15</v>
      </c>
      <c r="W55" s="100">
        <v>27</v>
      </c>
      <c r="Y55" s="100">
        <v>15</v>
      </c>
      <c r="Z55" s="100">
        <v>27</v>
      </c>
      <c r="AB55" s="100">
        <v>15</v>
      </c>
      <c r="AC55" s="100">
        <v>27</v>
      </c>
      <c r="AE55" s="100">
        <v>15</v>
      </c>
      <c r="AF55" s="100">
        <v>27</v>
      </c>
      <c r="AH55" s="8">
        <v>15</v>
      </c>
      <c r="AI55" s="101">
        <v>1.3175230566534914E-2</v>
      </c>
      <c r="AJ55" s="102">
        <v>10000000</v>
      </c>
    </row>
    <row r="56" spans="2:36">
      <c r="B56" s="100">
        <v>4</v>
      </c>
      <c r="C56" s="100">
        <v>6</v>
      </c>
      <c r="D56" s="100">
        <v>4</v>
      </c>
      <c r="F56" s="100">
        <v>1</v>
      </c>
      <c r="G56" s="100">
        <v>1</v>
      </c>
      <c r="H56" s="100">
        <v>1</v>
      </c>
      <c r="J56" s="100">
        <v>1</v>
      </c>
      <c r="K56" s="100">
        <v>1</v>
      </c>
      <c r="L56" s="100">
        <v>1</v>
      </c>
      <c r="N56" s="100">
        <v>1</v>
      </c>
      <c r="O56" s="100">
        <v>1</v>
      </c>
      <c r="P56" s="100">
        <v>1</v>
      </c>
      <c r="R56" s="100">
        <v>1</v>
      </c>
      <c r="S56" s="100">
        <v>1</v>
      </c>
      <c r="T56" s="100">
        <v>1</v>
      </c>
      <c r="V56" s="100">
        <v>16</v>
      </c>
      <c r="W56" s="100">
        <v>16</v>
      </c>
      <c r="Y56" s="100">
        <v>16</v>
      </c>
      <c r="Z56" s="100">
        <v>16</v>
      </c>
      <c r="AB56" s="100">
        <v>16</v>
      </c>
      <c r="AC56" s="100">
        <v>16</v>
      </c>
      <c r="AE56" s="100">
        <v>16</v>
      </c>
      <c r="AF56" s="100">
        <v>16</v>
      </c>
      <c r="AH56" s="8">
        <v>20</v>
      </c>
      <c r="AI56" s="101">
        <v>6.587615283267457E-3</v>
      </c>
      <c r="AJ56" s="102">
        <v>5000000</v>
      </c>
    </row>
    <row r="57" spans="2:36">
      <c r="B57" s="100">
        <v>4</v>
      </c>
      <c r="C57" s="100">
        <v>6</v>
      </c>
      <c r="D57" s="100">
        <v>4</v>
      </c>
      <c r="F57" s="100">
        <v>1</v>
      </c>
      <c r="G57" s="100">
        <v>1</v>
      </c>
      <c r="H57" s="100">
        <v>1</v>
      </c>
      <c r="J57" s="100">
        <v>1</v>
      </c>
      <c r="K57" s="100">
        <v>1</v>
      </c>
      <c r="L57" s="100">
        <v>1</v>
      </c>
      <c r="N57" s="100">
        <v>1</v>
      </c>
      <c r="O57" s="100">
        <v>1</v>
      </c>
      <c r="P57" s="100">
        <v>1</v>
      </c>
      <c r="R57" s="100">
        <v>1</v>
      </c>
      <c r="S57" s="100">
        <v>1</v>
      </c>
      <c r="T57" s="100">
        <v>1</v>
      </c>
      <c r="V57" s="100">
        <v>17</v>
      </c>
      <c r="W57" s="100">
        <v>17</v>
      </c>
      <c r="Y57" s="100">
        <v>17</v>
      </c>
      <c r="Z57" s="100">
        <v>17</v>
      </c>
      <c r="AB57" s="100">
        <v>17</v>
      </c>
      <c r="AC57" s="100">
        <v>17</v>
      </c>
      <c r="AE57" s="100">
        <v>17</v>
      </c>
      <c r="AF57" s="100">
        <v>17</v>
      </c>
      <c r="AH57" s="8">
        <v>25</v>
      </c>
      <c r="AI57" s="101">
        <v>2.635046113306983E-3</v>
      </c>
      <c r="AJ57" s="102">
        <v>2000000</v>
      </c>
    </row>
    <row r="58" spans="2:36">
      <c r="B58" s="100">
        <v>3</v>
      </c>
      <c r="C58" s="100">
        <v>4</v>
      </c>
      <c r="D58" s="100">
        <v>3</v>
      </c>
      <c r="F58" s="100">
        <v>1</v>
      </c>
      <c r="G58" s="100">
        <v>1</v>
      </c>
      <c r="H58" s="100">
        <v>1</v>
      </c>
      <c r="J58" s="100">
        <v>1</v>
      </c>
      <c r="K58" s="100">
        <v>1</v>
      </c>
      <c r="L58" s="100">
        <v>1</v>
      </c>
      <c r="N58" s="100">
        <v>1</v>
      </c>
      <c r="O58" s="100">
        <v>1</v>
      </c>
      <c r="P58" s="100">
        <v>1</v>
      </c>
      <c r="R58" s="100">
        <v>1</v>
      </c>
      <c r="S58" s="100">
        <v>1</v>
      </c>
      <c r="T58" s="100">
        <v>1</v>
      </c>
      <c r="V58" s="100">
        <v>18</v>
      </c>
      <c r="W58" s="100">
        <v>18</v>
      </c>
      <c r="Y58" s="100">
        <v>18</v>
      </c>
      <c r="Z58" s="100">
        <v>18</v>
      </c>
      <c r="AB58" s="100">
        <v>18</v>
      </c>
      <c r="AC58" s="100">
        <v>18</v>
      </c>
      <c r="AE58" s="100">
        <v>18</v>
      </c>
      <c r="AF58" s="100">
        <v>18</v>
      </c>
      <c r="AH58" s="8">
        <v>50</v>
      </c>
      <c r="AI58" s="101">
        <v>2.635046113306983E-3</v>
      </c>
      <c r="AJ58" s="102">
        <v>2000000</v>
      </c>
    </row>
    <row r="59" spans="2:36">
      <c r="B59" s="100">
        <v>3</v>
      </c>
      <c r="C59" s="100">
        <v>4</v>
      </c>
      <c r="D59" s="100">
        <v>3</v>
      </c>
      <c r="F59" s="100">
        <v>1</v>
      </c>
      <c r="G59" s="100">
        <v>1</v>
      </c>
      <c r="H59" s="100">
        <v>1</v>
      </c>
      <c r="J59" s="100">
        <v>1</v>
      </c>
      <c r="K59" s="100">
        <v>1</v>
      </c>
      <c r="L59" s="100">
        <v>1</v>
      </c>
      <c r="N59" s="100">
        <v>1</v>
      </c>
      <c r="O59" s="100">
        <v>1</v>
      </c>
      <c r="P59" s="100">
        <v>1</v>
      </c>
      <c r="R59" s="100">
        <v>1</v>
      </c>
      <c r="S59" s="100">
        <v>1</v>
      </c>
      <c r="T59" s="100">
        <v>1</v>
      </c>
      <c r="V59" s="100">
        <v>10</v>
      </c>
      <c r="W59" s="100">
        <v>22</v>
      </c>
      <c r="Y59" s="100">
        <v>10</v>
      </c>
      <c r="Z59" s="100">
        <v>22</v>
      </c>
      <c r="AB59" s="100">
        <v>15</v>
      </c>
      <c r="AC59" s="100">
        <v>27</v>
      </c>
      <c r="AE59" s="100">
        <v>10</v>
      </c>
      <c r="AF59" s="100">
        <v>22</v>
      </c>
      <c r="AH59" s="8">
        <v>100</v>
      </c>
      <c r="AI59" s="101">
        <v>2.635046113306983E-3</v>
      </c>
      <c r="AJ59" s="102">
        <v>2000000</v>
      </c>
    </row>
    <row r="60" spans="2:36">
      <c r="B60" s="100">
        <v>5</v>
      </c>
      <c r="C60" s="100">
        <v>4</v>
      </c>
      <c r="D60" s="100">
        <v>3</v>
      </c>
      <c r="F60" s="100">
        <v>1</v>
      </c>
      <c r="G60" s="100">
        <v>1</v>
      </c>
      <c r="H60" s="100">
        <v>1</v>
      </c>
      <c r="J60" s="100">
        <v>1</v>
      </c>
      <c r="K60" s="100">
        <v>1</v>
      </c>
      <c r="L60" s="100">
        <v>1</v>
      </c>
      <c r="N60" s="100">
        <v>1</v>
      </c>
      <c r="O60" s="100">
        <v>1</v>
      </c>
      <c r="P60" s="100">
        <v>1</v>
      </c>
      <c r="R60" s="100">
        <v>1</v>
      </c>
      <c r="S60" s="100">
        <v>1</v>
      </c>
      <c r="T60" s="100">
        <v>1</v>
      </c>
      <c r="V60" s="100">
        <v>9</v>
      </c>
      <c r="W60" s="100">
        <v>9</v>
      </c>
      <c r="Y60" s="100">
        <v>9</v>
      </c>
      <c r="Z60" s="100">
        <v>9</v>
      </c>
      <c r="AB60" s="100">
        <v>13</v>
      </c>
      <c r="AC60" s="100">
        <v>13</v>
      </c>
      <c r="AE60" s="100">
        <v>9</v>
      </c>
      <c r="AF60" s="100">
        <v>9</v>
      </c>
      <c r="AH60" s="8">
        <v>500</v>
      </c>
      <c r="AI60" s="101">
        <v>3.952569169960474E-3</v>
      </c>
      <c r="AJ60" s="102">
        <v>3000000</v>
      </c>
    </row>
    <row r="61" spans="2:36">
      <c r="B61" s="100">
        <v>5</v>
      </c>
      <c r="C61" s="100">
        <v>2</v>
      </c>
      <c r="D61" s="100">
        <v>6</v>
      </c>
      <c r="F61" s="100">
        <v>1</v>
      </c>
      <c r="G61" s="100">
        <v>1</v>
      </c>
      <c r="H61" s="100">
        <v>1</v>
      </c>
      <c r="J61" s="100">
        <v>1</v>
      </c>
      <c r="K61" s="100">
        <v>1</v>
      </c>
      <c r="L61" s="100">
        <v>1</v>
      </c>
      <c r="N61" s="100">
        <v>1</v>
      </c>
      <c r="O61" s="100">
        <v>1</v>
      </c>
      <c r="P61" s="100">
        <v>1</v>
      </c>
      <c r="R61" s="100">
        <v>1</v>
      </c>
      <c r="S61" s="100">
        <v>1</v>
      </c>
      <c r="T61" s="100">
        <v>1</v>
      </c>
      <c r="V61" s="100">
        <v>10</v>
      </c>
      <c r="W61" s="100">
        <v>22</v>
      </c>
      <c r="Y61" s="100">
        <v>10</v>
      </c>
      <c r="Z61" s="100">
        <v>22</v>
      </c>
      <c r="AB61" s="100">
        <v>12</v>
      </c>
      <c r="AC61" s="100">
        <v>12</v>
      </c>
      <c r="AE61" s="100">
        <v>10</v>
      </c>
      <c r="AF61" s="100">
        <v>22</v>
      </c>
      <c r="AH61" s="8" t="str">
        <v>Re-spin</v>
      </c>
      <c r="AI61" s="101">
        <v>0.2635046113306983</v>
      </c>
      <c r="AJ61" s="102">
        <v>200000000</v>
      </c>
    </row>
    <row r="62" spans="2:36">
      <c r="B62" s="100">
        <v>3</v>
      </c>
      <c r="C62" s="100">
        <v>2</v>
      </c>
      <c r="D62" s="100">
        <v>6</v>
      </c>
      <c r="F62" s="100">
        <v>1</v>
      </c>
      <c r="G62" s="100">
        <v>1</v>
      </c>
      <c r="H62" s="100">
        <v>1</v>
      </c>
      <c r="J62" s="100">
        <v>1</v>
      </c>
      <c r="K62" s="100">
        <v>1</v>
      </c>
      <c r="L62" s="100">
        <v>1</v>
      </c>
      <c r="N62" s="100">
        <v>1</v>
      </c>
      <c r="O62" s="100">
        <v>1</v>
      </c>
      <c r="P62" s="100">
        <v>1</v>
      </c>
      <c r="R62" s="100">
        <v>1</v>
      </c>
      <c r="S62" s="100">
        <v>1</v>
      </c>
      <c r="T62" s="100">
        <v>1</v>
      </c>
      <c r="V62" s="100">
        <v>8</v>
      </c>
      <c r="W62" s="100">
        <v>8</v>
      </c>
      <c r="Y62" s="100">
        <v>10</v>
      </c>
      <c r="Z62" s="100">
        <v>10</v>
      </c>
      <c r="AB62" s="100">
        <v>12</v>
      </c>
      <c r="AC62" s="100">
        <v>24</v>
      </c>
      <c r="AE62" s="100">
        <v>10</v>
      </c>
      <c r="AF62" s="100">
        <v>10</v>
      </c>
      <c r="AJ62" s="103"/>
    </row>
    <row r="63" spans="2:36">
      <c r="B63" s="100">
        <v>3</v>
      </c>
      <c r="C63" s="100">
        <v>2</v>
      </c>
      <c r="D63" s="100">
        <v>6</v>
      </c>
      <c r="F63" s="100">
        <v>1</v>
      </c>
      <c r="G63" s="100">
        <v>1</v>
      </c>
      <c r="H63" s="100">
        <v>1</v>
      </c>
      <c r="J63" s="100">
        <v>1</v>
      </c>
      <c r="K63" s="100">
        <v>1</v>
      </c>
      <c r="L63" s="100">
        <v>1</v>
      </c>
      <c r="N63" s="100">
        <v>1</v>
      </c>
      <c r="O63" s="100">
        <v>1</v>
      </c>
      <c r="P63" s="100">
        <v>1</v>
      </c>
      <c r="R63" s="100">
        <v>1</v>
      </c>
      <c r="S63" s="100">
        <v>1</v>
      </c>
      <c r="T63" s="100">
        <v>1</v>
      </c>
      <c r="V63" s="100">
        <v>9</v>
      </c>
      <c r="W63" s="100">
        <v>9</v>
      </c>
      <c r="Y63" s="100">
        <v>9</v>
      </c>
      <c r="Z63" s="100">
        <v>9</v>
      </c>
      <c r="AB63" s="100">
        <v>16</v>
      </c>
      <c r="AC63" s="100">
        <v>16</v>
      </c>
      <c r="AE63" s="100">
        <v>9</v>
      </c>
      <c r="AF63" s="100">
        <v>9</v>
      </c>
    </row>
    <row r="64" spans="2:36" ht="16.2">
      <c r="B64" s="100">
        <v>5</v>
      </c>
      <c r="C64" s="100">
        <v>5</v>
      </c>
      <c r="D64" s="100">
        <v>2</v>
      </c>
      <c r="F64" s="100">
        <v>1</v>
      </c>
      <c r="G64" s="100">
        <v>1</v>
      </c>
      <c r="H64" s="100">
        <v>1</v>
      </c>
      <c r="J64" s="100">
        <v>1</v>
      </c>
      <c r="K64" s="100">
        <v>1</v>
      </c>
      <c r="L64" s="100">
        <v>1</v>
      </c>
      <c r="N64" s="100">
        <v>1</v>
      </c>
      <c r="O64" s="100">
        <v>1</v>
      </c>
      <c r="P64" s="100">
        <v>1</v>
      </c>
      <c r="R64" s="100">
        <v>1</v>
      </c>
      <c r="S64" s="100">
        <v>1</v>
      </c>
      <c r="T64" s="100">
        <v>1</v>
      </c>
      <c r="V64" s="100">
        <v>14</v>
      </c>
      <c r="W64" s="100">
        <v>14</v>
      </c>
      <c r="Y64" s="100">
        <v>14</v>
      </c>
      <c r="Z64" s="100">
        <v>14</v>
      </c>
      <c r="AB64" s="100">
        <v>14</v>
      </c>
      <c r="AC64" s="100">
        <v>14</v>
      </c>
      <c r="AE64" s="100">
        <v>14</v>
      </c>
      <c r="AF64" s="100">
        <v>14</v>
      </c>
      <c r="AH64" s="140" t="s">
        <v>99</v>
      </c>
      <c r="AI64" s="143"/>
      <c r="AJ64" s="143"/>
    </row>
    <row r="65" spans="2:45" ht="16.2">
      <c r="B65" s="100">
        <v>5</v>
      </c>
      <c r="C65" s="100">
        <v>5</v>
      </c>
      <c r="D65" s="100">
        <v>2</v>
      </c>
      <c r="F65" s="100">
        <v>1</v>
      </c>
      <c r="G65" s="100">
        <v>1</v>
      </c>
      <c r="H65" s="100">
        <v>1</v>
      </c>
      <c r="J65" s="100">
        <v>1</v>
      </c>
      <c r="K65" s="100">
        <v>1</v>
      </c>
      <c r="L65" s="100">
        <v>1</v>
      </c>
      <c r="N65" s="100">
        <v>1</v>
      </c>
      <c r="O65" s="100">
        <v>1</v>
      </c>
      <c r="P65" s="100">
        <v>1</v>
      </c>
      <c r="R65" s="100">
        <v>1</v>
      </c>
      <c r="S65" s="100">
        <v>1</v>
      </c>
      <c r="T65" s="100">
        <v>1</v>
      </c>
      <c r="V65" s="100">
        <v>13</v>
      </c>
      <c r="W65" s="100">
        <v>25</v>
      </c>
      <c r="Y65" s="100">
        <v>13</v>
      </c>
      <c r="Z65" s="100">
        <v>25</v>
      </c>
      <c r="AB65" s="100">
        <v>13</v>
      </c>
      <c r="AC65" s="100">
        <v>25</v>
      </c>
      <c r="AE65" s="100">
        <v>13</v>
      </c>
      <c r="AF65" s="100">
        <v>25</v>
      </c>
      <c r="AH65" s="98" t="str" cm="1">
        <f t="array" ref="AH65:AJ76">'Pay Combo Extra Bet (1)'!Q2:S13</f>
        <v>Re-spin times</v>
      </c>
      <c r="AI65" s="98" t="str">
        <v>prob.</v>
      </c>
      <c r="AJ65" s="98" t="str">
        <v>weight</v>
      </c>
    </row>
    <row r="66" spans="2:45">
      <c r="B66" s="100">
        <v>5</v>
      </c>
      <c r="C66" s="100">
        <v>2</v>
      </c>
      <c r="D66" s="100">
        <v>2</v>
      </c>
      <c r="F66" s="100">
        <v>1</v>
      </c>
      <c r="G66" s="100">
        <v>1</v>
      </c>
      <c r="H66" s="100">
        <v>1</v>
      </c>
      <c r="J66" s="100">
        <v>1</v>
      </c>
      <c r="K66" s="100">
        <v>1</v>
      </c>
      <c r="L66" s="100">
        <v>1</v>
      </c>
      <c r="N66" s="100">
        <v>1</v>
      </c>
      <c r="O66" s="100">
        <v>1</v>
      </c>
      <c r="P66" s="100">
        <v>1</v>
      </c>
      <c r="R66" s="100">
        <v>1</v>
      </c>
      <c r="S66" s="100">
        <v>1</v>
      </c>
      <c r="T66" s="100">
        <v>1</v>
      </c>
      <c r="V66" s="100">
        <v>12</v>
      </c>
      <c r="W66" s="100">
        <v>12</v>
      </c>
      <c r="Y66" s="100">
        <v>12</v>
      </c>
      <c r="Z66" s="100">
        <v>12</v>
      </c>
      <c r="AB66" s="100">
        <v>12</v>
      </c>
      <c r="AC66" s="100">
        <v>12</v>
      </c>
      <c r="AE66" s="100">
        <v>12</v>
      </c>
      <c r="AF66" s="100">
        <v>12</v>
      </c>
      <c r="AH66" s="8">
        <v>2</v>
      </c>
      <c r="AI66" s="101">
        <v>0.1111111111111111</v>
      </c>
      <c r="AJ66" s="102">
        <v>120000000</v>
      </c>
    </row>
    <row r="67" spans="2:45">
      <c r="B67" s="100">
        <v>1</v>
      </c>
      <c r="C67" s="100">
        <v>2</v>
      </c>
      <c r="D67" s="100">
        <v>6</v>
      </c>
      <c r="F67" s="100">
        <v>1</v>
      </c>
      <c r="G67" s="100">
        <v>1</v>
      </c>
      <c r="H67" s="100">
        <v>1</v>
      </c>
      <c r="J67" s="100">
        <v>1</v>
      </c>
      <c r="K67" s="100">
        <v>1</v>
      </c>
      <c r="L67" s="100">
        <v>1</v>
      </c>
      <c r="N67" s="100">
        <v>1</v>
      </c>
      <c r="O67" s="100">
        <v>1</v>
      </c>
      <c r="P67" s="100">
        <v>1</v>
      </c>
      <c r="R67" s="100">
        <v>1</v>
      </c>
      <c r="S67" s="100">
        <v>1</v>
      </c>
      <c r="T67" s="100">
        <v>1</v>
      </c>
      <c r="V67" s="100">
        <v>10</v>
      </c>
      <c r="W67" s="100">
        <v>22</v>
      </c>
      <c r="Y67" s="100">
        <v>10</v>
      </c>
      <c r="Z67" s="100">
        <v>22</v>
      </c>
      <c r="AB67" s="100">
        <v>12</v>
      </c>
      <c r="AC67" s="100">
        <v>24</v>
      </c>
      <c r="AE67" s="100">
        <v>10</v>
      </c>
      <c r="AF67" s="100">
        <v>22</v>
      </c>
      <c r="AH67" s="8">
        <v>3</v>
      </c>
      <c r="AI67" s="101">
        <v>0.1111111111111111</v>
      </c>
      <c r="AJ67" s="102">
        <v>120000000</v>
      </c>
    </row>
    <row r="68" spans="2:45">
      <c r="B68" s="100">
        <v>1</v>
      </c>
      <c r="C68" s="100">
        <v>7</v>
      </c>
      <c r="D68" s="100">
        <v>6</v>
      </c>
      <c r="F68" s="100">
        <v>1</v>
      </c>
      <c r="G68" s="100">
        <v>1</v>
      </c>
      <c r="H68" s="100">
        <v>1</v>
      </c>
      <c r="J68" s="100">
        <v>1</v>
      </c>
      <c r="K68" s="100">
        <v>1</v>
      </c>
      <c r="L68" s="100">
        <v>1</v>
      </c>
      <c r="N68" s="100">
        <v>1</v>
      </c>
      <c r="O68" s="100">
        <v>1</v>
      </c>
      <c r="P68" s="100">
        <v>1</v>
      </c>
      <c r="R68" s="100">
        <v>1</v>
      </c>
      <c r="S68" s="100">
        <v>1</v>
      </c>
      <c r="T68" s="100">
        <v>1</v>
      </c>
      <c r="V68" s="100">
        <v>9</v>
      </c>
      <c r="W68" s="100">
        <v>9</v>
      </c>
      <c r="Y68" s="100">
        <v>9</v>
      </c>
      <c r="Z68" s="100">
        <v>9</v>
      </c>
      <c r="AB68" s="100">
        <v>13</v>
      </c>
      <c r="AC68" s="100">
        <v>13</v>
      </c>
      <c r="AE68" s="100">
        <v>9</v>
      </c>
      <c r="AF68" s="100">
        <v>9</v>
      </c>
      <c r="AH68" s="8">
        <v>4</v>
      </c>
      <c r="AI68" s="101">
        <v>0.1111111111111111</v>
      </c>
      <c r="AJ68" s="102">
        <v>120000000</v>
      </c>
    </row>
    <row r="69" spans="2:45">
      <c r="B69" s="100">
        <v>6</v>
      </c>
      <c r="C69" s="100">
        <v>7</v>
      </c>
      <c r="D69" s="100">
        <v>6</v>
      </c>
      <c r="F69" s="100">
        <v>1</v>
      </c>
      <c r="G69" s="100">
        <v>1</v>
      </c>
      <c r="H69" s="100">
        <v>1</v>
      </c>
      <c r="J69" s="100">
        <v>1</v>
      </c>
      <c r="K69" s="100">
        <v>1</v>
      </c>
      <c r="L69" s="100">
        <v>1</v>
      </c>
      <c r="N69" s="100">
        <v>1</v>
      </c>
      <c r="O69" s="100">
        <v>1</v>
      </c>
      <c r="P69" s="100">
        <v>1</v>
      </c>
      <c r="R69" s="100">
        <v>1</v>
      </c>
      <c r="S69" s="100">
        <v>1</v>
      </c>
      <c r="T69" s="100">
        <v>1</v>
      </c>
      <c r="V69" s="100">
        <v>19</v>
      </c>
      <c r="W69" s="100">
        <v>11</v>
      </c>
      <c r="Y69" s="100">
        <v>19</v>
      </c>
      <c r="Z69" s="100">
        <v>11</v>
      </c>
      <c r="AB69" s="100">
        <v>19</v>
      </c>
      <c r="AC69" s="100">
        <v>12</v>
      </c>
      <c r="AE69" s="100">
        <v>19</v>
      </c>
      <c r="AF69" s="100">
        <v>11</v>
      </c>
      <c r="AH69" s="8">
        <v>5</v>
      </c>
      <c r="AI69" s="101">
        <v>0.1111111111111111</v>
      </c>
      <c r="AJ69" s="102">
        <v>120000000</v>
      </c>
    </row>
    <row r="70" spans="2:45">
      <c r="B70" s="100">
        <v>6</v>
      </c>
      <c r="C70" s="100">
        <v>3</v>
      </c>
      <c r="D70" s="100">
        <v>2</v>
      </c>
      <c r="F70" s="100">
        <v>1</v>
      </c>
      <c r="G70" s="100">
        <v>1</v>
      </c>
      <c r="H70" s="100">
        <v>1</v>
      </c>
      <c r="J70" s="100">
        <v>1</v>
      </c>
      <c r="K70" s="100">
        <v>1</v>
      </c>
      <c r="L70" s="100">
        <v>1</v>
      </c>
      <c r="N70" s="100">
        <v>1</v>
      </c>
      <c r="O70" s="100">
        <v>1</v>
      </c>
      <c r="P70" s="100">
        <v>1</v>
      </c>
      <c r="R70" s="100">
        <v>1</v>
      </c>
      <c r="S70" s="100">
        <v>1</v>
      </c>
      <c r="T70" s="100">
        <v>1</v>
      </c>
      <c r="V70" s="100">
        <v>8</v>
      </c>
      <c r="W70" s="100">
        <v>8</v>
      </c>
      <c r="Y70" s="100">
        <v>11</v>
      </c>
      <c r="Z70" s="100">
        <v>11</v>
      </c>
      <c r="AB70" s="100">
        <v>12</v>
      </c>
      <c r="AC70" s="100">
        <v>24</v>
      </c>
      <c r="AE70" s="100">
        <v>11</v>
      </c>
      <c r="AF70" s="100">
        <v>11</v>
      </c>
      <c r="AH70" s="8">
        <v>6</v>
      </c>
      <c r="AI70" s="101">
        <v>0.1111111111111111</v>
      </c>
      <c r="AJ70" s="102">
        <v>120000000</v>
      </c>
    </row>
    <row r="71" spans="2:45">
      <c r="B71" s="100">
        <v>5</v>
      </c>
      <c r="C71" s="100">
        <v>3</v>
      </c>
      <c r="D71" s="100">
        <v>2</v>
      </c>
      <c r="F71" s="100">
        <v>1</v>
      </c>
      <c r="G71" s="100">
        <v>1</v>
      </c>
      <c r="H71" s="100">
        <v>1</v>
      </c>
      <c r="J71" s="100">
        <v>1</v>
      </c>
      <c r="K71" s="100">
        <v>1</v>
      </c>
      <c r="L71" s="100">
        <v>1</v>
      </c>
      <c r="N71" s="100">
        <v>1</v>
      </c>
      <c r="O71" s="100">
        <v>1</v>
      </c>
      <c r="P71" s="100">
        <v>1</v>
      </c>
      <c r="R71" s="100">
        <v>1</v>
      </c>
      <c r="S71" s="100">
        <v>1</v>
      </c>
      <c r="T71" s="100">
        <v>1</v>
      </c>
      <c r="V71" s="100">
        <v>11</v>
      </c>
      <c r="W71" s="100">
        <v>23</v>
      </c>
      <c r="Y71" s="100">
        <v>11</v>
      </c>
      <c r="Z71" s="100">
        <v>23</v>
      </c>
      <c r="AB71" s="100">
        <v>13</v>
      </c>
      <c r="AC71" s="100">
        <v>13</v>
      </c>
      <c r="AE71" s="100">
        <v>11</v>
      </c>
      <c r="AF71" s="100">
        <v>23</v>
      </c>
      <c r="AH71" s="8">
        <v>7</v>
      </c>
      <c r="AI71" s="101">
        <v>7.407407407407407E-2</v>
      </c>
      <c r="AJ71" s="102">
        <v>80000000</v>
      </c>
    </row>
    <row r="72" spans="2:45">
      <c r="B72" s="100">
        <v>5</v>
      </c>
      <c r="C72" s="100">
        <v>3</v>
      </c>
      <c r="D72" s="100">
        <v>2</v>
      </c>
      <c r="F72" s="100">
        <v>1</v>
      </c>
      <c r="G72" s="100">
        <v>1</v>
      </c>
      <c r="H72" s="100">
        <v>1</v>
      </c>
      <c r="J72" s="100">
        <v>1</v>
      </c>
      <c r="K72" s="100">
        <v>1</v>
      </c>
      <c r="L72" s="100">
        <v>1</v>
      </c>
      <c r="N72" s="100">
        <v>1</v>
      </c>
      <c r="O72" s="100">
        <v>1</v>
      </c>
      <c r="P72" s="100">
        <v>1</v>
      </c>
      <c r="R72" s="100">
        <v>1</v>
      </c>
      <c r="S72" s="100">
        <v>1</v>
      </c>
      <c r="T72" s="100">
        <v>1</v>
      </c>
      <c r="V72" s="100">
        <v>12</v>
      </c>
      <c r="W72" s="100">
        <v>12</v>
      </c>
      <c r="Y72" s="100">
        <v>12</v>
      </c>
      <c r="Z72" s="100">
        <v>12</v>
      </c>
      <c r="AB72" s="100">
        <v>12</v>
      </c>
      <c r="AC72" s="100">
        <v>12</v>
      </c>
      <c r="AE72" s="100">
        <v>12</v>
      </c>
      <c r="AF72" s="100">
        <v>12</v>
      </c>
      <c r="AH72" s="8">
        <v>8</v>
      </c>
      <c r="AI72" s="101">
        <v>7.407407407407407E-2</v>
      </c>
      <c r="AJ72" s="102">
        <v>80000000</v>
      </c>
    </row>
    <row r="73" spans="2:45">
      <c r="B73" s="100">
        <v>4</v>
      </c>
      <c r="C73" s="100">
        <v>0</v>
      </c>
      <c r="D73" s="100">
        <v>1</v>
      </c>
      <c r="F73" s="100">
        <v>1</v>
      </c>
      <c r="G73" s="100">
        <v>1</v>
      </c>
      <c r="H73" s="100">
        <v>1</v>
      </c>
      <c r="J73" s="100">
        <v>1</v>
      </c>
      <c r="K73" s="100">
        <v>1</v>
      </c>
      <c r="L73" s="100">
        <v>1</v>
      </c>
      <c r="N73" s="100">
        <v>1</v>
      </c>
      <c r="O73" s="100">
        <v>1</v>
      </c>
      <c r="P73" s="100">
        <v>1</v>
      </c>
      <c r="R73" s="100">
        <v>1</v>
      </c>
      <c r="S73" s="100">
        <v>1</v>
      </c>
      <c r="T73" s="100">
        <v>1</v>
      </c>
      <c r="V73" s="100">
        <v>13</v>
      </c>
      <c r="W73" s="100">
        <v>25</v>
      </c>
      <c r="Y73" s="100">
        <v>13</v>
      </c>
      <c r="Z73" s="100">
        <v>25</v>
      </c>
      <c r="AB73" s="100">
        <v>13</v>
      </c>
      <c r="AC73" s="100">
        <v>25</v>
      </c>
      <c r="AE73" s="100">
        <v>13</v>
      </c>
      <c r="AF73" s="100">
        <v>25</v>
      </c>
      <c r="AH73" s="8">
        <v>9</v>
      </c>
      <c r="AI73" s="101">
        <v>7.407407407407407E-2</v>
      </c>
      <c r="AJ73" s="102">
        <v>80000000</v>
      </c>
    </row>
    <row r="74" spans="2:45">
      <c r="B74" s="100">
        <v>4</v>
      </c>
      <c r="C74" s="100">
        <v>0</v>
      </c>
      <c r="D74" s="100">
        <v>1</v>
      </c>
      <c r="F74" s="100">
        <v>1</v>
      </c>
      <c r="G74" s="100">
        <v>1</v>
      </c>
      <c r="H74" s="100">
        <v>1</v>
      </c>
      <c r="J74" s="100">
        <v>1</v>
      </c>
      <c r="K74" s="100">
        <v>1</v>
      </c>
      <c r="L74" s="100">
        <v>1</v>
      </c>
      <c r="N74" s="100">
        <v>1</v>
      </c>
      <c r="O74" s="100">
        <v>1</v>
      </c>
      <c r="P74" s="100">
        <v>1</v>
      </c>
      <c r="R74" s="100">
        <v>1</v>
      </c>
      <c r="S74" s="100">
        <v>1</v>
      </c>
      <c r="T74" s="100">
        <v>1</v>
      </c>
      <c r="V74" s="100">
        <v>14</v>
      </c>
      <c r="W74" s="100">
        <v>14</v>
      </c>
      <c r="Y74" s="100">
        <v>14</v>
      </c>
      <c r="Z74" s="100">
        <v>14</v>
      </c>
      <c r="AB74" s="100">
        <v>14</v>
      </c>
      <c r="AC74" s="100">
        <v>14</v>
      </c>
      <c r="AE74" s="100">
        <v>14</v>
      </c>
      <c r="AF74" s="100">
        <v>14</v>
      </c>
      <c r="AH74" s="8">
        <v>10</v>
      </c>
      <c r="AI74" s="101">
        <v>7.407407407407407E-2</v>
      </c>
      <c r="AJ74" s="102">
        <v>80000000</v>
      </c>
    </row>
    <row r="75" spans="2:45">
      <c r="B75" s="100">
        <v>3</v>
      </c>
      <c r="C75" s="100">
        <v>0</v>
      </c>
      <c r="D75" s="100">
        <v>5</v>
      </c>
      <c r="F75" s="100">
        <v>1</v>
      </c>
      <c r="G75" s="100">
        <v>1</v>
      </c>
      <c r="H75" s="100">
        <v>1</v>
      </c>
      <c r="J75" s="100">
        <v>1</v>
      </c>
      <c r="K75" s="100">
        <v>1</v>
      </c>
      <c r="L75" s="100">
        <v>1</v>
      </c>
      <c r="N75" s="100">
        <v>1</v>
      </c>
      <c r="O75" s="100">
        <v>1</v>
      </c>
      <c r="P75" s="100">
        <v>1</v>
      </c>
      <c r="R75" s="100">
        <v>1</v>
      </c>
      <c r="S75" s="100">
        <v>1</v>
      </c>
      <c r="T75" s="100">
        <v>1</v>
      </c>
      <c r="V75" s="100">
        <v>15</v>
      </c>
      <c r="W75" s="100">
        <v>15</v>
      </c>
      <c r="Y75" s="100">
        <v>15</v>
      </c>
      <c r="Z75" s="100">
        <v>15</v>
      </c>
      <c r="AB75" s="100">
        <v>15</v>
      </c>
      <c r="AC75" s="100">
        <v>15</v>
      </c>
      <c r="AE75" s="100">
        <v>15</v>
      </c>
      <c r="AF75" s="100">
        <v>15</v>
      </c>
      <c r="AH75" s="8">
        <v>20</v>
      </c>
      <c r="AI75" s="101">
        <v>7.407407407407407E-2</v>
      </c>
      <c r="AJ75" s="102">
        <v>80000000</v>
      </c>
    </row>
    <row r="76" spans="2:45">
      <c r="B76" s="100">
        <v>3</v>
      </c>
      <c r="C76" s="100">
        <v>2</v>
      </c>
      <c r="D76" s="100">
        <v>5</v>
      </c>
      <c r="F76" s="100">
        <v>1</v>
      </c>
      <c r="G76" s="100">
        <v>1</v>
      </c>
      <c r="H76" s="100">
        <v>1</v>
      </c>
      <c r="J76" s="100">
        <v>1</v>
      </c>
      <c r="K76" s="100">
        <v>1</v>
      </c>
      <c r="L76" s="100">
        <v>1</v>
      </c>
      <c r="N76" s="100">
        <v>1</v>
      </c>
      <c r="O76" s="100">
        <v>1</v>
      </c>
      <c r="P76" s="100">
        <v>1</v>
      </c>
      <c r="R76" s="100">
        <v>1</v>
      </c>
      <c r="S76" s="100">
        <v>1</v>
      </c>
      <c r="T76" s="100">
        <v>1</v>
      </c>
      <c r="V76" s="100">
        <v>8</v>
      </c>
      <c r="W76" s="100">
        <v>8</v>
      </c>
      <c r="Y76" s="100">
        <v>12</v>
      </c>
      <c r="Z76" s="100">
        <v>12</v>
      </c>
      <c r="AB76" s="100">
        <v>12</v>
      </c>
      <c r="AC76" s="100">
        <v>12</v>
      </c>
      <c r="AE76" s="100">
        <v>12</v>
      </c>
      <c r="AF76" s="100">
        <v>12</v>
      </c>
      <c r="AH76" s="8">
        <v>50</v>
      </c>
      <c r="AI76" s="101">
        <v>7.407407407407407E-2</v>
      </c>
      <c r="AJ76" s="102">
        <v>80000000</v>
      </c>
    </row>
    <row r="77" spans="2:45">
      <c r="B77" s="100">
        <v>7</v>
      </c>
      <c r="C77" s="100">
        <v>2</v>
      </c>
      <c r="D77" s="100">
        <v>1</v>
      </c>
      <c r="F77" s="100">
        <v>1</v>
      </c>
      <c r="G77" s="100">
        <v>1</v>
      </c>
      <c r="H77" s="100">
        <v>1</v>
      </c>
      <c r="J77" s="100">
        <v>1</v>
      </c>
      <c r="K77" s="100">
        <v>1</v>
      </c>
      <c r="L77" s="100">
        <v>1</v>
      </c>
      <c r="N77" s="100">
        <v>1</v>
      </c>
      <c r="O77" s="100">
        <v>1</v>
      </c>
      <c r="P77" s="100">
        <v>1</v>
      </c>
      <c r="R77" s="100">
        <v>1</v>
      </c>
      <c r="S77" s="100">
        <v>1</v>
      </c>
      <c r="T77" s="100">
        <v>1</v>
      </c>
      <c r="V77" s="100">
        <v>10</v>
      </c>
      <c r="W77" s="100">
        <v>22</v>
      </c>
      <c r="Y77" s="100">
        <v>10</v>
      </c>
      <c r="Z77" s="100">
        <v>22</v>
      </c>
      <c r="AB77" s="100">
        <v>13</v>
      </c>
      <c r="AC77" s="100">
        <v>25</v>
      </c>
      <c r="AE77" s="100">
        <v>10</v>
      </c>
      <c r="AF77" s="100">
        <v>22</v>
      </c>
      <c r="AJ77" s="103"/>
    </row>
    <row r="78" spans="2:45">
      <c r="B78" s="100">
        <v>7</v>
      </c>
      <c r="C78" s="100">
        <v>7</v>
      </c>
      <c r="D78" s="100">
        <v>1</v>
      </c>
      <c r="F78" s="100">
        <v>1</v>
      </c>
      <c r="G78" s="100">
        <v>1</v>
      </c>
      <c r="H78" s="100">
        <v>1</v>
      </c>
      <c r="J78" s="100">
        <v>1</v>
      </c>
      <c r="K78" s="100">
        <v>1</v>
      </c>
      <c r="L78" s="100">
        <v>1</v>
      </c>
      <c r="N78" s="100">
        <v>1</v>
      </c>
      <c r="O78" s="100">
        <v>1</v>
      </c>
      <c r="P78" s="100">
        <v>1</v>
      </c>
      <c r="R78" s="100">
        <v>1</v>
      </c>
      <c r="S78" s="100">
        <v>1</v>
      </c>
      <c r="T78" s="100">
        <v>1</v>
      </c>
      <c r="V78" s="100">
        <v>9</v>
      </c>
      <c r="W78" s="100">
        <v>9</v>
      </c>
      <c r="Y78" s="100">
        <v>9</v>
      </c>
      <c r="Z78" s="100">
        <v>9</v>
      </c>
      <c r="AB78" s="100">
        <v>14</v>
      </c>
      <c r="AC78" s="100">
        <v>14</v>
      </c>
      <c r="AE78" s="100">
        <v>9</v>
      </c>
      <c r="AF78" s="100">
        <v>9</v>
      </c>
    </row>
    <row r="79" spans="2:45" ht="16.2">
      <c r="B79" s="100">
        <v>4</v>
      </c>
      <c r="C79" s="100">
        <v>7</v>
      </c>
      <c r="D79" s="100">
        <v>1</v>
      </c>
      <c r="F79" s="100">
        <v>1</v>
      </c>
      <c r="G79" s="100">
        <v>1</v>
      </c>
      <c r="H79" s="100">
        <v>1</v>
      </c>
      <c r="J79" s="100">
        <v>1</v>
      </c>
      <c r="K79" s="100">
        <v>1</v>
      </c>
      <c r="L79" s="100">
        <v>1</v>
      </c>
      <c r="N79" s="100">
        <v>1</v>
      </c>
      <c r="O79" s="100">
        <v>1</v>
      </c>
      <c r="P79" s="100">
        <v>1</v>
      </c>
      <c r="R79" s="100">
        <v>1</v>
      </c>
      <c r="S79" s="100">
        <v>1</v>
      </c>
      <c r="T79" s="100">
        <v>1</v>
      </c>
      <c r="V79" s="100">
        <v>8</v>
      </c>
      <c r="W79" s="100">
        <v>20</v>
      </c>
      <c r="Y79" s="100">
        <v>13</v>
      </c>
      <c r="Z79" s="100">
        <v>25</v>
      </c>
      <c r="AB79" s="100">
        <v>13</v>
      </c>
      <c r="AC79" s="100">
        <v>25</v>
      </c>
      <c r="AE79" s="100">
        <v>13</v>
      </c>
      <c r="AF79" s="100">
        <v>25</v>
      </c>
      <c r="AH79" s="140" t="s">
        <v>100</v>
      </c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</row>
    <row r="80" spans="2:45" ht="16.2">
      <c r="B80" s="100">
        <v>4</v>
      </c>
      <c r="C80" s="100">
        <v>1</v>
      </c>
      <c r="D80" s="100">
        <v>6</v>
      </c>
      <c r="F80" s="100">
        <v>1</v>
      </c>
      <c r="G80" s="100">
        <v>1</v>
      </c>
      <c r="H80" s="100">
        <v>1</v>
      </c>
      <c r="J80" s="100">
        <v>1</v>
      </c>
      <c r="K80" s="100">
        <v>1</v>
      </c>
      <c r="L80" s="100">
        <v>1</v>
      </c>
      <c r="N80" s="100">
        <v>1</v>
      </c>
      <c r="O80" s="100">
        <v>1</v>
      </c>
      <c r="P80" s="100">
        <v>1</v>
      </c>
      <c r="R80" s="100">
        <v>1</v>
      </c>
      <c r="S80" s="100">
        <v>1</v>
      </c>
      <c r="T80" s="100">
        <v>1</v>
      </c>
      <c r="V80" s="100">
        <v>16</v>
      </c>
      <c r="W80" s="100">
        <v>16</v>
      </c>
      <c r="Y80" s="100">
        <v>16</v>
      </c>
      <c r="Z80" s="100">
        <v>16</v>
      </c>
      <c r="AB80" s="100">
        <v>16</v>
      </c>
      <c r="AC80" s="100">
        <v>16</v>
      </c>
      <c r="AE80" s="100">
        <v>16</v>
      </c>
      <c r="AF80" s="100">
        <v>16</v>
      </c>
      <c r="AH80" s="98" t="str" cm="1">
        <f t="array" ref="AH80:AH91">'Pay Combo Extra Bet (1)'!V2:V13</f>
        <v>Re-spin multi(per spin)</v>
      </c>
      <c r="AI80" s="98" cm="1">
        <f t="array" ref="AI80:AS91">'Pay Combo Extra Bet (1)'!AH2:AR13</f>
        <v>2</v>
      </c>
      <c r="AJ80" s="98">
        <v>3</v>
      </c>
      <c r="AK80" s="98">
        <v>4</v>
      </c>
      <c r="AL80" s="98">
        <v>5</v>
      </c>
      <c r="AM80" s="98">
        <v>6</v>
      </c>
      <c r="AN80" s="98">
        <v>7</v>
      </c>
      <c r="AO80" s="98">
        <v>8</v>
      </c>
      <c r="AP80" s="98">
        <v>9</v>
      </c>
      <c r="AQ80" s="98">
        <v>10</v>
      </c>
      <c r="AR80" s="98">
        <v>20</v>
      </c>
      <c r="AS80" s="98">
        <v>50</v>
      </c>
    </row>
    <row r="81" spans="2:45">
      <c r="B81" s="100">
        <v>6</v>
      </c>
      <c r="C81" s="100">
        <v>1</v>
      </c>
      <c r="D81" s="100">
        <v>6</v>
      </c>
      <c r="F81" s="100">
        <v>1</v>
      </c>
      <c r="G81" s="100">
        <v>1</v>
      </c>
      <c r="H81" s="100">
        <v>1</v>
      </c>
      <c r="J81" s="100">
        <v>1</v>
      </c>
      <c r="K81" s="100">
        <v>1</v>
      </c>
      <c r="L81" s="100">
        <v>1</v>
      </c>
      <c r="N81" s="100">
        <v>1</v>
      </c>
      <c r="O81" s="100">
        <v>1</v>
      </c>
      <c r="P81" s="100">
        <v>1</v>
      </c>
      <c r="R81" s="100">
        <v>1</v>
      </c>
      <c r="S81" s="100">
        <v>1</v>
      </c>
      <c r="T81" s="100">
        <v>1</v>
      </c>
      <c r="V81" s="100">
        <v>15</v>
      </c>
      <c r="W81" s="100">
        <v>27</v>
      </c>
      <c r="Y81" s="100">
        <v>15</v>
      </c>
      <c r="Z81" s="100">
        <v>27</v>
      </c>
      <c r="AB81" s="100">
        <v>15</v>
      </c>
      <c r="AC81" s="100">
        <v>27</v>
      </c>
      <c r="AE81" s="100">
        <v>15</v>
      </c>
      <c r="AF81" s="100">
        <v>27</v>
      </c>
      <c r="AH81" s="8">
        <v>1</v>
      </c>
      <c r="AI81" s="102">
        <v>0</v>
      </c>
      <c r="AJ81" s="102">
        <v>0</v>
      </c>
      <c r="AK81" s="102">
        <v>0</v>
      </c>
      <c r="AL81" s="102">
        <v>0</v>
      </c>
      <c r="AM81" s="102">
        <v>0</v>
      </c>
      <c r="AN81" s="102">
        <v>0</v>
      </c>
      <c r="AO81" s="102">
        <v>0</v>
      </c>
      <c r="AP81" s="102">
        <v>0</v>
      </c>
      <c r="AQ81" s="102">
        <v>0</v>
      </c>
      <c r="AR81" s="102">
        <v>0</v>
      </c>
      <c r="AS81" s="102">
        <v>0</v>
      </c>
    </row>
    <row r="82" spans="2:45">
      <c r="B82" s="100">
        <v>6</v>
      </c>
      <c r="C82" s="100">
        <v>1</v>
      </c>
      <c r="D82" s="100">
        <v>3</v>
      </c>
      <c r="F82" s="100">
        <v>1</v>
      </c>
      <c r="G82" s="100">
        <v>1</v>
      </c>
      <c r="H82" s="100">
        <v>1</v>
      </c>
      <c r="J82" s="100">
        <v>1</v>
      </c>
      <c r="K82" s="100">
        <v>1</v>
      </c>
      <c r="L82" s="100">
        <v>1</v>
      </c>
      <c r="N82" s="100">
        <v>1</v>
      </c>
      <c r="O82" s="100">
        <v>1</v>
      </c>
      <c r="P82" s="100">
        <v>1</v>
      </c>
      <c r="R82" s="100">
        <v>1</v>
      </c>
      <c r="S82" s="100">
        <v>1</v>
      </c>
      <c r="T82" s="100">
        <v>1</v>
      </c>
      <c r="V82" s="100">
        <v>13</v>
      </c>
      <c r="W82" s="100">
        <v>13</v>
      </c>
      <c r="Y82" s="100">
        <v>13</v>
      </c>
      <c r="Z82" s="100">
        <v>13</v>
      </c>
      <c r="AB82" s="100">
        <v>17</v>
      </c>
      <c r="AC82" s="100">
        <v>13</v>
      </c>
      <c r="AE82" s="100">
        <v>13</v>
      </c>
      <c r="AF82" s="100">
        <v>13</v>
      </c>
      <c r="AH82" s="8">
        <v>2</v>
      </c>
      <c r="AI82" s="102">
        <v>0</v>
      </c>
      <c r="AJ82" s="102">
        <v>0</v>
      </c>
      <c r="AK82" s="102">
        <v>0</v>
      </c>
      <c r="AL82" s="102">
        <v>250000000</v>
      </c>
      <c r="AM82" s="102">
        <v>250000000</v>
      </c>
      <c r="AN82" s="102">
        <v>250000000</v>
      </c>
      <c r="AO82" s="102">
        <v>240000000</v>
      </c>
      <c r="AP82" s="102">
        <v>240000000</v>
      </c>
      <c r="AQ82" s="102">
        <v>240000000</v>
      </c>
      <c r="AR82" s="102">
        <v>240000000</v>
      </c>
      <c r="AS82" s="102">
        <v>240000000</v>
      </c>
    </row>
    <row r="83" spans="2:45">
      <c r="B83" s="100">
        <v>3</v>
      </c>
      <c r="C83" s="100">
        <v>6</v>
      </c>
      <c r="D83" s="100">
        <v>3</v>
      </c>
      <c r="F83" s="100">
        <v>1</v>
      </c>
      <c r="G83" s="100">
        <v>1</v>
      </c>
      <c r="H83" s="100">
        <v>1</v>
      </c>
      <c r="J83" s="100">
        <v>1</v>
      </c>
      <c r="K83" s="100">
        <v>1</v>
      </c>
      <c r="L83" s="100">
        <v>1</v>
      </c>
      <c r="N83" s="100">
        <v>1</v>
      </c>
      <c r="O83" s="100">
        <v>1</v>
      </c>
      <c r="P83" s="100">
        <v>1</v>
      </c>
      <c r="R83" s="100">
        <v>1</v>
      </c>
      <c r="S83" s="100">
        <v>1</v>
      </c>
      <c r="T83" s="100">
        <v>1</v>
      </c>
      <c r="V83" s="100">
        <v>9</v>
      </c>
      <c r="W83" s="100">
        <v>21</v>
      </c>
      <c r="Y83" s="100">
        <v>9</v>
      </c>
      <c r="Z83" s="100">
        <v>21</v>
      </c>
      <c r="AB83" s="100">
        <v>13</v>
      </c>
      <c r="AC83" s="100">
        <v>25</v>
      </c>
      <c r="AE83" s="100">
        <v>9</v>
      </c>
      <c r="AF83" s="100">
        <v>21</v>
      </c>
      <c r="AH83" s="8">
        <v>3</v>
      </c>
      <c r="AI83" s="102">
        <v>0</v>
      </c>
      <c r="AJ83" s="102">
        <v>250000000</v>
      </c>
      <c r="AK83" s="102">
        <v>250000000</v>
      </c>
      <c r="AL83" s="102">
        <v>200000000</v>
      </c>
      <c r="AM83" s="102">
        <v>200000000</v>
      </c>
      <c r="AN83" s="102">
        <v>200000000</v>
      </c>
      <c r="AO83" s="102">
        <v>170000000</v>
      </c>
      <c r="AP83" s="102">
        <v>170000000</v>
      </c>
      <c r="AQ83" s="102">
        <v>170000000</v>
      </c>
      <c r="AR83" s="102">
        <v>170000000</v>
      </c>
      <c r="AS83" s="102">
        <v>170000000</v>
      </c>
    </row>
    <row r="84" spans="2:45">
      <c r="B84" s="100">
        <v>3</v>
      </c>
      <c r="C84" s="100">
        <v>6</v>
      </c>
      <c r="D84" s="100">
        <v>3</v>
      </c>
      <c r="F84" s="100">
        <v>1</v>
      </c>
      <c r="G84" s="100">
        <v>1</v>
      </c>
      <c r="H84" s="100">
        <v>1</v>
      </c>
      <c r="J84" s="100">
        <v>1</v>
      </c>
      <c r="K84" s="100">
        <v>1</v>
      </c>
      <c r="L84" s="100">
        <v>1</v>
      </c>
      <c r="N84" s="100">
        <v>1</v>
      </c>
      <c r="O84" s="100">
        <v>1</v>
      </c>
      <c r="P84" s="100">
        <v>1</v>
      </c>
      <c r="R84" s="100">
        <v>1</v>
      </c>
      <c r="S84" s="100">
        <v>1</v>
      </c>
      <c r="T84" s="100">
        <v>1</v>
      </c>
      <c r="V84" s="100">
        <v>10</v>
      </c>
      <c r="W84" s="100">
        <v>10</v>
      </c>
      <c r="Y84" s="100">
        <v>10</v>
      </c>
      <c r="Z84" s="100">
        <v>10</v>
      </c>
      <c r="AB84" s="100">
        <v>12</v>
      </c>
      <c r="AC84" s="100">
        <v>12</v>
      </c>
      <c r="AE84" s="100">
        <v>10</v>
      </c>
      <c r="AF84" s="100">
        <v>10</v>
      </c>
      <c r="AH84" s="8">
        <v>5</v>
      </c>
      <c r="AI84" s="102">
        <v>150000000</v>
      </c>
      <c r="AJ84" s="102">
        <v>150000000</v>
      </c>
      <c r="AK84" s="102">
        <v>150000000</v>
      </c>
      <c r="AL84" s="102">
        <v>160000000</v>
      </c>
      <c r="AM84" s="102">
        <v>160000000</v>
      </c>
      <c r="AN84" s="102">
        <v>160000000</v>
      </c>
      <c r="AO84" s="102">
        <v>130000000</v>
      </c>
      <c r="AP84" s="102">
        <v>130000000</v>
      </c>
      <c r="AQ84" s="102">
        <v>130000000</v>
      </c>
      <c r="AR84" s="102">
        <v>130000000</v>
      </c>
      <c r="AS84" s="102">
        <v>130000000</v>
      </c>
    </row>
    <row r="85" spans="2:45">
      <c r="B85" s="100">
        <v>5</v>
      </c>
      <c r="C85" s="100">
        <v>4</v>
      </c>
      <c r="D85" s="100">
        <v>7</v>
      </c>
      <c r="F85" s="100">
        <v>1</v>
      </c>
      <c r="G85" s="100">
        <v>1</v>
      </c>
      <c r="H85" s="100">
        <v>1</v>
      </c>
      <c r="J85" s="100">
        <v>1</v>
      </c>
      <c r="K85" s="100">
        <v>1</v>
      </c>
      <c r="L85" s="100">
        <v>1</v>
      </c>
      <c r="N85" s="100">
        <v>1</v>
      </c>
      <c r="O85" s="100">
        <v>1</v>
      </c>
      <c r="P85" s="100">
        <v>1</v>
      </c>
      <c r="R85" s="100">
        <v>1</v>
      </c>
      <c r="S85" s="100">
        <v>1</v>
      </c>
      <c r="T85" s="100">
        <v>1</v>
      </c>
      <c r="V85" s="100">
        <v>8</v>
      </c>
      <c r="W85" s="100">
        <v>20</v>
      </c>
      <c r="Y85" s="100">
        <v>14</v>
      </c>
      <c r="Z85" s="100">
        <v>26</v>
      </c>
      <c r="AB85" s="100">
        <v>14</v>
      </c>
      <c r="AC85" s="100">
        <v>26</v>
      </c>
      <c r="AE85" s="100">
        <v>14</v>
      </c>
      <c r="AF85" s="100">
        <v>26</v>
      </c>
      <c r="AH85" s="8">
        <v>10</v>
      </c>
      <c r="AI85" s="102">
        <v>100000000</v>
      </c>
      <c r="AJ85" s="102">
        <v>100000000</v>
      </c>
      <c r="AK85" s="102">
        <v>100000000</v>
      </c>
      <c r="AL85" s="102">
        <v>80000000</v>
      </c>
      <c r="AM85" s="102">
        <v>80000000</v>
      </c>
      <c r="AN85" s="102">
        <v>80000000</v>
      </c>
      <c r="AO85" s="102">
        <v>80000000</v>
      </c>
      <c r="AP85" s="102">
        <v>80000000</v>
      </c>
      <c r="AQ85" s="102">
        <v>80000000</v>
      </c>
      <c r="AR85" s="102">
        <v>80000000</v>
      </c>
      <c r="AS85" s="102">
        <v>80000000</v>
      </c>
    </row>
    <row r="86" spans="2:45">
      <c r="B86" s="100">
        <v>5</v>
      </c>
      <c r="C86" s="100">
        <v>4</v>
      </c>
      <c r="D86" s="100">
        <v>7</v>
      </c>
      <c r="F86" s="100">
        <v>1</v>
      </c>
      <c r="G86" s="100">
        <v>1</v>
      </c>
      <c r="H86" s="100">
        <v>1</v>
      </c>
      <c r="J86" s="100">
        <v>1</v>
      </c>
      <c r="K86" s="100">
        <v>1</v>
      </c>
      <c r="L86" s="100">
        <v>1</v>
      </c>
      <c r="N86" s="100">
        <v>1</v>
      </c>
      <c r="O86" s="100">
        <v>1</v>
      </c>
      <c r="P86" s="100">
        <v>1</v>
      </c>
      <c r="R86" s="100">
        <v>1</v>
      </c>
      <c r="S86" s="100">
        <v>1</v>
      </c>
      <c r="T86" s="100">
        <v>1</v>
      </c>
      <c r="V86" s="100">
        <v>9</v>
      </c>
      <c r="W86" s="100">
        <v>9</v>
      </c>
      <c r="Y86" s="100">
        <v>9</v>
      </c>
      <c r="Z86" s="100">
        <v>9</v>
      </c>
      <c r="AB86" s="100">
        <v>16</v>
      </c>
      <c r="AC86" s="100">
        <v>16</v>
      </c>
      <c r="AE86" s="100">
        <v>9</v>
      </c>
      <c r="AF86" s="100">
        <v>9</v>
      </c>
      <c r="AH86" s="8">
        <v>15</v>
      </c>
      <c r="AI86" s="102">
        <v>80000000</v>
      </c>
      <c r="AJ86" s="102">
        <v>80000000</v>
      </c>
      <c r="AK86" s="102">
        <v>80000000</v>
      </c>
      <c r="AL86" s="102">
        <v>50000000</v>
      </c>
      <c r="AM86" s="102">
        <v>50000000</v>
      </c>
      <c r="AN86" s="102">
        <v>50000000</v>
      </c>
      <c r="AO86" s="102">
        <v>50000000</v>
      </c>
      <c r="AP86" s="102">
        <v>50000000</v>
      </c>
      <c r="AQ86" s="102">
        <v>50000000</v>
      </c>
      <c r="AR86" s="102">
        <v>50000000</v>
      </c>
      <c r="AS86" s="102">
        <v>50000000</v>
      </c>
    </row>
    <row r="87" spans="2:45">
      <c r="B87" s="100">
        <v>7</v>
      </c>
      <c r="C87" s="100">
        <v>2</v>
      </c>
      <c r="D87" s="100">
        <v>7</v>
      </c>
      <c r="F87" s="100">
        <v>1</v>
      </c>
      <c r="G87" s="100">
        <v>1</v>
      </c>
      <c r="H87" s="100">
        <v>1</v>
      </c>
      <c r="J87" s="100">
        <v>1</v>
      </c>
      <c r="K87" s="100">
        <v>1</v>
      </c>
      <c r="L87" s="100">
        <v>1</v>
      </c>
      <c r="N87" s="100">
        <v>1</v>
      </c>
      <c r="O87" s="100">
        <v>1</v>
      </c>
      <c r="P87" s="100">
        <v>1</v>
      </c>
      <c r="R87" s="100">
        <v>1</v>
      </c>
      <c r="S87" s="100">
        <v>1</v>
      </c>
      <c r="T87" s="100">
        <v>1</v>
      </c>
      <c r="V87" s="100">
        <v>12</v>
      </c>
      <c r="W87" s="100">
        <v>24</v>
      </c>
      <c r="Y87" s="100">
        <v>12</v>
      </c>
      <c r="Z87" s="100">
        <v>24</v>
      </c>
      <c r="AB87" s="100">
        <v>12</v>
      </c>
      <c r="AC87" s="100">
        <v>24</v>
      </c>
      <c r="AE87" s="100">
        <v>12</v>
      </c>
      <c r="AF87" s="100">
        <v>24</v>
      </c>
      <c r="AH87" s="8">
        <v>20</v>
      </c>
      <c r="AI87" s="102">
        <v>20000000</v>
      </c>
      <c r="AJ87" s="102">
        <v>20000000</v>
      </c>
      <c r="AK87" s="102">
        <v>20000000</v>
      </c>
      <c r="AL87" s="102">
        <v>20000000</v>
      </c>
      <c r="AM87" s="102">
        <v>20000000</v>
      </c>
      <c r="AN87" s="102">
        <v>20000000</v>
      </c>
      <c r="AO87" s="102">
        <v>20000000</v>
      </c>
      <c r="AP87" s="102">
        <v>20000000</v>
      </c>
      <c r="AQ87" s="102">
        <v>20000000</v>
      </c>
      <c r="AR87" s="102">
        <v>20000000</v>
      </c>
      <c r="AS87" s="102">
        <v>20000000</v>
      </c>
    </row>
    <row r="88" spans="2:45">
      <c r="B88" s="100">
        <v>7</v>
      </c>
      <c r="C88" s="100">
        <v>2</v>
      </c>
      <c r="D88" s="100">
        <v>2</v>
      </c>
      <c r="F88" s="100">
        <v>1</v>
      </c>
      <c r="G88" s="100">
        <v>1</v>
      </c>
      <c r="H88" s="100">
        <v>1</v>
      </c>
      <c r="J88" s="100">
        <v>1</v>
      </c>
      <c r="K88" s="100">
        <v>1</v>
      </c>
      <c r="L88" s="100">
        <v>1</v>
      </c>
      <c r="N88" s="100">
        <v>1</v>
      </c>
      <c r="O88" s="100">
        <v>1</v>
      </c>
      <c r="P88" s="100">
        <v>1</v>
      </c>
      <c r="R88" s="100">
        <v>1</v>
      </c>
      <c r="S88" s="100">
        <v>1</v>
      </c>
      <c r="T88" s="100">
        <v>1</v>
      </c>
      <c r="V88" s="100" t="str">
        <v/>
      </c>
      <c r="W88" s="100" t="str">
        <v/>
      </c>
      <c r="Y88" s="100" t="str">
        <v/>
      </c>
      <c r="Z88" s="100" t="str">
        <v/>
      </c>
      <c r="AB88" s="100" t="str">
        <v/>
      </c>
      <c r="AC88" s="100" t="str">
        <v/>
      </c>
      <c r="AE88" s="100" t="str">
        <v/>
      </c>
      <c r="AF88" s="100" t="str">
        <v/>
      </c>
      <c r="AH88" s="8">
        <v>25</v>
      </c>
      <c r="AI88" s="102">
        <v>15000000</v>
      </c>
      <c r="AJ88" s="102">
        <v>15000000</v>
      </c>
      <c r="AK88" s="102">
        <v>15000000</v>
      </c>
      <c r="AL88" s="102">
        <v>15000000</v>
      </c>
      <c r="AM88" s="102">
        <v>15000000</v>
      </c>
      <c r="AN88" s="102">
        <v>15000000</v>
      </c>
      <c r="AO88" s="102">
        <v>15000000</v>
      </c>
      <c r="AP88" s="102">
        <v>15000000</v>
      </c>
      <c r="AQ88" s="102">
        <v>15000000</v>
      </c>
      <c r="AR88" s="102">
        <v>15000000</v>
      </c>
      <c r="AS88" s="102">
        <v>15000000</v>
      </c>
    </row>
    <row r="89" spans="2:45">
      <c r="B89" s="100">
        <v>1</v>
      </c>
      <c r="C89" s="100">
        <v>7</v>
      </c>
      <c r="D89" s="100">
        <v>2</v>
      </c>
      <c r="F89" s="100">
        <v>1</v>
      </c>
      <c r="G89" s="100">
        <v>1</v>
      </c>
      <c r="H89" s="100">
        <v>1</v>
      </c>
      <c r="J89" s="100">
        <v>1</v>
      </c>
      <c r="K89" s="100">
        <v>1</v>
      </c>
      <c r="L89" s="100">
        <v>1</v>
      </c>
      <c r="N89" s="100">
        <v>1</v>
      </c>
      <c r="O89" s="100">
        <v>1</v>
      </c>
      <c r="P89" s="100">
        <v>1</v>
      </c>
      <c r="R89" s="100">
        <v>1</v>
      </c>
      <c r="S89" s="100">
        <v>1</v>
      </c>
      <c r="T89" s="100">
        <v>1</v>
      </c>
      <c r="V89" s="100" t="str">
        <v/>
      </c>
      <c r="W89" s="100" t="str">
        <v/>
      </c>
      <c r="Y89" s="100" t="str">
        <v/>
      </c>
      <c r="Z89" s="100" t="str">
        <v/>
      </c>
      <c r="AB89" s="100" t="str">
        <v/>
      </c>
      <c r="AC89" s="100" t="str">
        <v/>
      </c>
      <c r="AE89" s="100" t="str">
        <v/>
      </c>
      <c r="AF89" s="100" t="str">
        <v/>
      </c>
      <c r="AH89" s="8">
        <v>50</v>
      </c>
      <c r="AI89" s="102">
        <v>15000000</v>
      </c>
      <c r="AJ89" s="102">
        <v>15000000</v>
      </c>
      <c r="AK89" s="102">
        <v>15000000</v>
      </c>
      <c r="AL89" s="102">
        <v>15000000</v>
      </c>
      <c r="AM89" s="102">
        <v>15000000</v>
      </c>
      <c r="AN89" s="102">
        <v>15000000</v>
      </c>
      <c r="AO89" s="102">
        <v>15000000</v>
      </c>
      <c r="AP89" s="102">
        <v>15000000</v>
      </c>
      <c r="AQ89" s="102">
        <v>15000000</v>
      </c>
      <c r="AR89" s="102">
        <v>15000000</v>
      </c>
      <c r="AS89" s="102">
        <v>15000000</v>
      </c>
    </row>
    <row r="90" spans="2:45">
      <c r="B90" s="100">
        <v>1</v>
      </c>
      <c r="C90" s="100">
        <v>7</v>
      </c>
      <c r="D90" s="100">
        <v>2</v>
      </c>
      <c r="F90" s="100">
        <v>1</v>
      </c>
      <c r="G90" s="100">
        <v>1</v>
      </c>
      <c r="H90" s="100">
        <v>1</v>
      </c>
      <c r="J90" s="100">
        <v>1</v>
      </c>
      <c r="K90" s="100">
        <v>1</v>
      </c>
      <c r="L90" s="100">
        <v>1</v>
      </c>
      <c r="N90" s="100">
        <v>1</v>
      </c>
      <c r="O90" s="100">
        <v>1</v>
      </c>
      <c r="P90" s="100">
        <v>1</v>
      </c>
      <c r="R90" s="100">
        <v>1</v>
      </c>
      <c r="S90" s="100">
        <v>1</v>
      </c>
      <c r="T90" s="100">
        <v>1</v>
      </c>
      <c r="V90" s="100" t="str">
        <v/>
      </c>
      <c r="W90" s="100" t="str">
        <v/>
      </c>
      <c r="Y90" s="100" t="str">
        <v/>
      </c>
      <c r="Z90" s="100" t="str">
        <v/>
      </c>
      <c r="AB90" s="100" t="str">
        <v/>
      </c>
      <c r="AC90" s="100" t="str">
        <v/>
      </c>
      <c r="AE90" s="100" t="str">
        <v/>
      </c>
      <c r="AF90" s="100" t="str">
        <v/>
      </c>
      <c r="AH90" s="8">
        <v>100</v>
      </c>
      <c r="AI90" s="102">
        <v>10000000</v>
      </c>
      <c r="AJ90" s="102">
        <v>10000000</v>
      </c>
      <c r="AK90" s="102">
        <v>10000000</v>
      </c>
      <c r="AL90" s="102">
        <v>10000000</v>
      </c>
      <c r="AM90" s="102">
        <v>10000000</v>
      </c>
      <c r="AN90" s="102">
        <v>10000000</v>
      </c>
      <c r="AO90" s="102">
        <v>10000000</v>
      </c>
      <c r="AP90" s="102">
        <v>10000000</v>
      </c>
      <c r="AQ90" s="102">
        <v>10000000</v>
      </c>
      <c r="AR90" s="102">
        <v>10000000</v>
      </c>
      <c r="AS90" s="102">
        <v>10000000</v>
      </c>
    </row>
    <row r="91" spans="2:45">
      <c r="B91" s="100">
        <v>4</v>
      </c>
      <c r="C91" s="100">
        <v>3</v>
      </c>
      <c r="D91" s="100">
        <v>1</v>
      </c>
      <c r="F91" s="100">
        <v>1</v>
      </c>
      <c r="G91" s="100">
        <v>1</v>
      </c>
      <c r="H91" s="100">
        <v>1</v>
      </c>
      <c r="J91" s="100">
        <v>1</v>
      </c>
      <c r="K91" s="100">
        <v>1</v>
      </c>
      <c r="L91" s="100">
        <v>1</v>
      </c>
      <c r="N91" s="100">
        <v>1</v>
      </c>
      <c r="O91" s="100">
        <v>1</v>
      </c>
      <c r="P91" s="100">
        <v>1</v>
      </c>
      <c r="R91" s="100">
        <v>1</v>
      </c>
      <c r="S91" s="100">
        <v>1</v>
      </c>
      <c r="T91" s="100">
        <v>1</v>
      </c>
      <c r="V91" s="100" t="str">
        <v/>
      </c>
      <c r="W91" s="100" t="str">
        <v/>
      </c>
      <c r="Y91" s="100" t="str">
        <v/>
      </c>
      <c r="Z91" s="100" t="str">
        <v/>
      </c>
      <c r="AB91" s="100" t="str">
        <v/>
      </c>
      <c r="AC91" s="100" t="str">
        <v/>
      </c>
      <c r="AE91" s="100" t="str">
        <v/>
      </c>
      <c r="AF91" s="100" t="str">
        <v/>
      </c>
      <c r="AH91" s="8">
        <v>500</v>
      </c>
      <c r="AI91" s="102">
        <v>10000000</v>
      </c>
      <c r="AJ91" s="102">
        <v>10000000</v>
      </c>
      <c r="AK91" s="102">
        <v>10000000</v>
      </c>
      <c r="AL91" s="102">
        <v>10000000</v>
      </c>
      <c r="AM91" s="102">
        <v>10000000</v>
      </c>
      <c r="AN91" s="102">
        <v>10000000</v>
      </c>
      <c r="AO91" s="102">
        <v>10000000</v>
      </c>
      <c r="AP91" s="102">
        <v>10000000</v>
      </c>
      <c r="AQ91" s="102">
        <v>10000000</v>
      </c>
      <c r="AR91" s="102">
        <v>10000000</v>
      </c>
      <c r="AS91" s="102">
        <v>10000000</v>
      </c>
    </row>
    <row r="92" spans="2:45">
      <c r="B92" s="100">
        <v>4</v>
      </c>
      <c r="C92" s="100">
        <v>3</v>
      </c>
      <c r="D92" s="100">
        <v>1</v>
      </c>
      <c r="F92" s="100">
        <v>1</v>
      </c>
      <c r="G92" s="100">
        <v>1</v>
      </c>
      <c r="H92" s="100">
        <v>1</v>
      </c>
      <c r="J92" s="100">
        <v>1</v>
      </c>
      <c r="K92" s="100">
        <v>1</v>
      </c>
      <c r="L92" s="100">
        <v>1</v>
      </c>
      <c r="N92" s="100">
        <v>1</v>
      </c>
      <c r="O92" s="100">
        <v>1</v>
      </c>
      <c r="P92" s="100">
        <v>1</v>
      </c>
      <c r="R92" s="100">
        <v>1</v>
      </c>
      <c r="S92" s="100">
        <v>1</v>
      </c>
      <c r="T92" s="100">
        <v>1</v>
      </c>
      <c r="V92" s="100" t="str">
        <v/>
      </c>
      <c r="W92" s="100" t="str">
        <v/>
      </c>
      <c r="Y92" s="100" t="str">
        <v/>
      </c>
      <c r="Z92" s="100" t="str">
        <v/>
      </c>
      <c r="AB92" s="100" t="str">
        <v/>
      </c>
      <c r="AC92" s="100" t="str">
        <v/>
      </c>
      <c r="AE92" s="100" t="str">
        <v/>
      </c>
      <c r="AF92" s="100" t="str">
        <v/>
      </c>
    </row>
    <row r="93" spans="2:45">
      <c r="B93" s="100">
        <v>6</v>
      </c>
      <c r="C93" s="100">
        <v>4</v>
      </c>
      <c r="D93" s="100">
        <v>1</v>
      </c>
      <c r="F93" s="100">
        <v>1</v>
      </c>
      <c r="G93" s="100">
        <v>1</v>
      </c>
      <c r="H93" s="100">
        <v>1</v>
      </c>
      <c r="J93" s="100">
        <v>1</v>
      </c>
      <c r="K93" s="100">
        <v>1</v>
      </c>
      <c r="L93" s="100">
        <v>1</v>
      </c>
      <c r="N93" s="100">
        <v>1</v>
      </c>
      <c r="O93" s="100">
        <v>1</v>
      </c>
      <c r="P93" s="100">
        <v>1</v>
      </c>
      <c r="R93" s="100">
        <v>1</v>
      </c>
      <c r="S93" s="100">
        <v>1</v>
      </c>
      <c r="T93" s="100">
        <v>1</v>
      </c>
      <c r="V93" s="100" t="str">
        <v/>
      </c>
      <c r="W93" s="100" t="str">
        <v/>
      </c>
      <c r="Y93" s="100" t="str">
        <v/>
      </c>
      <c r="Z93" s="100" t="str">
        <v/>
      </c>
      <c r="AB93" s="100" t="str">
        <v/>
      </c>
      <c r="AC93" s="100" t="str">
        <v/>
      </c>
      <c r="AE93" s="100" t="str">
        <v/>
      </c>
      <c r="AF93" s="100" t="str">
        <v/>
      </c>
    </row>
    <row r="94" spans="2:45">
      <c r="B94" s="100">
        <v>6</v>
      </c>
      <c r="C94" s="100">
        <v>4</v>
      </c>
      <c r="D94" s="100">
        <v>4</v>
      </c>
      <c r="F94" s="100">
        <v>1</v>
      </c>
      <c r="G94" s="100">
        <v>1</v>
      </c>
      <c r="H94" s="100">
        <v>1</v>
      </c>
      <c r="J94" s="100">
        <v>1</v>
      </c>
      <c r="K94" s="100">
        <v>1</v>
      </c>
      <c r="L94" s="100">
        <v>1</v>
      </c>
      <c r="N94" s="100">
        <v>1</v>
      </c>
      <c r="O94" s="100">
        <v>1</v>
      </c>
      <c r="P94" s="100">
        <v>1</v>
      </c>
      <c r="R94" s="100">
        <v>1</v>
      </c>
      <c r="S94" s="100">
        <v>1</v>
      </c>
      <c r="T94" s="100">
        <v>1</v>
      </c>
      <c r="V94" s="100" t="str">
        <v/>
      </c>
      <c r="W94" s="100" t="str">
        <v/>
      </c>
      <c r="Y94" s="100" t="str">
        <v/>
      </c>
      <c r="Z94" s="100" t="str">
        <v/>
      </c>
      <c r="AB94" s="100" t="str">
        <v/>
      </c>
      <c r="AC94" s="100" t="str">
        <v/>
      </c>
      <c r="AE94" s="100" t="str">
        <v/>
      </c>
      <c r="AF94" s="100" t="str">
        <v/>
      </c>
    </row>
    <row r="95" spans="2:45" ht="16.2">
      <c r="B95" s="100">
        <v>3</v>
      </c>
      <c r="C95" s="100">
        <v>4</v>
      </c>
      <c r="D95" s="100">
        <v>4</v>
      </c>
      <c r="F95" s="100">
        <v>1</v>
      </c>
      <c r="G95" s="100">
        <v>1</v>
      </c>
      <c r="H95" s="100">
        <v>1</v>
      </c>
      <c r="J95" s="100">
        <v>1</v>
      </c>
      <c r="K95" s="100">
        <v>1</v>
      </c>
      <c r="L95" s="100">
        <v>1</v>
      </c>
      <c r="N95" s="100">
        <v>1</v>
      </c>
      <c r="O95" s="100">
        <v>1</v>
      </c>
      <c r="P95" s="100">
        <v>1</v>
      </c>
      <c r="R95" s="100">
        <v>1</v>
      </c>
      <c r="S95" s="100">
        <v>1</v>
      </c>
      <c r="T95" s="100">
        <v>1</v>
      </c>
      <c r="V95" s="100" t="str">
        <v/>
      </c>
      <c r="W95" s="100" t="str">
        <v/>
      </c>
      <c r="Y95" s="100" t="str">
        <v/>
      </c>
      <c r="Z95" s="100" t="str">
        <v/>
      </c>
      <c r="AB95" s="100" t="str">
        <v/>
      </c>
      <c r="AC95" s="100" t="str">
        <v/>
      </c>
      <c r="AE95" s="100" t="str">
        <v/>
      </c>
      <c r="AF95" s="100" t="str">
        <v/>
      </c>
      <c r="AH95" s="132" t="s">
        <v>98</v>
      </c>
      <c r="AI95" s="144"/>
      <c r="AJ95" s="144"/>
    </row>
    <row r="96" spans="2:45" ht="16.2">
      <c r="B96" s="100">
        <v>3</v>
      </c>
      <c r="C96" s="100">
        <v>5</v>
      </c>
      <c r="D96" s="100">
        <v>4</v>
      </c>
      <c r="F96" s="100">
        <v>1</v>
      </c>
      <c r="G96" s="100">
        <v>1</v>
      </c>
      <c r="H96" s="100">
        <v>1</v>
      </c>
      <c r="J96" s="100">
        <v>1</v>
      </c>
      <c r="K96" s="100">
        <v>1</v>
      </c>
      <c r="L96" s="100">
        <v>1</v>
      </c>
      <c r="N96" s="100">
        <v>1</v>
      </c>
      <c r="O96" s="100">
        <v>1</v>
      </c>
      <c r="P96" s="100">
        <v>1</v>
      </c>
      <c r="R96" s="100">
        <v>1</v>
      </c>
      <c r="S96" s="100">
        <v>1</v>
      </c>
      <c r="T96" s="100">
        <v>1</v>
      </c>
      <c r="V96" s="100" t="str">
        <v/>
      </c>
      <c r="W96" s="100" t="str">
        <v/>
      </c>
      <c r="Y96" s="100" t="str">
        <v/>
      </c>
      <c r="Z96" s="100" t="str">
        <v/>
      </c>
      <c r="AB96" s="100" t="str">
        <v/>
      </c>
      <c r="AC96" s="100" t="str">
        <v/>
      </c>
      <c r="AE96" s="100" t="str">
        <v/>
      </c>
      <c r="AF96" s="100" t="str">
        <v/>
      </c>
      <c r="AH96" s="98" t="str" cm="1">
        <f t="array" ref="AH96:AJ108">'Pay Combo Extra Bet (2)'!L2:N14</f>
        <v>R4 Multiplier</v>
      </c>
      <c r="AI96" s="98" t="str">
        <v>prob.</v>
      </c>
      <c r="AJ96" s="98" t="str">
        <v>weight</v>
      </c>
    </row>
    <row r="97" spans="2:36">
      <c r="B97" s="100">
        <v>7</v>
      </c>
      <c r="C97" s="100">
        <v>5</v>
      </c>
      <c r="D97" s="100">
        <v>7</v>
      </c>
      <c r="F97" s="100">
        <v>1</v>
      </c>
      <c r="G97" s="100">
        <v>1</v>
      </c>
      <c r="H97" s="100">
        <v>1</v>
      </c>
      <c r="J97" s="100">
        <v>1</v>
      </c>
      <c r="K97" s="100">
        <v>1</v>
      </c>
      <c r="L97" s="100">
        <v>1</v>
      </c>
      <c r="N97" s="100">
        <v>1</v>
      </c>
      <c r="O97" s="100">
        <v>1</v>
      </c>
      <c r="P97" s="100">
        <v>1</v>
      </c>
      <c r="R97" s="100">
        <v>1</v>
      </c>
      <c r="S97" s="100">
        <v>1</v>
      </c>
      <c r="T97" s="100">
        <v>1</v>
      </c>
      <c r="V97" s="100" t="str">
        <v/>
      </c>
      <c r="W97" s="100" t="str">
        <v/>
      </c>
      <c r="Y97" s="100" t="str">
        <v/>
      </c>
      <c r="Z97" s="100" t="str">
        <v/>
      </c>
      <c r="AB97" s="100" t="str">
        <v/>
      </c>
      <c r="AC97" s="100" t="str">
        <v/>
      </c>
      <c r="AE97" s="100" t="str">
        <v/>
      </c>
      <c r="AF97" s="100" t="str">
        <v/>
      </c>
      <c r="AH97" s="8">
        <v>1</v>
      </c>
      <c r="AI97" s="101">
        <v>0</v>
      </c>
      <c r="AJ97" s="102">
        <v>0</v>
      </c>
    </row>
    <row r="98" spans="2:36">
      <c r="B98" s="100">
        <v>7</v>
      </c>
      <c r="C98" s="100">
        <v>5</v>
      </c>
      <c r="D98" s="100">
        <v>7</v>
      </c>
      <c r="F98" s="100">
        <v>1</v>
      </c>
      <c r="G98" s="100">
        <v>1</v>
      </c>
      <c r="H98" s="100">
        <v>1</v>
      </c>
      <c r="J98" s="100">
        <v>1</v>
      </c>
      <c r="K98" s="100">
        <v>1</v>
      </c>
      <c r="L98" s="100">
        <v>1</v>
      </c>
      <c r="N98" s="100">
        <v>1</v>
      </c>
      <c r="O98" s="100">
        <v>1</v>
      </c>
      <c r="P98" s="100">
        <v>1</v>
      </c>
      <c r="R98" s="100">
        <v>1</v>
      </c>
      <c r="S98" s="100">
        <v>1</v>
      </c>
      <c r="T98" s="100">
        <v>1</v>
      </c>
      <c r="V98" s="100" t="str">
        <v/>
      </c>
      <c r="W98" s="100" t="str">
        <v/>
      </c>
      <c r="Y98" s="100" t="str">
        <v/>
      </c>
      <c r="Z98" s="100" t="str">
        <v/>
      </c>
      <c r="AB98" s="100" t="str">
        <v/>
      </c>
      <c r="AC98" s="100" t="str">
        <v/>
      </c>
      <c r="AE98" s="100" t="str">
        <v/>
      </c>
      <c r="AF98" s="100" t="str">
        <v/>
      </c>
      <c r="AH98" s="8">
        <v>2</v>
      </c>
      <c r="AI98" s="101">
        <v>0</v>
      </c>
      <c r="AJ98" s="102">
        <v>0</v>
      </c>
    </row>
    <row r="99" spans="2:36">
      <c r="B99" s="100">
        <v>7</v>
      </c>
      <c r="C99" s="100">
        <v>6</v>
      </c>
      <c r="D99" s="100">
        <v>7</v>
      </c>
      <c r="F99" s="100">
        <v>1</v>
      </c>
      <c r="G99" s="100">
        <v>1</v>
      </c>
      <c r="H99" s="100">
        <v>1</v>
      </c>
      <c r="J99" s="100">
        <v>1</v>
      </c>
      <c r="K99" s="100">
        <v>1</v>
      </c>
      <c r="L99" s="100">
        <v>1</v>
      </c>
      <c r="N99" s="100">
        <v>1</v>
      </c>
      <c r="O99" s="100">
        <v>1</v>
      </c>
      <c r="P99" s="100">
        <v>1</v>
      </c>
      <c r="R99" s="100">
        <v>1</v>
      </c>
      <c r="S99" s="100">
        <v>1</v>
      </c>
      <c r="T99" s="100">
        <v>1</v>
      </c>
      <c r="V99" s="100" t="str">
        <v/>
      </c>
      <c r="W99" s="100" t="str">
        <v/>
      </c>
      <c r="Y99" s="100" t="str">
        <v/>
      </c>
      <c r="Z99" s="100" t="str">
        <v/>
      </c>
      <c r="AB99" s="100" t="str">
        <v/>
      </c>
      <c r="AC99" s="100" t="str">
        <v/>
      </c>
      <c r="AE99" s="100" t="str">
        <v/>
      </c>
      <c r="AF99" s="100" t="str">
        <v/>
      </c>
      <c r="AH99" s="8">
        <v>3</v>
      </c>
      <c r="AI99" s="101">
        <v>0</v>
      </c>
      <c r="AJ99" s="102">
        <v>0</v>
      </c>
    </row>
    <row r="100" spans="2:36">
      <c r="B100" s="100">
        <v>3</v>
      </c>
      <c r="C100" s="100">
        <v>6</v>
      </c>
      <c r="D100" s="100">
        <v>2</v>
      </c>
      <c r="F100" s="100">
        <v>1</v>
      </c>
      <c r="G100" s="100">
        <v>1</v>
      </c>
      <c r="H100" s="100">
        <v>1</v>
      </c>
      <c r="J100" s="100">
        <v>1</v>
      </c>
      <c r="K100" s="100">
        <v>1</v>
      </c>
      <c r="L100" s="100">
        <v>1</v>
      </c>
      <c r="N100" s="100">
        <v>1</v>
      </c>
      <c r="O100" s="100">
        <v>1</v>
      </c>
      <c r="P100" s="100">
        <v>1</v>
      </c>
      <c r="R100" s="100">
        <v>1</v>
      </c>
      <c r="S100" s="100">
        <v>1</v>
      </c>
      <c r="T100" s="100">
        <v>1</v>
      </c>
      <c r="V100" s="100" t="str">
        <v/>
      </c>
      <c r="W100" s="100" t="str">
        <v/>
      </c>
      <c r="Y100" s="100" t="str">
        <v/>
      </c>
      <c r="Z100" s="100" t="str">
        <v/>
      </c>
      <c r="AB100" s="100" t="str">
        <v/>
      </c>
      <c r="AC100" s="100" t="str">
        <v/>
      </c>
      <c r="AE100" s="100" t="str">
        <v/>
      </c>
      <c r="AF100" s="100" t="str">
        <v/>
      </c>
      <c r="AH100" s="8">
        <v>5</v>
      </c>
      <c r="AI100" s="101">
        <v>0</v>
      </c>
      <c r="AJ100" s="102">
        <v>0</v>
      </c>
    </row>
    <row r="101" spans="2:36">
      <c r="B101" s="100">
        <v>3</v>
      </c>
      <c r="C101" s="100">
        <v>4</v>
      </c>
      <c r="D101" s="100">
        <v>2</v>
      </c>
      <c r="F101" s="100">
        <v>1</v>
      </c>
      <c r="G101" s="100">
        <v>1</v>
      </c>
      <c r="H101" s="100">
        <v>1</v>
      </c>
      <c r="J101" s="100">
        <v>1</v>
      </c>
      <c r="K101" s="100">
        <v>1</v>
      </c>
      <c r="L101" s="100">
        <v>1</v>
      </c>
      <c r="N101" s="100">
        <v>1</v>
      </c>
      <c r="O101" s="100">
        <v>1</v>
      </c>
      <c r="P101" s="100">
        <v>1</v>
      </c>
      <c r="R101" s="100">
        <v>1</v>
      </c>
      <c r="S101" s="100">
        <v>1</v>
      </c>
      <c r="T101" s="100">
        <v>1</v>
      </c>
      <c r="V101" s="100" t="str">
        <v/>
      </c>
      <c r="W101" s="100" t="str">
        <v/>
      </c>
      <c r="Y101" s="100" t="str">
        <v/>
      </c>
      <c r="Z101" s="100" t="str">
        <v/>
      </c>
      <c r="AB101" s="100" t="str">
        <v/>
      </c>
      <c r="AC101" s="100" t="str">
        <v/>
      </c>
      <c r="AE101" s="100" t="str">
        <v/>
      </c>
      <c r="AF101" s="100" t="str">
        <v/>
      </c>
      <c r="AH101" s="8">
        <v>10</v>
      </c>
      <c r="AI101" s="101">
        <v>0.1</v>
      </c>
      <c r="AJ101" s="102">
        <v>10000000</v>
      </c>
    </row>
    <row r="102" spans="2:36">
      <c r="B102" s="100">
        <v>4</v>
      </c>
      <c r="C102" s="100">
        <v>4</v>
      </c>
      <c r="D102" s="100">
        <v>2</v>
      </c>
      <c r="F102" s="100">
        <v>1</v>
      </c>
      <c r="G102" s="100">
        <v>1</v>
      </c>
      <c r="H102" s="100">
        <v>1</v>
      </c>
      <c r="J102" s="100">
        <v>1</v>
      </c>
      <c r="K102" s="100">
        <v>1</v>
      </c>
      <c r="L102" s="100">
        <v>1</v>
      </c>
      <c r="N102" s="100">
        <v>1</v>
      </c>
      <c r="O102" s="100">
        <v>1</v>
      </c>
      <c r="P102" s="100">
        <v>1</v>
      </c>
      <c r="R102" s="100">
        <v>1</v>
      </c>
      <c r="S102" s="100">
        <v>1</v>
      </c>
      <c r="T102" s="100">
        <v>1</v>
      </c>
      <c r="V102" s="100" t="str">
        <v/>
      </c>
      <c r="W102" s="100" t="str">
        <v/>
      </c>
      <c r="Y102" s="100" t="str">
        <v/>
      </c>
      <c r="Z102" s="100" t="str">
        <v/>
      </c>
      <c r="AB102" s="100" t="str">
        <v/>
      </c>
      <c r="AC102" s="100" t="str">
        <v/>
      </c>
      <c r="AE102" s="100" t="str">
        <v/>
      </c>
      <c r="AF102" s="100" t="str">
        <v/>
      </c>
      <c r="AH102" s="8">
        <v>15</v>
      </c>
      <c r="AI102" s="101">
        <v>0.1</v>
      </c>
      <c r="AJ102" s="102">
        <v>10000000</v>
      </c>
    </row>
    <row r="103" spans="2:36">
      <c r="B103" s="100">
        <v>4</v>
      </c>
      <c r="C103" s="100">
        <v>5</v>
      </c>
      <c r="D103" s="100">
        <v>5</v>
      </c>
      <c r="F103" s="100">
        <v>1</v>
      </c>
      <c r="G103" s="100">
        <v>1</v>
      </c>
      <c r="H103" s="100">
        <v>1</v>
      </c>
      <c r="J103" s="100">
        <v>1</v>
      </c>
      <c r="K103" s="100">
        <v>1</v>
      </c>
      <c r="L103" s="100">
        <v>1</v>
      </c>
      <c r="N103" s="100">
        <v>1</v>
      </c>
      <c r="O103" s="100">
        <v>1</v>
      </c>
      <c r="P103" s="100">
        <v>1</v>
      </c>
      <c r="R103" s="100">
        <v>1</v>
      </c>
      <c r="S103" s="100">
        <v>1</v>
      </c>
      <c r="T103" s="100">
        <v>1</v>
      </c>
      <c r="V103" s="100" t="str">
        <v/>
      </c>
      <c r="W103" s="100" t="str">
        <v/>
      </c>
      <c r="Y103" s="100" t="str">
        <v/>
      </c>
      <c r="Z103" s="100" t="str">
        <v/>
      </c>
      <c r="AB103" s="100" t="str">
        <v/>
      </c>
      <c r="AC103" s="100" t="str">
        <v/>
      </c>
      <c r="AE103" s="100" t="str">
        <v/>
      </c>
      <c r="AF103" s="100" t="str">
        <v/>
      </c>
      <c r="AH103" s="8">
        <v>20</v>
      </c>
      <c r="AI103" s="101">
        <v>0.1</v>
      </c>
      <c r="AJ103" s="102">
        <v>10000000</v>
      </c>
    </row>
    <row r="104" spans="2:36">
      <c r="B104" s="100">
        <v>5</v>
      </c>
      <c r="C104" s="100">
        <v>5</v>
      </c>
      <c r="D104" s="100">
        <v>5</v>
      </c>
      <c r="F104" s="100">
        <v>1</v>
      </c>
      <c r="G104" s="100">
        <v>1</v>
      </c>
      <c r="H104" s="100">
        <v>1</v>
      </c>
      <c r="J104" s="100">
        <v>1</v>
      </c>
      <c r="K104" s="100">
        <v>1</v>
      </c>
      <c r="L104" s="100">
        <v>1</v>
      </c>
      <c r="N104" s="100">
        <v>1</v>
      </c>
      <c r="O104" s="100">
        <v>1</v>
      </c>
      <c r="P104" s="100">
        <v>1</v>
      </c>
      <c r="R104" s="100">
        <v>1</v>
      </c>
      <c r="S104" s="100">
        <v>1</v>
      </c>
      <c r="T104" s="100">
        <v>1</v>
      </c>
      <c r="V104" s="100" t="str">
        <v/>
      </c>
      <c r="W104" s="100" t="str">
        <v/>
      </c>
      <c r="Y104" s="100" t="str">
        <v/>
      </c>
      <c r="Z104" s="100" t="str">
        <v/>
      </c>
      <c r="AB104" s="100" t="str">
        <v/>
      </c>
      <c r="AC104" s="100" t="str">
        <v/>
      </c>
      <c r="AE104" s="100" t="str">
        <v/>
      </c>
      <c r="AF104" s="100" t="str">
        <v/>
      </c>
      <c r="AH104" s="8">
        <v>25</v>
      </c>
      <c r="AI104" s="101">
        <v>0.1</v>
      </c>
      <c r="AJ104" s="102">
        <v>10000000</v>
      </c>
    </row>
    <row r="105" spans="2:36">
      <c r="B105" s="100">
        <v>5</v>
      </c>
      <c r="C105" s="100">
        <v>3</v>
      </c>
      <c r="D105" s="100">
        <v>5</v>
      </c>
      <c r="F105" s="100">
        <v>1</v>
      </c>
      <c r="G105" s="100">
        <v>1</v>
      </c>
      <c r="H105" s="100">
        <v>1</v>
      </c>
      <c r="J105" s="100">
        <v>1</v>
      </c>
      <c r="K105" s="100">
        <v>1</v>
      </c>
      <c r="L105" s="100">
        <v>1</v>
      </c>
      <c r="N105" s="100">
        <v>1</v>
      </c>
      <c r="O105" s="100">
        <v>1</v>
      </c>
      <c r="P105" s="100">
        <v>1</v>
      </c>
      <c r="R105" s="100">
        <v>1</v>
      </c>
      <c r="S105" s="100">
        <v>1</v>
      </c>
      <c r="T105" s="100">
        <v>1</v>
      </c>
      <c r="V105" s="100" t="str">
        <v/>
      </c>
      <c r="W105" s="100" t="str">
        <v/>
      </c>
      <c r="Y105" s="100" t="str">
        <v/>
      </c>
      <c r="Z105" s="100" t="str">
        <v/>
      </c>
      <c r="AB105" s="100" t="str">
        <v/>
      </c>
      <c r="AC105" s="100" t="str">
        <v/>
      </c>
      <c r="AE105" s="100" t="str">
        <v/>
      </c>
      <c r="AF105" s="100" t="str">
        <v/>
      </c>
      <c r="AH105" s="8">
        <v>50</v>
      </c>
      <c r="AI105" s="101">
        <v>0.1</v>
      </c>
      <c r="AJ105" s="102">
        <v>10000000</v>
      </c>
    </row>
    <row r="106" spans="2:36">
      <c r="B106" s="100">
        <v>5</v>
      </c>
      <c r="C106" s="100">
        <v>3</v>
      </c>
      <c r="D106" s="100">
        <v>1</v>
      </c>
      <c r="F106" s="100">
        <v>1</v>
      </c>
      <c r="G106" s="100">
        <v>1</v>
      </c>
      <c r="H106" s="100">
        <v>1</v>
      </c>
      <c r="J106" s="100">
        <v>1</v>
      </c>
      <c r="K106" s="100">
        <v>1</v>
      </c>
      <c r="L106" s="100">
        <v>1</v>
      </c>
      <c r="N106" s="100">
        <v>1</v>
      </c>
      <c r="O106" s="100">
        <v>1</v>
      </c>
      <c r="P106" s="100">
        <v>1</v>
      </c>
      <c r="R106" s="100">
        <v>1</v>
      </c>
      <c r="S106" s="100">
        <v>1</v>
      </c>
      <c r="T106" s="100">
        <v>1</v>
      </c>
      <c r="V106" s="100" t="str">
        <v/>
      </c>
      <c r="W106" s="100" t="str">
        <v/>
      </c>
      <c r="Y106" s="100" t="str">
        <v/>
      </c>
      <c r="Z106" s="100" t="str">
        <v/>
      </c>
      <c r="AB106" s="100" t="str">
        <v/>
      </c>
      <c r="AC106" s="100" t="str">
        <v/>
      </c>
      <c r="AE106" s="100" t="str">
        <v/>
      </c>
      <c r="AF106" s="100" t="str">
        <v/>
      </c>
      <c r="AH106" s="8">
        <v>100</v>
      </c>
      <c r="AI106" s="101">
        <v>0.1</v>
      </c>
      <c r="AJ106" s="102">
        <v>10000000</v>
      </c>
    </row>
    <row r="107" spans="2:36">
      <c r="B107" s="100">
        <v>6</v>
      </c>
      <c r="C107" s="100">
        <v>3</v>
      </c>
      <c r="D107" s="100">
        <v>1</v>
      </c>
      <c r="F107" s="100">
        <v>1</v>
      </c>
      <c r="G107" s="100">
        <v>1</v>
      </c>
      <c r="H107" s="100">
        <v>1</v>
      </c>
      <c r="J107" s="100">
        <v>1</v>
      </c>
      <c r="K107" s="100">
        <v>1</v>
      </c>
      <c r="L107" s="100">
        <v>1</v>
      </c>
      <c r="N107" s="100">
        <v>1</v>
      </c>
      <c r="O107" s="100">
        <v>1</v>
      </c>
      <c r="P107" s="100">
        <v>1</v>
      </c>
      <c r="R107" s="100">
        <v>1</v>
      </c>
      <c r="S107" s="100">
        <v>1</v>
      </c>
      <c r="T107" s="100">
        <v>1</v>
      </c>
      <c r="V107" s="100" t="str">
        <v/>
      </c>
      <c r="W107" s="100" t="str">
        <v/>
      </c>
      <c r="Y107" s="100" t="str">
        <v/>
      </c>
      <c r="Z107" s="100" t="str">
        <v/>
      </c>
      <c r="AB107" s="100" t="str">
        <v/>
      </c>
      <c r="AC107" s="100" t="str">
        <v/>
      </c>
      <c r="AE107" s="100" t="str">
        <v/>
      </c>
      <c r="AF107" s="100" t="str">
        <v/>
      </c>
      <c r="AH107" s="8">
        <v>500</v>
      </c>
      <c r="AI107" s="101">
        <v>0.1</v>
      </c>
      <c r="AJ107" s="102">
        <v>10000000</v>
      </c>
    </row>
    <row r="108" spans="2:36">
      <c r="B108" s="100">
        <v>6</v>
      </c>
      <c r="C108" s="100">
        <v>7</v>
      </c>
      <c r="D108" s="100">
        <v>1</v>
      </c>
      <c r="F108" s="100">
        <v>1</v>
      </c>
      <c r="G108" s="100">
        <v>1</v>
      </c>
      <c r="H108" s="100">
        <v>1</v>
      </c>
      <c r="J108" s="100">
        <v>1</v>
      </c>
      <c r="K108" s="100">
        <v>1</v>
      </c>
      <c r="L108" s="100">
        <v>1</v>
      </c>
      <c r="N108" s="100">
        <v>1</v>
      </c>
      <c r="O108" s="100">
        <v>1</v>
      </c>
      <c r="P108" s="100">
        <v>1</v>
      </c>
      <c r="R108" s="100">
        <v>1</v>
      </c>
      <c r="S108" s="100">
        <v>1</v>
      </c>
      <c r="T108" s="100">
        <v>1</v>
      </c>
      <c r="V108" s="100" t="str">
        <v/>
      </c>
      <c r="W108" s="100" t="str">
        <v/>
      </c>
      <c r="Y108" s="100" t="str">
        <v/>
      </c>
      <c r="Z108" s="100" t="str">
        <v/>
      </c>
      <c r="AB108" s="100" t="str">
        <v/>
      </c>
      <c r="AC108" s="100" t="str">
        <v/>
      </c>
      <c r="AE108" s="100" t="str">
        <v/>
      </c>
      <c r="AF108" s="100" t="str">
        <v/>
      </c>
      <c r="AH108" s="8" t="str">
        <v>Re-spin</v>
      </c>
      <c r="AI108" s="101">
        <v>0.3</v>
      </c>
      <c r="AJ108" s="102">
        <v>30000000</v>
      </c>
    </row>
    <row r="109" spans="2:36">
      <c r="B109" s="100">
        <v>2</v>
      </c>
      <c r="C109" s="100">
        <v>7</v>
      </c>
      <c r="D109" s="100">
        <v>3</v>
      </c>
      <c r="F109" s="100">
        <v>1</v>
      </c>
      <c r="G109" s="100">
        <v>1</v>
      </c>
      <c r="H109" s="100">
        <v>1</v>
      </c>
      <c r="J109" s="100">
        <v>1</v>
      </c>
      <c r="K109" s="100">
        <v>1</v>
      </c>
      <c r="L109" s="100">
        <v>1</v>
      </c>
      <c r="N109" s="100">
        <v>1</v>
      </c>
      <c r="O109" s="100">
        <v>1</v>
      </c>
      <c r="P109" s="100">
        <v>1</v>
      </c>
      <c r="R109" s="100">
        <v>1</v>
      </c>
      <c r="S109" s="100">
        <v>1</v>
      </c>
      <c r="T109" s="100">
        <v>1</v>
      </c>
      <c r="V109" s="100" t="str">
        <v/>
      </c>
      <c r="W109" s="100" t="str">
        <v/>
      </c>
      <c r="Y109" s="100" t="str">
        <v/>
      </c>
      <c r="Z109" s="100" t="str">
        <v/>
      </c>
      <c r="AB109" s="100" t="str">
        <v/>
      </c>
      <c r="AC109" s="100" t="str">
        <v/>
      </c>
      <c r="AE109" s="100" t="str">
        <v/>
      </c>
      <c r="AF109" s="100" t="str">
        <v/>
      </c>
      <c r="AJ109" s="103"/>
    </row>
    <row r="110" spans="2:36">
      <c r="B110" s="100">
        <v>2</v>
      </c>
      <c r="C110" s="100">
        <v>7</v>
      </c>
      <c r="D110" s="100">
        <v>3</v>
      </c>
      <c r="F110" s="100">
        <v>1</v>
      </c>
      <c r="G110" s="100">
        <v>1</v>
      </c>
      <c r="H110" s="100">
        <v>1</v>
      </c>
      <c r="J110" s="100">
        <v>1</v>
      </c>
      <c r="K110" s="100">
        <v>1</v>
      </c>
      <c r="L110" s="100">
        <v>1</v>
      </c>
      <c r="N110" s="100">
        <v>1</v>
      </c>
      <c r="O110" s="100">
        <v>1</v>
      </c>
      <c r="P110" s="100">
        <v>1</v>
      </c>
      <c r="R110" s="100">
        <v>1</v>
      </c>
      <c r="S110" s="100">
        <v>1</v>
      </c>
      <c r="T110" s="100">
        <v>1</v>
      </c>
      <c r="V110" s="100" t="str">
        <v/>
      </c>
      <c r="W110" s="100" t="str">
        <v/>
      </c>
      <c r="Y110" s="100" t="str">
        <v/>
      </c>
      <c r="Z110" s="100" t="str">
        <v/>
      </c>
      <c r="AB110" s="100" t="str">
        <v/>
      </c>
      <c r="AC110" s="100" t="str">
        <v/>
      </c>
      <c r="AE110" s="100" t="str">
        <v/>
      </c>
      <c r="AF110" s="100" t="str">
        <v/>
      </c>
    </row>
    <row r="111" spans="2:36" ht="16.2">
      <c r="B111" s="100">
        <v>2</v>
      </c>
      <c r="C111" s="100">
        <v>1</v>
      </c>
      <c r="D111" s="100">
        <v>3</v>
      </c>
      <c r="F111" s="100">
        <v>1</v>
      </c>
      <c r="G111" s="100">
        <v>1</v>
      </c>
      <c r="H111" s="100">
        <v>1</v>
      </c>
      <c r="J111" s="100">
        <v>1</v>
      </c>
      <c r="K111" s="100">
        <v>1</v>
      </c>
      <c r="L111" s="100">
        <v>1</v>
      </c>
      <c r="N111" s="100">
        <v>1</v>
      </c>
      <c r="O111" s="100">
        <v>1</v>
      </c>
      <c r="P111" s="100">
        <v>1</v>
      </c>
      <c r="R111" s="100">
        <v>1</v>
      </c>
      <c r="S111" s="100">
        <v>1</v>
      </c>
      <c r="T111" s="100">
        <v>1</v>
      </c>
      <c r="V111" s="100" t="str">
        <v/>
      </c>
      <c r="W111" s="100" t="str">
        <v/>
      </c>
      <c r="Y111" s="100" t="str">
        <v/>
      </c>
      <c r="Z111" s="100" t="str">
        <v/>
      </c>
      <c r="AB111" s="100" t="str">
        <v/>
      </c>
      <c r="AC111" s="100" t="str">
        <v/>
      </c>
      <c r="AE111" s="100" t="str">
        <v/>
      </c>
      <c r="AF111" s="100" t="str">
        <v/>
      </c>
      <c r="AH111" s="132" t="s">
        <v>99</v>
      </c>
      <c r="AI111" s="144"/>
      <c r="AJ111" s="144"/>
    </row>
    <row r="112" spans="2:36" ht="16.2">
      <c r="B112" s="100">
        <v>6</v>
      </c>
      <c r="C112" s="100">
        <v>1</v>
      </c>
      <c r="D112" s="100">
        <v>7</v>
      </c>
      <c r="F112" s="100">
        <v>1</v>
      </c>
      <c r="G112" s="100">
        <v>1</v>
      </c>
      <c r="H112" s="100">
        <v>1</v>
      </c>
      <c r="J112" s="100">
        <v>1</v>
      </c>
      <c r="K112" s="100">
        <v>1</v>
      </c>
      <c r="L112" s="100">
        <v>1</v>
      </c>
      <c r="N112" s="100">
        <v>1</v>
      </c>
      <c r="O112" s="100">
        <v>1</v>
      </c>
      <c r="P112" s="100">
        <v>1</v>
      </c>
      <c r="R112" s="100">
        <v>1</v>
      </c>
      <c r="S112" s="100">
        <v>1</v>
      </c>
      <c r="T112" s="100">
        <v>1</v>
      </c>
      <c r="V112" s="100" t="str">
        <v/>
      </c>
      <c r="W112" s="100" t="str">
        <v/>
      </c>
      <c r="Y112" s="100" t="str">
        <v/>
      </c>
      <c r="Z112" s="100" t="str">
        <v/>
      </c>
      <c r="AB112" s="100" t="str">
        <v/>
      </c>
      <c r="AC112" s="100" t="str">
        <v/>
      </c>
      <c r="AE112" s="100" t="str">
        <v/>
      </c>
      <c r="AF112" s="100" t="str">
        <v/>
      </c>
      <c r="AH112" s="98" t="str" cm="1">
        <f t="array" ref="AH112:AJ123">'Pay Combo Extra Bet (2)'!Q2:S13</f>
        <v>Re-spin times</v>
      </c>
      <c r="AI112" s="98" t="str">
        <v>prob.</v>
      </c>
      <c r="AJ112" s="98" t="str">
        <v>weight</v>
      </c>
    </row>
    <row r="113" spans="2:45">
      <c r="B113" s="100">
        <v>6</v>
      </c>
      <c r="C113" s="100">
        <v>1</v>
      </c>
      <c r="D113" s="100">
        <v>7</v>
      </c>
      <c r="F113" s="100">
        <v>1</v>
      </c>
      <c r="G113" s="100">
        <v>1</v>
      </c>
      <c r="H113" s="100">
        <v>1</v>
      </c>
      <c r="J113" s="100">
        <v>1</v>
      </c>
      <c r="K113" s="100">
        <v>1</v>
      </c>
      <c r="L113" s="100">
        <v>1</v>
      </c>
      <c r="N113" s="100">
        <v>1</v>
      </c>
      <c r="O113" s="100">
        <v>1</v>
      </c>
      <c r="P113" s="100">
        <v>1</v>
      </c>
      <c r="R113" s="100">
        <v>1</v>
      </c>
      <c r="S113" s="100">
        <v>1</v>
      </c>
      <c r="T113" s="100">
        <v>1</v>
      </c>
      <c r="V113" s="100" t="str">
        <v/>
      </c>
      <c r="W113" s="100" t="str">
        <v/>
      </c>
      <c r="Y113" s="100" t="str">
        <v/>
      </c>
      <c r="Z113" s="100" t="str">
        <v/>
      </c>
      <c r="AB113" s="100" t="str">
        <v/>
      </c>
      <c r="AC113" s="100" t="str">
        <v/>
      </c>
      <c r="AE113" s="100" t="str">
        <v/>
      </c>
      <c r="AF113" s="100" t="str">
        <v/>
      </c>
      <c r="AH113" s="8">
        <v>2</v>
      </c>
      <c r="AI113" s="101">
        <v>1.0869565193761815E-9</v>
      </c>
      <c r="AJ113" s="102">
        <v>1</v>
      </c>
    </row>
    <row r="114" spans="2:45">
      <c r="B114" s="100">
        <v>4</v>
      </c>
      <c r="C114" s="100">
        <v>7</v>
      </c>
      <c r="D114" s="100">
        <v>7</v>
      </c>
      <c r="F114" s="100">
        <v>1</v>
      </c>
      <c r="G114" s="100">
        <v>1</v>
      </c>
      <c r="H114" s="100">
        <v>1</v>
      </c>
      <c r="J114" s="100">
        <v>1</v>
      </c>
      <c r="K114" s="100">
        <v>1</v>
      </c>
      <c r="L114" s="100">
        <v>1</v>
      </c>
      <c r="N114" s="100">
        <v>1</v>
      </c>
      <c r="O114" s="100">
        <v>1</v>
      </c>
      <c r="P114" s="100">
        <v>1</v>
      </c>
      <c r="R114" s="100">
        <v>1</v>
      </c>
      <c r="S114" s="100">
        <v>1</v>
      </c>
      <c r="T114" s="100">
        <v>1</v>
      </c>
      <c r="V114" s="100" t="str">
        <v/>
      </c>
      <c r="W114" s="100" t="str">
        <v/>
      </c>
      <c r="Y114" s="100" t="str">
        <v/>
      </c>
      <c r="Z114" s="100" t="str">
        <v/>
      </c>
      <c r="AB114" s="100" t="str">
        <v/>
      </c>
      <c r="AC114" s="100" t="str">
        <v/>
      </c>
      <c r="AE114" s="100" t="str">
        <v/>
      </c>
      <c r="AF114" s="100" t="str">
        <v/>
      </c>
      <c r="AH114" s="8">
        <v>3</v>
      </c>
      <c r="AI114" s="101">
        <v>1.0869565193761815E-9</v>
      </c>
      <c r="AJ114" s="102">
        <v>1</v>
      </c>
    </row>
    <row r="115" spans="2:45">
      <c r="B115" s="100">
        <v>4</v>
      </c>
      <c r="C115" s="100">
        <v>7</v>
      </c>
      <c r="D115" s="100">
        <v>7</v>
      </c>
      <c r="F115" s="100">
        <v>1</v>
      </c>
      <c r="G115" s="100">
        <v>1</v>
      </c>
      <c r="H115" s="100">
        <v>1</v>
      </c>
      <c r="J115" s="100">
        <v>1</v>
      </c>
      <c r="K115" s="100">
        <v>1</v>
      </c>
      <c r="L115" s="100">
        <v>1</v>
      </c>
      <c r="N115" s="100">
        <v>1</v>
      </c>
      <c r="O115" s="100">
        <v>1</v>
      </c>
      <c r="P115" s="100">
        <v>1</v>
      </c>
      <c r="R115" s="100">
        <v>1</v>
      </c>
      <c r="S115" s="100">
        <v>1</v>
      </c>
      <c r="T115" s="100">
        <v>1</v>
      </c>
      <c r="V115" s="100" t="str">
        <v/>
      </c>
      <c r="W115" s="100" t="str">
        <v/>
      </c>
      <c r="Y115" s="100" t="str">
        <v/>
      </c>
      <c r="Z115" s="100" t="str">
        <v/>
      </c>
      <c r="AB115" s="100" t="str">
        <v/>
      </c>
      <c r="AC115" s="100" t="str">
        <v/>
      </c>
      <c r="AE115" s="100" t="str">
        <v/>
      </c>
      <c r="AF115" s="100" t="str">
        <v/>
      </c>
      <c r="AH115" s="8">
        <v>4</v>
      </c>
      <c r="AI115" s="101">
        <v>0.13043478232514177</v>
      </c>
      <c r="AJ115" s="102">
        <v>120000000</v>
      </c>
    </row>
    <row r="116" spans="2:45">
      <c r="B116" s="100">
        <v>2</v>
      </c>
      <c r="C116" s="100">
        <v>7</v>
      </c>
      <c r="D116" s="100">
        <v>4</v>
      </c>
      <c r="F116" s="100">
        <v>1</v>
      </c>
      <c r="G116" s="100">
        <v>1</v>
      </c>
      <c r="H116" s="100">
        <v>1</v>
      </c>
      <c r="J116" s="100">
        <v>1</v>
      </c>
      <c r="K116" s="100">
        <v>1</v>
      </c>
      <c r="L116" s="100">
        <v>1</v>
      </c>
      <c r="N116" s="100">
        <v>1</v>
      </c>
      <c r="O116" s="100">
        <v>1</v>
      </c>
      <c r="P116" s="100">
        <v>1</v>
      </c>
      <c r="R116" s="100">
        <v>1</v>
      </c>
      <c r="S116" s="100">
        <v>1</v>
      </c>
      <c r="T116" s="100">
        <v>1</v>
      </c>
      <c r="V116" s="100" t="str">
        <v/>
      </c>
      <c r="W116" s="100" t="str">
        <v/>
      </c>
      <c r="Y116" s="100" t="str">
        <v/>
      </c>
      <c r="Z116" s="100" t="str">
        <v/>
      </c>
      <c r="AB116" s="100" t="str">
        <v/>
      </c>
      <c r="AC116" s="100" t="str">
        <v/>
      </c>
      <c r="AE116" s="100" t="str">
        <v/>
      </c>
      <c r="AF116" s="100" t="str">
        <v/>
      </c>
      <c r="AH116" s="8">
        <v>5</v>
      </c>
      <c r="AI116" s="101">
        <v>0.13043478232514177</v>
      </c>
      <c r="AJ116" s="102">
        <v>120000000</v>
      </c>
    </row>
    <row r="117" spans="2:45">
      <c r="B117" s="100">
        <v>7</v>
      </c>
      <c r="C117" s="100">
        <v>1</v>
      </c>
      <c r="D117" s="100">
        <v>4</v>
      </c>
      <c r="F117" s="100">
        <v>1</v>
      </c>
      <c r="G117" s="100">
        <v>1</v>
      </c>
      <c r="H117" s="100">
        <v>1</v>
      </c>
      <c r="J117" s="100">
        <v>1</v>
      </c>
      <c r="K117" s="100">
        <v>1</v>
      </c>
      <c r="L117" s="100">
        <v>1</v>
      </c>
      <c r="N117" s="100">
        <v>1</v>
      </c>
      <c r="O117" s="100">
        <v>1</v>
      </c>
      <c r="P117" s="100">
        <v>1</v>
      </c>
      <c r="R117" s="100">
        <v>1</v>
      </c>
      <c r="S117" s="100">
        <v>1</v>
      </c>
      <c r="T117" s="100">
        <v>1</v>
      </c>
      <c r="V117" s="100" t="str">
        <v/>
      </c>
      <c r="W117" s="100" t="str">
        <v/>
      </c>
      <c r="Y117" s="100" t="str">
        <v/>
      </c>
      <c r="Z117" s="100" t="str">
        <v/>
      </c>
      <c r="AB117" s="100" t="str">
        <v/>
      </c>
      <c r="AC117" s="100" t="str">
        <v/>
      </c>
      <c r="AE117" s="100" t="str">
        <v/>
      </c>
      <c r="AF117" s="100" t="str">
        <v/>
      </c>
      <c r="AH117" s="8">
        <v>6</v>
      </c>
      <c r="AI117" s="101">
        <v>0.13043478232514177</v>
      </c>
      <c r="AJ117" s="102">
        <v>120000000</v>
      </c>
    </row>
    <row r="118" spans="2:45">
      <c r="B118" s="100">
        <v>7</v>
      </c>
      <c r="C118" s="100">
        <v>1</v>
      </c>
      <c r="D118" s="100">
        <v>4</v>
      </c>
      <c r="F118" s="100">
        <v>1</v>
      </c>
      <c r="G118" s="100">
        <v>1</v>
      </c>
      <c r="H118" s="100">
        <v>1</v>
      </c>
      <c r="J118" s="100">
        <v>1</v>
      </c>
      <c r="K118" s="100">
        <v>1</v>
      </c>
      <c r="L118" s="100">
        <v>1</v>
      </c>
      <c r="N118" s="100">
        <v>1</v>
      </c>
      <c r="O118" s="100">
        <v>1</v>
      </c>
      <c r="P118" s="100">
        <v>1</v>
      </c>
      <c r="R118" s="100">
        <v>1</v>
      </c>
      <c r="S118" s="100">
        <v>1</v>
      </c>
      <c r="T118" s="100">
        <v>1</v>
      </c>
      <c r="V118" s="100" t="str">
        <v/>
      </c>
      <c r="W118" s="100" t="str">
        <v/>
      </c>
      <c r="Y118" s="100" t="str">
        <v/>
      </c>
      <c r="Z118" s="100" t="str">
        <v/>
      </c>
      <c r="AB118" s="100" t="str">
        <v/>
      </c>
      <c r="AC118" s="100" t="str">
        <v/>
      </c>
      <c r="AE118" s="100" t="str">
        <v/>
      </c>
      <c r="AF118" s="100" t="str">
        <v/>
      </c>
      <c r="AH118" s="8">
        <v>7</v>
      </c>
      <c r="AI118" s="101">
        <v>0.13043478232514177</v>
      </c>
      <c r="AJ118" s="102">
        <v>120000000</v>
      </c>
    </row>
    <row r="119" spans="2:45">
      <c r="B119" s="100">
        <v>2</v>
      </c>
      <c r="C119" s="100">
        <v>1</v>
      </c>
      <c r="D119" s="100">
        <v>3</v>
      </c>
      <c r="F119" s="100">
        <v>1</v>
      </c>
      <c r="G119" s="100">
        <v>1</v>
      </c>
      <c r="H119" s="100">
        <v>1</v>
      </c>
      <c r="J119" s="100">
        <v>1</v>
      </c>
      <c r="K119" s="100">
        <v>1</v>
      </c>
      <c r="L119" s="100">
        <v>1</v>
      </c>
      <c r="N119" s="100">
        <v>1</v>
      </c>
      <c r="O119" s="100">
        <v>1</v>
      </c>
      <c r="P119" s="100">
        <v>1</v>
      </c>
      <c r="R119" s="100">
        <v>1</v>
      </c>
      <c r="S119" s="100">
        <v>1</v>
      </c>
      <c r="T119" s="100">
        <v>1</v>
      </c>
      <c r="V119" s="100" t="str">
        <v/>
      </c>
      <c r="W119" s="100" t="str">
        <v/>
      </c>
      <c r="Y119" s="100" t="str">
        <v/>
      </c>
      <c r="Z119" s="100" t="str">
        <v/>
      </c>
      <c r="AB119" s="100" t="str">
        <v/>
      </c>
      <c r="AC119" s="100" t="str">
        <v/>
      </c>
      <c r="AE119" s="100" t="str">
        <v/>
      </c>
      <c r="AF119" s="100" t="str">
        <v/>
      </c>
      <c r="AH119" s="8">
        <v>8</v>
      </c>
      <c r="AI119" s="101">
        <v>0.13043478232514177</v>
      </c>
      <c r="AJ119" s="102">
        <v>120000000</v>
      </c>
    </row>
    <row r="120" spans="2:45">
      <c r="B120" s="100">
        <v>6</v>
      </c>
      <c r="C120" s="100">
        <v>6</v>
      </c>
      <c r="D120" s="100">
        <v>3</v>
      </c>
      <c r="F120" s="100">
        <v>1</v>
      </c>
      <c r="G120" s="100">
        <v>1</v>
      </c>
      <c r="H120" s="100">
        <v>1</v>
      </c>
      <c r="J120" s="100">
        <v>1</v>
      </c>
      <c r="K120" s="100">
        <v>1</v>
      </c>
      <c r="L120" s="100">
        <v>1</v>
      </c>
      <c r="N120" s="100">
        <v>1</v>
      </c>
      <c r="O120" s="100">
        <v>1</v>
      </c>
      <c r="P120" s="100">
        <v>1</v>
      </c>
      <c r="R120" s="100">
        <v>1</v>
      </c>
      <c r="S120" s="100">
        <v>1</v>
      </c>
      <c r="T120" s="100">
        <v>1</v>
      </c>
      <c r="V120" s="100" t="str">
        <v/>
      </c>
      <c r="W120" s="100" t="str">
        <v/>
      </c>
      <c r="Y120" s="100" t="str">
        <v/>
      </c>
      <c r="Z120" s="100" t="str">
        <v/>
      </c>
      <c r="AB120" s="100" t="str">
        <v/>
      </c>
      <c r="AC120" s="100" t="str">
        <v/>
      </c>
      <c r="AE120" s="100" t="str">
        <v/>
      </c>
      <c r="AF120" s="100" t="str">
        <v/>
      </c>
      <c r="AH120" s="8">
        <v>9</v>
      </c>
      <c r="AI120" s="101">
        <v>8.695652155009452E-2</v>
      </c>
      <c r="AJ120" s="102">
        <v>80000000</v>
      </c>
    </row>
    <row r="121" spans="2:45">
      <c r="B121" s="100">
        <v>6</v>
      </c>
      <c r="C121" s="100">
        <v>6</v>
      </c>
      <c r="D121" s="100">
        <v>3</v>
      </c>
      <c r="F121" s="100">
        <v>1</v>
      </c>
      <c r="G121" s="100">
        <v>1</v>
      </c>
      <c r="H121" s="100">
        <v>1</v>
      </c>
      <c r="J121" s="100">
        <v>1</v>
      </c>
      <c r="K121" s="100">
        <v>1</v>
      </c>
      <c r="L121" s="100">
        <v>1</v>
      </c>
      <c r="N121" s="100">
        <v>1</v>
      </c>
      <c r="O121" s="100">
        <v>1</v>
      </c>
      <c r="P121" s="100">
        <v>1</v>
      </c>
      <c r="R121" s="100">
        <v>1</v>
      </c>
      <c r="S121" s="100">
        <v>1</v>
      </c>
      <c r="T121" s="100">
        <v>1</v>
      </c>
      <c r="V121" s="100" t="str">
        <v/>
      </c>
      <c r="W121" s="100" t="str">
        <v/>
      </c>
      <c r="Y121" s="100" t="str">
        <v/>
      </c>
      <c r="Z121" s="100" t="str">
        <v/>
      </c>
      <c r="AB121" s="100" t="str">
        <v/>
      </c>
      <c r="AC121" s="100" t="str">
        <v/>
      </c>
      <c r="AE121" s="100" t="str">
        <v/>
      </c>
      <c r="AF121" s="100" t="str">
        <v/>
      </c>
      <c r="AH121" s="8">
        <v>10</v>
      </c>
      <c r="AI121" s="101">
        <v>8.695652155009452E-2</v>
      </c>
      <c r="AJ121" s="102">
        <v>80000000</v>
      </c>
    </row>
    <row r="122" spans="2:45">
      <c r="B122" s="100">
        <v>0</v>
      </c>
      <c r="C122" s="100">
        <v>2</v>
      </c>
      <c r="D122" s="100">
        <v>5</v>
      </c>
      <c r="F122" s="100">
        <v>1</v>
      </c>
      <c r="G122" s="100">
        <v>1</v>
      </c>
      <c r="H122" s="100">
        <v>1</v>
      </c>
      <c r="J122" s="100">
        <v>1</v>
      </c>
      <c r="K122" s="100">
        <v>1</v>
      </c>
      <c r="L122" s="100">
        <v>1</v>
      </c>
      <c r="N122" s="100">
        <v>1</v>
      </c>
      <c r="O122" s="100">
        <v>1</v>
      </c>
      <c r="P122" s="100">
        <v>1</v>
      </c>
      <c r="R122" s="100">
        <v>1</v>
      </c>
      <c r="S122" s="100">
        <v>1</v>
      </c>
      <c r="T122" s="100">
        <v>1</v>
      </c>
      <c r="V122" s="100" t="str">
        <v/>
      </c>
      <c r="W122" s="100" t="str">
        <v/>
      </c>
      <c r="Y122" s="100" t="str">
        <v/>
      </c>
      <c r="Z122" s="100" t="str">
        <v/>
      </c>
      <c r="AB122" s="100" t="str">
        <v/>
      </c>
      <c r="AC122" s="100" t="str">
        <v/>
      </c>
      <c r="AE122" s="100" t="str">
        <v/>
      </c>
      <c r="AF122" s="100" t="str">
        <v/>
      </c>
      <c r="AH122" s="8">
        <v>20</v>
      </c>
      <c r="AI122" s="101">
        <v>8.695652155009452E-2</v>
      </c>
      <c r="AJ122" s="102">
        <v>80000000</v>
      </c>
    </row>
    <row r="123" spans="2:45">
      <c r="B123" s="100">
        <v>0</v>
      </c>
      <c r="C123" s="100">
        <v>2</v>
      </c>
      <c r="D123" s="100">
        <v>5</v>
      </c>
      <c r="F123" s="100">
        <v>1</v>
      </c>
      <c r="G123" s="100">
        <v>1</v>
      </c>
      <c r="H123" s="100">
        <v>1</v>
      </c>
      <c r="J123" s="100">
        <v>1</v>
      </c>
      <c r="K123" s="100">
        <v>1</v>
      </c>
      <c r="L123" s="100">
        <v>1</v>
      </c>
      <c r="N123" s="100">
        <v>1</v>
      </c>
      <c r="O123" s="100">
        <v>1</v>
      </c>
      <c r="P123" s="100">
        <v>1</v>
      </c>
      <c r="R123" s="100">
        <v>1</v>
      </c>
      <c r="S123" s="100">
        <v>1</v>
      </c>
      <c r="T123" s="100">
        <v>1</v>
      </c>
      <c r="V123" s="100" t="str">
        <v/>
      </c>
      <c r="W123" s="100" t="str">
        <v/>
      </c>
      <c r="Y123" s="100" t="str">
        <v/>
      </c>
      <c r="Z123" s="100" t="str">
        <v/>
      </c>
      <c r="AB123" s="100" t="str">
        <v/>
      </c>
      <c r="AC123" s="100" t="str">
        <v/>
      </c>
      <c r="AE123" s="100" t="str">
        <v/>
      </c>
      <c r="AF123" s="100" t="str">
        <v/>
      </c>
      <c r="AH123" s="8">
        <v>50</v>
      </c>
      <c r="AI123" s="101">
        <v>8.695652155009452E-2</v>
      </c>
      <c r="AJ123" s="102">
        <v>80000000</v>
      </c>
    </row>
    <row r="124" spans="2:45">
      <c r="B124" s="100">
        <v>0</v>
      </c>
      <c r="C124" s="100">
        <v>7</v>
      </c>
      <c r="D124" s="100">
        <v>5</v>
      </c>
      <c r="F124" s="100">
        <v>1</v>
      </c>
      <c r="G124" s="100">
        <v>1</v>
      </c>
      <c r="H124" s="100">
        <v>1</v>
      </c>
      <c r="J124" s="100">
        <v>1</v>
      </c>
      <c r="K124" s="100">
        <v>1</v>
      </c>
      <c r="L124" s="100">
        <v>1</v>
      </c>
      <c r="N124" s="100">
        <v>1</v>
      </c>
      <c r="O124" s="100">
        <v>1</v>
      </c>
      <c r="P124" s="100">
        <v>1</v>
      </c>
      <c r="R124" s="100">
        <v>1</v>
      </c>
      <c r="S124" s="100">
        <v>1</v>
      </c>
      <c r="T124" s="100">
        <v>1</v>
      </c>
      <c r="V124" s="100" t="str">
        <v/>
      </c>
      <c r="W124" s="100" t="str">
        <v/>
      </c>
      <c r="Y124" s="100" t="str">
        <v/>
      </c>
      <c r="Z124" s="100" t="str">
        <v/>
      </c>
      <c r="AB124" s="100" t="str">
        <v/>
      </c>
      <c r="AC124" s="100" t="str">
        <v/>
      </c>
      <c r="AE124" s="100" t="str">
        <v/>
      </c>
      <c r="AF124" s="100" t="str">
        <v/>
      </c>
      <c r="AJ124" s="103"/>
    </row>
    <row r="125" spans="2:45">
      <c r="B125" s="100">
        <v>7</v>
      </c>
      <c r="C125" s="100">
        <v>7</v>
      </c>
      <c r="D125" s="100">
        <v>3</v>
      </c>
      <c r="F125" s="100">
        <v>1</v>
      </c>
      <c r="G125" s="100">
        <v>1</v>
      </c>
      <c r="H125" s="100">
        <v>1</v>
      </c>
      <c r="J125" s="100">
        <v>1</v>
      </c>
      <c r="K125" s="100">
        <v>1</v>
      </c>
      <c r="L125" s="100">
        <v>1</v>
      </c>
      <c r="N125" s="100">
        <v>1</v>
      </c>
      <c r="O125" s="100">
        <v>1</v>
      </c>
      <c r="P125" s="100">
        <v>1</v>
      </c>
      <c r="R125" s="100">
        <v>1</v>
      </c>
      <c r="S125" s="100">
        <v>1</v>
      </c>
      <c r="T125" s="100">
        <v>1</v>
      </c>
      <c r="V125" s="100" t="str">
        <v/>
      </c>
      <c r="W125" s="100" t="str">
        <v/>
      </c>
      <c r="Y125" s="100" t="str">
        <v/>
      </c>
      <c r="Z125" s="100" t="str">
        <v/>
      </c>
      <c r="AB125" s="100" t="str">
        <v/>
      </c>
      <c r="AC125" s="100" t="str">
        <v/>
      </c>
      <c r="AE125" s="100" t="str">
        <v/>
      </c>
      <c r="AF125" s="100" t="str">
        <v/>
      </c>
    </row>
    <row r="126" spans="2:45" ht="16.2">
      <c r="B126" s="100" t="str">
        <v/>
      </c>
      <c r="C126" s="100">
        <v>3</v>
      </c>
      <c r="D126" s="100">
        <v>3</v>
      </c>
      <c r="F126" s="100" t="str">
        <v/>
      </c>
      <c r="G126" s="100">
        <v>1</v>
      </c>
      <c r="H126" s="100">
        <v>1</v>
      </c>
      <c r="J126" s="100" t="str">
        <v/>
      </c>
      <c r="K126" s="100">
        <v>1</v>
      </c>
      <c r="L126" s="100">
        <v>1</v>
      </c>
      <c r="N126" s="100" t="str">
        <v/>
      </c>
      <c r="O126" s="100">
        <v>1</v>
      </c>
      <c r="P126" s="100">
        <v>1</v>
      </c>
      <c r="R126" s="100" t="str">
        <v/>
      </c>
      <c r="S126" s="100">
        <v>1</v>
      </c>
      <c r="T126" s="100">
        <v>1</v>
      </c>
      <c r="V126" s="100" t="str">
        <v/>
      </c>
      <c r="W126" s="100" t="str">
        <v/>
      </c>
      <c r="Y126" s="100" t="str">
        <v/>
      </c>
      <c r="Z126" s="100" t="str">
        <v/>
      </c>
      <c r="AB126" s="100" t="str">
        <v/>
      </c>
      <c r="AC126" s="100" t="str">
        <v/>
      </c>
      <c r="AE126" s="100" t="str">
        <v/>
      </c>
      <c r="AF126" s="100" t="str">
        <v/>
      </c>
      <c r="AH126" s="132" t="s">
        <v>100</v>
      </c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</row>
    <row r="127" spans="2:45" ht="16.2">
      <c r="B127" s="100" t="str">
        <v/>
      </c>
      <c r="C127" s="100">
        <v>3</v>
      </c>
      <c r="D127" s="100">
        <v>6</v>
      </c>
      <c r="F127" s="100" t="str">
        <v/>
      </c>
      <c r="G127" s="100">
        <v>1</v>
      </c>
      <c r="H127" s="100">
        <v>1</v>
      </c>
      <c r="J127" s="100" t="str">
        <v/>
      </c>
      <c r="K127" s="100">
        <v>1</v>
      </c>
      <c r="L127" s="100">
        <v>1</v>
      </c>
      <c r="N127" s="100" t="str">
        <v/>
      </c>
      <c r="O127" s="100">
        <v>1</v>
      </c>
      <c r="P127" s="100">
        <v>1</v>
      </c>
      <c r="R127" s="100" t="str">
        <v/>
      </c>
      <c r="S127" s="100">
        <v>1</v>
      </c>
      <c r="T127" s="100">
        <v>1</v>
      </c>
      <c r="V127" s="100" t="str">
        <v/>
      </c>
      <c r="W127" s="100" t="str">
        <v/>
      </c>
      <c r="Y127" s="100" t="str">
        <v/>
      </c>
      <c r="Z127" s="100" t="str">
        <v/>
      </c>
      <c r="AB127" s="100" t="str">
        <v/>
      </c>
      <c r="AC127" s="100" t="str">
        <v/>
      </c>
      <c r="AE127" s="100" t="str">
        <v/>
      </c>
      <c r="AF127" s="100" t="str">
        <v/>
      </c>
      <c r="AH127" s="98" t="str" cm="1">
        <f t="array" ref="AH127:AH138">'Pay Combo Extra Bet (2)'!V2:V13</f>
        <v>Re-spin multi(per spin)</v>
      </c>
      <c r="AI127" s="98" cm="1">
        <f t="array" ref="AI127:AS138">'Pay Combo Extra Bet (2)'!AH2:AR13</f>
        <v>2</v>
      </c>
      <c r="AJ127" s="98">
        <v>3</v>
      </c>
      <c r="AK127" s="98">
        <v>4</v>
      </c>
      <c r="AL127" s="98">
        <v>5</v>
      </c>
      <c r="AM127" s="98">
        <v>6</v>
      </c>
      <c r="AN127" s="98">
        <v>7</v>
      </c>
      <c r="AO127" s="98">
        <v>8</v>
      </c>
      <c r="AP127" s="98">
        <v>9</v>
      </c>
      <c r="AQ127" s="98">
        <v>10</v>
      </c>
      <c r="AR127" s="98">
        <v>20</v>
      </c>
      <c r="AS127" s="98">
        <v>50</v>
      </c>
    </row>
    <row r="128" spans="2:45">
      <c r="B128" s="100" t="str">
        <v/>
      </c>
      <c r="C128" s="100">
        <v>3</v>
      </c>
      <c r="D128" s="100">
        <v>6</v>
      </c>
      <c r="F128" s="100" t="str">
        <v/>
      </c>
      <c r="G128" s="100">
        <v>1</v>
      </c>
      <c r="H128" s="100">
        <v>1</v>
      </c>
      <c r="J128" s="100" t="str">
        <v/>
      </c>
      <c r="K128" s="100">
        <v>1</v>
      </c>
      <c r="L128" s="100">
        <v>1</v>
      </c>
      <c r="N128" s="100" t="str">
        <v/>
      </c>
      <c r="O128" s="100">
        <v>1</v>
      </c>
      <c r="P128" s="100">
        <v>1</v>
      </c>
      <c r="R128" s="100" t="str">
        <v/>
      </c>
      <c r="S128" s="100">
        <v>1</v>
      </c>
      <c r="T128" s="100">
        <v>1</v>
      </c>
      <c r="V128" s="100" t="str">
        <v/>
      </c>
      <c r="W128" s="100" t="str">
        <v/>
      </c>
      <c r="Y128" s="100" t="str">
        <v/>
      </c>
      <c r="Z128" s="100" t="str">
        <v/>
      </c>
      <c r="AB128" s="100" t="str">
        <v/>
      </c>
      <c r="AC128" s="100" t="str">
        <v/>
      </c>
      <c r="AE128" s="100" t="str">
        <v/>
      </c>
      <c r="AF128" s="100" t="str">
        <v/>
      </c>
      <c r="AH128" s="8">
        <v>1</v>
      </c>
      <c r="AI128" s="102">
        <v>0</v>
      </c>
      <c r="AJ128" s="102">
        <v>0</v>
      </c>
      <c r="AK128" s="102">
        <v>0</v>
      </c>
      <c r="AL128" s="102">
        <v>0</v>
      </c>
      <c r="AM128" s="102">
        <v>0</v>
      </c>
      <c r="AN128" s="102">
        <v>0</v>
      </c>
      <c r="AO128" s="102">
        <v>0</v>
      </c>
      <c r="AP128" s="102">
        <v>0</v>
      </c>
      <c r="AQ128" s="102">
        <v>0</v>
      </c>
      <c r="AR128" s="102">
        <v>0</v>
      </c>
      <c r="AS128" s="102">
        <v>0</v>
      </c>
    </row>
    <row r="129" spans="2:45">
      <c r="B129" s="100" t="str">
        <v/>
      </c>
      <c r="C129" s="100">
        <v>5</v>
      </c>
      <c r="D129" s="100">
        <v>6</v>
      </c>
      <c r="F129" s="100" t="str">
        <v/>
      </c>
      <c r="G129" s="100">
        <v>1</v>
      </c>
      <c r="H129" s="100">
        <v>1</v>
      </c>
      <c r="J129" s="100" t="str">
        <v/>
      </c>
      <c r="K129" s="100">
        <v>1</v>
      </c>
      <c r="L129" s="100">
        <v>1</v>
      </c>
      <c r="N129" s="100" t="str">
        <v/>
      </c>
      <c r="O129" s="100">
        <v>1</v>
      </c>
      <c r="P129" s="100">
        <v>1</v>
      </c>
      <c r="R129" s="100" t="str">
        <v/>
      </c>
      <c r="S129" s="100">
        <v>1</v>
      </c>
      <c r="T129" s="100">
        <v>1</v>
      </c>
      <c r="V129" s="100" t="str">
        <v/>
      </c>
      <c r="W129" s="100" t="str">
        <v/>
      </c>
      <c r="Y129" s="100" t="str">
        <v/>
      </c>
      <c r="Z129" s="100" t="str">
        <v/>
      </c>
      <c r="AB129" s="100" t="str">
        <v/>
      </c>
      <c r="AC129" s="100" t="str">
        <v/>
      </c>
      <c r="AE129" s="100" t="str">
        <v/>
      </c>
      <c r="AF129" s="100" t="str">
        <v/>
      </c>
      <c r="AH129" s="8">
        <v>2</v>
      </c>
      <c r="AI129" s="102">
        <v>0</v>
      </c>
      <c r="AJ129" s="102">
        <v>0</v>
      </c>
      <c r="AK129" s="102">
        <v>0</v>
      </c>
      <c r="AL129" s="102">
        <v>0</v>
      </c>
      <c r="AM129" s="102">
        <v>0</v>
      </c>
      <c r="AN129" s="102">
        <v>0</v>
      </c>
      <c r="AO129" s="102">
        <v>0</v>
      </c>
      <c r="AP129" s="102">
        <v>0</v>
      </c>
      <c r="AQ129" s="102">
        <v>0</v>
      </c>
      <c r="AR129" s="102">
        <v>0</v>
      </c>
      <c r="AS129" s="102">
        <v>0</v>
      </c>
    </row>
    <row r="130" spans="2:45">
      <c r="B130" s="100" t="str">
        <v/>
      </c>
      <c r="C130" s="100">
        <v>5</v>
      </c>
      <c r="D130" s="100">
        <v>2</v>
      </c>
      <c r="F130" s="100" t="str">
        <v/>
      </c>
      <c r="G130" s="100">
        <v>1</v>
      </c>
      <c r="H130" s="100">
        <v>1</v>
      </c>
      <c r="J130" s="100" t="str">
        <v/>
      </c>
      <c r="K130" s="100">
        <v>1</v>
      </c>
      <c r="L130" s="100">
        <v>1</v>
      </c>
      <c r="N130" s="100" t="str">
        <v/>
      </c>
      <c r="O130" s="100">
        <v>1</v>
      </c>
      <c r="P130" s="100">
        <v>1</v>
      </c>
      <c r="R130" s="100" t="str">
        <v/>
      </c>
      <c r="S130" s="100">
        <v>1</v>
      </c>
      <c r="T130" s="100">
        <v>1</v>
      </c>
      <c r="V130" s="100" t="str">
        <v/>
      </c>
      <c r="W130" s="100" t="str">
        <v/>
      </c>
      <c r="Y130" s="100" t="str">
        <v/>
      </c>
      <c r="Z130" s="100" t="str">
        <v/>
      </c>
      <c r="AB130" s="100" t="str">
        <v/>
      </c>
      <c r="AC130" s="100" t="str">
        <v/>
      </c>
      <c r="AE130" s="100" t="str">
        <v/>
      </c>
      <c r="AF130" s="100" t="str">
        <v/>
      </c>
      <c r="AH130" s="8">
        <v>3</v>
      </c>
      <c r="AI130" s="102">
        <v>0</v>
      </c>
      <c r="AJ130" s="102">
        <v>0</v>
      </c>
      <c r="AK130" s="102">
        <v>0</v>
      </c>
      <c r="AL130" s="102">
        <v>0</v>
      </c>
      <c r="AM130" s="102">
        <v>0</v>
      </c>
      <c r="AN130" s="102">
        <v>0</v>
      </c>
      <c r="AO130" s="102">
        <v>0</v>
      </c>
      <c r="AP130" s="102">
        <v>0</v>
      </c>
      <c r="AQ130" s="102">
        <v>0</v>
      </c>
      <c r="AR130" s="102">
        <v>0</v>
      </c>
      <c r="AS130" s="102">
        <v>0</v>
      </c>
    </row>
    <row r="131" spans="2:45">
      <c r="B131" s="100" t="str">
        <v/>
      </c>
      <c r="C131" s="100">
        <v>6</v>
      </c>
      <c r="D131" s="100">
        <v>2</v>
      </c>
      <c r="F131" s="100" t="str">
        <v/>
      </c>
      <c r="G131" s="100">
        <v>1</v>
      </c>
      <c r="H131" s="100">
        <v>1</v>
      </c>
      <c r="J131" s="100" t="str">
        <v/>
      </c>
      <c r="K131" s="100">
        <v>1</v>
      </c>
      <c r="L131" s="100">
        <v>1</v>
      </c>
      <c r="N131" s="100" t="str">
        <v/>
      </c>
      <c r="O131" s="100">
        <v>1</v>
      </c>
      <c r="P131" s="100">
        <v>1</v>
      </c>
      <c r="R131" s="100" t="str">
        <v/>
      </c>
      <c r="S131" s="100">
        <v>1</v>
      </c>
      <c r="T131" s="100">
        <v>1</v>
      </c>
      <c r="V131" s="100" t="str">
        <v/>
      </c>
      <c r="W131" s="100" t="str">
        <v/>
      </c>
      <c r="Y131" s="100" t="str">
        <v/>
      </c>
      <c r="Z131" s="100" t="str">
        <v/>
      </c>
      <c r="AB131" s="100" t="str">
        <v/>
      </c>
      <c r="AC131" s="100" t="str">
        <v/>
      </c>
      <c r="AE131" s="100" t="str">
        <v/>
      </c>
      <c r="AF131" s="100" t="str">
        <v/>
      </c>
      <c r="AH131" s="8">
        <v>5</v>
      </c>
      <c r="AI131" s="102">
        <v>0</v>
      </c>
      <c r="AJ131" s="102">
        <v>0</v>
      </c>
      <c r="AK131" s="102">
        <v>0</v>
      </c>
      <c r="AL131" s="102">
        <v>0</v>
      </c>
      <c r="AM131" s="102">
        <v>0</v>
      </c>
      <c r="AN131" s="102">
        <v>0</v>
      </c>
      <c r="AO131" s="102">
        <v>0</v>
      </c>
      <c r="AP131" s="102">
        <v>0</v>
      </c>
      <c r="AQ131" s="102">
        <v>0</v>
      </c>
      <c r="AR131" s="102">
        <v>0</v>
      </c>
      <c r="AS131" s="102">
        <v>0</v>
      </c>
    </row>
    <row r="132" spans="2:45">
      <c r="B132" s="100" t="str">
        <v/>
      </c>
      <c r="C132" s="100">
        <v>6</v>
      </c>
      <c r="D132" s="100">
        <v>2</v>
      </c>
      <c r="F132" s="100" t="str">
        <v/>
      </c>
      <c r="G132" s="100">
        <v>1</v>
      </c>
      <c r="H132" s="100">
        <v>1</v>
      </c>
      <c r="J132" s="100" t="str">
        <v/>
      </c>
      <c r="K132" s="100">
        <v>1</v>
      </c>
      <c r="L132" s="100">
        <v>1</v>
      </c>
      <c r="N132" s="100" t="str">
        <v/>
      </c>
      <c r="O132" s="100">
        <v>1</v>
      </c>
      <c r="P132" s="100">
        <v>1</v>
      </c>
      <c r="R132" s="100" t="str">
        <v/>
      </c>
      <c r="S132" s="100">
        <v>1</v>
      </c>
      <c r="T132" s="100">
        <v>1</v>
      </c>
      <c r="V132" s="100" t="str">
        <v/>
      </c>
      <c r="W132" s="100" t="str">
        <v/>
      </c>
      <c r="Y132" s="100" t="str">
        <v/>
      </c>
      <c r="Z132" s="100" t="str">
        <v/>
      </c>
      <c r="AB132" s="100" t="str">
        <v/>
      </c>
      <c r="AC132" s="100" t="str">
        <v/>
      </c>
      <c r="AE132" s="100" t="str">
        <v/>
      </c>
      <c r="AF132" s="100" t="str">
        <v/>
      </c>
      <c r="AH132" s="8">
        <v>10</v>
      </c>
      <c r="AI132" s="102">
        <v>10000000</v>
      </c>
      <c r="AJ132" s="102">
        <v>10000000</v>
      </c>
      <c r="AK132" s="102">
        <v>10000000</v>
      </c>
      <c r="AL132" s="102">
        <v>10000000</v>
      </c>
      <c r="AM132" s="102">
        <v>10000000</v>
      </c>
      <c r="AN132" s="102">
        <v>10000000</v>
      </c>
      <c r="AO132" s="102">
        <v>10000000</v>
      </c>
      <c r="AP132" s="102">
        <v>10000000</v>
      </c>
      <c r="AQ132" s="102">
        <v>10000000</v>
      </c>
      <c r="AR132" s="102">
        <v>10000000</v>
      </c>
      <c r="AS132" s="102">
        <v>10000000</v>
      </c>
    </row>
    <row r="133" spans="2:45">
      <c r="B133" s="100" t="str">
        <v/>
      </c>
      <c r="C133" s="100">
        <v>6</v>
      </c>
      <c r="D133" s="100">
        <v>0</v>
      </c>
      <c r="F133" s="100" t="str">
        <v/>
      </c>
      <c r="G133" s="100">
        <v>1</v>
      </c>
      <c r="H133" s="100">
        <v>1</v>
      </c>
      <c r="J133" s="100" t="str">
        <v/>
      </c>
      <c r="K133" s="100">
        <v>1</v>
      </c>
      <c r="L133" s="100">
        <v>1</v>
      </c>
      <c r="N133" s="100" t="str">
        <v/>
      </c>
      <c r="O133" s="100">
        <v>1</v>
      </c>
      <c r="P133" s="100">
        <v>1</v>
      </c>
      <c r="R133" s="100" t="str">
        <v/>
      </c>
      <c r="S133" s="100">
        <v>1</v>
      </c>
      <c r="T133" s="100">
        <v>1</v>
      </c>
      <c r="V133" s="100" t="str">
        <v/>
      </c>
      <c r="W133" s="100" t="str">
        <v/>
      </c>
      <c r="Y133" s="100" t="str">
        <v/>
      </c>
      <c r="Z133" s="100" t="str">
        <v/>
      </c>
      <c r="AB133" s="100" t="str">
        <v/>
      </c>
      <c r="AC133" s="100" t="str">
        <v/>
      </c>
      <c r="AE133" s="100" t="str">
        <v/>
      </c>
      <c r="AF133" s="100" t="str">
        <v/>
      </c>
      <c r="AH133" s="8">
        <v>15</v>
      </c>
      <c r="AI133" s="102">
        <v>20000000</v>
      </c>
      <c r="AJ133" s="102">
        <v>20000000</v>
      </c>
      <c r="AK133" s="102">
        <v>20000000</v>
      </c>
      <c r="AL133" s="102">
        <v>20000000</v>
      </c>
      <c r="AM133" s="102">
        <v>20000000</v>
      </c>
      <c r="AN133" s="102">
        <v>20000000</v>
      </c>
      <c r="AO133" s="102">
        <v>20000000</v>
      </c>
      <c r="AP133" s="102">
        <v>20000000</v>
      </c>
      <c r="AQ133" s="102">
        <v>20000000</v>
      </c>
      <c r="AR133" s="102">
        <v>20000000</v>
      </c>
      <c r="AS133" s="102">
        <v>20000000</v>
      </c>
    </row>
    <row r="134" spans="2:45">
      <c r="B134" s="100" t="str">
        <v/>
      </c>
      <c r="C134" s="100">
        <v>3</v>
      </c>
      <c r="D134" s="100">
        <v>0</v>
      </c>
      <c r="F134" s="100" t="str">
        <v/>
      </c>
      <c r="G134" s="100">
        <v>1</v>
      </c>
      <c r="H134" s="100">
        <v>1</v>
      </c>
      <c r="J134" s="100" t="str">
        <v/>
      </c>
      <c r="K134" s="100">
        <v>1</v>
      </c>
      <c r="L134" s="100">
        <v>1</v>
      </c>
      <c r="N134" s="100" t="str">
        <v/>
      </c>
      <c r="O134" s="100">
        <v>1</v>
      </c>
      <c r="P134" s="100">
        <v>1</v>
      </c>
      <c r="R134" s="100" t="str">
        <v/>
      </c>
      <c r="S134" s="100">
        <v>1</v>
      </c>
      <c r="T134" s="100">
        <v>1</v>
      </c>
      <c r="V134" s="100" t="str">
        <v/>
      </c>
      <c r="W134" s="100" t="str">
        <v/>
      </c>
      <c r="Y134" s="100" t="str">
        <v/>
      </c>
      <c r="Z134" s="100" t="str">
        <v/>
      </c>
      <c r="AB134" s="100" t="str">
        <v/>
      </c>
      <c r="AC134" s="100" t="str">
        <v/>
      </c>
      <c r="AE134" s="100" t="str">
        <v/>
      </c>
      <c r="AF134" s="100" t="str">
        <v/>
      </c>
      <c r="AH134" s="8">
        <v>20</v>
      </c>
      <c r="AI134" s="102">
        <v>20000000</v>
      </c>
      <c r="AJ134" s="102">
        <v>20000000</v>
      </c>
      <c r="AK134" s="102">
        <v>20000000</v>
      </c>
      <c r="AL134" s="102">
        <v>20000000</v>
      </c>
      <c r="AM134" s="102">
        <v>20000000</v>
      </c>
      <c r="AN134" s="102">
        <v>20000000</v>
      </c>
      <c r="AO134" s="102">
        <v>20000000</v>
      </c>
      <c r="AP134" s="102">
        <v>20000000</v>
      </c>
      <c r="AQ134" s="102">
        <v>20000000</v>
      </c>
      <c r="AR134" s="102">
        <v>20000000</v>
      </c>
      <c r="AS134" s="102">
        <v>20000000</v>
      </c>
    </row>
    <row r="135" spans="2:45">
      <c r="B135" s="100" t="str">
        <v/>
      </c>
      <c r="C135" s="100">
        <v>3</v>
      </c>
      <c r="D135" s="100">
        <v>0</v>
      </c>
      <c r="F135" s="100" t="str">
        <v/>
      </c>
      <c r="G135" s="100">
        <v>1</v>
      </c>
      <c r="H135" s="100">
        <v>1</v>
      </c>
      <c r="J135" s="100" t="str">
        <v/>
      </c>
      <c r="K135" s="100">
        <v>1</v>
      </c>
      <c r="L135" s="100">
        <v>1</v>
      </c>
      <c r="N135" s="100" t="str">
        <v/>
      </c>
      <c r="O135" s="100">
        <v>1</v>
      </c>
      <c r="P135" s="100">
        <v>1</v>
      </c>
      <c r="R135" s="100" t="str">
        <v/>
      </c>
      <c r="S135" s="100">
        <v>1</v>
      </c>
      <c r="T135" s="100">
        <v>1</v>
      </c>
      <c r="V135" s="100" t="str">
        <v/>
      </c>
      <c r="W135" s="100" t="str">
        <v/>
      </c>
      <c r="Y135" s="100" t="str">
        <v/>
      </c>
      <c r="Z135" s="100" t="str">
        <v/>
      </c>
      <c r="AB135" s="100" t="str">
        <v/>
      </c>
      <c r="AC135" s="100" t="str">
        <v/>
      </c>
      <c r="AE135" s="100" t="str">
        <v/>
      </c>
      <c r="AF135" s="100" t="str">
        <v/>
      </c>
      <c r="AH135" s="8">
        <v>25</v>
      </c>
      <c r="AI135" s="102">
        <v>15000000</v>
      </c>
      <c r="AJ135" s="102">
        <v>15000000</v>
      </c>
      <c r="AK135" s="102">
        <v>15000000</v>
      </c>
      <c r="AL135" s="102">
        <v>15000000</v>
      </c>
      <c r="AM135" s="102">
        <v>15000000</v>
      </c>
      <c r="AN135" s="102">
        <v>15000000</v>
      </c>
      <c r="AO135" s="102">
        <v>15000000</v>
      </c>
      <c r="AP135" s="102">
        <v>15000000</v>
      </c>
      <c r="AQ135" s="102">
        <v>15000000</v>
      </c>
      <c r="AR135" s="102">
        <v>15000000</v>
      </c>
      <c r="AS135" s="102">
        <v>15000000</v>
      </c>
    </row>
    <row r="136" spans="2:45">
      <c r="B136" s="100" t="str">
        <v/>
      </c>
      <c r="C136" s="100">
        <v>3</v>
      </c>
      <c r="D136" s="100">
        <v>6</v>
      </c>
      <c r="F136" s="100" t="str">
        <v/>
      </c>
      <c r="G136" s="100">
        <v>1</v>
      </c>
      <c r="H136" s="100">
        <v>1</v>
      </c>
      <c r="J136" s="100" t="str">
        <v/>
      </c>
      <c r="K136" s="100">
        <v>1</v>
      </c>
      <c r="L136" s="100">
        <v>1</v>
      </c>
      <c r="N136" s="100" t="str">
        <v/>
      </c>
      <c r="O136" s="100">
        <v>1</v>
      </c>
      <c r="P136" s="100">
        <v>1</v>
      </c>
      <c r="R136" s="100" t="str">
        <v/>
      </c>
      <c r="S136" s="100">
        <v>1</v>
      </c>
      <c r="T136" s="100">
        <v>1</v>
      </c>
      <c r="V136" s="100" t="str">
        <v/>
      </c>
      <c r="W136" s="100" t="str">
        <v/>
      </c>
      <c r="Y136" s="100" t="str">
        <v/>
      </c>
      <c r="Z136" s="100" t="str">
        <v/>
      </c>
      <c r="AB136" s="100" t="str">
        <v/>
      </c>
      <c r="AC136" s="100" t="str">
        <v/>
      </c>
      <c r="AE136" s="100" t="str">
        <v/>
      </c>
      <c r="AF136" s="100" t="str">
        <v/>
      </c>
      <c r="AH136" s="8">
        <v>50</v>
      </c>
      <c r="AI136" s="102">
        <v>15000000</v>
      </c>
      <c r="AJ136" s="102">
        <v>15000000</v>
      </c>
      <c r="AK136" s="102">
        <v>15000000</v>
      </c>
      <c r="AL136" s="102">
        <v>15000000</v>
      </c>
      <c r="AM136" s="102">
        <v>15000000</v>
      </c>
      <c r="AN136" s="102">
        <v>15000000</v>
      </c>
      <c r="AO136" s="102">
        <v>15000000</v>
      </c>
      <c r="AP136" s="102">
        <v>15000000</v>
      </c>
      <c r="AQ136" s="102">
        <v>15000000</v>
      </c>
      <c r="AR136" s="102">
        <v>15000000</v>
      </c>
      <c r="AS136" s="102">
        <v>15000000</v>
      </c>
    </row>
    <row r="137" spans="2:45">
      <c r="B137" s="100" t="str">
        <v/>
      </c>
      <c r="C137" s="100">
        <v>5</v>
      </c>
      <c r="D137" s="100">
        <v>6</v>
      </c>
      <c r="F137" s="100" t="str">
        <v/>
      </c>
      <c r="G137" s="100">
        <v>1</v>
      </c>
      <c r="H137" s="100">
        <v>1</v>
      </c>
      <c r="J137" s="100" t="str">
        <v/>
      </c>
      <c r="K137" s="100">
        <v>1</v>
      </c>
      <c r="L137" s="100">
        <v>1</v>
      </c>
      <c r="N137" s="100" t="str">
        <v/>
      </c>
      <c r="O137" s="100">
        <v>1</v>
      </c>
      <c r="P137" s="100">
        <v>1</v>
      </c>
      <c r="R137" s="100" t="str">
        <v/>
      </c>
      <c r="S137" s="100">
        <v>1</v>
      </c>
      <c r="T137" s="100">
        <v>1</v>
      </c>
      <c r="V137" s="100" t="str">
        <v/>
      </c>
      <c r="W137" s="100" t="str">
        <v/>
      </c>
      <c r="Y137" s="100" t="str">
        <v/>
      </c>
      <c r="Z137" s="100" t="str">
        <v/>
      </c>
      <c r="AB137" s="100" t="str">
        <v/>
      </c>
      <c r="AC137" s="100" t="str">
        <v/>
      </c>
      <c r="AE137" s="100" t="str">
        <v/>
      </c>
      <c r="AF137" s="100" t="str">
        <v/>
      </c>
      <c r="AH137" s="8">
        <v>100</v>
      </c>
      <c r="AI137" s="102">
        <v>10000000</v>
      </c>
      <c r="AJ137" s="102">
        <v>10000000</v>
      </c>
      <c r="AK137" s="102">
        <v>10000000</v>
      </c>
      <c r="AL137" s="102">
        <v>10000000</v>
      </c>
      <c r="AM137" s="102">
        <v>10000000</v>
      </c>
      <c r="AN137" s="102">
        <v>10000000</v>
      </c>
      <c r="AO137" s="102">
        <v>10000000</v>
      </c>
      <c r="AP137" s="102">
        <v>10000000</v>
      </c>
      <c r="AQ137" s="102">
        <v>10000000</v>
      </c>
      <c r="AR137" s="102">
        <v>10000000</v>
      </c>
      <c r="AS137" s="102">
        <v>10000000</v>
      </c>
    </row>
    <row r="138" spans="2:45">
      <c r="B138" s="100" t="str">
        <v/>
      </c>
      <c r="C138" s="100">
        <v>5</v>
      </c>
      <c r="D138" s="100">
        <v>1</v>
      </c>
      <c r="F138" s="100" t="str">
        <v/>
      </c>
      <c r="G138" s="100">
        <v>1</v>
      </c>
      <c r="H138" s="100">
        <v>1</v>
      </c>
      <c r="J138" s="100" t="str">
        <v/>
      </c>
      <c r="K138" s="100">
        <v>1</v>
      </c>
      <c r="L138" s="100">
        <v>1</v>
      </c>
      <c r="N138" s="100" t="str">
        <v/>
      </c>
      <c r="O138" s="100">
        <v>1</v>
      </c>
      <c r="P138" s="100">
        <v>1</v>
      </c>
      <c r="R138" s="100" t="str">
        <v/>
      </c>
      <c r="S138" s="100">
        <v>1</v>
      </c>
      <c r="T138" s="100">
        <v>1</v>
      </c>
      <c r="V138" s="100" t="str">
        <v/>
      </c>
      <c r="W138" s="100" t="str">
        <v/>
      </c>
      <c r="Y138" s="100" t="str">
        <v/>
      </c>
      <c r="Z138" s="100" t="str">
        <v/>
      </c>
      <c r="AB138" s="100" t="str">
        <v/>
      </c>
      <c r="AC138" s="100" t="str">
        <v/>
      </c>
      <c r="AE138" s="100" t="str">
        <v/>
      </c>
      <c r="AF138" s="100" t="str">
        <v/>
      </c>
      <c r="AH138" s="8">
        <v>500</v>
      </c>
      <c r="AI138" s="102">
        <v>5000000</v>
      </c>
      <c r="AJ138" s="102">
        <v>5000000</v>
      </c>
      <c r="AK138" s="102">
        <v>5000000</v>
      </c>
      <c r="AL138" s="102">
        <v>5000000</v>
      </c>
      <c r="AM138" s="102">
        <v>5000000</v>
      </c>
      <c r="AN138" s="102">
        <v>5000000</v>
      </c>
      <c r="AO138" s="102">
        <v>5000000</v>
      </c>
      <c r="AP138" s="102">
        <v>5000000</v>
      </c>
      <c r="AQ138" s="102">
        <v>3000000</v>
      </c>
      <c r="AR138" s="102">
        <v>3000000</v>
      </c>
      <c r="AS138" s="102">
        <v>3000000</v>
      </c>
    </row>
    <row r="139" spans="2:45">
      <c r="B139" s="100" t="str">
        <v/>
      </c>
      <c r="C139" s="100">
        <v>5</v>
      </c>
      <c r="D139" s="100">
        <v>1</v>
      </c>
      <c r="F139" s="100" t="str">
        <v/>
      </c>
      <c r="G139" s="100">
        <v>1</v>
      </c>
      <c r="H139" s="100">
        <v>1</v>
      </c>
      <c r="J139" s="100" t="str">
        <v/>
      </c>
      <c r="K139" s="100">
        <v>1</v>
      </c>
      <c r="L139" s="100">
        <v>1</v>
      </c>
      <c r="N139" s="100" t="str">
        <v/>
      </c>
      <c r="O139" s="100">
        <v>1</v>
      </c>
      <c r="P139" s="100">
        <v>1</v>
      </c>
      <c r="R139" s="100" t="str">
        <v/>
      </c>
      <c r="S139" s="100">
        <v>1</v>
      </c>
      <c r="T139" s="100">
        <v>1</v>
      </c>
      <c r="V139" s="100" t="str">
        <v/>
      </c>
      <c r="W139" s="100" t="str">
        <v/>
      </c>
      <c r="Y139" s="100" t="str">
        <v/>
      </c>
      <c r="Z139" s="100" t="str">
        <v/>
      </c>
      <c r="AB139" s="100" t="str">
        <v/>
      </c>
      <c r="AC139" s="100" t="str">
        <v/>
      </c>
      <c r="AE139" s="100" t="str">
        <v/>
      </c>
      <c r="AF139" s="100" t="str">
        <v/>
      </c>
    </row>
    <row r="140" spans="2:45">
      <c r="B140" s="100" t="str">
        <v/>
      </c>
      <c r="C140" s="100">
        <v>1</v>
      </c>
      <c r="D140" s="100">
        <v>1</v>
      </c>
      <c r="F140" s="100" t="str">
        <v/>
      </c>
      <c r="G140" s="100">
        <v>1</v>
      </c>
      <c r="H140" s="100">
        <v>1</v>
      </c>
      <c r="J140" s="100" t="str">
        <v/>
      </c>
      <c r="K140" s="100">
        <v>1</v>
      </c>
      <c r="L140" s="100">
        <v>1</v>
      </c>
      <c r="N140" s="100" t="str">
        <v/>
      </c>
      <c r="O140" s="100">
        <v>1</v>
      </c>
      <c r="P140" s="100">
        <v>1</v>
      </c>
      <c r="R140" s="100" t="str">
        <v/>
      </c>
      <c r="S140" s="100">
        <v>1</v>
      </c>
      <c r="T140" s="100">
        <v>1</v>
      </c>
      <c r="V140" s="100" t="str">
        <v/>
      </c>
      <c r="W140" s="100" t="str">
        <v/>
      </c>
      <c r="Y140" s="100" t="str">
        <v/>
      </c>
      <c r="Z140" s="100" t="str">
        <v/>
      </c>
      <c r="AB140" s="100" t="str">
        <v/>
      </c>
      <c r="AC140" s="100" t="str">
        <v/>
      </c>
      <c r="AE140" s="100" t="str">
        <v/>
      </c>
      <c r="AF140" s="100" t="str">
        <v/>
      </c>
    </row>
    <row r="141" spans="2:45">
      <c r="B141" s="100" t="str">
        <v/>
      </c>
      <c r="C141" s="100">
        <v>1</v>
      </c>
      <c r="D141" s="100">
        <v>5</v>
      </c>
      <c r="F141" s="100" t="str">
        <v/>
      </c>
      <c r="G141" s="100">
        <v>1</v>
      </c>
      <c r="H141" s="100">
        <v>1</v>
      </c>
      <c r="J141" s="100" t="str">
        <v/>
      </c>
      <c r="K141" s="100">
        <v>1</v>
      </c>
      <c r="L141" s="100">
        <v>1</v>
      </c>
      <c r="N141" s="100" t="str">
        <v/>
      </c>
      <c r="O141" s="100">
        <v>1</v>
      </c>
      <c r="P141" s="100">
        <v>1</v>
      </c>
      <c r="R141" s="100" t="str">
        <v/>
      </c>
      <c r="S141" s="100">
        <v>1</v>
      </c>
      <c r="T141" s="100">
        <v>1</v>
      </c>
      <c r="V141" s="100" t="str">
        <v/>
      </c>
      <c r="W141" s="100" t="str">
        <v/>
      </c>
      <c r="Y141" s="100" t="str">
        <v/>
      </c>
      <c r="Z141" s="100" t="str">
        <v/>
      </c>
      <c r="AB141" s="100" t="str">
        <v/>
      </c>
      <c r="AC141" s="100" t="str">
        <v/>
      </c>
      <c r="AE141" s="100" t="str">
        <v/>
      </c>
      <c r="AF141" s="100" t="str">
        <v/>
      </c>
    </row>
    <row r="142" spans="2:45" ht="16.2">
      <c r="B142" s="100" t="str">
        <v/>
      </c>
      <c r="C142" s="100">
        <v>4</v>
      </c>
      <c r="D142" s="100">
        <v>5</v>
      </c>
      <c r="F142" s="100" t="str">
        <v/>
      </c>
      <c r="G142" s="100">
        <v>1</v>
      </c>
      <c r="H142" s="100">
        <v>1</v>
      </c>
      <c r="J142" s="100" t="str">
        <v/>
      </c>
      <c r="K142" s="100">
        <v>1</v>
      </c>
      <c r="L142" s="100">
        <v>1</v>
      </c>
      <c r="N142" s="100" t="str">
        <v/>
      </c>
      <c r="O142" s="100">
        <v>1</v>
      </c>
      <c r="P142" s="100">
        <v>1</v>
      </c>
      <c r="R142" s="100" t="str">
        <v/>
      </c>
      <c r="S142" s="100">
        <v>1</v>
      </c>
      <c r="T142" s="100">
        <v>1</v>
      </c>
      <c r="V142" s="100" t="str">
        <v/>
      </c>
      <c r="W142" s="100" t="str">
        <v/>
      </c>
      <c r="Y142" s="100" t="str">
        <v/>
      </c>
      <c r="Z142" s="100" t="str">
        <v/>
      </c>
      <c r="AB142" s="100" t="str">
        <v/>
      </c>
      <c r="AC142" s="100" t="str">
        <v/>
      </c>
      <c r="AE142" s="100" t="str">
        <v/>
      </c>
      <c r="AF142" s="100" t="str">
        <v/>
      </c>
      <c r="AH142" s="153" t="s">
        <v>98</v>
      </c>
      <c r="AI142" s="154"/>
      <c r="AJ142" s="154"/>
    </row>
    <row r="143" spans="2:45" ht="16.2">
      <c r="B143" s="100" t="str">
        <v/>
      </c>
      <c r="C143" s="100">
        <v>4</v>
      </c>
      <c r="D143" s="100">
        <v>5</v>
      </c>
      <c r="F143" s="100" t="str">
        <v/>
      </c>
      <c r="G143" s="100">
        <v>1</v>
      </c>
      <c r="H143" s="100">
        <v>1</v>
      </c>
      <c r="J143" s="100" t="str">
        <v/>
      </c>
      <c r="K143" s="100">
        <v>1</v>
      </c>
      <c r="L143" s="100">
        <v>1</v>
      </c>
      <c r="N143" s="100" t="str">
        <v/>
      </c>
      <c r="O143" s="100">
        <v>1</v>
      </c>
      <c r="P143" s="100">
        <v>1</v>
      </c>
      <c r="R143" s="100" t="str">
        <v/>
      </c>
      <c r="S143" s="100">
        <v>1</v>
      </c>
      <c r="T143" s="100">
        <v>1</v>
      </c>
      <c r="V143" s="100" t="str">
        <v/>
      </c>
      <c r="W143" s="100" t="str">
        <v/>
      </c>
      <c r="Y143" s="100" t="str">
        <v/>
      </c>
      <c r="Z143" s="100" t="str">
        <v/>
      </c>
      <c r="AB143" s="100" t="str">
        <v/>
      </c>
      <c r="AC143" s="100" t="str">
        <v/>
      </c>
      <c r="AE143" s="100" t="str">
        <v/>
      </c>
      <c r="AF143" s="100" t="str">
        <v/>
      </c>
      <c r="AH143" s="98" t="str" cm="1">
        <f t="array" ref="AH143:AJ155">'Pay Combo Super Feature Buy'!L2:N14</f>
        <v>R4 Multiplier</v>
      </c>
      <c r="AI143" s="98" t="str">
        <v>prob.</v>
      </c>
      <c r="AJ143" s="98" t="str">
        <v>weight</v>
      </c>
    </row>
    <row r="144" spans="2:45">
      <c r="B144" s="100" t="str">
        <v/>
      </c>
      <c r="C144" s="100">
        <v>0</v>
      </c>
      <c r="D144" s="100">
        <v>0</v>
      </c>
      <c r="F144" s="100" t="str">
        <v/>
      </c>
      <c r="G144" s="100">
        <v>1</v>
      </c>
      <c r="H144" s="100">
        <v>1</v>
      </c>
      <c r="J144" s="100" t="str">
        <v/>
      </c>
      <c r="K144" s="100">
        <v>1</v>
      </c>
      <c r="L144" s="100">
        <v>1</v>
      </c>
      <c r="N144" s="100" t="str">
        <v/>
      </c>
      <c r="O144" s="100">
        <v>1</v>
      </c>
      <c r="P144" s="100">
        <v>1</v>
      </c>
      <c r="R144" s="100" t="str">
        <v/>
      </c>
      <c r="S144" s="100">
        <v>1</v>
      </c>
      <c r="T144" s="100">
        <v>1</v>
      </c>
      <c r="V144" s="100" t="str">
        <v/>
      </c>
      <c r="W144" s="100" t="str">
        <v/>
      </c>
      <c r="Y144" s="100" t="str">
        <v/>
      </c>
      <c r="Z144" s="100" t="str">
        <v/>
      </c>
      <c r="AB144" s="100" t="str">
        <v/>
      </c>
      <c r="AC144" s="100" t="str">
        <v/>
      </c>
      <c r="AE144" s="100" t="str">
        <v/>
      </c>
      <c r="AF144" s="100" t="str">
        <v/>
      </c>
      <c r="AH144" s="8">
        <v>1</v>
      </c>
      <c r="AI144" s="101">
        <v>0</v>
      </c>
      <c r="AJ144" s="102">
        <v>0</v>
      </c>
    </row>
    <row r="145" spans="2:36">
      <c r="B145" s="100" t="str">
        <v/>
      </c>
      <c r="C145" s="100">
        <v>0</v>
      </c>
      <c r="D145" s="100">
        <v>0</v>
      </c>
      <c r="F145" s="100" t="str">
        <v/>
      </c>
      <c r="G145" s="100">
        <v>1</v>
      </c>
      <c r="H145" s="100">
        <v>1</v>
      </c>
      <c r="J145" s="100" t="str">
        <v/>
      </c>
      <c r="K145" s="100">
        <v>1</v>
      </c>
      <c r="L145" s="100">
        <v>1</v>
      </c>
      <c r="N145" s="100" t="str">
        <v/>
      </c>
      <c r="O145" s="100">
        <v>1</v>
      </c>
      <c r="P145" s="100">
        <v>1</v>
      </c>
      <c r="R145" s="100" t="str">
        <v/>
      </c>
      <c r="S145" s="100">
        <v>1</v>
      </c>
      <c r="T145" s="100">
        <v>1</v>
      </c>
      <c r="V145" s="100" t="str">
        <v/>
      </c>
      <c r="W145" s="100" t="str">
        <v/>
      </c>
      <c r="Y145" s="100" t="str">
        <v/>
      </c>
      <c r="Z145" s="100" t="str">
        <v/>
      </c>
      <c r="AB145" s="100" t="str">
        <v/>
      </c>
      <c r="AC145" s="100" t="str">
        <v/>
      </c>
      <c r="AE145" s="100" t="str">
        <v/>
      </c>
      <c r="AF145" s="100" t="str">
        <v/>
      </c>
      <c r="AH145" s="8">
        <v>2</v>
      </c>
      <c r="AI145" s="101">
        <v>2.8340080971659919E-2</v>
      </c>
      <c r="AJ145" s="102">
        <v>7000000</v>
      </c>
    </row>
    <row r="146" spans="2:36">
      <c r="B146" s="100" t="str">
        <v/>
      </c>
      <c r="C146" s="100">
        <v>0</v>
      </c>
      <c r="D146" s="100">
        <v>0</v>
      </c>
      <c r="F146" s="100" t="str">
        <v/>
      </c>
      <c r="G146" s="100">
        <v>1</v>
      </c>
      <c r="H146" s="100">
        <v>1</v>
      </c>
      <c r="J146" s="100" t="str">
        <v/>
      </c>
      <c r="K146" s="100">
        <v>1</v>
      </c>
      <c r="L146" s="100">
        <v>1</v>
      </c>
      <c r="N146" s="100" t="str">
        <v/>
      </c>
      <c r="O146" s="100">
        <v>1</v>
      </c>
      <c r="P146" s="100">
        <v>1</v>
      </c>
      <c r="R146" s="100" t="str">
        <v/>
      </c>
      <c r="S146" s="100">
        <v>1</v>
      </c>
      <c r="T146" s="100">
        <v>1</v>
      </c>
      <c r="V146" s="100" t="str">
        <v/>
      </c>
      <c r="W146" s="100" t="str">
        <v/>
      </c>
      <c r="Y146" s="100" t="str">
        <v/>
      </c>
      <c r="Z146" s="100" t="str">
        <v/>
      </c>
      <c r="AB146" s="100" t="str">
        <v/>
      </c>
      <c r="AC146" s="100" t="str">
        <v/>
      </c>
      <c r="AE146" s="100" t="str">
        <v/>
      </c>
      <c r="AF146" s="100" t="str">
        <v/>
      </c>
      <c r="AH146" s="8">
        <v>3</v>
      </c>
      <c r="AI146" s="101">
        <v>4.048582995951417E-2</v>
      </c>
      <c r="AJ146" s="102">
        <v>10000000</v>
      </c>
    </row>
    <row r="147" spans="2:36">
      <c r="B147" s="100" t="str">
        <v/>
      </c>
      <c r="C147" s="100">
        <v>2</v>
      </c>
      <c r="D147" s="100">
        <v>7</v>
      </c>
      <c r="F147" s="100" t="str">
        <v/>
      </c>
      <c r="G147" s="100">
        <v>1</v>
      </c>
      <c r="H147" s="100">
        <v>1</v>
      </c>
      <c r="J147" s="100" t="str">
        <v/>
      </c>
      <c r="K147" s="100">
        <v>1</v>
      </c>
      <c r="L147" s="100">
        <v>1</v>
      </c>
      <c r="N147" s="100" t="str">
        <v/>
      </c>
      <c r="O147" s="100">
        <v>1</v>
      </c>
      <c r="P147" s="100">
        <v>1</v>
      </c>
      <c r="R147" s="100" t="str">
        <v/>
      </c>
      <c r="S147" s="100">
        <v>1</v>
      </c>
      <c r="T147" s="100">
        <v>1</v>
      </c>
      <c r="V147" s="100" t="str">
        <v/>
      </c>
      <c r="W147" s="100" t="str">
        <v/>
      </c>
      <c r="Y147" s="100" t="str">
        <v/>
      </c>
      <c r="Z147" s="100" t="str">
        <v/>
      </c>
      <c r="AB147" s="100" t="str">
        <v/>
      </c>
      <c r="AC147" s="100" t="str">
        <v/>
      </c>
      <c r="AE147" s="100" t="str">
        <v/>
      </c>
      <c r="AF147" s="100" t="str">
        <v/>
      </c>
      <c r="AH147" s="8">
        <v>5</v>
      </c>
      <c r="AI147" s="101">
        <v>6.0728744939271252E-2</v>
      </c>
      <c r="AJ147" s="102">
        <v>15000000</v>
      </c>
    </row>
    <row r="148" spans="2:36">
      <c r="B148" s="100" t="str">
        <v/>
      </c>
      <c r="C148" s="100">
        <v>2</v>
      </c>
      <c r="D148" s="100">
        <v>7</v>
      </c>
      <c r="F148" s="100" t="str">
        <v/>
      </c>
      <c r="G148" s="100">
        <v>1</v>
      </c>
      <c r="H148" s="100">
        <v>1</v>
      </c>
      <c r="J148" s="100" t="str">
        <v/>
      </c>
      <c r="K148" s="100">
        <v>1</v>
      </c>
      <c r="L148" s="100">
        <v>1</v>
      </c>
      <c r="N148" s="100" t="str">
        <v/>
      </c>
      <c r="O148" s="100">
        <v>1</v>
      </c>
      <c r="P148" s="100">
        <v>1</v>
      </c>
      <c r="R148" s="100" t="str">
        <v/>
      </c>
      <c r="S148" s="100">
        <v>1</v>
      </c>
      <c r="T148" s="100">
        <v>1</v>
      </c>
      <c r="V148" s="100" t="str">
        <v/>
      </c>
      <c r="W148" s="100" t="str">
        <v/>
      </c>
      <c r="Y148" s="100" t="str">
        <v/>
      </c>
      <c r="Z148" s="100" t="str">
        <v/>
      </c>
      <c r="AB148" s="100" t="str">
        <v/>
      </c>
      <c r="AC148" s="100" t="str">
        <v/>
      </c>
      <c r="AE148" s="100" t="str">
        <v/>
      </c>
      <c r="AF148" s="100" t="str">
        <v/>
      </c>
      <c r="AH148" s="8">
        <v>10</v>
      </c>
      <c r="AI148" s="101">
        <v>6.0728744939271252E-2</v>
      </c>
      <c r="AJ148" s="102">
        <v>15000000</v>
      </c>
    </row>
    <row r="149" spans="2:36">
      <c r="B149" s="100" t="str">
        <v/>
      </c>
      <c r="C149" s="100">
        <v>7</v>
      </c>
      <c r="D149" s="100">
        <v>7</v>
      </c>
      <c r="F149" s="100" t="str">
        <v/>
      </c>
      <c r="G149" s="100">
        <v>1</v>
      </c>
      <c r="H149" s="100">
        <v>1</v>
      </c>
      <c r="J149" s="100" t="str">
        <v/>
      </c>
      <c r="K149" s="100">
        <v>1</v>
      </c>
      <c r="L149" s="100">
        <v>1</v>
      </c>
      <c r="N149" s="100" t="str">
        <v/>
      </c>
      <c r="O149" s="100">
        <v>1</v>
      </c>
      <c r="P149" s="100">
        <v>1</v>
      </c>
      <c r="R149" s="100" t="str">
        <v/>
      </c>
      <c r="S149" s="100">
        <v>1</v>
      </c>
      <c r="T149" s="100">
        <v>1</v>
      </c>
      <c r="V149" s="100" t="str">
        <v/>
      </c>
      <c r="W149" s="100" t="str">
        <v/>
      </c>
      <c r="Y149" s="100" t="str">
        <v/>
      </c>
      <c r="Z149" s="100" t="str">
        <v/>
      </c>
      <c r="AB149" s="100" t="str">
        <v/>
      </c>
      <c r="AC149" s="100" t="str">
        <v/>
      </c>
      <c r="AE149" s="100" t="str">
        <v/>
      </c>
      <c r="AF149" s="100" t="str">
        <v/>
      </c>
      <c r="AH149" s="8">
        <v>15</v>
      </c>
      <c r="AI149" s="101">
        <v>6.0728744939271252E-2</v>
      </c>
      <c r="AJ149" s="102">
        <v>15000000</v>
      </c>
    </row>
    <row r="150" spans="2:36">
      <c r="B150" s="100" t="str">
        <v/>
      </c>
      <c r="C150" s="100">
        <v>7</v>
      </c>
      <c r="D150" s="100">
        <v>3</v>
      </c>
      <c r="F150" s="100" t="str">
        <v/>
      </c>
      <c r="G150" s="100">
        <v>1</v>
      </c>
      <c r="H150" s="100">
        <v>1</v>
      </c>
      <c r="J150" s="100" t="str">
        <v/>
      </c>
      <c r="K150" s="100">
        <v>1</v>
      </c>
      <c r="L150" s="100">
        <v>1</v>
      </c>
      <c r="N150" s="100" t="str">
        <v/>
      </c>
      <c r="O150" s="100">
        <v>1</v>
      </c>
      <c r="P150" s="100">
        <v>1</v>
      </c>
      <c r="R150" s="100" t="str">
        <v/>
      </c>
      <c r="S150" s="100">
        <v>1</v>
      </c>
      <c r="T150" s="100">
        <v>1</v>
      </c>
      <c r="V150" s="100" t="str">
        <v/>
      </c>
      <c r="W150" s="100" t="str">
        <v/>
      </c>
      <c r="Y150" s="100" t="str">
        <v/>
      </c>
      <c r="Z150" s="100" t="str">
        <v/>
      </c>
      <c r="AB150" s="100" t="str">
        <v/>
      </c>
      <c r="AC150" s="100" t="str">
        <v/>
      </c>
      <c r="AE150" s="100" t="str">
        <v/>
      </c>
      <c r="AF150" s="100" t="str">
        <v/>
      </c>
      <c r="AH150" s="8">
        <v>20</v>
      </c>
      <c r="AI150" s="101">
        <v>6.0728744939271252E-2</v>
      </c>
      <c r="AJ150" s="102">
        <v>15000000</v>
      </c>
    </row>
    <row r="151" spans="2:36">
      <c r="B151" s="100" t="str">
        <v/>
      </c>
      <c r="C151" s="100">
        <v>2</v>
      </c>
      <c r="D151" s="100">
        <v>3</v>
      </c>
      <c r="F151" s="100" t="str">
        <v/>
      </c>
      <c r="G151" s="100">
        <v>1</v>
      </c>
      <c r="H151" s="100">
        <v>1</v>
      </c>
      <c r="J151" s="100" t="str">
        <v/>
      </c>
      <c r="K151" s="100">
        <v>1</v>
      </c>
      <c r="L151" s="100">
        <v>1</v>
      </c>
      <c r="N151" s="100" t="str">
        <v/>
      </c>
      <c r="O151" s="100">
        <v>1</v>
      </c>
      <c r="P151" s="100">
        <v>1</v>
      </c>
      <c r="R151" s="100" t="str">
        <v/>
      </c>
      <c r="S151" s="100">
        <v>1</v>
      </c>
      <c r="T151" s="100">
        <v>1</v>
      </c>
      <c r="V151" s="100" t="str">
        <v/>
      </c>
      <c r="W151" s="100" t="str">
        <v/>
      </c>
      <c r="Y151" s="100" t="str">
        <v/>
      </c>
      <c r="Z151" s="100" t="str">
        <v/>
      </c>
      <c r="AB151" s="100" t="str">
        <v/>
      </c>
      <c r="AC151" s="100" t="str">
        <v/>
      </c>
      <c r="AE151" s="100" t="str">
        <v/>
      </c>
      <c r="AF151" s="100" t="str">
        <v/>
      </c>
      <c r="AH151" s="8">
        <v>25</v>
      </c>
      <c r="AI151" s="101">
        <v>2.0242914979757085E-2</v>
      </c>
      <c r="AJ151" s="102">
        <v>5000000</v>
      </c>
    </row>
    <row r="152" spans="2:36">
      <c r="B152" s="100" t="str">
        <v/>
      </c>
      <c r="C152" s="100">
        <v>2</v>
      </c>
      <c r="D152" s="100">
        <v>3</v>
      </c>
      <c r="F152" s="100" t="str">
        <v/>
      </c>
      <c r="G152" s="100">
        <v>1</v>
      </c>
      <c r="H152" s="100">
        <v>1</v>
      </c>
      <c r="J152" s="100" t="str">
        <v/>
      </c>
      <c r="K152" s="100">
        <v>1</v>
      </c>
      <c r="L152" s="100">
        <v>1</v>
      </c>
      <c r="N152" s="100" t="str">
        <v/>
      </c>
      <c r="O152" s="100">
        <v>1</v>
      </c>
      <c r="P152" s="100">
        <v>1</v>
      </c>
      <c r="R152" s="100" t="str">
        <v/>
      </c>
      <c r="S152" s="100">
        <v>1</v>
      </c>
      <c r="T152" s="100">
        <v>1</v>
      </c>
      <c r="V152" s="100" t="str">
        <v/>
      </c>
      <c r="W152" s="100" t="str">
        <v/>
      </c>
      <c r="Y152" s="100" t="str">
        <v/>
      </c>
      <c r="Z152" s="100" t="str">
        <v/>
      </c>
      <c r="AB152" s="100" t="str">
        <v/>
      </c>
      <c r="AC152" s="100" t="str">
        <v/>
      </c>
      <c r="AE152" s="100" t="str">
        <v/>
      </c>
      <c r="AF152" s="100" t="str">
        <v/>
      </c>
      <c r="AH152" s="8">
        <v>50</v>
      </c>
      <c r="AI152" s="101">
        <v>2.0242914979757085E-2</v>
      </c>
      <c r="AJ152" s="102">
        <v>5000000</v>
      </c>
    </row>
    <row r="153" spans="2:36">
      <c r="B153" s="100" t="str">
        <v/>
      </c>
      <c r="C153" s="100">
        <v>7</v>
      </c>
      <c r="D153" s="100">
        <v>5</v>
      </c>
      <c r="F153" s="100" t="str">
        <v/>
      </c>
      <c r="G153" s="100">
        <v>1</v>
      </c>
      <c r="H153" s="100">
        <v>1</v>
      </c>
      <c r="J153" s="100" t="str">
        <v/>
      </c>
      <c r="K153" s="100">
        <v>1</v>
      </c>
      <c r="L153" s="100">
        <v>1</v>
      </c>
      <c r="N153" s="100" t="str">
        <v/>
      </c>
      <c r="O153" s="100">
        <v>1</v>
      </c>
      <c r="P153" s="100">
        <v>1</v>
      </c>
      <c r="R153" s="100" t="str">
        <v/>
      </c>
      <c r="S153" s="100">
        <v>1</v>
      </c>
      <c r="T153" s="100">
        <v>1</v>
      </c>
      <c r="V153" s="100" t="str">
        <v/>
      </c>
      <c r="W153" s="100" t="str">
        <v/>
      </c>
      <c r="Y153" s="100" t="str">
        <v/>
      </c>
      <c r="Z153" s="100" t="str">
        <v/>
      </c>
      <c r="AB153" s="100" t="str">
        <v/>
      </c>
      <c r="AC153" s="100" t="str">
        <v/>
      </c>
      <c r="AE153" s="100" t="str">
        <v/>
      </c>
      <c r="AF153" s="100" t="str">
        <v/>
      </c>
      <c r="AH153" s="8">
        <v>100</v>
      </c>
      <c r="AI153" s="101">
        <v>2.0242914979757085E-2</v>
      </c>
      <c r="AJ153" s="102">
        <v>5000000</v>
      </c>
    </row>
    <row r="154" spans="2:36">
      <c r="B154" s="100" t="str">
        <v/>
      </c>
      <c r="C154" s="100">
        <v>7</v>
      </c>
      <c r="D154" s="100">
        <v>5</v>
      </c>
      <c r="F154" s="100" t="str">
        <v/>
      </c>
      <c r="G154" s="100">
        <v>1</v>
      </c>
      <c r="H154" s="100">
        <v>1</v>
      </c>
      <c r="J154" s="100" t="str">
        <v/>
      </c>
      <c r="K154" s="100">
        <v>1</v>
      </c>
      <c r="L154" s="100">
        <v>1</v>
      </c>
      <c r="N154" s="100" t="str">
        <v/>
      </c>
      <c r="O154" s="100">
        <v>1</v>
      </c>
      <c r="P154" s="100">
        <v>1</v>
      </c>
      <c r="R154" s="100" t="str">
        <v/>
      </c>
      <c r="S154" s="100">
        <v>1</v>
      </c>
      <c r="T154" s="100">
        <v>1</v>
      </c>
      <c r="V154" s="100" t="str">
        <v/>
      </c>
      <c r="W154" s="100" t="str">
        <v/>
      </c>
      <c r="Y154" s="100" t="str">
        <v/>
      </c>
      <c r="Z154" s="100" t="str">
        <v/>
      </c>
      <c r="AB154" s="100" t="str">
        <v/>
      </c>
      <c r="AC154" s="100" t="str">
        <v/>
      </c>
      <c r="AE154" s="100" t="str">
        <v/>
      </c>
      <c r="AF154" s="100" t="str">
        <v/>
      </c>
      <c r="AH154" s="8">
        <v>500</v>
      </c>
      <c r="AI154" s="101">
        <v>2.0242914979757085E-2</v>
      </c>
      <c r="AJ154" s="102">
        <v>5000000</v>
      </c>
    </row>
    <row r="155" spans="2:36">
      <c r="B155" s="100" t="str">
        <v/>
      </c>
      <c r="C155" s="100">
        <v>7</v>
      </c>
      <c r="D155" s="100">
        <v>5</v>
      </c>
      <c r="F155" s="100" t="str">
        <v/>
      </c>
      <c r="G155" s="100">
        <v>1</v>
      </c>
      <c r="H155" s="100">
        <v>1</v>
      </c>
      <c r="J155" s="100" t="str">
        <v/>
      </c>
      <c r="K155" s="100">
        <v>1</v>
      </c>
      <c r="L155" s="100">
        <v>1</v>
      </c>
      <c r="N155" s="100" t="str">
        <v/>
      </c>
      <c r="O155" s="100">
        <v>1</v>
      </c>
      <c r="P155" s="100">
        <v>1</v>
      </c>
      <c r="R155" s="100" t="str">
        <v/>
      </c>
      <c r="S155" s="100">
        <v>1</v>
      </c>
      <c r="T155" s="100">
        <v>1</v>
      </c>
      <c r="V155" s="100" t="str">
        <v/>
      </c>
      <c r="W155" s="100" t="str">
        <v/>
      </c>
      <c r="Y155" s="100" t="str">
        <v/>
      </c>
      <c r="Z155" s="100" t="str">
        <v/>
      </c>
      <c r="AB155" s="100" t="str">
        <v/>
      </c>
      <c r="AC155" s="100" t="str">
        <v/>
      </c>
      <c r="AE155" s="100" t="str">
        <v/>
      </c>
      <c r="AF155" s="100" t="str">
        <v/>
      </c>
      <c r="AH155" s="8" t="str">
        <v>Re-spin</v>
      </c>
      <c r="AI155" s="101">
        <v>0.60728744939271251</v>
      </c>
      <c r="AJ155" s="102">
        <v>150000000</v>
      </c>
    </row>
    <row r="156" spans="2:36">
      <c r="B156" s="100" t="str">
        <v/>
      </c>
      <c r="C156" s="100">
        <v>1</v>
      </c>
      <c r="D156" s="100">
        <v>4</v>
      </c>
      <c r="F156" s="100" t="str">
        <v/>
      </c>
      <c r="G156" s="100">
        <v>1</v>
      </c>
      <c r="H156" s="100">
        <v>1</v>
      </c>
      <c r="J156" s="100" t="str">
        <v/>
      </c>
      <c r="K156" s="100">
        <v>1</v>
      </c>
      <c r="L156" s="100">
        <v>1</v>
      </c>
      <c r="N156" s="100" t="str">
        <v/>
      </c>
      <c r="O156" s="100">
        <v>1</v>
      </c>
      <c r="P156" s="100">
        <v>1</v>
      </c>
      <c r="R156" s="100" t="str">
        <v/>
      </c>
      <c r="S156" s="100">
        <v>1</v>
      </c>
      <c r="T156" s="100">
        <v>1</v>
      </c>
      <c r="V156" s="100" t="str">
        <v/>
      </c>
      <c r="W156" s="100" t="str">
        <v/>
      </c>
      <c r="Y156" s="100" t="str">
        <v/>
      </c>
      <c r="Z156" s="100" t="str">
        <v/>
      </c>
      <c r="AB156" s="100" t="str">
        <v/>
      </c>
      <c r="AC156" s="100" t="str">
        <v/>
      </c>
      <c r="AE156" s="100" t="str">
        <v/>
      </c>
      <c r="AF156" s="100" t="str">
        <v/>
      </c>
      <c r="AJ156" s="103"/>
    </row>
    <row r="157" spans="2:36">
      <c r="B157" s="100" t="str">
        <v/>
      </c>
      <c r="C157" s="100">
        <v>1</v>
      </c>
      <c r="D157" s="100">
        <v>4</v>
      </c>
      <c r="F157" s="100" t="str">
        <v/>
      </c>
      <c r="G157" s="100">
        <v>1</v>
      </c>
      <c r="H157" s="100">
        <v>1</v>
      </c>
      <c r="J157" s="100" t="str">
        <v/>
      </c>
      <c r="K157" s="100">
        <v>1</v>
      </c>
      <c r="L157" s="100">
        <v>1</v>
      </c>
      <c r="N157" s="100" t="str">
        <v/>
      </c>
      <c r="O157" s="100">
        <v>1</v>
      </c>
      <c r="P157" s="100">
        <v>1</v>
      </c>
      <c r="R157" s="100" t="str">
        <v/>
      </c>
      <c r="S157" s="100">
        <v>1</v>
      </c>
      <c r="T157" s="100">
        <v>1</v>
      </c>
      <c r="V157" s="100" t="str">
        <v/>
      </c>
      <c r="W157" s="100" t="str">
        <v/>
      </c>
      <c r="Y157" s="100" t="str">
        <v/>
      </c>
      <c r="Z157" s="100" t="str">
        <v/>
      </c>
      <c r="AB157" s="100" t="str">
        <v/>
      </c>
      <c r="AC157" s="100" t="str">
        <v/>
      </c>
      <c r="AE157" s="100" t="str">
        <v/>
      </c>
      <c r="AF157" s="100" t="str">
        <v/>
      </c>
    </row>
    <row r="158" spans="2:36" ht="16.2">
      <c r="B158" s="100" t="str">
        <v/>
      </c>
      <c r="C158" s="100">
        <v>6</v>
      </c>
      <c r="D158" s="100">
        <v>4</v>
      </c>
      <c r="F158" s="100" t="str">
        <v/>
      </c>
      <c r="G158" s="100">
        <v>1</v>
      </c>
      <c r="H158" s="100">
        <v>1</v>
      </c>
      <c r="J158" s="100" t="str">
        <v/>
      </c>
      <c r="K158" s="100">
        <v>1</v>
      </c>
      <c r="L158" s="100">
        <v>1</v>
      </c>
      <c r="N158" s="100" t="str">
        <v/>
      </c>
      <c r="O158" s="100">
        <v>1</v>
      </c>
      <c r="P158" s="100">
        <v>1</v>
      </c>
      <c r="R158" s="100" t="str">
        <v/>
      </c>
      <c r="S158" s="100">
        <v>1</v>
      </c>
      <c r="T158" s="100">
        <v>1</v>
      </c>
      <c r="V158" s="100" t="str">
        <v/>
      </c>
      <c r="W158" s="100" t="str">
        <v/>
      </c>
      <c r="Y158" s="100" t="str">
        <v/>
      </c>
      <c r="Z158" s="100" t="str">
        <v/>
      </c>
      <c r="AB158" s="100" t="str">
        <v/>
      </c>
      <c r="AC158" s="100" t="str">
        <v/>
      </c>
      <c r="AE158" s="100" t="str">
        <v/>
      </c>
      <c r="AF158" s="100" t="str">
        <v/>
      </c>
      <c r="AH158" s="153" t="s">
        <v>99</v>
      </c>
      <c r="AI158" s="154"/>
      <c r="AJ158" s="154"/>
    </row>
    <row r="159" spans="2:36" ht="16.2">
      <c r="B159" s="100" t="str">
        <v/>
      </c>
      <c r="C159" s="100">
        <v>6</v>
      </c>
      <c r="D159" s="100">
        <v>0</v>
      </c>
      <c r="F159" s="100" t="str">
        <v/>
      </c>
      <c r="G159" s="100">
        <v>1</v>
      </c>
      <c r="H159" s="100">
        <v>1</v>
      </c>
      <c r="J159" s="100" t="str">
        <v/>
      </c>
      <c r="K159" s="100">
        <v>1</v>
      </c>
      <c r="L159" s="100">
        <v>1</v>
      </c>
      <c r="N159" s="100" t="str">
        <v/>
      </c>
      <c r="O159" s="100">
        <v>1</v>
      </c>
      <c r="P159" s="100">
        <v>1</v>
      </c>
      <c r="R159" s="100" t="str">
        <v/>
      </c>
      <c r="S159" s="100">
        <v>1</v>
      </c>
      <c r="T159" s="100">
        <v>1</v>
      </c>
      <c r="V159" s="100" t="str">
        <v/>
      </c>
      <c r="W159" s="100" t="str">
        <v/>
      </c>
      <c r="Y159" s="100" t="str">
        <v/>
      </c>
      <c r="Z159" s="100" t="str">
        <v/>
      </c>
      <c r="AB159" s="100" t="str">
        <v/>
      </c>
      <c r="AC159" s="100" t="str">
        <v/>
      </c>
      <c r="AE159" s="100" t="str">
        <v/>
      </c>
      <c r="AF159" s="100" t="str">
        <v/>
      </c>
      <c r="AH159" s="98" t="str" cm="1">
        <f t="array" ref="AH159:AJ170">'Pay Combo Super Feature Buy'!Q2:S13</f>
        <v>Re-spin times</v>
      </c>
      <c r="AI159" s="98" t="str">
        <v>prob.</v>
      </c>
      <c r="AJ159" s="98" t="str">
        <v>weight</v>
      </c>
    </row>
    <row r="160" spans="2:36">
      <c r="B160" s="100" t="str">
        <v/>
      </c>
      <c r="C160" s="100">
        <v>3</v>
      </c>
      <c r="D160" s="100">
        <v>0</v>
      </c>
      <c r="F160" s="100" t="str">
        <v/>
      </c>
      <c r="G160" s="100">
        <v>1</v>
      </c>
      <c r="H160" s="100">
        <v>1</v>
      </c>
      <c r="J160" s="100" t="str">
        <v/>
      </c>
      <c r="K160" s="100">
        <v>1</v>
      </c>
      <c r="L160" s="100">
        <v>1</v>
      </c>
      <c r="N160" s="100" t="str">
        <v/>
      </c>
      <c r="O160" s="100">
        <v>1</v>
      </c>
      <c r="P160" s="100">
        <v>1</v>
      </c>
      <c r="R160" s="100" t="str">
        <v/>
      </c>
      <c r="S160" s="100">
        <v>1</v>
      </c>
      <c r="T160" s="100">
        <v>1</v>
      </c>
      <c r="V160" s="100" t="str">
        <v/>
      </c>
      <c r="W160" s="100" t="str">
        <v/>
      </c>
      <c r="Y160" s="100" t="str">
        <v/>
      </c>
      <c r="Z160" s="100" t="str">
        <v/>
      </c>
      <c r="AB160" s="100" t="str">
        <v/>
      </c>
      <c r="AC160" s="100" t="str">
        <v/>
      </c>
      <c r="AE160" s="100" t="str">
        <v/>
      </c>
      <c r="AF160" s="100" t="str">
        <v/>
      </c>
      <c r="AH160" s="8">
        <v>2</v>
      </c>
      <c r="AI160" s="101">
        <v>0</v>
      </c>
      <c r="AJ160" s="102">
        <v>0</v>
      </c>
    </row>
    <row r="161" spans="2:45">
      <c r="B161" s="100" t="str">
        <v/>
      </c>
      <c r="C161" s="100">
        <v>3</v>
      </c>
      <c r="D161" s="100">
        <v>0</v>
      </c>
      <c r="F161" s="100" t="str">
        <v/>
      </c>
      <c r="G161" s="100">
        <v>1</v>
      </c>
      <c r="H161" s="100">
        <v>1</v>
      </c>
      <c r="J161" s="100" t="str">
        <v/>
      </c>
      <c r="K161" s="100">
        <v>1</v>
      </c>
      <c r="L161" s="100">
        <v>1</v>
      </c>
      <c r="N161" s="100" t="str">
        <v/>
      </c>
      <c r="O161" s="100">
        <v>1</v>
      </c>
      <c r="P161" s="100">
        <v>1</v>
      </c>
      <c r="R161" s="100" t="str">
        <v/>
      </c>
      <c r="S161" s="100">
        <v>1</v>
      </c>
      <c r="T161" s="100">
        <v>1</v>
      </c>
      <c r="V161" s="100" t="str">
        <v/>
      </c>
      <c r="W161" s="100" t="str">
        <v/>
      </c>
      <c r="Y161" s="100" t="str">
        <v/>
      </c>
      <c r="Z161" s="100" t="str">
        <v/>
      </c>
      <c r="AB161" s="100" t="str">
        <v/>
      </c>
      <c r="AC161" s="100" t="str">
        <v/>
      </c>
      <c r="AE161" s="100" t="str">
        <v/>
      </c>
      <c r="AF161" s="100" t="str">
        <v/>
      </c>
      <c r="AH161" s="8">
        <v>3</v>
      </c>
      <c r="AI161" s="101">
        <v>0.11503067484662577</v>
      </c>
      <c r="AJ161" s="102">
        <v>150000000</v>
      </c>
    </row>
    <row r="162" spans="2:45">
      <c r="B162" s="100" t="str">
        <v/>
      </c>
      <c r="C162" s="100">
        <v>5</v>
      </c>
      <c r="D162" s="100">
        <v>3</v>
      </c>
      <c r="F162" s="100" t="str">
        <v/>
      </c>
      <c r="G162" s="100">
        <v>1</v>
      </c>
      <c r="H162" s="100">
        <v>1</v>
      </c>
      <c r="J162" s="100" t="str">
        <v/>
      </c>
      <c r="K162" s="100">
        <v>1</v>
      </c>
      <c r="L162" s="100">
        <v>1</v>
      </c>
      <c r="N162" s="100" t="str">
        <v/>
      </c>
      <c r="O162" s="100">
        <v>1</v>
      </c>
      <c r="P162" s="100">
        <v>1</v>
      </c>
      <c r="R162" s="100" t="str">
        <v/>
      </c>
      <c r="S162" s="100">
        <v>1</v>
      </c>
      <c r="T162" s="100">
        <v>1</v>
      </c>
      <c r="V162" s="100" t="str">
        <v/>
      </c>
      <c r="W162" s="100" t="str">
        <v/>
      </c>
      <c r="Y162" s="100" t="str">
        <v/>
      </c>
      <c r="Z162" s="100" t="str">
        <v/>
      </c>
      <c r="AB162" s="100" t="str">
        <v/>
      </c>
      <c r="AC162" s="100" t="str">
        <v/>
      </c>
      <c r="AE162" s="100" t="str">
        <v/>
      </c>
      <c r="AF162" s="100" t="str">
        <v/>
      </c>
      <c r="AH162" s="8">
        <v>4</v>
      </c>
      <c r="AI162" s="101">
        <v>0.11503067484662577</v>
      </c>
      <c r="AJ162" s="102">
        <v>150000000</v>
      </c>
    </row>
    <row r="163" spans="2:45">
      <c r="B163" s="100" t="str">
        <v/>
      </c>
      <c r="C163" s="100">
        <v>5</v>
      </c>
      <c r="D163" s="100">
        <v>3</v>
      </c>
      <c r="F163" s="100" t="str">
        <v/>
      </c>
      <c r="G163" s="100">
        <v>1</v>
      </c>
      <c r="H163" s="100">
        <v>1</v>
      </c>
      <c r="J163" s="100" t="str">
        <v/>
      </c>
      <c r="K163" s="100">
        <v>1</v>
      </c>
      <c r="L163" s="100">
        <v>1</v>
      </c>
      <c r="N163" s="100" t="str">
        <v/>
      </c>
      <c r="O163" s="100">
        <v>1</v>
      </c>
      <c r="P163" s="100">
        <v>1</v>
      </c>
      <c r="R163" s="100" t="str">
        <v/>
      </c>
      <c r="S163" s="100">
        <v>1</v>
      </c>
      <c r="T163" s="100">
        <v>1</v>
      </c>
      <c r="V163" s="100" t="str">
        <v/>
      </c>
      <c r="W163" s="100" t="str">
        <v/>
      </c>
      <c r="Y163" s="100" t="str">
        <v/>
      </c>
      <c r="Z163" s="100" t="str">
        <v/>
      </c>
      <c r="AB163" s="100" t="str">
        <v/>
      </c>
      <c r="AC163" s="100" t="str">
        <v/>
      </c>
      <c r="AE163" s="100" t="str">
        <v/>
      </c>
      <c r="AF163" s="100" t="str">
        <v/>
      </c>
      <c r="AH163" s="8">
        <v>5</v>
      </c>
      <c r="AI163" s="101">
        <v>0.11503067484662577</v>
      </c>
      <c r="AJ163" s="102">
        <v>150000000</v>
      </c>
    </row>
    <row r="164" spans="2:45">
      <c r="B164" s="100" t="str">
        <v/>
      </c>
      <c r="C164" s="100">
        <v>5</v>
      </c>
      <c r="D164" s="100">
        <v>3</v>
      </c>
      <c r="F164" s="100" t="str">
        <v/>
      </c>
      <c r="G164" s="100">
        <v>1</v>
      </c>
      <c r="H164" s="100">
        <v>1</v>
      </c>
      <c r="J164" s="100" t="str">
        <v/>
      </c>
      <c r="K164" s="100">
        <v>1</v>
      </c>
      <c r="L164" s="100">
        <v>1</v>
      </c>
      <c r="N164" s="100" t="str">
        <v/>
      </c>
      <c r="O164" s="100">
        <v>1</v>
      </c>
      <c r="P164" s="100">
        <v>1</v>
      </c>
      <c r="R164" s="100" t="str">
        <v/>
      </c>
      <c r="S164" s="100">
        <v>1</v>
      </c>
      <c r="T164" s="100">
        <v>1</v>
      </c>
      <c r="V164" s="100" t="str">
        <v/>
      </c>
      <c r="W164" s="100" t="str">
        <v/>
      </c>
      <c r="Y164" s="100" t="str">
        <v/>
      </c>
      <c r="Z164" s="100" t="str">
        <v/>
      </c>
      <c r="AB164" s="100" t="str">
        <v/>
      </c>
      <c r="AC164" s="100" t="str">
        <v/>
      </c>
      <c r="AE164" s="100" t="str">
        <v/>
      </c>
      <c r="AF164" s="100" t="str">
        <v/>
      </c>
      <c r="AH164" s="8">
        <v>6</v>
      </c>
      <c r="AI164" s="101">
        <v>0.11503067484662577</v>
      </c>
      <c r="AJ164" s="102">
        <v>150000000</v>
      </c>
    </row>
    <row r="165" spans="2:45">
      <c r="B165" s="100" t="str">
        <v/>
      </c>
      <c r="C165" s="100">
        <v>1</v>
      </c>
      <c r="D165" s="100">
        <v>3</v>
      </c>
      <c r="F165" s="100" t="str">
        <v/>
      </c>
      <c r="G165" s="100">
        <v>1</v>
      </c>
      <c r="H165" s="100">
        <v>1</v>
      </c>
      <c r="J165" s="100" t="str">
        <v/>
      </c>
      <c r="K165" s="100">
        <v>1</v>
      </c>
      <c r="L165" s="100">
        <v>1</v>
      </c>
      <c r="N165" s="100" t="str">
        <v/>
      </c>
      <c r="O165" s="100">
        <v>1</v>
      </c>
      <c r="P165" s="100">
        <v>1</v>
      </c>
      <c r="R165" s="100" t="str">
        <v/>
      </c>
      <c r="S165" s="100">
        <v>1</v>
      </c>
      <c r="T165" s="100">
        <v>1</v>
      </c>
      <c r="V165" s="100" t="str">
        <v/>
      </c>
      <c r="W165" s="100" t="str">
        <v/>
      </c>
      <c r="Y165" s="100" t="str">
        <v/>
      </c>
      <c r="Z165" s="100" t="str">
        <v/>
      </c>
      <c r="AB165" s="100" t="str">
        <v/>
      </c>
      <c r="AC165" s="100" t="str">
        <v/>
      </c>
      <c r="AE165" s="100" t="str">
        <v/>
      </c>
      <c r="AF165" s="100" t="str">
        <v/>
      </c>
      <c r="AH165" s="8">
        <v>7</v>
      </c>
      <c r="AI165" s="101">
        <v>0.11503067484662577</v>
      </c>
      <c r="AJ165" s="102">
        <v>150000000</v>
      </c>
    </row>
    <row r="166" spans="2:45">
      <c r="B166" s="100" t="str">
        <v/>
      </c>
      <c r="C166" s="100">
        <v>1</v>
      </c>
      <c r="D166" s="100">
        <v>5</v>
      </c>
      <c r="F166" s="100" t="str">
        <v/>
      </c>
      <c r="G166" s="100">
        <v>1</v>
      </c>
      <c r="H166" s="100">
        <v>1</v>
      </c>
      <c r="J166" s="100" t="str">
        <v/>
      </c>
      <c r="K166" s="100">
        <v>1</v>
      </c>
      <c r="L166" s="100">
        <v>1</v>
      </c>
      <c r="N166" s="100" t="str">
        <v/>
      </c>
      <c r="O166" s="100">
        <v>1</v>
      </c>
      <c r="P166" s="100">
        <v>1</v>
      </c>
      <c r="R166" s="100" t="str">
        <v/>
      </c>
      <c r="S166" s="100">
        <v>1</v>
      </c>
      <c r="T166" s="100">
        <v>1</v>
      </c>
      <c r="V166" s="100" t="str">
        <v/>
      </c>
      <c r="W166" s="100" t="str">
        <v/>
      </c>
      <c r="Y166" s="100" t="str">
        <v/>
      </c>
      <c r="Z166" s="100" t="str">
        <v/>
      </c>
      <c r="AB166" s="100" t="str">
        <v/>
      </c>
      <c r="AC166" s="100" t="str">
        <v/>
      </c>
      <c r="AE166" s="100" t="str">
        <v/>
      </c>
      <c r="AF166" s="100" t="str">
        <v/>
      </c>
      <c r="AH166" s="8">
        <v>8</v>
      </c>
      <c r="AI166" s="101">
        <v>0.11503067484662577</v>
      </c>
      <c r="AJ166" s="102">
        <v>150000000</v>
      </c>
    </row>
    <row r="167" spans="2:45">
      <c r="B167" s="100" t="str">
        <v/>
      </c>
      <c r="C167" s="100">
        <v>5</v>
      </c>
      <c r="D167" s="100">
        <v>5</v>
      </c>
      <c r="F167" s="100" t="str">
        <v/>
      </c>
      <c r="G167" s="100">
        <v>1</v>
      </c>
      <c r="H167" s="100">
        <v>1</v>
      </c>
      <c r="J167" s="100" t="str">
        <v/>
      </c>
      <c r="K167" s="100">
        <v>1</v>
      </c>
      <c r="L167" s="100">
        <v>1</v>
      </c>
      <c r="N167" s="100" t="str">
        <v/>
      </c>
      <c r="O167" s="100">
        <v>1</v>
      </c>
      <c r="P167" s="100">
        <v>1</v>
      </c>
      <c r="R167" s="100" t="str">
        <v/>
      </c>
      <c r="S167" s="100">
        <v>1</v>
      </c>
      <c r="T167" s="100">
        <v>1</v>
      </c>
      <c r="V167" s="100" t="str">
        <v/>
      </c>
      <c r="W167" s="100" t="str">
        <v/>
      </c>
      <c r="Y167" s="100" t="str">
        <v/>
      </c>
      <c r="Z167" s="100" t="str">
        <v/>
      </c>
      <c r="AB167" s="100" t="str">
        <v/>
      </c>
      <c r="AC167" s="100" t="str">
        <v/>
      </c>
      <c r="AE167" s="100" t="str">
        <v/>
      </c>
      <c r="AF167" s="100" t="str">
        <v/>
      </c>
      <c r="AH167" s="8">
        <v>9</v>
      </c>
      <c r="AI167" s="101">
        <v>0.11503067484662577</v>
      </c>
      <c r="AJ167" s="102">
        <v>150000000</v>
      </c>
    </row>
    <row r="168" spans="2:45">
      <c r="B168" s="100" t="str">
        <v/>
      </c>
      <c r="C168" s="100">
        <v>5</v>
      </c>
      <c r="D168" s="100">
        <v>5</v>
      </c>
      <c r="F168" s="100" t="str">
        <v/>
      </c>
      <c r="G168" s="100">
        <v>1</v>
      </c>
      <c r="H168" s="100">
        <v>1</v>
      </c>
      <c r="J168" s="100" t="str">
        <v/>
      </c>
      <c r="K168" s="100">
        <v>1</v>
      </c>
      <c r="L168" s="100">
        <v>1</v>
      </c>
      <c r="N168" s="100" t="str">
        <v/>
      </c>
      <c r="O168" s="100">
        <v>1</v>
      </c>
      <c r="P168" s="100">
        <v>1</v>
      </c>
      <c r="R168" s="100" t="str">
        <v/>
      </c>
      <c r="S168" s="100">
        <v>1</v>
      </c>
      <c r="T168" s="100">
        <v>1</v>
      </c>
      <c r="V168" s="100" t="str">
        <v/>
      </c>
      <c r="W168" s="100" t="str">
        <v/>
      </c>
      <c r="Y168" s="100" t="str">
        <v/>
      </c>
      <c r="Z168" s="100" t="str">
        <v/>
      </c>
      <c r="AB168" s="100" t="str">
        <v/>
      </c>
      <c r="AC168" s="100" t="str">
        <v/>
      </c>
      <c r="AE168" s="100" t="str">
        <v/>
      </c>
      <c r="AF168" s="100" t="str">
        <v/>
      </c>
      <c r="AH168" s="8">
        <v>10</v>
      </c>
      <c r="AI168" s="101">
        <v>0.15337423312883436</v>
      </c>
      <c r="AJ168" s="102">
        <v>200000000</v>
      </c>
    </row>
    <row r="169" spans="2:45">
      <c r="B169" s="100" t="str">
        <v/>
      </c>
      <c r="C169" s="100">
        <v>5</v>
      </c>
      <c r="D169" s="100">
        <v>1</v>
      </c>
      <c r="F169" s="100" t="str">
        <v/>
      </c>
      <c r="G169" s="100">
        <v>1</v>
      </c>
      <c r="H169" s="100">
        <v>1</v>
      </c>
      <c r="J169" s="100" t="str">
        <v/>
      </c>
      <c r="K169" s="100">
        <v>1</v>
      </c>
      <c r="L169" s="100">
        <v>1</v>
      </c>
      <c r="N169" s="100" t="str">
        <v/>
      </c>
      <c r="O169" s="100">
        <v>1</v>
      </c>
      <c r="P169" s="100">
        <v>1</v>
      </c>
      <c r="R169" s="100" t="str">
        <v/>
      </c>
      <c r="S169" s="100">
        <v>1</v>
      </c>
      <c r="T169" s="100">
        <v>1</v>
      </c>
      <c r="V169" s="100" t="str">
        <v/>
      </c>
      <c r="W169" s="100" t="str">
        <v/>
      </c>
      <c r="Y169" s="100" t="str">
        <v/>
      </c>
      <c r="Z169" s="100" t="str">
        <v/>
      </c>
      <c r="AB169" s="100" t="str">
        <v/>
      </c>
      <c r="AC169" s="100" t="str">
        <v/>
      </c>
      <c r="AE169" s="100" t="str">
        <v/>
      </c>
      <c r="AF169" s="100" t="str">
        <v/>
      </c>
      <c r="AH169" s="8">
        <v>20</v>
      </c>
      <c r="AI169" s="101">
        <v>3.834355828220859E-2</v>
      </c>
      <c r="AJ169" s="102">
        <v>50000000</v>
      </c>
    </row>
    <row r="170" spans="2:45">
      <c r="B170" s="100" t="str">
        <v/>
      </c>
      <c r="C170" s="100">
        <v>4</v>
      </c>
      <c r="D170" s="100">
        <v>1</v>
      </c>
      <c r="F170" s="100" t="str">
        <v/>
      </c>
      <c r="G170" s="100">
        <v>1</v>
      </c>
      <c r="H170" s="100">
        <v>1</v>
      </c>
      <c r="J170" s="100" t="str">
        <v/>
      </c>
      <c r="K170" s="100">
        <v>1</v>
      </c>
      <c r="L170" s="100">
        <v>1</v>
      </c>
      <c r="N170" s="100" t="str">
        <v/>
      </c>
      <c r="O170" s="100">
        <v>1</v>
      </c>
      <c r="P170" s="100">
        <v>1</v>
      </c>
      <c r="R170" s="100" t="str">
        <v/>
      </c>
      <c r="S170" s="100">
        <v>1</v>
      </c>
      <c r="T170" s="100">
        <v>1</v>
      </c>
      <c r="V170" s="100" t="str">
        <v/>
      </c>
      <c r="W170" s="100" t="str">
        <v/>
      </c>
      <c r="Y170" s="100" t="str">
        <v/>
      </c>
      <c r="Z170" s="100" t="str">
        <v/>
      </c>
      <c r="AB170" s="100" t="str">
        <v/>
      </c>
      <c r="AC170" s="100" t="str">
        <v/>
      </c>
      <c r="AE170" s="100" t="str">
        <v/>
      </c>
      <c r="AF170" s="100" t="str">
        <v/>
      </c>
      <c r="AH170" s="8">
        <v>50</v>
      </c>
      <c r="AI170" s="101">
        <v>3.0674846625766872E-3</v>
      </c>
      <c r="AJ170" s="102">
        <v>4000000</v>
      </c>
    </row>
    <row r="171" spans="2:45">
      <c r="B171" s="100" t="str">
        <v/>
      </c>
      <c r="C171" s="100">
        <v>4</v>
      </c>
      <c r="D171" s="100">
        <v>1</v>
      </c>
      <c r="F171" s="100" t="str">
        <v/>
      </c>
      <c r="G171" s="100">
        <v>1</v>
      </c>
      <c r="H171" s="100">
        <v>1</v>
      </c>
      <c r="J171" s="100" t="str">
        <v/>
      </c>
      <c r="K171" s="100">
        <v>1</v>
      </c>
      <c r="L171" s="100">
        <v>1</v>
      </c>
      <c r="N171" s="100" t="str">
        <v/>
      </c>
      <c r="O171" s="100">
        <v>1</v>
      </c>
      <c r="P171" s="100">
        <v>1</v>
      </c>
      <c r="R171" s="100" t="str">
        <v/>
      </c>
      <c r="S171" s="100">
        <v>1</v>
      </c>
      <c r="T171" s="100">
        <v>1</v>
      </c>
      <c r="V171" s="100" t="str">
        <v/>
      </c>
      <c r="W171" s="100" t="str">
        <v/>
      </c>
      <c r="Y171" s="100" t="str">
        <v/>
      </c>
      <c r="Z171" s="100" t="str">
        <v/>
      </c>
      <c r="AB171" s="100" t="str">
        <v/>
      </c>
      <c r="AC171" s="100" t="str">
        <v/>
      </c>
      <c r="AE171" s="100" t="str">
        <v/>
      </c>
      <c r="AF171" s="100" t="str">
        <v/>
      </c>
      <c r="AJ171" s="103"/>
    </row>
    <row r="172" spans="2:45">
      <c r="B172" s="100" t="str">
        <v/>
      </c>
      <c r="C172" s="100">
        <v>1</v>
      </c>
      <c r="D172" s="100">
        <v>3</v>
      </c>
      <c r="F172" s="100" t="str">
        <v/>
      </c>
      <c r="G172" s="100">
        <v>1</v>
      </c>
      <c r="H172" s="100">
        <v>1</v>
      </c>
      <c r="J172" s="100" t="str">
        <v/>
      </c>
      <c r="K172" s="100">
        <v>1</v>
      </c>
      <c r="L172" s="100">
        <v>1</v>
      </c>
      <c r="N172" s="100" t="str">
        <v/>
      </c>
      <c r="O172" s="100">
        <v>1</v>
      </c>
      <c r="P172" s="100">
        <v>1</v>
      </c>
      <c r="R172" s="100" t="str">
        <v/>
      </c>
      <c r="S172" s="100">
        <v>1</v>
      </c>
      <c r="T172" s="100">
        <v>1</v>
      </c>
      <c r="V172" s="100" t="str">
        <v/>
      </c>
      <c r="W172" s="100" t="str">
        <v/>
      </c>
      <c r="Y172" s="100" t="str">
        <v/>
      </c>
      <c r="Z172" s="100" t="str">
        <v/>
      </c>
      <c r="AB172" s="100" t="str">
        <v/>
      </c>
      <c r="AC172" s="100" t="str">
        <v/>
      </c>
      <c r="AE172" s="100" t="str">
        <v/>
      </c>
      <c r="AF172" s="100" t="str">
        <v/>
      </c>
    </row>
    <row r="173" spans="2:45" ht="16.2">
      <c r="B173" s="100" t="str">
        <v/>
      </c>
      <c r="C173" s="100">
        <v>1</v>
      </c>
      <c r="D173" s="100">
        <v>3</v>
      </c>
      <c r="F173" s="100" t="str">
        <v/>
      </c>
      <c r="G173" s="100">
        <v>1</v>
      </c>
      <c r="H173" s="100">
        <v>1</v>
      </c>
      <c r="J173" s="100" t="str">
        <v/>
      </c>
      <c r="K173" s="100">
        <v>1</v>
      </c>
      <c r="L173" s="100">
        <v>1</v>
      </c>
      <c r="N173" s="100" t="str">
        <v/>
      </c>
      <c r="O173" s="100">
        <v>1</v>
      </c>
      <c r="P173" s="100">
        <v>1</v>
      </c>
      <c r="R173" s="100" t="str">
        <v/>
      </c>
      <c r="S173" s="100">
        <v>1</v>
      </c>
      <c r="T173" s="100">
        <v>1</v>
      </c>
      <c r="V173" s="100" t="str">
        <v/>
      </c>
      <c r="W173" s="100" t="str">
        <v/>
      </c>
      <c r="Y173" s="100" t="str">
        <v/>
      </c>
      <c r="Z173" s="100" t="str">
        <v/>
      </c>
      <c r="AB173" s="100" t="str">
        <v/>
      </c>
      <c r="AC173" s="100" t="str">
        <v/>
      </c>
      <c r="AE173" s="100" t="str">
        <v/>
      </c>
      <c r="AF173" s="100" t="str">
        <v/>
      </c>
      <c r="AH173" s="153" t="s">
        <v>100</v>
      </c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</row>
    <row r="174" spans="2:45" ht="16.2">
      <c r="B174" s="100" t="str">
        <v/>
      </c>
      <c r="C174" s="100">
        <v>4</v>
      </c>
      <c r="D174" s="100">
        <v>3</v>
      </c>
      <c r="F174" s="100" t="str">
        <v/>
      </c>
      <c r="G174" s="100">
        <v>1</v>
      </c>
      <c r="H174" s="100">
        <v>1</v>
      </c>
      <c r="J174" s="100" t="str">
        <v/>
      </c>
      <c r="K174" s="100">
        <v>1</v>
      </c>
      <c r="L174" s="100">
        <v>1</v>
      </c>
      <c r="N174" s="100" t="str">
        <v/>
      </c>
      <c r="O174" s="100">
        <v>1</v>
      </c>
      <c r="P174" s="100">
        <v>1</v>
      </c>
      <c r="R174" s="100" t="str">
        <v/>
      </c>
      <c r="S174" s="100">
        <v>1</v>
      </c>
      <c r="T174" s="100">
        <v>1</v>
      </c>
      <c r="V174" s="100" t="str">
        <v/>
      </c>
      <c r="W174" s="100" t="str">
        <v/>
      </c>
      <c r="Y174" s="100" t="str">
        <v/>
      </c>
      <c r="Z174" s="100" t="str">
        <v/>
      </c>
      <c r="AB174" s="100" t="str">
        <v/>
      </c>
      <c r="AC174" s="100" t="str">
        <v/>
      </c>
      <c r="AE174" s="100" t="str">
        <v/>
      </c>
      <c r="AF174" s="100" t="str">
        <v/>
      </c>
      <c r="AH174" s="98" t="str" cm="1">
        <f t="array" ref="AH174:AH185">'Pay Combo Super Feature Buy'!V2:V13</f>
        <v>Re-spin multi(per spin)</v>
      </c>
      <c r="AI174" s="98" cm="1">
        <f t="array" ref="AI174:AS185">'Pay Combo Super Feature Buy'!AH2:AR13</f>
        <v>2</v>
      </c>
      <c r="AJ174" s="98">
        <v>3</v>
      </c>
      <c r="AK174" s="98">
        <v>4</v>
      </c>
      <c r="AL174" s="98">
        <v>5</v>
      </c>
      <c r="AM174" s="98">
        <v>6</v>
      </c>
      <c r="AN174" s="98">
        <v>7</v>
      </c>
      <c r="AO174" s="98">
        <v>8</v>
      </c>
      <c r="AP174" s="98">
        <v>9</v>
      </c>
      <c r="AQ174" s="98">
        <v>10</v>
      </c>
      <c r="AR174" s="98">
        <v>20</v>
      </c>
      <c r="AS174" s="98">
        <v>50</v>
      </c>
    </row>
    <row r="175" spans="2:45">
      <c r="B175" s="100" t="str">
        <v/>
      </c>
      <c r="C175" s="100">
        <v>4</v>
      </c>
      <c r="D175" s="100">
        <v>5</v>
      </c>
      <c r="F175" s="100" t="str">
        <v/>
      </c>
      <c r="G175" s="100">
        <v>1</v>
      </c>
      <c r="H175" s="100">
        <v>1</v>
      </c>
      <c r="J175" s="100" t="str">
        <v/>
      </c>
      <c r="K175" s="100">
        <v>1</v>
      </c>
      <c r="L175" s="100">
        <v>1</v>
      </c>
      <c r="N175" s="100" t="str">
        <v/>
      </c>
      <c r="O175" s="100">
        <v>1</v>
      </c>
      <c r="P175" s="100">
        <v>1</v>
      </c>
      <c r="R175" s="100" t="str">
        <v/>
      </c>
      <c r="S175" s="100">
        <v>1</v>
      </c>
      <c r="T175" s="100">
        <v>1</v>
      </c>
      <c r="V175" s="100" t="str">
        <v/>
      </c>
      <c r="W175" s="100" t="str">
        <v/>
      </c>
      <c r="Y175" s="100" t="str">
        <v/>
      </c>
      <c r="Z175" s="100" t="str">
        <v/>
      </c>
      <c r="AB175" s="100" t="str">
        <v/>
      </c>
      <c r="AC175" s="100" t="str">
        <v/>
      </c>
      <c r="AE175" s="100" t="str">
        <v/>
      </c>
      <c r="AF175" s="100" t="str">
        <v/>
      </c>
      <c r="AH175" s="8">
        <v>1</v>
      </c>
      <c r="AI175" s="102">
        <v>0</v>
      </c>
      <c r="AJ175" s="102">
        <v>0</v>
      </c>
      <c r="AK175" s="102">
        <v>0</v>
      </c>
      <c r="AL175" s="102">
        <v>0</v>
      </c>
      <c r="AM175" s="102">
        <v>0</v>
      </c>
      <c r="AN175" s="102">
        <v>0</v>
      </c>
      <c r="AO175" s="102">
        <v>0</v>
      </c>
      <c r="AP175" s="102">
        <v>0</v>
      </c>
      <c r="AQ175" s="102">
        <v>0</v>
      </c>
      <c r="AR175" s="102">
        <v>0</v>
      </c>
      <c r="AS175" s="102">
        <v>0</v>
      </c>
    </row>
    <row r="176" spans="2:45">
      <c r="B176" s="100" t="str">
        <v/>
      </c>
      <c r="C176" s="100">
        <v>6</v>
      </c>
      <c r="D176" s="100">
        <v>5</v>
      </c>
      <c r="F176" s="100" t="str">
        <v/>
      </c>
      <c r="G176" s="100">
        <v>1</v>
      </c>
      <c r="H176" s="100">
        <v>1</v>
      </c>
      <c r="J176" s="100" t="str">
        <v/>
      </c>
      <c r="K176" s="100">
        <v>1</v>
      </c>
      <c r="L176" s="100">
        <v>1</v>
      </c>
      <c r="N176" s="100" t="str">
        <v/>
      </c>
      <c r="O176" s="100">
        <v>1</v>
      </c>
      <c r="P176" s="100">
        <v>1</v>
      </c>
      <c r="R176" s="100" t="str">
        <v/>
      </c>
      <c r="S176" s="100">
        <v>1</v>
      </c>
      <c r="T176" s="100">
        <v>1</v>
      </c>
      <c r="V176" s="100" t="str">
        <v/>
      </c>
      <c r="W176" s="100" t="str">
        <v/>
      </c>
      <c r="Y176" s="100" t="str">
        <v/>
      </c>
      <c r="Z176" s="100" t="str">
        <v/>
      </c>
      <c r="AB176" s="100" t="str">
        <v/>
      </c>
      <c r="AC176" s="100" t="str">
        <v/>
      </c>
      <c r="AE176" s="100" t="str">
        <v/>
      </c>
      <c r="AF176" s="100" t="str">
        <v/>
      </c>
      <c r="AH176" s="8">
        <v>2</v>
      </c>
      <c r="AI176" s="102">
        <v>0</v>
      </c>
      <c r="AJ176" s="102">
        <v>0</v>
      </c>
      <c r="AK176" s="102">
        <v>0</v>
      </c>
      <c r="AL176" s="102">
        <v>0</v>
      </c>
      <c r="AM176" s="102">
        <v>0</v>
      </c>
      <c r="AN176" s="102">
        <v>0</v>
      </c>
      <c r="AO176" s="102">
        <v>0</v>
      </c>
      <c r="AP176" s="102">
        <v>0</v>
      </c>
      <c r="AQ176" s="102">
        <v>0</v>
      </c>
      <c r="AR176" s="102">
        <v>0</v>
      </c>
      <c r="AS176" s="102">
        <v>0</v>
      </c>
    </row>
    <row r="177" spans="2:45">
      <c r="B177" s="100" t="str">
        <v/>
      </c>
      <c r="C177" s="100">
        <v>6</v>
      </c>
      <c r="D177" s="100">
        <v>5</v>
      </c>
      <c r="F177" s="100" t="str">
        <v/>
      </c>
      <c r="G177" s="100">
        <v>1</v>
      </c>
      <c r="H177" s="100">
        <v>1</v>
      </c>
      <c r="J177" s="100" t="str">
        <v/>
      </c>
      <c r="K177" s="100">
        <v>1</v>
      </c>
      <c r="L177" s="100">
        <v>1</v>
      </c>
      <c r="N177" s="100" t="str">
        <v/>
      </c>
      <c r="O177" s="100">
        <v>1</v>
      </c>
      <c r="P177" s="100">
        <v>1</v>
      </c>
      <c r="R177" s="100" t="str">
        <v/>
      </c>
      <c r="S177" s="100">
        <v>1</v>
      </c>
      <c r="T177" s="100">
        <v>1</v>
      </c>
      <c r="V177" s="100" t="str">
        <v/>
      </c>
      <c r="W177" s="100" t="str">
        <v/>
      </c>
      <c r="Y177" s="100" t="str">
        <v/>
      </c>
      <c r="Z177" s="100" t="str">
        <v/>
      </c>
      <c r="AB177" s="100" t="str">
        <v/>
      </c>
      <c r="AC177" s="100" t="str">
        <v/>
      </c>
      <c r="AE177" s="100" t="str">
        <v/>
      </c>
      <c r="AF177" s="100" t="str">
        <v/>
      </c>
      <c r="AH177" s="8">
        <v>3</v>
      </c>
      <c r="AI177" s="102">
        <v>0</v>
      </c>
      <c r="AJ177" s="102">
        <v>50000000</v>
      </c>
      <c r="AK177" s="102">
        <v>50000000</v>
      </c>
      <c r="AL177" s="102">
        <v>50000000</v>
      </c>
      <c r="AM177" s="102">
        <v>50000000</v>
      </c>
      <c r="AN177" s="102">
        <v>50000000</v>
      </c>
      <c r="AO177" s="102">
        <v>50000000</v>
      </c>
      <c r="AP177" s="102">
        <v>50000000</v>
      </c>
      <c r="AQ177" s="102">
        <v>50000000</v>
      </c>
      <c r="AR177" s="102">
        <v>50000000</v>
      </c>
      <c r="AS177" s="102">
        <v>50000000</v>
      </c>
    </row>
    <row r="178" spans="2:45">
      <c r="B178" s="100" t="str">
        <v/>
      </c>
      <c r="C178" s="100">
        <v>6</v>
      </c>
      <c r="D178" s="100">
        <v>4</v>
      </c>
      <c r="F178" s="100" t="str">
        <v/>
      </c>
      <c r="G178" s="100">
        <v>1</v>
      </c>
      <c r="H178" s="100">
        <v>1</v>
      </c>
      <c r="J178" s="100" t="str">
        <v/>
      </c>
      <c r="K178" s="100">
        <v>1</v>
      </c>
      <c r="L178" s="100">
        <v>1</v>
      </c>
      <c r="N178" s="100" t="str">
        <v/>
      </c>
      <c r="O178" s="100">
        <v>1</v>
      </c>
      <c r="P178" s="100">
        <v>1</v>
      </c>
      <c r="R178" s="100" t="str">
        <v/>
      </c>
      <c r="S178" s="100">
        <v>1</v>
      </c>
      <c r="T178" s="100">
        <v>1</v>
      </c>
      <c r="V178" s="100" t="str">
        <v/>
      </c>
      <c r="W178" s="100" t="str">
        <v/>
      </c>
      <c r="Y178" s="100" t="str">
        <v/>
      </c>
      <c r="Z178" s="100" t="str">
        <v/>
      </c>
      <c r="AB178" s="100" t="str">
        <v/>
      </c>
      <c r="AC178" s="100" t="str">
        <v/>
      </c>
      <c r="AE178" s="100" t="str">
        <v/>
      </c>
      <c r="AF178" s="100" t="str">
        <v/>
      </c>
      <c r="AH178" s="8">
        <v>5</v>
      </c>
      <c r="AI178" s="102">
        <v>0</v>
      </c>
      <c r="AJ178" s="102">
        <v>120000000</v>
      </c>
      <c r="AK178" s="102">
        <v>120000000</v>
      </c>
      <c r="AL178" s="102">
        <v>120000000</v>
      </c>
      <c r="AM178" s="102">
        <v>120000000</v>
      </c>
      <c r="AN178" s="102">
        <v>120000000</v>
      </c>
      <c r="AO178" s="102">
        <v>120000000</v>
      </c>
      <c r="AP178" s="102">
        <v>120000000</v>
      </c>
      <c r="AQ178" s="102">
        <v>120000000</v>
      </c>
      <c r="AR178" s="102">
        <v>120000000</v>
      </c>
      <c r="AS178" s="102">
        <v>120000000</v>
      </c>
    </row>
    <row r="179" spans="2:45">
      <c r="B179" s="100" t="str">
        <v/>
      </c>
      <c r="C179" s="100">
        <v>1</v>
      </c>
      <c r="D179" s="100">
        <v>4</v>
      </c>
      <c r="F179" s="100" t="str">
        <v/>
      </c>
      <c r="G179" s="100">
        <v>1</v>
      </c>
      <c r="H179" s="100">
        <v>1</v>
      </c>
      <c r="J179" s="100" t="str">
        <v/>
      </c>
      <c r="K179" s="100">
        <v>1</v>
      </c>
      <c r="L179" s="100">
        <v>1</v>
      </c>
      <c r="N179" s="100" t="str">
        <v/>
      </c>
      <c r="O179" s="100">
        <v>1</v>
      </c>
      <c r="P179" s="100">
        <v>1</v>
      </c>
      <c r="R179" s="100" t="str">
        <v/>
      </c>
      <c r="S179" s="100">
        <v>1</v>
      </c>
      <c r="T179" s="100">
        <v>1</v>
      </c>
      <c r="V179" s="100" t="str">
        <v/>
      </c>
      <c r="W179" s="100" t="str">
        <v/>
      </c>
      <c r="Y179" s="100" t="str">
        <v/>
      </c>
      <c r="Z179" s="100" t="str">
        <v/>
      </c>
      <c r="AB179" s="100" t="str">
        <v/>
      </c>
      <c r="AC179" s="100" t="str">
        <v/>
      </c>
      <c r="AE179" s="100" t="str">
        <v/>
      </c>
      <c r="AF179" s="100" t="str">
        <v/>
      </c>
      <c r="AH179" s="8">
        <v>10</v>
      </c>
      <c r="AI179" s="102">
        <v>120000000</v>
      </c>
      <c r="AJ179" s="102">
        <v>120000000</v>
      </c>
      <c r="AK179" s="102">
        <v>120000000</v>
      </c>
      <c r="AL179" s="102">
        <v>90000000</v>
      </c>
      <c r="AM179" s="102">
        <v>90000000</v>
      </c>
      <c r="AN179" s="102">
        <v>90000000</v>
      </c>
      <c r="AO179" s="102">
        <v>90000000</v>
      </c>
      <c r="AP179" s="102">
        <v>90000000</v>
      </c>
      <c r="AQ179" s="102">
        <v>90000000</v>
      </c>
      <c r="AR179" s="102">
        <v>90000000</v>
      </c>
      <c r="AS179" s="102">
        <v>90000000</v>
      </c>
    </row>
    <row r="180" spans="2:45">
      <c r="B180" s="100" t="str">
        <v/>
      </c>
      <c r="C180" s="100">
        <v>1</v>
      </c>
      <c r="D180" s="100">
        <v>4</v>
      </c>
      <c r="F180" s="100" t="str">
        <v/>
      </c>
      <c r="G180" s="100">
        <v>1</v>
      </c>
      <c r="H180" s="100">
        <v>1</v>
      </c>
      <c r="J180" s="100" t="str">
        <v/>
      </c>
      <c r="K180" s="100">
        <v>1</v>
      </c>
      <c r="L180" s="100">
        <v>1</v>
      </c>
      <c r="N180" s="100" t="str">
        <v/>
      </c>
      <c r="O180" s="100">
        <v>1</v>
      </c>
      <c r="P180" s="100">
        <v>1</v>
      </c>
      <c r="R180" s="100" t="str">
        <v/>
      </c>
      <c r="S180" s="100">
        <v>1</v>
      </c>
      <c r="T180" s="100">
        <v>1</v>
      </c>
      <c r="V180" s="100" t="str">
        <v/>
      </c>
      <c r="W180" s="100" t="str">
        <v/>
      </c>
      <c r="Y180" s="100" t="str">
        <v/>
      </c>
      <c r="Z180" s="100" t="str">
        <v/>
      </c>
      <c r="AB180" s="100" t="str">
        <v/>
      </c>
      <c r="AC180" s="100" t="str">
        <v/>
      </c>
      <c r="AE180" s="100" t="str">
        <v/>
      </c>
      <c r="AF180" s="100" t="str">
        <v/>
      </c>
      <c r="AH180" s="8">
        <v>15</v>
      </c>
      <c r="AI180" s="102">
        <v>90000000</v>
      </c>
      <c r="AJ180" s="102">
        <v>90000000</v>
      </c>
      <c r="AK180" s="102">
        <v>90000000</v>
      </c>
      <c r="AL180" s="102">
        <v>50000000</v>
      </c>
      <c r="AM180" s="102">
        <v>50000000</v>
      </c>
      <c r="AN180" s="102">
        <v>50000000</v>
      </c>
      <c r="AO180" s="102">
        <v>50000000</v>
      </c>
      <c r="AP180" s="102">
        <v>50000000</v>
      </c>
      <c r="AQ180" s="102">
        <v>50000000</v>
      </c>
      <c r="AR180" s="102">
        <v>50000000</v>
      </c>
      <c r="AS180" s="102">
        <v>50000000</v>
      </c>
    </row>
    <row r="181" spans="2:45">
      <c r="B181" s="100" t="str">
        <v/>
      </c>
      <c r="C181" s="100">
        <v>4</v>
      </c>
      <c r="D181" s="100">
        <v>6</v>
      </c>
      <c r="F181" s="100" t="str">
        <v/>
      </c>
      <c r="G181" s="100">
        <v>1</v>
      </c>
      <c r="H181" s="100">
        <v>1</v>
      </c>
      <c r="J181" s="100" t="str">
        <v/>
      </c>
      <c r="K181" s="100">
        <v>1</v>
      </c>
      <c r="L181" s="100">
        <v>1</v>
      </c>
      <c r="N181" s="100" t="str">
        <v/>
      </c>
      <c r="O181" s="100">
        <v>1</v>
      </c>
      <c r="P181" s="100">
        <v>1</v>
      </c>
      <c r="R181" s="100" t="str">
        <v/>
      </c>
      <c r="S181" s="100">
        <v>1</v>
      </c>
      <c r="T181" s="100">
        <v>1</v>
      </c>
      <c r="V181" s="100" t="str">
        <v/>
      </c>
      <c r="W181" s="100" t="str">
        <v/>
      </c>
      <c r="Y181" s="100" t="str">
        <v/>
      </c>
      <c r="Z181" s="100" t="str">
        <v/>
      </c>
      <c r="AB181" s="100" t="str">
        <v/>
      </c>
      <c r="AC181" s="100" t="str">
        <v/>
      </c>
      <c r="AE181" s="100" t="str">
        <v/>
      </c>
      <c r="AF181" s="100" t="str">
        <v/>
      </c>
      <c r="AH181" s="8">
        <v>20</v>
      </c>
      <c r="AI181" s="102">
        <v>21000000</v>
      </c>
      <c r="AJ181" s="102">
        <v>21000000</v>
      </c>
      <c r="AK181" s="102">
        <v>21000000</v>
      </c>
      <c r="AL181" s="102">
        <v>30000000</v>
      </c>
      <c r="AM181" s="102">
        <v>30000000</v>
      </c>
      <c r="AN181" s="102">
        <v>30000000</v>
      </c>
      <c r="AO181" s="102">
        <v>30000000</v>
      </c>
      <c r="AP181" s="102">
        <v>30000000</v>
      </c>
      <c r="AQ181" s="102">
        <v>30000000</v>
      </c>
      <c r="AR181" s="102">
        <v>30000000</v>
      </c>
      <c r="AS181" s="102">
        <v>30000000</v>
      </c>
    </row>
    <row r="182" spans="2:45">
      <c r="B182" s="100" t="str">
        <v/>
      </c>
      <c r="C182" s="100">
        <v>4</v>
      </c>
      <c r="D182" s="100">
        <v>6</v>
      </c>
      <c r="F182" s="100" t="str">
        <v/>
      </c>
      <c r="G182" s="100">
        <v>1</v>
      </c>
      <c r="H182" s="100">
        <v>1</v>
      </c>
      <c r="J182" s="100" t="str">
        <v/>
      </c>
      <c r="K182" s="100">
        <v>1</v>
      </c>
      <c r="L182" s="100">
        <v>1</v>
      </c>
      <c r="N182" s="100" t="str">
        <v/>
      </c>
      <c r="O182" s="100">
        <v>1</v>
      </c>
      <c r="P182" s="100">
        <v>1</v>
      </c>
      <c r="R182" s="100" t="str">
        <v/>
      </c>
      <c r="S182" s="100">
        <v>1</v>
      </c>
      <c r="T182" s="100">
        <v>1</v>
      </c>
      <c r="V182" s="100" t="str">
        <v/>
      </c>
      <c r="W182" s="100" t="str">
        <v/>
      </c>
      <c r="Y182" s="100" t="str">
        <v/>
      </c>
      <c r="Z182" s="100" t="str">
        <v/>
      </c>
      <c r="AB182" s="100" t="str">
        <v/>
      </c>
      <c r="AC182" s="100" t="str">
        <v/>
      </c>
      <c r="AE182" s="100" t="str">
        <v/>
      </c>
      <c r="AF182" s="100" t="str">
        <v/>
      </c>
      <c r="AH182" s="8">
        <v>25</v>
      </c>
      <c r="AI182" s="102">
        <v>13500000</v>
      </c>
      <c r="AJ182" s="102">
        <v>13500000</v>
      </c>
      <c r="AK182" s="102">
        <v>13500000</v>
      </c>
      <c r="AL182" s="102">
        <v>13500000</v>
      </c>
      <c r="AM182" s="102">
        <v>13500000</v>
      </c>
      <c r="AN182" s="102">
        <v>13500000</v>
      </c>
      <c r="AO182" s="102">
        <v>13500000</v>
      </c>
      <c r="AP182" s="102">
        <v>13500000</v>
      </c>
      <c r="AQ182" s="102">
        <v>13500000</v>
      </c>
      <c r="AR182" s="102">
        <v>13500000</v>
      </c>
      <c r="AS182" s="102">
        <v>13500000</v>
      </c>
    </row>
    <row r="183" spans="2:45">
      <c r="B183" s="100" t="str">
        <v/>
      </c>
      <c r="C183" s="100">
        <v>0</v>
      </c>
      <c r="D183" s="100">
        <v>6</v>
      </c>
      <c r="F183" s="100" t="str">
        <v/>
      </c>
      <c r="G183" s="100">
        <v>1</v>
      </c>
      <c r="H183" s="100">
        <v>1</v>
      </c>
      <c r="J183" s="100" t="str">
        <v/>
      </c>
      <c r="K183" s="100">
        <v>1</v>
      </c>
      <c r="L183" s="100">
        <v>1</v>
      </c>
      <c r="N183" s="100" t="str">
        <v/>
      </c>
      <c r="O183" s="100">
        <v>1</v>
      </c>
      <c r="P183" s="100">
        <v>1</v>
      </c>
      <c r="R183" s="100" t="str">
        <v/>
      </c>
      <c r="S183" s="100">
        <v>1</v>
      </c>
      <c r="T183" s="100">
        <v>1</v>
      </c>
      <c r="V183" s="100" t="str">
        <v/>
      </c>
      <c r="W183" s="100" t="str">
        <v/>
      </c>
      <c r="Y183" s="100" t="str">
        <v/>
      </c>
      <c r="Z183" s="100" t="str">
        <v/>
      </c>
      <c r="AB183" s="100" t="str">
        <v/>
      </c>
      <c r="AC183" s="100" t="str">
        <v/>
      </c>
      <c r="AE183" s="100" t="str">
        <v/>
      </c>
      <c r="AF183" s="100" t="str">
        <v/>
      </c>
      <c r="AH183" s="8">
        <v>50</v>
      </c>
      <c r="AI183" s="102">
        <v>13500000</v>
      </c>
      <c r="AJ183" s="102">
        <v>13500000</v>
      </c>
      <c r="AK183" s="102">
        <v>13500000</v>
      </c>
      <c r="AL183" s="102">
        <v>13500000</v>
      </c>
      <c r="AM183" s="102">
        <v>13500000</v>
      </c>
      <c r="AN183" s="102">
        <v>13500000</v>
      </c>
      <c r="AO183" s="102">
        <v>13500000</v>
      </c>
      <c r="AP183" s="102">
        <v>13500000</v>
      </c>
      <c r="AQ183" s="102">
        <v>13500000</v>
      </c>
      <c r="AR183" s="102">
        <v>13500000</v>
      </c>
      <c r="AS183" s="102">
        <v>13500000</v>
      </c>
    </row>
    <row r="184" spans="2:45">
      <c r="B184" s="100" t="str">
        <v/>
      </c>
      <c r="C184" s="100">
        <v>0</v>
      </c>
      <c r="D184" s="100">
        <v>6</v>
      </c>
      <c r="F184" s="100" t="str">
        <v/>
      </c>
      <c r="G184" s="100">
        <v>1</v>
      </c>
      <c r="H184" s="100">
        <v>1</v>
      </c>
      <c r="J184" s="100" t="str">
        <v/>
      </c>
      <c r="K184" s="100">
        <v>1</v>
      </c>
      <c r="L184" s="100">
        <v>1</v>
      </c>
      <c r="N184" s="100" t="str">
        <v/>
      </c>
      <c r="O184" s="100">
        <v>1</v>
      </c>
      <c r="P184" s="100">
        <v>1</v>
      </c>
      <c r="R184" s="100" t="str">
        <v/>
      </c>
      <c r="S184" s="100">
        <v>1</v>
      </c>
      <c r="T184" s="100">
        <v>1</v>
      </c>
      <c r="V184" s="100" t="str">
        <v/>
      </c>
      <c r="W184" s="100" t="str">
        <v/>
      </c>
      <c r="Y184" s="100" t="str">
        <v/>
      </c>
      <c r="Z184" s="100" t="str">
        <v/>
      </c>
      <c r="AB184" s="100" t="str">
        <v/>
      </c>
      <c r="AC184" s="100" t="str">
        <v/>
      </c>
      <c r="AE184" s="100" t="str">
        <v/>
      </c>
      <c r="AF184" s="100" t="str">
        <v/>
      </c>
      <c r="AH184" s="8">
        <v>100</v>
      </c>
      <c r="AI184" s="102">
        <v>8500000</v>
      </c>
      <c r="AJ184" s="102">
        <v>8500000</v>
      </c>
      <c r="AK184" s="102">
        <v>8500000</v>
      </c>
      <c r="AL184" s="102">
        <v>8500000</v>
      </c>
      <c r="AM184" s="102">
        <v>8500000</v>
      </c>
      <c r="AN184" s="102">
        <v>8500000</v>
      </c>
      <c r="AO184" s="102">
        <v>8500000</v>
      </c>
      <c r="AP184" s="102">
        <v>8500000</v>
      </c>
      <c r="AQ184" s="102">
        <v>8500000</v>
      </c>
      <c r="AR184" s="102">
        <v>8500000</v>
      </c>
      <c r="AS184" s="102">
        <v>8500000</v>
      </c>
    </row>
    <row r="185" spans="2:45">
      <c r="B185" s="100" t="str">
        <v/>
      </c>
      <c r="C185" s="100">
        <v>0</v>
      </c>
      <c r="D185" s="100">
        <v>2</v>
      </c>
      <c r="F185" s="100" t="str">
        <v/>
      </c>
      <c r="G185" s="100">
        <v>1</v>
      </c>
      <c r="H185" s="100">
        <v>1</v>
      </c>
      <c r="J185" s="100" t="str">
        <v/>
      </c>
      <c r="K185" s="100">
        <v>1</v>
      </c>
      <c r="L185" s="100">
        <v>1</v>
      </c>
      <c r="N185" s="100" t="str">
        <v/>
      </c>
      <c r="O185" s="100">
        <v>1</v>
      </c>
      <c r="P185" s="100">
        <v>1</v>
      </c>
      <c r="R185" s="100" t="str">
        <v/>
      </c>
      <c r="S185" s="100">
        <v>1</v>
      </c>
      <c r="T185" s="100">
        <v>1</v>
      </c>
      <c r="V185" s="100" t="str">
        <v/>
      </c>
      <c r="W185" s="100" t="str">
        <v/>
      </c>
      <c r="Y185" s="100" t="str">
        <v/>
      </c>
      <c r="Z185" s="100" t="str">
        <v/>
      </c>
      <c r="AB185" s="100" t="str">
        <v/>
      </c>
      <c r="AC185" s="100" t="str">
        <v/>
      </c>
      <c r="AE185" s="100" t="str">
        <v/>
      </c>
      <c r="AF185" s="100" t="str">
        <v/>
      </c>
      <c r="AH185" s="8">
        <v>500</v>
      </c>
      <c r="AI185" s="102">
        <v>3500000</v>
      </c>
      <c r="AJ185" s="102">
        <v>3500000</v>
      </c>
      <c r="AK185" s="102">
        <v>3500000</v>
      </c>
      <c r="AL185" s="102">
        <v>3500000</v>
      </c>
      <c r="AM185" s="102">
        <v>3500000</v>
      </c>
      <c r="AN185" s="102">
        <v>3500000</v>
      </c>
      <c r="AO185" s="102">
        <v>3500000</v>
      </c>
      <c r="AP185" s="102">
        <v>3500000</v>
      </c>
      <c r="AQ185" s="102">
        <v>3500000</v>
      </c>
      <c r="AR185" s="102">
        <v>3500000</v>
      </c>
      <c r="AS185" s="102">
        <v>3500000</v>
      </c>
    </row>
    <row r="186" spans="2:45">
      <c r="B186" s="100" t="str">
        <v/>
      </c>
      <c r="C186" s="100">
        <v>4</v>
      </c>
      <c r="D186" s="100">
        <v>2</v>
      </c>
      <c r="F186" s="100" t="str">
        <v/>
      </c>
      <c r="G186" s="100">
        <v>1</v>
      </c>
      <c r="H186" s="100">
        <v>1</v>
      </c>
      <c r="J186" s="100" t="str">
        <v/>
      </c>
      <c r="K186" s="100">
        <v>1</v>
      </c>
      <c r="L186" s="100">
        <v>1</v>
      </c>
      <c r="N186" s="100" t="str">
        <v/>
      </c>
      <c r="O186" s="100">
        <v>1</v>
      </c>
      <c r="P186" s="100">
        <v>1</v>
      </c>
      <c r="R186" s="100" t="str">
        <v/>
      </c>
      <c r="S186" s="100">
        <v>1</v>
      </c>
      <c r="T186" s="100">
        <v>1</v>
      </c>
      <c r="V186" s="100" t="str">
        <v/>
      </c>
      <c r="W186" s="100" t="str">
        <v/>
      </c>
      <c r="Y186" s="100" t="str">
        <v/>
      </c>
      <c r="Z186" s="100" t="str">
        <v/>
      </c>
      <c r="AB186" s="100" t="str">
        <v/>
      </c>
      <c r="AC186" s="100" t="str">
        <v/>
      </c>
      <c r="AE186" s="100" t="str">
        <v/>
      </c>
      <c r="AF186" s="100" t="str">
        <v/>
      </c>
    </row>
    <row r="187" spans="2:45">
      <c r="B187" s="100" t="str">
        <v/>
      </c>
      <c r="C187" s="100">
        <v>4</v>
      </c>
      <c r="D187" s="100">
        <v>2</v>
      </c>
      <c r="F187" s="100" t="str">
        <v/>
      </c>
      <c r="G187" s="100">
        <v>1</v>
      </c>
      <c r="H187" s="100">
        <v>1</v>
      </c>
      <c r="J187" s="100" t="str">
        <v/>
      </c>
      <c r="K187" s="100">
        <v>1</v>
      </c>
      <c r="L187" s="100">
        <v>1</v>
      </c>
      <c r="N187" s="100" t="str">
        <v/>
      </c>
      <c r="O187" s="100">
        <v>1</v>
      </c>
      <c r="P187" s="100">
        <v>1</v>
      </c>
      <c r="R187" s="100" t="str">
        <v/>
      </c>
      <c r="S187" s="100">
        <v>1</v>
      </c>
      <c r="T187" s="100">
        <v>1</v>
      </c>
      <c r="V187" s="100" t="str">
        <v/>
      </c>
      <c r="W187" s="100" t="str">
        <v/>
      </c>
      <c r="Y187" s="100" t="str">
        <v/>
      </c>
      <c r="Z187" s="100" t="str">
        <v/>
      </c>
      <c r="AB187" s="100" t="str">
        <v/>
      </c>
      <c r="AC187" s="100" t="str">
        <v/>
      </c>
      <c r="AE187" s="100" t="str">
        <v/>
      </c>
      <c r="AF187" s="100" t="str">
        <v/>
      </c>
    </row>
    <row r="188" spans="2:45">
      <c r="B188" s="100" t="str">
        <v/>
      </c>
      <c r="C188" s="100">
        <v>6</v>
      </c>
      <c r="D188" s="100">
        <v>7</v>
      </c>
      <c r="F188" s="100" t="str">
        <v/>
      </c>
      <c r="G188" s="100">
        <v>1</v>
      </c>
      <c r="H188" s="100">
        <v>1</v>
      </c>
      <c r="J188" s="100" t="str">
        <v/>
      </c>
      <c r="K188" s="100">
        <v>1</v>
      </c>
      <c r="L188" s="100">
        <v>1</v>
      </c>
      <c r="N188" s="100" t="str">
        <v/>
      </c>
      <c r="O188" s="100">
        <v>1</v>
      </c>
      <c r="P188" s="100">
        <v>1</v>
      </c>
      <c r="R188" s="100" t="str">
        <v/>
      </c>
      <c r="S188" s="100">
        <v>1</v>
      </c>
      <c r="T188" s="100">
        <v>1</v>
      </c>
      <c r="V188" s="100" t="str">
        <v/>
      </c>
      <c r="W188" s="100" t="str">
        <v/>
      </c>
      <c r="Y188" s="100" t="str">
        <v/>
      </c>
      <c r="Z188" s="100" t="str">
        <v/>
      </c>
      <c r="AB188" s="100" t="str">
        <v/>
      </c>
      <c r="AC188" s="100" t="str">
        <v/>
      </c>
      <c r="AE188" s="100" t="str">
        <v/>
      </c>
      <c r="AF188" s="100" t="str">
        <v/>
      </c>
    </row>
    <row r="189" spans="2:45">
      <c r="B189" s="100" t="str">
        <v/>
      </c>
      <c r="C189" s="100">
        <v>2</v>
      </c>
      <c r="D189" s="100">
        <v>7</v>
      </c>
      <c r="F189" s="100" t="str">
        <v/>
      </c>
      <c r="G189" s="100">
        <v>1</v>
      </c>
      <c r="H189" s="100">
        <v>1</v>
      </c>
      <c r="J189" s="100" t="str">
        <v/>
      </c>
      <c r="K189" s="100">
        <v>1</v>
      </c>
      <c r="L189" s="100">
        <v>1</v>
      </c>
      <c r="N189" s="100" t="str">
        <v/>
      </c>
      <c r="O189" s="100">
        <v>1</v>
      </c>
      <c r="P189" s="100">
        <v>1</v>
      </c>
      <c r="R189" s="100" t="str">
        <v/>
      </c>
      <c r="S189" s="100">
        <v>1</v>
      </c>
      <c r="T189" s="100">
        <v>1</v>
      </c>
      <c r="V189" s="100" t="str">
        <v/>
      </c>
      <c r="W189" s="100" t="str">
        <v/>
      </c>
      <c r="Y189" s="100" t="str">
        <v/>
      </c>
      <c r="Z189" s="100" t="str">
        <v/>
      </c>
      <c r="AB189" s="100" t="str">
        <v/>
      </c>
      <c r="AC189" s="100" t="str">
        <v/>
      </c>
      <c r="AE189" s="100" t="str">
        <v/>
      </c>
      <c r="AF189" s="100" t="str">
        <v/>
      </c>
    </row>
    <row r="190" spans="2:45">
      <c r="B190" s="100" t="str">
        <v/>
      </c>
      <c r="C190" s="100">
        <v>2</v>
      </c>
      <c r="D190" s="100">
        <v>7</v>
      </c>
      <c r="F190" s="100" t="str">
        <v/>
      </c>
      <c r="G190" s="100">
        <v>1</v>
      </c>
      <c r="H190" s="100">
        <v>1</v>
      </c>
      <c r="J190" s="100" t="str">
        <v/>
      </c>
      <c r="K190" s="100">
        <v>1</v>
      </c>
      <c r="L190" s="100">
        <v>1</v>
      </c>
      <c r="N190" s="100" t="str">
        <v/>
      </c>
      <c r="O190" s="100">
        <v>1</v>
      </c>
      <c r="P190" s="100">
        <v>1</v>
      </c>
      <c r="R190" s="100" t="str">
        <v/>
      </c>
      <c r="S190" s="100">
        <v>1</v>
      </c>
      <c r="T190" s="100">
        <v>1</v>
      </c>
      <c r="V190" s="100" t="str">
        <v/>
      </c>
      <c r="W190" s="100" t="str">
        <v/>
      </c>
      <c r="Y190" s="100" t="str">
        <v/>
      </c>
      <c r="Z190" s="100" t="str">
        <v/>
      </c>
      <c r="AB190" s="100" t="str">
        <v/>
      </c>
      <c r="AC190" s="100" t="str">
        <v/>
      </c>
      <c r="AE190" s="100" t="str">
        <v/>
      </c>
      <c r="AF190" s="100" t="str">
        <v/>
      </c>
    </row>
    <row r="191" spans="2:45">
      <c r="B191" s="100" t="str">
        <v/>
      </c>
      <c r="C191" s="100">
        <v>6</v>
      </c>
      <c r="D191" s="100">
        <v>5</v>
      </c>
      <c r="F191" s="100" t="str">
        <v/>
      </c>
      <c r="G191" s="100">
        <v>1</v>
      </c>
      <c r="H191" s="100">
        <v>1</v>
      </c>
      <c r="J191" s="100" t="str">
        <v/>
      </c>
      <c r="K191" s="100">
        <v>1</v>
      </c>
      <c r="L191" s="100">
        <v>1</v>
      </c>
      <c r="N191" s="100" t="str">
        <v/>
      </c>
      <c r="O191" s="100">
        <v>1</v>
      </c>
      <c r="P191" s="100">
        <v>1</v>
      </c>
      <c r="R191" s="100" t="str">
        <v/>
      </c>
      <c r="S191" s="100">
        <v>1</v>
      </c>
      <c r="T191" s="100">
        <v>1</v>
      </c>
      <c r="V191" s="100" t="str">
        <v/>
      </c>
      <c r="W191" s="100" t="str">
        <v/>
      </c>
      <c r="Y191" s="100" t="str">
        <v/>
      </c>
      <c r="Z191" s="100" t="str">
        <v/>
      </c>
      <c r="AB191" s="100" t="str">
        <v/>
      </c>
      <c r="AC191" s="100" t="str">
        <v/>
      </c>
      <c r="AE191" s="100" t="str">
        <v/>
      </c>
      <c r="AF191" s="100" t="str">
        <v/>
      </c>
    </row>
    <row r="192" spans="2:45">
      <c r="B192" s="100" t="str">
        <v/>
      </c>
      <c r="C192" s="100">
        <v>6</v>
      </c>
      <c r="D192" s="100">
        <v>5</v>
      </c>
      <c r="F192" s="100" t="str">
        <v/>
      </c>
      <c r="G192" s="100">
        <v>1</v>
      </c>
      <c r="H192" s="100">
        <v>1</v>
      </c>
      <c r="J192" s="100" t="str">
        <v/>
      </c>
      <c r="K192" s="100">
        <v>1</v>
      </c>
      <c r="L192" s="100">
        <v>1</v>
      </c>
      <c r="N192" s="100" t="str">
        <v/>
      </c>
      <c r="O192" s="100">
        <v>1</v>
      </c>
      <c r="P192" s="100">
        <v>1</v>
      </c>
      <c r="R192" s="100" t="str">
        <v/>
      </c>
      <c r="S192" s="100">
        <v>1</v>
      </c>
      <c r="T192" s="100">
        <v>1</v>
      </c>
      <c r="V192" s="100" t="str">
        <v/>
      </c>
      <c r="W192" s="100" t="str">
        <v/>
      </c>
      <c r="Y192" s="100" t="str">
        <v/>
      </c>
      <c r="Z192" s="100" t="str">
        <v/>
      </c>
      <c r="AB192" s="100" t="str">
        <v/>
      </c>
      <c r="AC192" s="100" t="str">
        <v/>
      </c>
      <c r="AE192" s="100" t="str">
        <v/>
      </c>
      <c r="AF192" s="100" t="str">
        <v/>
      </c>
    </row>
    <row r="193" spans="2:32">
      <c r="B193" s="100" t="str">
        <v/>
      </c>
      <c r="C193" s="100">
        <v>6</v>
      </c>
      <c r="D193" s="100">
        <v>5</v>
      </c>
      <c r="F193" s="100" t="str">
        <v/>
      </c>
      <c r="G193" s="100">
        <v>1</v>
      </c>
      <c r="H193" s="100">
        <v>1</v>
      </c>
      <c r="J193" s="100" t="str">
        <v/>
      </c>
      <c r="K193" s="100">
        <v>1</v>
      </c>
      <c r="L193" s="100">
        <v>1</v>
      </c>
      <c r="N193" s="100" t="str">
        <v/>
      </c>
      <c r="O193" s="100">
        <v>1</v>
      </c>
      <c r="P193" s="100">
        <v>1</v>
      </c>
      <c r="R193" s="100" t="str">
        <v/>
      </c>
      <c r="S193" s="100">
        <v>1</v>
      </c>
      <c r="T193" s="100">
        <v>1</v>
      </c>
      <c r="V193" s="100" t="str">
        <v/>
      </c>
      <c r="W193" s="100" t="str">
        <v/>
      </c>
      <c r="Y193" s="100" t="str">
        <v/>
      </c>
      <c r="Z193" s="100" t="str">
        <v/>
      </c>
      <c r="AB193" s="100" t="str">
        <v/>
      </c>
      <c r="AC193" s="100" t="str">
        <v/>
      </c>
      <c r="AE193" s="100" t="str">
        <v/>
      </c>
      <c r="AF193" s="100" t="str">
        <v/>
      </c>
    </row>
    <row r="194" spans="2:32">
      <c r="B194" s="100" t="str">
        <v/>
      </c>
      <c r="C194" s="100">
        <v>3</v>
      </c>
      <c r="D194" s="100">
        <v>0</v>
      </c>
      <c r="F194" s="100" t="str">
        <v/>
      </c>
      <c r="G194" s="100">
        <v>1</v>
      </c>
      <c r="H194" s="100">
        <v>1</v>
      </c>
      <c r="J194" s="100" t="str">
        <v/>
      </c>
      <c r="K194" s="100">
        <v>1</v>
      </c>
      <c r="L194" s="100">
        <v>1</v>
      </c>
      <c r="N194" s="100" t="str">
        <v/>
      </c>
      <c r="O194" s="100">
        <v>1</v>
      </c>
      <c r="P194" s="100">
        <v>1</v>
      </c>
      <c r="R194" s="100" t="str">
        <v/>
      </c>
      <c r="S194" s="100">
        <v>1</v>
      </c>
      <c r="T194" s="100">
        <v>1</v>
      </c>
      <c r="V194" s="100" t="str">
        <v/>
      </c>
      <c r="W194" s="100" t="str">
        <v/>
      </c>
      <c r="Y194" s="100" t="str">
        <v/>
      </c>
      <c r="Z194" s="100" t="str">
        <v/>
      </c>
      <c r="AB194" s="100" t="str">
        <v/>
      </c>
      <c r="AC194" s="100" t="str">
        <v/>
      </c>
      <c r="AE194" s="100" t="str">
        <v/>
      </c>
      <c r="AF194" s="100" t="str">
        <v/>
      </c>
    </row>
    <row r="195" spans="2:32">
      <c r="B195" s="100" t="str">
        <v/>
      </c>
      <c r="C195" s="100">
        <v>3</v>
      </c>
      <c r="D195" s="100">
        <v>0</v>
      </c>
      <c r="F195" s="100" t="str">
        <v/>
      </c>
      <c r="G195" s="100">
        <v>1</v>
      </c>
      <c r="H195" s="100">
        <v>1</v>
      </c>
      <c r="J195" s="100" t="str">
        <v/>
      </c>
      <c r="K195" s="100">
        <v>1</v>
      </c>
      <c r="L195" s="100">
        <v>1</v>
      </c>
      <c r="N195" s="100" t="str">
        <v/>
      </c>
      <c r="O195" s="100">
        <v>1</v>
      </c>
      <c r="P195" s="100">
        <v>1</v>
      </c>
      <c r="R195" s="100" t="str">
        <v/>
      </c>
      <c r="S195" s="100">
        <v>1</v>
      </c>
      <c r="T195" s="100">
        <v>1</v>
      </c>
      <c r="V195" s="100" t="str">
        <v/>
      </c>
      <c r="W195" s="100" t="str">
        <v/>
      </c>
      <c r="Y195" s="100" t="str">
        <v/>
      </c>
      <c r="Z195" s="100" t="str">
        <v/>
      </c>
      <c r="AB195" s="100" t="str">
        <v/>
      </c>
      <c r="AC195" s="100" t="str">
        <v/>
      </c>
      <c r="AE195" s="100" t="str">
        <v/>
      </c>
      <c r="AF195" s="100" t="str">
        <v/>
      </c>
    </row>
    <row r="196" spans="2:32">
      <c r="B196" s="100" t="str">
        <v/>
      </c>
      <c r="C196" s="100">
        <v>7</v>
      </c>
      <c r="D196" s="100">
        <v>0</v>
      </c>
      <c r="F196" s="100" t="str">
        <v/>
      </c>
      <c r="G196" s="100">
        <v>1</v>
      </c>
      <c r="H196" s="100">
        <v>1</v>
      </c>
      <c r="J196" s="100" t="str">
        <v/>
      </c>
      <c r="K196" s="100">
        <v>1</v>
      </c>
      <c r="L196" s="100">
        <v>1</v>
      </c>
      <c r="N196" s="100" t="str">
        <v/>
      </c>
      <c r="O196" s="100">
        <v>1</v>
      </c>
      <c r="P196" s="100">
        <v>1</v>
      </c>
      <c r="R196" s="100" t="str">
        <v/>
      </c>
      <c r="S196" s="100">
        <v>1</v>
      </c>
      <c r="T196" s="100">
        <v>1</v>
      </c>
      <c r="V196" s="100" t="str">
        <v/>
      </c>
      <c r="W196" s="100" t="str">
        <v/>
      </c>
      <c r="Y196" s="100" t="str">
        <v/>
      </c>
      <c r="Z196" s="100" t="str">
        <v/>
      </c>
      <c r="AB196" s="100" t="str">
        <v/>
      </c>
      <c r="AC196" s="100" t="str">
        <v/>
      </c>
      <c r="AE196" s="100" t="str">
        <v/>
      </c>
      <c r="AF196" s="100" t="str">
        <v/>
      </c>
    </row>
    <row r="197" spans="2:32">
      <c r="B197" s="100" t="str">
        <v/>
      </c>
      <c r="C197" s="100">
        <v>7</v>
      </c>
      <c r="D197" s="100">
        <v>7</v>
      </c>
      <c r="F197" s="100" t="str">
        <v/>
      </c>
      <c r="G197" s="100">
        <v>1</v>
      </c>
      <c r="H197" s="100">
        <v>1</v>
      </c>
      <c r="J197" s="100" t="str">
        <v/>
      </c>
      <c r="K197" s="100">
        <v>1</v>
      </c>
      <c r="L197" s="100">
        <v>1</v>
      </c>
      <c r="N197" s="100" t="str">
        <v/>
      </c>
      <c r="O197" s="100">
        <v>1</v>
      </c>
      <c r="P197" s="100">
        <v>1</v>
      </c>
      <c r="R197" s="100" t="str">
        <v/>
      </c>
      <c r="S197" s="100">
        <v>1</v>
      </c>
      <c r="T197" s="100">
        <v>1</v>
      </c>
      <c r="V197" s="100" t="str">
        <v/>
      </c>
      <c r="W197" s="100" t="str">
        <v/>
      </c>
      <c r="Y197" s="100" t="str">
        <v/>
      </c>
      <c r="Z197" s="100" t="str">
        <v/>
      </c>
      <c r="AB197" s="100" t="str">
        <v/>
      </c>
      <c r="AC197" s="100" t="str">
        <v/>
      </c>
      <c r="AE197" s="100" t="str">
        <v/>
      </c>
      <c r="AF197" s="100" t="str">
        <v/>
      </c>
    </row>
    <row r="198" spans="2:32">
      <c r="B198" s="100" t="str">
        <v/>
      </c>
      <c r="C198" s="100">
        <v>3</v>
      </c>
      <c r="D198" s="100">
        <v>7</v>
      </c>
      <c r="F198" s="100" t="str">
        <v/>
      </c>
      <c r="G198" s="100">
        <v>1</v>
      </c>
      <c r="H198" s="100">
        <v>1</v>
      </c>
      <c r="J198" s="100" t="str">
        <v/>
      </c>
      <c r="K198" s="100">
        <v>1</v>
      </c>
      <c r="L198" s="100">
        <v>1</v>
      </c>
      <c r="N198" s="100" t="str">
        <v/>
      </c>
      <c r="O198" s="100">
        <v>1</v>
      </c>
      <c r="P198" s="100">
        <v>1</v>
      </c>
      <c r="R198" s="100" t="str">
        <v/>
      </c>
      <c r="S198" s="100">
        <v>1</v>
      </c>
      <c r="T198" s="100">
        <v>1</v>
      </c>
      <c r="V198" s="100" t="str">
        <v/>
      </c>
      <c r="W198" s="100" t="str">
        <v/>
      </c>
      <c r="Y198" s="100" t="str">
        <v/>
      </c>
      <c r="Z198" s="100" t="str">
        <v/>
      </c>
      <c r="AB198" s="100" t="str">
        <v/>
      </c>
      <c r="AC198" s="100" t="str">
        <v/>
      </c>
      <c r="AE198" s="100" t="str">
        <v/>
      </c>
      <c r="AF198" s="100" t="str">
        <v/>
      </c>
    </row>
    <row r="199" spans="2:32">
      <c r="B199" s="100" t="str">
        <v/>
      </c>
      <c r="C199" s="100">
        <v>3</v>
      </c>
      <c r="D199" s="100">
        <v>7</v>
      </c>
      <c r="F199" s="100" t="str">
        <v/>
      </c>
      <c r="G199" s="100">
        <v>1</v>
      </c>
      <c r="H199" s="100">
        <v>1</v>
      </c>
      <c r="J199" s="100" t="str">
        <v/>
      </c>
      <c r="K199" s="100">
        <v>1</v>
      </c>
      <c r="L199" s="100">
        <v>1</v>
      </c>
      <c r="N199" s="100" t="str">
        <v/>
      </c>
      <c r="O199" s="100">
        <v>1</v>
      </c>
      <c r="P199" s="100">
        <v>1</v>
      </c>
      <c r="R199" s="100" t="str">
        <v/>
      </c>
      <c r="S199" s="100">
        <v>1</v>
      </c>
      <c r="T199" s="100">
        <v>1</v>
      </c>
      <c r="V199" s="100" t="str">
        <v/>
      </c>
      <c r="W199" s="100" t="str">
        <v/>
      </c>
      <c r="Y199" s="100" t="str">
        <v/>
      </c>
      <c r="Z199" s="100" t="str">
        <v/>
      </c>
      <c r="AB199" s="100" t="str">
        <v/>
      </c>
      <c r="AC199" s="100" t="str">
        <v/>
      </c>
      <c r="AE199" s="100" t="str">
        <v/>
      </c>
      <c r="AF199" s="100" t="str">
        <v/>
      </c>
    </row>
    <row r="200" spans="2:32">
      <c r="B200" s="100" t="str">
        <v/>
      </c>
      <c r="C200" s="100">
        <v>5</v>
      </c>
      <c r="D200" s="100">
        <v>0</v>
      </c>
      <c r="F200" s="100" t="str">
        <v/>
      </c>
      <c r="G200" s="100">
        <v>1</v>
      </c>
      <c r="H200" s="100">
        <v>1</v>
      </c>
      <c r="J200" s="100" t="str">
        <v/>
      </c>
      <c r="K200" s="100">
        <v>1</v>
      </c>
      <c r="L200" s="100">
        <v>1</v>
      </c>
      <c r="N200" s="100" t="str">
        <v/>
      </c>
      <c r="O200" s="100">
        <v>1</v>
      </c>
      <c r="P200" s="100">
        <v>1</v>
      </c>
      <c r="R200" s="100" t="str">
        <v/>
      </c>
      <c r="S200" s="100">
        <v>1</v>
      </c>
      <c r="T200" s="100">
        <v>1</v>
      </c>
      <c r="V200" s="100" t="str">
        <v/>
      </c>
      <c r="W200" s="100" t="str">
        <v/>
      </c>
      <c r="Y200" s="100" t="str">
        <v/>
      </c>
      <c r="Z200" s="100" t="str">
        <v/>
      </c>
      <c r="AB200" s="100" t="str">
        <v/>
      </c>
      <c r="AC200" s="100" t="str">
        <v/>
      </c>
      <c r="AE200" s="100" t="str">
        <v/>
      </c>
      <c r="AF200" s="100" t="str">
        <v/>
      </c>
    </row>
    <row r="201" spans="2:32">
      <c r="B201" s="100" t="str">
        <v/>
      </c>
      <c r="C201" s="100">
        <v>5</v>
      </c>
      <c r="D201" s="100">
        <v>0</v>
      </c>
      <c r="F201" s="100" t="str">
        <v/>
      </c>
      <c r="G201" s="100">
        <v>1</v>
      </c>
      <c r="H201" s="100">
        <v>1</v>
      </c>
      <c r="J201" s="100" t="str">
        <v/>
      </c>
      <c r="K201" s="100">
        <v>1</v>
      </c>
      <c r="L201" s="100">
        <v>1</v>
      </c>
      <c r="N201" s="100" t="str">
        <v/>
      </c>
      <c r="O201" s="100">
        <v>1</v>
      </c>
      <c r="P201" s="100">
        <v>1</v>
      </c>
      <c r="R201" s="100" t="str">
        <v/>
      </c>
      <c r="S201" s="100">
        <v>1</v>
      </c>
      <c r="T201" s="100">
        <v>1</v>
      </c>
      <c r="V201" s="100" t="str">
        <v/>
      </c>
      <c r="W201" s="100" t="str">
        <v/>
      </c>
      <c r="Y201" s="100" t="str">
        <v/>
      </c>
      <c r="Z201" s="100" t="str">
        <v/>
      </c>
      <c r="AB201" s="100" t="str">
        <v/>
      </c>
      <c r="AC201" s="100" t="str">
        <v/>
      </c>
      <c r="AE201" s="100" t="str">
        <v/>
      </c>
      <c r="AF201" s="100" t="str">
        <v/>
      </c>
    </row>
    <row r="202" spans="2:32">
      <c r="B202" s="100" t="str">
        <v/>
      </c>
      <c r="C202" s="100">
        <v>5</v>
      </c>
      <c r="D202" s="100">
        <v>0</v>
      </c>
      <c r="F202" s="100" t="str">
        <v/>
      </c>
      <c r="G202" s="100">
        <v>1</v>
      </c>
      <c r="H202" s="100">
        <v>1</v>
      </c>
      <c r="J202" s="100" t="str">
        <v/>
      </c>
      <c r="K202" s="100">
        <v>1</v>
      </c>
      <c r="L202" s="100">
        <v>1</v>
      </c>
      <c r="N202" s="100" t="str">
        <v/>
      </c>
      <c r="O202" s="100">
        <v>1</v>
      </c>
      <c r="P202" s="100">
        <v>1</v>
      </c>
      <c r="R202" s="100" t="str">
        <v/>
      </c>
      <c r="S202" s="100">
        <v>1</v>
      </c>
      <c r="T202" s="100">
        <v>1</v>
      </c>
      <c r="V202" s="100" t="str">
        <v/>
      </c>
      <c r="W202" s="100" t="str">
        <v/>
      </c>
      <c r="Y202" s="100" t="str">
        <v/>
      </c>
      <c r="Z202" s="100" t="str">
        <v/>
      </c>
      <c r="AB202" s="100" t="str">
        <v/>
      </c>
      <c r="AC202" s="100" t="str">
        <v/>
      </c>
      <c r="AE202" s="100" t="str">
        <v/>
      </c>
      <c r="AF202" s="100" t="str">
        <v/>
      </c>
    </row>
    <row r="203" spans="2:32">
      <c r="B203" s="100" t="str">
        <v/>
      </c>
      <c r="C203" s="100">
        <v>0</v>
      </c>
      <c r="D203" s="100">
        <v>7</v>
      </c>
      <c r="F203" s="100" t="str">
        <v/>
      </c>
      <c r="G203" s="100">
        <v>1</v>
      </c>
      <c r="H203" s="100">
        <v>1</v>
      </c>
      <c r="J203" s="100" t="str">
        <v/>
      </c>
      <c r="K203" s="100">
        <v>1</v>
      </c>
      <c r="L203" s="100">
        <v>1</v>
      </c>
      <c r="N203" s="100" t="str">
        <v/>
      </c>
      <c r="O203" s="100">
        <v>1</v>
      </c>
      <c r="P203" s="100">
        <v>1</v>
      </c>
      <c r="R203" s="100" t="str">
        <v/>
      </c>
      <c r="S203" s="100">
        <v>1</v>
      </c>
      <c r="T203" s="100">
        <v>1</v>
      </c>
      <c r="V203" s="100" t="str">
        <v/>
      </c>
      <c r="W203" s="100" t="str">
        <v/>
      </c>
      <c r="Y203" s="100" t="str">
        <v/>
      </c>
      <c r="Z203" s="100" t="str">
        <v/>
      </c>
      <c r="AB203" s="100" t="str">
        <v/>
      </c>
      <c r="AC203" s="100" t="str">
        <v/>
      </c>
      <c r="AE203" s="100" t="str">
        <v/>
      </c>
      <c r="AF203" s="100" t="str">
        <v/>
      </c>
    </row>
    <row r="204" spans="2:32">
      <c r="B204" s="100" t="str">
        <v/>
      </c>
      <c r="C204" s="100">
        <v>0</v>
      </c>
      <c r="D204" s="100">
        <v>7</v>
      </c>
      <c r="F204" s="100" t="str">
        <v/>
      </c>
      <c r="G204" s="100">
        <v>1</v>
      </c>
      <c r="H204" s="100">
        <v>1</v>
      </c>
      <c r="J204" s="100" t="str">
        <v/>
      </c>
      <c r="K204" s="100">
        <v>1</v>
      </c>
      <c r="L204" s="100">
        <v>1</v>
      </c>
      <c r="N204" s="100" t="str">
        <v/>
      </c>
      <c r="O204" s="100">
        <v>1</v>
      </c>
      <c r="P204" s="100">
        <v>1</v>
      </c>
      <c r="R204" s="100" t="str">
        <v/>
      </c>
      <c r="S204" s="100">
        <v>1</v>
      </c>
      <c r="T204" s="100">
        <v>1</v>
      </c>
      <c r="V204" s="100" t="str">
        <v/>
      </c>
      <c r="W204" s="100" t="str">
        <v/>
      </c>
      <c r="Y204" s="100" t="str">
        <v/>
      </c>
      <c r="Z204" s="100" t="str">
        <v/>
      </c>
      <c r="AB204" s="100" t="str">
        <v/>
      </c>
      <c r="AC204" s="100" t="str">
        <v/>
      </c>
      <c r="AE204" s="100" t="str">
        <v/>
      </c>
      <c r="AF204" s="100" t="str">
        <v/>
      </c>
    </row>
    <row r="205" spans="2:32">
      <c r="B205" s="100" t="str">
        <v/>
      </c>
      <c r="C205" s="100">
        <v>0</v>
      </c>
      <c r="D205" s="100">
        <v>5</v>
      </c>
      <c r="F205" s="100" t="str">
        <v/>
      </c>
      <c r="G205" s="100">
        <v>1</v>
      </c>
      <c r="H205" s="100">
        <v>1</v>
      </c>
      <c r="J205" s="100" t="str">
        <v/>
      </c>
      <c r="K205" s="100">
        <v>1</v>
      </c>
      <c r="L205" s="100">
        <v>1</v>
      </c>
      <c r="N205" s="100" t="str">
        <v/>
      </c>
      <c r="O205" s="100">
        <v>1</v>
      </c>
      <c r="P205" s="100">
        <v>1</v>
      </c>
      <c r="R205" s="100" t="str">
        <v/>
      </c>
      <c r="S205" s="100">
        <v>1</v>
      </c>
      <c r="T205" s="100">
        <v>1</v>
      </c>
      <c r="V205" s="100" t="str">
        <v/>
      </c>
      <c r="W205" s="100" t="str">
        <v/>
      </c>
      <c r="Y205" s="100" t="str">
        <v/>
      </c>
      <c r="Z205" s="100" t="str">
        <v/>
      </c>
      <c r="AB205" s="100" t="str">
        <v/>
      </c>
      <c r="AC205" s="100" t="str">
        <v/>
      </c>
      <c r="AE205" s="100" t="str">
        <v/>
      </c>
      <c r="AF205" s="100" t="str">
        <v/>
      </c>
    </row>
    <row r="206" spans="2:32">
      <c r="B206" s="100" t="str">
        <v/>
      </c>
      <c r="C206" s="100">
        <v>6</v>
      </c>
      <c r="D206" s="100" t="str">
        <v/>
      </c>
      <c r="F206" s="100" t="str">
        <v/>
      </c>
      <c r="G206" s="100">
        <v>1</v>
      </c>
      <c r="H206" s="100" t="str">
        <v/>
      </c>
      <c r="J206" s="100" t="str">
        <v/>
      </c>
      <c r="K206" s="100">
        <v>1</v>
      </c>
      <c r="L206" s="100" t="str">
        <v/>
      </c>
      <c r="N206" s="100" t="str">
        <v/>
      </c>
      <c r="O206" s="100">
        <v>1</v>
      </c>
      <c r="P206" s="100" t="str">
        <v/>
      </c>
      <c r="R206" s="100" t="str">
        <v/>
      </c>
      <c r="S206" s="100">
        <v>1</v>
      </c>
      <c r="T206" s="100" t="str">
        <v/>
      </c>
      <c r="V206" s="100" t="str">
        <v/>
      </c>
      <c r="W206" s="100" t="str">
        <v/>
      </c>
      <c r="Y206" s="100" t="str">
        <v/>
      </c>
      <c r="Z206" s="100" t="str">
        <v/>
      </c>
      <c r="AB206" s="100" t="str">
        <v/>
      </c>
      <c r="AC206" s="100" t="str">
        <v/>
      </c>
      <c r="AE206" s="100" t="str">
        <v/>
      </c>
      <c r="AF206" s="100" t="str">
        <v/>
      </c>
    </row>
    <row r="207" spans="2:32">
      <c r="B207" s="100" t="str">
        <v/>
      </c>
      <c r="C207" s="100">
        <v>6</v>
      </c>
      <c r="D207" s="100" t="str">
        <v/>
      </c>
      <c r="F207" s="100" t="str">
        <v/>
      </c>
      <c r="G207" s="100">
        <v>1</v>
      </c>
      <c r="H207" s="100" t="str">
        <v/>
      </c>
      <c r="J207" s="100" t="str">
        <v/>
      </c>
      <c r="K207" s="100">
        <v>1</v>
      </c>
      <c r="L207" s="100" t="str">
        <v/>
      </c>
      <c r="N207" s="100" t="str">
        <v/>
      </c>
      <c r="O207" s="100">
        <v>1</v>
      </c>
      <c r="P207" s="100" t="str">
        <v/>
      </c>
      <c r="R207" s="100" t="str">
        <v/>
      </c>
      <c r="S207" s="100">
        <v>1</v>
      </c>
      <c r="T207" s="100" t="str">
        <v/>
      </c>
      <c r="V207" s="100" t="str">
        <v/>
      </c>
      <c r="W207" s="100" t="str">
        <v/>
      </c>
      <c r="Y207" s="100" t="str">
        <v/>
      </c>
      <c r="Z207" s="100" t="str">
        <v/>
      </c>
      <c r="AB207" s="100" t="str">
        <v/>
      </c>
      <c r="AC207" s="100" t="str">
        <v/>
      </c>
      <c r="AE207" s="100" t="str">
        <v/>
      </c>
      <c r="AF207" s="100" t="str">
        <v/>
      </c>
    </row>
    <row r="208" spans="2:32">
      <c r="B208" s="100" t="str">
        <v/>
      </c>
      <c r="C208" s="100">
        <v>1</v>
      </c>
      <c r="D208" s="100" t="str">
        <v/>
      </c>
      <c r="F208" s="100" t="str">
        <v/>
      </c>
      <c r="G208" s="100">
        <v>1</v>
      </c>
      <c r="H208" s="100" t="str">
        <v/>
      </c>
      <c r="J208" s="100" t="str">
        <v/>
      </c>
      <c r="K208" s="100">
        <v>1</v>
      </c>
      <c r="L208" s="100" t="str">
        <v/>
      </c>
      <c r="N208" s="100" t="str">
        <v/>
      </c>
      <c r="O208" s="100">
        <v>1</v>
      </c>
      <c r="P208" s="100" t="str">
        <v/>
      </c>
      <c r="R208" s="100" t="str">
        <v/>
      </c>
      <c r="S208" s="100">
        <v>1</v>
      </c>
      <c r="T208" s="100" t="str">
        <v/>
      </c>
      <c r="V208" s="100" t="str">
        <v/>
      </c>
      <c r="W208" s="100" t="str">
        <v/>
      </c>
      <c r="Y208" s="100" t="str">
        <v/>
      </c>
      <c r="Z208" s="100" t="str">
        <v/>
      </c>
      <c r="AB208" s="100" t="str">
        <v/>
      </c>
      <c r="AC208" s="100" t="str">
        <v/>
      </c>
      <c r="AE208" s="100" t="str">
        <v/>
      </c>
      <c r="AF208" s="100" t="str">
        <v/>
      </c>
    </row>
    <row r="209" spans="2:32">
      <c r="B209" s="100" t="str">
        <v/>
      </c>
      <c r="C209" s="100">
        <v>1</v>
      </c>
      <c r="D209" s="100" t="str">
        <v/>
      </c>
      <c r="F209" s="100" t="str">
        <v/>
      </c>
      <c r="G209" s="100">
        <v>1</v>
      </c>
      <c r="H209" s="100" t="str">
        <v/>
      </c>
      <c r="J209" s="100" t="str">
        <v/>
      </c>
      <c r="K209" s="100">
        <v>1</v>
      </c>
      <c r="L209" s="100" t="str">
        <v/>
      </c>
      <c r="N209" s="100" t="str">
        <v/>
      </c>
      <c r="O209" s="100">
        <v>1</v>
      </c>
      <c r="P209" s="100" t="str">
        <v/>
      </c>
      <c r="R209" s="100" t="str">
        <v/>
      </c>
      <c r="S209" s="100">
        <v>1</v>
      </c>
      <c r="T209" s="100" t="str">
        <v/>
      </c>
      <c r="V209" s="100" t="str">
        <v/>
      </c>
      <c r="W209" s="100" t="str">
        <v/>
      </c>
      <c r="Y209" s="100" t="str">
        <v/>
      </c>
      <c r="Z209" s="100" t="str">
        <v/>
      </c>
      <c r="AB209" s="100" t="str">
        <v/>
      </c>
      <c r="AC209" s="100" t="str">
        <v/>
      </c>
      <c r="AE209" s="100" t="str">
        <v/>
      </c>
      <c r="AF209" s="100" t="str">
        <v/>
      </c>
    </row>
    <row r="210" spans="2:32">
      <c r="B210" s="100" t="str">
        <v/>
      </c>
      <c r="C210" s="100">
        <v>4</v>
      </c>
      <c r="D210" s="100" t="str">
        <v/>
      </c>
      <c r="F210" s="100" t="str">
        <v/>
      </c>
      <c r="G210" s="100">
        <v>1</v>
      </c>
      <c r="H210" s="100" t="str">
        <v/>
      </c>
      <c r="J210" s="100" t="str">
        <v/>
      </c>
      <c r="K210" s="100">
        <v>1</v>
      </c>
      <c r="L210" s="100" t="str">
        <v/>
      </c>
      <c r="N210" s="100" t="str">
        <v/>
      </c>
      <c r="O210" s="100">
        <v>1</v>
      </c>
      <c r="P210" s="100" t="str">
        <v/>
      </c>
      <c r="R210" s="100" t="str">
        <v/>
      </c>
      <c r="S210" s="100">
        <v>1</v>
      </c>
      <c r="T210" s="100" t="str">
        <v/>
      </c>
      <c r="V210" s="100" t="str">
        <v/>
      </c>
      <c r="W210" s="100" t="str">
        <v/>
      </c>
      <c r="Y210" s="100" t="str">
        <v/>
      </c>
      <c r="Z210" s="100" t="str">
        <v/>
      </c>
      <c r="AB210" s="100" t="str">
        <v/>
      </c>
      <c r="AC210" s="100" t="str">
        <v/>
      </c>
      <c r="AE210" s="100" t="str">
        <v/>
      </c>
      <c r="AF210" s="100" t="str">
        <v/>
      </c>
    </row>
    <row r="211" spans="2:32">
      <c r="B211" s="100" t="str">
        <v/>
      </c>
      <c r="C211" s="100">
        <v>4</v>
      </c>
      <c r="D211" s="100" t="str">
        <v/>
      </c>
      <c r="F211" s="100" t="str">
        <v/>
      </c>
      <c r="G211" s="100">
        <v>1</v>
      </c>
      <c r="H211" s="100" t="str">
        <v/>
      </c>
      <c r="J211" s="100" t="str">
        <v/>
      </c>
      <c r="K211" s="100">
        <v>1</v>
      </c>
      <c r="L211" s="100" t="str">
        <v/>
      </c>
      <c r="N211" s="100" t="str">
        <v/>
      </c>
      <c r="O211" s="100">
        <v>1</v>
      </c>
      <c r="P211" s="100" t="str">
        <v/>
      </c>
      <c r="R211" s="100" t="str">
        <v/>
      </c>
      <c r="S211" s="100">
        <v>1</v>
      </c>
      <c r="T211" s="100" t="str">
        <v/>
      </c>
      <c r="V211" s="100" t="str">
        <v/>
      </c>
      <c r="W211" s="100" t="str">
        <v/>
      </c>
      <c r="Y211" s="100" t="str">
        <v/>
      </c>
      <c r="Z211" s="100" t="str">
        <v/>
      </c>
      <c r="AB211" s="100" t="str">
        <v/>
      </c>
      <c r="AC211" s="100" t="str">
        <v/>
      </c>
      <c r="AE211" s="100" t="str">
        <v/>
      </c>
      <c r="AF211" s="100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sheetPr>
    <tabColor theme="4" tint="0.39997558519241921"/>
  </sheetPr>
  <dimension ref="A1:P60"/>
  <sheetViews>
    <sheetView workbookViewId="0"/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1" t="s">
        <v>106</v>
      </c>
      <c r="D1" s="140" t="s">
        <v>107</v>
      </c>
      <c r="E1" s="132" t="s">
        <v>108</v>
      </c>
      <c r="F1" s="153" t="s">
        <v>142</v>
      </c>
      <c r="G1" s="131" t="s">
        <v>106</v>
      </c>
      <c r="H1" s="140" t="s">
        <v>107</v>
      </c>
      <c r="I1" s="132" t="s">
        <v>108</v>
      </c>
      <c r="J1" s="153" t="s">
        <v>142</v>
      </c>
    </row>
    <row r="2" spans="1:16" ht="16.8" thickBot="1">
      <c r="A2" s="98" t="str" cm="1">
        <f t="array" ref="A2:B60">'Multiplier Weight'!A3:B61</f>
        <v>Lower</v>
      </c>
      <c r="B2" s="98" t="str">
        <v>Upper</v>
      </c>
      <c r="C2" s="98" t="str" cm="1">
        <f t="array" ref="C2:C60">'Multiplier Weight'!M3:M61</f>
        <v>Fixed Weight</v>
      </c>
      <c r="D2" s="98" t="str" cm="1">
        <f t="array" ref="D2:D60">'Multiplier Weight'!M68:M126</f>
        <v>Fixed Weight</v>
      </c>
      <c r="E2" s="98" t="str" cm="1">
        <f t="array" ref="E2:E60">'Multiplier Weight'!M133:M191</f>
        <v>Fixed Weight</v>
      </c>
      <c r="F2" s="98" t="str" cm="1">
        <f t="array" ref="F2:F60">'Multiplier Weight'!M198:M256</f>
        <v>Fixed Weight</v>
      </c>
      <c r="G2" s="98" t="str" cm="1">
        <f t="array" ref="G2:G60">'Multiplier Weight (new_player)'!M3:M61</f>
        <v>Fixed Weight</v>
      </c>
      <c r="H2" s="98" t="str" cm="1">
        <f t="array" ref="H2:H60">'Multiplier Weight (new_player)'!M68:M126</f>
        <v>Fixed Weight</v>
      </c>
      <c r="I2" s="98" t="str" cm="1">
        <f t="array" ref="I2:I60">'Multiplier Weight (new_player)'!M133:M191</f>
        <v>Fixed Weight</v>
      </c>
      <c r="J2" s="98" t="e" cm="1">
        <f t="array" ref="J2">'Multiplier Weight (new_player)'!#REF!</f>
        <v>#REF!</v>
      </c>
      <c r="L2" s="161" t="s">
        <v>181</v>
      </c>
      <c r="M2" s="163"/>
      <c r="N2" s="163"/>
      <c r="O2" s="163"/>
      <c r="P2" s="156"/>
    </row>
    <row r="3" spans="1:16" ht="16.2" thickBot="1">
      <c r="A3" s="8">
        <v>-1</v>
      </c>
      <c r="B3" s="8">
        <v>0</v>
      </c>
      <c r="C3" s="99">
        <v>885913313</v>
      </c>
      <c r="D3" s="99">
        <v>884641100</v>
      </c>
      <c r="E3" s="99">
        <v>110431432</v>
      </c>
      <c r="F3" s="99">
        <v>0</v>
      </c>
      <c r="G3" s="257">
        <v>195166480</v>
      </c>
      <c r="H3" s="257">
        <v>1048252570</v>
      </c>
      <c r="I3" s="257">
        <v>289747728</v>
      </c>
      <c r="J3" s="257"/>
      <c r="L3" s="159"/>
      <c r="M3" s="155" t="s">
        <v>101</v>
      </c>
      <c r="N3" s="163" t="s">
        <v>182</v>
      </c>
      <c r="O3" s="163" t="s">
        <v>183</v>
      </c>
      <c r="P3" s="156" t="s">
        <v>199</v>
      </c>
    </row>
    <row r="4" spans="1:16" ht="16.2">
      <c r="A4" s="8">
        <v>0</v>
      </c>
      <c r="B4" s="8">
        <v>1</v>
      </c>
      <c r="C4" s="100">
        <v>11764624</v>
      </c>
      <c r="D4" s="100">
        <v>4036131</v>
      </c>
      <c r="E4" s="100">
        <v>0</v>
      </c>
      <c r="F4" s="100">
        <v>0</v>
      </c>
      <c r="G4" s="258">
        <v>1221030</v>
      </c>
      <c r="H4" s="258">
        <v>12210300</v>
      </c>
      <c r="I4" s="258">
        <v>0</v>
      </c>
      <c r="J4" s="258"/>
      <c r="L4" s="155" t="s">
        <v>184</v>
      </c>
      <c r="M4" s="155">
        <v>3736664782</v>
      </c>
      <c r="N4" s="163">
        <v>4093759000</v>
      </c>
      <c r="O4" s="163">
        <v>3100258235</v>
      </c>
      <c r="P4" s="156">
        <v>31318315000</v>
      </c>
    </row>
    <row r="5" spans="1:16" ht="16.8" thickBot="1">
      <c r="A5" s="8">
        <v>1</v>
      </c>
      <c r="B5" s="8">
        <v>2</v>
      </c>
      <c r="C5" s="100">
        <v>16365756</v>
      </c>
      <c r="D5" s="100">
        <v>11713167</v>
      </c>
      <c r="E5" s="100">
        <v>0</v>
      </c>
      <c r="F5" s="100">
        <v>0</v>
      </c>
      <c r="G5" s="258">
        <v>1983581</v>
      </c>
      <c r="H5" s="258">
        <v>19835810</v>
      </c>
      <c r="I5" s="258">
        <v>0</v>
      </c>
      <c r="J5" s="258"/>
      <c r="L5" s="159" t="s">
        <v>185</v>
      </c>
      <c r="M5" s="159">
        <v>3731618775</v>
      </c>
      <c r="N5" s="164">
        <v>4085671071</v>
      </c>
      <c r="O5" s="164">
        <v>3139769444</v>
      </c>
      <c r="P5" s="288" t="s">
        <v>207</v>
      </c>
    </row>
    <row r="6" spans="1:16">
      <c r="A6" s="8">
        <v>2</v>
      </c>
      <c r="B6" s="8">
        <v>3</v>
      </c>
      <c r="C6" s="100">
        <v>11623926</v>
      </c>
      <c r="D6" s="100">
        <v>6004218</v>
      </c>
      <c r="E6" s="100">
        <v>0</v>
      </c>
      <c r="F6" s="100">
        <v>0</v>
      </c>
      <c r="G6" s="258">
        <v>1400402</v>
      </c>
      <c r="H6" s="258">
        <v>14004020</v>
      </c>
      <c r="I6" s="258">
        <v>0</v>
      </c>
      <c r="J6" s="258"/>
    </row>
    <row r="7" spans="1:16">
      <c r="A7" s="8">
        <v>3</v>
      </c>
      <c r="B7" s="8">
        <v>4</v>
      </c>
      <c r="C7" s="100">
        <v>12367038</v>
      </c>
      <c r="D7" s="100">
        <v>11078967</v>
      </c>
      <c r="E7" s="100">
        <v>0</v>
      </c>
      <c r="F7" s="100">
        <v>0</v>
      </c>
      <c r="G7" s="258">
        <v>1843384</v>
      </c>
      <c r="H7" s="258">
        <v>15287872</v>
      </c>
      <c r="I7" s="258">
        <v>0</v>
      </c>
      <c r="J7" s="258"/>
    </row>
    <row r="8" spans="1:16">
      <c r="A8" s="8">
        <v>4</v>
      </c>
      <c r="B8" s="8">
        <v>5</v>
      </c>
      <c r="C8" s="100">
        <v>10095520</v>
      </c>
      <c r="D8" s="100">
        <v>10345960</v>
      </c>
      <c r="E8" s="100">
        <v>0</v>
      </c>
      <c r="F8" s="100">
        <v>0</v>
      </c>
      <c r="G8" s="258">
        <v>1261039</v>
      </c>
      <c r="H8" s="258">
        <v>10458267</v>
      </c>
      <c r="I8" s="258">
        <v>0</v>
      </c>
      <c r="J8" s="258"/>
    </row>
    <row r="9" spans="1:16">
      <c r="A9" s="8">
        <v>5</v>
      </c>
      <c r="B9" s="8">
        <v>6</v>
      </c>
      <c r="C9" s="100">
        <v>8063906</v>
      </c>
      <c r="D9" s="100">
        <v>9145346</v>
      </c>
      <c r="E9" s="100">
        <v>0</v>
      </c>
      <c r="F9" s="100">
        <v>0</v>
      </c>
      <c r="G9" s="258">
        <v>1254493</v>
      </c>
      <c r="H9" s="258">
        <v>10403979</v>
      </c>
      <c r="I9" s="258">
        <v>0</v>
      </c>
      <c r="J9" s="258"/>
    </row>
    <row r="10" spans="1:16">
      <c r="A10" s="8">
        <v>6</v>
      </c>
      <c r="B10" s="8">
        <v>7</v>
      </c>
      <c r="C10" s="100">
        <v>1960044</v>
      </c>
      <c r="D10" s="100">
        <v>2087574</v>
      </c>
      <c r="E10" s="100">
        <v>0</v>
      </c>
      <c r="F10" s="100">
        <v>0</v>
      </c>
      <c r="G10" s="258">
        <v>316037</v>
      </c>
      <c r="H10" s="258">
        <v>2621012</v>
      </c>
      <c r="I10" s="258">
        <v>0</v>
      </c>
      <c r="J10" s="258"/>
    </row>
    <row r="11" spans="1:16">
      <c r="A11" s="8">
        <v>7</v>
      </c>
      <c r="B11" s="8">
        <v>8</v>
      </c>
      <c r="C11" s="100">
        <v>8419726</v>
      </c>
      <c r="D11" s="100">
        <v>9519892</v>
      </c>
      <c r="E11" s="100">
        <v>4346920</v>
      </c>
      <c r="F11" s="100">
        <v>0</v>
      </c>
      <c r="G11" s="258">
        <v>3291012</v>
      </c>
      <c r="H11" s="258">
        <v>10917438</v>
      </c>
      <c r="I11" s="258">
        <v>10867300</v>
      </c>
      <c r="J11" s="258"/>
    </row>
    <row r="12" spans="1:16">
      <c r="A12" s="8">
        <v>8</v>
      </c>
      <c r="B12" s="8">
        <v>9</v>
      </c>
      <c r="C12" s="100">
        <v>3082035</v>
      </c>
      <c r="D12" s="100">
        <v>3596097</v>
      </c>
      <c r="E12" s="100">
        <v>0</v>
      </c>
      <c r="F12" s="100">
        <v>0</v>
      </c>
      <c r="G12" s="258">
        <v>717711</v>
      </c>
      <c r="H12" s="258">
        <v>4761798</v>
      </c>
      <c r="I12" s="258">
        <v>0</v>
      </c>
      <c r="J12" s="258"/>
    </row>
    <row r="13" spans="1:16">
      <c r="A13" s="8">
        <v>9</v>
      </c>
      <c r="B13" s="8">
        <v>10</v>
      </c>
      <c r="C13" s="100">
        <v>6201756</v>
      </c>
      <c r="D13" s="100">
        <v>8367532</v>
      </c>
      <c r="E13" s="100">
        <v>3277630</v>
      </c>
      <c r="F13" s="100">
        <v>0</v>
      </c>
      <c r="G13" s="258">
        <v>892300</v>
      </c>
      <c r="H13" s="258">
        <v>5920141</v>
      </c>
      <c r="I13" s="258">
        <v>1638815</v>
      </c>
      <c r="J13" s="258"/>
    </row>
    <row r="14" spans="1:16">
      <c r="A14" s="8">
        <v>10</v>
      </c>
      <c r="B14" s="8">
        <v>15</v>
      </c>
      <c r="C14" s="100">
        <v>9885740</v>
      </c>
      <c r="D14" s="100">
        <v>14606129</v>
      </c>
      <c r="E14" s="100">
        <v>523644</v>
      </c>
      <c r="F14" s="100">
        <v>0</v>
      </c>
      <c r="G14" s="258">
        <v>4477577</v>
      </c>
      <c r="H14" s="258">
        <v>8955155</v>
      </c>
      <c r="I14" s="258">
        <v>1309110</v>
      </c>
      <c r="J14" s="258"/>
    </row>
    <row r="15" spans="1:16">
      <c r="A15" s="8">
        <v>15</v>
      </c>
      <c r="B15" s="8">
        <v>20</v>
      </c>
      <c r="C15" s="100">
        <v>5874476</v>
      </c>
      <c r="D15" s="100">
        <v>9202792</v>
      </c>
      <c r="E15" s="100">
        <v>1800254</v>
      </c>
      <c r="F15" s="100">
        <v>0</v>
      </c>
      <c r="G15" s="258">
        <v>1124732</v>
      </c>
      <c r="H15" s="258">
        <v>22494640</v>
      </c>
      <c r="I15" s="258">
        <v>4500635</v>
      </c>
      <c r="J15" s="258"/>
    </row>
    <row r="16" spans="1:16">
      <c r="A16" s="8">
        <v>20</v>
      </c>
      <c r="B16" s="8">
        <v>25</v>
      </c>
      <c r="C16" s="100">
        <v>2464217</v>
      </c>
      <c r="D16" s="100">
        <v>5141385</v>
      </c>
      <c r="E16" s="100">
        <v>1134864</v>
      </c>
      <c r="F16" s="100">
        <v>0</v>
      </c>
      <c r="G16" s="258">
        <v>1554967</v>
      </c>
      <c r="H16" s="258">
        <v>3109935</v>
      </c>
      <c r="I16" s="258">
        <v>2837160</v>
      </c>
      <c r="J16" s="258"/>
    </row>
    <row r="17" spans="1:10">
      <c r="A17" s="8">
        <v>25</v>
      </c>
      <c r="B17" s="8">
        <v>30</v>
      </c>
      <c r="C17" s="100">
        <v>2137165</v>
      </c>
      <c r="D17" s="100">
        <v>3428356</v>
      </c>
      <c r="E17" s="100">
        <v>900740</v>
      </c>
      <c r="F17" s="100">
        <v>0</v>
      </c>
      <c r="G17" s="258">
        <v>541256</v>
      </c>
      <c r="H17" s="258">
        <v>2165025</v>
      </c>
      <c r="I17" s="258">
        <v>2251850</v>
      </c>
      <c r="J17" s="258"/>
    </row>
    <row r="18" spans="1:10">
      <c r="A18" s="8">
        <v>30</v>
      </c>
      <c r="B18" s="8">
        <v>35</v>
      </c>
      <c r="C18" s="100">
        <v>408530</v>
      </c>
      <c r="D18" s="100">
        <v>615817</v>
      </c>
      <c r="E18" s="100">
        <v>603000</v>
      </c>
      <c r="F18" s="100">
        <v>0</v>
      </c>
      <c r="G18" s="258">
        <v>0</v>
      </c>
      <c r="H18" s="258">
        <v>10710350</v>
      </c>
      <c r="I18" s="258">
        <v>1507500</v>
      </c>
      <c r="J18" s="258"/>
    </row>
    <row r="19" spans="1:10">
      <c r="A19" s="8">
        <v>35</v>
      </c>
      <c r="B19" s="8">
        <v>40</v>
      </c>
      <c r="C19" s="100">
        <v>953627</v>
      </c>
      <c r="D19" s="100">
        <v>2068043</v>
      </c>
      <c r="E19" s="100">
        <v>528645</v>
      </c>
      <c r="F19" s="100">
        <v>0</v>
      </c>
      <c r="G19" s="258">
        <v>0</v>
      </c>
      <c r="H19" s="258">
        <v>1882055</v>
      </c>
      <c r="I19" s="258">
        <v>1057290</v>
      </c>
      <c r="J19" s="258"/>
    </row>
    <row r="20" spans="1:10">
      <c r="A20" s="8">
        <v>40</v>
      </c>
      <c r="B20" s="8">
        <v>45</v>
      </c>
      <c r="C20" s="100">
        <v>221560</v>
      </c>
      <c r="D20" s="100">
        <v>706581</v>
      </c>
      <c r="E20" s="100">
        <v>1123390</v>
      </c>
      <c r="F20" s="100">
        <v>0</v>
      </c>
      <c r="G20" s="258">
        <v>0</v>
      </c>
      <c r="H20" s="258">
        <v>3304020</v>
      </c>
      <c r="I20" s="258">
        <v>1123390</v>
      </c>
      <c r="J20" s="258"/>
    </row>
    <row r="21" spans="1:10">
      <c r="A21" s="8">
        <v>45</v>
      </c>
      <c r="B21" s="8">
        <v>50</v>
      </c>
      <c r="C21" s="100">
        <v>1108012</v>
      </c>
      <c r="D21" s="100">
        <v>1031723</v>
      </c>
      <c r="E21" s="100">
        <v>383111</v>
      </c>
      <c r="F21" s="100">
        <v>0</v>
      </c>
      <c r="G21" s="258">
        <v>0</v>
      </c>
      <c r="H21" s="258">
        <v>0</v>
      </c>
      <c r="I21" s="258">
        <v>766222</v>
      </c>
      <c r="J21" s="258"/>
    </row>
    <row r="22" spans="1:10">
      <c r="A22" s="8">
        <v>50</v>
      </c>
      <c r="B22" s="8">
        <v>60</v>
      </c>
      <c r="C22" s="100">
        <v>432204</v>
      </c>
      <c r="D22" s="100">
        <v>996107</v>
      </c>
      <c r="E22" s="100">
        <v>397975</v>
      </c>
      <c r="F22" s="100">
        <v>57999562</v>
      </c>
      <c r="G22" s="258">
        <v>0</v>
      </c>
      <c r="H22" s="258">
        <v>0</v>
      </c>
      <c r="I22" s="258">
        <v>795950</v>
      </c>
      <c r="J22" s="258"/>
    </row>
    <row r="23" spans="1:10">
      <c r="A23" s="8">
        <v>60</v>
      </c>
      <c r="B23" s="8">
        <v>70</v>
      </c>
      <c r="C23" s="100">
        <v>44452</v>
      </c>
      <c r="D23" s="100">
        <v>114891</v>
      </c>
      <c r="E23" s="100">
        <v>108972</v>
      </c>
      <c r="F23" s="100">
        <v>42150854</v>
      </c>
      <c r="G23" s="258">
        <v>0</v>
      </c>
      <c r="H23" s="258">
        <v>0</v>
      </c>
      <c r="I23" s="258">
        <v>217944</v>
      </c>
      <c r="J23" s="258"/>
    </row>
    <row r="24" spans="1:10">
      <c r="A24" s="8">
        <v>70</v>
      </c>
      <c r="B24" s="8">
        <v>80</v>
      </c>
      <c r="C24" s="100">
        <v>190628</v>
      </c>
      <c r="D24" s="100">
        <v>380366</v>
      </c>
      <c r="E24" s="100">
        <v>203663</v>
      </c>
      <c r="F24" s="100">
        <v>36385840</v>
      </c>
      <c r="G24" s="258">
        <v>0</v>
      </c>
      <c r="H24" s="258">
        <v>0</v>
      </c>
      <c r="I24" s="258">
        <v>1018318</v>
      </c>
      <c r="J24" s="258"/>
    </row>
    <row r="25" spans="1:10">
      <c r="A25" s="8">
        <v>80</v>
      </c>
      <c r="B25" s="8">
        <v>90</v>
      </c>
      <c r="C25" s="100">
        <v>73375</v>
      </c>
      <c r="D25" s="100">
        <v>221740</v>
      </c>
      <c r="E25" s="100">
        <v>1914248</v>
      </c>
      <c r="F25" s="100">
        <v>44133565</v>
      </c>
      <c r="G25" s="258">
        <v>0</v>
      </c>
      <c r="H25" s="258">
        <v>0</v>
      </c>
      <c r="I25" s="258">
        <v>4785620</v>
      </c>
      <c r="J25" s="258"/>
    </row>
    <row r="26" spans="1:10">
      <c r="A26" s="8">
        <v>90</v>
      </c>
      <c r="B26" s="8">
        <v>100</v>
      </c>
      <c r="C26" s="100">
        <v>138440</v>
      </c>
      <c r="D26" s="100">
        <v>372247</v>
      </c>
      <c r="E26" s="100">
        <v>288392</v>
      </c>
      <c r="F26" s="100">
        <v>81534868</v>
      </c>
      <c r="G26" s="258">
        <v>0</v>
      </c>
      <c r="H26" s="258">
        <v>0</v>
      </c>
      <c r="I26" s="258">
        <v>826678</v>
      </c>
      <c r="J26" s="258"/>
    </row>
    <row r="27" spans="1:10">
      <c r="A27" s="8">
        <v>100</v>
      </c>
      <c r="B27" s="8">
        <v>120</v>
      </c>
      <c r="C27" s="100">
        <v>87332</v>
      </c>
      <c r="D27" s="100">
        <v>190719</v>
      </c>
      <c r="E27" s="100">
        <v>79209</v>
      </c>
      <c r="F27" s="100">
        <v>90112979</v>
      </c>
      <c r="G27" s="258">
        <v>0</v>
      </c>
      <c r="H27" s="258">
        <v>0</v>
      </c>
      <c r="I27" s="258">
        <v>662843</v>
      </c>
      <c r="J27" s="258"/>
    </row>
    <row r="28" spans="1:10">
      <c r="A28" s="8">
        <v>120</v>
      </c>
      <c r="B28" s="8">
        <v>140</v>
      </c>
      <c r="C28" s="100">
        <v>21172</v>
      </c>
      <c r="D28" s="100">
        <v>43658</v>
      </c>
      <c r="E28" s="100">
        <v>11245</v>
      </c>
      <c r="F28" s="100">
        <v>47471261</v>
      </c>
      <c r="G28" s="258">
        <v>0</v>
      </c>
      <c r="H28" s="258">
        <v>0</v>
      </c>
      <c r="I28" s="258">
        <v>239708</v>
      </c>
      <c r="J28" s="258"/>
    </row>
    <row r="29" spans="1:10">
      <c r="A29" s="8">
        <v>140</v>
      </c>
      <c r="B29" s="8">
        <v>160</v>
      </c>
      <c r="C29" s="100">
        <v>14257</v>
      </c>
      <c r="D29" s="100">
        <v>141316</v>
      </c>
      <c r="E29" s="100">
        <v>19777</v>
      </c>
      <c r="F29" s="100">
        <v>21651011</v>
      </c>
      <c r="G29" s="258">
        <v>0</v>
      </c>
      <c r="H29" s="258">
        <v>0</v>
      </c>
      <c r="I29" s="258">
        <v>781682</v>
      </c>
      <c r="J29" s="258"/>
    </row>
    <row r="30" spans="1:10">
      <c r="A30" s="8">
        <v>160</v>
      </c>
      <c r="B30" s="8">
        <v>180</v>
      </c>
      <c r="C30" s="100">
        <v>12709</v>
      </c>
      <c r="D30" s="100">
        <v>34467</v>
      </c>
      <c r="E30" s="100">
        <v>658260</v>
      </c>
      <c r="F30" s="100">
        <v>12345605</v>
      </c>
      <c r="G30" s="258">
        <v>0</v>
      </c>
      <c r="H30" s="258">
        <v>0</v>
      </c>
      <c r="I30" s="258">
        <v>2194200</v>
      </c>
      <c r="J30" s="258"/>
    </row>
    <row r="31" spans="1:10">
      <c r="A31" s="8">
        <v>180</v>
      </c>
      <c r="B31" s="8">
        <v>200</v>
      </c>
      <c r="C31" s="100">
        <v>5645</v>
      </c>
      <c r="D31" s="100">
        <v>42509</v>
      </c>
      <c r="E31" s="100">
        <v>10495</v>
      </c>
      <c r="F31" s="100">
        <v>18109825</v>
      </c>
      <c r="G31" s="258">
        <v>0</v>
      </c>
      <c r="H31" s="258">
        <v>0</v>
      </c>
      <c r="I31" s="258">
        <v>786584</v>
      </c>
      <c r="J31" s="258"/>
    </row>
    <row r="32" spans="1:10">
      <c r="A32" s="8">
        <v>200</v>
      </c>
      <c r="B32" s="8">
        <v>250</v>
      </c>
      <c r="C32" s="100">
        <v>6007</v>
      </c>
      <c r="D32" s="100">
        <v>58594</v>
      </c>
      <c r="E32" s="100">
        <v>4061</v>
      </c>
      <c r="F32" s="100">
        <v>7674595</v>
      </c>
      <c r="G32" s="258">
        <v>0</v>
      </c>
      <c r="H32" s="258">
        <v>0</v>
      </c>
      <c r="I32" s="258">
        <v>2187203</v>
      </c>
      <c r="J32" s="258"/>
    </row>
    <row r="33" spans="1:10">
      <c r="A33" s="8">
        <v>250</v>
      </c>
      <c r="B33" s="8">
        <v>300</v>
      </c>
      <c r="C33" s="100">
        <v>707</v>
      </c>
      <c r="D33" s="100">
        <v>22978</v>
      </c>
      <c r="E33" s="100">
        <v>281925</v>
      </c>
      <c r="F33" s="100">
        <v>44518657</v>
      </c>
      <c r="G33" s="258">
        <v>0</v>
      </c>
      <c r="H33" s="258">
        <v>0</v>
      </c>
      <c r="I33" s="258">
        <v>0</v>
      </c>
      <c r="J33" s="258"/>
    </row>
    <row r="34" spans="1:10">
      <c r="A34" s="8">
        <v>300</v>
      </c>
      <c r="B34" s="8">
        <v>350</v>
      </c>
      <c r="C34" s="100">
        <v>355</v>
      </c>
      <c r="D34" s="100">
        <v>2297</v>
      </c>
      <c r="E34" s="100">
        <v>84539</v>
      </c>
      <c r="F34" s="100">
        <v>6689702</v>
      </c>
      <c r="G34" s="258">
        <v>0</v>
      </c>
      <c r="H34" s="258">
        <v>0</v>
      </c>
      <c r="I34" s="258">
        <v>0</v>
      </c>
      <c r="J34" s="258"/>
    </row>
    <row r="35" spans="1:10">
      <c r="A35" s="8">
        <v>350</v>
      </c>
      <c r="B35" s="8">
        <v>400</v>
      </c>
      <c r="C35" s="100">
        <v>0</v>
      </c>
      <c r="D35" s="100">
        <v>1148</v>
      </c>
      <c r="E35" s="100">
        <v>0</v>
      </c>
      <c r="F35" s="100">
        <v>7661696</v>
      </c>
      <c r="G35" s="258">
        <v>0</v>
      </c>
      <c r="H35" s="258">
        <v>0</v>
      </c>
      <c r="I35" s="258">
        <v>0</v>
      </c>
      <c r="J35" s="258"/>
    </row>
    <row r="36" spans="1:10">
      <c r="A36" s="8">
        <v>400</v>
      </c>
      <c r="B36" s="8">
        <v>450</v>
      </c>
      <c r="C36" s="100">
        <v>0</v>
      </c>
      <c r="D36" s="100">
        <v>5744</v>
      </c>
      <c r="E36" s="100">
        <v>109804</v>
      </c>
      <c r="F36" s="100">
        <v>5967499</v>
      </c>
      <c r="G36" s="258">
        <v>0</v>
      </c>
      <c r="H36" s="258">
        <v>0</v>
      </c>
      <c r="I36" s="258">
        <v>0</v>
      </c>
      <c r="J36" s="258"/>
    </row>
    <row r="37" spans="1:10">
      <c r="A37" s="8">
        <v>450</v>
      </c>
      <c r="B37" s="8">
        <v>500</v>
      </c>
      <c r="C37" s="100">
        <v>0</v>
      </c>
      <c r="D37" s="100">
        <v>16084</v>
      </c>
      <c r="E37" s="100">
        <v>0</v>
      </c>
      <c r="F37" s="100">
        <v>7423274</v>
      </c>
      <c r="G37" s="258">
        <v>0</v>
      </c>
      <c r="H37" s="258">
        <v>0</v>
      </c>
      <c r="I37" s="258">
        <v>0</v>
      </c>
      <c r="J37" s="258"/>
    </row>
    <row r="38" spans="1:10">
      <c r="A38" s="8">
        <v>500</v>
      </c>
      <c r="B38" s="8">
        <v>550</v>
      </c>
      <c r="C38" s="100">
        <v>68</v>
      </c>
      <c r="D38" s="100">
        <v>4595</v>
      </c>
      <c r="E38" s="100">
        <v>0</v>
      </c>
      <c r="F38" s="100">
        <v>21398015</v>
      </c>
      <c r="G38" s="258">
        <v>0</v>
      </c>
      <c r="H38" s="258">
        <v>0</v>
      </c>
      <c r="I38" s="258">
        <v>0</v>
      </c>
      <c r="J38" s="258"/>
    </row>
    <row r="39" spans="1:10">
      <c r="A39" s="8">
        <v>550</v>
      </c>
      <c r="B39" s="8">
        <v>600</v>
      </c>
      <c r="C39" s="100">
        <v>0</v>
      </c>
      <c r="D39" s="100">
        <v>0</v>
      </c>
      <c r="E39" s="100">
        <v>0</v>
      </c>
      <c r="F39" s="100">
        <v>11268788</v>
      </c>
      <c r="G39" s="258">
        <v>0</v>
      </c>
      <c r="H39" s="258">
        <v>0</v>
      </c>
      <c r="I39" s="258">
        <v>0</v>
      </c>
      <c r="J39" s="258"/>
    </row>
    <row r="40" spans="1:10">
      <c r="A40" s="8">
        <v>600</v>
      </c>
      <c r="B40" s="8">
        <v>650</v>
      </c>
      <c r="C40" s="100">
        <v>0</v>
      </c>
      <c r="D40" s="100">
        <v>2537</v>
      </c>
      <c r="E40" s="100">
        <v>0</v>
      </c>
      <c r="F40" s="100">
        <v>7443990</v>
      </c>
      <c r="G40" s="258">
        <v>0</v>
      </c>
      <c r="H40" s="258">
        <v>0</v>
      </c>
      <c r="I40" s="258">
        <v>0</v>
      </c>
      <c r="J40" s="258"/>
    </row>
    <row r="41" spans="1:10">
      <c r="A41" s="8">
        <v>650</v>
      </c>
      <c r="B41" s="8">
        <v>700</v>
      </c>
      <c r="C41" s="100">
        <v>0</v>
      </c>
      <c r="D41" s="100">
        <v>0</v>
      </c>
      <c r="E41" s="100">
        <v>0</v>
      </c>
      <c r="F41" s="100">
        <v>3505074</v>
      </c>
      <c r="G41" s="258">
        <v>0</v>
      </c>
      <c r="H41" s="258">
        <v>0</v>
      </c>
      <c r="I41" s="258">
        <v>0</v>
      </c>
      <c r="J41" s="258"/>
    </row>
    <row r="42" spans="1:10">
      <c r="A42" s="8">
        <v>700</v>
      </c>
      <c r="B42" s="8">
        <v>750</v>
      </c>
      <c r="C42" s="100">
        <v>0</v>
      </c>
      <c r="D42" s="100">
        <v>0</v>
      </c>
      <c r="E42" s="100">
        <v>0</v>
      </c>
      <c r="F42" s="100">
        <v>2964605</v>
      </c>
      <c r="G42" s="258">
        <v>0</v>
      </c>
      <c r="H42" s="258">
        <v>0</v>
      </c>
      <c r="I42" s="258">
        <v>0</v>
      </c>
      <c r="J42" s="258"/>
    </row>
    <row r="43" spans="1:10">
      <c r="A43" s="8">
        <v>750</v>
      </c>
      <c r="B43" s="8">
        <v>800</v>
      </c>
      <c r="C43" s="100">
        <v>0</v>
      </c>
      <c r="D43" s="100">
        <v>0</v>
      </c>
      <c r="E43" s="100">
        <v>0</v>
      </c>
      <c r="F43" s="100">
        <v>4875986</v>
      </c>
      <c r="G43" s="258">
        <v>0</v>
      </c>
      <c r="H43" s="258">
        <v>0</v>
      </c>
      <c r="I43" s="258">
        <v>0</v>
      </c>
      <c r="J43" s="258"/>
    </row>
    <row r="44" spans="1:10">
      <c r="A44" s="8">
        <v>800</v>
      </c>
      <c r="B44" s="8">
        <v>850</v>
      </c>
      <c r="C44" s="100">
        <v>0</v>
      </c>
      <c r="D44" s="100">
        <v>0</v>
      </c>
      <c r="E44" s="100">
        <v>37704</v>
      </c>
      <c r="F44" s="100">
        <v>2735567</v>
      </c>
      <c r="G44" s="258">
        <v>0</v>
      </c>
      <c r="H44" s="258">
        <v>0</v>
      </c>
      <c r="I44" s="258">
        <v>0</v>
      </c>
      <c r="J44" s="258"/>
    </row>
    <row r="45" spans="1:10">
      <c r="A45" s="8">
        <v>850</v>
      </c>
      <c r="B45" s="8">
        <v>900</v>
      </c>
      <c r="C45" s="100">
        <v>0</v>
      </c>
      <c r="D45" s="100">
        <v>0</v>
      </c>
      <c r="E45" s="100">
        <v>0</v>
      </c>
      <c r="F45" s="100">
        <v>2658877</v>
      </c>
      <c r="G45" s="258">
        <v>0</v>
      </c>
      <c r="H45" s="258">
        <v>0</v>
      </c>
      <c r="I45" s="258">
        <v>0</v>
      </c>
      <c r="J45" s="258"/>
    </row>
    <row r="46" spans="1:10">
      <c r="A46" s="8">
        <v>900</v>
      </c>
      <c r="B46" s="8">
        <v>950</v>
      </c>
      <c r="C46" s="100">
        <v>0</v>
      </c>
      <c r="D46" s="100">
        <v>0</v>
      </c>
      <c r="E46" s="100">
        <v>0</v>
      </c>
      <c r="F46" s="100">
        <v>2043206</v>
      </c>
      <c r="G46" s="258">
        <v>0</v>
      </c>
      <c r="H46" s="258">
        <v>0</v>
      </c>
      <c r="I46" s="258">
        <v>0</v>
      </c>
      <c r="J46" s="258"/>
    </row>
    <row r="47" spans="1:10">
      <c r="A47" s="8">
        <v>950</v>
      </c>
      <c r="B47" s="8">
        <v>1000</v>
      </c>
      <c r="C47" s="100">
        <v>0</v>
      </c>
      <c r="D47" s="100">
        <v>0</v>
      </c>
      <c r="E47" s="100">
        <v>0</v>
      </c>
      <c r="F47" s="100">
        <v>3729994</v>
      </c>
      <c r="G47" s="258">
        <v>0</v>
      </c>
      <c r="H47" s="258">
        <v>0</v>
      </c>
      <c r="I47" s="258">
        <v>0</v>
      </c>
      <c r="J47" s="258"/>
    </row>
    <row r="48" spans="1:10">
      <c r="A48" s="8">
        <v>1000</v>
      </c>
      <c r="B48" s="8">
        <v>2000</v>
      </c>
      <c r="C48" s="100">
        <v>222</v>
      </c>
      <c r="D48" s="100">
        <v>990</v>
      </c>
      <c r="E48" s="100">
        <v>0</v>
      </c>
      <c r="F48" s="100">
        <v>9275316</v>
      </c>
      <c r="G48" s="258">
        <v>0</v>
      </c>
      <c r="H48" s="258">
        <v>0</v>
      </c>
      <c r="I48" s="258">
        <v>0</v>
      </c>
      <c r="J48" s="258"/>
    </row>
    <row r="49" spans="1:10">
      <c r="A49" s="8">
        <v>2000</v>
      </c>
      <c r="B49" s="8">
        <v>3000</v>
      </c>
      <c r="C49" s="100">
        <v>0</v>
      </c>
      <c r="D49" s="100">
        <v>443</v>
      </c>
      <c r="E49" s="100">
        <v>12723</v>
      </c>
      <c r="F49" s="100">
        <v>962409</v>
      </c>
      <c r="G49" s="258">
        <v>0</v>
      </c>
      <c r="H49" s="258">
        <v>0</v>
      </c>
      <c r="I49" s="258">
        <v>0</v>
      </c>
      <c r="J49" s="258"/>
    </row>
    <row r="50" spans="1:10">
      <c r="A50" s="8">
        <v>3000</v>
      </c>
      <c r="B50" s="8">
        <v>4000</v>
      </c>
      <c r="C50" s="100">
        <v>0</v>
      </c>
      <c r="D50" s="100">
        <v>0</v>
      </c>
      <c r="E50" s="100">
        <v>0</v>
      </c>
      <c r="F50" s="100">
        <v>778371</v>
      </c>
      <c r="G50" s="258">
        <v>0</v>
      </c>
      <c r="H50" s="258">
        <v>0</v>
      </c>
      <c r="I50" s="258">
        <v>0</v>
      </c>
      <c r="J50" s="258"/>
    </row>
    <row r="51" spans="1:10">
      <c r="A51" s="8">
        <v>4000</v>
      </c>
      <c r="B51" s="8">
        <v>5000</v>
      </c>
      <c r="C51" s="100">
        <v>0</v>
      </c>
      <c r="D51" s="100">
        <v>0</v>
      </c>
      <c r="E51" s="100">
        <v>7990</v>
      </c>
      <c r="F51" s="100">
        <v>618883</v>
      </c>
      <c r="G51" s="258">
        <v>0</v>
      </c>
      <c r="H51" s="258">
        <v>0</v>
      </c>
      <c r="I51" s="258">
        <v>0</v>
      </c>
      <c r="J51" s="258"/>
    </row>
    <row r="52" spans="1:10">
      <c r="A52" s="8">
        <v>5000</v>
      </c>
      <c r="B52" s="8">
        <v>6000</v>
      </c>
      <c r="C52" s="100">
        <v>0</v>
      </c>
      <c r="D52" s="100">
        <v>0</v>
      </c>
      <c r="E52" s="100">
        <v>0</v>
      </c>
      <c r="F52" s="100">
        <v>205359</v>
      </c>
      <c r="G52" s="258">
        <v>0</v>
      </c>
      <c r="H52" s="258">
        <v>0</v>
      </c>
      <c r="I52" s="258">
        <v>0</v>
      </c>
      <c r="J52" s="258"/>
    </row>
    <row r="53" spans="1:10">
      <c r="A53" s="8">
        <v>6000</v>
      </c>
      <c r="B53" s="8">
        <v>7000</v>
      </c>
      <c r="C53" s="100">
        <v>0</v>
      </c>
      <c r="D53" s="100">
        <v>0</v>
      </c>
      <c r="E53" s="100">
        <v>0</v>
      </c>
      <c r="F53" s="100">
        <v>194090</v>
      </c>
      <c r="G53" s="258">
        <v>0</v>
      </c>
      <c r="H53" s="258">
        <v>0</v>
      </c>
      <c r="I53" s="258">
        <v>0</v>
      </c>
      <c r="J53" s="258"/>
    </row>
    <row r="54" spans="1:10">
      <c r="A54" s="8">
        <v>7000</v>
      </c>
      <c r="B54" s="8">
        <v>8000</v>
      </c>
      <c r="C54" s="100">
        <v>0</v>
      </c>
      <c r="D54" s="100">
        <v>0</v>
      </c>
      <c r="E54" s="100">
        <v>0</v>
      </c>
      <c r="F54" s="100">
        <v>180923</v>
      </c>
      <c r="G54" s="258">
        <v>0</v>
      </c>
      <c r="H54" s="258">
        <v>0</v>
      </c>
      <c r="I54" s="258">
        <v>0</v>
      </c>
      <c r="J54" s="258"/>
    </row>
    <row r="55" spans="1:10">
      <c r="A55" s="8">
        <v>8000</v>
      </c>
      <c r="B55" s="8">
        <v>9000</v>
      </c>
      <c r="C55" s="100">
        <v>0</v>
      </c>
      <c r="D55" s="100">
        <v>0</v>
      </c>
      <c r="E55" s="100">
        <v>4547</v>
      </c>
      <c r="F55" s="100">
        <v>145740</v>
      </c>
      <c r="G55" s="258">
        <v>0</v>
      </c>
      <c r="H55" s="258">
        <v>0</v>
      </c>
      <c r="I55" s="258">
        <v>0</v>
      </c>
      <c r="J55" s="258"/>
    </row>
    <row r="56" spans="1:10">
      <c r="A56" s="8">
        <v>9000</v>
      </c>
      <c r="B56" s="8">
        <v>10000</v>
      </c>
      <c r="C56" s="100">
        <v>0</v>
      </c>
      <c r="D56" s="100">
        <v>0</v>
      </c>
      <c r="E56" s="100">
        <v>0</v>
      </c>
      <c r="F56" s="100">
        <v>46102</v>
      </c>
      <c r="G56" s="258">
        <v>0</v>
      </c>
      <c r="H56" s="258">
        <v>0</v>
      </c>
      <c r="I56" s="258">
        <v>0</v>
      </c>
      <c r="J56" s="258"/>
    </row>
    <row r="57" spans="1:10">
      <c r="A57" s="8">
        <v>10000</v>
      </c>
      <c r="B57" s="8">
        <v>20000</v>
      </c>
      <c r="C57" s="100">
        <v>0</v>
      </c>
      <c r="D57" s="100">
        <v>0</v>
      </c>
      <c r="E57" s="100">
        <v>774</v>
      </c>
      <c r="F57" s="100">
        <v>120645</v>
      </c>
      <c r="G57" s="258">
        <v>0</v>
      </c>
      <c r="H57" s="258">
        <v>0</v>
      </c>
      <c r="I57" s="258">
        <v>0</v>
      </c>
      <c r="J57" s="258"/>
    </row>
    <row r="58" spans="1:10">
      <c r="A58" s="8">
        <v>20000</v>
      </c>
      <c r="B58" s="8">
        <v>30000</v>
      </c>
      <c r="C58" s="100">
        <v>0</v>
      </c>
      <c r="D58" s="100">
        <v>0</v>
      </c>
      <c r="E58" s="100">
        <v>0</v>
      </c>
      <c r="F58" s="100">
        <v>0</v>
      </c>
      <c r="G58" s="258">
        <v>0</v>
      </c>
      <c r="H58" s="258">
        <v>0</v>
      </c>
      <c r="I58" s="258">
        <v>0</v>
      </c>
      <c r="J58" s="258"/>
    </row>
    <row r="59" spans="1:10">
      <c r="A59" s="8">
        <v>30000</v>
      </c>
      <c r="B59" s="8">
        <v>100000</v>
      </c>
      <c r="C59" s="100">
        <v>0</v>
      </c>
      <c r="D59" s="100">
        <v>0</v>
      </c>
      <c r="E59" s="100">
        <v>0</v>
      </c>
      <c r="F59" s="100">
        <v>0</v>
      </c>
      <c r="G59" s="258">
        <v>0</v>
      </c>
      <c r="H59" s="258">
        <v>0</v>
      </c>
      <c r="I59" s="258">
        <v>0</v>
      </c>
      <c r="J59" s="258"/>
    </row>
    <row r="60" spans="1:10">
      <c r="A60" s="8">
        <v>100000</v>
      </c>
      <c r="B60" s="8">
        <v>999999</v>
      </c>
      <c r="C60" s="100">
        <v>0</v>
      </c>
      <c r="D60" s="100">
        <v>0</v>
      </c>
      <c r="E60" s="100">
        <v>0</v>
      </c>
      <c r="F60" s="100">
        <v>0</v>
      </c>
      <c r="G60" s="258">
        <v>0</v>
      </c>
      <c r="H60" s="258">
        <v>0</v>
      </c>
      <c r="I60" s="258">
        <v>0</v>
      </c>
      <c r="J60" s="25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workbookViewId="0">
      <selection sqref="A1:F1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5" t="s">
        <v>126</v>
      </c>
      <c r="B1" s="325"/>
      <c r="C1" s="325"/>
      <c r="D1" s="325"/>
      <c r="E1" s="325"/>
      <c r="F1" s="325"/>
      <c r="G1" s="1"/>
      <c r="H1" s="325" t="s">
        <v>127</v>
      </c>
      <c r="I1" s="325"/>
      <c r="J1" s="325"/>
      <c r="K1" s="325"/>
      <c r="L1" s="325"/>
      <c r="M1" s="325"/>
      <c r="N1" s="1"/>
      <c r="O1" s="325" t="s">
        <v>128</v>
      </c>
      <c r="P1" s="325"/>
      <c r="Q1" s="325"/>
      <c r="R1" s="325"/>
      <c r="S1" s="325"/>
      <c r="T1" s="325"/>
      <c r="U1" s="1"/>
      <c r="V1" s="22" t="s">
        <v>11</v>
      </c>
      <c r="W1" s="1"/>
      <c r="X1" s="1"/>
      <c r="Y1" s="1"/>
      <c r="Z1" s="1"/>
      <c r="AA1" s="131" t="s">
        <v>129</v>
      </c>
      <c r="AB1" s="142"/>
      <c r="AC1" s="142"/>
      <c r="AD1" s="1"/>
      <c r="AE1" s="131" t="s">
        <v>131</v>
      </c>
      <c r="AF1" s="142"/>
      <c r="AG1" s="142"/>
      <c r="AH1" s="1"/>
      <c r="AI1" s="131" t="s">
        <v>130</v>
      </c>
      <c r="AJ1" s="142"/>
      <c r="AK1" s="142"/>
      <c r="AL1" s="1"/>
      <c r="AM1" s="140" t="s">
        <v>133</v>
      </c>
      <c r="AN1" s="143"/>
      <c r="AO1" s="143"/>
      <c r="AP1" s="1"/>
      <c r="AQ1" s="140" t="s">
        <v>134</v>
      </c>
      <c r="AR1" s="143"/>
      <c r="AS1" s="143"/>
      <c r="AT1" s="1"/>
      <c r="AU1" s="140" t="s">
        <v>135</v>
      </c>
      <c r="AV1" s="143"/>
      <c r="AW1" s="143"/>
      <c r="AX1" s="1"/>
      <c r="AY1" s="132" t="s">
        <v>136</v>
      </c>
      <c r="AZ1" s="144"/>
      <c r="BA1" s="144"/>
      <c r="BB1" s="1"/>
      <c r="BC1" s="132" t="s">
        <v>137</v>
      </c>
      <c r="BD1" s="144"/>
      <c r="BE1" s="144"/>
      <c r="BF1" s="1"/>
      <c r="BG1" s="132" t="s">
        <v>138</v>
      </c>
      <c r="BH1" s="144"/>
      <c r="BI1" s="144"/>
      <c r="BJ1" s="1"/>
      <c r="BK1" s="153" t="s">
        <v>139</v>
      </c>
      <c r="BL1" s="154"/>
      <c r="BM1" s="154"/>
      <c r="BN1" s="1"/>
      <c r="BO1" s="153" t="s">
        <v>140</v>
      </c>
      <c r="BP1" s="154"/>
      <c r="BQ1" s="154"/>
      <c r="BR1" s="1"/>
      <c r="BS1" s="153" t="s">
        <v>141</v>
      </c>
      <c r="BT1" s="154"/>
      <c r="BU1" s="154"/>
      <c r="BV1" s="1"/>
      <c r="BW1" s="21" t="s">
        <v>29</v>
      </c>
      <c r="BX1" s="26"/>
      <c r="BY1" s="26"/>
      <c r="CA1" s="2" t="s">
        <v>60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</v>
      </c>
      <c r="BL3" s="29">
        <v>1</v>
      </c>
      <c r="BM3" s="29">
        <v>1</v>
      </c>
      <c r="BN3" s="65"/>
      <c r="BO3" s="29">
        <f ca="1">OFFSET(BK$2,COUNTA(BK$3:BK$211),0)</f>
        <v>1</v>
      </c>
      <c r="BP3" s="29">
        <f t="shared" ref="BP3" ca="1" si="11">OFFSET(BL$2,COUNTA(BL$3:BL$211),0)</f>
        <v>1</v>
      </c>
      <c r="BQ3" s="29">
        <f t="shared" ref="BQ3" ca="1" si="12">OFFSET(BM$2,COUNTA(BM$3:BM$211),0)</f>
        <v>1</v>
      </c>
      <c r="BR3" s="65"/>
      <c r="BS3" s="29">
        <f ca="1">OFFSET(BK$2,COUNTA(BK$3:BK$211)-1,0)</f>
        <v>1</v>
      </c>
      <c r="BT3" s="29">
        <f t="shared" ref="BT3" ca="1" si="13">OFFSET(BL$2,COUNTA(BL$3:BL$211)-1,0)</f>
        <v>1</v>
      </c>
      <c r="BU3" s="29">
        <f t="shared" ref="BU3" ca="1" si="14">OFFSET(BM$2,COUNTA(BM$3:BM$211)-1,0)</f>
        <v>1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5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2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2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1</v>
      </c>
      <c r="BL4" s="29">
        <v>1</v>
      </c>
      <c r="BM4" s="29">
        <v>1</v>
      </c>
      <c r="BN4" s="65"/>
      <c r="BO4" s="29">
        <f>IF(BK3="","",BK3)</f>
        <v>1</v>
      </c>
      <c r="BP4" s="29">
        <f t="shared" ref="BP4:BP67" si="37">IF(BL3="","",BL3)</f>
        <v>1</v>
      </c>
      <c r="BQ4" s="29">
        <f t="shared" ref="BQ4:BQ67" si="38">IF(BM3="","",BM3)</f>
        <v>1</v>
      </c>
      <c r="BR4" s="65"/>
      <c r="BS4" s="29">
        <f ca="1">OFFSET(BK$2,COUNTA(BK$3:BK$211),0)</f>
        <v>1</v>
      </c>
      <c r="BT4" s="29">
        <f t="shared" ref="BT4" ca="1" si="39">OFFSET(BL$2,COUNTA(BL$3:BL$211),0)</f>
        <v>1</v>
      </c>
      <c r="BU4" s="29">
        <f t="shared" ref="BU4" ca="1" si="40">OFFSET(BM$2,COUNTA(BM$3:BM$211),0)</f>
        <v>1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1</v>
      </c>
      <c r="BL5" s="29">
        <v>1</v>
      </c>
      <c r="BM5" s="29">
        <v>1</v>
      </c>
      <c r="BN5" s="65"/>
      <c r="BO5" s="29">
        <f t="shared" ref="BO5:BO68" si="51">IF(BK4="","",BK4)</f>
        <v>1</v>
      </c>
      <c r="BP5" s="29">
        <f t="shared" si="37"/>
        <v>1</v>
      </c>
      <c r="BQ5" s="29">
        <f t="shared" si="38"/>
        <v>1</v>
      </c>
      <c r="BR5" s="65"/>
      <c r="BS5" s="29">
        <f>IF(BK3="","",BK3)</f>
        <v>1</v>
      </c>
      <c r="BT5" s="29">
        <f t="shared" ref="BT5:BT68" si="52">IF(BL3="","",BL3)</f>
        <v>1</v>
      </c>
      <c r="BU5" s="29">
        <f t="shared" ref="BU5:BU68" si="53">IF(BM3="","",BM3)</f>
        <v>1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81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1</v>
      </c>
      <c r="BL6" s="29">
        <v>1</v>
      </c>
      <c r="BM6" s="29">
        <v>1</v>
      </c>
      <c r="BN6" s="65"/>
      <c r="BO6" s="29">
        <f t="shared" si="51"/>
        <v>1</v>
      </c>
      <c r="BP6" s="29">
        <f t="shared" si="37"/>
        <v>1</v>
      </c>
      <c r="BQ6" s="29">
        <f t="shared" si="38"/>
        <v>1</v>
      </c>
      <c r="BR6" s="65"/>
      <c r="BS6" s="29">
        <f t="shared" ref="BS6:BS69" si="59">IF(BK4="","",BK4)</f>
        <v>1</v>
      </c>
      <c r="BT6" s="29">
        <f t="shared" si="52"/>
        <v>1</v>
      </c>
      <c r="BU6" s="29">
        <f t="shared" si="53"/>
        <v>1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81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1</v>
      </c>
      <c r="BL7" s="29">
        <v>1</v>
      </c>
      <c r="BM7" s="29">
        <v>1</v>
      </c>
      <c r="BN7" s="65"/>
      <c r="BO7" s="29">
        <f t="shared" si="51"/>
        <v>1</v>
      </c>
      <c r="BP7" s="29">
        <f t="shared" si="37"/>
        <v>1</v>
      </c>
      <c r="BQ7" s="29">
        <f t="shared" si="38"/>
        <v>1</v>
      </c>
      <c r="BR7" s="65"/>
      <c r="BS7" s="29">
        <f t="shared" si="59"/>
        <v>1</v>
      </c>
      <c r="BT7" s="29">
        <f t="shared" si="52"/>
        <v>1</v>
      </c>
      <c r="BU7" s="29">
        <f t="shared" si="53"/>
        <v>1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78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1</v>
      </c>
      <c r="BL8" s="29">
        <v>1</v>
      </c>
      <c r="BM8" s="29">
        <v>1</v>
      </c>
      <c r="BN8" s="65"/>
      <c r="BO8" s="29">
        <f t="shared" si="51"/>
        <v>1</v>
      </c>
      <c r="BP8" s="29">
        <f t="shared" si="37"/>
        <v>1</v>
      </c>
      <c r="BQ8" s="29">
        <f t="shared" si="38"/>
        <v>1</v>
      </c>
      <c r="BR8" s="65"/>
      <c r="BS8" s="29">
        <f t="shared" si="59"/>
        <v>1</v>
      </c>
      <c r="BT8" s="29">
        <f t="shared" si="52"/>
        <v>1</v>
      </c>
      <c r="BU8" s="29">
        <f t="shared" si="53"/>
        <v>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78</v>
      </c>
      <c r="X9" s="29" t="s">
        <v>78</v>
      </c>
      <c r="Y9" s="29" t="s">
        <v>78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</v>
      </c>
      <c r="BL9" s="29">
        <v>1</v>
      </c>
      <c r="BM9" s="29">
        <v>1</v>
      </c>
      <c r="BN9" s="65"/>
      <c r="BO9" s="29">
        <f t="shared" si="51"/>
        <v>1</v>
      </c>
      <c r="BP9" s="29">
        <f t="shared" si="37"/>
        <v>1</v>
      </c>
      <c r="BQ9" s="29">
        <f t="shared" si="38"/>
        <v>1</v>
      </c>
      <c r="BR9" s="65"/>
      <c r="BS9" s="29">
        <f t="shared" si="59"/>
        <v>1</v>
      </c>
      <c r="BT9" s="29">
        <f t="shared" si="52"/>
        <v>1</v>
      </c>
      <c r="BU9" s="29">
        <f t="shared" si="53"/>
        <v>1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78</v>
      </c>
      <c r="X10" s="29" t="s">
        <v>78</v>
      </c>
      <c r="Y10" s="29" t="s">
        <v>78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</v>
      </c>
      <c r="BL10" s="29">
        <v>1</v>
      </c>
      <c r="BM10" s="29">
        <v>1</v>
      </c>
      <c r="BN10" s="65"/>
      <c r="BO10" s="29">
        <f t="shared" si="51"/>
        <v>1</v>
      </c>
      <c r="BP10" s="29">
        <f t="shared" si="37"/>
        <v>1</v>
      </c>
      <c r="BQ10" s="29">
        <f t="shared" si="38"/>
        <v>1</v>
      </c>
      <c r="BR10" s="65"/>
      <c r="BS10" s="29">
        <f t="shared" si="59"/>
        <v>1</v>
      </c>
      <c r="BT10" s="29">
        <f t="shared" si="52"/>
        <v>1</v>
      </c>
      <c r="BU10" s="29">
        <f t="shared" si="53"/>
        <v>1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78</v>
      </c>
      <c r="X11" s="29" t="s">
        <v>17</v>
      </c>
      <c r="Y11" s="29" t="s">
        <v>78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</v>
      </c>
      <c r="BL11" s="29">
        <v>1</v>
      </c>
      <c r="BM11" s="29">
        <v>1</v>
      </c>
      <c r="BN11" s="65"/>
      <c r="BO11" s="29">
        <f t="shared" si="51"/>
        <v>1</v>
      </c>
      <c r="BP11" s="29">
        <f t="shared" si="37"/>
        <v>1</v>
      </c>
      <c r="BQ11" s="29">
        <f t="shared" si="38"/>
        <v>1</v>
      </c>
      <c r="BR11" s="65"/>
      <c r="BS11" s="29">
        <f t="shared" si="59"/>
        <v>1</v>
      </c>
      <c r="BT11" s="29">
        <f t="shared" si="52"/>
        <v>1</v>
      </c>
      <c r="BU11" s="29">
        <f t="shared" si="53"/>
        <v>1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</v>
      </c>
      <c r="BL12" s="29">
        <v>1</v>
      </c>
      <c r="BM12" s="29">
        <v>1</v>
      </c>
      <c r="BN12" s="65"/>
      <c r="BO12" s="29">
        <f t="shared" si="51"/>
        <v>1</v>
      </c>
      <c r="BP12" s="29">
        <f t="shared" si="37"/>
        <v>1</v>
      </c>
      <c r="BQ12" s="29">
        <f t="shared" si="38"/>
        <v>1</v>
      </c>
      <c r="BR12" s="65"/>
      <c r="BS12" s="29">
        <f t="shared" si="59"/>
        <v>1</v>
      </c>
      <c r="BT12" s="29">
        <f t="shared" si="52"/>
        <v>1</v>
      </c>
      <c r="BU12" s="29">
        <f t="shared" si="53"/>
        <v>1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</v>
      </c>
      <c r="BL13" s="29">
        <v>1</v>
      </c>
      <c r="BM13" s="29">
        <v>1</v>
      </c>
      <c r="BN13" s="65"/>
      <c r="BO13" s="29">
        <f t="shared" si="51"/>
        <v>1</v>
      </c>
      <c r="BP13" s="29">
        <f t="shared" si="37"/>
        <v>1</v>
      </c>
      <c r="BQ13" s="29">
        <f t="shared" si="38"/>
        <v>1</v>
      </c>
      <c r="BR13" s="65"/>
      <c r="BS13" s="29">
        <f t="shared" si="59"/>
        <v>1</v>
      </c>
      <c r="BT13" s="29">
        <f t="shared" si="52"/>
        <v>1</v>
      </c>
      <c r="BU13" s="29">
        <f t="shared" si="53"/>
        <v>1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5"/>
      <c r="C14" s="105">
        <f>SUM(C3:C13)</f>
        <v>123</v>
      </c>
      <c r="D14" s="105">
        <f>SUM(D3:D13)</f>
        <v>209</v>
      </c>
      <c r="E14" s="105">
        <f>SUM(E3:E13)</f>
        <v>203</v>
      </c>
      <c r="F14" s="105"/>
      <c r="H14" s="60" t="s">
        <v>10</v>
      </c>
      <c r="I14" s="152"/>
      <c r="J14" s="152">
        <f ca="1">SUM(J3:J13)</f>
        <v>123</v>
      </c>
      <c r="K14" s="152">
        <f ca="1">SUM(K3:K13)</f>
        <v>209</v>
      </c>
      <c r="L14" s="152">
        <f ca="1">SUM(L3:L13)</f>
        <v>203</v>
      </c>
      <c r="M14" s="152"/>
      <c r="O14" s="60" t="s">
        <v>10</v>
      </c>
      <c r="P14" s="152"/>
      <c r="Q14" s="152">
        <f ca="1">SUM(Q3:Q13)</f>
        <v>123</v>
      </c>
      <c r="R14" s="152">
        <f ca="1">SUM(R3:R13)</f>
        <v>209</v>
      </c>
      <c r="S14" s="152">
        <f ca="1">SUM(S3:S13)</f>
        <v>203</v>
      </c>
      <c r="T14" s="152"/>
      <c r="V14" s="27">
        <v>11</v>
      </c>
      <c r="W14" s="29" t="s">
        <v>79</v>
      </c>
      <c r="X14" s="29" t="s">
        <v>79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</v>
      </c>
      <c r="BL14" s="29">
        <v>1</v>
      </c>
      <c r="BM14" s="29">
        <v>1</v>
      </c>
      <c r="BN14" s="65"/>
      <c r="BO14" s="29">
        <f t="shared" si="51"/>
        <v>1</v>
      </c>
      <c r="BP14" s="29">
        <f t="shared" si="37"/>
        <v>1</v>
      </c>
      <c r="BQ14" s="29">
        <f t="shared" si="38"/>
        <v>1</v>
      </c>
      <c r="BR14" s="65"/>
      <c r="BS14" s="29">
        <f t="shared" si="59"/>
        <v>1</v>
      </c>
      <c r="BT14" s="29">
        <f t="shared" si="52"/>
        <v>1</v>
      </c>
      <c r="BU14" s="29">
        <f t="shared" si="53"/>
        <v>1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79</v>
      </c>
      <c r="X15" s="29" t="s">
        <v>79</v>
      </c>
      <c r="Y15" s="29" t="s">
        <v>79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</v>
      </c>
      <c r="BL15" s="29">
        <v>1</v>
      </c>
      <c r="BM15" s="29">
        <v>1</v>
      </c>
      <c r="BN15" s="65"/>
      <c r="BO15" s="29">
        <f t="shared" si="51"/>
        <v>1</v>
      </c>
      <c r="BP15" s="29">
        <f t="shared" si="37"/>
        <v>1</v>
      </c>
      <c r="BQ15" s="29">
        <f t="shared" si="38"/>
        <v>1</v>
      </c>
      <c r="BR15" s="65"/>
      <c r="BS15" s="29">
        <f t="shared" si="59"/>
        <v>1</v>
      </c>
      <c r="BT15" s="29">
        <f t="shared" si="52"/>
        <v>1</v>
      </c>
      <c r="BU15" s="29">
        <f t="shared" si="53"/>
        <v>1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79</v>
      </c>
      <c r="Y16" s="29" t="s">
        <v>79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</v>
      </c>
      <c r="BL16" s="29">
        <v>1</v>
      </c>
      <c r="BM16" s="29">
        <v>1</v>
      </c>
      <c r="BN16" s="65"/>
      <c r="BO16" s="29">
        <f t="shared" si="51"/>
        <v>1</v>
      </c>
      <c r="BP16" s="29">
        <f t="shared" si="37"/>
        <v>1</v>
      </c>
      <c r="BQ16" s="29">
        <f t="shared" si="38"/>
        <v>1</v>
      </c>
      <c r="BR16" s="65"/>
      <c r="BS16" s="29">
        <f t="shared" si="59"/>
        <v>1</v>
      </c>
      <c r="BT16" s="29">
        <f t="shared" si="52"/>
        <v>1</v>
      </c>
      <c r="BU16" s="29">
        <f t="shared" si="53"/>
        <v>1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78</v>
      </c>
      <c r="Y17" s="29" t="s">
        <v>79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</v>
      </c>
      <c r="BL17" s="29">
        <v>1</v>
      </c>
      <c r="BM17" s="29">
        <v>1</v>
      </c>
      <c r="BN17" s="65"/>
      <c r="BO17" s="29">
        <f t="shared" si="51"/>
        <v>1</v>
      </c>
      <c r="BP17" s="29">
        <f t="shared" si="37"/>
        <v>1</v>
      </c>
      <c r="BQ17" s="29">
        <f t="shared" si="38"/>
        <v>1</v>
      </c>
      <c r="BR17" s="65"/>
      <c r="BS17" s="29">
        <f t="shared" si="59"/>
        <v>1</v>
      </c>
      <c r="BT17" s="29">
        <f t="shared" si="52"/>
        <v>1</v>
      </c>
      <c r="BU17" s="29">
        <f t="shared" si="53"/>
        <v>1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5">
        <f>SUM(C3:C13)</f>
        <v>123</v>
      </c>
      <c r="D18" s="105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2">
        <f ca="1">SUM(J3:J13)</f>
        <v>123</v>
      </c>
      <c r="K18" s="152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2">
        <f ca="1">SUM(Q3:Q13)</f>
        <v>123</v>
      </c>
      <c r="R18" s="152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78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</v>
      </c>
      <c r="BL18" s="29">
        <v>1</v>
      </c>
      <c r="BM18" s="29">
        <v>1</v>
      </c>
      <c r="BN18" s="65"/>
      <c r="BO18" s="29">
        <f t="shared" si="51"/>
        <v>1</v>
      </c>
      <c r="BP18" s="29">
        <f t="shared" si="37"/>
        <v>1</v>
      </c>
      <c r="BQ18" s="29">
        <f t="shared" si="38"/>
        <v>1</v>
      </c>
      <c r="BR18" s="65"/>
      <c r="BS18" s="29">
        <f t="shared" si="59"/>
        <v>1</v>
      </c>
      <c r="BT18" s="29">
        <f t="shared" si="52"/>
        <v>1</v>
      </c>
      <c r="BU18" s="29">
        <f t="shared" si="53"/>
        <v>1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5">
        <f>C$3+C$4</f>
        <v>23</v>
      </c>
      <c r="D19" s="105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2">
        <f>J$3+J$4</f>
        <v>23</v>
      </c>
      <c r="K19" s="152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2">
        <f>Q$3+Q$4</f>
        <v>23</v>
      </c>
      <c r="R19" s="152">
        <f ca="1">R$3+R$4</f>
        <v>45</v>
      </c>
      <c r="S19" s="84">
        <f ca="1">S$3+S$4</f>
        <v>44</v>
      </c>
      <c r="T19" s="69"/>
      <c r="V19" s="27">
        <v>16</v>
      </c>
      <c r="W19" s="29" t="s">
        <v>81</v>
      </c>
      <c r="X19" s="29" t="s">
        <v>78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</v>
      </c>
      <c r="BL19" s="29">
        <v>1</v>
      </c>
      <c r="BM19" s="29">
        <v>1</v>
      </c>
      <c r="BN19" s="65"/>
      <c r="BO19" s="29">
        <f t="shared" si="51"/>
        <v>1</v>
      </c>
      <c r="BP19" s="29">
        <f t="shared" si="37"/>
        <v>1</v>
      </c>
      <c r="BQ19" s="29">
        <f t="shared" si="38"/>
        <v>1</v>
      </c>
      <c r="BR19" s="65"/>
      <c r="BS19" s="29">
        <f t="shared" si="59"/>
        <v>1</v>
      </c>
      <c r="BT19" s="29">
        <f t="shared" si="52"/>
        <v>1</v>
      </c>
      <c r="BU19" s="29">
        <f t="shared" si="53"/>
        <v>1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5">
        <f>C$3+C$5</f>
        <v>22</v>
      </c>
      <c r="D20" s="105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2">
        <f>J$3+J$5</f>
        <v>22</v>
      </c>
      <c r="K20" s="152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2">
        <f>Q$3+Q$5</f>
        <v>22</v>
      </c>
      <c r="R20" s="152">
        <f ca="1">R$3+R$5</f>
        <v>47</v>
      </c>
      <c r="S20" s="84">
        <f>S$3+S$5</f>
        <v>48</v>
      </c>
      <c r="T20" s="69"/>
      <c r="V20" s="27">
        <v>17</v>
      </c>
      <c r="W20" s="29" t="s">
        <v>81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</v>
      </c>
      <c r="BL20" s="29">
        <v>1</v>
      </c>
      <c r="BM20" s="29">
        <v>1</v>
      </c>
      <c r="BN20" s="65"/>
      <c r="BO20" s="29">
        <f t="shared" si="51"/>
        <v>1</v>
      </c>
      <c r="BP20" s="29">
        <f t="shared" si="37"/>
        <v>1</v>
      </c>
      <c r="BQ20" s="29">
        <f t="shared" si="38"/>
        <v>1</v>
      </c>
      <c r="BR20" s="65"/>
      <c r="BS20" s="29">
        <f t="shared" si="59"/>
        <v>1</v>
      </c>
      <c r="BT20" s="29">
        <f t="shared" si="52"/>
        <v>1</v>
      </c>
      <c r="BU20" s="29">
        <f t="shared" si="53"/>
        <v>1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5">
        <f>C$3+C$6</f>
        <v>23</v>
      </c>
      <c r="D21" s="105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2">
        <f>J$3+J$6</f>
        <v>23</v>
      </c>
      <c r="K21" s="152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2">
        <f>Q$3+Q$6</f>
        <v>23</v>
      </c>
      <c r="R21" s="152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</v>
      </c>
      <c r="BL21" s="29">
        <v>1</v>
      </c>
      <c r="BM21" s="29">
        <v>1</v>
      </c>
      <c r="BN21" s="65"/>
      <c r="BO21" s="29">
        <f t="shared" si="51"/>
        <v>1</v>
      </c>
      <c r="BP21" s="29">
        <f t="shared" si="37"/>
        <v>1</v>
      </c>
      <c r="BQ21" s="29">
        <f t="shared" si="38"/>
        <v>1</v>
      </c>
      <c r="BR21" s="65"/>
      <c r="BS21" s="29">
        <f t="shared" si="59"/>
        <v>1</v>
      </c>
      <c r="BT21" s="29">
        <f t="shared" si="52"/>
        <v>1</v>
      </c>
      <c r="BU21" s="29">
        <f t="shared" si="53"/>
        <v>1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5">
        <f>C$3+C$7</f>
        <v>27</v>
      </c>
      <c r="D22" s="105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2">
        <f>J$3+J$7</f>
        <v>27</v>
      </c>
      <c r="K22" s="152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2">
        <f>Q$3+Q$7</f>
        <v>27</v>
      </c>
      <c r="R22" s="152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</v>
      </c>
      <c r="BL22" s="29">
        <v>1</v>
      </c>
      <c r="BM22" s="29">
        <v>1</v>
      </c>
      <c r="BN22" s="65"/>
      <c r="BO22" s="29">
        <f t="shared" si="51"/>
        <v>1</v>
      </c>
      <c r="BP22" s="29">
        <f t="shared" si="37"/>
        <v>1</v>
      </c>
      <c r="BQ22" s="29">
        <f t="shared" si="38"/>
        <v>1</v>
      </c>
      <c r="BR22" s="65"/>
      <c r="BS22" s="29">
        <f t="shared" si="59"/>
        <v>1</v>
      </c>
      <c r="BT22" s="29">
        <f t="shared" si="52"/>
        <v>1</v>
      </c>
      <c r="BU22" s="29">
        <f t="shared" si="53"/>
        <v>1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5">
        <f>C$3+C$8</f>
        <v>28</v>
      </c>
      <c r="D23" s="105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2">
        <f>J$3+J$8</f>
        <v>28</v>
      </c>
      <c r="K23" s="152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2">
        <f ca="1">Q$3+Q$8</f>
        <v>28</v>
      </c>
      <c r="R23" s="152">
        <f ca="1">R$3+R$8</f>
        <v>49</v>
      </c>
      <c r="S23" s="84">
        <f>S$3+S$8</f>
        <v>48</v>
      </c>
      <c r="T23" s="69"/>
      <c r="V23" s="27">
        <v>20</v>
      </c>
      <c r="W23" s="29" t="s">
        <v>78</v>
      </c>
      <c r="X23" s="29" t="s">
        <v>78</v>
      </c>
      <c r="Y23" s="29" t="s">
        <v>80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</v>
      </c>
      <c r="BL23" s="29">
        <v>1</v>
      </c>
      <c r="BM23" s="29">
        <v>1</v>
      </c>
      <c r="BN23" s="65"/>
      <c r="BO23" s="29">
        <f t="shared" si="51"/>
        <v>1</v>
      </c>
      <c r="BP23" s="29">
        <f t="shared" si="37"/>
        <v>1</v>
      </c>
      <c r="BQ23" s="29">
        <f t="shared" si="38"/>
        <v>1</v>
      </c>
      <c r="BR23" s="65"/>
      <c r="BS23" s="29">
        <f t="shared" si="59"/>
        <v>1</v>
      </c>
      <c r="BT23" s="29">
        <f t="shared" si="52"/>
        <v>1</v>
      </c>
      <c r="BU23" s="29">
        <f t="shared" si="53"/>
        <v>1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5">
        <f>C$3+C$9</f>
        <v>26</v>
      </c>
      <c r="D24" s="105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2">
        <f>J$3+J$9</f>
        <v>26</v>
      </c>
      <c r="K24" s="152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2">
        <f>Q$3+Q$9</f>
        <v>26</v>
      </c>
      <c r="R24" s="152">
        <f ca="1">R$3+R$9</f>
        <v>50</v>
      </c>
      <c r="S24" s="84">
        <f>S$3+S$9</f>
        <v>48</v>
      </c>
      <c r="T24" s="69"/>
      <c r="V24" s="27">
        <v>21</v>
      </c>
      <c r="W24" s="29" t="s">
        <v>78</v>
      </c>
      <c r="X24" s="29" t="s">
        <v>78</v>
      </c>
      <c r="Y24" s="29" t="s">
        <v>80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</v>
      </c>
      <c r="BL24" s="29">
        <v>1</v>
      </c>
      <c r="BM24" s="29">
        <v>1</v>
      </c>
      <c r="BN24" s="65"/>
      <c r="BO24" s="29">
        <f t="shared" si="51"/>
        <v>1</v>
      </c>
      <c r="BP24" s="29">
        <f t="shared" si="37"/>
        <v>1</v>
      </c>
      <c r="BQ24" s="29">
        <f t="shared" si="38"/>
        <v>1</v>
      </c>
      <c r="BR24" s="65"/>
      <c r="BS24" s="29">
        <f t="shared" si="59"/>
        <v>1</v>
      </c>
      <c r="BT24" s="29">
        <f t="shared" si="52"/>
        <v>1</v>
      </c>
      <c r="BU24" s="29">
        <f t="shared" si="53"/>
        <v>1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4">
        <f>C$3+C$10</f>
        <v>28</v>
      </c>
      <c r="D25" s="104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1">
        <f ca="1">J$3+J$10</f>
        <v>28</v>
      </c>
      <c r="K25" s="151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1">
        <f ca="1">Q$3+Q$10</f>
        <v>28</v>
      </c>
      <c r="R25" s="151">
        <f ca="1">R$3+R$10</f>
        <v>47</v>
      </c>
      <c r="S25" s="17">
        <f>S$3+S$10</f>
        <v>48</v>
      </c>
      <c r="T25" s="69"/>
      <c r="V25" s="27">
        <v>22</v>
      </c>
      <c r="W25" s="29" t="s">
        <v>78</v>
      </c>
      <c r="X25" s="29" t="s">
        <v>25</v>
      </c>
      <c r="Y25" s="29" t="s">
        <v>80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</v>
      </c>
      <c r="BL25" s="29">
        <v>1</v>
      </c>
      <c r="BM25" s="29">
        <v>1</v>
      </c>
      <c r="BN25" s="65"/>
      <c r="BO25" s="29">
        <f t="shared" si="51"/>
        <v>1</v>
      </c>
      <c r="BP25" s="29">
        <f t="shared" si="37"/>
        <v>1</v>
      </c>
      <c r="BQ25" s="29">
        <f t="shared" si="38"/>
        <v>1</v>
      </c>
      <c r="BR25" s="65"/>
      <c r="BS25" s="29">
        <f t="shared" si="59"/>
        <v>1</v>
      </c>
      <c r="BT25" s="29">
        <f t="shared" si="52"/>
        <v>1</v>
      </c>
      <c r="BU25" s="29">
        <f t="shared" si="53"/>
        <v>1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78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</v>
      </c>
      <c r="BL26" s="29">
        <v>1</v>
      </c>
      <c r="BM26" s="29">
        <v>1</v>
      </c>
      <c r="BN26" s="65"/>
      <c r="BO26" s="29">
        <f t="shared" si="51"/>
        <v>1</v>
      </c>
      <c r="BP26" s="29">
        <f t="shared" si="37"/>
        <v>1</v>
      </c>
      <c r="BQ26" s="29">
        <f t="shared" si="38"/>
        <v>1</v>
      </c>
      <c r="BR26" s="65"/>
      <c r="BS26" s="29">
        <f t="shared" si="59"/>
        <v>1</v>
      </c>
      <c r="BT26" s="29">
        <f t="shared" si="52"/>
        <v>1</v>
      </c>
      <c r="BU26" s="29">
        <f t="shared" si="53"/>
        <v>1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6" t="s">
        <v>133</v>
      </c>
      <c r="B27" s="326"/>
      <c r="C27" s="326"/>
      <c r="D27" s="326"/>
      <c r="E27" s="326"/>
      <c r="F27" s="326"/>
      <c r="H27" s="326" t="s">
        <v>134</v>
      </c>
      <c r="I27" s="326"/>
      <c r="J27" s="326"/>
      <c r="K27" s="326"/>
      <c r="L27" s="326"/>
      <c r="M27" s="326"/>
      <c r="O27" s="326" t="s">
        <v>135</v>
      </c>
      <c r="P27" s="326"/>
      <c r="Q27" s="326"/>
      <c r="R27" s="326"/>
      <c r="S27" s="326"/>
      <c r="T27" s="326"/>
      <c r="V27" s="27">
        <v>24</v>
      </c>
      <c r="W27" s="29" t="s">
        <v>18</v>
      </c>
      <c r="X27" s="29" t="s">
        <v>25</v>
      </c>
      <c r="Y27" s="29" t="s">
        <v>78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</v>
      </c>
      <c r="BL27" s="29">
        <v>1</v>
      </c>
      <c r="BM27" s="29">
        <v>1</v>
      </c>
      <c r="BN27" s="65"/>
      <c r="BO27" s="29">
        <f t="shared" si="51"/>
        <v>1</v>
      </c>
      <c r="BP27" s="29">
        <f t="shared" si="37"/>
        <v>1</v>
      </c>
      <c r="BQ27" s="29">
        <f t="shared" si="38"/>
        <v>1</v>
      </c>
      <c r="BR27" s="65"/>
      <c r="BS27" s="29">
        <f t="shared" si="59"/>
        <v>1</v>
      </c>
      <c r="BT27" s="29">
        <f t="shared" si="52"/>
        <v>1</v>
      </c>
      <c r="BU27" s="29">
        <f t="shared" si="53"/>
        <v>1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80</v>
      </c>
      <c r="X28" s="29" t="s">
        <v>80</v>
      </c>
      <c r="Y28" s="29" t="s">
        <v>78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</v>
      </c>
      <c r="BL28" s="29">
        <v>1</v>
      </c>
      <c r="BM28" s="29">
        <v>1</v>
      </c>
      <c r="BN28" s="65"/>
      <c r="BO28" s="29">
        <f t="shared" si="51"/>
        <v>1</v>
      </c>
      <c r="BP28" s="29">
        <f t="shared" si="37"/>
        <v>1</v>
      </c>
      <c r="BQ28" s="29">
        <f t="shared" si="38"/>
        <v>1</v>
      </c>
      <c r="BR28" s="65"/>
      <c r="BS28" s="29">
        <f t="shared" si="59"/>
        <v>1</v>
      </c>
      <c r="BT28" s="29">
        <f t="shared" si="52"/>
        <v>1</v>
      </c>
      <c r="BU28" s="29">
        <f t="shared" si="53"/>
        <v>1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80</v>
      </c>
      <c r="X29" s="29" t="s">
        <v>80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</v>
      </c>
      <c r="BL29" s="29">
        <v>1</v>
      </c>
      <c r="BM29" s="29">
        <v>1</v>
      </c>
      <c r="BN29" s="65"/>
      <c r="BO29" s="29">
        <f t="shared" si="51"/>
        <v>1</v>
      </c>
      <c r="BP29" s="29">
        <f t="shared" si="37"/>
        <v>1</v>
      </c>
      <c r="BQ29" s="29">
        <f t="shared" si="38"/>
        <v>1</v>
      </c>
      <c r="BR29" s="65"/>
      <c r="BS29" s="29">
        <f t="shared" si="59"/>
        <v>1</v>
      </c>
      <c r="BT29" s="29">
        <f t="shared" si="52"/>
        <v>1</v>
      </c>
      <c r="BU29" s="29">
        <f t="shared" si="53"/>
        <v>1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2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2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2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</v>
      </c>
      <c r="BL30" s="29">
        <v>1</v>
      </c>
      <c r="BM30" s="29">
        <v>1</v>
      </c>
      <c r="BN30" s="65"/>
      <c r="BO30" s="29">
        <f t="shared" si="51"/>
        <v>1</v>
      </c>
      <c r="BP30" s="29">
        <f t="shared" si="37"/>
        <v>1</v>
      </c>
      <c r="BQ30" s="29">
        <f t="shared" si="38"/>
        <v>1</v>
      </c>
      <c r="BR30" s="65"/>
      <c r="BS30" s="29">
        <f t="shared" si="59"/>
        <v>1</v>
      </c>
      <c r="BT30" s="29">
        <f t="shared" si="52"/>
        <v>1</v>
      </c>
      <c r="BU30" s="29">
        <f t="shared" si="53"/>
        <v>1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81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</v>
      </c>
      <c r="BL31" s="29">
        <v>1</v>
      </c>
      <c r="BM31" s="29">
        <v>1</v>
      </c>
      <c r="BN31" s="65"/>
      <c r="BO31" s="29">
        <f t="shared" si="51"/>
        <v>1</v>
      </c>
      <c r="BP31" s="29">
        <f t="shared" si="37"/>
        <v>1</v>
      </c>
      <c r="BQ31" s="29">
        <f t="shared" si="38"/>
        <v>1</v>
      </c>
      <c r="BR31" s="65"/>
      <c r="BS31" s="29">
        <f t="shared" si="59"/>
        <v>1</v>
      </c>
      <c r="BT31" s="29">
        <f t="shared" si="52"/>
        <v>1</v>
      </c>
      <c r="BU31" s="29">
        <f t="shared" si="53"/>
        <v>1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81</v>
      </c>
      <c r="X32" s="29" t="s">
        <v>18</v>
      </c>
      <c r="Y32" s="29" t="s">
        <v>81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</v>
      </c>
      <c r="BL32" s="29">
        <v>1</v>
      </c>
      <c r="BM32" s="29">
        <v>1</v>
      </c>
      <c r="BN32" s="65"/>
      <c r="BO32" s="29">
        <f t="shared" si="51"/>
        <v>1</v>
      </c>
      <c r="BP32" s="29">
        <f t="shared" si="37"/>
        <v>1</v>
      </c>
      <c r="BQ32" s="29">
        <f t="shared" si="38"/>
        <v>1</v>
      </c>
      <c r="BR32" s="65"/>
      <c r="BS32" s="29">
        <f t="shared" si="59"/>
        <v>1</v>
      </c>
      <c r="BT32" s="29">
        <f t="shared" si="52"/>
        <v>1</v>
      </c>
      <c r="BU32" s="29">
        <f t="shared" si="53"/>
        <v>1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81</v>
      </c>
      <c r="X33" s="29" t="s">
        <v>80</v>
      </c>
      <c r="Y33" s="29" t="s">
        <v>81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</v>
      </c>
      <c r="BL33" s="29">
        <v>1</v>
      </c>
      <c r="BM33" s="29">
        <v>1</v>
      </c>
      <c r="BN33" s="65"/>
      <c r="BO33" s="29">
        <f t="shared" si="51"/>
        <v>1</v>
      </c>
      <c r="BP33" s="29">
        <f t="shared" si="37"/>
        <v>1</v>
      </c>
      <c r="BQ33" s="29">
        <f t="shared" si="38"/>
        <v>1</v>
      </c>
      <c r="BR33" s="65"/>
      <c r="BS33" s="29">
        <f t="shared" si="59"/>
        <v>1</v>
      </c>
      <c r="BT33" s="29">
        <f t="shared" si="52"/>
        <v>1</v>
      </c>
      <c r="BU33" s="29">
        <f t="shared" si="53"/>
        <v>1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80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</v>
      </c>
      <c r="BL34" s="29">
        <v>1</v>
      </c>
      <c r="BM34" s="29">
        <v>1</v>
      </c>
      <c r="BN34" s="65"/>
      <c r="BO34" s="29">
        <f t="shared" si="51"/>
        <v>1</v>
      </c>
      <c r="BP34" s="29">
        <f t="shared" si="37"/>
        <v>1</v>
      </c>
      <c r="BQ34" s="29">
        <f t="shared" si="38"/>
        <v>1</v>
      </c>
      <c r="BR34" s="65"/>
      <c r="BS34" s="29">
        <f t="shared" si="59"/>
        <v>1</v>
      </c>
      <c r="BT34" s="29">
        <f t="shared" si="52"/>
        <v>1</v>
      </c>
      <c r="BU34" s="29">
        <f t="shared" si="53"/>
        <v>1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80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</v>
      </c>
      <c r="BL35" s="29">
        <v>1</v>
      </c>
      <c r="BM35" s="29">
        <v>1</v>
      </c>
      <c r="BN35" s="65"/>
      <c r="BO35" s="29">
        <f t="shared" si="51"/>
        <v>1</v>
      </c>
      <c r="BP35" s="29">
        <f t="shared" si="37"/>
        <v>1</v>
      </c>
      <c r="BQ35" s="29">
        <f t="shared" si="38"/>
        <v>1</v>
      </c>
      <c r="BR35" s="65"/>
      <c r="BS35" s="29">
        <f t="shared" si="59"/>
        <v>1</v>
      </c>
      <c r="BT35" s="29">
        <f t="shared" si="52"/>
        <v>1</v>
      </c>
      <c r="BU35" s="29">
        <f t="shared" si="53"/>
        <v>1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79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</v>
      </c>
      <c r="BL36" s="29">
        <v>1</v>
      </c>
      <c r="BM36" s="29">
        <v>1</v>
      </c>
      <c r="BN36" s="65"/>
      <c r="BO36" s="29">
        <f t="shared" si="51"/>
        <v>1</v>
      </c>
      <c r="BP36" s="29">
        <f t="shared" si="37"/>
        <v>1</v>
      </c>
      <c r="BQ36" s="29">
        <f t="shared" si="38"/>
        <v>1</v>
      </c>
      <c r="BR36" s="65"/>
      <c r="BS36" s="29">
        <f t="shared" si="59"/>
        <v>1</v>
      </c>
      <c r="BT36" s="29">
        <f t="shared" si="52"/>
        <v>1</v>
      </c>
      <c r="BU36" s="29">
        <f t="shared" si="53"/>
        <v>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79</v>
      </c>
      <c r="X37" s="29" t="s">
        <v>17</v>
      </c>
      <c r="Y37" s="29" t="s">
        <v>80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</v>
      </c>
      <c r="BL37" s="29">
        <v>1</v>
      </c>
      <c r="BM37" s="29">
        <v>1</v>
      </c>
      <c r="BN37" s="65"/>
      <c r="BO37" s="29">
        <f t="shared" si="51"/>
        <v>1</v>
      </c>
      <c r="BP37" s="29">
        <f t="shared" si="37"/>
        <v>1</v>
      </c>
      <c r="BQ37" s="29">
        <f t="shared" si="38"/>
        <v>1</v>
      </c>
      <c r="BR37" s="65"/>
      <c r="BS37" s="29">
        <f t="shared" si="59"/>
        <v>1</v>
      </c>
      <c r="BT37" s="29">
        <f t="shared" si="52"/>
        <v>1</v>
      </c>
      <c r="BU37" s="29">
        <f t="shared" si="53"/>
        <v>1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80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</v>
      </c>
      <c r="BL38" s="29">
        <v>1</v>
      </c>
      <c r="BM38" s="29">
        <v>1</v>
      </c>
      <c r="BN38" s="65"/>
      <c r="BO38" s="29">
        <f t="shared" si="51"/>
        <v>1</v>
      </c>
      <c r="BP38" s="29">
        <f t="shared" si="37"/>
        <v>1</v>
      </c>
      <c r="BQ38" s="29">
        <f t="shared" si="38"/>
        <v>1</v>
      </c>
      <c r="BR38" s="65"/>
      <c r="BS38" s="29">
        <f t="shared" si="59"/>
        <v>1</v>
      </c>
      <c r="BT38" s="29">
        <f t="shared" si="52"/>
        <v>1</v>
      </c>
      <c r="BU38" s="29">
        <f t="shared" si="53"/>
        <v>1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79</v>
      </c>
      <c r="Y39" s="29" t="s">
        <v>80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</v>
      </c>
      <c r="BL39" s="29">
        <v>1</v>
      </c>
      <c r="BM39" s="29">
        <v>1</v>
      </c>
      <c r="BN39" s="65"/>
      <c r="BO39" s="29">
        <f t="shared" si="51"/>
        <v>1</v>
      </c>
      <c r="BP39" s="29">
        <f t="shared" si="37"/>
        <v>1</v>
      </c>
      <c r="BQ39" s="29">
        <f t="shared" si="38"/>
        <v>1</v>
      </c>
      <c r="BR39" s="65"/>
      <c r="BS39" s="29">
        <f t="shared" si="59"/>
        <v>1</v>
      </c>
      <c r="BT39" s="29">
        <f t="shared" si="52"/>
        <v>1</v>
      </c>
      <c r="BU39" s="29">
        <f t="shared" si="53"/>
        <v>1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2"/>
      <c r="C40" s="152">
        <f>SUM(C29:C39)</f>
        <v>123</v>
      </c>
      <c r="D40" s="152">
        <f>SUM(D29:D39)</f>
        <v>209</v>
      </c>
      <c r="E40" s="152">
        <f>SUM(E29:E39)</f>
        <v>203</v>
      </c>
      <c r="F40" s="152"/>
      <c r="H40" s="60" t="s">
        <v>10</v>
      </c>
      <c r="I40" s="152"/>
      <c r="J40" s="152">
        <f ca="1">SUM(J29:J39)</f>
        <v>123</v>
      </c>
      <c r="K40" s="152">
        <f ca="1">SUM(K29:K39)</f>
        <v>209</v>
      </c>
      <c r="L40" s="152">
        <f ca="1">SUM(L29:L39)</f>
        <v>203</v>
      </c>
      <c r="M40" s="152"/>
      <c r="O40" s="60" t="s">
        <v>10</v>
      </c>
      <c r="P40" s="152"/>
      <c r="Q40" s="152">
        <f ca="1">SUM(Q29:Q39)</f>
        <v>123</v>
      </c>
      <c r="R40" s="152">
        <f ca="1">SUM(R29:R39)</f>
        <v>209</v>
      </c>
      <c r="S40" s="152">
        <f ca="1">SUM(S29:S39)</f>
        <v>203</v>
      </c>
      <c r="T40" s="152"/>
      <c r="V40" s="27">
        <v>37</v>
      </c>
      <c r="W40" s="29" t="s">
        <v>81</v>
      </c>
      <c r="X40" s="29" t="s">
        <v>79</v>
      </c>
      <c r="Y40" s="29" t="s">
        <v>80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</v>
      </c>
      <c r="BL40" s="29">
        <v>1</v>
      </c>
      <c r="BM40" s="29">
        <v>1</v>
      </c>
      <c r="BN40" s="65"/>
      <c r="BO40" s="29">
        <f t="shared" si="51"/>
        <v>1</v>
      </c>
      <c r="BP40" s="29">
        <f t="shared" si="37"/>
        <v>1</v>
      </c>
      <c r="BQ40" s="29">
        <f t="shared" si="38"/>
        <v>1</v>
      </c>
      <c r="BR40" s="65"/>
      <c r="BS40" s="29">
        <f t="shared" si="59"/>
        <v>1</v>
      </c>
      <c r="BT40" s="29">
        <f t="shared" si="52"/>
        <v>1</v>
      </c>
      <c r="BU40" s="29">
        <f t="shared" si="53"/>
        <v>1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81</v>
      </c>
      <c r="X41" s="29" t="s">
        <v>16</v>
      </c>
      <c r="Y41" s="29" t="s">
        <v>78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</v>
      </c>
      <c r="BL41" s="29">
        <v>1</v>
      </c>
      <c r="BM41" s="29">
        <v>1</v>
      </c>
      <c r="BN41" s="65"/>
      <c r="BO41" s="29">
        <f t="shared" si="51"/>
        <v>1</v>
      </c>
      <c r="BP41" s="29">
        <f t="shared" si="37"/>
        <v>1</v>
      </c>
      <c r="BQ41" s="29">
        <f t="shared" si="38"/>
        <v>1</v>
      </c>
      <c r="BR41" s="65"/>
      <c r="BS41" s="29">
        <f t="shared" si="59"/>
        <v>1</v>
      </c>
      <c r="BT41" s="29">
        <f t="shared" si="52"/>
        <v>1</v>
      </c>
      <c r="BU41" s="29">
        <f t="shared" si="53"/>
        <v>1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78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</v>
      </c>
      <c r="BL42" s="29">
        <v>1</v>
      </c>
      <c r="BM42" s="29">
        <v>1</v>
      </c>
      <c r="BN42" s="65"/>
      <c r="BO42" s="29">
        <f t="shared" si="51"/>
        <v>1</v>
      </c>
      <c r="BP42" s="29">
        <f t="shared" si="37"/>
        <v>1</v>
      </c>
      <c r="BQ42" s="29">
        <f t="shared" si="38"/>
        <v>1</v>
      </c>
      <c r="BR42" s="65"/>
      <c r="BS42" s="29">
        <f t="shared" si="59"/>
        <v>1</v>
      </c>
      <c r="BT42" s="29">
        <f t="shared" si="52"/>
        <v>1</v>
      </c>
      <c r="BU42" s="29">
        <f t="shared" si="53"/>
        <v>1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81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</v>
      </c>
      <c r="BL43" s="29">
        <v>1</v>
      </c>
      <c r="BM43" s="29">
        <v>1</v>
      </c>
      <c r="BN43" s="65"/>
      <c r="BO43" s="29">
        <f t="shared" si="51"/>
        <v>1</v>
      </c>
      <c r="BP43" s="29">
        <f t="shared" si="37"/>
        <v>1</v>
      </c>
      <c r="BQ43" s="29">
        <f t="shared" si="38"/>
        <v>1</v>
      </c>
      <c r="BR43" s="65"/>
      <c r="BS43" s="29">
        <f t="shared" si="59"/>
        <v>1</v>
      </c>
      <c r="BT43" s="29">
        <f t="shared" si="52"/>
        <v>1</v>
      </c>
      <c r="BU43" s="29">
        <f t="shared" si="53"/>
        <v>1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2">
        <f>SUM(C29:C39)</f>
        <v>123</v>
      </c>
      <c r="D44" s="152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2">
        <f ca="1">SUM(J29:J39)</f>
        <v>123</v>
      </c>
      <c r="K44" s="152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2">
        <f ca="1">SUM(Q29:Q39)</f>
        <v>123</v>
      </c>
      <c r="R44" s="152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80</v>
      </c>
      <c r="X44" s="29" t="s">
        <v>81</v>
      </c>
      <c r="Y44" s="29" t="s">
        <v>81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</v>
      </c>
      <c r="BL44" s="29">
        <v>1</v>
      </c>
      <c r="BM44" s="29">
        <v>1</v>
      </c>
      <c r="BN44" s="65"/>
      <c r="BO44" s="29">
        <f t="shared" si="51"/>
        <v>1</v>
      </c>
      <c r="BP44" s="29">
        <f t="shared" si="37"/>
        <v>1</v>
      </c>
      <c r="BQ44" s="29">
        <f t="shared" si="38"/>
        <v>1</v>
      </c>
      <c r="BR44" s="65"/>
      <c r="BS44" s="29">
        <f t="shared" si="59"/>
        <v>1</v>
      </c>
      <c r="BT44" s="29">
        <f t="shared" si="52"/>
        <v>1</v>
      </c>
      <c r="BU44" s="29">
        <f t="shared" si="53"/>
        <v>1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2">
        <f>C$3+C$4</f>
        <v>23</v>
      </c>
      <c r="D45" s="152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2">
        <f>J$3+J$4</f>
        <v>23</v>
      </c>
      <c r="K45" s="152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2">
        <f>Q$3+Q$4</f>
        <v>23</v>
      </c>
      <c r="R45" s="152">
        <f ca="1">R$3+R$4</f>
        <v>45</v>
      </c>
      <c r="S45" s="84">
        <f ca="1">S$3+S$4</f>
        <v>44</v>
      </c>
      <c r="T45" s="69"/>
      <c r="V45" s="27">
        <v>42</v>
      </c>
      <c r="W45" s="29" t="s">
        <v>80</v>
      </c>
      <c r="X45" s="29" t="s">
        <v>81</v>
      </c>
      <c r="Y45" s="29" t="s">
        <v>81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</v>
      </c>
      <c r="BL45" s="29">
        <v>1</v>
      </c>
      <c r="BM45" s="29">
        <v>1</v>
      </c>
      <c r="BN45" s="65"/>
      <c r="BO45" s="29">
        <f t="shared" si="51"/>
        <v>1</v>
      </c>
      <c r="BP45" s="29">
        <f t="shared" si="37"/>
        <v>1</v>
      </c>
      <c r="BQ45" s="29">
        <f t="shared" si="38"/>
        <v>1</v>
      </c>
      <c r="BR45" s="65"/>
      <c r="BS45" s="29">
        <f t="shared" si="59"/>
        <v>1</v>
      </c>
      <c r="BT45" s="29">
        <f t="shared" si="52"/>
        <v>1</v>
      </c>
      <c r="BU45" s="29">
        <f t="shared" si="53"/>
        <v>1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2">
        <f>C$3+C$5</f>
        <v>22</v>
      </c>
      <c r="D46" s="152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2">
        <f>J$3+J$5</f>
        <v>22</v>
      </c>
      <c r="K46" s="152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2">
        <f>Q$3+Q$5</f>
        <v>22</v>
      </c>
      <c r="R46" s="152">
        <f ca="1">R$3+R$5</f>
        <v>47</v>
      </c>
      <c r="S46" s="84">
        <f>S$3+S$5</f>
        <v>48</v>
      </c>
      <c r="T46" s="69"/>
      <c r="V46" s="27">
        <v>43</v>
      </c>
      <c r="W46" s="29" t="s">
        <v>80</v>
      </c>
      <c r="X46" s="29" t="s">
        <v>81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</v>
      </c>
      <c r="BL46" s="29">
        <v>1</v>
      </c>
      <c r="BM46" s="29">
        <v>1</v>
      </c>
      <c r="BN46" s="65"/>
      <c r="BO46" s="29">
        <f t="shared" si="51"/>
        <v>1</v>
      </c>
      <c r="BP46" s="29">
        <f t="shared" si="37"/>
        <v>1</v>
      </c>
      <c r="BQ46" s="29">
        <f t="shared" si="38"/>
        <v>1</v>
      </c>
      <c r="BR46" s="65"/>
      <c r="BS46" s="29">
        <f t="shared" si="59"/>
        <v>1</v>
      </c>
      <c r="BT46" s="29">
        <f t="shared" si="52"/>
        <v>1</v>
      </c>
      <c r="BU46" s="29">
        <f t="shared" si="53"/>
        <v>1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2">
        <f>C$3+C$6</f>
        <v>23</v>
      </c>
      <c r="D47" s="152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2">
        <f>J$3+J$6</f>
        <v>23</v>
      </c>
      <c r="K47" s="152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2">
        <f>Q$3+Q$6</f>
        <v>23</v>
      </c>
      <c r="R47" s="152">
        <f ca="1">R$3+R$6</f>
        <v>46</v>
      </c>
      <c r="S47" s="84">
        <f>S$3+S$6</f>
        <v>49</v>
      </c>
      <c r="T47" s="69"/>
      <c r="V47" s="27">
        <v>44</v>
      </c>
      <c r="W47" s="29" t="s">
        <v>79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</v>
      </c>
      <c r="BL47" s="29">
        <v>1</v>
      </c>
      <c r="BM47" s="29">
        <v>1</v>
      </c>
      <c r="BN47" s="65"/>
      <c r="BO47" s="29">
        <f t="shared" si="51"/>
        <v>1</v>
      </c>
      <c r="BP47" s="29">
        <f t="shared" si="37"/>
        <v>1</v>
      </c>
      <c r="BQ47" s="29">
        <f t="shared" si="38"/>
        <v>1</v>
      </c>
      <c r="BR47" s="65"/>
      <c r="BS47" s="29">
        <f t="shared" si="59"/>
        <v>1</v>
      </c>
      <c r="BT47" s="29">
        <f t="shared" si="52"/>
        <v>1</v>
      </c>
      <c r="BU47" s="29">
        <f t="shared" si="53"/>
        <v>1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2">
        <f>C$3+C$7</f>
        <v>27</v>
      </c>
      <c r="D48" s="152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2">
        <f>J$3+J$7</f>
        <v>27</v>
      </c>
      <c r="K48" s="152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2">
        <f>Q$3+Q$7</f>
        <v>27</v>
      </c>
      <c r="R48" s="152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80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</v>
      </c>
      <c r="BL48" s="29">
        <v>1</v>
      </c>
      <c r="BM48" s="29">
        <v>1</v>
      </c>
      <c r="BN48" s="65"/>
      <c r="BO48" s="29">
        <f t="shared" si="51"/>
        <v>1</v>
      </c>
      <c r="BP48" s="29">
        <f t="shared" si="37"/>
        <v>1</v>
      </c>
      <c r="BQ48" s="29">
        <f t="shared" si="38"/>
        <v>1</v>
      </c>
      <c r="BR48" s="65"/>
      <c r="BS48" s="29">
        <f t="shared" si="59"/>
        <v>1</v>
      </c>
      <c r="BT48" s="29">
        <f t="shared" si="52"/>
        <v>1</v>
      </c>
      <c r="BU48" s="29">
        <f t="shared" si="53"/>
        <v>1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2">
        <f>C$3+C$8</f>
        <v>28</v>
      </c>
      <c r="D49" s="152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2">
        <f>J$3+J$8</f>
        <v>28</v>
      </c>
      <c r="K49" s="152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2">
        <f ca="1">Q$3+Q$8</f>
        <v>28</v>
      </c>
      <c r="R49" s="152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80</v>
      </c>
      <c r="Y49" s="29" t="s">
        <v>80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</v>
      </c>
      <c r="BL49" s="29">
        <v>1</v>
      </c>
      <c r="BM49" s="29">
        <v>1</v>
      </c>
      <c r="BN49" s="65"/>
      <c r="BO49" s="29">
        <f t="shared" si="51"/>
        <v>1</v>
      </c>
      <c r="BP49" s="29">
        <f t="shared" si="37"/>
        <v>1</v>
      </c>
      <c r="BQ49" s="29">
        <f t="shared" si="38"/>
        <v>1</v>
      </c>
      <c r="BR49" s="65"/>
      <c r="BS49" s="29">
        <f t="shared" si="59"/>
        <v>1</v>
      </c>
      <c r="BT49" s="29">
        <f t="shared" si="52"/>
        <v>1</v>
      </c>
      <c r="BU49" s="29">
        <f t="shared" si="53"/>
        <v>1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2">
        <f>C$3+C$9</f>
        <v>26</v>
      </c>
      <c r="D50" s="152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2">
        <f>J$3+J$9</f>
        <v>26</v>
      </c>
      <c r="K50" s="152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2">
        <f>Q$3+Q$9</f>
        <v>26</v>
      </c>
      <c r="R50" s="152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80</v>
      </c>
      <c r="Y50" s="29" t="s">
        <v>80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</v>
      </c>
      <c r="BL50" s="29">
        <v>1</v>
      </c>
      <c r="BM50" s="29">
        <v>1</v>
      </c>
      <c r="BN50" s="65"/>
      <c r="BO50" s="29">
        <f t="shared" si="51"/>
        <v>1</v>
      </c>
      <c r="BP50" s="29">
        <f t="shared" si="37"/>
        <v>1</v>
      </c>
      <c r="BQ50" s="29">
        <f t="shared" si="38"/>
        <v>1</v>
      </c>
      <c r="BR50" s="65"/>
      <c r="BS50" s="29">
        <f t="shared" si="59"/>
        <v>1</v>
      </c>
      <c r="BT50" s="29">
        <f t="shared" si="52"/>
        <v>1</v>
      </c>
      <c r="BU50" s="29">
        <f t="shared" si="53"/>
        <v>1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1">
        <f>C$3+C$10</f>
        <v>28</v>
      </c>
      <c r="D51" s="151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1">
        <f ca="1">J$3+J$10</f>
        <v>28</v>
      </c>
      <c r="K51" s="151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1">
        <f ca="1">Q$3+Q$10</f>
        <v>28</v>
      </c>
      <c r="R51" s="151">
        <f ca="1">R$3+R$10</f>
        <v>47</v>
      </c>
      <c r="S51" s="17">
        <f>S$3+S$10</f>
        <v>48</v>
      </c>
      <c r="T51" s="69"/>
      <c r="V51" s="27">
        <v>48</v>
      </c>
      <c r="W51" s="29" t="s">
        <v>81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1</v>
      </c>
      <c r="BL51" s="29">
        <v>1</v>
      </c>
      <c r="BM51" s="29">
        <v>1</v>
      </c>
      <c r="BN51" s="65"/>
      <c r="BO51" s="29">
        <f t="shared" si="51"/>
        <v>1</v>
      </c>
      <c r="BP51" s="29">
        <f t="shared" si="37"/>
        <v>1</v>
      </c>
      <c r="BQ51" s="29">
        <f t="shared" si="38"/>
        <v>1</v>
      </c>
      <c r="BR51" s="65"/>
      <c r="BS51" s="29">
        <f t="shared" si="59"/>
        <v>1</v>
      </c>
      <c r="BT51" s="29">
        <f t="shared" si="52"/>
        <v>1</v>
      </c>
      <c r="BU51" s="29">
        <f t="shared" si="53"/>
        <v>1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81</v>
      </c>
      <c r="X52" s="29" t="s">
        <v>79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1</v>
      </c>
      <c r="BL52" s="29">
        <v>1</v>
      </c>
      <c r="BM52" s="29">
        <v>1</v>
      </c>
      <c r="BN52" s="65"/>
      <c r="BO52" s="29">
        <f t="shared" si="51"/>
        <v>1</v>
      </c>
      <c r="BP52" s="29">
        <f t="shared" si="37"/>
        <v>1</v>
      </c>
      <c r="BQ52" s="29">
        <f t="shared" si="38"/>
        <v>1</v>
      </c>
      <c r="BR52" s="65"/>
      <c r="BS52" s="29">
        <f t="shared" si="59"/>
        <v>1</v>
      </c>
      <c r="BT52" s="29">
        <f t="shared" si="52"/>
        <v>1</v>
      </c>
      <c r="BU52" s="29">
        <f t="shared" si="53"/>
        <v>1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3" t="s">
        <v>136</v>
      </c>
      <c r="B53" s="323"/>
      <c r="C53" s="323"/>
      <c r="D53" s="323"/>
      <c r="E53" s="323"/>
      <c r="F53" s="323"/>
      <c r="H53" s="323" t="s">
        <v>137</v>
      </c>
      <c r="I53" s="323"/>
      <c r="J53" s="323"/>
      <c r="K53" s="323"/>
      <c r="L53" s="323"/>
      <c r="M53" s="323"/>
      <c r="O53" s="323" t="s">
        <v>138</v>
      </c>
      <c r="P53" s="323"/>
      <c r="Q53" s="323"/>
      <c r="R53" s="323"/>
      <c r="S53" s="323"/>
      <c r="T53" s="323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1</v>
      </c>
      <c r="BL53" s="29">
        <v>1</v>
      </c>
      <c r="BM53" s="29">
        <v>1</v>
      </c>
      <c r="BN53" s="65"/>
      <c r="BO53" s="29">
        <f t="shared" si="51"/>
        <v>1</v>
      </c>
      <c r="BP53" s="29">
        <f t="shared" si="37"/>
        <v>1</v>
      </c>
      <c r="BQ53" s="29">
        <f t="shared" si="38"/>
        <v>1</v>
      </c>
      <c r="BR53" s="65"/>
      <c r="BS53" s="29">
        <f t="shared" si="59"/>
        <v>1</v>
      </c>
      <c r="BT53" s="29">
        <f t="shared" si="52"/>
        <v>1</v>
      </c>
      <c r="BU53" s="29">
        <f t="shared" si="53"/>
        <v>1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1</v>
      </c>
      <c r="BL54" s="29">
        <v>1</v>
      </c>
      <c r="BM54" s="29">
        <v>1</v>
      </c>
      <c r="BN54" s="65"/>
      <c r="BO54" s="29">
        <f t="shared" si="51"/>
        <v>1</v>
      </c>
      <c r="BP54" s="29">
        <f t="shared" si="37"/>
        <v>1</v>
      </c>
      <c r="BQ54" s="29">
        <f t="shared" si="38"/>
        <v>1</v>
      </c>
      <c r="BR54" s="65"/>
      <c r="BS54" s="29">
        <f t="shared" si="59"/>
        <v>1</v>
      </c>
      <c r="BT54" s="29">
        <f t="shared" si="52"/>
        <v>1</v>
      </c>
      <c r="BU54" s="29">
        <f t="shared" si="53"/>
        <v>1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78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1</v>
      </c>
      <c r="BL55" s="29">
        <v>1</v>
      </c>
      <c r="BM55" s="29">
        <v>1</v>
      </c>
      <c r="BN55" s="65"/>
      <c r="BO55" s="29">
        <f t="shared" si="51"/>
        <v>1</v>
      </c>
      <c r="BP55" s="29">
        <f t="shared" si="37"/>
        <v>1</v>
      </c>
      <c r="BQ55" s="29">
        <f t="shared" si="38"/>
        <v>1</v>
      </c>
      <c r="BR55" s="65"/>
      <c r="BS55" s="29">
        <f t="shared" si="59"/>
        <v>1</v>
      </c>
      <c r="BT55" s="29">
        <f t="shared" si="52"/>
        <v>1</v>
      </c>
      <c r="BU55" s="29">
        <f t="shared" si="53"/>
        <v>1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2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2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2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78</v>
      </c>
      <c r="X56" s="29" t="s">
        <v>80</v>
      </c>
      <c r="Y56" s="29" t="s">
        <v>78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</v>
      </c>
      <c r="BL56" s="29">
        <v>1</v>
      </c>
      <c r="BM56" s="29">
        <v>1</v>
      </c>
      <c r="BN56" s="65"/>
      <c r="BO56" s="29">
        <f t="shared" si="51"/>
        <v>1</v>
      </c>
      <c r="BP56" s="29">
        <f t="shared" si="37"/>
        <v>1</v>
      </c>
      <c r="BQ56" s="29">
        <f t="shared" si="38"/>
        <v>1</v>
      </c>
      <c r="BR56" s="65"/>
      <c r="BS56" s="29">
        <f t="shared" si="59"/>
        <v>1</v>
      </c>
      <c r="BT56" s="29">
        <f t="shared" si="52"/>
        <v>1</v>
      </c>
      <c r="BU56" s="29">
        <f t="shared" si="53"/>
        <v>1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78</v>
      </c>
      <c r="X57" s="29" t="s">
        <v>80</v>
      </c>
      <c r="Y57" s="29" t="s">
        <v>78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</v>
      </c>
      <c r="BL57" s="29">
        <v>1</v>
      </c>
      <c r="BM57" s="29">
        <v>1</v>
      </c>
      <c r="BN57" s="65"/>
      <c r="BO57" s="29">
        <f t="shared" si="51"/>
        <v>1</v>
      </c>
      <c r="BP57" s="29">
        <f t="shared" si="37"/>
        <v>1</v>
      </c>
      <c r="BQ57" s="29">
        <f t="shared" si="38"/>
        <v>1</v>
      </c>
      <c r="BR57" s="65"/>
      <c r="BS57" s="29">
        <f t="shared" si="59"/>
        <v>1</v>
      </c>
      <c r="BT57" s="29">
        <f t="shared" si="52"/>
        <v>1</v>
      </c>
      <c r="BU57" s="29">
        <f t="shared" si="53"/>
        <v>1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78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</v>
      </c>
      <c r="BL58" s="29">
        <v>1</v>
      </c>
      <c r="BM58" s="29">
        <v>1</v>
      </c>
      <c r="BN58" s="65"/>
      <c r="BO58" s="29">
        <f t="shared" si="51"/>
        <v>1</v>
      </c>
      <c r="BP58" s="29">
        <f t="shared" si="37"/>
        <v>1</v>
      </c>
      <c r="BQ58" s="29">
        <f t="shared" si="38"/>
        <v>1</v>
      </c>
      <c r="BR58" s="65"/>
      <c r="BS58" s="29">
        <f t="shared" si="59"/>
        <v>1</v>
      </c>
      <c r="BT58" s="29">
        <f t="shared" si="52"/>
        <v>1</v>
      </c>
      <c r="BU58" s="29">
        <f t="shared" si="53"/>
        <v>1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78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</v>
      </c>
      <c r="BL59" s="29">
        <v>1</v>
      </c>
      <c r="BM59" s="29">
        <v>1</v>
      </c>
      <c r="BN59" s="65"/>
      <c r="BO59" s="29">
        <f t="shared" si="51"/>
        <v>1</v>
      </c>
      <c r="BP59" s="29">
        <f t="shared" si="37"/>
        <v>1</v>
      </c>
      <c r="BQ59" s="29">
        <f t="shared" si="38"/>
        <v>1</v>
      </c>
      <c r="BR59" s="65"/>
      <c r="BS59" s="29">
        <f t="shared" si="59"/>
        <v>1</v>
      </c>
      <c r="BT59" s="29">
        <f t="shared" si="52"/>
        <v>1</v>
      </c>
      <c r="BU59" s="29">
        <f t="shared" si="53"/>
        <v>1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79</v>
      </c>
      <c r="X60" s="29" t="s">
        <v>78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</v>
      </c>
      <c r="BL60" s="29">
        <v>1</v>
      </c>
      <c r="BM60" s="29">
        <v>1</v>
      </c>
      <c r="BN60" s="65"/>
      <c r="BO60" s="29">
        <f t="shared" si="51"/>
        <v>1</v>
      </c>
      <c r="BP60" s="29">
        <f t="shared" si="37"/>
        <v>1</v>
      </c>
      <c r="BQ60" s="29">
        <f t="shared" si="38"/>
        <v>1</v>
      </c>
      <c r="BR60" s="65"/>
      <c r="BS60" s="29">
        <f t="shared" si="59"/>
        <v>1</v>
      </c>
      <c r="BT60" s="29">
        <f t="shared" si="52"/>
        <v>1</v>
      </c>
      <c r="BU60" s="29">
        <f t="shared" si="53"/>
        <v>1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79</v>
      </c>
      <c r="X61" s="29" t="s">
        <v>17</v>
      </c>
      <c r="Y61" s="29" t="s">
        <v>80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</v>
      </c>
      <c r="BL61" s="29">
        <v>1</v>
      </c>
      <c r="BM61" s="29">
        <v>1</v>
      </c>
      <c r="BN61" s="65"/>
      <c r="BO61" s="29">
        <f t="shared" si="51"/>
        <v>1</v>
      </c>
      <c r="BP61" s="29">
        <f t="shared" si="37"/>
        <v>1</v>
      </c>
      <c r="BQ61" s="29">
        <f t="shared" si="38"/>
        <v>1</v>
      </c>
      <c r="BR61" s="65"/>
      <c r="BS61" s="29">
        <f t="shared" si="59"/>
        <v>1</v>
      </c>
      <c r="BT61" s="29">
        <f t="shared" si="52"/>
        <v>1</v>
      </c>
      <c r="BU61" s="29">
        <f t="shared" si="53"/>
        <v>1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80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</v>
      </c>
      <c r="BL62" s="29">
        <v>1</v>
      </c>
      <c r="BM62" s="29">
        <v>1</v>
      </c>
      <c r="BN62" s="65"/>
      <c r="BO62" s="29">
        <f t="shared" si="51"/>
        <v>1</v>
      </c>
      <c r="BP62" s="29">
        <f t="shared" si="37"/>
        <v>1</v>
      </c>
      <c r="BQ62" s="29">
        <f t="shared" si="38"/>
        <v>1</v>
      </c>
      <c r="BR62" s="65"/>
      <c r="BS62" s="29">
        <f t="shared" si="59"/>
        <v>1</v>
      </c>
      <c r="BT62" s="29">
        <f t="shared" si="52"/>
        <v>1</v>
      </c>
      <c r="BU62" s="29">
        <f t="shared" si="53"/>
        <v>1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80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</v>
      </c>
      <c r="BL63" s="29">
        <v>1</v>
      </c>
      <c r="BM63" s="29">
        <v>1</v>
      </c>
      <c r="BN63" s="65"/>
      <c r="BO63" s="29">
        <f t="shared" si="51"/>
        <v>1</v>
      </c>
      <c r="BP63" s="29">
        <f t="shared" si="37"/>
        <v>1</v>
      </c>
      <c r="BQ63" s="29">
        <f t="shared" si="38"/>
        <v>1</v>
      </c>
      <c r="BR63" s="65"/>
      <c r="BS63" s="29">
        <f t="shared" si="59"/>
        <v>1</v>
      </c>
      <c r="BT63" s="29">
        <f t="shared" si="52"/>
        <v>1</v>
      </c>
      <c r="BU63" s="29">
        <f t="shared" si="53"/>
        <v>1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79</v>
      </c>
      <c r="X64" s="25" t="s">
        <v>79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</v>
      </c>
      <c r="BL64" s="29">
        <v>1</v>
      </c>
      <c r="BM64" s="29">
        <v>1</v>
      </c>
      <c r="BN64" s="65"/>
      <c r="BO64" s="29">
        <f t="shared" si="51"/>
        <v>1</v>
      </c>
      <c r="BP64" s="29">
        <f t="shared" si="37"/>
        <v>1</v>
      </c>
      <c r="BQ64" s="29">
        <f t="shared" si="38"/>
        <v>1</v>
      </c>
      <c r="BR64" s="65"/>
      <c r="BS64" s="29">
        <f t="shared" si="59"/>
        <v>1</v>
      </c>
      <c r="BT64" s="29">
        <f t="shared" si="52"/>
        <v>1</v>
      </c>
      <c r="BU64" s="29">
        <f t="shared" si="53"/>
        <v>1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79</v>
      </c>
      <c r="X65" s="25" t="s">
        <v>79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</v>
      </c>
      <c r="BL65" s="29">
        <v>1</v>
      </c>
      <c r="BM65" s="29">
        <v>1</v>
      </c>
      <c r="BN65" s="65"/>
      <c r="BO65" s="29">
        <f t="shared" si="51"/>
        <v>1</v>
      </c>
      <c r="BP65" s="29">
        <f t="shared" si="37"/>
        <v>1</v>
      </c>
      <c r="BQ65" s="29">
        <f t="shared" si="38"/>
        <v>1</v>
      </c>
      <c r="BR65" s="65"/>
      <c r="BS65" s="29">
        <f t="shared" si="59"/>
        <v>1</v>
      </c>
      <c r="BT65" s="29">
        <f t="shared" si="52"/>
        <v>1</v>
      </c>
      <c r="BU65" s="29">
        <f t="shared" si="53"/>
        <v>1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2"/>
      <c r="C66" s="152">
        <f>SUM(C55:C65)</f>
        <v>123</v>
      </c>
      <c r="D66" s="152">
        <f>SUM(D55:D65)</f>
        <v>209</v>
      </c>
      <c r="E66" s="152">
        <f>SUM(E55:E65)</f>
        <v>203</v>
      </c>
      <c r="F66" s="152"/>
      <c r="H66" s="60" t="s">
        <v>10</v>
      </c>
      <c r="I66" s="152"/>
      <c r="J66" s="152">
        <f ca="1">SUM(J55:J65)</f>
        <v>123</v>
      </c>
      <c r="K66" s="152">
        <f ca="1">SUM(K55:K65)</f>
        <v>209</v>
      </c>
      <c r="L66" s="152">
        <f ca="1">SUM(L55:L65)</f>
        <v>203</v>
      </c>
      <c r="M66" s="152"/>
      <c r="O66" s="60" t="s">
        <v>10</v>
      </c>
      <c r="P66" s="152"/>
      <c r="Q66" s="152">
        <f ca="1">SUM(Q55:Q65)</f>
        <v>123</v>
      </c>
      <c r="R66" s="152">
        <f ca="1">SUM(R55:R65)</f>
        <v>209</v>
      </c>
      <c r="S66" s="152">
        <f ca="1">SUM(S55:S65)</f>
        <v>203</v>
      </c>
      <c r="T66" s="152"/>
      <c r="V66" s="27">
        <v>63</v>
      </c>
      <c r="W66" s="25" t="s">
        <v>79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</v>
      </c>
      <c r="BL66" s="29">
        <v>1</v>
      </c>
      <c r="BM66" s="29">
        <v>1</v>
      </c>
      <c r="BO66" s="29">
        <f t="shared" si="51"/>
        <v>1</v>
      </c>
      <c r="BP66" s="29">
        <f t="shared" si="37"/>
        <v>1</v>
      </c>
      <c r="BQ66" s="29">
        <f t="shared" si="38"/>
        <v>1</v>
      </c>
      <c r="BR66" s="65"/>
      <c r="BS66" s="29">
        <f t="shared" si="59"/>
        <v>1</v>
      </c>
      <c r="BT66" s="29">
        <f t="shared" si="52"/>
        <v>1</v>
      </c>
      <c r="BU66" s="29">
        <f t="shared" si="53"/>
        <v>1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80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</v>
      </c>
      <c r="BL67" s="29">
        <v>1</v>
      </c>
      <c r="BM67" s="29">
        <v>1</v>
      </c>
      <c r="BO67" s="29">
        <f t="shared" si="51"/>
        <v>1</v>
      </c>
      <c r="BP67" s="29">
        <f t="shared" si="37"/>
        <v>1</v>
      </c>
      <c r="BQ67" s="29">
        <f t="shared" si="38"/>
        <v>1</v>
      </c>
      <c r="BR67" s="65"/>
      <c r="BS67" s="29">
        <f t="shared" si="59"/>
        <v>1</v>
      </c>
      <c r="BT67" s="29">
        <f t="shared" si="52"/>
        <v>1</v>
      </c>
      <c r="BU67" s="29">
        <f t="shared" si="53"/>
        <v>1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81</v>
      </c>
      <c r="Y68" s="25" t="s">
        <v>80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</v>
      </c>
      <c r="BL68" s="29">
        <v>1</v>
      </c>
      <c r="BM68" s="29">
        <v>1</v>
      </c>
      <c r="BO68" s="29">
        <f t="shared" si="51"/>
        <v>1</v>
      </c>
      <c r="BP68" s="29">
        <f t="shared" ref="BP68:BP131" si="86">IF(BL67="","",BL67)</f>
        <v>1</v>
      </c>
      <c r="BQ68" s="29">
        <f t="shared" ref="BQ68:BQ131" si="87">IF(BM67="","",BM67)</f>
        <v>1</v>
      </c>
      <c r="BR68" s="65"/>
      <c r="BS68" s="29">
        <f t="shared" si="59"/>
        <v>1</v>
      </c>
      <c r="BT68" s="29">
        <f t="shared" si="52"/>
        <v>1</v>
      </c>
      <c r="BU68" s="29">
        <f t="shared" si="53"/>
        <v>1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80</v>
      </c>
      <c r="X69" s="25" t="s">
        <v>81</v>
      </c>
      <c r="Y69" s="25" t="s">
        <v>80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</v>
      </c>
      <c r="BL69" s="29">
        <v>1</v>
      </c>
      <c r="BM69" s="29">
        <v>1</v>
      </c>
      <c r="BO69" s="29">
        <f t="shared" ref="BO69:BO132" si="97">IF(BK68="","",BK68)</f>
        <v>1</v>
      </c>
      <c r="BP69" s="29">
        <f t="shared" si="86"/>
        <v>1</v>
      </c>
      <c r="BQ69" s="29">
        <f t="shared" si="87"/>
        <v>1</v>
      </c>
      <c r="BR69" s="65"/>
      <c r="BS69" s="29">
        <f t="shared" si="59"/>
        <v>1</v>
      </c>
      <c r="BT69" s="29">
        <f t="shared" ref="BT69:BT132" si="98">IF(BL67="","",BL67)</f>
        <v>1</v>
      </c>
      <c r="BU69" s="29">
        <f t="shared" ref="BU69:BU132" si="99">IF(BM67="","",BM67)</f>
        <v>1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2">
        <f>SUM(C55:C65)</f>
        <v>123</v>
      </c>
      <c r="D70" s="152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2">
        <f ca="1">SUM(J55:J65)</f>
        <v>123</v>
      </c>
      <c r="K70" s="152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2">
        <f ca="1">SUM(Q55:Q65)</f>
        <v>123</v>
      </c>
      <c r="R70" s="152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80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</v>
      </c>
      <c r="BL70" s="29">
        <v>1</v>
      </c>
      <c r="BM70" s="29">
        <v>1</v>
      </c>
      <c r="BO70" s="29">
        <f t="shared" si="97"/>
        <v>1</v>
      </c>
      <c r="BP70" s="29">
        <f t="shared" si="86"/>
        <v>1</v>
      </c>
      <c r="BQ70" s="29">
        <f t="shared" si="87"/>
        <v>1</v>
      </c>
      <c r="BR70" s="65"/>
      <c r="BS70" s="29">
        <f t="shared" ref="BS70:BS133" si="105">IF(BK68="","",BK68)</f>
        <v>1</v>
      </c>
      <c r="BT70" s="29">
        <f t="shared" si="98"/>
        <v>1</v>
      </c>
      <c r="BU70" s="29">
        <f t="shared" si="99"/>
        <v>1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2">
        <f>C$3+C$4</f>
        <v>23</v>
      </c>
      <c r="D71" s="152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2">
        <f>J$3+J$4</f>
        <v>23</v>
      </c>
      <c r="K71" s="152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2">
        <f>Q$3+Q$4</f>
        <v>23</v>
      </c>
      <c r="R71" s="152">
        <f ca="1">R$3+R$4</f>
        <v>45</v>
      </c>
      <c r="S71" s="84">
        <f ca="1">S$3+S$4</f>
        <v>44</v>
      </c>
      <c r="T71" s="69"/>
      <c r="V71" s="27">
        <v>68</v>
      </c>
      <c r="W71" s="25" t="s">
        <v>79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</v>
      </c>
      <c r="BL71" s="29">
        <v>1</v>
      </c>
      <c r="BM71" s="29">
        <v>1</v>
      </c>
      <c r="BO71" s="29">
        <f t="shared" si="97"/>
        <v>1</v>
      </c>
      <c r="BP71" s="29">
        <f t="shared" si="86"/>
        <v>1</v>
      </c>
      <c r="BQ71" s="29">
        <f t="shared" si="87"/>
        <v>1</v>
      </c>
      <c r="BR71" s="65"/>
      <c r="BS71" s="29">
        <f t="shared" si="105"/>
        <v>1</v>
      </c>
      <c r="BT71" s="29">
        <f t="shared" si="98"/>
        <v>1</v>
      </c>
      <c r="BU71" s="29">
        <f t="shared" si="99"/>
        <v>1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2">
        <f>C$3+C$5</f>
        <v>22</v>
      </c>
      <c r="D72" s="152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2">
        <f>J$3+J$5</f>
        <v>22</v>
      </c>
      <c r="K72" s="152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2">
        <f>Q$3+Q$5</f>
        <v>22</v>
      </c>
      <c r="R72" s="152">
        <f ca="1">R$3+R$5</f>
        <v>47</v>
      </c>
      <c r="S72" s="84">
        <f>S$3+S$5</f>
        <v>48</v>
      </c>
      <c r="T72" s="69"/>
      <c r="V72" s="27">
        <v>69</v>
      </c>
      <c r="W72" s="25" t="s">
        <v>79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</v>
      </c>
      <c r="BL72" s="29">
        <v>1</v>
      </c>
      <c r="BM72" s="29">
        <v>1</v>
      </c>
      <c r="BO72" s="29">
        <f t="shared" si="97"/>
        <v>1</v>
      </c>
      <c r="BP72" s="29">
        <f t="shared" si="86"/>
        <v>1</v>
      </c>
      <c r="BQ72" s="29">
        <f t="shared" si="87"/>
        <v>1</v>
      </c>
      <c r="BR72" s="65"/>
      <c r="BS72" s="29">
        <f t="shared" si="105"/>
        <v>1</v>
      </c>
      <c r="BT72" s="29">
        <f t="shared" si="98"/>
        <v>1</v>
      </c>
      <c r="BU72" s="29">
        <f t="shared" si="99"/>
        <v>1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2">
        <f>C$3+C$6</f>
        <v>23</v>
      </c>
      <c r="D73" s="152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2">
        <f>J$3+J$6</f>
        <v>23</v>
      </c>
      <c r="K73" s="152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2">
        <f>Q$3+Q$6</f>
        <v>23</v>
      </c>
      <c r="R73" s="152">
        <f ca="1">R$3+R$6</f>
        <v>46</v>
      </c>
      <c r="S73" s="84">
        <f>S$3+S$6</f>
        <v>49</v>
      </c>
      <c r="T73" s="69"/>
      <c r="V73" s="27">
        <v>70</v>
      </c>
      <c r="W73" s="25" t="s">
        <v>78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</v>
      </c>
      <c r="BL73" s="29">
        <v>1</v>
      </c>
      <c r="BM73" s="29">
        <v>1</v>
      </c>
      <c r="BO73" s="29">
        <f t="shared" si="97"/>
        <v>1</v>
      </c>
      <c r="BP73" s="29">
        <f t="shared" si="86"/>
        <v>1</v>
      </c>
      <c r="BQ73" s="29">
        <f t="shared" si="87"/>
        <v>1</v>
      </c>
      <c r="BR73" s="65"/>
      <c r="BS73" s="29">
        <f t="shared" si="105"/>
        <v>1</v>
      </c>
      <c r="BT73" s="29">
        <f t="shared" si="98"/>
        <v>1</v>
      </c>
      <c r="BU73" s="29">
        <f t="shared" si="99"/>
        <v>1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2">
        <f>C$3+C$7</f>
        <v>27</v>
      </c>
      <c r="D74" s="152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2">
        <f>J$3+J$7</f>
        <v>27</v>
      </c>
      <c r="K74" s="152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2">
        <f>Q$3+Q$7</f>
        <v>27</v>
      </c>
      <c r="R74" s="152">
        <f ca="1">R$3+R$7</f>
        <v>51</v>
      </c>
      <c r="S74" s="84">
        <f>S$3+S$7</f>
        <v>44</v>
      </c>
      <c r="T74" s="69"/>
      <c r="V74" s="27">
        <v>71</v>
      </c>
      <c r="W74" s="25" t="s">
        <v>78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</v>
      </c>
      <c r="BL74" s="29">
        <v>1</v>
      </c>
      <c r="BM74" s="29">
        <v>1</v>
      </c>
      <c r="BO74" s="29">
        <f t="shared" si="97"/>
        <v>1</v>
      </c>
      <c r="BP74" s="29">
        <f t="shared" si="86"/>
        <v>1</v>
      </c>
      <c r="BQ74" s="29">
        <f t="shared" si="87"/>
        <v>1</v>
      </c>
      <c r="BR74" s="65"/>
      <c r="BS74" s="29">
        <f t="shared" si="105"/>
        <v>1</v>
      </c>
      <c r="BT74" s="29">
        <f t="shared" si="98"/>
        <v>1</v>
      </c>
      <c r="BU74" s="29">
        <f t="shared" si="99"/>
        <v>1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2">
        <f>C$3+C$8</f>
        <v>28</v>
      </c>
      <c r="D75" s="152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2">
        <f>J$3+J$8</f>
        <v>28</v>
      </c>
      <c r="K75" s="152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2">
        <f ca="1">Q$3+Q$8</f>
        <v>28</v>
      </c>
      <c r="R75" s="152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79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</v>
      </c>
      <c r="BL75" s="29">
        <v>1</v>
      </c>
      <c r="BM75" s="29">
        <v>1</v>
      </c>
      <c r="BO75" s="29">
        <f t="shared" si="97"/>
        <v>1</v>
      </c>
      <c r="BP75" s="29">
        <f t="shared" si="86"/>
        <v>1</v>
      </c>
      <c r="BQ75" s="29">
        <f t="shared" si="87"/>
        <v>1</v>
      </c>
      <c r="BR75" s="65"/>
      <c r="BS75" s="29">
        <f t="shared" si="105"/>
        <v>1</v>
      </c>
      <c r="BT75" s="29">
        <f t="shared" si="98"/>
        <v>1</v>
      </c>
      <c r="BU75" s="29">
        <f t="shared" si="99"/>
        <v>1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2">
        <f>C$3+C$9</f>
        <v>26</v>
      </c>
      <c r="D76" s="152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2">
        <f>J$3+J$9</f>
        <v>26</v>
      </c>
      <c r="K76" s="152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2">
        <f>Q$3+Q$9</f>
        <v>26</v>
      </c>
      <c r="R76" s="152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79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</v>
      </c>
      <c r="BL76" s="29">
        <v>1</v>
      </c>
      <c r="BM76" s="29">
        <v>1</v>
      </c>
      <c r="BO76" s="29">
        <f t="shared" si="97"/>
        <v>1</v>
      </c>
      <c r="BP76" s="29">
        <f t="shared" si="86"/>
        <v>1</v>
      </c>
      <c r="BQ76" s="29">
        <f t="shared" si="87"/>
        <v>1</v>
      </c>
      <c r="BR76" s="65"/>
      <c r="BS76" s="29">
        <f t="shared" si="105"/>
        <v>1</v>
      </c>
      <c r="BT76" s="29">
        <f t="shared" si="98"/>
        <v>1</v>
      </c>
      <c r="BU76" s="29">
        <f t="shared" si="99"/>
        <v>1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1">
        <f>C$3+C$10</f>
        <v>28</v>
      </c>
      <c r="D77" s="151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1">
        <f ca="1">J$3+J$10</f>
        <v>28</v>
      </c>
      <c r="K77" s="151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1">
        <f ca="1">Q$3+Q$10</f>
        <v>28</v>
      </c>
      <c r="R77" s="151">
        <f ca="1">R$3+R$10</f>
        <v>47</v>
      </c>
      <c r="S77" s="17">
        <f>S$3+S$10</f>
        <v>48</v>
      </c>
      <c r="T77" s="69"/>
      <c r="V77" s="27">
        <v>74</v>
      </c>
      <c r="W77" s="25" t="s">
        <v>81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</v>
      </c>
      <c r="BL77" s="29">
        <v>1</v>
      </c>
      <c r="BM77" s="29">
        <v>1</v>
      </c>
      <c r="BO77" s="29">
        <f t="shared" si="97"/>
        <v>1</v>
      </c>
      <c r="BP77" s="29">
        <f t="shared" si="86"/>
        <v>1</v>
      </c>
      <c r="BQ77" s="29">
        <f t="shared" si="87"/>
        <v>1</v>
      </c>
      <c r="BR77" s="65"/>
      <c r="BS77" s="29">
        <f t="shared" si="105"/>
        <v>1</v>
      </c>
      <c r="BT77" s="29">
        <f t="shared" si="98"/>
        <v>1</v>
      </c>
      <c r="BU77" s="29">
        <f t="shared" si="99"/>
        <v>1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81</v>
      </c>
      <c r="X78" s="25" t="s">
        <v>81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</v>
      </c>
      <c r="BL78" s="29">
        <v>1</v>
      </c>
      <c r="BM78" s="29">
        <v>1</v>
      </c>
      <c r="BO78" s="29">
        <f t="shared" si="97"/>
        <v>1</v>
      </c>
      <c r="BP78" s="29">
        <f t="shared" si="86"/>
        <v>1</v>
      </c>
      <c r="BQ78" s="29">
        <f t="shared" si="87"/>
        <v>1</v>
      </c>
      <c r="BR78" s="65"/>
      <c r="BS78" s="29">
        <f t="shared" si="105"/>
        <v>1</v>
      </c>
      <c r="BT78" s="29">
        <f t="shared" si="98"/>
        <v>1</v>
      </c>
      <c r="BU78" s="29">
        <f t="shared" si="99"/>
        <v>1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4" t="s">
        <v>139</v>
      </c>
      <c r="B79" s="324"/>
      <c r="C79" s="324"/>
      <c r="D79" s="324"/>
      <c r="E79" s="324"/>
      <c r="F79" s="324"/>
      <c r="H79" s="324" t="s">
        <v>140</v>
      </c>
      <c r="I79" s="324"/>
      <c r="J79" s="324"/>
      <c r="K79" s="324"/>
      <c r="L79" s="324"/>
      <c r="M79" s="324"/>
      <c r="O79" s="324" t="s">
        <v>141</v>
      </c>
      <c r="P79" s="324"/>
      <c r="Q79" s="324"/>
      <c r="R79" s="324"/>
      <c r="S79" s="324"/>
      <c r="T79" s="324"/>
      <c r="V79" s="27">
        <v>76</v>
      </c>
      <c r="W79" s="25" t="s">
        <v>78</v>
      </c>
      <c r="X79" s="25" t="s">
        <v>81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</v>
      </c>
      <c r="BL79" s="29">
        <v>1</v>
      </c>
      <c r="BM79" s="29">
        <v>1</v>
      </c>
      <c r="BO79" s="29">
        <f t="shared" si="97"/>
        <v>1</v>
      </c>
      <c r="BP79" s="29">
        <f t="shared" si="86"/>
        <v>1</v>
      </c>
      <c r="BQ79" s="29">
        <f t="shared" si="87"/>
        <v>1</v>
      </c>
      <c r="BR79" s="65"/>
      <c r="BS79" s="29">
        <f t="shared" si="105"/>
        <v>1</v>
      </c>
      <c r="BT79" s="29">
        <f t="shared" si="98"/>
        <v>1</v>
      </c>
      <c r="BU79" s="29">
        <f t="shared" si="99"/>
        <v>1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78</v>
      </c>
      <c r="X80" s="25" t="s">
        <v>16</v>
      </c>
      <c r="Y80" s="25" t="s">
        <v>80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</v>
      </c>
      <c r="BL80" s="29">
        <v>1</v>
      </c>
      <c r="BM80" s="29">
        <v>1</v>
      </c>
      <c r="BO80" s="29">
        <f t="shared" si="97"/>
        <v>1</v>
      </c>
      <c r="BP80" s="29">
        <f t="shared" si="86"/>
        <v>1</v>
      </c>
      <c r="BQ80" s="29">
        <f t="shared" si="87"/>
        <v>1</v>
      </c>
      <c r="BR80" s="65"/>
      <c r="BS80" s="29">
        <f t="shared" si="105"/>
        <v>1</v>
      </c>
      <c r="BT80" s="29">
        <f t="shared" si="98"/>
        <v>1</v>
      </c>
      <c r="BU80" s="29">
        <f t="shared" si="99"/>
        <v>1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9</v>
      </c>
      <c r="D81" s="77">
        <f t="shared" ref="D81:E81" si="106">SUMIF(X$3:X$211, $A81, BL$3:BL$211)</f>
        <v>21</v>
      </c>
      <c r="E81" s="77">
        <f t="shared" si="106"/>
        <v>21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9</v>
      </c>
      <c r="K81" s="77">
        <f t="shared" ref="K81:L81" ca="1" si="107">SUMIF(X$3:X$211, $H81, BP$3:BP$211)</f>
        <v>21</v>
      </c>
      <c r="L81" s="77">
        <f t="shared" si="107"/>
        <v>21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9</v>
      </c>
      <c r="R81" s="77">
        <f t="shared" ref="R81:S81" ca="1" si="108">SUMIF(X$3:X$211, $H81, BT$3:BT$211)</f>
        <v>21</v>
      </c>
      <c r="S81" s="77">
        <f t="shared" si="108"/>
        <v>21</v>
      </c>
      <c r="T81" s="58">
        <v>0</v>
      </c>
      <c r="V81" s="27">
        <v>78</v>
      </c>
      <c r="W81" s="25" t="s">
        <v>80</v>
      </c>
      <c r="X81" s="25" t="s">
        <v>16</v>
      </c>
      <c r="Y81" s="25" t="s">
        <v>80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</v>
      </c>
      <c r="BL81" s="29">
        <v>1</v>
      </c>
      <c r="BM81" s="29">
        <v>1</v>
      </c>
      <c r="BO81" s="29">
        <f t="shared" si="97"/>
        <v>1</v>
      </c>
      <c r="BP81" s="29">
        <f t="shared" si="86"/>
        <v>1</v>
      </c>
      <c r="BQ81" s="29">
        <f t="shared" si="87"/>
        <v>1</v>
      </c>
      <c r="BR81" s="65"/>
      <c r="BS81" s="29">
        <f t="shared" si="105"/>
        <v>1</v>
      </c>
      <c r="BT81" s="29">
        <f t="shared" si="98"/>
        <v>1</v>
      </c>
      <c r="BU81" s="29">
        <f t="shared" si="99"/>
        <v>1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2" t="s">
        <v>26</v>
      </c>
      <c r="C82" s="79">
        <f t="shared" ref="C82:C88" si="109">SUMIF(W$3:W$211, $A82, BK$3:BK$211)</f>
        <v>14</v>
      </c>
      <c r="D82" s="70">
        <f t="shared" ref="D82:D88" si="110">SUMIF(X$3:X$211, $A82, BL$3:BL$211)</f>
        <v>24</v>
      </c>
      <c r="E82" s="70">
        <f t="shared" ref="E82:E88" si="111">SUMIF(Y$3:Y$211, $A82, BM$3:BM$211)</f>
        <v>23</v>
      </c>
      <c r="F82" s="58">
        <v>1</v>
      </c>
      <c r="H82" s="78" t="str">
        <v>M1</v>
      </c>
      <c r="I82" s="152" t="str">
        <v>M1</v>
      </c>
      <c r="J82" s="79">
        <f t="shared" ref="J82:J88" si="112">SUMIF(W$3:W$211, $H82, BO$3:BO$211)</f>
        <v>14</v>
      </c>
      <c r="K82" s="70">
        <f t="shared" ref="K82:K88" si="113">SUMIF(X$3:X$211, $H82, BP$3:BP$211)</f>
        <v>24</v>
      </c>
      <c r="L82" s="70">
        <f t="shared" ref="L82:L88" ca="1" si="114">SUMIF(Y$3:Y$211, $H82, BQ$3:BQ$211)</f>
        <v>23</v>
      </c>
      <c r="M82" s="58">
        <v>1</v>
      </c>
      <c r="O82" s="78" t="str">
        <v>M1</v>
      </c>
      <c r="P82" s="152" t="str">
        <v>M1</v>
      </c>
      <c r="Q82" s="79">
        <f t="shared" ref="Q82:Q88" si="115">SUMIF(W$3:W$211, $H82, BS$3:BS$211)</f>
        <v>14</v>
      </c>
      <c r="R82" s="70">
        <f t="shared" ref="R82:R88" si="116">SUMIF(X$3:X$211, $H82, BT$3:BT$211)</f>
        <v>24</v>
      </c>
      <c r="S82" s="70">
        <f t="shared" ref="S82:S88" ca="1" si="117">SUMIF(Y$3:Y$211, $H82, BU$3:BU$211)</f>
        <v>23</v>
      </c>
      <c r="T82" s="58">
        <v>1</v>
      </c>
      <c r="V82" s="27">
        <v>79</v>
      </c>
      <c r="W82" s="25" t="s">
        <v>80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</v>
      </c>
      <c r="BL82" s="29">
        <v>1</v>
      </c>
      <c r="BM82" s="29">
        <v>1</v>
      </c>
      <c r="BO82" s="29">
        <f t="shared" si="97"/>
        <v>1</v>
      </c>
      <c r="BP82" s="29">
        <f t="shared" si="86"/>
        <v>1</v>
      </c>
      <c r="BQ82" s="29">
        <f t="shared" si="87"/>
        <v>1</v>
      </c>
      <c r="BR82" s="65"/>
      <c r="BS82" s="29">
        <f t="shared" si="105"/>
        <v>1</v>
      </c>
      <c r="BT82" s="29">
        <f t="shared" si="98"/>
        <v>1</v>
      </c>
      <c r="BU82" s="29">
        <f t="shared" si="99"/>
        <v>1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</v>
      </c>
      <c r="D83" s="70">
        <f t="shared" si="110"/>
        <v>26</v>
      </c>
      <c r="E83" s="70">
        <f t="shared" si="111"/>
        <v>27</v>
      </c>
      <c r="F83" s="58">
        <v>2</v>
      </c>
      <c r="H83" s="78" t="str">
        <v>M2</v>
      </c>
      <c r="I83" s="58" t="str">
        <v>M2</v>
      </c>
      <c r="J83" s="79">
        <f t="shared" si="112"/>
        <v>13</v>
      </c>
      <c r="K83" s="70">
        <f t="shared" si="113"/>
        <v>26</v>
      </c>
      <c r="L83" s="70">
        <f t="shared" si="114"/>
        <v>27</v>
      </c>
      <c r="M83" s="58">
        <v>2</v>
      </c>
      <c r="O83" s="78" t="str">
        <v>M2</v>
      </c>
      <c r="P83" s="58" t="str">
        <v>M2</v>
      </c>
      <c r="Q83" s="79">
        <f t="shared" si="115"/>
        <v>13</v>
      </c>
      <c r="R83" s="70">
        <f t="shared" si="116"/>
        <v>26</v>
      </c>
      <c r="S83" s="70">
        <f t="shared" si="117"/>
        <v>27</v>
      </c>
      <c r="T83" s="58">
        <v>2</v>
      </c>
      <c r="V83" s="27">
        <v>80</v>
      </c>
      <c r="W83" s="25" t="s">
        <v>18</v>
      </c>
      <c r="X83" s="25" t="s">
        <v>80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</v>
      </c>
      <c r="BL83" s="29">
        <v>1</v>
      </c>
      <c r="BM83" s="29">
        <v>1</v>
      </c>
      <c r="BO83" s="29">
        <f t="shared" si="97"/>
        <v>1</v>
      </c>
      <c r="BP83" s="29">
        <f t="shared" si="86"/>
        <v>1</v>
      </c>
      <c r="BQ83" s="29">
        <f t="shared" si="87"/>
        <v>1</v>
      </c>
      <c r="BR83" s="65"/>
      <c r="BS83" s="29">
        <f t="shared" si="105"/>
        <v>1</v>
      </c>
      <c r="BT83" s="29">
        <f t="shared" si="98"/>
        <v>1</v>
      </c>
      <c r="BU83" s="29">
        <f t="shared" si="99"/>
        <v>1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</v>
      </c>
      <c r="D84" s="70">
        <f t="shared" si="110"/>
        <v>25</v>
      </c>
      <c r="E84" s="70">
        <f t="shared" si="111"/>
        <v>28</v>
      </c>
      <c r="F84" s="58">
        <v>3</v>
      </c>
      <c r="H84" s="78" t="str">
        <v>M3</v>
      </c>
      <c r="I84" s="58" t="str">
        <v>M3</v>
      </c>
      <c r="J84" s="79">
        <f t="shared" si="112"/>
        <v>14</v>
      </c>
      <c r="K84" s="70">
        <f t="shared" si="113"/>
        <v>25</v>
      </c>
      <c r="L84" s="70">
        <f t="shared" si="114"/>
        <v>28</v>
      </c>
      <c r="M84" s="58">
        <v>3</v>
      </c>
      <c r="O84" s="78" t="str">
        <v>M3</v>
      </c>
      <c r="P84" s="58" t="str">
        <v>M3</v>
      </c>
      <c r="Q84" s="79">
        <f t="shared" si="115"/>
        <v>14</v>
      </c>
      <c r="R84" s="70">
        <f t="shared" si="116"/>
        <v>25</v>
      </c>
      <c r="S84" s="70">
        <f t="shared" si="117"/>
        <v>28</v>
      </c>
      <c r="T84" s="58">
        <v>3</v>
      </c>
      <c r="V84" s="27">
        <v>81</v>
      </c>
      <c r="W84" s="25" t="s">
        <v>18</v>
      </c>
      <c r="X84" s="25" t="s">
        <v>80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</v>
      </c>
      <c r="BL84" s="29">
        <v>1</v>
      </c>
      <c r="BM84" s="29">
        <v>1</v>
      </c>
      <c r="BO84" s="29">
        <f t="shared" si="97"/>
        <v>1</v>
      </c>
      <c r="BP84" s="29">
        <f t="shared" si="86"/>
        <v>1</v>
      </c>
      <c r="BQ84" s="29">
        <f t="shared" si="87"/>
        <v>1</v>
      </c>
      <c r="BR84" s="65"/>
      <c r="BS84" s="29">
        <f t="shared" si="105"/>
        <v>1</v>
      </c>
      <c r="BT84" s="29">
        <f t="shared" si="98"/>
        <v>1</v>
      </c>
      <c r="BU84" s="29">
        <f t="shared" si="99"/>
        <v>1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</v>
      </c>
      <c r="D85" s="70">
        <f t="shared" si="110"/>
        <v>30</v>
      </c>
      <c r="E85" s="70">
        <f t="shared" si="111"/>
        <v>23</v>
      </c>
      <c r="F85" s="58">
        <v>4</v>
      </c>
      <c r="H85" s="78" t="str">
        <v>A</v>
      </c>
      <c r="I85" s="58" t="str">
        <v>A</v>
      </c>
      <c r="J85" s="79">
        <f t="shared" si="112"/>
        <v>18</v>
      </c>
      <c r="K85" s="70">
        <f t="shared" si="113"/>
        <v>30</v>
      </c>
      <c r="L85" s="70">
        <f t="shared" si="114"/>
        <v>23</v>
      </c>
      <c r="M85" s="58">
        <v>4</v>
      </c>
      <c r="O85" s="78" t="str">
        <v>A</v>
      </c>
      <c r="P85" s="58" t="str">
        <v>A</v>
      </c>
      <c r="Q85" s="79">
        <f t="shared" si="115"/>
        <v>18</v>
      </c>
      <c r="R85" s="70">
        <f t="shared" si="116"/>
        <v>30</v>
      </c>
      <c r="S85" s="70">
        <f t="shared" si="117"/>
        <v>23</v>
      </c>
      <c r="T85" s="58">
        <v>4</v>
      </c>
      <c r="V85" s="27">
        <v>82</v>
      </c>
      <c r="W85" s="25" t="s">
        <v>79</v>
      </c>
      <c r="X85" s="25" t="s">
        <v>78</v>
      </c>
      <c r="Y85" s="25" t="s">
        <v>81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</v>
      </c>
      <c r="BL85" s="29">
        <v>1</v>
      </c>
      <c r="BM85" s="29">
        <v>1</v>
      </c>
      <c r="BO85" s="29">
        <f t="shared" si="97"/>
        <v>1</v>
      </c>
      <c r="BP85" s="29">
        <f t="shared" si="86"/>
        <v>1</v>
      </c>
      <c r="BQ85" s="29">
        <f t="shared" si="87"/>
        <v>1</v>
      </c>
      <c r="BR85" s="65"/>
      <c r="BS85" s="29">
        <f t="shared" si="105"/>
        <v>1</v>
      </c>
      <c r="BT85" s="29">
        <f t="shared" si="98"/>
        <v>1</v>
      </c>
      <c r="BU85" s="29">
        <f t="shared" si="99"/>
        <v>1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19</v>
      </c>
      <c r="D86" s="70">
        <f t="shared" si="110"/>
        <v>28</v>
      </c>
      <c r="E86" s="70">
        <f t="shared" si="111"/>
        <v>27</v>
      </c>
      <c r="F86" s="58">
        <v>5</v>
      </c>
      <c r="H86" s="78" t="str">
        <v>K</v>
      </c>
      <c r="I86" s="58" t="str">
        <v>K</v>
      </c>
      <c r="J86" s="79">
        <f t="shared" si="112"/>
        <v>19</v>
      </c>
      <c r="K86" s="70">
        <f t="shared" si="113"/>
        <v>28</v>
      </c>
      <c r="L86" s="70">
        <f t="shared" si="114"/>
        <v>27</v>
      </c>
      <c r="M86" s="58">
        <v>5</v>
      </c>
      <c r="O86" s="78" t="str">
        <v>K</v>
      </c>
      <c r="P86" s="58" t="str">
        <v>K</v>
      </c>
      <c r="Q86" s="79">
        <f t="shared" ca="1" si="115"/>
        <v>19</v>
      </c>
      <c r="R86" s="70">
        <f t="shared" si="116"/>
        <v>28</v>
      </c>
      <c r="S86" s="70">
        <f t="shared" si="117"/>
        <v>27</v>
      </c>
      <c r="T86" s="58">
        <v>5</v>
      </c>
      <c r="V86" s="27">
        <v>83</v>
      </c>
      <c r="W86" s="25" t="s">
        <v>79</v>
      </c>
      <c r="X86" s="25" t="s">
        <v>78</v>
      </c>
      <c r="Y86" s="25" t="s">
        <v>81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</v>
      </c>
      <c r="BL86" s="29">
        <v>1</v>
      </c>
      <c r="BM86" s="29">
        <v>1</v>
      </c>
      <c r="BO86" s="29">
        <f t="shared" si="97"/>
        <v>1</v>
      </c>
      <c r="BP86" s="29">
        <f t="shared" si="86"/>
        <v>1</v>
      </c>
      <c r="BQ86" s="29">
        <f t="shared" si="87"/>
        <v>1</v>
      </c>
      <c r="BR86" s="65"/>
      <c r="BS86" s="29">
        <f t="shared" si="105"/>
        <v>1</v>
      </c>
      <c r="BT86" s="29">
        <f t="shared" si="98"/>
        <v>1</v>
      </c>
      <c r="BU86" s="29">
        <f t="shared" si="99"/>
        <v>1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17</v>
      </c>
      <c r="D87" s="70">
        <f t="shared" si="110"/>
        <v>29</v>
      </c>
      <c r="E87" s="70">
        <f t="shared" si="111"/>
        <v>27</v>
      </c>
      <c r="F87" s="58">
        <v>6</v>
      </c>
      <c r="H87" s="78" t="str">
        <v>Q</v>
      </c>
      <c r="I87" s="58" t="str">
        <v>Q</v>
      </c>
      <c r="J87" s="79">
        <f t="shared" si="112"/>
        <v>17</v>
      </c>
      <c r="K87" s="70">
        <f t="shared" si="113"/>
        <v>29</v>
      </c>
      <c r="L87" s="70">
        <f t="shared" si="114"/>
        <v>27</v>
      </c>
      <c r="M87" s="58">
        <v>6</v>
      </c>
      <c r="O87" s="78" t="str">
        <v>Q</v>
      </c>
      <c r="P87" s="58" t="str">
        <v>Q</v>
      </c>
      <c r="Q87" s="79">
        <f t="shared" si="115"/>
        <v>17</v>
      </c>
      <c r="R87" s="70">
        <f t="shared" si="116"/>
        <v>29</v>
      </c>
      <c r="S87" s="70">
        <f t="shared" si="117"/>
        <v>27</v>
      </c>
      <c r="T87" s="58">
        <v>6</v>
      </c>
      <c r="V87" s="27">
        <v>84</v>
      </c>
      <c r="W87" s="25" t="s">
        <v>81</v>
      </c>
      <c r="X87" s="25" t="s">
        <v>17</v>
      </c>
      <c r="Y87" s="25" t="s">
        <v>81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</v>
      </c>
      <c r="BL87" s="29">
        <v>1</v>
      </c>
      <c r="BM87" s="29">
        <v>1</v>
      </c>
      <c r="BO87" s="29">
        <f t="shared" si="97"/>
        <v>1</v>
      </c>
      <c r="BP87" s="29">
        <f t="shared" si="86"/>
        <v>1</v>
      </c>
      <c r="BQ87" s="29">
        <f t="shared" si="87"/>
        <v>1</v>
      </c>
      <c r="BR87" s="65"/>
      <c r="BS87" s="29">
        <f t="shared" si="105"/>
        <v>1</v>
      </c>
      <c r="BT87" s="29">
        <f t="shared" si="98"/>
        <v>1</v>
      </c>
      <c r="BU87" s="29">
        <f t="shared" si="99"/>
        <v>1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19</v>
      </c>
      <c r="D88" s="70">
        <f t="shared" si="110"/>
        <v>26</v>
      </c>
      <c r="E88" s="70">
        <f t="shared" si="111"/>
        <v>27</v>
      </c>
      <c r="F88" s="58">
        <v>7</v>
      </c>
      <c r="H88" s="78" t="str">
        <v>J</v>
      </c>
      <c r="I88" s="58" t="str">
        <v>J</v>
      </c>
      <c r="J88" s="79">
        <f t="shared" ca="1" si="112"/>
        <v>19</v>
      </c>
      <c r="K88" s="70">
        <f t="shared" si="113"/>
        <v>26</v>
      </c>
      <c r="L88" s="70">
        <f t="shared" si="114"/>
        <v>27</v>
      </c>
      <c r="M88" s="58">
        <v>7</v>
      </c>
      <c r="O88" s="78" t="str">
        <v>J</v>
      </c>
      <c r="P88" s="58" t="str">
        <v>J</v>
      </c>
      <c r="Q88" s="79">
        <f t="shared" ca="1" si="115"/>
        <v>19</v>
      </c>
      <c r="R88" s="70">
        <f t="shared" si="116"/>
        <v>26</v>
      </c>
      <c r="S88" s="70">
        <f t="shared" si="117"/>
        <v>27</v>
      </c>
      <c r="T88" s="58">
        <v>7</v>
      </c>
      <c r="V88" s="27">
        <v>85</v>
      </c>
      <c r="W88" s="25" t="s">
        <v>81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</v>
      </c>
      <c r="BL88" s="29">
        <v>1</v>
      </c>
      <c r="BM88" s="29">
        <v>1</v>
      </c>
      <c r="BO88" s="29">
        <f t="shared" si="97"/>
        <v>1</v>
      </c>
      <c r="BP88" s="29">
        <f t="shared" si="86"/>
        <v>1</v>
      </c>
      <c r="BQ88" s="29">
        <f t="shared" si="87"/>
        <v>1</v>
      </c>
      <c r="BR88" s="65"/>
      <c r="BS88" s="29">
        <f t="shared" si="105"/>
        <v>1</v>
      </c>
      <c r="BT88" s="29">
        <f t="shared" si="98"/>
        <v>1</v>
      </c>
      <c r="BU88" s="29">
        <f t="shared" si="99"/>
        <v>1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81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</v>
      </c>
      <c r="BL89" s="29">
        <v>1</v>
      </c>
      <c r="BM89" s="29">
        <v>1</v>
      </c>
      <c r="BO89" s="29">
        <f t="shared" si="97"/>
        <v>1</v>
      </c>
      <c r="BP89" s="29">
        <f t="shared" si="86"/>
        <v>1</v>
      </c>
      <c r="BQ89" s="29">
        <f t="shared" si="87"/>
        <v>1</v>
      </c>
      <c r="BR89" s="65"/>
      <c r="BS89" s="29">
        <f t="shared" si="105"/>
        <v>1</v>
      </c>
      <c r="BT89" s="29">
        <f t="shared" si="98"/>
        <v>1</v>
      </c>
      <c r="BU89" s="29">
        <f t="shared" si="99"/>
        <v>1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81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</v>
      </c>
      <c r="BL90" s="29">
        <v>1</v>
      </c>
      <c r="BM90" s="29">
        <v>1</v>
      </c>
      <c r="BO90" s="29">
        <f t="shared" si="97"/>
        <v>1</v>
      </c>
      <c r="BP90" s="29">
        <f t="shared" si="86"/>
        <v>1</v>
      </c>
      <c r="BQ90" s="29">
        <f t="shared" si="87"/>
        <v>1</v>
      </c>
      <c r="BR90" s="65"/>
      <c r="BS90" s="29">
        <f t="shared" si="105"/>
        <v>1</v>
      </c>
      <c r="BT90" s="29">
        <f t="shared" si="98"/>
        <v>1</v>
      </c>
      <c r="BU90" s="29">
        <f t="shared" si="99"/>
        <v>1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78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</v>
      </c>
      <c r="BL91" s="29">
        <v>1</v>
      </c>
      <c r="BM91" s="29">
        <v>1</v>
      </c>
      <c r="BO91" s="29">
        <f t="shared" si="97"/>
        <v>1</v>
      </c>
      <c r="BP91" s="29">
        <f t="shared" si="86"/>
        <v>1</v>
      </c>
      <c r="BQ91" s="29">
        <f t="shared" si="87"/>
        <v>1</v>
      </c>
      <c r="BR91" s="65"/>
      <c r="BS91" s="29">
        <f t="shared" si="105"/>
        <v>1</v>
      </c>
      <c r="BT91" s="29">
        <f t="shared" si="98"/>
        <v>1</v>
      </c>
      <c r="BU91" s="29">
        <f t="shared" si="99"/>
        <v>1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2"/>
      <c r="C92" s="152">
        <f>SUM(C81:C91)</f>
        <v>123</v>
      </c>
      <c r="D92" s="152">
        <f>SUM(D81:D91)</f>
        <v>209</v>
      </c>
      <c r="E92" s="152">
        <f>SUM(E81:E91)</f>
        <v>203</v>
      </c>
      <c r="F92" s="152"/>
      <c r="H92" s="60" t="s">
        <v>10</v>
      </c>
      <c r="I92" s="152"/>
      <c r="J92" s="152">
        <f ca="1">SUM(J81:J91)</f>
        <v>123</v>
      </c>
      <c r="K92" s="152">
        <f ca="1">SUM(K81:K91)</f>
        <v>209</v>
      </c>
      <c r="L92" s="152">
        <f ca="1">SUM(L81:L91)</f>
        <v>203</v>
      </c>
      <c r="M92" s="152"/>
      <c r="O92" s="60" t="s">
        <v>10</v>
      </c>
      <c r="P92" s="152"/>
      <c r="Q92" s="152">
        <f ca="1">SUM(Q81:Q91)</f>
        <v>123</v>
      </c>
      <c r="R92" s="152">
        <f ca="1">SUM(R81:R91)</f>
        <v>209</v>
      </c>
      <c r="S92" s="152">
        <f ca="1">SUM(S81:S91)</f>
        <v>203</v>
      </c>
      <c r="T92" s="152"/>
      <c r="V92" s="27">
        <v>89</v>
      </c>
      <c r="W92" s="25" t="s">
        <v>78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</v>
      </c>
      <c r="BL92" s="29">
        <v>1</v>
      </c>
      <c r="BM92" s="29">
        <v>1</v>
      </c>
      <c r="BO92" s="29">
        <f t="shared" si="97"/>
        <v>1</v>
      </c>
      <c r="BP92" s="29">
        <f t="shared" si="86"/>
        <v>1</v>
      </c>
      <c r="BQ92" s="29">
        <f t="shared" si="87"/>
        <v>1</v>
      </c>
      <c r="BR92" s="65"/>
      <c r="BS92" s="29">
        <f t="shared" si="105"/>
        <v>1</v>
      </c>
      <c r="BT92" s="29">
        <f t="shared" si="98"/>
        <v>1</v>
      </c>
      <c r="BU92" s="29">
        <f t="shared" si="99"/>
        <v>1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80</v>
      </c>
      <c r="X93" s="25" t="s">
        <v>78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</v>
      </c>
      <c r="BL93" s="29">
        <v>1</v>
      </c>
      <c r="BM93" s="29">
        <v>1</v>
      </c>
      <c r="BO93" s="29">
        <f t="shared" si="97"/>
        <v>1</v>
      </c>
      <c r="BP93" s="29">
        <f t="shared" si="86"/>
        <v>1</v>
      </c>
      <c r="BQ93" s="29">
        <f t="shared" si="87"/>
        <v>1</v>
      </c>
      <c r="BR93" s="65"/>
      <c r="BS93" s="29">
        <f t="shared" si="105"/>
        <v>1</v>
      </c>
      <c r="BT93" s="29">
        <f t="shared" si="98"/>
        <v>1</v>
      </c>
      <c r="BU93" s="29">
        <f t="shared" si="99"/>
        <v>1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80</v>
      </c>
      <c r="X94" s="25" t="s">
        <v>78</v>
      </c>
      <c r="Y94" s="25" t="s">
        <v>78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</v>
      </c>
      <c r="BL94" s="29">
        <v>1</v>
      </c>
      <c r="BM94" s="29">
        <v>1</v>
      </c>
      <c r="BO94" s="29">
        <f t="shared" si="97"/>
        <v>1</v>
      </c>
      <c r="BP94" s="29">
        <f t="shared" si="86"/>
        <v>1</v>
      </c>
      <c r="BQ94" s="29">
        <f t="shared" si="87"/>
        <v>1</v>
      </c>
      <c r="BR94" s="65"/>
      <c r="BS94" s="29">
        <f t="shared" si="105"/>
        <v>1</v>
      </c>
      <c r="BT94" s="29">
        <f t="shared" si="98"/>
        <v>1</v>
      </c>
      <c r="BU94" s="29">
        <f t="shared" si="99"/>
        <v>1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78</v>
      </c>
      <c r="Y95" s="25" t="s">
        <v>78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</v>
      </c>
      <c r="BL95" s="29">
        <v>1</v>
      </c>
      <c r="BM95" s="29">
        <v>1</v>
      </c>
      <c r="BO95" s="29">
        <f t="shared" si="97"/>
        <v>1</v>
      </c>
      <c r="BP95" s="29">
        <f t="shared" si="86"/>
        <v>1</v>
      </c>
      <c r="BQ95" s="29">
        <f t="shared" si="87"/>
        <v>1</v>
      </c>
      <c r="BR95" s="65"/>
      <c r="BS95" s="29">
        <f t="shared" si="105"/>
        <v>1</v>
      </c>
      <c r="BT95" s="29">
        <f t="shared" si="98"/>
        <v>1</v>
      </c>
      <c r="BU95" s="29">
        <f t="shared" si="99"/>
        <v>1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2">
        <f>SUM(C81:C91)</f>
        <v>123</v>
      </c>
      <c r="D96" s="152">
        <f>SUM(D81:D91)</f>
        <v>209</v>
      </c>
      <c r="E96" s="84">
        <f>SUM(E81:E91)</f>
        <v>203</v>
      </c>
      <c r="F96" s="69"/>
      <c r="H96" s="41" t="str" cm="1">
        <f t="array" ref="H96:I103">A96:B103</f>
        <v>--</v>
      </c>
      <c r="I96" s="43" t="str">
        <v>WW,C1,M1,M2,M3,M4,A,K,Q,J,TE,NI</v>
      </c>
      <c r="J96" s="152">
        <f ca="1">SUM(J81:J91)</f>
        <v>123</v>
      </c>
      <c r="K96" s="152">
        <f ca="1">SUM(K81:K91)</f>
        <v>209</v>
      </c>
      <c r="L96" s="84">
        <f ca="1">SUM(L81:L91)</f>
        <v>203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2">
        <f ca="1">SUM(Q81:Q91)</f>
        <v>123</v>
      </c>
      <c r="R96" s="152">
        <f ca="1">SUM(R81:R91)</f>
        <v>209</v>
      </c>
      <c r="S96" s="84">
        <f ca="1">SUM(S81:S91)</f>
        <v>203</v>
      </c>
      <c r="T96" s="69"/>
      <c r="V96" s="27">
        <v>93</v>
      </c>
      <c r="W96" s="25" t="s">
        <v>18</v>
      </c>
      <c r="X96" s="25" t="s">
        <v>79</v>
      </c>
      <c r="Y96" s="25" t="s">
        <v>78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</v>
      </c>
      <c r="BL96" s="29">
        <v>1</v>
      </c>
      <c r="BM96" s="29">
        <v>1</v>
      </c>
      <c r="BO96" s="29">
        <f t="shared" si="97"/>
        <v>1</v>
      </c>
      <c r="BP96" s="29">
        <f t="shared" si="86"/>
        <v>1</v>
      </c>
      <c r="BQ96" s="29">
        <f t="shared" si="87"/>
        <v>1</v>
      </c>
      <c r="BR96" s="65"/>
      <c r="BS96" s="29">
        <f t="shared" si="105"/>
        <v>1</v>
      </c>
      <c r="BT96" s="29">
        <f t="shared" si="98"/>
        <v>1</v>
      </c>
      <c r="BU96" s="29">
        <f t="shared" si="99"/>
        <v>1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2">
        <f>C$3+C$4</f>
        <v>23</v>
      </c>
      <c r="D97" s="152">
        <f>D$3+D$4</f>
        <v>45</v>
      </c>
      <c r="E97" s="84">
        <f>E$3+E$4</f>
        <v>44</v>
      </c>
      <c r="F97" s="69"/>
      <c r="H97" s="78" t="str">
        <v>W1</v>
      </c>
      <c r="I97" s="48" t="str">
        <v>WW,M1</v>
      </c>
      <c r="J97" s="152">
        <f>J$3+J$4</f>
        <v>23</v>
      </c>
      <c r="K97" s="152">
        <f ca="1">K$3+K$4</f>
        <v>45</v>
      </c>
      <c r="L97" s="84">
        <f ca="1">L$3+L$4</f>
        <v>44</v>
      </c>
      <c r="M97" s="69"/>
      <c r="O97" s="78" t="str">
        <v>W1</v>
      </c>
      <c r="P97" s="48" t="str">
        <v>WW,M1</v>
      </c>
      <c r="Q97" s="152">
        <f>Q$3+Q$4</f>
        <v>23</v>
      </c>
      <c r="R97" s="152">
        <f ca="1">R$3+R$4</f>
        <v>45</v>
      </c>
      <c r="S97" s="84">
        <f ca="1">S$3+S$4</f>
        <v>44</v>
      </c>
      <c r="T97" s="69"/>
      <c r="V97" s="27">
        <v>94</v>
      </c>
      <c r="W97" s="25" t="s">
        <v>81</v>
      </c>
      <c r="X97" s="25" t="s">
        <v>79</v>
      </c>
      <c r="Y97" s="25" t="s">
        <v>81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</v>
      </c>
      <c r="BL97" s="29">
        <v>1</v>
      </c>
      <c r="BM97" s="29">
        <v>1</v>
      </c>
      <c r="BO97" s="29">
        <f t="shared" si="97"/>
        <v>1</v>
      </c>
      <c r="BP97" s="29">
        <f t="shared" si="86"/>
        <v>1</v>
      </c>
      <c r="BQ97" s="29">
        <f t="shared" si="87"/>
        <v>1</v>
      </c>
      <c r="BR97" s="65"/>
      <c r="BS97" s="29">
        <f t="shared" si="105"/>
        <v>1</v>
      </c>
      <c r="BT97" s="29">
        <f t="shared" si="98"/>
        <v>1</v>
      </c>
      <c r="BU97" s="29">
        <f t="shared" si="99"/>
        <v>1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2">
        <f>C$3+C$5</f>
        <v>22</v>
      </c>
      <c r="D98" s="152">
        <f>D$3+D$5</f>
        <v>47</v>
      </c>
      <c r="E98" s="84">
        <f>E$3+E$5</f>
        <v>48</v>
      </c>
      <c r="F98" s="69"/>
      <c r="H98" s="78" t="str">
        <v>W2</v>
      </c>
      <c r="I98" s="48" t="str">
        <v>WW,M2</v>
      </c>
      <c r="J98" s="152">
        <f>J$3+J$5</f>
        <v>22</v>
      </c>
      <c r="K98" s="152">
        <f ca="1">K$3+K$5</f>
        <v>47</v>
      </c>
      <c r="L98" s="84">
        <f>L$3+L$5</f>
        <v>48</v>
      </c>
      <c r="M98" s="69"/>
      <c r="O98" s="78" t="str">
        <v>W2</v>
      </c>
      <c r="P98" s="48" t="str">
        <v>WW,M2</v>
      </c>
      <c r="Q98" s="152">
        <f>Q$3+Q$5</f>
        <v>22</v>
      </c>
      <c r="R98" s="152">
        <f ca="1">R$3+R$5</f>
        <v>47</v>
      </c>
      <c r="S98" s="84">
        <f>S$3+S$5</f>
        <v>48</v>
      </c>
      <c r="T98" s="69"/>
      <c r="V98" s="27">
        <v>95</v>
      </c>
      <c r="W98" s="25" t="s">
        <v>81</v>
      </c>
      <c r="X98" s="25" t="s">
        <v>79</v>
      </c>
      <c r="Y98" s="25" t="s">
        <v>81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</v>
      </c>
      <c r="BL98" s="29">
        <v>1</v>
      </c>
      <c r="BM98" s="29">
        <v>1</v>
      </c>
      <c r="BO98" s="29">
        <f t="shared" si="97"/>
        <v>1</v>
      </c>
      <c r="BP98" s="29">
        <f t="shared" si="86"/>
        <v>1</v>
      </c>
      <c r="BQ98" s="29">
        <f t="shared" si="87"/>
        <v>1</v>
      </c>
      <c r="BR98" s="65"/>
      <c r="BS98" s="29">
        <f t="shared" si="105"/>
        <v>1</v>
      </c>
      <c r="BT98" s="29">
        <f t="shared" si="98"/>
        <v>1</v>
      </c>
      <c r="BU98" s="29">
        <f t="shared" si="99"/>
        <v>1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2">
        <f>C$3+C$6</f>
        <v>23</v>
      </c>
      <c r="D99" s="152">
        <f>D$3+D$6</f>
        <v>46</v>
      </c>
      <c r="E99" s="84">
        <f>E$3+E$6</f>
        <v>49</v>
      </c>
      <c r="F99" s="69"/>
      <c r="H99" s="78" t="str">
        <v>W3</v>
      </c>
      <c r="I99" s="48" t="str">
        <v>WW,M3</v>
      </c>
      <c r="J99" s="152">
        <f>J$3+J$6</f>
        <v>23</v>
      </c>
      <c r="K99" s="152">
        <f ca="1">K$3+K$6</f>
        <v>46</v>
      </c>
      <c r="L99" s="84">
        <f>L$3+L$6</f>
        <v>49</v>
      </c>
      <c r="M99" s="69"/>
      <c r="O99" s="78" t="str">
        <v>W3</v>
      </c>
      <c r="P99" s="48" t="str">
        <v>WW,M3</v>
      </c>
      <c r="Q99" s="152">
        <f>Q$3+Q$6</f>
        <v>23</v>
      </c>
      <c r="R99" s="152">
        <f ca="1">R$3+R$6</f>
        <v>46</v>
      </c>
      <c r="S99" s="84">
        <f>S$3+S$6</f>
        <v>49</v>
      </c>
      <c r="T99" s="69"/>
      <c r="V99" s="27">
        <v>96</v>
      </c>
      <c r="W99" s="25" t="s">
        <v>81</v>
      </c>
      <c r="X99" s="25" t="s">
        <v>80</v>
      </c>
      <c r="Y99" s="25" t="s">
        <v>81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</v>
      </c>
      <c r="BL99" s="29">
        <v>1</v>
      </c>
      <c r="BM99" s="29">
        <v>1</v>
      </c>
      <c r="BO99" s="29">
        <f t="shared" si="97"/>
        <v>1</v>
      </c>
      <c r="BP99" s="29">
        <f t="shared" si="86"/>
        <v>1</v>
      </c>
      <c r="BQ99" s="29">
        <f t="shared" si="87"/>
        <v>1</v>
      </c>
      <c r="BR99" s="65"/>
      <c r="BS99" s="29">
        <f t="shared" si="105"/>
        <v>1</v>
      </c>
      <c r="BT99" s="29">
        <f t="shared" si="98"/>
        <v>1</v>
      </c>
      <c r="BU99" s="29">
        <f t="shared" si="99"/>
        <v>1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2">
        <f>C$3+C$7</f>
        <v>27</v>
      </c>
      <c r="D100" s="152">
        <f>D$3+D$7</f>
        <v>51</v>
      </c>
      <c r="E100" s="84">
        <f>E$3+E$7</f>
        <v>44</v>
      </c>
      <c r="F100" s="69"/>
      <c r="H100" s="78" t="str">
        <v>WA</v>
      </c>
      <c r="I100" s="48" t="str">
        <v>WW,A</v>
      </c>
      <c r="J100" s="152">
        <f>J$3+J$7</f>
        <v>27</v>
      </c>
      <c r="K100" s="152">
        <f ca="1">K$3+K$7</f>
        <v>51</v>
      </c>
      <c r="L100" s="84">
        <f>L$3+L$7</f>
        <v>44</v>
      </c>
      <c r="M100" s="69"/>
      <c r="O100" s="78" t="str">
        <v>WA</v>
      </c>
      <c r="P100" s="48" t="str">
        <v>WW,A</v>
      </c>
      <c r="Q100" s="152">
        <f>Q$3+Q$7</f>
        <v>27</v>
      </c>
      <c r="R100" s="152">
        <f ca="1">R$3+R$7</f>
        <v>51</v>
      </c>
      <c r="S100" s="84">
        <f>S$3+S$7</f>
        <v>44</v>
      </c>
      <c r="T100" s="69"/>
      <c r="V100" s="27">
        <v>97</v>
      </c>
      <c r="W100" s="25" t="s">
        <v>18</v>
      </c>
      <c r="X100" s="25" t="s">
        <v>80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</v>
      </c>
      <c r="BL100" s="29">
        <v>1</v>
      </c>
      <c r="BM100" s="29">
        <v>1</v>
      </c>
      <c r="BO100" s="29">
        <f t="shared" si="97"/>
        <v>1</v>
      </c>
      <c r="BP100" s="29">
        <f t="shared" si="86"/>
        <v>1</v>
      </c>
      <c r="BQ100" s="29">
        <f t="shared" si="87"/>
        <v>1</v>
      </c>
      <c r="BR100" s="65"/>
      <c r="BS100" s="29">
        <f t="shared" si="105"/>
        <v>1</v>
      </c>
      <c r="BT100" s="29">
        <f t="shared" si="98"/>
        <v>1</v>
      </c>
      <c r="BU100" s="29">
        <f t="shared" si="99"/>
        <v>1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2">
        <f>C$3+C$8</f>
        <v>28</v>
      </c>
      <c r="D101" s="152">
        <f>D$3+D$8</f>
        <v>49</v>
      </c>
      <c r="E101" s="84">
        <f>E$3+E$8</f>
        <v>48</v>
      </c>
      <c r="F101" s="69"/>
      <c r="H101" s="78" t="str">
        <v>WK</v>
      </c>
      <c r="I101" s="48" t="str">
        <v>WW,K</v>
      </c>
      <c r="J101" s="152">
        <f>J$3+J$8</f>
        <v>28</v>
      </c>
      <c r="K101" s="152">
        <f ca="1">K$3+K$8</f>
        <v>49</v>
      </c>
      <c r="L101" s="84">
        <f>L$3+L$8</f>
        <v>48</v>
      </c>
      <c r="M101" s="69"/>
      <c r="O101" s="78" t="str">
        <v>WK</v>
      </c>
      <c r="P101" s="48" t="str">
        <v>WW,K</v>
      </c>
      <c r="Q101" s="152">
        <f ca="1">Q$3+Q$8</f>
        <v>28</v>
      </c>
      <c r="R101" s="152">
        <f ca="1">R$3+R$8</f>
        <v>49</v>
      </c>
      <c r="S101" s="84">
        <f>S$3+S$8</f>
        <v>48</v>
      </c>
      <c r="T101" s="69"/>
      <c r="V101" s="27">
        <v>98</v>
      </c>
      <c r="W101" s="25" t="s">
        <v>18</v>
      </c>
      <c r="X101" s="25" t="s">
        <v>78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</v>
      </c>
      <c r="BL101" s="29">
        <v>1</v>
      </c>
      <c r="BM101" s="29">
        <v>1</v>
      </c>
      <c r="BO101" s="29">
        <f t="shared" si="97"/>
        <v>1</v>
      </c>
      <c r="BP101" s="29">
        <f t="shared" si="86"/>
        <v>1</v>
      </c>
      <c r="BQ101" s="29">
        <f t="shared" si="87"/>
        <v>1</v>
      </c>
      <c r="BR101" s="65"/>
      <c r="BS101" s="29">
        <f t="shared" si="105"/>
        <v>1</v>
      </c>
      <c r="BT101" s="29">
        <f t="shared" si="98"/>
        <v>1</v>
      </c>
      <c r="BU101" s="29">
        <f t="shared" si="99"/>
        <v>1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2">
        <f>C$3+C$9</f>
        <v>26</v>
      </c>
      <c r="D102" s="152">
        <f>D$3+D$9</f>
        <v>50</v>
      </c>
      <c r="E102" s="84">
        <f>E$3+E$9</f>
        <v>48</v>
      </c>
      <c r="F102" s="69"/>
      <c r="H102" s="78" t="str">
        <v>WQ</v>
      </c>
      <c r="I102" s="48" t="str">
        <v>WW,Q</v>
      </c>
      <c r="J102" s="152">
        <f>J$3+J$9</f>
        <v>26</v>
      </c>
      <c r="K102" s="152">
        <f ca="1">K$3+K$9</f>
        <v>50</v>
      </c>
      <c r="L102" s="84">
        <f>L$3+L$9</f>
        <v>48</v>
      </c>
      <c r="M102" s="69"/>
      <c r="O102" s="78" t="str">
        <v>WQ</v>
      </c>
      <c r="P102" s="48" t="str">
        <v>WW,Q</v>
      </c>
      <c r="Q102" s="152">
        <f>Q$3+Q$9</f>
        <v>26</v>
      </c>
      <c r="R102" s="152">
        <f ca="1">R$3+R$9</f>
        <v>50</v>
      </c>
      <c r="S102" s="84">
        <f>S$3+S$9</f>
        <v>48</v>
      </c>
      <c r="T102" s="69"/>
      <c r="V102" s="27">
        <v>99</v>
      </c>
      <c r="W102" s="25" t="s">
        <v>78</v>
      </c>
      <c r="X102" s="25" t="s">
        <v>78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</v>
      </c>
      <c r="BL102" s="29">
        <v>1</v>
      </c>
      <c r="BM102" s="29">
        <v>1</v>
      </c>
      <c r="BO102" s="29">
        <f t="shared" si="97"/>
        <v>1</v>
      </c>
      <c r="BP102" s="29">
        <f t="shared" si="86"/>
        <v>1</v>
      </c>
      <c r="BQ102" s="29">
        <f t="shared" si="87"/>
        <v>1</v>
      </c>
      <c r="BR102" s="65"/>
      <c r="BS102" s="29">
        <f t="shared" si="105"/>
        <v>1</v>
      </c>
      <c r="BT102" s="29">
        <f t="shared" si="98"/>
        <v>1</v>
      </c>
      <c r="BU102" s="29">
        <f t="shared" si="99"/>
        <v>1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1">
        <f>C$3+C$10</f>
        <v>28</v>
      </c>
      <c r="D103" s="151">
        <f>D$3+D$10</f>
        <v>47</v>
      </c>
      <c r="E103" s="17">
        <f>E$3+E$10</f>
        <v>48</v>
      </c>
      <c r="F103" s="69"/>
      <c r="H103" s="73" t="str">
        <v>WJ</v>
      </c>
      <c r="I103" s="53" t="str">
        <v>WW,J</v>
      </c>
      <c r="J103" s="151">
        <f ca="1">J$3+J$10</f>
        <v>28</v>
      </c>
      <c r="K103" s="151">
        <f ca="1">K$3+K$10</f>
        <v>47</v>
      </c>
      <c r="L103" s="17">
        <f>L$3+L$10</f>
        <v>48</v>
      </c>
      <c r="M103" s="69"/>
      <c r="O103" s="73" t="str">
        <v>WJ</v>
      </c>
      <c r="P103" s="53" t="str">
        <v>WW,J</v>
      </c>
      <c r="Q103" s="151">
        <f ca="1">Q$3+Q$10</f>
        <v>28</v>
      </c>
      <c r="R103" s="151">
        <f ca="1">R$3+R$10</f>
        <v>47</v>
      </c>
      <c r="S103" s="17">
        <f>S$3+S$10</f>
        <v>48</v>
      </c>
      <c r="T103" s="69"/>
      <c r="V103" s="27">
        <v>100</v>
      </c>
      <c r="W103" s="25" t="s">
        <v>78</v>
      </c>
      <c r="X103" s="25" t="s">
        <v>79</v>
      </c>
      <c r="Y103" s="25" t="s">
        <v>79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</v>
      </c>
      <c r="BL103" s="29">
        <v>1</v>
      </c>
      <c r="BM103" s="29">
        <v>1</v>
      </c>
      <c r="BO103" s="29">
        <f t="shared" si="97"/>
        <v>1</v>
      </c>
      <c r="BP103" s="29">
        <f t="shared" si="86"/>
        <v>1</v>
      </c>
      <c r="BQ103" s="29">
        <f t="shared" si="87"/>
        <v>1</v>
      </c>
      <c r="BR103" s="65"/>
      <c r="BS103" s="29">
        <f t="shared" si="105"/>
        <v>1</v>
      </c>
      <c r="BT103" s="29">
        <f t="shared" si="98"/>
        <v>1</v>
      </c>
      <c r="BU103" s="29">
        <f t="shared" si="99"/>
        <v>1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79</v>
      </c>
      <c r="X104" s="25" t="s">
        <v>79</v>
      </c>
      <c r="Y104" s="25" t="s">
        <v>79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</v>
      </c>
      <c r="BL104" s="29">
        <v>1</v>
      </c>
      <c r="BM104" s="29">
        <v>1</v>
      </c>
      <c r="BO104" s="29">
        <f t="shared" si="97"/>
        <v>1</v>
      </c>
      <c r="BP104" s="29">
        <f t="shared" si="86"/>
        <v>1</v>
      </c>
      <c r="BQ104" s="29">
        <f t="shared" si="87"/>
        <v>1</v>
      </c>
      <c r="BR104" s="65"/>
      <c r="BS104" s="29">
        <f t="shared" si="105"/>
        <v>1</v>
      </c>
      <c r="BT104" s="29">
        <f t="shared" si="98"/>
        <v>1</v>
      </c>
      <c r="BU104" s="29">
        <f t="shared" si="99"/>
        <v>1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79</v>
      </c>
      <c r="X105" s="25" t="s">
        <v>18</v>
      </c>
      <c r="Y105" s="25" t="s">
        <v>79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</v>
      </c>
      <c r="BL105" s="29">
        <v>1</v>
      </c>
      <c r="BM105" s="29">
        <v>1</v>
      </c>
      <c r="BO105" s="29">
        <f t="shared" si="97"/>
        <v>1</v>
      </c>
      <c r="BP105" s="29">
        <f t="shared" si="86"/>
        <v>1</v>
      </c>
      <c r="BQ105" s="29">
        <f t="shared" si="87"/>
        <v>1</v>
      </c>
      <c r="BR105" s="65"/>
      <c r="BS105" s="29">
        <f t="shared" si="105"/>
        <v>1</v>
      </c>
      <c r="BT105" s="29">
        <f t="shared" si="98"/>
        <v>1</v>
      </c>
      <c r="BU105" s="29">
        <f t="shared" si="99"/>
        <v>1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79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</v>
      </c>
      <c r="BL106" s="29">
        <v>1</v>
      </c>
      <c r="BM106" s="29">
        <v>1</v>
      </c>
      <c r="BO106" s="29">
        <f t="shared" si="97"/>
        <v>1</v>
      </c>
      <c r="BP106" s="29">
        <f t="shared" si="86"/>
        <v>1</v>
      </c>
      <c r="BQ106" s="29">
        <f t="shared" si="87"/>
        <v>1</v>
      </c>
      <c r="BR106" s="65"/>
      <c r="BS106" s="29">
        <f t="shared" si="105"/>
        <v>1</v>
      </c>
      <c r="BT106" s="29">
        <f t="shared" si="98"/>
        <v>1</v>
      </c>
      <c r="BU106" s="29">
        <f t="shared" si="99"/>
        <v>1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80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</v>
      </c>
      <c r="BL107" s="29">
        <v>1</v>
      </c>
      <c r="BM107" s="29">
        <v>1</v>
      </c>
      <c r="BO107" s="29">
        <f t="shared" si="97"/>
        <v>1</v>
      </c>
      <c r="BP107" s="29">
        <f t="shared" si="86"/>
        <v>1</v>
      </c>
      <c r="BQ107" s="29">
        <f t="shared" si="87"/>
        <v>1</v>
      </c>
      <c r="BR107" s="65"/>
      <c r="BS107" s="29">
        <f t="shared" si="105"/>
        <v>1</v>
      </c>
      <c r="BT107" s="29">
        <f t="shared" si="98"/>
        <v>1</v>
      </c>
      <c r="BU107" s="29">
        <f t="shared" si="99"/>
        <v>1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80</v>
      </c>
      <c r="X108" s="25" t="s">
        <v>81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</v>
      </c>
      <c r="BL108" s="29">
        <v>1</v>
      </c>
      <c r="BM108" s="29">
        <v>1</v>
      </c>
      <c r="BO108" s="29">
        <f t="shared" si="97"/>
        <v>1</v>
      </c>
      <c r="BP108" s="29">
        <f t="shared" si="86"/>
        <v>1</v>
      </c>
      <c r="BQ108" s="29">
        <f t="shared" si="87"/>
        <v>1</v>
      </c>
      <c r="BR108" s="65"/>
      <c r="BS108" s="29">
        <f t="shared" si="105"/>
        <v>1</v>
      </c>
      <c r="BT108" s="29">
        <f t="shared" si="98"/>
        <v>1</v>
      </c>
      <c r="BU108" s="29">
        <f t="shared" si="99"/>
        <v>1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81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</v>
      </c>
      <c r="BL109" s="29">
        <v>1</v>
      </c>
      <c r="BM109" s="29">
        <v>1</v>
      </c>
      <c r="BO109" s="29">
        <f t="shared" si="97"/>
        <v>1</v>
      </c>
      <c r="BP109" s="29">
        <f t="shared" si="86"/>
        <v>1</v>
      </c>
      <c r="BQ109" s="29">
        <f t="shared" si="87"/>
        <v>1</v>
      </c>
      <c r="BR109" s="65"/>
      <c r="BS109" s="29">
        <f t="shared" si="105"/>
        <v>1</v>
      </c>
      <c r="BT109" s="29">
        <f t="shared" si="98"/>
        <v>1</v>
      </c>
      <c r="BU109" s="29">
        <f t="shared" si="99"/>
        <v>1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81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</v>
      </c>
      <c r="BL110" s="29">
        <v>1</v>
      </c>
      <c r="BM110" s="29">
        <v>1</v>
      </c>
      <c r="BO110" s="29">
        <f t="shared" si="97"/>
        <v>1</v>
      </c>
      <c r="BP110" s="29">
        <f t="shared" si="86"/>
        <v>1</v>
      </c>
      <c r="BQ110" s="29">
        <f t="shared" si="87"/>
        <v>1</v>
      </c>
      <c r="BR110" s="65"/>
      <c r="BS110" s="29">
        <f t="shared" si="105"/>
        <v>1</v>
      </c>
      <c r="BT110" s="29">
        <f t="shared" si="98"/>
        <v>1</v>
      </c>
      <c r="BU110" s="29">
        <f t="shared" si="99"/>
        <v>1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</v>
      </c>
      <c r="BL111" s="29">
        <v>1</v>
      </c>
      <c r="BM111" s="29">
        <v>1</v>
      </c>
      <c r="BO111" s="29">
        <f t="shared" si="97"/>
        <v>1</v>
      </c>
      <c r="BP111" s="29">
        <f t="shared" si="86"/>
        <v>1</v>
      </c>
      <c r="BQ111" s="29">
        <f t="shared" si="87"/>
        <v>1</v>
      </c>
      <c r="BR111" s="65"/>
      <c r="BS111" s="29">
        <f t="shared" si="105"/>
        <v>1</v>
      </c>
      <c r="BT111" s="29">
        <f t="shared" si="98"/>
        <v>1</v>
      </c>
      <c r="BU111" s="29">
        <f t="shared" si="99"/>
        <v>1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80</v>
      </c>
      <c r="X112" s="25" t="s">
        <v>16</v>
      </c>
      <c r="Y112" s="25" t="s">
        <v>81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</v>
      </c>
      <c r="BL112" s="29">
        <v>1</v>
      </c>
      <c r="BM112" s="29">
        <v>1</v>
      </c>
      <c r="BO112" s="29">
        <f t="shared" si="97"/>
        <v>1</v>
      </c>
      <c r="BP112" s="29">
        <f t="shared" si="86"/>
        <v>1</v>
      </c>
      <c r="BQ112" s="29">
        <f t="shared" si="87"/>
        <v>1</v>
      </c>
      <c r="BR112" s="65"/>
      <c r="BS112" s="29">
        <f t="shared" si="105"/>
        <v>1</v>
      </c>
      <c r="BT112" s="29">
        <f t="shared" si="98"/>
        <v>1</v>
      </c>
      <c r="BU112" s="29">
        <f t="shared" si="99"/>
        <v>1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80</v>
      </c>
      <c r="X113" s="25" t="s">
        <v>16</v>
      </c>
      <c r="Y113" s="25" t="s">
        <v>81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</v>
      </c>
      <c r="BL113" s="29">
        <v>1</v>
      </c>
      <c r="BM113" s="29">
        <v>1</v>
      </c>
      <c r="BO113" s="29">
        <f t="shared" si="97"/>
        <v>1</v>
      </c>
      <c r="BP113" s="29">
        <f t="shared" si="86"/>
        <v>1</v>
      </c>
      <c r="BQ113" s="29">
        <f t="shared" si="87"/>
        <v>1</v>
      </c>
      <c r="BR113" s="65"/>
      <c r="BS113" s="29">
        <f t="shared" si="105"/>
        <v>1</v>
      </c>
      <c r="BT113" s="29">
        <f t="shared" si="98"/>
        <v>1</v>
      </c>
      <c r="BU113" s="29">
        <f t="shared" si="99"/>
        <v>1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78</v>
      </c>
      <c r="X114" s="25" t="s">
        <v>81</v>
      </c>
      <c r="Y114" s="25" t="s">
        <v>81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</v>
      </c>
      <c r="BL114" s="29">
        <v>1</v>
      </c>
      <c r="BM114" s="29">
        <v>1</v>
      </c>
      <c r="BO114" s="29">
        <f t="shared" si="97"/>
        <v>1</v>
      </c>
      <c r="BP114" s="29">
        <f t="shared" si="86"/>
        <v>1</v>
      </c>
      <c r="BQ114" s="29">
        <f t="shared" si="87"/>
        <v>1</v>
      </c>
      <c r="BR114" s="65"/>
      <c r="BS114" s="29">
        <f t="shared" si="105"/>
        <v>1</v>
      </c>
      <c r="BT114" s="29">
        <f t="shared" si="98"/>
        <v>1</v>
      </c>
      <c r="BU114" s="29">
        <f t="shared" si="99"/>
        <v>1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78</v>
      </c>
      <c r="X115" s="25" t="s">
        <v>81</v>
      </c>
      <c r="Y115" s="25" t="s">
        <v>81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</v>
      </c>
      <c r="BL115" s="29">
        <v>1</v>
      </c>
      <c r="BM115" s="29">
        <v>1</v>
      </c>
      <c r="BO115" s="29">
        <f t="shared" si="97"/>
        <v>1</v>
      </c>
      <c r="BP115" s="29">
        <f t="shared" si="86"/>
        <v>1</v>
      </c>
      <c r="BQ115" s="29">
        <f t="shared" si="87"/>
        <v>1</v>
      </c>
      <c r="BR115" s="65"/>
      <c r="BS115" s="29">
        <f t="shared" si="105"/>
        <v>1</v>
      </c>
      <c r="BT115" s="29">
        <f t="shared" si="98"/>
        <v>1</v>
      </c>
      <c r="BU115" s="29">
        <f t="shared" si="99"/>
        <v>1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81</v>
      </c>
      <c r="Y116" s="25" t="s">
        <v>78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</v>
      </c>
      <c r="BL116" s="29">
        <v>1</v>
      </c>
      <c r="BM116" s="29">
        <v>1</v>
      </c>
      <c r="BO116" s="29">
        <f t="shared" si="97"/>
        <v>1</v>
      </c>
      <c r="BP116" s="29">
        <f t="shared" si="86"/>
        <v>1</v>
      </c>
      <c r="BQ116" s="29">
        <f t="shared" si="87"/>
        <v>1</v>
      </c>
      <c r="BR116" s="65"/>
      <c r="BS116" s="29">
        <f t="shared" si="105"/>
        <v>1</v>
      </c>
      <c r="BT116" s="29">
        <f t="shared" si="98"/>
        <v>1</v>
      </c>
      <c r="BU116" s="29">
        <f t="shared" si="99"/>
        <v>1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81</v>
      </c>
      <c r="X117" s="25" t="s">
        <v>16</v>
      </c>
      <c r="Y117" s="25" t="s">
        <v>78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</v>
      </c>
      <c r="BL117" s="29">
        <v>1</v>
      </c>
      <c r="BM117" s="29">
        <v>1</v>
      </c>
      <c r="BO117" s="29">
        <f t="shared" si="97"/>
        <v>1</v>
      </c>
      <c r="BP117" s="29">
        <f t="shared" si="86"/>
        <v>1</v>
      </c>
      <c r="BQ117" s="29">
        <f t="shared" si="87"/>
        <v>1</v>
      </c>
      <c r="BR117" s="65"/>
      <c r="BS117" s="29">
        <f t="shared" si="105"/>
        <v>1</v>
      </c>
      <c r="BT117" s="29">
        <f t="shared" si="98"/>
        <v>1</v>
      </c>
      <c r="BU117" s="29">
        <f t="shared" si="99"/>
        <v>1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81</v>
      </c>
      <c r="X118" s="25" t="s">
        <v>16</v>
      </c>
      <c r="Y118" s="25" t="s">
        <v>78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</v>
      </c>
      <c r="BL118" s="29">
        <v>1</v>
      </c>
      <c r="BM118" s="29">
        <v>1</v>
      </c>
      <c r="BO118" s="29">
        <f t="shared" si="97"/>
        <v>1</v>
      </c>
      <c r="BP118" s="29">
        <f t="shared" si="86"/>
        <v>1</v>
      </c>
      <c r="BQ118" s="29">
        <f t="shared" si="87"/>
        <v>1</v>
      </c>
      <c r="BR118" s="65"/>
      <c r="BS118" s="29">
        <f t="shared" si="105"/>
        <v>1</v>
      </c>
      <c r="BT118" s="29">
        <f t="shared" si="98"/>
        <v>1</v>
      </c>
      <c r="BU118" s="29">
        <f t="shared" si="99"/>
        <v>1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</v>
      </c>
      <c r="BL119" s="29">
        <v>1</v>
      </c>
      <c r="BM119" s="29">
        <v>1</v>
      </c>
      <c r="BO119" s="29">
        <f t="shared" si="97"/>
        <v>1</v>
      </c>
      <c r="BP119" s="29">
        <f t="shared" si="86"/>
        <v>1</v>
      </c>
      <c r="BQ119" s="29">
        <f t="shared" si="87"/>
        <v>1</v>
      </c>
      <c r="BR119" s="65"/>
      <c r="BS119" s="29">
        <f t="shared" si="105"/>
        <v>1</v>
      </c>
      <c r="BT119" s="29">
        <f t="shared" si="98"/>
        <v>1</v>
      </c>
      <c r="BU119" s="29">
        <f t="shared" si="99"/>
        <v>1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80</v>
      </c>
      <c r="X120" s="25" t="s">
        <v>80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1</v>
      </c>
      <c r="BL120" s="29">
        <v>1</v>
      </c>
      <c r="BM120" s="29">
        <v>1</v>
      </c>
      <c r="BO120" s="29">
        <f t="shared" si="97"/>
        <v>1</v>
      </c>
      <c r="BP120" s="29">
        <f t="shared" si="86"/>
        <v>1</v>
      </c>
      <c r="BQ120" s="29">
        <f t="shared" si="87"/>
        <v>1</v>
      </c>
      <c r="BR120" s="65"/>
      <c r="BS120" s="29">
        <f t="shared" si="105"/>
        <v>1</v>
      </c>
      <c r="BT120" s="29">
        <f t="shared" si="98"/>
        <v>1</v>
      </c>
      <c r="BU120" s="29">
        <f t="shared" si="99"/>
        <v>1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80</v>
      </c>
      <c r="X121" s="25" t="s">
        <v>80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1</v>
      </c>
      <c r="BL121" s="29">
        <v>1</v>
      </c>
      <c r="BM121" s="29">
        <v>1</v>
      </c>
      <c r="BO121" s="29">
        <f t="shared" si="97"/>
        <v>1</v>
      </c>
      <c r="BP121" s="29">
        <f t="shared" si="86"/>
        <v>1</v>
      </c>
      <c r="BQ121" s="29">
        <f t="shared" si="87"/>
        <v>1</v>
      </c>
      <c r="BR121" s="65"/>
      <c r="BS121" s="29">
        <f t="shared" si="105"/>
        <v>1</v>
      </c>
      <c r="BT121" s="29">
        <f t="shared" si="98"/>
        <v>1</v>
      </c>
      <c r="BU121" s="29">
        <f t="shared" si="99"/>
        <v>1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79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1</v>
      </c>
      <c r="BL122" s="29">
        <v>1</v>
      </c>
      <c r="BM122" s="29">
        <v>1</v>
      </c>
      <c r="BO122" s="29">
        <f t="shared" si="97"/>
        <v>1</v>
      </c>
      <c r="BP122" s="29">
        <f t="shared" si="86"/>
        <v>1</v>
      </c>
      <c r="BQ122" s="29">
        <f t="shared" si="87"/>
        <v>1</v>
      </c>
      <c r="BR122" s="65"/>
      <c r="BS122" s="29">
        <f t="shared" si="105"/>
        <v>1</v>
      </c>
      <c r="BT122" s="29">
        <f t="shared" si="98"/>
        <v>1</v>
      </c>
      <c r="BU122" s="29">
        <f t="shared" si="99"/>
        <v>1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79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1</v>
      </c>
      <c r="BL123" s="29">
        <v>1</v>
      </c>
      <c r="BM123" s="29">
        <v>1</v>
      </c>
      <c r="BO123" s="29">
        <f t="shared" si="97"/>
        <v>1</v>
      </c>
      <c r="BP123" s="29">
        <f t="shared" si="86"/>
        <v>1</v>
      </c>
      <c r="BQ123" s="29">
        <f t="shared" si="87"/>
        <v>1</v>
      </c>
      <c r="BR123" s="65"/>
      <c r="BS123" s="29">
        <f t="shared" si="105"/>
        <v>1</v>
      </c>
      <c r="BT123" s="29">
        <f t="shared" si="98"/>
        <v>1</v>
      </c>
      <c r="BU123" s="29">
        <f t="shared" si="99"/>
        <v>1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81</v>
      </c>
      <c r="Y124" s="25" t="s">
        <v>79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1</v>
      </c>
      <c r="BL124" s="29">
        <v>1</v>
      </c>
      <c r="BM124" s="29">
        <v>1</v>
      </c>
      <c r="BO124" s="29">
        <f t="shared" si="97"/>
        <v>1</v>
      </c>
      <c r="BP124" s="29">
        <f t="shared" si="86"/>
        <v>1</v>
      </c>
      <c r="BQ124" s="29">
        <f t="shared" si="87"/>
        <v>1</v>
      </c>
      <c r="BR124" s="65"/>
      <c r="BS124" s="29">
        <f t="shared" si="105"/>
        <v>1</v>
      </c>
      <c r="BT124" s="29">
        <f t="shared" si="98"/>
        <v>1</v>
      </c>
      <c r="BU124" s="29">
        <f t="shared" si="99"/>
        <v>1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81</v>
      </c>
      <c r="X125" s="25" t="s">
        <v>81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</v>
      </c>
      <c r="BL125" s="29">
        <v>1</v>
      </c>
      <c r="BM125" s="29">
        <v>1</v>
      </c>
      <c r="BO125" s="29">
        <f t="shared" si="97"/>
        <v>1</v>
      </c>
      <c r="BP125" s="29">
        <f t="shared" si="86"/>
        <v>1</v>
      </c>
      <c r="BQ125" s="29">
        <f t="shared" si="87"/>
        <v>1</v>
      </c>
      <c r="BR125" s="65"/>
      <c r="BS125" s="29">
        <f t="shared" si="105"/>
        <v>1</v>
      </c>
      <c r="BT125" s="29">
        <f t="shared" si="98"/>
        <v>1</v>
      </c>
      <c r="BU125" s="29">
        <f t="shared" si="99"/>
        <v>1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</v>
      </c>
      <c r="BM126" s="29">
        <v>1</v>
      </c>
      <c r="BO126" s="29">
        <f t="shared" si="97"/>
        <v>1</v>
      </c>
      <c r="BP126" s="29">
        <f t="shared" si="86"/>
        <v>1</v>
      </c>
      <c r="BQ126" s="29">
        <f t="shared" si="87"/>
        <v>1</v>
      </c>
      <c r="BR126" s="65"/>
      <c r="BS126" s="29">
        <f t="shared" si="105"/>
        <v>1</v>
      </c>
      <c r="BT126" s="29">
        <f t="shared" si="98"/>
        <v>1</v>
      </c>
      <c r="BU126" s="29">
        <f t="shared" si="99"/>
        <v>1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80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</v>
      </c>
      <c r="BM127" s="29">
        <v>1</v>
      </c>
      <c r="BO127" s="29" t="str">
        <f t="shared" si="97"/>
        <v/>
      </c>
      <c r="BP127" s="29">
        <f t="shared" si="86"/>
        <v>1</v>
      </c>
      <c r="BQ127" s="29">
        <f t="shared" si="87"/>
        <v>1</v>
      </c>
      <c r="BR127" s="65"/>
      <c r="BS127" s="29">
        <f t="shared" si="105"/>
        <v>1</v>
      </c>
      <c r="BT127" s="29">
        <f t="shared" si="98"/>
        <v>1</v>
      </c>
      <c r="BU127" s="29">
        <f t="shared" si="99"/>
        <v>1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80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</v>
      </c>
      <c r="BM128" s="29">
        <v>1</v>
      </c>
      <c r="BO128" s="29" t="str">
        <f t="shared" si="97"/>
        <v/>
      </c>
      <c r="BP128" s="29">
        <f t="shared" si="86"/>
        <v>1</v>
      </c>
      <c r="BQ128" s="29">
        <f t="shared" si="87"/>
        <v>1</v>
      </c>
      <c r="BR128" s="65"/>
      <c r="BS128" s="29" t="str">
        <f t="shared" si="105"/>
        <v/>
      </c>
      <c r="BT128" s="29">
        <f t="shared" si="98"/>
        <v>1</v>
      </c>
      <c r="BU128" s="29">
        <f t="shared" si="99"/>
        <v>1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79</v>
      </c>
      <c r="Y129" s="25" t="s">
        <v>80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</v>
      </c>
      <c r="BM129" s="29">
        <v>1</v>
      </c>
      <c r="BO129" s="29" t="str">
        <f t="shared" si="97"/>
        <v/>
      </c>
      <c r="BP129" s="29">
        <f t="shared" si="86"/>
        <v>1</v>
      </c>
      <c r="BQ129" s="29">
        <f t="shared" si="87"/>
        <v>1</v>
      </c>
      <c r="BR129" s="65"/>
      <c r="BS129" s="29" t="str">
        <f t="shared" si="105"/>
        <v/>
      </c>
      <c r="BT129" s="29">
        <f t="shared" si="98"/>
        <v>1</v>
      </c>
      <c r="BU129" s="29">
        <f t="shared" si="99"/>
        <v>1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79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</v>
      </c>
      <c r="BM130" s="29">
        <v>1</v>
      </c>
      <c r="BO130" s="29" t="str">
        <f t="shared" si="97"/>
        <v/>
      </c>
      <c r="BP130" s="29">
        <f t="shared" si="86"/>
        <v>1</v>
      </c>
      <c r="BQ130" s="29">
        <f t="shared" si="87"/>
        <v>1</v>
      </c>
      <c r="BR130" s="65"/>
      <c r="BS130" s="29" t="str">
        <f t="shared" si="105"/>
        <v/>
      </c>
      <c r="BT130" s="29">
        <f t="shared" si="98"/>
        <v>1</v>
      </c>
      <c r="BU130" s="29">
        <f t="shared" si="99"/>
        <v>1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80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</v>
      </c>
      <c r="BM131" s="29">
        <v>1</v>
      </c>
      <c r="BO131" s="29" t="str">
        <f t="shared" si="97"/>
        <v/>
      </c>
      <c r="BP131" s="29">
        <f t="shared" si="86"/>
        <v>1</v>
      </c>
      <c r="BQ131" s="29">
        <f t="shared" si="87"/>
        <v>1</v>
      </c>
      <c r="BR131" s="65"/>
      <c r="BS131" s="29" t="str">
        <f t="shared" si="105"/>
        <v/>
      </c>
      <c r="BT131" s="29">
        <f t="shared" si="98"/>
        <v>1</v>
      </c>
      <c r="BU131" s="29">
        <f t="shared" si="99"/>
        <v>1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80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</v>
      </c>
      <c r="BM132" s="29">
        <v>1</v>
      </c>
      <c r="BO132" s="29" t="str">
        <f t="shared" si="97"/>
        <v/>
      </c>
      <c r="BP132" s="29">
        <f t="shared" ref="BP132:BP195" si="125">IF(BL131="","",BL131)</f>
        <v>1</v>
      </c>
      <c r="BQ132" s="29">
        <f t="shared" ref="BQ132:BQ195" si="126">IF(BM131="","",BM131)</f>
        <v>1</v>
      </c>
      <c r="BR132" s="65"/>
      <c r="BS132" s="29" t="str">
        <f t="shared" si="105"/>
        <v/>
      </c>
      <c r="BT132" s="29">
        <f t="shared" si="98"/>
        <v>1</v>
      </c>
      <c r="BU132" s="29">
        <f t="shared" si="99"/>
        <v>1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80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</v>
      </c>
      <c r="BM133" s="29">
        <v>1</v>
      </c>
      <c r="BO133" s="29" t="str">
        <f t="shared" ref="BO133:BO196" si="136">IF(BK132="","",BK132)</f>
        <v/>
      </c>
      <c r="BP133" s="29">
        <f t="shared" si="125"/>
        <v>1</v>
      </c>
      <c r="BQ133" s="29">
        <f t="shared" si="126"/>
        <v>1</v>
      </c>
      <c r="BR133" s="65"/>
      <c r="BS133" s="29" t="str">
        <f t="shared" si="105"/>
        <v/>
      </c>
      <c r="BT133" s="29">
        <f t="shared" ref="BT133:BT196" si="137">IF(BL131="","",BL131)</f>
        <v>1</v>
      </c>
      <c r="BU133" s="29">
        <f t="shared" ref="BU133:BU196" si="138">IF(BM131="","",BM131)</f>
        <v>1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</v>
      </c>
      <c r="BM134" s="29">
        <v>1</v>
      </c>
      <c r="BO134" s="29" t="str">
        <f t="shared" si="136"/>
        <v/>
      </c>
      <c r="BP134" s="29">
        <f t="shared" si="125"/>
        <v>1</v>
      </c>
      <c r="BQ134" s="29">
        <f t="shared" si="126"/>
        <v>1</v>
      </c>
      <c r="BR134" s="65"/>
      <c r="BS134" s="29" t="str">
        <f t="shared" ref="BS134:BS197" si="144">IF(BK132="","",BK132)</f>
        <v/>
      </c>
      <c r="BT134" s="29">
        <f t="shared" si="137"/>
        <v>1</v>
      </c>
      <c r="BU134" s="29">
        <f t="shared" si="138"/>
        <v>1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</v>
      </c>
      <c r="BM135" s="29">
        <v>1</v>
      </c>
      <c r="BO135" s="29" t="str">
        <f t="shared" si="136"/>
        <v/>
      </c>
      <c r="BP135" s="29">
        <f t="shared" si="125"/>
        <v>1</v>
      </c>
      <c r="BQ135" s="29">
        <f t="shared" si="126"/>
        <v>1</v>
      </c>
      <c r="BR135" s="65"/>
      <c r="BS135" s="29" t="str">
        <f t="shared" si="144"/>
        <v/>
      </c>
      <c r="BT135" s="29">
        <f t="shared" si="137"/>
        <v>1</v>
      </c>
      <c r="BU135" s="29">
        <f t="shared" si="138"/>
        <v>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80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</v>
      </c>
      <c r="BM136" s="29">
        <v>1</v>
      </c>
      <c r="BO136" s="29" t="str">
        <f t="shared" si="136"/>
        <v/>
      </c>
      <c r="BP136" s="29">
        <f t="shared" si="125"/>
        <v>1</v>
      </c>
      <c r="BQ136" s="29">
        <f t="shared" si="126"/>
        <v>1</v>
      </c>
      <c r="BR136" s="65"/>
      <c r="BS136" s="29" t="str">
        <f t="shared" si="144"/>
        <v/>
      </c>
      <c r="BT136" s="29">
        <f t="shared" si="137"/>
        <v>1</v>
      </c>
      <c r="BU136" s="29">
        <f t="shared" si="138"/>
        <v>1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79</v>
      </c>
      <c r="Y137" s="25" t="s">
        <v>80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</v>
      </c>
      <c r="BM137" s="29">
        <v>1</v>
      </c>
      <c r="BO137" s="29" t="str">
        <f t="shared" si="136"/>
        <v/>
      </c>
      <c r="BP137" s="29">
        <f t="shared" si="125"/>
        <v>1</v>
      </c>
      <c r="BQ137" s="29">
        <f t="shared" si="126"/>
        <v>1</v>
      </c>
      <c r="BR137" s="65"/>
      <c r="BS137" s="29" t="str">
        <f t="shared" si="144"/>
        <v/>
      </c>
      <c r="BT137" s="29">
        <f t="shared" si="137"/>
        <v>1</v>
      </c>
      <c r="BU137" s="29">
        <f t="shared" si="138"/>
        <v>1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79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</v>
      </c>
      <c r="BM138" s="29">
        <v>1</v>
      </c>
      <c r="BO138" s="29" t="str">
        <f t="shared" si="136"/>
        <v/>
      </c>
      <c r="BP138" s="29">
        <f t="shared" si="125"/>
        <v>1</v>
      </c>
      <c r="BQ138" s="29">
        <f t="shared" si="126"/>
        <v>1</v>
      </c>
      <c r="BR138" s="65"/>
      <c r="BS138" s="29" t="str">
        <f t="shared" si="144"/>
        <v/>
      </c>
      <c r="BT138" s="29">
        <f t="shared" si="137"/>
        <v>1</v>
      </c>
      <c r="BU138" s="29">
        <f t="shared" si="138"/>
        <v>1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79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</v>
      </c>
      <c r="BM139" s="29">
        <v>1</v>
      </c>
      <c r="BO139" s="29" t="str">
        <f t="shared" si="136"/>
        <v/>
      </c>
      <c r="BP139" s="29">
        <f t="shared" si="125"/>
        <v>1</v>
      </c>
      <c r="BQ139" s="29">
        <f t="shared" si="126"/>
        <v>1</v>
      </c>
      <c r="BR139" s="65"/>
      <c r="BS139" s="29" t="str">
        <f t="shared" si="144"/>
        <v/>
      </c>
      <c r="BT139" s="29">
        <f t="shared" si="137"/>
        <v>1</v>
      </c>
      <c r="BU139" s="29">
        <f t="shared" si="138"/>
        <v>1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</v>
      </c>
      <c r="BM140" s="29">
        <v>1</v>
      </c>
      <c r="BO140" s="29" t="str">
        <f t="shared" si="136"/>
        <v/>
      </c>
      <c r="BP140" s="29">
        <f t="shared" si="125"/>
        <v>1</v>
      </c>
      <c r="BQ140" s="29">
        <f t="shared" si="126"/>
        <v>1</v>
      </c>
      <c r="BR140" s="65"/>
      <c r="BS140" s="29" t="str">
        <f t="shared" si="144"/>
        <v/>
      </c>
      <c r="BT140" s="29">
        <f t="shared" si="137"/>
        <v>1</v>
      </c>
      <c r="BU140" s="29">
        <f t="shared" si="138"/>
        <v>1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79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</v>
      </c>
      <c r="BM141" s="29">
        <v>1</v>
      </c>
      <c r="BO141" s="29" t="str">
        <f t="shared" si="136"/>
        <v/>
      </c>
      <c r="BP141" s="29">
        <f t="shared" si="125"/>
        <v>1</v>
      </c>
      <c r="BQ141" s="29">
        <f t="shared" si="126"/>
        <v>1</v>
      </c>
      <c r="BR141" s="65"/>
      <c r="BS141" s="29" t="str">
        <f t="shared" si="144"/>
        <v/>
      </c>
      <c r="BT141" s="29">
        <f t="shared" si="137"/>
        <v>1</v>
      </c>
      <c r="BU141" s="29">
        <f t="shared" si="138"/>
        <v>1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78</v>
      </c>
      <c r="Y142" s="25" t="s">
        <v>79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1</v>
      </c>
      <c r="BM142" s="29">
        <v>1</v>
      </c>
      <c r="BO142" s="29" t="str">
        <f t="shared" si="136"/>
        <v/>
      </c>
      <c r="BP142" s="29">
        <f t="shared" si="125"/>
        <v>1</v>
      </c>
      <c r="BQ142" s="29">
        <f t="shared" si="126"/>
        <v>1</v>
      </c>
      <c r="BR142" s="65"/>
      <c r="BS142" s="29" t="str">
        <f t="shared" si="144"/>
        <v/>
      </c>
      <c r="BT142" s="29">
        <f t="shared" si="137"/>
        <v>1</v>
      </c>
      <c r="BU142" s="29">
        <f t="shared" si="138"/>
        <v>1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78</v>
      </c>
      <c r="Y143" s="25" t="s">
        <v>79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1</v>
      </c>
      <c r="BM143" s="29">
        <v>1</v>
      </c>
      <c r="BO143" s="29" t="str">
        <f t="shared" si="136"/>
        <v/>
      </c>
      <c r="BP143" s="29">
        <f t="shared" si="125"/>
        <v>1</v>
      </c>
      <c r="BQ143" s="29">
        <f t="shared" si="126"/>
        <v>1</v>
      </c>
      <c r="BR143" s="65"/>
      <c r="BS143" s="29" t="str">
        <f t="shared" si="144"/>
        <v/>
      </c>
      <c r="BT143" s="29">
        <f t="shared" si="137"/>
        <v>1</v>
      </c>
      <c r="BU143" s="29">
        <f t="shared" si="138"/>
        <v>1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1</v>
      </c>
      <c r="BM144" s="29">
        <v>1</v>
      </c>
      <c r="BO144" s="29" t="str">
        <f t="shared" si="136"/>
        <v/>
      </c>
      <c r="BP144" s="29">
        <f t="shared" si="125"/>
        <v>1</v>
      </c>
      <c r="BQ144" s="29">
        <f t="shared" si="126"/>
        <v>1</v>
      </c>
      <c r="BR144" s="65"/>
      <c r="BS144" s="29" t="str">
        <f t="shared" si="144"/>
        <v/>
      </c>
      <c r="BT144" s="29">
        <f t="shared" si="137"/>
        <v>1</v>
      </c>
      <c r="BU144" s="29">
        <f t="shared" si="138"/>
        <v>1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1</v>
      </c>
      <c r="BM145" s="29">
        <v>1</v>
      </c>
      <c r="BO145" s="29" t="str">
        <f t="shared" si="136"/>
        <v/>
      </c>
      <c r="BP145" s="29">
        <f t="shared" si="125"/>
        <v>1</v>
      </c>
      <c r="BQ145" s="29">
        <f t="shared" si="126"/>
        <v>1</v>
      </c>
      <c r="BR145" s="65"/>
      <c r="BS145" s="29" t="str">
        <f t="shared" si="144"/>
        <v/>
      </c>
      <c r="BT145" s="29">
        <f t="shared" si="137"/>
        <v>1</v>
      </c>
      <c r="BU145" s="29">
        <f t="shared" si="138"/>
        <v>1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1</v>
      </c>
      <c r="BM146" s="29">
        <v>1</v>
      </c>
      <c r="BO146" s="29" t="str">
        <f t="shared" si="136"/>
        <v/>
      </c>
      <c r="BP146" s="29">
        <f t="shared" si="125"/>
        <v>1</v>
      </c>
      <c r="BQ146" s="29">
        <f t="shared" si="126"/>
        <v>1</v>
      </c>
      <c r="BR146" s="65"/>
      <c r="BS146" s="29" t="str">
        <f t="shared" si="144"/>
        <v/>
      </c>
      <c r="BT146" s="29">
        <f t="shared" si="137"/>
        <v>1</v>
      </c>
      <c r="BU146" s="29">
        <f t="shared" si="138"/>
        <v>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81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</v>
      </c>
      <c r="BM147" s="29">
        <v>1</v>
      </c>
      <c r="BO147" s="29" t="str">
        <f t="shared" si="136"/>
        <v/>
      </c>
      <c r="BP147" s="29">
        <f t="shared" si="125"/>
        <v>1</v>
      </c>
      <c r="BQ147" s="29">
        <f t="shared" si="126"/>
        <v>1</v>
      </c>
      <c r="BR147" s="65"/>
      <c r="BS147" s="29" t="str">
        <f t="shared" si="144"/>
        <v/>
      </c>
      <c r="BT147" s="29">
        <f t="shared" si="137"/>
        <v>1</v>
      </c>
      <c r="BU147" s="29">
        <f t="shared" si="138"/>
        <v>1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81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</v>
      </c>
      <c r="BM148" s="29">
        <v>1</v>
      </c>
      <c r="BO148" s="29" t="str">
        <f t="shared" si="136"/>
        <v/>
      </c>
      <c r="BP148" s="29">
        <f t="shared" si="125"/>
        <v>1</v>
      </c>
      <c r="BQ148" s="29">
        <f t="shared" si="126"/>
        <v>1</v>
      </c>
      <c r="BR148" s="65"/>
      <c r="BS148" s="29" t="str">
        <f t="shared" si="144"/>
        <v/>
      </c>
      <c r="BT148" s="29">
        <f t="shared" si="137"/>
        <v>1</v>
      </c>
      <c r="BU148" s="29">
        <f t="shared" si="138"/>
        <v>1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81</v>
      </c>
      <c r="Y149" s="25" t="s">
        <v>81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</v>
      </c>
      <c r="BM149" s="29">
        <v>1</v>
      </c>
      <c r="BO149" s="29" t="str">
        <f t="shared" si="136"/>
        <v/>
      </c>
      <c r="BP149" s="29">
        <f t="shared" si="125"/>
        <v>1</v>
      </c>
      <c r="BQ149" s="29">
        <f t="shared" si="126"/>
        <v>1</v>
      </c>
      <c r="BR149" s="65"/>
      <c r="BS149" s="29" t="str">
        <f t="shared" si="144"/>
        <v/>
      </c>
      <c r="BT149" s="29">
        <f t="shared" si="137"/>
        <v>1</v>
      </c>
      <c r="BU149" s="29">
        <f t="shared" si="138"/>
        <v>1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81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</v>
      </c>
      <c r="BM150" s="29">
        <v>1</v>
      </c>
      <c r="BO150" s="29" t="str">
        <f t="shared" si="136"/>
        <v/>
      </c>
      <c r="BP150" s="29">
        <f t="shared" si="125"/>
        <v>1</v>
      </c>
      <c r="BQ150" s="29">
        <f t="shared" si="126"/>
        <v>1</v>
      </c>
      <c r="BR150" s="65"/>
      <c r="BS150" s="29" t="str">
        <f t="shared" si="144"/>
        <v/>
      </c>
      <c r="BT150" s="29">
        <f t="shared" si="137"/>
        <v>1</v>
      </c>
      <c r="BU150" s="29">
        <f t="shared" si="138"/>
        <v>1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</v>
      </c>
      <c r="BM151" s="29">
        <v>1</v>
      </c>
      <c r="BO151" s="29" t="str">
        <f t="shared" si="136"/>
        <v/>
      </c>
      <c r="BP151" s="29">
        <f t="shared" si="125"/>
        <v>1</v>
      </c>
      <c r="BQ151" s="29">
        <f t="shared" si="126"/>
        <v>1</v>
      </c>
      <c r="BR151" s="65"/>
      <c r="BS151" s="29" t="str">
        <f t="shared" si="144"/>
        <v/>
      </c>
      <c r="BT151" s="29">
        <f t="shared" si="137"/>
        <v>1</v>
      </c>
      <c r="BU151" s="29">
        <f t="shared" si="138"/>
        <v>1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</v>
      </c>
      <c r="BM152" s="29">
        <v>1</v>
      </c>
      <c r="BO152" s="29" t="str">
        <f t="shared" si="136"/>
        <v/>
      </c>
      <c r="BP152" s="29">
        <f t="shared" si="125"/>
        <v>1</v>
      </c>
      <c r="BQ152" s="29">
        <f t="shared" si="126"/>
        <v>1</v>
      </c>
      <c r="BR152" s="65"/>
      <c r="BS152" s="29" t="str">
        <f t="shared" si="144"/>
        <v/>
      </c>
      <c r="BT152" s="29">
        <f t="shared" si="137"/>
        <v>1</v>
      </c>
      <c r="BU152" s="29">
        <f t="shared" si="138"/>
        <v>1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81</v>
      </c>
      <c r="Y153" s="25" t="s">
        <v>79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</v>
      </c>
      <c r="BM153" s="29">
        <v>1</v>
      </c>
      <c r="BO153" s="29" t="str">
        <f t="shared" si="136"/>
        <v/>
      </c>
      <c r="BP153" s="29">
        <f t="shared" si="125"/>
        <v>1</v>
      </c>
      <c r="BQ153" s="29">
        <f t="shared" si="126"/>
        <v>1</v>
      </c>
      <c r="BR153" s="65"/>
      <c r="BS153" s="29" t="str">
        <f t="shared" si="144"/>
        <v/>
      </c>
      <c r="BT153" s="29">
        <f t="shared" si="137"/>
        <v>1</v>
      </c>
      <c r="BU153" s="29">
        <f t="shared" si="138"/>
        <v>1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81</v>
      </c>
      <c r="Y154" s="25" t="s">
        <v>79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</v>
      </c>
      <c r="BM154" s="29">
        <v>1</v>
      </c>
      <c r="BO154" s="29" t="str">
        <f t="shared" si="136"/>
        <v/>
      </c>
      <c r="BP154" s="29">
        <f t="shared" si="125"/>
        <v>1</v>
      </c>
      <c r="BQ154" s="29">
        <f t="shared" si="126"/>
        <v>1</v>
      </c>
      <c r="BR154" s="65"/>
      <c r="BS154" s="29" t="str">
        <f t="shared" si="144"/>
        <v/>
      </c>
      <c r="BT154" s="29">
        <f t="shared" si="137"/>
        <v>1</v>
      </c>
      <c r="BU154" s="29">
        <f t="shared" si="138"/>
        <v>1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81</v>
      </c>
      <c r="Y155" s="25" t="s">
        <v>79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</v>
      </c>
      <c r="BM155" s="29">
        <v>1</v>
      </c>
      <c r="BO155" s="29" t="str">
        <f t="shared" si="136"/>
        <v/>
      </c>
      <c r="BP155" s="29">
        <f t="shared" si="125"/>
        <v>1</v>
      </c>
      <c r="BQ155" s="29">
        <f t="shared" si="126"/>
        <v>1</v>
      </c>
      <c r="BR155" s="65"/>
      <c r="BS155" s="29" t="str">
        <f t="shared" si="144"/>
        <v/>
      </c>
      <c r="BT155" s="29">
        <f t="shared" si="137"/>
        <v>1</v>
      </c>
      <c r="BU155" s="29">
        <f t="shared" si="138"/>
        <v>1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78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</v>
      </c>
      <c r="BM156" s="29">
        <v>1</v>
      </c>
      <c r="BO156" s="29" t="str">
        <f t="shared" si="136"/>
        <v/>
      </c>
      <c r="BP156" s="29">
        <f t="shared" si="125"/>
        <v>1</v>
      </c>
      <c r="BQ156" s="29">
        <f t="shared" si="126"/>
        <v>1</v>
      </c>
      <c r="BR156" s="65"/>
      <c r="BS156" s="29" t="str">
        <f t="shared" si="144"/>
        <v/>
      </c>
      <c r="BT156" s="29">
        <f t="shared" si="137"/>
        <v>1</v>
      </c>
      <c r="BU156" s="29">
        <f t="shared" si="138"/>
        <v>1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78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</v>
      </c>
      <c r="BM157" s="29">
        <v>1</v>
      </c>
      <c r="BO157" s="29" t="str">
        <f t="shared" si="136"/>
        <v/>
      </c>
      <c r="BP157" s="29">
        <f t="shared" si="125"/>
        <v>1</v>
      </c>
      <c r="BQ157" s="29">
        <f t="shared" si="126"/>
        <v>1</v>
      </c>
      <c r="BR157" s="65"/>
      <c r="BS157" s="29" t="str">
        <f t="shared" si="144"/>
        <v/>
      </c>
      <c r="BT157" s="29">
        <f t="shared" si="137"/>
        <v>1</v>
      </c>
      <c r="BU157" s="29">
        <f t="shared" si="138"/>
        <v>1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80</v>
      </c>
      <c r="Y158" s="25" t="s">
        <v>78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</v>
      </c>
      <c r="BM158" s="29">
        <v>1</v>
      </c>
      <c r="BO158" s="29" t="str">
        <f t="shared" si="136"/>
        <v/>
      </c>
      <c r="BP158" s="29">
        <f t="shared" si="125"/>
        <v>1</v>
      </c>
      <c r="BQ158" s="29">
        <f t="shared" si="126"/>
        <v>1</v>
      </c>
      <c r="BR158" s="65"/>
      <c r="BS158" s="29" t="str">
        <f t="shared" si="144"/>
        <v/>
      </c>
      <c r="BT158" s="29">
        <f t="shared" si="137"/>
        <v>1</v>
      </c>
      <c r="BU158" s="29">
        <f t="shared" si="138"/>
        <v>1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80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</v>
      </c>
      <c r="BM159" s="29">
        <v>1</v>
      </c>
      <c r="BO159" s="29" t="str">
        <f t="shared" si="136"/>
        <v/>
      </c>
      <c r="BP159" s="29">
        <f t="shared" si="125"/>
        <v>1</v>
      </c>
      <c r="BQ159" s="29">
        <f t="shared" si="126"/>
        <v>1</v>
      </c>
      <c r="BR159" s="65"/>
      <c r="BS159" s="29" t="str">
        <f t="shared" si="144"/>
        <v/>
      </c>
      <c r="BT159" s="29">
        <f t="shared" si="137"/>
        <v>1</v>
      </c>
      <c r="BU159" s="29">
        <f t="shared" si="138"/>
        <v>1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</v>
      </c>
      <c r="BM160" s="29">
        <v>1</v>
      </c>
      <c r="BO160" s="29" t="str">
        <f t="shared" si="136"/>
        <v/>
      </c>
      <c r="BP160" s="29">
        <f t="shared" si="125"/>
        <v>1</v>
      </c>
      <c r="BQ160" s="29">
        <f t="shared" si="126"/>
        <v>1</v>
      </c>
      <c r="BR160" s="65"/>
      <c r="BS160" s="29" t="str">
        <f t="shared" si="144"/>
        <v/>
      </c>
      <c r="BT160" s="29">
        <f t="shared" si="137"/>
        <v>1</v>
      </c>
      <c r="BU160" s="29">
        <f t="shared" si="138"/>
        <v>1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</v>
      </c>
      <c r="BM161" s="29">
        <v>1</v>
      </c>
      <c r="BO161" s="29" t="str">
        <f t="shared" si="136"/>
        <v/>
      </c>
      <c r="BP161" s="29">
        <f t="shared" si="125"/>
        <v>1</v>
      </c>
      <c r="BQ161" s="29">
        <f t="shared" si="126"/>
        <v>1</v>
      </c>
      <c r="BR161" s="65"/>
      <c r="BS161" s="29" t="str">
        <f t="shared" si="144"/>
        <v/>
      </c>
      <c r="BT161" s="29">
        <f t="shared" si="137"/>
        <v>1</v>
      </c>
      <c r="BU161" s="29">
        <f t="shared" si="138"/>
        <v>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79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</v>
      </c>
      <c r="BM162" s="29">
        <v>1</v>
      </c>
      <c r="BO162" s="29" t="str">
        <f t="shared" si="136"/>
        <v/>
      </c>
      <c r="BP162" s="29">
        <f t="shared" si="125"/>
        <v>1</v>
      </c>
      <c r="BQ162" s="29">
        <f t="shared" si="126"/>
        <v>1</v>
      </c>
      <c r="BR162" s="65"/>
      <c r="BS162" s="29" t="str">
        <f t="shared" si="144"/>
        <v/>
      </c>
      <c r="BT162" s="29">
        <f t="shared" si="137"/>
        <v>1</v>
      </c>
      <c r="BU162" s="29">
        <f t="shared" si="138"/>
        <v>1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79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</v>
      </c>
      <c r="BM163" s="29">
        <v>1</v>
      </c>
      <c r="BO163" s="29" t="str">
        <f t="shared" si="136"/>
        <v/>
      </c>
      <c r="BP163" s="29">
        <f t="shared" si="125"/>
        <v>1</v>
      </c>
      <c r="BQ163" s="29">
        <f t="shared" si="126"/>
        <v>1</v>
      </c>
      <c r="BR163" s="65"/>
      <c r="BS163" s="29" t="str">
        <f t="shared" si="144"/>
        <v/>
      </c>
      <c r="BT163" s="29">
        <f t="shared" si="137"/>
        <v>1</v>
      </c>
      <c r="BU163" s="29">
        <f t="shared" si="138"/>
        <v>1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79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</v>
      </c>
      <c r="BM164" s="29">
        <v>1</v>
      </c>
      <c r="BO164" s="29" t="str">
        <f t="shared" si="136"/>
        <v/>
      </c>
      <c r="BP164" s="29">
        <f t="shared" si="125"/>
        <v>1</v>
      </c>
      <c r="BQ164" s="29">
        <f t="shared" si="126"/>
        <v>1</v>
      </c>
      <c r="BR164" s="65"/>
      <c r="BS164" s="29" t="str">
        <f t="shared" si="144"/>
        <v/>
      </c>
      <c r="BT164" s="29">
        <f t="shared" si="137"/>
        <v>1</v>
      </c>
      <c r="BU164" s="29">
        <f t="shared" si="138"/>
        <v>1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</v>
      </c>
      <c r="BM165" s="29">
        <v>1</v>
      </c>
      <c r="BO165" s="29" t="str">
        <f t="shared" si="136"/>
        <v/>
      </c>
      <c r="BP165" s="29">
        <f t="shared" si="125"/>
        <v>1</v>
      </c>
      <c r="BQ165" s="29">
        <f t="shared" si="126"/>
        <v>1</v>
      </c>
      <c r="BR165" s="65"/>
      <c r="BS165" s="29" t="str">
        <f t="shared" si="144"/>
        <v/>
      </c>
      <c r="BT165" s="29">
        <f t="shared" si="137"/>
        <v>1</v>
      </c>
      <c r="BU165" s="29">
        <f t="shared" si="138"/>
        <v>1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79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</v>
      </c>
      <c r="BM166" s="29">
        <v>1</v>
      </c>
      <c r="BO166" s="29" t="str">
        <f t="shared" si="136"/>
        <v/>
      </c>
      <c r="BP166" s="29">
        <f t="shared" si="125"/>
        <v>1</v>
      </c>
      <c r="BQ166" s="29">
        <f t="shared" si="126"/>
        <v>1</v>
      </c>
      <c r="BR166" s="65"/>
      <c r="BS166" s="29" t="str">
        <f t="shared" si="144"/>
        <v/>
      </c>
      <c r="BT166" s="29">
        <f t="shared" si="137"/>
        <v>1</v>
      </c>
      <c r="BU166" s="29">
        <f t="shared" si="138"/>
        <v>1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79</v>
      </c>
      <c r="Y167" s="25" t="s">
        <v>79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</v>
      </c>
      <c r="BM167" s="29">
        <v>1</v>
      </c>
      <c r="BO167" s="29" t="str">
        <f t="shared" si="136"/>
        <v/>
      </c>
      <c r="BP167" s="29">
        <f t="shared" si="125"/>
        <v>1</v>
      </c>
      <c r="BQ167" s="29">
        <f t="shared" si="126"/>
        <v>1</v>
      </c>
      <c r="BR167" s="65"/>
      <c r="BS167" s="29" t="str">
        <f t="shared" si="144"/>
        <v/>
      </c>
      <c r="BT167" s="29">
        <f t="shared" si="137"/>
        <v>1</v>
      </c>
      <c r="BU167" s="29">
        <f t="shared" si="138"/>
        <v>1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79</v>
      </c>
      <c r="Y168" s="25" t="s">
        <v>79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</v>
      </c>
      <c r="BM168" s="29">
        <v>1</v>
      </c>
      <c r="BO168" s="29" t="str">
        <f t="shared" si="136"/>
        <v/>
      </c>
      <c r="BP168" s="29">
        <f t="shared" si="125"/>
        <v>1</v>
      </c>
      <c r="BQ168" s="29">
        <f t="shared" si="126"/>
        <v>1</v>
      </c>
      <c r="BR168" s="65"/>
      <c r="BS168" s="29" t="str">
        <f t="shared" si="144"/>
        <v/>
      </c>
      <c r="BT168" s="29">
        <f t="shared" si="137"/>
        <v>1</v>
      </c>
      <c r="BU168" s="29">
        <f t="shared" si="138"/>
        <v>1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79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</v>
      </c>
      <c r="BM169" s="29">
        <v>1</v>
      </c>
      <c r="BO169" s="29" t="str">
        <f t="shared" si="136"/>
        <v/>
      </c>
      <c r="BP169" s="29">
        <f t="shared" si="125"/>
        <v>1</v>
      </c>
      <c r="BQ169" s="29">
        <f t="shared" si="126"/>
        <v>1</v>
      </c>
      <c r="BR169" s="65"/>
      <c r="BS169" s="29" t="str">
        <f t="shared" si="144"/>
        <v/>
      </c>
      <c r="BT169" s="29">
        <f t="shared" si="137"/>
        <v>1</v>
      </c>
      <c r="BU169" s="29">
        <f t="shared" si="138"/>
        <v>1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78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</v>
      </c>
      <c r="BM170" s="29">
        <v>1</v>
      </c>
      <c r="BO170" s="29" t="str">
        <f t="shared" si="136"/>
        <v/>
      </c>
      <c r="BP170" s="29">
        <f t="shared" si="125"/>
        <v>1</v>
      </c>
      <c r="BQ170" s="29">
        <f t="shared" si="126"/>
        <v>1</v>
      </c>
      <c r="BR170" s="65"/>
      <c r="BS170" s="29" t="str">
        <f t="shared" si="144"/>
        <v/>
      </c>
      <c r="BT170" s="29">
        <f t="shared" si="137"/>
        <v>1</v>
      </c>
      <c r="BU170" s="29">
        <f t="shared" si="138"/>
        <v>1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78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</v>
      </c>
      <c r="BM171" s="29">
        <v>1</v>
      </c>
      <c r="BO171" s="29" t="str">
        <f t="shared" si="136"/>
        <v/>
      </c>
      <c r="BP171" s="29">
        <f t="shared" si="125"/>
        <v>1</v>
      </c>
      <c r="BQ171" s="29">
        <f t="shared" si="126"/>
        <v>1</v>
      </c>
      <c r="BR171" s="65"/>
      <c r="BS171" s="29" t="str">
        <f t="shared" si="144"/>
        <v/>
      </c>
      <c r="BT171" s="29">
        <f t="shared" si="137"/>
        <v>1</v>
      </c>
      <c r="BU171" s="29">
        <f t="shared" si="138"/>
        <v>1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</v>
      </c>
      <c r="BM172" s="29">
        <v>1</v>
      </c>
      <c r="BO172" s="29" t="str">
        <f t="shared" si="136"/>
        <v/>
      </c>
      <c r="BP172" s="29">
        <f t="shared" si="125"/>
        <v>1</v>
      </c>
      <c r="BQ172" s="29">
        <f t="shared" si="126"/>
        <v>1</v>
      </c>
      <c r="BR172" s="65"/>
      <c r="BS172" s="29" t="str">
        <f t="shared" si="144"/>
        <v/>
      </c>
      <c r="BT172" s="29">
        <f t="shared" si="137"/>
        <v>1</v>
      </c>
      <c r="BU172" s="29">
        <f t="shared" si="138"/>
        <v>1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</v>
      </c>
      <c r="BM173" s="29">
        <v>1</v>
      </c>
      <c r="BO173" s="29" t="str">
        <f t="shared" si="136"/>
        <v/>
      </c>
      <c r="BP173" s="29">
        <f t="shared" si="125"/>
        <v>1</v>
      </c>
      <c r="BQ173" s="29">
        <f t="shared" si="126"/>
        <v>1</v>
      </c>
      <c r="BR173" s="65"/>
      <c r="BS173" s="29" t="str">
        <f t="shared" si="144"/>
        <v/>
      </c>
      <c r="BT173" s="29">
        <f t="shared" si="137"/>
        <v>1</v>
      </c>
      <c r="BU173" s="29">
        <f t="shared" si="138"/>
        <v>1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78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</v>
      </c>
      <c r="BM174" s="29">
        <v>1</v>
      </c>
      <c r="BO174" s="29" t="str">
        <f t="shared" si="136"/>
        <v/>
      </c>
      <c r="BP174" s="29">
        <f t="shared" si="125"/>
        <v>1</v>
      </c>
      <c r="BQ174" s="29">
        <f t="shared" si="126"/>
        <v>1</v>
      </c>
      <c r="BR174" s="65"/>
      <c r="BS174" s="29" t="str">
        <f t="shared" si="144"/>
        <v/>
      </c>
      <c r="BT174" s="29">
        <f t="shared" si="137"/>
        <v>1</v>
      </c>
      <c r="BU174" s="29">
        <f t="shared" si="138"/>
        <v>1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78</v>
      </c>
      <c r="Y175" s="25" t="s">
        <v>79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</v>
      </c>
      <c r="BM175" s="29">
        <v>1</v>
      </c>
      <c r="BO175" s="29" t="str">
        <f t="shared" si="136"/>
        <v/>
      </c>
      <c r="BP175" s="29">
        <f t="shared" si="125"/>
        <v>1</v>
      </c>
      <c r="BQ175" s="29">
        <f t="shared" si="126"/>
        <v>1</v>
      </c>
      <c r="BR175" s="65"/>
      <c r="BS175" s="29" t="str">
        <f t="shared" si="144"/>
        <v/>
      </c>
      <c r="BT175" s="29">
        <f t="shared" si="137"/>
        <v>1</v>
      </c>
      <c r="BU175" s="29">
        <f t="shared" si="138"/>
        <v>1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80</v>
      </c>
      <c r="Y176" s="25" t="s">
        <v>79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</v>
      </c>
      <c r="BM176" s="29">
        <v>1</v>
      </c>
      <c r="BO176" s="29" t="str">
        <f t="shared" si="136"/>
        <v/>
      </c>
      <c r="BP176" s="29">
        <f t="shared" si="125"/>
        <v>1</v>
      </c>
      <c r="BQ176" s="29">
        <f t="shared" si="126"/>
        <v>1</v>
      </c>
      <c r="BR176" s="65"/>
      <c r="BS176" s="29" t="str">
        <f t="shared" si="144"/>
        <v/>
      </c>
      <c r="BT176" s="29">
        <f t="shared" si="137"/>
        <v>1</v>
      </c>
      <c r="BU176" s="29">
        <f t="shared" si="138"/>
        <v>1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80</v>
      </c>
      <c r="Y177" s="25" t="s">
        <v>79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</v>
      </c>
      <c r="BM177" s="29">
        <v>1</v>
      </c>
      <c r="BO177" s="29" t="str">
        <f t="shared" si="136"/>
        <v/>
      </c>
      <c r="BP177" s="29">
        <f t="shared" si="125"/>
        <v>1</v>
      </c>
      <c r="BQ177" s="29">
        <f t="shared" si="126"/>
        <v>1</v>
      </c>
      <c r="BR177" s="65"/>
      <c r="BS177" s="29" t="str">
        <f t="shared" si="144"/>
        <v/>
      </c>
      <c r="BT177" s="29">
        <f t="shared" si="137"/>
        <v>1</v>
      </c>
      <c r="BU177" s="29">
        <f t="shared" si="138"/>
        <v>1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80</v>
      </c>
      <c r="Y178" s="25" t="s">
        <v>78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</v>
      </c>
      <c r="BM178" s="29">
        <v>1</v>
      </c>
      <c r="BO178" s="29" t="str">
        <f t="shared" si="136"/>
        <v/>
      </c>
      <c r="BP178" s="29">
        <f t="shared" si="125"/>
        <v>1</v>
      </c>
      <c r="BQ178" s="29">
        <f t="shared" si="126"/>
        <v>1</v>
      </c>
      <c r="BR178" s="65"/>
      <c r="BS178" s="29" t="str">
        <f t="shared" si="144"/>
        <v/>
      </c>
      <c r="BT178" s="29">
        <f t="shared" si="137"/>
        <v>1</v>
      </c>
      <c r="BU178" s="29">
        <f t="shared" si="138"/>
        <v>1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78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</v>
      </c>
      <c r="BM179" s="29">
        <v>1</v>
      </c>
      <c r="BO179" s="29" t="str">
        <f t="shared" si="136"/>
        <v/>
      </c>
      <c r="BP179" s="29">
        <f t="shared" si="125"/>
        <v>1</v>
      </c>
      <c r="BQ179" s="29">
        <f t="shared" si="126"/>
        <v>1</v>
      </c>
      <c r="BR179" s="65"/>
      <c r="BS179" s="29" t="str">
        <f t="shared" si="144"/>
        <v/>
      </c>
      <c r="BT179" s="29">
        <f t="shared" si="137"/>
        <v>1</v>
      </c>
      <c r="BU179" s="29">
        <f t="shared" si="138"/>
        <v>1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78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</v>
      </c>
      <c r="BM180" s="29">
        <v>1</v>
      </c>
      <c r="BO180" s="29" t="str">
        <f t="shared" si="136"/>
        <v/>
      </c>
      <c r="BP180" s="29">
        <f t="shared" si="125"/>
        <v>1</v>
      </c>
      <c r="BQ180" s="29">
        <f t="shared" si="126"/>
        <v>1</v>
      </c>
      <c r="BR180" s="65"/>
      <c r="BS180" s="29" t="str">
        <f t="shared" si="144"/>
        <v/>
      </c>
      <c r="BT180" s="29">
        <f t="shared" si="137"/>
        <v>1</v>
      </c>
      <c r="BU180" s="29">
        <f t="shared" si="138"/>
        <v>1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78</v>
      </c>
      <c r="Y181" s="25" t="s">
        <v>80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1</v>
      </c>
      <c r="BM181" s="29">
        <v>1</v>
      </c>
      <c r="BO181" s="29" t="str">
        <f t="shared" si="136"/>
        <v/>
      </c>
      <c r="BP181" s="29">
        <f t="shared" si="125"/>
        <v>1</v>
      </c>
      <c r="BQ181" s="29">
        <f t="shared" si="126"/>
        <v>1</v>
      </c>
      <c r="BR181" s="65"/>
      <c r="BS181" s="29" t="str">
        <f t="shared" si="144"/>
        <v/>
      </c>
      <c r="BT181" s="29">
        <f t="shared" si="137"/>
        <v>1</v>
      </c>
      <c r="BU181" s="29">
        <f t="shared" si="138"/>
        <v>1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78</v>
      </c>
      <c r="Y182" s="25" t="s">
        <v>80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1</v>
      </c>
      <c r="BM182" s="29">
        <v>1</v>
      </c>
      <c r="BO182" s="29" t="str">
        <f t="shared" si="136"/>
        <v/>
      </c>
      <c r="BP182" s="29">
        <f t="shared" si="125"/>
        <v>1</v>
      </c>
      <c r="BQ182" s="29">
        <f t="shared" si="126"/>
        <v>1</v>
      </c>
      <c r="BR182" s="65"/>
      <c r="BS182" s="29" t="str">
        <f t="shared" si="144"/>
        <v/>
      </c>
      <c r="BT182" s="29">
        <f t="shared" si="137"/>
        <v>1</v>
      </c>
      <c r="BU182" s="29">
        <f t="shared" si="138"/>
        <v>1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80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1</v>
      </c>
      <c r="BM183" s="29">
        <v>1</v>
      </c>
      <c r="BO183" s="29" t="str">
        <f t="shared" si="136"/>
        <v/>
      </c>
      <c r="BP183" s="29">
        <f t="shared" si="125"/>
        <v>1</v>
      </c>
      <c r="BQ183" s="29">
        <f t="shared" si="126"/>
        <v>1</v>
      </c>
      <c r="BR183" s="65"/>
      <c r="BS183" s="29" t="str">
        <f t="shared" si="144"/>
        <v/>
      </c>
      <c r="BT183" s="29">
        <f t="shared" si="137"/>
        <v>1</v>
      </c>
      <c r="BU183" s="29">
        <f t="shared" si="138"/>
        <v>1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80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1</v>
      </c>
      <c r="BM184" s="29">
        <v>1</v>
      </c>
      <c r="BO184" s="29" t="str">
        <f t="shared" si="136"/>
        <v/>
      </c>
      <c r="BP184" s="29">
        <f t="shared" si="125"/>
        <v>1</v>
      </c>
      <c r="BQ184" s="29">
        <f t="shared" si="126"/>
        <v>1</v>
      </c>
      <c r="BR184" s="65"/>
      <c r="BS184" s="29" t="str">
        <f t="shared" si="144"/>
        <v/>
      </c>
      <c r="BT184" s="29">
        <f t="shared" si="137"/>
        <v>1</v>
      </c>
      <c r="BU184" s="29">
        <f t="shared" si="138"/>
        <v>1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1</v>
      </c>
      <c r="BM185" s="29">
        <v>1</v>
      </c>
      <c r="BO185" s="29" t="str">
        <f t="shared" si="136"/>
        <v/>
      </c>
      <c r="BP185" s="29">
        <f t="shared" si="125"/>
        <v>1</v>
      </c>
      <c r="BQ185" s="29">
        <f t="shared" si="126"/>
        <v>1</v>
      </c>
      <c r="BR185" s="65"/>
      <c r="BS185" s="29" t="str">
        <f t="shared" si="144"/>
        <v/>
      </c>
      <c r="BT185" s="29">
        <f t="shared" si="137"/>
        <v>1</v>
      </c>
      <c r="BU185" s="29">
        <f t="shared" si="138"/>
        <v>1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78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</v>
      </c>
      <c r="BM186" s="29">
        <v>1</v>
      </c>
      <c r="BO186" s="29" t="str">
        <f t="shared" si="136"/>
        <v/>
      </c>
      <c r="BP186" s="29">
        <f t="shared" si="125"/>
        <v>1</v>
      </c>
      <c r="BQ186" s="29">
        <f t="shared" si="126"/>
        <v>1</v>
      </c>
      <c r="BR186" s="65"/>
      <c r="BS186" s="29" t="str">
        <f t="shared" si="144"/>
        <v/>
      </c>
      <c r="BT186" s="29">
        <f t="shared" si="137"/>
        <v>1</v>
      </c>
      <c r="BU186" s="29">
        <f t="shared" si="138"/>
        <v>1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78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</v>
      </c>
      <c r="BM187" s="29">
        <v>1</v>
      </c>
      <c r="BO187" s="29" t="str">
        <f t="shared" si="136"/>
        <v/>
      </c>
      <c r="BP187" s="29">
        <f t="shared" si="125"/>
        <v>1</v>
      </c>
      <c r="BQ187" s="29">
        <f t="shared" si="126"/>
        <v>1</v>
      </c>
      <c r="BR187" s="65"/>
      <c r="BS187" s="29" t="str">
        <f t="shared" si="144"/>
        <v/>
      </c>
      <c r="BT187" s="29">
        <f t="shared" si="137"/>
        <v>1</v>
      </c>
      <c r="BU187" s="29">
        <f t="shared" si="138"/>
        <v>1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80</v>
      </c>
      <c r="Y188" s="25" t="s">
        <v>81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</v>
      </c>
      <c r="BM188" s="29">
        <v>1</v>
      </c>
      <c r="BO188" s="29" t="str">
        <f t="shared" si="136"/>
        <v/>
      </c>
      <c r="BP188" s="29">
        <f t="shared" si="125"/>
        <v>1</v>
      </c>
      <c r="BQ188" s="29">
        <f t="shared" si="126"/>
        <v>1</v>
      </c>
      <c r="BR188" s="65"/>
      <c r="BS188" s="29" t="str">
        <f t="shared" si="144"/>
        <v/>
      </c>
      <c r="BT188" s="29">
        <f t="shared" si="137"/>
        <v>1</v>
      </c>
      <c r="BU188" s="29">
        <f t="shared" si="138"/>
        <v>1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81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</v>
      </c>
      <c r="BM189" s="29">
        <v>1</v>
      </c>
      <c r="BO189" s="29" t="str">
        <f t="shared" si="136"/>
        <v/>
      </c>
      <c r="BP189" s="29">
        <f t="shared" si="125"/>
        <v>1</v>
      </c>
      <c r="BQ189" s="29">
        <f t="shared" si="126"/>
        <v>1</v>
      </c>
      <c r="BR189" s="65"/>
      <c r="BS189" s="29" t="str">
        <f t="shared" si="144"/>
        <v/>
      </c>
      <c r="BT189" s="29">
        <f t="shared" si="137"/>
        <v>1</v>
      </c>
      <c r="BU189" s="29">
        <f t="shared" si="138"/>
        <v>1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81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</v>
      </c>
      <c r="BM190" s="29">
        <v>1</v>
      </c>
      <c r="BO190" s="29" t="str">
        <f t="shared" si="136"/>
        <v/>
      </c>
      <c r="BP190" s="29">
        <f t="shared" si="125"/>
        <v>1</v>
      </c>
      <c r="BQ190" s="29">
        <f t="shared" si="126"/>
        <v>1</v>
      </c>
      <c r="BR190" s="65"/>
      <c r="BS190" s="29" t="str">
        <f t="shared" si="144"/>
        <v/>
      </c>
      <c r="BT190" s="29">
        <f t="shared" si="137"/>
        <v>1</v>
      </c>
      <c r="BU190" s="29">
        <f t="shared" si="138"/>
        <v>1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80</v>
      </c>
      <c r="Y191" s="25" t="s">
        <v>79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</v>
      </c>
      <c r="BM191" s="29">
        <v>1</v>
      </c>
      <c r="BO191" s="29" t="str">
        <f t="shared" si="136"/>
        <v/>
      </c>
      <c r="BP191" s="29">
        <f t="shared" si="125"/>
        <v>1</v>
      </c>
      <c r="BQ191" s="29">
        <f t="shared" si="126"/>
        <v>1</v>
      </c>
      <c r="BR191" s="65"/>
      <c r="BS191" s="29" t="str">
        <f t="shared" si="144"/>
        <v/>
      </c>
      <c r="BT191" s="29">
        <f t="shared" si="137"/>
        <v>1</v>
      </c>
      <c r="BU191" s="29">
        <f t="shared" si="138"/>
        <v>1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80</v>
      </c>
      <c r="Y192" s="25" t="s">
        <v>79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</v>
      </c>
      <c r="BM192" s="29">
        <v>1</v>
      </c>
      <c r="BO192" s="29" t="str">
        <f t="shared" si="136"/>
        <v/>
      </c>
      <c r="BP192" s="29">
        <f t="shared" si="125"/>
        <v>1</v>
      </c>
      <c r="BQ192" s="29">
        <f t="shared" si="126"/>
        <v>1</v>
      </c>
      <c r="BR192" s="65"/>
      <c r="BS192" s="29" t="str">
        <f t="shared" si="144"/>
        <v/>
      </c>
      <c r="BT192" s="29">
        <f t="shared" si="137"/>
        <v>1</v>
      </c>
      <c r="BU192" s="29">
        <f t="shared" si="138"/>
        <v>1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80</v>
      </c>
      <c r="Y193" s="25" t="s">
        <v>79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</v>
      </c>
      <c r="BM193" s="29">
        <v>1</v>
      </c>
      <c r="BO193" s="29" t="str">
        <f t="shared" si="136"/>
        <v/>
      </c>
      <c r="BP193" s="29">
        <f t="shared" si="125"/>
        <v>1</v>
      </c>
      <c r="BQ193" s="29">
        <f t="shared" si="126"/>
        <v>1</v>
      </c>
      <c r="BR193" s="65"/>
      <c r="BS193" s="29" t="str">
        <f t="shared" si="144"/>
        <v/>
      </c>
      <c r="BT193" s="29">
        <f t="shared" si="137"/>
        <v>1</v>
      </c>
      <c r="BU193" s="29">
        <f t="shared" si="138"/>
        <v>1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</v>
      </c>
      <c r="BM194" s="29">
        <v>1</v>
      </c>
      <c r="BO194" s="29" t="str">
        <f t="shared" si="136"/>
        <v/>
      </c>
      <c r="BP194" s="29">
        <f t="shared" si="125"/>
        <v>1</v>
      </c>
      <c r="BQ194" s="29">
        <f t="shared" si="126"/>
        <v>1</v>
      </c>
      <c r="BR194" s="65"/>
      <c r="BS194" s="29" t="str">
        <f t="shared" si="144"/>
        <v/>
      </c>
      <c r="BT194" s="29">
        <f t="shared" si="137"/>
        <v>1</v>
      </c>
      <c r="BU194" s="29">
        <f t="shared" si="138"/>
        <v>1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</v>
      </c>
      <c r="BM195" s="29">
        <v>1</v>
      </c>
      <c r="BO195" s="29" t="str">
        <f t="shared" si="136"/>
        <v/>
      </c>
      <c r="BP195" s="29">
        <f t="shared" si="125"/>
        <v>1</v>
      </c>
      <c r="BQ195" s="29">
        <f t="shared" si="126"/>
        <v>1</v>
      </c>
      <c r="BR195" s="65"/>
      <c r="BS195" s="29" t="str">
        <f t="shared" si="144"/>
        <v/>
      </c>
      <c r="BT195" s="29">
        <f t="shared" si="137"/>
        <v>1</v>
      </c>
      <c r="BU195" s="29">
        <f t="shared" si="138"/>
        <v>1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81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</v>
      </c>
      <c r="BM196" s="29">
        <v>1</v>
      </c>
      <c r="BO196" s="29" t="str">
        <f t="shared" si="136"/>
        <v/>
      </c>
      <c r="BP196" s="29">
        <f t="shared" ref="BP196:BP211" si="152">IF(BL195="","",BL195)</f>
        <v>1</v>
      </c>
      <c r="BQ196" s="29">
        <f t="shared" ref="BQ196:BQ211" si="153">IF(BM195="","",BM195)</f>
        <v>1</v>
      </c>
      <c r="BR196" s="65"/>
      <c r="BS196" s="29" t="str">
        <f t="shared" si="144"/>
        <v/>
      </c>
      <c r="BT196" s="29">
        <f t="shared" si="137"/>
        <v>1</v>
      </c>
      <c r="BU196" s="29">
        <f t="shared" si="138"/>
        <v>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81</v>
      </c>
      <c r="Y197" s="25" t="s">
        <v>81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</v>
      </c>
      <c r="BM197" s="29">
        <v>1</v>
      </c>
      <c r="BO197" s="29" t="str">
        <f t="shared" ref="BO197:BO211" si="163">IF(BK196="","",BK196)</f>
        <v/>
      </c>
      <c r="BP197" s="29">
        <f t="shared" si="152"/>
        <v>1</v>
      </c>
      <c r="BQ197" s="29">
        <f t="shared" si="153"/>
        <v>1</v>
      </c>
      <c r="BR197" s="65"/>
      <c r="BS197" s="29" t="str">
        <f t="shared" si="144"/>
        <v/>
      </c>
      <c r="BT197" s="29">
        <f t="shared" ref="BT197:BT211" si="164">IF(BL195="","",BL195)</f>
        <v>1</v>
      </c>
      <c r="BU197" s="29">
        <f t="shared" ref="BU197:BU211" si="165">IF(BM195="","",BM195)</f>
        <v>1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81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</v>
      </c>
      <c r="BM198" s="29">
        <v>1</v>
      </c>
      <c r="BO198" s="29" t="str">
        <f t="shared" si="163"/>
        <v/>
      </c>
      <c r="BP198" s="29">
        <f t="shared" si="152"/>
        <v>1</v>
      </c>
      <c r="BQ198" s="29">
        <f t="shared" si="153"/>
        <v>1</v>
      </c>
      <c r="BR198" s="65"/>
      <c r="BS198" s="29" t="str">
        <f t="shared" ref="BS198:BS211" si="171">IF(BK196="","",BK196)</f>
        <v/>
      </c>
      <c r="BT198" s="29">
        <f t="shared" si="164"/>
        <v>1</v>
      </c>
      <c r="BU198" s="29">
        <f t="shared" si="165"/>
        <v>1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81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</v>
      </c>
      <c r="BM199" s="29">
        <v>1</v>
      </c>
      <c r="BO199" s="29" t="str">
        <f t="shared" si="163"/>
        <v/>
      </c>
      <c r="BP199" s="29">
        <f t="shared" si="152"/>
        <v>1</v>
      </c>
      <c r="BQ199" s="29">
        <f t="shared" si="153"/>
        <v>1</v>
      </c>
      <c r="BR199" s="65"/>
      <c r="BS199" s="29" t="str">
        <f t="shared" si="171"/>
        <v/>
      </c>
      <c r="BT199" s="29">
        <f t="shared" si="164"/>
        <v>1</v>
      </c>
      <c r="BU199" s="29">
        <f t="shared" si="165"/>
        <v>1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79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</v>
      </c>
      <c r="BM200" s="29">
        <v>1</v>
      </c>
      <c r="BO200" s="29" t="str">
        <f t="shared" si="163"/>
        <v/>
      </c>
      <c r="BP200" s="29">
        <f t="shared" si="152"/>
        <v>1</v>
      </c>
      <c r="BQ200" s="29">
        <f t="shared" si="153"/>
        <v>1</v>
      </c>
      <c r="BR200" s="65"/>
      <c r="BS200" s="29" t="str">
        <f t="shared" si="171"/>
        <v/>
      </c>
      <c r="BT200" s="29">
        <f t="shared" si="164"/>
        <v>1</v>
      </c>
      <c r="BU200" s="29">
        <f t="shared" si="165"/>
        <v>1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79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1</v>
      </c>
      <c r="BM201" s="29">
        <v>1</v>
      </c>
      <c r="BO201" s="29" t="str">
        <f t="shared" si="163"/>
        <v/>
      </c>
      <c r="BP201" s="29">
        <f t="shared" si="152"/>
        <v>1</v>
      </c>
      <c r="BQ201" s="29">
        <f t="shared" si="153"/>
        <v>1</v>
      </c>
      <c r="BR201" s="65"/>
      <c r="BS201" s="29" t="str">
        <f t="shared" si="171"/>
        <v/>
      </c>
      <c r="BT201" s="29">
        <f t="shared" si="164"/>
        <v>1</v>
      </c>
      <c r="BU201" s="29">
        <f t="shared" si="165"/>
        <v>1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79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1</v>
      </c>
      <c r="BM202" s="29">
        <v>1</v>
      </c>
      <c r="BO202" s="29" t="str">
        <f t="shared" si="163"/>
        <v/>
      </c>
      <c r="BP202" s="29">
        <f t="shared" si="152"/>
        <v>1</v>
      </c>
      <c r="BQ202" s="29">
        <f t="shared" si="153"/>
        <v>1</v>
      </c>
      <c r="BR202" s="65"/>
      <c r="BS202" s="29" t="str">
        <f t="shared" si="171"/>
        <v/>
      </c>
      <c r="BT202" s="29">
        <f t="shared" si="164"/>
        <v>1</v>
      </c>
      <c r="BU202" s="29">
        <f t="shared" si="165"/>
        <v>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81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1</v>
      </c>
      <c r="BM203" s="29">
        <v>1</v>
      </c>
      <c r="BO203" s="29" t="str">
        <f t="shared" si="163"/>
        <v/>
      </c>
      <c r="BP203" s="29">
        <f t="shared" si="152"/>
        <v>1</v>
      </c>
      <c r="BQ203" s="29">
        <f t="shared" si="153"/>
        <v>1</v>
      </c>
      <c r="BR203" s="65"/>
      <c r="BS203" s="29" t="str">
        <f t="shared" si="171"/>
        <v/>
      </c>
      <c r="BT203" s="29">
        <f t="shared" si="164"/>
        <v>1</v>
      </c>
      <c r="BU203" s="29">
        <f t="shared" si="165"/>
        <v>1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81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1</v>
      </c>
      <c r="BM204" s="29">
        <v>1</v>
      </c>
      <c r="BO204" s="29" t="str">
        <f t="shared" si="163"/>
        <v/>
      </c>
      <c r="BP204" s="29">
        <f t="shared" si="152"/>
        <v>1</v>
      </c>
      <c r="BQ204" s="29">
        <f t="shared" si="153"/>
        <v>1</v>
      </c>
      <c r="BR204" s="65"/>
      <c r="BS204" s="29" t="str">
        <f t="shared" si="171"/>
        <v/>
      </c>
      <c r="BT204" s="29">
        <f t="shared" si="164"/>
        <v>1</v>
      </c>
      <c r="BU204" s="29">
        <f t="shared" si="165"/>
        <v>1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79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1</v>
      </c>
      <c r="BM205" s="29">
        <v>1</v>
      </c>
      <c r="BO205" s="29" t="str">
        <f t="shared" si="163"/>
        <v/>
      </c>
      <c r="BP205" s="29">
        <f t="shared" si="152"/>
        <v>1</v>
      </c>
      <c r="BQ205" s="29">
        <f t="shared" si="153"/>
        <v>1</v>
      </c>
      <c r="BR205" s="65"/>
      <c r="BS205" s="29" t="str">
        <f t="shared" si="171"/>
        <v/>
      </c>
      <c r="BT205" s="29">
        <f t="shared" si="164"/>
        <v>1</v>
      </c>
      <c r="BU205" s="29">
        <f t="shared" si="165"/>
        <v>1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80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</v>
      </c>
      <c r="BM206" s="29"/>
      <c r="BO206" s="29" t="str">
        <f t="shared" si="163"/>
        <v/>
      </c>
      <c r="BP206" s="29">
        <f t="shared" si="152"/>
        <v>1</v>
      </c>
      <c r="BQ206" s="29">
        <f t="shared" si="153"/>
        <v>1</v>
      </c>
      <c r="BR206" s="65"/>
      <c r="BS206" s="29" t="str">
        <f t="shared" si="171"/>
        <v/>
      </c>
      <c r="BT206" s="29">
        <f t="shared" si="164"/>
        <v>1</v>
      </c>
      <c r="BU206" s="29">
        <f t="shared" si="165"/>
        <v>1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80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</v>
      </c>
      <c r="BM207" s="29"/>
      <c r="BO207" s="29" t="str">
        <f t="shared" si="163"/>
        <v/>
      </c>
      <c r="BP207" s="29">
        <f t="shared" si="152"/>
        <v>1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1</v>
      </c>
      <c r="BU207" s="29">
        <f t="shared" si="165"/>
        <v>1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</v>
      </c>
      <c r="BM208" s="29"/>
      <c r="BO208" s="29" t="str">
        <f t="shared" si="163"/>
        <v/>
      </c>
      <c r="BP208" s="29">
        <f t="shared" si="152"/>
        <v>1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</v>
      </c>
      <c r="BM209" s="29"/>
      <c r="BO209" s="29" t="str">
        <f t="shared" si="163"/>
        <v/>
      </c>
      <c r="BP209" s="29">
        <f t="shared" si="152"/>
        <v>1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78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1</v>
      </c>
      <c r="BM210" s="29"/>
      <c r="BO210" s="29" t="str">
        <f t="shared" si="163"/>
        <v/>
      </c>
      <c r="BP210" s="29">
        <f t="shared" si="152"/>
        <v>1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78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1</v>
      </c>
      <c r="BM211" s="29"/>
      <c r="BO211" s="29" t="str">
        <f t="shared" si="163"/>
        <v/>
      </c>
      <c r="BP211" s="29">
        <f t="shared" si="152"/>
        <v>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62" priority="24" operator="equal">
      <formula>0</formula>
    </cfRule>
  </conditionalFormatting>
  <conditionalFormatting sqref="W3:Y211">
    <cfRule type="cellIs" dxfId="61" priority="25" stopIfTrue="1" operator="equal">
      <formula>"WW"</formula>
    </cfRule>
    <cfRule type="cellIs" dxfId="60" priority="26" stopIfTrue="1" operator="equal">
      <formula>"C1"</formula>
    </cfRule>
    <cfRule type="cellIs" dxfId="59" priority="27" stopIfTrue="1" operator="between">
      <formula>"M1"</formula>
      <formula>"M5"</formula>
    </cfRule>
  </conditionalFormatting>
  <conditionalFormatting sqref="Q11:S13">
    <cfRule type="cellIs" dxfId="58" priority="21" operator="equal">
      <formula>0</formula>
    </cfRule>
  </conditionalFormatting>
  <conditionalFormatting sqref="J11:L13">
    <cfRule type="cellIs" dxfId="57" priority="22" operator="equal">
      <formula>0</formula>
    </cfRule>
  </conditionalFormatting>
  <conditionalFormatting sqref="C29:E39">
    <cfRule type="cellIs" dxfId="56" priority="20" operator="equal">
      <formula>0</formula>
    </cfRule>
  </conditionalFormatting>
  <conditionalFormatting sqref="Q29:S39">
    <cfRule type="cellIs" dxfId="55" priority="18" operator="equal">
      <formula>0</formula>
    </cfRule>
  </conditionalFormatting>
  <conditionalFormatting sqref="J29:L39">
    <cfRule type="cellIs" dxfId="54" priority="19" operator="equal">
      <formula>0</formula>
    </cfRule>
  </conditionalFormatting>
  <conditionalFormatting sqref="C55:E65">
    <cfRule type="cellIs" dxfId="53" priority="17" operator="equal">
      <formula>0</formula>
    </cfRule>
  </conditionalFormatting>
  <conditionalFormatting sqref="Q55:S65">
    <cfRule type="cellIs" dxfId="52" priority="15" operator="equal">
      <formula>0</formula>
    </cfRule>
  </conditionalFormatting>
  <conditionalFormatting sqref="J55:L65">
    <cfRule type="cellIs" dxfId="51" priority="16" operator="equal">
      <formula>0</formula>
    </cfRule>
  </conditionalFormatting>
  <conditionalFormatting sqref="C81:E91">
    <cfRule type="cellIs" dxfId="50" priority="14" operator="equal">
      <formula>0</formula>
    </cfRule>
  </conditionalFormatting>
  <conditionalFormatting sqref="Q81:S91">
    <cfRule type="cellIs" dxfId="49" priority="12" operator="equal">
      <formula>0</formula>
    </cfRule>
  </conditionalFormatting>
  <conditionalFormatting sqref="J81:L91">
    <cfRule type="cellIs" dxfId="48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47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46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workbookViewId="0">
      <selection sqref="A1:E1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5" t="s">
        <v>103</v>
      </c>
      <c r="B1" s="325"/>
      <c r="C1" s="325"/>
      <c r="D1" s="325"/>
      <c r="E1" s="325"/>
      <c r="F1" s="1"/>
      <c r="G1" s="326" t="s">
        <v>104</v>
      </c>
      <c r="H1" s="326"/>
      <c r="I1" s="326"/>
      <c r="J1" s="326"/>
      <c r="K1" s="326"/>
      <c r="L1" s="1"/>
      <c r="M1" s="323" t="s">
        <v>105</v>
      </c>
      <c r="N1" s="323"/>
      <c r="O1" s="323"/>
      <c r="P1" s="323"/>
      <c r="Q1" s="323"/>
      <c r="R1" s="60"/>
      <c r="S1" s="324" t="s">
        <v>118</v>
      </c>
      <c r="T1" s="324"/>
      <c r="U1" s="324"/>
      <c r="V1" s="324"/>
      <c r="W1" s="324"/>
      <c r="X1" s="60"/>
      <c r="Y1" s="131" t="s">
        <v>11</v>
      </c>
      <c r="Z1" s="142"/>
      <c r="AA1" s="142"/>
      <c r="AB1" s="1"/>
      <c r="AC1" s="21" t="s">
        <v>29</v>
      </c>
      <c r="AD1" s="26"/>
      <c r="AF1" s="2" t="s">
        <v>60</v>
      </c>
      <c r="AH1" s="60"/>
      <c r="AI1" s="140" t="s">
        <v>11</v>
      </c>
      <c r="AJ1" s="143"/>
      <c r="AK1" s="143"/>
      <c r="AL1" s="1"/>
      <c r="AM1" s="21" t="s">
        <v>29</v>
      </c>
      <c r="AN1" s="26"/>
      <c r="AP1" s="2" t="s">
        <v>60</v>
      </c>
      <c r="AR1" s="60"/>
      <c r="AS1" s="132" t="s">
        <v>11</v>
      </c>
      <c r="AT1" s="144"/>
      <c r="AU1" s="144"/>
      <c r="AV1" s="1"/>
      <c r="AW1" s="21" t="s">
        <v>29</v>
      </c>
      <c r="AX1" s="26"/>
      <c r="AZ1" s="2" t="s">
        <v>60</v>
      </c>
      <c r="BC1" s="153" t="s">
        <v>11</v>
      </c>
      <c r="BD1" s="154"/>
      <c r="BE1" s="154"/>
      <c r="BF1" s="1"/>
      <c r="BG1" s="21" t="s">
        <v>29</v>
      </c>
      <c r="BH1" s="26"/>
      <c r="BJ1" s="2" t="s">
        <v>60</v>
      </c>
    </row>
    <row r="2" spans="1:63" ht="16.8" customHeight="1" thickBot="1">
      <c r="A2" s="86" t="s">
        <v>11</v>
      </c>
      <c r="B2" s="86" t="s">
        <v>12</v>
      </c>
      <c r="C2" s="64" t="s">
        <v>84</v>
      </c>
      <c r="D2" s="64" t="s">
        <v>85</v>
      </c>
      <c r="E2" s="19" t="s">
        <v>29</v>
      </c>
      <c r="F2" s="60"/>
      <c r="G2" s="86" t="s">
        <v>11</v>
      </c>
      <c r="H2" s="86" t="s">
        <v>12</v>
      </c>
      <c r="I2" s="64" t="s">
        <v>84</v>
      </c>
      <c r="J2" s="64" t="s">
        <v>85</v>
      </c>
      <c r="K2" s="19" t="s">
        <v>29</v>
      </c>
      <c r="L2" s="60"/>
      <c r="M2" s="86" t="s">
        <v>11</v>
      </c>
      <c r="N2" s="86" t="s">
        <v>12</v>
      </c>
      <c r="O2" s="64" t="s">
        <v>84</v>
      </c>
      <c r="P2" s="64" t="s">
        <v>85</v>
      </c>
      <c r="Q2" s="19" t="s">
        <v>29</v>
      </c>
      <c r="R2" s="60"/>
      <c r="S2" s="86" t="s">
        <v>11</v>
      </c>
      <c r="T2" s="86" t="s">
        <v>12</v>
      </c>
      <c r="U2" s="64" t="s">
        <v>84</v>
      </c>
      <c r="V2" s="64" t="s">
        <v>85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5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6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6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2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0"/>
      <c r="Y3" s="27">
        <v>0</v>
      </c>
      <c r="Z3" s="128">
        <v>500</v>
      </c>
      <c r="AA3" s="128" t="s">
        <v>96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0"/>
      <c r="AI3" s="27">
        <v>0</v>
      </c>
      <c r="AJ3" s="128">
        <v>500</v>
      </c>
      <c r="AK3" s="128" t="s">
        <v>96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0"/>
      <c r="AS3" s="27">
        <v>0</v>
      </c>
      <c r="AT3" s="128">
        <v>500</v>
      </c>
      <c r="AU3" s="128" t="s">
        <v>96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28">
        <v>500</v>
      </c>
      <c r="BE3" s="128" t="s">
        <v>96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6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6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2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0"/>
      <c r="Y4" s="27">
        <v>1</v>
      </c>
      <c r="Z4" s="128">
        <v>100</v>
      </c>
      <c r="AA4" s="128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0"/>
      <c r="AI4" s="27">
        <v>1</v>
      </c>
      <c r="AJ4" s="128">
        <v>100</v>
      </c>
      <c r="AK4" s="128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0"/>
      <c r="AS4" s="27">
        <v>1</v>
      </c>
      <c r="AT4" s="128">
        <v>100</v>
      </c>
      <c r="AU4" s="128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28">
        <v>100</v>
      </c>
      <c r="BE4" s="128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6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6"/>
      <c r="G5" s="78">
        <v>3</v>
      </c>
      <c r="H5" s="106">
        <v>3</v>
      </c>
      <c r="I5" s="79">
        <f t="shared" si="3"/>
        <v>11</v>
      </c>
      <c r="J5" s="70">
        <f t="shared" si="4"/>
        <v>4</v>
      </c>
      <c r="K5" s="58">
        <v>10</v>
      </c>
      <c r="L5" s="106"/>
      <c r="M5" s="78">
        <v>3</v>
      </c>
      <c r="N5" s="106">
        <v>3</v>
      </c>
      <c r="O5" s="79">
        <f t="shared" si="5"/>
        <v>0</v>
      </c>
      <c r="P5" s="70">
        <f t="shared" si="6"/>
        <v>0</v>
      </c>
      <c r="Q5" s="58">
        <v>10</v>
      </c>
      <c r="R5" s="152"/>
      <c r="S5" s="78">
        <v>3</v>
      </c>
      <c r="T5" s="152">
        <v>3</v>
      </c>
      <c r="U5" s="79">
        <f t="shared" si="7"/>
        <v>11</v>
      </c>
      <c r="V5" s="70">
        <f t="shared" si="8"/>
        <v>4</v>
      </c>
      <c r="W5" s="58">
        <v>10</v>
      </c>
      <c r="X5" s="130"/>
      <c r="Y5" s="27">
        <v>2</v>
      </c>
      <c r="Z5" s="128">
        <v>50</v>
      </c>
      <c r="AA5" s="128" t="s">
        <v>94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0"/>
      <c r="AI5" s="27">
        <v>2</v>
      </c>
      <c r="AJ5" s="128">
        <v>50</v>
      </c>
      <c r="AK5" s="128" t="s">
        <v>94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0"/>
      <c r="AS5" s="27">
        <v>2</v>
      </c>
      <c r="AT5" s="128">
        <v>50</v>
      </c>
      <c r="AU5" s="128" t="s">
        <v>94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28">
        <v>50</v>
      </c>
      <c r="BE5" s="128" t="s">
        <v>94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6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6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2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0"/>
      <c r="Y6" s="27">
        <v>3</v>
      </c>
      <c r="Z6" s="128">
        <v>10</v>
      </c>
      <c r="AA6" s="128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0"/>
      <c r="AI6" s="27">
        <v>3</v>
      </c>
      <c r="AJ6" s="128">
        <v>10</v>
      </c>
      <c r="AK6" s="128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0"/>
      <c r="AS6" s="27">
        <v>3</v>
      </c>
      <c r="AT6" s="128">
        <v>10</v>
      </c>
      <c r="AU6" s="128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28">
        <v>10</v>
      </c>
      <c r="BE6" s="128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6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6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2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0"/>
      <c r="Y7" s="27">
        <v>4</v>
      </c>
      <c r="Z7" s="128">
        <v>15</v>
      </c>
      <c r="AA7" s="128" t="s">
        <v>91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0"/>
      <c r="AI7" s="27">
        <v>4</v>
      </c>
      <c r="AJ7" s="128">
        <v>15</v>
      </c>
      <c r="AK7" s="128" t="s">
        <v>91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0"/>
      <c r="AS7" s="27">
        <v>4</v>
      </c>
      <c r="AT7" s="128">
        <v>15</v>
      </c>
      <c r="AU7" s="128" t="s">
        <v>91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28">
        <v>15</v>
      </c>
      <c r="BE7" s="128" t="s">
        <v>91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6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6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2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0"/>
      <c r="Y8" s="27">
        <v>5</v>
      </c>
      <c r="Z8" s="128">
        <v>25</v>
      </c>
      <c r="AA8" s="128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0"/>
      <c r="AI8" s="27">
        <v>5</v>
      </c>
      <c r="AJ8" s="128">
        <v>25</v>
      </c>
      <c r="AK8" s="128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0"/>
      <c r="AS8" s="27">
        <v>5</v>
      </c>
      <c r="AT8" s="128">
        <v>25</v>
      </c>
      <c r="AU8" s="128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28">
        <v>25</v>
      </c>
      <c r="BE8" s="128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6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6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2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0"/>
      <c r="Y9" s="27">
        <v>6</v>
      </c>
      <c r="Z9" s="128">
        <v>20</v>
      </c>
      <c r="AA9" s="128" t="s">
        <v>92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0"/>
      <c r="AI9" s="27">
        <v>6</v>
      </c>
      <c r="AJ9" s="128">
        <v>20</v>
      </c>
      <c r="AK9" s="128" t="s">
        <v>92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0"/>
      <c r="AS9" s="27">
        <v>6</v>
      </c>
      <c r="AT9" s="128">
        <v>20</v>
      </c>
      <c r="AU9" s="128" t="s">
        <v>92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28">
        <v>20</v>
      </c>
      <c r="BE9" s="128" t="s">
        <v>92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6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6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2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0"/>
      <c r="Y10" s="27">
        <v>7</v>
      </c>
      <c r="Z10" s="128">
        <v>5</v>
      </c>
      <c r="AA10" s="128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0"/>
      <c r="AI10" s="27">
        <v>7</v>
      </c>
      <c r="AJ10" s="128">
        <v>5</v>
      </c>
      <c r="AK10" s="128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0"/>
      <c r="AS10" s="27">
        <v>7</v>
      </c>
      <c r="AT10" s="128">
        <v>15</v>
      </c>
      <c r="AU10" s="128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28">
        <v>5</v>
      </c>
      <c r="BE10" s="128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6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6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2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0"/>
      <c r="Y11" s="27">
        <v>8</v>
      </c>
      <c r="Z11" s="128">
        <v>3</v>
      </c>
      <c r="AA11" s="128" t="s">
        <v>88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0"/>
      <c r="AI11" s="27">
        <v>8</v>
      </c>
      <c r="AJ11" s="128">
        <v>3</v>
      </c>
      <c r="AK11" s="128" t="s">
        <v>88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0"/>
      <c r="AS11" s="27">
        <v>8</v>
      </c>
      <c r="AT11" s="128">
        <v>10</v>
      </c>
      <c r="AU11" s="128" t="s">
        <v>173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28">
        <v>3</v>
      </c>
      <c r="BE11" s="128" t="s">
        <v>88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6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6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2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0"/>
      <c r="Y12" s="27">
        <v>9</v>
      </c>
      <c r="Z12" s="128" t="s">
        <v>120</v>
      </c>
      <c r="AA12" s="128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0"/>
      <c r="AI12" s="27">
        <v>9</v>
      </c>
      <c r="AJ12" s="128" t="s">
        <v>120</v>
      </c>
      <c r="AK12" s="128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0"/>
      <c r="AS12" s="27">
        <v>9</v>
      </c>
      <c r="AT12" s="128" t="s">
        <v>120</v>
      </c>
      <c r="AU12" s="128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28" t="s">
        <v>120</v>
      </c>
      <c r="BE12" s="128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6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6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2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0"/>
      <c r="Y13" s="27">
        <v>10</v>
      </c>
      <c r="Z13" s="128">
        <v>2</v>
      </c>
      <c r="AA13" s="128" t="s">
        <v>87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0"/>
      <c r="AI13" s="27">
        <v>10</v>
      </c>
      <c r="AJ13" s="128">
        <v>2</v>
      </c>
      <c r="AK13" s="128" t="s">
        <v>87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0"/>
      <c r="AS13" s="27">
        <v>10</v>
      </c>
      <c r="AT13" s="128">
        <v>10</v>
      </c>
      <c r="AU13" s="128" t="s">
        <v>173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28">
        <v>2</v>
      </c>
      <c r="BE13" s="128" t="s">
        <v>87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121</v>
      </c>
      <c r="B14" s="59" t="s">
        <v>102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6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6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2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0"/>
      <c r="Y14" s="27">
        <v>11</v>
      </c>
      <c r="Z14" s="128">
        <v>1</v>
      </c>
      <c r="AA14" s="128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0"/>
      <c r="AI14" s="27">
        <v>11</v>
      </c>
      <c r="AJ14" s="128">
        <v>2</v>
      </c>
      <c r="AK14" s="128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0"/>
      <c r="AS14" s="27">
        <v>11</v>
      </c>
      <c r="AT14" s="128">
        <v>15</v>
      </c>
      <c r="AU14" s="128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28">
        <v>2</v>
      </c>
      <c r="BE14" s="128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86</v>
      </c>
      <c r="B15" s="57" t="s">
        <v>86</v>
      </c>
      <c r="C15" s="76">
        <f t="shared" si="0"/>
        <v>0</v>
      </c>
      <c r="D15" s="77">
        <f t="shared" si="1"/>
        <v>4</v>
      </c>
      <c r="E15" s="129">
        <f t="shared" si="2"/>
        <v>20</v>
      </c>
      <c r="F15" s="106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29">
        <v>20</v>
      </c>
      <c r="L15" s="106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29">
        <v>20</v>
      </c>
      <c r="R15" s="152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29">
        <v>20</v>
      </c>
      <c r="X15" s="130"/>
      <c r="Y15" s="27">
        <v>12</v>
      </c>
      <c r="Z15" s="128">
        <v>5</v>
      </c>
      <c r="AA15" s="128" t="s">
        <v>89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0"/>
      <c r="AI15" s="27">
        <v>12</v>
      </c>
      <c r="AJ15" s="128">
        <v>5</v>
      </c>
      <c r="AK15" s="128" t="s">
        <v>89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0"/>
      <c r="AS15" s="27">
        <v>12</v>
      </c>
      <c r="AT15" s="128">
        <v>20</v>
      </c>
      <c r="AU15" s="128" t="s">
        <v>114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28">
        <v>5</v>
      </c>
      <c r="BE15" s="128" t="s">
        <v>89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87</v>
      </c>
      <c r="B16" s="58" t="s">
        <v>87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6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6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2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0"/>
      <c r="Y16" s="27">
        <v>13</v>
      </c>
      <c r="Z16" s="128">
        <v>10</v>
      </c>
      <c r="AA16" s="128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0"/>
      <c r="AI16" s="27">
        <v>13</v>
      </c>
      <c r="AJ16" s="128">
        <v>10</v>
      </c>
      <c r="AK16" s="128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0"/>
      <c r="AS16" s="27">
        <v>13</v>
      </c>
      <c r="AT16" s="128">
        <v>10</v>
      </c>
      <c r="AU16" s="128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28">
        <v>10</v>
      </c>
      <c r="BE16" s="128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88</v>
      </c>
      <c r="B17" s="106" t="s">
        <v>88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6"/>
      <c r="G17" s="78" t="str">
        <v>G3</v>
      </c>
      <c r="H17" s="106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6"/>
      <c r="M17" s="78" t="str">
        <v>G3</v>
      </c>
      <c r="N17" s="106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2"/>
      <c r="S17" s="78" t="str">
        <v>G3</v>
      </c>
      <c r="T17" s="152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0"/>
      <c r="Y17" s="27">
        <v>14</v>
      </c>
      <c r="Z17" s="128">
        <v>15</v>
      </c>
      <c r="AA17" s="128" t="s">
        <v>91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0"/>
      <c r="AI17" s="27">
        <v>14</v>
      </c>
      <c r="AJ17" s="128">
        <v>15</v>
      </c>
      <c r="AK17" s="128" t="s">
        <v>91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0"/>
      <c r="AS17" s="27">
        <v>14</v>
      </c>
      <c r="AT17" s="128">
        <v>15</v>
      </c>
      <c r="AU17" s="128" t="s">
        <v>91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28">
        <v>15</v>
      </c>
      <c r="BE17" s="128" t="s">
        <v>91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89</v>
      </c>
      <c r="B18" s="58" t="s">
        <v>89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6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6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2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0"/>
      <c r="Y18" s="27">
        <v>15</v>
      </c>
      <c r="Z18" s="128">
        <v>20</v>
      </c>
      <c r="AA18" s="128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0"/>
      <c r="AI18" s="27">
        <v>15</v>
      </c>
      <c r="AJ18" s="128">
        <v>20</v>
      </c>
      <c r="AK18" s="128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0"/>
      <c r="AS18" s="27">
        <v>15</v>
      </c>
      <c r="AT18" s="128">
        <v>20</v>
      </c>
      <c r="AU18" s="128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28">
        <v>20</v>
      </c>
      <c r="BE18" s="128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90</v>
      </c>
      <c r="B19" s="58" t="s">
        <v>90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6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6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2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0"/>
      <c r="Y19" s="27">
        <v>16</v>
      </c>
      <c r="Z19" s="128">
        <v>25</v>
      </c>
      <c r="AA19" s="128" t="s">
        <v>93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0"/>
      <c r="AI19" s="27">
        <v>16</v>
      </c>
      <c r="AJ19" s="128">
        <v>25</v>
      </c>
      <c r="AK19" s="128" t="s">
        <v>93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0"/>
      <c r="AS19" s="27">
        <v>16</v>
      </c>
      <c r="AT19" s="128">
        <v>25</v>
      </c>
      <c r="AU19" s="128" t="s">
        <v>93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28">
        <v>25</v>
      </c>
      <c r="BE19" s="128" t="s">
        <v>93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91</v>
      </c>
      <c r="B20" s="58" t="s">
        <v>91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6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6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2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0"/>
      <c r="Y20" s="27">
        <v>17</v>
      </c>
      <c r="Z20" s="128">
        <v>50</v>
      </c>
      <c r="AA20" s="128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0"/>
      <c r="AI20" s="27">
        <v>17</v>
      </c>
      <c r="AJ20" s="128">
        <v>50</v>
      </c>
      <c r="AK20" s="128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0"/>
      <c r="AS20" s="27">
        <v>17</v>
      </c>
      <c r="AT20" s="128">
        <v>50</v>
      </c>
      <c r="AU20" s="128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28">
        <v>50</v>
      </c>
      <c r="BE20" s="128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92</v>
      </c>
      <c r="B21" s="58" t="s">
        <v>92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6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6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2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0"/>
      <c r="Y21" s="27">
        <v>18</v>
      </c>
      <c r="Z21" s="128">
        <v>100</v>
      </c>
      <c r="AA21" s="128" t="s">
        <v>116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0"/>
      <c r="AI21" s="27">
        <v>18</v>
      </c>
      <c r="AJ21" s="128">
        <v>100</v>
      </c>
      <c r="AK21" s="128" t="s">
        <v>95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0"/>
      <c r="AS21" s="27">
        <v>18</v>
      </c>
      <c r="AT21" s="128">
        <v>100</v>
      </c>
      <c r="AU21" s="128" t="s">
        <v>95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28">
        <v>100</v>
      </c>
      <c r="BE21" s="128" t="s">
        <v>95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93</v>
      </c>
      <c r="B22" s="58" t="s">
        <v>93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6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6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2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0"/>
      <c r="Y22" s="27">
        <v>19</v>
      </c>
      <c r="Z22" s="128">
        <v>15</v>
      </c>
      <c r="AA22" s="128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0"/>
      <c r="AI22" s="27">
        <v>19</v>
      </c>
      <c r="AJ22" s="128">
        <v>15</v>
      </c>
      <c r="AK22" s="128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0"/>
      <c r="AS22" s="27">
        <v>19</v>
      </c>
      <c r="AT22" s="128">
        <v>15</v>
      </c>
      <c r="AU22" s="128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28">
        <v>15</v>
      </c>
      <c r="BE22" s="128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94</v>
      </c>
      <c r="B23" s="58" t="s">
        <v>94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6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6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2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0"/>
      <c r="Y23" s="27">
        <v>20</v>
      </c>
      <c r="Z23" s="128">
        <v>10</v>
      </c>
      <c r="AA23" s="128" t="s">
        <v>90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0"/>
      <c r="AI23" s="27">
        <v>20</v>
      </c>
      <c r="AJ23" s="128">
        <v>10</v>
      </c>
      <c r="AK23" s="128" t="s">
        <v>90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0"/>
      <c r="AS23" s="27">
        <v>20</v>
      </c>
      <c r="AT23" s="128">
        <v>10</v>
      </c>
      <c r="AU23" s="128" t="s">
        <v>90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28">
        <v>10</v>
      </c>
      <c r="BE23" s="128" t="s">
        <v>90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95</v>
      </c>
      <c r="B24" s="58" t="s">
        <v>95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6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6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2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0"/>
      <c r="Y24" s="27">
        <v>21</v>
      </c>
      <c r="Z24" s="128">
        <v>50</v>
      </c>
      <c r="AA24" s="128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0"/>
      <c r="AI24" s="27">
        <v>21</v>
      </c>
      <c r="AJ24" s="128">
        <v>50</v>
      </c>
      <c r="AK24" s="128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0"/>
      <c r="AS24" s="27">
        <v>21</v>
      </c>
      <c r="AT24" s="128">
        <v>50</v>
      </c>
      <c r="AU24" s="128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28">
        <v>50</v>
      </c>
      <c r="BE24" s="128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96</v>
      </c>
      <c r="B25" s="59" t="s">
        <v>96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6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6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2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0"/>
      <c r="Y25" s="27">
        <v>22</v>
      </c>
      <c r="Z25" s="128">
        <v>25</v>
      </c>
      <c r="AA25" s="128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0"/>
      <c r="AI25" s="27">
        <v>22</v>
      </c>
      <c r="AJ25" s="128">
        <v>25</v>
      </c>
      <c r="AK25" s="128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0"/>
      <c r="AS25" s="27">
        <v>22</v>
      </c>
      <c r="AT25" s="128">
        <v>25</v>
      </c>
      <c r="AU25" s="128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28">
        <v>25</v>
      </c>
      <c r="BE25" s="128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6"/>
      <c r="C26" s="106">
        <f>SUM(C3:C25)</f>
        <v>85</v>
      </c>
      <c r="D26" s="106">
        <f t="shared" ref="D26" si="17">SUM(D3:D25)</f>
        <v>85</v>
      </c>
      <c r="E26" s="106"/>
      <c r="F26" s="106"/>
      <c r="G26" s="60" t="s">
        <v>10</v>
      </c>
      <c r="H26" s="106"/>
      <c r="I26" s="106">
        <f>SUM(I3:I25)</f>
        <v>85</v>
      </c>
      <c r="J26" s="106">
        <f t="shared" ref="J26" si="18">SUM(J3:J25)</f>
        <v>85</v>
      </c>
      <c r="K26" s="106"/>
      <c r="L26" s="106"/>
      <c r="M26" s="60" t="s">
        <v>10</v>
      </c>
      <c r="N26" s="106"/>
      <c r="O26" s="106">
        <f>SUM(O3:O25)</f>
        <v>85</v>
      </c>
      <c r="P26" s="106">
        <f t="shared" ref="P26" si="19">SUM(P3:P25)</f>
        <v>85</v>
      </c>
      <c r="Q26" s="106"/>
      <c r="R26" s="152"/>
      <c r="S26" s="60" t="s">
        <v>10</v>
      </c>
      <c r="T26" s="152"/>
      <c r="U26" s="152">
        <f>SUM(U3:U25)</f>
        <v>85</v>
      </c>
      <c r="V26" s="152">
        <f t="shared" ref="V26" si="20">SUM(V3:V25)</f>
        <v>85</v>
      </c>
      <c r="W26" s="152"/>
      <c r="X26" s="130"/>
      <c r="Y26" s="27">
        <v>23</v>
      </c>
      <c r="Z26" s="128">
        <v>20</v>
      </c>
      <c r="AA26" s="128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0"/>
      <c r="AI26" s="27">
        <v>23</v>
      </c>
      <c r="AJ26" s="128">
        <v>20</v>
      </c>
      <c r="AK26" s="128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0"/>
      <c r="AS26" s="27">
        <v>23</v>
      </c>
      <c r="AT26" s="128">
        <v>20</v>
      </c>
      <c r="AU26" s="128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28">
        <v>20</v>
      </c>
      <c r="BE26" s="128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6"/>
      <c r="D27" s="106"/>
      <c r="X27" s="130"/>
      <c r="Y27" s="27">
        <v>24</v>
      </c>
      <c r="Z27" s="128">
        <v>5</v>
      </c>
      <c r="AA27" s="128" t="s">
        <v>89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0"/>
      <c r="AI27" s="27">
        <v>24</v>
      </c>
      <c r="AJ27" s="128">
        <v>5</v>
      </c>
      <c r="AK27" s="128" t="s">
        <v>89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0"/>
      <c r="AS27" s="27">
        <v>24</v>
      </c>
      <c r="AT27" s="128">
        <v>15</v>
      </c>
      <c r="AU27" s="128" t="s">
        <v>115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28">
        <v>5</v>
      </c>
      <c r="BE27" s="128" t="s">
        <v>89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0"/>
      <c r="Y28" s="27">
        <v>25</v>
      </c>
      <c r="Z28" s="128">
        <v>2</v>
      </c>
      <c r="AA28" s="128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0"/>
      <c r="AI28" s="27">
        <v>25</v>
      </c>
      <c r="AJ28" s="128">
        <v>2</v>
      </c>
      <c r="AK28" s="128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0"/>
      <c r="AS28" s="27">
        <v>25</v>
      </c>
      <c r="AT28" s="128">
        <v>10</v>
      </c>
      <c r="AU28" s="128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28">
        <v>2</v>
      </c>
      <c r="BE28" s="128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0"/>
      <c r="Y29" s="27">
        <v>26</v>
      </c>
      <c r="Z29" s="128" t="s">
        <v>120</v>
      </c>
      <c r="AA29" s="128" t="s">
        <v>97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0"/>
      <c r="AI29" s="27">
        <v>26</v>
      </c>
      <c r="AJ29" s="128" t="s">
        <v>120</v>
      </c>
      <c r="AK29" s="128" t="s">
        <v>88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0"/>
      <c r="AS29" s="27">
        <v>26</v>
      </c>
      <c r="AT29" s="128" t="s">
        <v>120</v>
      </c>
      <c r="AU29" s="128" t="s">
        <v>115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28" t="s">
        <v>120</v>
      </c>
      <c r="BE29" s="128" t="s">
        <v>88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0"/>
      <c r="Y30" s="27">
        <v>27</v>
      </c>
      <c r="Z30" s="128">
        <v>1</v>
      </c>
      <c r="AA30" s="128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0"/>
      <c r="AI30" s="27">
        <v>27</v>
      </c>
      <c r="AJ30" s="128">
        <v>2</v>
      </c>
      <c r="AK30" s="128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0"/>
      <c r="AS30" s="27">
        <v>27</v>
      </c>
      <c r="AT30" s="128">
        <v>10</v>
      </c>
      <c r="AU30" s="128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28">
        <v>2</v>
      </c>
      <c r="BE30" s="128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0"/>
      <c r="Y31" s="27">
        <v>28</v>
      </c>
      <c r="Z31" s="128">
        <v>3</v>
      </c>
      <c r="AA31" s="128" t="s">
        <v>88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0"/>
      <c r="AI31" s="27">
        <v>28</v>
      </c>
      <c r="AJ31" s="128">
        <v>3</v>
      </c>
      <c r="AK31" s="128" t="s">
        <v>88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0"/>
      <c r="AS31" s="27">
        <v>28</v>
      </c>
      <c r="AT31" s="128">
        <v>15</v>
      </c>
      <c r="AU31" s="128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28">
        <v>3</v>
      </c>
      <c r="BE31" s="128" t="s">
        <v>88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0"/>
      <c r="Y32" s="27">
        <v>29</v>
      </c>
      <c r="Z32" s="128">
        <v>5</v>
      </c>
      <c r="AA32" s="128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0"/>
      <c r="AI32" s="27">
        <v>29</v>
      </c>
      <c r="AJ32" s="128">
        <v>5</v>
      </c>
      <c r="AK32" s="128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0"/>
      <c r="AS32" s="27">
        <v>29</v>
      </c>
      <c r="AT32" s="128">
        <v>10</v>
      </c>
      <c r="AU32" s="128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28">
        <v>5</v>
      </c>
      <c r="BE32" s="128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0"/>
      <c r="Y33" s="27">
        <v>30</v>
      </c>
      <c r="Z33" s="128">
        <v>10</v>
      </c>
      <c r="AA33" s="128" t="s">
        <v>90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0"/>
      <c r="AI33" s="27">
        <v>30</v>
      </c>
      <c r="AJ33" s="128">
        <v>10</v>
      </c>
      <c r="AK33" s="128" t="s">
        <v>90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0"/>
      <c r="AS33" s="27">
        <v>30</v>
      </c>
      <c r="AT33" s="128">
        <v>10</v>
      </c>
      <c r="AU33" s="128" t="s">
        <v>90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28">
        <v>10</v>
      </c>
      <c r="BE33" s="128" t="s">
        <v>90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0"/>
      <c r="Y34" s="27">
        <v>31</v>
      </c>
      <c r="Z34" s="128">
        <v>15</v>
      </c>
      <c r="AA34" s="128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0"/>
      <c r="AI34" s="27">
        <v>31</v>
      </c>
      <c r="AJ34" s="128">
        <v>15</v>
      </c>
      <c r="AK34" s="128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0"/>
      <c r="AS34" s="27">
        <v>31</v>
      </c>
      <c r="AT34" s="128">
        <v>15</v>
      </c>
      <c r="AU34" s="128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28">
        <v>15</v>
      </c>
      <c r="BE34" s="128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0"/>
      <c r="Y35" s="27">
        <v>32</v>
      </c>
      <c r="Z35" s="128">
        <v>20</v>
      </c>
      <c r="AA35" s="128" t="s">
        <v>92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0"/>
      <c r="AI35" s="27">
        <v>32</v>
      </c>
      <c r="AJ35" s="128">
        <v>20</v>
      </c>
      <c r="AK35" s="128" t="s">
        <v>92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0"/>
      <c r="AS35" s="27">
        <v>32</v>
      </c>
      <c r="AT35" s="128">
        <v>20</v>
      </c>
      <c r="AU35" s="128" t="s">
        <v>92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28">
        <v>20</v>
      </c>
      <c r="BE35" s="128" t="s">
        <v>92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0"/>
      <c r="Y36" s="27">
        <v>33</v>
      </c>
      <c r="Z36" s="128">
        <v>25</v>
      </c>
      <c r="AA36" s="128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0"/>
      <c r="AI36" s="27">
        <v>33</v>
      </c>
      <c r="AJ36" s="128">
        <v>25</v>
      </c>
      <c r="AK36" s="128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0"/>
      <c r="AS36" s="27">
        <v>33</v>
      </c>
      <c r="AT36" s="128">
        <v>25</v>
      </c>
      <c r="AU36" s="128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28">
        <v>25</v>
      </c>
      <c r="BE36" s="128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0"/>
      <c r="Y37" s="27">
        <v>34</v>
      </c>
      <c r="Z37" s="128">
        <v>50</v>
      </c>
      <c r="AA37" s="128" t="s">
        <v>94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0"/>
      <c r="AI37" s="27">
        <v>34</v>
      </c>
      <c r="AJ37" s="128">
        <v>50</v>
      </c>
      <c r="AK37" s="128" t="s">
        <v>94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0"/>
      <c r="AS37" s="27">
        <v>34</v>
      </c>
      <c r="AT37" s="128">
        <v>50</v>
      </c>
      <c r="AU37" s="128" t="s">
        <v>94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28">
        <v>50</v>
      </c>
      <c r="BE37" s="128" t="s">
        <v>94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0"/>
      <c r="Y38" s="27">
        <v>35</v>
      </c>
      <c r="Z38" s="128">
        <v>500</v>
      </c>
      <c r="AA38" s="128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0"/>
      <c r="AI38" s="27">
        <v>35</v>
      </c>
      <c r="AJ38" s="128">
        <v>500</v>
      </c>
      <c r="AK38" s="128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0"/>
      <c r="AS38" s="27">
        <v>35</v>
      </c>
      <c r="AT38" s="128">
        <v>500</v>
      </c>
      <c r="AU38" s="128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28">
        <v>500</v>
      </c>
      <c r="BE38" s="128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0"/>
      <c r="Y39" s="27">
        <v>36</v>
      </c>
      <c r="Z39" s="128">
        <v>100</v>
      </c>
      <c r="AA39" s="128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0"/>
      <c r="AI39" s="27">
        <v>36</v>
      </c>
      <c r="AJ39" s="128">
        <v>100</v>
      </c>
      <c r="AK39" s="128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0"/>
      <c r="AS39" s="27">
        <v>36</v>
      </c>
      <c r="AT39" s="128">
        <v>100</v>
      </c>
      <c r="AU39" s="128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28">
        <v>100</v>
      </c>
      <c r="BE39" s="128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0"/>
      <c r="Y40" s="27">
        <v>37</v>
      </c>
      <c r="Z40" s="128">
        <v>2</v>
      </c>
      <c r="AA40" s="128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0"/>
      <c r="AI40" s="27">
        <v>37</v>
      </c>
      <c r="AJ40" s="128">
        <v>2</v>
      </c>
      <c r="AK40" s="128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0"/>
      <c r="AS40" s="27">
        <v>37</v>
      </c>
      <c r="AT40" s="128">
        <v>25</v>
      </c>
      <c r="AU40" s="128" t="s">
        <v>174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28">
        <v>2</v>
      </c>
      <c r="BE40" s="128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0"/>
      <c r="Y41" s="27">
        <v>38</v>
      </c>
      <c r="Z41" s="128">
        <v>1</v>
      </c>
      <c r="AA41" s="128" t="s">
        <v>86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0"/>
      <c r="AI41" s="27">
        <v>38</v>
      </c>
      <c r="AJ41" s="128">
        <v>3</v>
      </c>
      <c r="AK41" s="128" t="s">
        <v>97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0"/>
      <c r="AS41" s="27">
        <v>38</v>
      </c>
      <c r="AT41" s="128">
        <v>20</v>
      </c>
      <c r="AU41" s="128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28">
        <v>3</v>
      </c>
      <c r="BE41" s="128" t="s">
        <v>88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0"/>
      <c r="Y42" s="27">
        <v>39</v>
      </c>
      <c r="Z42" s="128">
        <v>3</v>
      </c>
      <c r="AA42" s="128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0"/>
      <c r="AI42" s="27">
        <v>39</v>
      </c>
      <c r="AJ42" s="128">
        <v>3</v>
      </c>
      <c r="AK42" s="128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0"/>
      <c r="AS42" s="27">
        <v>39</v>
      </c>
      <c r="AT42" s="128">
        <v>15</v>
      </c>
      <c r="AU42" s="128" t="s">
        <v>115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28">
        <v>3</v>
      </c>
      <c r="BE42" s="128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0"/>
      <c r="Y43" s="27">
        <v>40</v>
      </c>
      <c r="Z43" s="128">
        <v>2</v>
      </c>
      <c r="AA43" s="128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0"/>
      <c r="AI43" s="27">
        <v>40</v>
      </c>
      <c r="AJ43" s="128">
        <v>2</v>
      </c>
      <c r="AK43" s="128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0"/>
      <c r="AS43" s="27">
        <v>40</v>
      </c>
      <c r="AT43" s="128">
        <v>10</v>
      </c>
      <c r="AU43" s="128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28">
        <v>2</v>
      </c>
      <c r="BE43" s="128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0"/>
      <c r="Y44" s="27">
        <v>41</v>
      </c>
      <c r="Z44" s="128">
        <v>20</v>
      </c>
      <c r="AA44" s="128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0"/>
      <c r="AI44" s="27">
        <v>41</v>
      </c>
      <c r="AJ44" s="128">
        <v>20</v>
      </c>
      <c r="AK44" s="128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0"/>
      <c r="AS44" s="27">
        <v>41</v>
      </c>
      <c r="AT44" s="128">
        <v>20</v>
      </c>
      <c r="AU44" s="128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28">
        <v>20</v>
      </c>
      <c r="BE44" s="128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0"/>
      <c r="Y45" s="27">
        <v>42</v>
      </c>
      <c r="Z45" s="128">
        <v>15</v>
      </c>
      <c r="AA45" s="128" t="s">
        <v>91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0"/>
      <c r="AI45" s="27">
        <v>42</v>
      </c>
      <c r="AJ45" s="128">
        <v>15</v>
      </c>
      <c r="AK45" s="128" t="s">
        <v>91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0"/>
      <c r="AS45" s="27">
        <v>42</v>
      </c>
      <c r="AT45" s="128">
        <v>15</v>
      </c>
      <c r="AU45" s="128" t="s">
        <v>91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28">
        <v>15</v>
      </c>
      <c r="BE45" s="128" t="s">
        <v>91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0"/>
      <c r="Y46" s="27">
        <v>43</v>
      </c>
      <c r="Z46" s="128">
        <v>5</v>
      </c>
      <c r="AA46" s="128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0"/>
      <c r="AI46" s="27">
        <v>43</v>
      </c>
      <c r="AJ46" s="128">
        <v>5</v>
      </c>
      <c r="AK46" s="128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0"/>
      <c r="AS46" s="27">
        <v>43</v>
      </c>
      <c r="AT46" s="128">
        <v>10</v>
      </c>
      <c r="AU46" s="128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28">
        <v>5</v>
      </c>
      <c r="BE46" s="128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0"/>
      <c r="Y47" s="27">
        <v>44</v>
      </c>
      <c r="Z47" s="128">
        <v>1</v>
      </c>
      <c r="AA47" s="128" t="s">
        <v>86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0"/>
      <c r="AI47" s="27">
        <v>44</v>
      </c>
      <c r="AJ47" s="128">
        <v>2</v>
      </c>
      <c r="AK47" s="128" t="s">
        <v>113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0"/>
      <c r="AS47" s="27">
        <v>44</v>
      </c>
      <c r="AT47" s="128">
        <v>10</v>
      </c>
      <c r="AU47" s="128" t="s">
        <v>173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28">
        <v>2</v>
      </c>
      <c r="BE47" s="128" t="s">
        <v>87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0"/>
      <c r="Y48" s="27">
        <v>45</v>
      </c>
      <c r="Z48" s="128" t="s">
        <v>120</v>
      </c>
      <c r="AA48" s="128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0"/>
      <c r="AI48" s="27">
        <v>45</v>
      </c>
      <c r="AJ48" s="128" t="s">
        <v>120</v>
      </c>
      <c r="AK48" s="128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0"/>
      <c r="AS48" s="27">
        <v>45</v>
      </c>
      <c r="AT48" s="128" t="s">
        <v>120</v>
      </c>
      <c r="AU48" s="128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28" t="s">
        <v>120</v>
      </c>
      <c r="BE48" s="128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0"/>
      <c r="Y49" s="27">
        <v>46</v>
      </c>
      <c r="Z49" s="128">
        <v>2</v>
      </c>
      <c r="AA49" s="128" t="s">
        <v>87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0"/>
      <c r="AI49" s="27">
        <v>46</v>
      </c>
      <c r="AJ49" s="128">
        <v>2</v>
      </c>
      <c r="AK49" s="128" t="s">
        <v>87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0"/>
      <c r="AS49" s="27">
        <v>46</v>
      </c>
      <c r="AT49" s="128">
        <v>15</v>
      </c>
      <c r="AU49" s="128" t="s">
        <v>115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28">
        <v>2</v>
      </c>
      <c r="BE49" s="128" t="s">
        <v>87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0"/>
      <c r="Y50" s="27">
        <v>47</v>
      </c>
      <c r="Z50" s="128">
        <v>3</v>
      </c>
      <c r="AA50" s="128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0"/>
      <c r="AI50" s="27">
        <v>47</v>
      </c>
      <c r="AJ50" s="128">
        <v>3</v>
      </c>
      <c r="AK50" s="128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0"/>
      <c r="AS50" s="27">
        <v>47</v>
      </c>
      <c r="AT50" s="128">
        <v>20</v>
      </c>
      <c r="AU50" s="128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28">
        <v>3</v>
      </c>
      <c r="BE50" s="128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0"/>
      <c r="Y51" s="27">
        <v>48</v>
      </c>
      <c r="Z51" s="128">
        <v>5</v>
      </c>
      <c r="AA51" s="128" t="s">
        <v>89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0"/>
      <c r="AI51" s="27">
        <v>48</v>
      </c>
      <c r="AJ51" s="128">
        <v>5</v>
      </c>
      <c r="AK51" s="128" t="s">
        <v>89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0"/>
      <c r="AS51" s="27">
        <v>48</v>
      </c>
      <c r="AT51" s="128">
        <v>25</v>
      </c>
      <c r="AU51" s="128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28">
        <v>5</v>
      </c>
      <c r="BE51" s="128" t="s">
        <v>89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0"/>
      <c r="Y52" s="27">
        <v>49</v>
      </c>
      <c r="Z52" s="128">
        <v>10</v>
      </c>
      <c r="AA52" s="128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0"/>
      <c r="AI52" s="27">
        <v>49</v>
      </c>
      <c r="AJ52" s="128">
        <v>10</v>
      </c>
      <c r="AK52" s="128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0"/>
      <c r="AS52" s="27">
        <v>49</v>
      </c>
      <c r="AT52" s="128">
        <v>10</v>
      </c>
      <c r="AU52" s="128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28">
        <v>10</v>
      </c>
      <c r="BE52" s="128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0"/>
      <c r="Y53" s="27">
        <v>50</v>
      </c>
      <c r="Z53" s="128">
        <v>15</v>
      </c>
      <c r="AA53" s="128" t="s">
        <v>91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0"/>
      <c r="AI53" s="27">
        <v>50</v>
      </c>
      <c r="AJ53" s="128">
        <v>15</v>
      </c>
      <c r="AK53" s="128" t="s">
        <v>91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0"/>
      <c r="AS53" s="27">
        <v>50</v>
      </c>
      <c r="AT53" s="128">
        <v>15</v>
      </c>
      <c r="AU53" s="128" t="s">
        <v>91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28">
        <v>15</v>
      </c>
      <c r="BE53" s="128" t="s">
        <v>91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0"/>
      <c r="Y54" s="27">
        <v>51</v>
      </c>
      <c r="Z54" s="128">
        <v>20</v>
      </c>
      <c r="AA54" s="128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0"/>
      <c r="AI54" s="27">
        <v>51</v>
      </c>
      <c r="AJ54" s="128">
        <v>20</v>
      </c>
      <c r="AK54" s="128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0"/>
      <c r="AS54" s="27">
        <v>51</v>
      </c>
      <c r="AT54" s="128">
        <v>20</v>
      </c>
      <c r="AU54" s="128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28">
        <v>20</v>
      </c>
      <c r="BE54" s="128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0"/>
      <c r="Y55" s="27">
        <v>52</v>
      </c>
      <c r="Z55" s="128">
        <v>25</v>
      </c>
      <c r="AA55" s="128" t="s">
        <v>93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0"/>
      <c r="AI55" s="27">
        <v>52</v>
      </c>
      <c r="AJ55" s="128">
        <v>25</v>
      </c>
      <c r="AK55" s="128" t="s">
        <v>93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0"/>
      <c r="AS55" s="27">
        <v>52</v>
      </c>
      <c r="AT55" s="128">
        <v>25</v>
      </c>
      <c r="AU55" s="128" t="s">
        <v>93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28">
        <v>25</v>
      </c>
      <c r="BE55" s="128" t="s">
        <v>93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0"/>
      <c r="Y56" s="27">
        <v>53</v>
      </c>
      <c r="Z56" s="128">
        <v>50</v>
      </c>
      <c r="AA56" s="128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0"/>
      <c r="AI56" s="27">
        <v>53</v>
      </c>
      <c r="AJ56" s="128">
        <v>50</v>
      </c>
      <c r="AK56" s="128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0"/>
      <c r="AS56" s="27">
        <v>53</v>
      </c>
      <c r="AT56" s="128">
        <v>50</v>
      </c>
      <c r="AU56" s="128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28">
        <v>50</v>
      </c>
      <c r="BE56" s="128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0"/>
      <c r="Y57" s="27">
        <v>54</v>
      </c>
      <c r="Z57" s="128">
        <v>100</v>
      </c>
      <c r="AA57" s="128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0"/>
      <c r="AI57" s="27">
        <v>54</v>
      </c>
      <c r="AJ57" s="128">
        <v>100</v>
      </c>
      <c r="AK57" s="128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0"/>
      <c r="AS57" s="27">
        <v>54</v>
      </c>
      <c r="AT57" s="128">
        <v>100</v>
      </c>
      <c r="AU57" s="128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28">
        <v>100</v>
      </c>
      <c r="BE57" s="128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0"/>
      <c r="Y58" s="27">
        <v>55</v>
      </c>
      <c r="Z58" s="128">
        <v>500</v>
      </c>
      <c r="AA58" s="128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0"/>
      <c r="AI58" s="27">
        <v>55</v>
      </c>
      <c r="AJ58" s="128">
        <v>500</v>
      </c>
      <c r="AK58" s="128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0"/>
      <c r="AS58" s="27">
        <v>55</v>
      </c>
      <c r="AT58" s="128">
        <v>500</v>
      </c>
      <c r="AU58" s="128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28">
        <v>500</v>
      </c>
      <c r="BE58" s="128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0"/>
      <c r="Y59" s="27">
        <v>56</v>
      </c>
      <c r="Z59" s="128">
        <v>3</v>
      </c>
      <c r="AA59" s="128" t="s">
        <v>88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0"/>
      <c r="AI59" s="27">
        <v>56</v>
      </c>
      <c r="AJ59" s="128">
        <v>3</v>
      </c>
      <c r="AK59" s="128" t="s">
        <v>88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0"/>
      <c r="AS59" s="27">
        <v>56</v>
      </c>
      <c r="AT59" s="128">
        <v>25</v>
      </c>
      <c r="AU59" s="128" t="s">
        <v>174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28">
        <v>3</v>
      </c>
      <c r="BE59" s="128" t="s">
        <v>88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0"/>
      <c r="Y60" s="27">
        <v>57</v>
      </c>
      <c r="Z60" s="128">
        <v>2</v>
      </c>
      <c r="AA60" s="128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0"/>
      <c r="AI60" s="27">
        <v>57</v>
      </c>
      <c r="AJ60" s="128">
        <v>2</v>
      </c>
      <c r="AK60" s="128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0"/>
      <c r="AS60" s="27">
        <v>57</v>
      </c>
      <c r="AT60" s="128">
        <v>15</v>
      </c>
      <c r="AU60" s="128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28">
        <v>2</v>
      </c>
      <c r="BE60" s="128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0"/>
      <c r="Y61" s="27">
        <v>58</v>
      </c>
      <c r="Z61" s="128">
        <v>3</v>
      </c>
      <c r="AA61" s="128" t="s">
        <v>97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0"/>
      <c r="AI61" s="27">
        <v>58</v>
      </c>
      <c r="AJ61" s="128">
        <v>3</v>
      </c>
      <c r="AK61" s="128" t="s">
        <v>88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0"/>
      <c r="AS61" s="27">
        <v>58</v>
      </c>
      <c r="AT61" s="128">
        <v>10</v>
      </c>
      <c r="AU61" s="128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28">
        <v>3</v>
      </c>
      <c r="BE61" s="128" t="s">
        <v>88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0"/>
      <c r="Y62" s="27">
        <v>59</v>
      </c>
      <c r="Z62" s="128">
        <v>1</v>
      </c>
      <c r="AA62" s="128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0"/>
      <c r="AI62" s="27">
        <v>59</v>
      </c>
      <c r="AJ62" s="128">
        <v>3</v>
      </c>
      <c r="AK62" s="128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0"/>
      <c r="AS62" s="27">
        <v>59</v>
      </c>
      <c r="AT62" s="128">
        <v>10</v>
      </c>
      <c r="AU62" s="128" t="s">
        <v>173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28">
        <v>3</v>
      </c>
      <c r="BE62" s="128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0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0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0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0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0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0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0"/>
      <c r="Y65" s="27">
        <v>62</v>
      </c>
      <c r="Z65" s="8">
        <v>15</v>
      </c>
      <c r="AA65" s="8" t="s">
        <v>91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0"/>
      <c r="AI65" s="27">
        <v>62</v>
      </c>
      <c r="AJ65" s="8">
        <v>15</v>
      </c>
      <c r="AK65" s="8" t="s">
        <v>91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0"/>
      <c r="AS65" s="27">
        <v>62</v>
      </c>
      <c r="AT65" s="8">
        <v>15</v>
      </c>
      <c r="AU65" s="8" t="s">
        <v>91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91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0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0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0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0"/>
      <c r="Y67" s="27">
        <v>64</v>
      </c>
      <c r="Z67" s="8">
        <v>3</v>
      </c>
      <c r="AA67" s="8" t="s">
        <v>88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0"/>
      <c r="AI67" s="27">
        <v>64</v>
      </c>
      <c r="AJ67" s="8">
        <v>3</v>
      </c>
      <c r="AK67" s="8" t="s">
        <v>88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0"/>
      <c r="AS67" s="27">
        <v>64</v>
      </c>
      <c r="AT67" s="8">
        <v>10</v>
      </c>
      <c r="AU67" s="8" t="s">
        <v>173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88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0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0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0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0"/>
      <c r="Y69" s="27">
        <v>66</v>
      </c>
      <c r="Z69" s="8" t="s">
        <v>120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0"/>
      <c r="AI69" s="27">
        <v>66</v>
      </c>
      <c r="AJ69" s="8" t="s">
        <v>120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0"/>
      <c r="AS69" s="27">
        <v>66</v>
      </c>
      <c r="AT69" s="8" t="s">
        <v>120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120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0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0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0"/>
      <c r="AS70" s="27">
        <v>67</v>
      </c>
      <c r="AT70" s="8">
        <v>10</v>
      </c>
      <c r="AU70" s="8" t="s">
        <v>173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0"/>
      <c r="Y71" s="27">
        <v>68</v>
      </c>
      <c r="Z71" s="8">
        <v>5</v>
      </c>
      <c r="AA71" s="8" t="s">
        <v>89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0"/>
      <c r="AI71" s="27">
        <v>68</v>
      </c>
      <c r="AJ71" s="8">
        <v>5</v>
      </c>
      <c r="AK71" s="8" t="s">
        <v>89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0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89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0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0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0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0"/>
      <c r="Y73" s="27">
        <v>70</v>
      </c>
      <c r="Z73" s="8">
        <v>15</v>
      </c>
      <c r="AA73" s="8" t="s">
        <v>91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0"/>
      <c r="AI73" s="27">
        <v>70</v>
      </c>
      <c r="AJ73" s="8">
        <v>15</v>
      </c>
      <c r="AK73" s="8" t="s">
        <v>91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0"/>
      <c r="AS73" s="27">
        <v>70</v>
      </c>
      <c r="AT73" s="8">
        <v>15</v>
      </c>
      <c r="AU73" s="8" t="s">
        <v>91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91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0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0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0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0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0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0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0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0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0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0"/>
      <c r="Y77" s="27">
        <v>74</v>
      </c>
      <c r="Z77" s="8">
        <v>3</v>
      </c>
      <c r="AA77" s="8" t="s">
        <v>97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0"/>
      <c r="AI77" s="27">
        <v>74</v>
      </c>
      <c r="AJ77" s="8">
        <v>3</v>
      </c>
      <c r="AK77" s="8" t="s">
        <v>88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0"/>
      <c r="AS77" s="27">
        <v>74</v>
      </c>
      <c r="AT77" s="8">
        <v>15</v>
      </c>
      <c r="AU77" s="8" t="s">
        <v>115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88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0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0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0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0"/>
      <c r="Y79" s="27">
        <v>76</v>
      </c>
      <c r="Z79" s="8">
        <v>1</v>
      </c>
      <c r="AA79" s="8" t="s">
        <v>86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0"/>
      <c r="AI79" s="27">
        <v>76</v>
      </c>
      <c r="AJ79" s="8">
        <v>15</v>
      </c>
      <c r="AK79" s="8" t="s">
        <v>115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0"/>
      <c r="AS79" s="27">
        <v>76</v>
      </c>
      <c r="AT79" s="8">
        <v>15</v>
      </c>
      <c r="AU79" s="8" t="s">
        <v>91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91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0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0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0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0"/>
      <c r="Y81" s="27">
        <v>78</v>
      </c>
      <c r="Z81" s="8">
        <v>25</v>
      </c>
      <c r="AA81" s="8" t="s">
        <v>93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0"/>
      <c r="AI81" s="27">
        <v>78</v>
      </c>
      <c r="AJ81" s="8">
        <v>25</v>
      </c>
      <c r="AK81" s="8" t="s">
        <v>93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0"/>
      <c r="AS81" s="27">
        <v>78</v>
      </c>
      <c r="AT81" s="8">
        <v>25</v>
      </c>
      <c r="AU81" s="8" t="s">
        <v>93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93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0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0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0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0"/>
      <c r="Y83" s="27">
        <v>80</v>
      </c>
      <c r="Z83" s="8">
        <v>2</v>
      </c>
      <c r="AA83" s="8" t="s">
        <v>113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0"/>
      <c r="AI83" s="27">
        <v>80</v>
      </c>
      <c r="AJ83" s="8">
        <v>2</v>
      </c>
      <c r="AK83" s="8" t="s">
        <v>87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0"/>
      <c r="AS83" s="27">
        <v>80</v>
      </c>
      <c r="AT83" s="8">
        <v>15</v>
      </c>
      <c r="AU83" s="8" t="s">
        <v>115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87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0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0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0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0"/>
      <c r="Y85" s="27">
        <v>82</v>
      </c>
      <c r="Z85" s="8">
        <v>1</v>
      </c>
      <c r="AA85" s="8" t="s">
        <v>171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0"/>
      <c r="AI85" s="27">
        <v>82</v>
      </c>
      <c r="AJ85" s="8">
        <v>20</v>
      </c>
      <c r="AK85" s="8" t="s">
        <v>114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0"/>
      <c r="AS85" s="27">
        <v>82</v>
      </c>
      <c r="AT85" s="8">
        <v>20</v>
      </c>
      <c r="AU85" s="8" t="s">
        <v>92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92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0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0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0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0"/>
      <c r="Y87" s="27">
        <v>84</v>
      </c>
      <c r="Z87" s="8">
        <v>10</v>
      </c>
      <c r="AA87" s="8" t="s">
        <v>90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0"/>
      <c r="AI87" s="27">
        <v>84</v>
      </c>
      <c r="AJ87" s="8">
        <v>10</v>
      </c>
      <c r="AK87" s="8" t="s">
        <v>90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0"/>
      <c r="AS87" s="27">
        <v>84</v>
      </c>
      <c r="AT87" s="8">
        <v>10</v>
      </c>
      <c r="AU87" s="8" t="s">
        <v>90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90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0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0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0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0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0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0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0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0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0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0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0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0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0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0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0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0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0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0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0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0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0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0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0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0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0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0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0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0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0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0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0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0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0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0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0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0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0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0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0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0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0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0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0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0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0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0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0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0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0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0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0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0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0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0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0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0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0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0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0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0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0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0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0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0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0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0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0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0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0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0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0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0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0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0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0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0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0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0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0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0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0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0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0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0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0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0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0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0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0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0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0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0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0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0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0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0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0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0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0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0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0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0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0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0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0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0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0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0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0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0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0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0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0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0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0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0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0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0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0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0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0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0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0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0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0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0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0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0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0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0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0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0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0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0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0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0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0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0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0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0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0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0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0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0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0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0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0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0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0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0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0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0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0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0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0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0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0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0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0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0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0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0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0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0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0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0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0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0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0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0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0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0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0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0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0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0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0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0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0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0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0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0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0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0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0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0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0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0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0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0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0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0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0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0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0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0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0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0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0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0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0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0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0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0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0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0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0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0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0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0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0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0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0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0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0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0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0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0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0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0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0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0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0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0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0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0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0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0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0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0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0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0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0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0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0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0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0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0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0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0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0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0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0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0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0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0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0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0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0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0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0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0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0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0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0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0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0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0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0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0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0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0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0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0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0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0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0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0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0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0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0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0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0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0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0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0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0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0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0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0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0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0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0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0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0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0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0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0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0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0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0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0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0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0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0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0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0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0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0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0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0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0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0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0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0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0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0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0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0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0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0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0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0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0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0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0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0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0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0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0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0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0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0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0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0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0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0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0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0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0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0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0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0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0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0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0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0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0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0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0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0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0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0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0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0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0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0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0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0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0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0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0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0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0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0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0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0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0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0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0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0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0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0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0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0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0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0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0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0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0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0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0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45" priority="29" operator="between">
      <formula>20</formula>
      <formula>50</formula>
    </cfRule>
    <cfRule type="cellIs" dxfId="44" priority="30" stopIfTrue="1" operator="equal">
      <formula>"r"</formula>
    </cfRule>
    <cfRule type="cellIs" dxfId="43" priority="31" stopIfTrue="1" operator="equal">
      <formula>500</formula>
    </cfRule>
    <cfRule type="cellIs" dxfId="42" priority="32" stopIfTrue="1" operator="equal">
      <formula>100</formula>
    </cfRule>
  </conditionalFormatting>
  <conditionalFormatting sqref="AA3:AA102 AF3:AG211">
    <cfRule type="expression" dxfId="41" priority="28">
      <formula>LEFT(AA3,1)="G"</formula>
    </cfRule>
  </conditionalFormatting>
  <conditionalFormatting sqref="AJ3:AJ142">
    <cfRule type="cellIs" dxfId="40" priority="24" operator="between">
      <formula>20</formula>
      <formula>50</formula>
    </cfRule>
    <cfRule type="cellIs" dxfId="39" priority="25" stopIfTrue="1" operator="equal">
      <formula>"r"</formula>
    </cfRule>
    <cfRule type="cellIs" dxfId="38" priority="26" stopIfTrue="1" operator="equal">
      <formula>500</formula>
    </cfRule>
    <cfRule type="cellIs" dxfId="37" priority="27" stopIfTrue="1" operator="equal">
      <formula>100</formula>
    </cfRule>
  </conditionalFormatting>
  <conditionalFormatting sqref="AK3:AK102 AP3:AQ211">
    <cfRule type="expression" dxfId="36" priority="23">
      <formula>LEFT(AK3,1)="G"</formula>
    </cfRule>
  </conditionalFormatting>
  <conditionalFormatting sqref="AT3:AT142">
    <cfRule type="cellIs" dxfId="35" priority="19" operator="between">
      <formula>20</formula>
      <formula>50</formula>
    </cfRule>
    <cfRule type="cellIs" dxfId="34" priority="20" stopIfTrue="1" operator="equal">
      <formula>"r"</formula>
    </cfRule>
    <cfRule type="cellIs" dxfId="33" priority="21" stopIfTrue="1" operator="equal">
      <formula>500</formula>
    </cfRule>
    <cfRule type="cellIs" dxfId="32" priority="22" stopIfTrue="1" operator="equal">
      <formula>100</formula>
    </cfRule>
  </conditionalFormatting>
  <conditionalFormatting sqref="AU3:AU102 AZ3:BA211">
    <cfRule type="expression" dxfId="31" priority="18">
      <formula>LEFT(AU3,1)="G"</formula>
    </cfRule>
  </conditionalFormatting>
  <conditionalFormatting sqref="C3:D25 I3:J25 O3:P25">
    <cfRule type="cellIs" dxfId="30" priority="17" operator="equal">
      <formula>0</formula>
    </cfRule>
  </conditionalFormatting>
  <conditionalFormatting sqref="BD3:BD142">
    <cfRule type="cellIs" dxfId="29" priority="11" operator="between">
      <formula>20</formula>
      <formula>50</formula>
    </cfRule>
    <cfRule type="cellIs" dxfId="28" priority="12" stopIfTrue="1" operator="equal">
      <formula>"r"</formula>
    </cfRule>
    <cfRule type="cellIs" dxfId="27" priority="13" stopIfTrue="1" operator="equal">
      <formula>500</formula>
    </cfRule>
    <cfRule type="cellIs" dxfId="26" priority="14" stopIfTrue="1" operator="equal">
      <formula>100</formula>
    </cfRule>
  </conditionalFormatting>
  <conditionalFormatting sqref="BE3:BE102 BJ3:BK211">
    <cfRule type="expression" dxfId="25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24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workbookViewId="0"/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3" width="9.33203125" style="1" customWidth="1"/>
    <col min="4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3" width="17.5546875" style="35" customWidth="1"/>
    <col min="14" max="14" width="21.88671875" style="35" bestFit="1" customWidth="1"/>
    <col min="15" max="15" width="18.77734375" style="1" bestFit="1" customWidth="1"/>
    <col min="16" max="16" width="16.77734375" style="1" bestFit="1" customWidth="1"/>
    <col min="17" max="17" width="21.88671875" style="1" bestFit="1" customWidth="1"/>
    <col min="18" max="18" width="15.33203125" style="1"/>
    <col min="19" max="19" width="30.21875" style="1" bestFit="1" customWidth="1"/>
    <col min="20" max="21" width="15.33203125" style="1"/>
    <col min="22" max="22" width="21.218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4" t="s">
        <v>112</v>
      </c>
      <c r="C1" s="135">
        <f>Bet_1</f>
        <v>1</v>
      </c>
      <c r="H1" s="2" t="s">
        <v>76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77</v>
      </c>
      <c r="I2" s="20">
        <f ca="1">I1*O15</f>
        <v>20.935095634548151</v>
      </c>
      <c r="J2" s="33"/>
      <c r="K2" s="152"/>
      <c r="L2" s="124" t="s">
        <v>210</v>
      </c>
      <c r="M2" s="124" t="s">
        <v>204</v>
      </c>
      <c r="N2" s="124" t="s">
        <v>211</v>
      </c>
      <c r="O2" s="124" t="s">
        <v>212</v>
      </c>
      <c r="P2" s="1"/>
      <c r="Q2" s="112" t="s">
        <v>99</v>
      </c>
      <c r="R2" s="124" t="s">
        <v>204</v>
      </c>
      <c r="S2" s="124" t="s">
        <v>211</v>
      </c>
      <c r="T2" s="124" t="s">
        <v>213</v>
      </c>
      <c r="U2" s="1"/>
      <c r="V2" s="112" t="s">
        <v>214</v>
      </c>
      <c r="W2" s="116">
        <v>2</v>
      </c>
      <c r="X2" s="117">
        <v>3</v>
      </c>
      <c r="Y2" s="117">
        <v>4</v>
      </c>
      <c r="Z2" s="117">
        <v>5</v>
      </c>
      <c r="AA2" s="117">
        <v>6</v>
      </c>
      <c r="AB2" s="117">
        <v>7</v>
      </c>
      <c r="AC2" s="117">
        <v>8</v>
      </c>
      <c r="AD2" s="117">
        <v>9</v>
      </c>
      <c r="AE2" s="117">
        <v>10</v>
      </c>
      <c r="AF2" s="117">
        <v>20</v>
      </c>
      <c r="AG2" s="117">
        <v>50</v>
      </c>
      <c r="AH2" s="276">
        <v>2</v>
      </c>
      <c r="AI2" s="277">
        <v>3</v>
      </c>
      <c r="AJ2" s="277">
        <v>4</v>
      </c>
      <c r="AK2" s="276">
        <v>5</v>
      </c>
      <c r="AL2" s="277">
        <v>6</v>
      </c>
      <c r="AM2" s="277">
        <v>7</v>
      </c>
      <c r="AN2" s="276">
        <v>8</v>
      </c>
      <c r="AO2" s="277">
        <v>9</v>
      </c>
      <c r="AP2" s="277">
        <v>10</v>
      </c>
      <c r="AQ2" s="276">
        <v>20</v>
      </c>
      <c r="AR2" s="277">
        <v>50</v>
      </c>
    </row>
    <row r="3" spans="1:44" ht="16.8" thickBot="1">
      <c r="B3" s="112" t="s">
        <v>132</v>
      </c>
      <c r="C3" s="163" t="s">
        <v>1</v>
      </c>
      <c r="D3" s="163" t="s">
        <v>2</v>
      </c>
      <c r="E3" s="156" t="s">
        <v>3</v>
      </c>
      <c r="H3" s="2"/>
      <c r="I3" s="20"/>
      <c r="K3" s="69"/>
      <c r="L3" s="125">
        <v>1</v>
      </c>
      <c r="M3" s="107" cm="1">
        <f t="array" ref="M3:M14">N3:N14/SUM(N3:N14)</f>
        <v>0.2247191011235955</v>
      </c>
      <c r="N3" s="166">
        <v>220000000</v>
      </c>
      <c r="O3" s="125" cm="1">
        <f t="array" ref="O3:O13">L3:L13</f>
        <v>1</v>
      </c>
      <c r="P3" s="26"/>
      <c r="Q3" s="113">
        <v>2</v>
      </c>
      <c r="R3" s="107" cm="1">
        <f t="array" ref="R3:R13">S3:S13/SUM(S3:S13)</f>
        <v>0.1111111111111111</v>
      </c>
      <c r="S3" s="169">
        <v>120000000</v>
      </c>
      <c r="T3" s="292" cm="1">
        <f t="array" ref="T3:T13">_xlfn.XLOOKUP(Q3:Q13,W2:AG2,W14:AG14)</f>
        <v>26.1875</v>
      </c>
      <c r="U3" s="26"/>
      <c r="V3" s="113">
        <v>1</v>
      </c>
      <c r="W3" s="118" cm="1">
        <f t="array" ref="W3:W13">AH3:AH13/SUM(AH3:AH13)</f>
        <v>0</v>
      </c>
      <c r="X3" s="119" cm="1">
        <f t="array" ref="X3:X13">AI3:AI13/SUM(AI3:AI13)</f>
        <v>0</v>
      </c>
      <c r="Y3" s="119" cm="1">
        <f t="array" ref="Y3:Y13">AJ3:AJ13/SUM(AJ3:AJ13)</f>
        <v>0</v>
      </c>
      <c r="Z3" s="119" cm="1">
        <f t="array" ref="Z3:Z13">AK3:AK13/SUM(AK3:AK13)</f>
        <v>0</v>
      </c>
      <c r="AA3" s="119" cm="1">
        <f t="array" ref="AA3:AA13">AL3:AL13/SUM(AL3:AL13)</f>
        <v>0</v>
      </c>
      <c r="AB3" s="119" cm="1">
        <f t="array" ref="AB3:AB13">AM3:AM13/SUM(AM3:AM13)</f>
        <v>0</v>
      </c>
      <c r="AC3" s="119" cm="1">
        <f t="array" ref="AC3:AC13">AN3:AN13/SUM(AN3:AN13)</f>
        <v>0</v>
      </c>
      <c r="AD3" s="119" cm="1">
        <f t="array" ref="AD3:AD13">AO3:AO13/SUM(AO3:AO13)</f>
        <v>0</v>
      </c>
      <c r="AE3" s="119" cm="1">
        <f t="array" ref="AE3:AE13">AP3:AP13/SUM(AP3:AP13)</f>
        <v>0.26368159203980102</v>
      </c>
      <c r="AF3" s="119" cm="1">
        <f t="array" ref="AF3:AF13">AQ3:AQ13/SUM(AQ3:AQ13)</f>
        <v>0.26368159203980102</v>
      </c>
      <c r="AG3" s="119" cm="1">
        <f t="array" ref="AG3:AG13">AR3:AR13/SUM(AR3:AR13)</f>
        <v>0.26368159203980102</v>
      </c>
      <c r="AH3" s="273">
        <v>0</v>
      </c>
      <c r="AI3" s="270">
        <v>0</v>
      </c>
      <c r="AJ3" s="270">
        <v>0</v>
      </c>
      <c r="AK3" s="270">
        <v>0</v>
      </c>
      <c r="AL3" s="270">
        <v>0</v>
      </c>
      <c r="AM3" s="270">
        <v>0</v>
      </c>
      <c r="AN3" s="270">
        <v>0</v>
      </c>
      <c r="AO3" s="270">
        <v>0</v>
      </c>
      <c r="AP3" s="270">
        <v>265000000</v>
      </c>
      <c r="AQ3" s="270">
        <v>265000000</v>
      </c>
      <c r="AR3" s="270">
        <v>265000000</v>
      </c>
    </row>
    <row r="4" spans="1:44" ht="16.2">
      <c r="B4" s="125">
        <v>1</v>
      </c>
      <c r="C4" s="155">
        <v>0</v>
      </c>
      <c r="D4" s="163">
        <v>0</v>
      </c>
      <c r="E4" s="156">
        <v>0</v>
      </c>
      <c r="H4" s="2"/>
      <c r="I4" s="20"/>
      <c r="K4" s="33"/>
      <c r="L4" s="122">
        <v>2</v>
      </c>
      <c r="M4" s="107">
        <v>0.2247191011235955</v>
      </c>
      <c r="N4" s="167">
        <v>220000000</v>
      </c>
      <c r="O4" s="122">
        <v>2</v>
      </c>
      <c r="P4" s="26"/>
      <c r="Q4" s="114">
        <v>3</v>
      </c>
      <c r="R4" s="107">
        <v>0.1111111111111111</v>
      </c>
      <c r="S4" s="170">
        <v>120000000</v>
      </c>
      <c r="T4" s="293">
        <v>17.26923076923077</v>
      </c>
      <c r="V4" s="114">
        <v>2</v>
      </c>
      <c r="W4" s="120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09">
        <v>0.23880597014925373</v>
      </c>
      <c r="AG4" s="109">
        <v>0.23880597014925373</v>
      </c>
      <c r="AH4" s="171">
        <v>0</v>
      </c>
      <c r="AI4" s="271">
        <v>0</v>
      </c>
      <c r="AJ4" s="271">
        <v>0</v>
      </c>
      <c r="AK4" s="271">
        <v>250000000</v>
      </c>
      <c r="AL4" s="271">
        <v>250000000</v>
      </c>
      <c r="AM4" s="271">
        <v>250000000</v>
      </c>
      <c r="AN4" s="271">
        <v>240000000</v>
      </c>
      <c r="AO4" s="271">
        <v>240000000</v>
      </c>
      <c r="AP4" s="271">
        <v>240000000</v>
      </c>
      <c r="AQ4" s="274">
        <v>240000000</v>
      </c>
      <c r="AR4" s="274">
        <v>240000000</v>
      </c>
    </row>
    <row r="5" spans="1:44" ht="16.2">
      <c r="B5" s="122">
        <v>2</v>
      </c>
      <c r="C5" s="157">
        <v>1</v>
      </c>
      <c r="D5" s="30">
        <v>1</v>
      </c>
      <c r="E5" s="158">
        <v>1</v>
      </c>
      <c r="H5" s="2"/>
      <c r="I5" s="20"/>
      <c r="K5" s="33"/>
      <c r="L5" s="122">
        <v>3</v>
      </c>
      <c r="M5" s="107">
        <v>0.2247191011235955</v>
      </c>
      <c r="N5" s="167">
        <v>220000000</v>
      </c>
      <c r="O5" s="122">
        <v>3</v>
      </c>
      <c r="P5" s="26"/>
      <c r="Q5" s="114">
        <v>4</v>
      </c>
      <c r="R5" s="107">
        <v>0.1111111111111111</v>
      </c>
      <c r="S5" s="170">
        <v>120000000</v>
      </c>
      <c r="T5" s="293">
        <v>17.26923076923077</v>
      </c>
      <c r="V5" s="114">
        <v>3</v>
      </c>
      <c r="W5" s="120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09">
        <v>0.1691542288557214</v>
      </c>
      <c r="AG5" s="109">
        <v>0.1691542288557214</v>
      </c>
      <c r="AH5" s="171">
        <v>0</v>
      </c>
      <c r="AI5" s="271">
        <v>250000000</v>
      </c>
      <c r="AJ5" s="271">
        <v>250000000</v>
      </c>
      <c r="AK5" s="271">
        <v>200000000</v>
      </c>
      <c r="AL5" s="271">
        <v>200000000</v>
      </c>
      <c r="AM5" s="271">
        <v>200000000</v>
      </c>
      <c r="AN5" s="271">
        <v>170000000</v>
      </c>
      <c r="AO5" s="271">
        <v>170000000</v>
      </c>
      <c r="AP5" s="271">
        <v>170000000</v>
      </c>
      <c r="AQ5" s="274">
        <v>170000000</v>
      </c>
      <c r="AR5" s="274">
        <v>170000000</v>
      </c>
    </row>
    <row r="6" spans="1:44" ht="16.2">
      <c r="B6" s="122">
        <v>3</v>
      </c>
      <c r="C6" s="157">
        <v>2</v>
      </c>
      <c r="D6" s="30">
        <v>2</v>
      </c>
      <c r="E6" s="158">
        <v>2</v>
      </c>
      <c r="H6" s="2"/>
      <c r="I6" s="20"/>
      <c r="K6" s="33"/>
      <c r="L6" s="122">
        <v>5</v>
      </c>
      <c r="M6" s="107">
        <v>6.6394279877425938E-2</v>
      </c>
      <c r="N6" s="167">
        <v>65000000</v>
      </c>
      <c r="O6" s="122">
        <v>5</v>
      </c>
      <c r="P6" s="26"/>
      <c r="Q6" s="114">
        <v>5</v>
      </c>
      <c r="R6" s="107">
        <v>0.1111111111111111</v>
      </c>
      <c r="S6" s="170">
        <v>120000000</v>
      </c>
      <c r="T6" s="293">
        <v>13.549382716049381</v>
      </c>
      <c r="U6" s="26"/>
      <c r="V6" s="114">
        <v>5</v>
      </c>
      <c r="W6" s="120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09">
        <v>0.12935323383084577</v>
      </c>
      <c r="AG6" s="109">
        <v>0.12935323383084577</v>
      </c>
      <c r="AH6" s="171">
        <v>150000000</v>
      </c>
      <c r="AI6" s="271">
        <v>150000000</v>
      </c>
      <c r="AJ6" s="271">
        <v>150000000</v>
      </c>
      <c r="AK6" s="271">
        <v>160000000</v>
      </c>
      <c r="AL6" s="271">
        <v>160000000</v>
      </c>
      <c r="AM6" s="271">
        <v>160000000</v>
      </c>
      <c r="AN6" s="271">
        <v>130000000</v>
      </c>
      <c r="AO6" s="271">
        <v>130000000</v>
      </c>
      <c r="AP6" s="271">
        <v>130000000</v>
      </c>
      <c r="AQ6" s="274">
        <v>130000000</v>
      </c>
      <c r="AR6" s="274">
        <v>130000000</v>
      </c>
    </row>
    <row r="7" spans="1:44" ht="16.2">
      <c r="B7" s="122">
        <v>4</v>
      </c>
      <c r="C7" s="157">
        <v>0</v>
      </c>
      <c r="D7" s="30">
        <v>1</v>
      </c>
      <c r="E7" s="158">
        <v>2</v>
      </c>
      <c r="H7" s="2"/>
      <c r="I7" s="20"/>
      <c r="K7" s="33"/>
      <c r="L7" s="122">
        <v>10</v>
      </c>
      <c r="M7" s="107">
        <v>3.0643513789581207E-2</v>
      </c>
      <c r="N7" s="167">
        <v>30000000</v>
      </c>
      <c r="O7" s="122">
        <v>10</v>
      </c>
      <c r="P7" s="26"/>
      <c r="Q7" s="114">
        <v>6</v>
      </c>
      <c r="R7" s="107">
        <v>0.1111111111111111</v>
      </c>
      <c r="S7" s="170">
        <v>120000000</v>
      </c>
      <c r="T7" s="293">
        <v>13.549382716049381</v>
      </c>
      <c r="V7" s="114">
        <v>10</v>
      </c>
      <c r="W7" s="120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09">
        <v>7.9601990049751242E-2</v>
      </c>
      <c r="AG7" s="109">
        <v>7.9601990049751242E-2</v>
      </c>
      <c r="AH7" s="171">
        <v>100000000</v>
      </c>
      <c r="AI7" s="271">
        <v>100000000</v>
      </c>
      <c r="AJ7" s="271">
        <v>100000000</v>
      </c>
      <c r="AK7" s="271">
        <v>80000000</v>
      </c>
      <c r="AL7" s="271">
        <v>80000000</v>
      </c>
      <c r="AM7" s="271">
        <v>80000000</v>
      </c>
      <c r="AN7" s="271">
        <v>80000000</v>
      </c>
      <c r="AO7" s="271">
        <v>80000000</v>
      </c>
      <c r="AP7" s="271">
        <v>80000000</v>
      </c>
      <c r="AQ7" s="274">
        <v>80000000</v>
      </c>
      <c r="AR7" s="274">
        <v>80000000</v>
      </c>
    </row>
    <row r="8" spans="1:44" ht="16.8" thickBot="1">
      <c r="B8" s="123">
        <v>5</v>
      </c>
      <c r="C8" s="159">
        <v>2</v>
      </c>
      <c r="D8" s="164">
        <v>1</v>
      </c>
      <c r="E8" s="160">
        <v>0</v>
      </c>
      <c r="H8" s="2"/>
      <c r="I8" s="20"/>
      <c r="K8" s="33"/>
      <c r="L8" s="122">
        <v>15</v>
      </c>
      <c r="M8" s="107">
        <v>1.0214504596527068E-2</v>
      </c>
      <c r="N8" s="167">
        <v>10000000</v>
      </c>
      <c r="O8" s="122">
        <v>15</v>
      </c>
      <c r="P8" s="26"/>
      <c r="Q8" s="114">
        <v>7</v>
      </c>
      <c r="R8" s="107">
        <v>7.407407407407407E-2</v>
      </c>
      <c r="S8" s="170">
        <v>80000000</v>
      </c>
      <c r="T8" s="293">
        <v>13.549382716049381</v>
      </c>
      <c r="V8" s="114">
        <v>15</v>
      </c>
      <c r="W8" s="120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09">
        <v>4.975124378109453E-2</v>
      </c>
      <c r="AG8" s="109">
        <v>4.975124378109453E-2</v>
      </c>
      <c r="AH8" s="171">
        <v>80000000</v>
      </c>
      <c r="AI8" s="271">
        <v>80000000</v>
      </c>
      <c r="AJ8" s="271">
        <v>80000000</v>
      </c>
      <c r="AK8" s="271">
        <v>50000000</v>
      </c>
      <c r="AL8" s="271">
        <v>50000000</v>
      </c>
      <c r="AM8" s="271">
        <v>50000000</v>
      </c>
      <c r="AN8" s="271">
        <v>50000000</v>
      </c>
      <c r="AO8" s="271">
        <v>50000000</v>
      </c>
      <c r="AP8" s="271">
        <v>50000000</v>
      </c>
      <c r="AQ8" s="274">
        <v>50000000</v>
      </c>
      <c r="AR8" s="274">
        <v>50000000</v>
      </c>
    </row>
    <row r="9" spans="1:44" ht="16.2">
      <c r="C9" s="165">
        <v>1</v>
      </c>
      <c r="D9" s="165">
        <v>4</v>
      </c>
      <c r="E9" s="165">
        <v>7</v>
      </c>
      <c r="H9" s="2"/>
      <c r="I9" s="20"/>
      <c r="K9" s="33"/>
      <c r="L9" s="122">
        <v>20</v>
      </c>
      <c r="M9" s="107">
        <v>5.1072522982635342E-3</v>
      </c>
      <c r="N9" s="167">
        <v>5000000</v>
      </c>
      <c r="O9" s="122">
        <v>20</v>
      </c>
      <c r="P9" s="26"/>
      <c r="Q9" s="114">
        <v>8</v>
      </c>
      <c r="R9" s="107">
        <v>7.407407407407407E-2</v>
      </c>
      <c r="S9" s="170">
        <v>80000000</v>
      </c>
      <c r="T9" s="293">
        <v>14.47972972972973</v>
      </c>
      <c r="V9" s="114">
        <v>20</v>
      </c>
      <c r="W9" s="120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09">
        <v>1.9900497512437811E-2</v>
      </c>
      <c r="AG9" s="109">
        <v>1.9900497512437811E-2</v>
      </c>
      <c r="AH9" s="171">
        <v>20000000</v>
      </c>
      <c r="AI9" s="271">
        <v>20000000</v>
      </c>
      <c r="AJ9" s="271">
        <v>20000000</v>
      </c>
      <c r="AK9" s="271">
        <v>20000000</v>
      </c>
      <c r="AL9" s="271">
        <v>20000000</v>
      </c>
      <c r="AM9" s="271">
        <v>20000000</v>
      </c>
      <c r="AN9" s="271">
        <v>20000000</v>
      </c>
      <c r="AO9" s="271">
        <v>20000000</v>
      </c>
      <c r="AP9" s="271">
        <v>20000000</v>
      </c>
      <c r="AQ9" s="274">
        <v>20000000</v>
      </c>
      <c r="AR9" s="274">
        <v>20000000</v>
      </c>
    </row>
    <row r="10" spans="1:44" ht="16.2" thickBot="1">
      <c r="I10" s="94"/>
      <c r="K10" s="33"/>
      <c r="L10" s="122">
        <v>25</v>
      </c>
      <c r="M10" s="107">
        <v>2.0429009193054137E-3</v>
      </c>
      <c r="N10" s="167">
        <v>2000000</v>
      </c>
      <c r="O10" s="122">
        <v>25</v>
      </c>
      <c r="P10" s="26"/>
      <c r="Q10" s="114">
        <v>9</v>
      </c>
      <c r="R10" s="107">
        <v>7.407407407407407E-2</v>
      </c>
      <c r="S10" s="170">
        <v>80000000</v>
      </c>
      <c r="T10" s="293">
        <v>14.47972972972973</v>
      </c>
      <c r="V10" s="114">
        <v>25</v>
      </c>
      <c r="W10" s="120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09">
        <v>1.4925373134328358E-2</v>
      </c>
      <c r="AG10" s="109">
        <v>1.4925373134328358E-2</v>
      </c>
      <c r="AH10" s="171">
        <v>15000000</v>
      </c>
      <c r="AI10" s="271">
        <v>15000000</v>
      </c>
      <c r="AJ10" s="271">
        <v>15000000</v>
      </c>
      <c r="AK10" s="271">
        <v>15000000</v>
      </c>
      <c r="AL10" s="271">
        <v>15000000</v>
      </c>
      <c r="AM10" s="271">
        <v>15000000</v>
      </c>
      <c r="AN10" s="271">
        <v>15000000</v>
      </c>
      <c r="AO10" s="271">
        <v>15000000</v>
      </c>
      <c r="AP10" s="271">
        <v>15000000</v>
      </c>
      <c r="AQ10" s="274">
        <v>15000000</v>
      </c>
      <c r="AR10" s="274">
        <v>15000000</v>
      </c>
    </row>
    <row r="11" spans="1:44" ht="16.8" thickBot="1">
      <c r="B11" s="61" t="s">
        <v>53</v>
      </c>
      <c r="C11" s="327">
        <f>PRODUCT('Regular Symbol'!C18:E18)</f>
        <v>5218521</v>
      </c>
      <c r="D11" s="327"/>
      <c r="E11" s="327"/>
      <c r="F11" s="327"/>
      <c r="G11" s="327"/>
      <c r="I11" s="33"/>
      <c r="K11" s="33"/>
      <c r="L11" s="122">
        <v>50</v>
      </c>
      <c r="M11" s="107">
        <v>2.0429009193054137E-3</v>
      </c>
      <c r="N11" s="167">
        <v>2000000</v>
      </c>
      <c r="O11" s="122">
        <v>50</v>
      </c>
      <c r="P11" s="26"/>
      <c r="Q11" s="114">
        <v>10</v>
      </c>
      <c r="R11" s="107">
        <v>7.407407407407407E-2</v>
      </c>
      <c r="S11" s="170">
        <v>80000000</v>
      </c>
      <c r="T11" s="293">
        <v>10.925373134328357</v>
      </c>
      <c r="V11" s="114">
        <v>50</v>
      </c>
      <c r="W11" s="120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09">
        <v>1.4925373134328358E-2</v>
      </c>
      <c r="AG11" s="109">
        <v>1.4925373134328358E-2</v>
      </c>
      <c r="AH11" s="171">
        <v>15000000</v>
      </c>
      <c r="AI11" s="271">
        <v>15000000</v>
      </c>
      <c r="AJ11" s="271">
        <v>15000000</v>
      </c>
      <c r="AK11" s="271">
        <v>15000000</v>
      </c>
      <c r="AL11" s="271">
        <v>15000000</v>
      </c>
      <c r="AM11" s="271">
        <v>15000000</v>
      </c>
      <c r="AN11" s="271">
        <v>15000000</v>
      </c>
      <c r="AO11" s="271">
        <v>15000000</v>
      </c>
      <c r="AP11" s="271">
        <v>15000000</v>
      </c>
      <c r="AQ11" s="274">
        <v>15000000</v>
      </c>
      <c r="AR11" s="274">
        <v>15000000</v>
      </c>
    </row>
    <row r="12" spans="1:44" ht="16.8" thickBot="1">
      <c r="A12" s="1" t="s">
        <v>75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2">
        <v>100</v>
      </c>
      <c r="M12" s="107">
        <v>2.0429009193054137E-3</v>
      </c>
      <c r="N12" s="167">
        <v>2000000</v>
      </c>
      <c r="O12" s="122">
        <v>100</v>
      </c>
      <c r="P12" s="26"/>
      <c r="Q12" s="122">
        <v>20</v>
      </c>
      <c r="R12" s="107">
        <v>7.407407407407407E-2</v>
      </c>
      <c r="S12" s="167">
        <v>80000000</v>
      </c>
      <c r="T12" s="294">
        <v>10.925373134328357</v>
      </c>
      <c r="V12" s="114">
        <v>100</v>
      </c>
      <c r="W12" s="120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09">
        <v>9.9502487562189053E-3</v>
      </c>
      <c r="AG12" s="109">
        <v>9.9502487562189053E-3</v>
      </c>
      <c r="AH12" s="171">
        <v>10000000</v>
      </c>
      <c r="AI12" s="271">
        <v>10000000</v>
      </c>
      <c r="AJ12" s="271">
        <v>10000000</v>
      </c>
      <c r="AK12" s="271">
        <v>10000000</v>
      </c>
      <c r="AL12" s="271">
        <v>10000000</v>
      </c>
      <c r="AM12" s="271">
        <v>10000000</v>
      </c>
      <c r="AN12" s="271">
        <v>10000000</v>
      </c>
      <c r="AO12" s="271">
        <v>10000000</v>
      </c>
      <c r="AP12" s="271">
        <v>10000000</v>
      </c>
      <c r="AQ12" s="274">
        <v>10000000</v>
      </c>
      <c r="AR12" s="274">
        <v>10000000</v>
      </c>
    </row>
    <row r="13" spans="1:44" ht="16.8" thickBot="1">
      <c r="A13" s="1">
        <v>1</v>
      </c>
      <c r="B13" s="41" t="s">
        <v>67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Overview!B41:B48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2">
        <v>500</v>
      </c>
      <c r="M13" s="107">
        <v>3.0643513789581204E-3</v>
      </c>
      <c r="N13" s="167">
        <v>3000000</v>
      </c>
      <c r="O13" s="122">
        <v>500</v>
      </c>
      <c r="P13" s="26"/>
      <c r="Q13" s="123">
        <v>50</v>
      </c>
      <c r="R13" s="108">
        <v>7.407407407407407E-2</v>
      </c>
      <c r="S13" s="168">
        <v>80000000</v>
      </c>
      <c r="T13" s="127">
        <v>10.925373134328357</v>
      </c>
      <c r="V13" s="115">
        <v>500</v>
      </c>
      <c r="W13" s="121">
        <v>2.5000000000000001E-2</v>
      </c>
      <c r="X13" s="110">
        <v>1.5384615384615385E-2</v>
      </c>
      <c r="Y13" s="110">
        <v>1.5384615384615385E-2</v>
      </c>
      <c r="Z13" s="110">
        <v>1.2345679012345678E-2</v>
      </c>
      <c r="AA13" s="110">
        <v>1.2345679012345678E-2</v>
      </c>
      <c r="AB13" s="110">
        <v>1.2345679012345678E-2</v>
      </c>
      <c r="AC13" s="110">
        <v>1.3513513513513514E-2</v>
      </c>
      <c r="AD13" s="110">
        <v>1.3513513513513514E-2</v>
      </c>
      <c r="AE13" s="110">
        <v>9.9502487562189053E-3</v>
      </c>
      <c r="AF13" s="111">
        <v>9.9502487562189053E-3</v>
      </c>
      <c r="AG13" s="111">
        <v>9.9502487562189053E-3</v>
      </c>
      <c r="AH13" s="172">
        <v>10000000</v>
      </c>
      <c r="AI13" s="272">
        <v>10000000</v>
      </c>
      <c r="AJ13" s="272">
        <v>10000000</v>
      </c>
      <c r="AK13" s="272">
        <v>10000000</v>
      </c>
      <c r="AL13" s="272">
        <v>10000000</v>
      </c>
      <c r="AM13" s="272">
        <v>10000000</v>
      </c>
      <c r="AN13" s="272">
        <v>10000000</v>
      </c>
      <c r="AO13" s="272">
        <v>10000000</v>
      </c>
      <c r="AP13" s="272">
        <v>10000000</v>
      </c>
      <c r="AQ13" s="275">
        <v>10000000</v>
      </c>
      <c r="AR13" s="275">
        <v>10000000</v>
      </c>
    </row>
    <row r="14" spans="1:44" ht="16.8" thickBot="1">
      <c r="A14" s="1">
        <v>1</v>
      </c>
      <c r="B14" s="46" t="s">
        <v>68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6" t="s">
        <v>102</v>
      </c>
      <c r="M14" s="108">
        <v>0.20429009193054137</v>
      </c>
      <c r="N14" s="168">
        <v>200000000</v>
      </c>
      <c r="O14" s="127">
        <f>T15</f>
        <v>125.81371652264869</v>
      </c>
      <c r="S14" s="125" t="s">
        <v>216</v>
      </c>
      <c r="T14" s="298">
        <f>SUMPRODUCT(Q3:Q13, R3:R13)</f>
        <v>9.9259259259259238</v>
      </c>
      <c r="V14" s="112" t="s">
        <v>215</v>
      </c>
      <c r="W14" s="295">
        <f t="shared" ref="W14:AG14" si="3">SUMPRODUCT($V$3:$V$13,_xlfn.ANCHORARRAY(W3))</f>
        <v>26.1875</v>
      </c>
      <c r="X14" s="296">
        <f t="shared" si="3"/>
        <v>17.26923076923077</v>
      </c>
      <c r="Y14" s="296">
        <f t="shared" si="3"/>
        <v>17.26923076923077</v>
      </c>
      <c r="Z14" s="296">
        <f t="shared" si="3"/>
        <v>13.549382716049381</v>
      </c>
      <c r="AA14" s="296">
        <f t="shared" si="3"/>
        <v>13.549382716049381</v>
      </c>
      <c r="AB14" s="296">
        <f t="shared" si="3"/>
        <v>13.549382716049381</v>
      </c>
      <c r="AC14" s="296">
        <f t="shared" si="3"/>
        <v>14.47972972972973</v>
      </c>
      <c r="AD14" s="296">
        <f t="shared" si="3"/>
        <v>14.47972972972973</v>
      </c>
      <c r="AE14" s="296">
        <f t="shared" si="3"/>
        <v>10.925373134328357</v>
      </c>
      <c r="AF14" s="296">
        <f t="shared" si="3"/>
        <v>10.925373134328357</v>
      </c>
      <c r="AG14" s="297">
        <f t="shared" si="3"/>
        <v>10.925373134328357</v>
      </c>
    </row>
    <row r="15" spans="1:44" ht="16.8" thickBot="1">
      <c r="A15" s="1">
        <v>1</v>
      </c>
      <c r="B15" s="46" t="s">
        <v>69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278" t="s">
        <v>218</v>
      </c>
      <c r="O15" s="299">
        <f>SUMPRODUCT(M3:M14, O3:O14)</f>
        <v>29.834262823830173</v>
      </c>
      <c r="S15" s="123" t="s">
        <v>217</v>
      </c>
      <c r="T15" s="127" cm="1">
        <f t="array" ref="T15">SUMPRODUCT(Q3:Q13*_xlfn.ANCHORARRAY(T3),_xlfn.ANCHORARRAY(R3))</f>
        <v>125.81371652264869</v>
      </c>
    </row>
    <row r="16" spans="1:44" ht="16.2">
      <c r="A16" s="1">
        <v>1</v>
      </c>
      <c r="B16" s="46" t="s">
        <v>70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</row>
    <row r="17" spans="1:19" ht="16.2">
      <c r="A17" s="1">
        <v>1</v>
      </c>
      <c r="B17" s="46" t="s">
        <v>71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P17" s="23"/>
      <c r="Q17" s="23"/>
      <c r="R17" s="23"/>
      <c r="S17" s="23"/>
    </row>
    <row r="18" spans="1:19" ht="16.8" thickBot="1">
      <c r="A18" s="1">
        <v>1</v>
      </c>
      <c r="B18" s="46" t="s">
        <v>72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180</v>
      </c>
      <c r="M18" s="177"/>
      <c r="N18" s="174"/>
    </row>
    <row r="19" spans="1:19" ht="16.8" thickBot="1">
      <c r="A19" s="1">
        <v>1</v>
      </c>
      <c r="B19" s="46" t="s">
        <v>73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4" t="str" cm="1">
        <f t="array" ref="L19:L31">L2:L14</f>
        <v>R4 Multiplier</v>
      </c>
      <c r="M19" s="124" t="s">
        <v>219</v>
      </c>
      <c r="N19" s="124" t="s">
        <v>220</v>
      </c>
      <c r="O19" s="124" t="s">
        <v>119</v>
      </c>
    </row>
    <row r="20" spans="1:19" ht="16.8" thickBot="1">
      <c r="A20" s="1">
        <v>1</v>
      </c>
      <c r="B20" s="91" t="s">
        <v>74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5">
        <v>1</v>
      </c>
      <c r="M20" s="107">
        <v>3.6316689999999999E-2</v>
      </c>
      <c r="N20" s="259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2">
        <v>2</v>
      </c>
      <c r="M21" s="107">
        <v>3.1994740000000001E-2</v>
      </c>
      <c r="N21" s="260">
        <v>31.255137563236957</v>
      </c>
    </row>
    <row r="22" spans="1:19" ht="16.2" thickBot="1">
      <c r="L22" s="122">
        <v>3</v>
      </c>
      <c r="M22" s="107">
        <v>2.9292209999999999E-2</v>
      </c>
      <c r="N22" s="260">
        <v>34.138769317849352</v>
      </c>
    </row>
    <row r="23" spans="1:19" ht="16.8" thickBot="1">
      <c r="B23" s="61" t="s">
        <v>53</v>
      </c>
      <c r="C23" s="327">
        <f>PRODUCT('Regular Symbol'!C18:E18)</f>
        <v>5218521</v>
      </c>
      <c r="D23" s="327"/>
      <c r="E23" s="327"/>
      <c r="F23" s="327"/>
      <c r="G23" s="327"/>
      <c r="I23" s="33"/>
      <c r="L23" s="122">
        <v>5</v>
      </c>
      <c r="M23" s="107">
        <v>7.8928999999999996E-3</v>
      </c>
      <c r="N23" s="260">
        <v>126.69614463631872</v>
      </c>
    </row>
    <row r="24" spans="1:19" ht="16.8" thickBot="1">
      <c r="A24" s="1" t="s">
        <v>75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2">
        <v>10</v>
      </c>
      <c r="M24" s="107">
        <v>2.6477800000000002E-3</v>
      </c>
      <c r="N24" s="260">
        <v>377.67488235427413</v>
      </c>
    </row>
    <row r="25" spans="1:19" ht="16.2">
      <c r="A25" s="1">
        <v>2</v>
      </c>
      <c r="B25" s="41" t="s">
        <v>67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2">
        <v>15</v>
      </c>
      <c r="M25" s="107">
        <v>6.0773999999999995E-4</v>
      </c>
      <c r="N25" s="260">
        <v>1645.4404844176788</v>
      </c>
    </row>
    <row r="26" spans="1:19" ht="16.2">
      <c r="A26" s="1">
        <v>2</v>
      </c>
      <c r="B26" s="46" t="s">
        <v>68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2">
        <v>20</v>
      </c>
      <c r="M26" s="107">
        <v>2.4389999999999999E-4</v>
      </c>
      <c r="N26" s="260">
        <v>4100.041000410004</v>
      </c>
    </row>
    <row r="27" spans="1:19" ht="16.2">
      <c r="A27" s="1">
        <v>2</v>
      </c>
      <c r="B27" s="46" t="s">
        <v>69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2">
        <v>25</v>
      </c>
      <c r="M27" s="107">
        <v>1.0081000000000001E-4</v>
      </c>
      <c r="N27" s="260">
        <v>9919.6508282908435</v>
      </c>
    </row>
    <row r="28" spans="1:19" ht="16.2">
      <c r="A28" s="1">
        <v>2</v>
      </c>
      <c r="B28" s="46" t="s">
        <v>70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2">
        <v>50</v>
      </c>
      <c r="M28" s="107">
        <v>4.7450000000000001E-5</v>
      </c>
      <c r="N28" s="260">
        <v>21074.81559536354</v>
      </c>
    </row>
    <row r="29" spans="1:19" ht="16.2">
      <c r="A29" s="1">
        <v>2</v>
      </c>
      <c r="B29" s="46" t="s">
        <v>71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2">
        <v>100</v>
      </c>
      <c r="M29" s="107">
        <v>1.2449999999999999E-5</v>
      </c>
      <c r="N29" s="260">
        <v>80321.28514056225</v>
      </c>
    </row>
    <row r="30" spans="1:19" ht="16.2">
      <c r="A30" s="1">
        <v>2</v>
      </c>
      <c r="B30" s="46" t="s">
        <v>72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2">
        <v>500</v>
      </c>
      <c r="M30" s="107">
        <v>1.9999999999999999E-7</v>
      </c>
      <c r="N30" s="260">
        <v>5000000</v>
      </c>
    </row>
    <row r="31" spans="1:19" ht="16.8" thickBot="1">
      <c r="A31" s="1">
        <v>2</v>
      </c>
      <c r="B31" s="46" t="s">
        <v>73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6" t="str">
        <v>Re-spin</v>
      </c>
      <c r="M31" s="108">
        <v>4.8786000000000003E-3</v>
      </c>
      <c r="N31" s="261">
        <v>204.97683761734922</v>
      </c>
      <c r="O31" s="1">
        <v>4.8899999999999997</v>
      </c>
    </row>
    <row r="32" spans="1:19" ht="16.8" thickBot="1">
      <c r="A32" s="1">
        <v>2</v>
      </c>
      <c r="B32" s="91" t="s">
        <v>74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7">
        <f>PRODUCT('Regular Symbol'!C18:E18)</f>
        <v>5218521</v>
      </c>
      <c r="D35" s="327"/>
      <c r="E35" s="327"/>
      <c r="F35" s="327"/>
      <c r="G35" s="327"/>
      <c r="I35" s="33"/>
    </row>
    <row r="36" spans="1:10" ht="16.8" thickBot="1">
      <c r="A36" s="1" t="s">
        <v>75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67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68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69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70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71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72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73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74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7">
        <f>PRODUCT('Regular Symbol'!C18:E18)</f>
        <v>5218521</v>
      </c>
      <c r="D47" s="327"/>
      <c r="E47" s="327"/>
      <c r="F47" s="327"/>
      <c r="G47" s="327"/>
      <c r="I47" s="33"/>
    </row>
    <row r="48" spans="1:10" ht="16.8" thickBot="1">
      <c r="A48" s="1" t="s">
        <v>75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67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68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69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70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71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72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73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74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7">
        <f>PRODUCT('Regular Symbol'!C18:E18)</f>
        <v>5218521</v>
      </c>
      <c r="D59" s="327"/>
      <c r="E59" s="327"/>
      <c r="F59" s="327"/>
      <c r="G59" s="327"/>
      <c r="I59" s="33"/>
    </row>
    <row r="60" spans="1:10" ht="16.8" thickBot="1">
      <c r="A60" s="1" t="s">
        <v>75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67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68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69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70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71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72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73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74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23" priority="2" operator="equal">
      <formula>0</formula>
    </cfRule>
  </conditionalFormatting>
  <conditionalFormatting sqref="M20:N31">
    <cfRule type="cellIs" dxfId="2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DAE4-DF3B-42E4-9EE8-C8E731DD3E83}">
  <sheetPr>
    <tabColor theme="5" tint="0.39997558519241921"/>
  </sheetPr>
  <dimension ref="A1:AR69"/>
  <sheetViews>
    <sheetView workbookViewId="0"/>
  </sheetViews>
  <sheetFormatPr defaultColWidth="15.33203125" defaultRowHeight="16.2" outlineLevelCol="1"/>
  <cols>
    <col min="2" max="2" width="19.77734375" bestFit="1" customWidth="1"/>
    <col min="3" max="3" width="9.33203125" customWidth="1"/>
    <col min="4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3" width="17.5546875" customWidth="1"/>
    <col min="14" max="14" width="21.88671875" bestFit="1" customWidth="1"/>
    <col min="15" max="15" width="18.77734375" bestFit="1" customWidth="1"/>
    <col min="16" max="16" width="16.77734375" bestFit="1" customWidth="1"/>
    <col min="17" max="17" width="21.88671875" bestFit="1" customWidth="1"/>
    <col min="19" max="19" width="30.21875" bestFit="1" customWidth="1"/>
    <col min="22" max="22" width="21.218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4" t="s">
        <v>112</v>
      </c>
      <c r="C1" s="135">
        <v>1.5</v>
      </c>
      <c r="D1" s="1"/>
      <c r="E1" s="1"/>
      <c r="F1" s="1"/>
      <c r="G1" s="1"/>
      <c r="H1" s="2" t="s">
        <v>76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77</v>
      </c>
      <c r="I2" s="20">
        <f ca="1">I1*O15</f>
        <v>20.462976012829156</v>
      </c>
      <c r="J2" s="33"/>
      <c r="K2" s="152"/>
      <c r="L2" s="124" t="s">
        <v>210</v>
      </c>
      <c r="M2" s="124" t="s">
        <v>204</v>
      </c>
      <c r="N2" s="124" t="s">
        <v>211</v>
      </c>
      <c r="O2" s="124" t="s">
        <v>212</v>
      </c>
      <c r="P2" s="1"/>
      <c r="Q2" s="112" t="s">
        <v>99</v>
      </c>
      <c r="R2" s="124" t="s">
        <v>204</v>
      </c>
      <c r="S2" s="124" t="s">
        <v>211</v>
      </c>
      <c r="T2" s="124" t="s">
        <v>213</v>
      </c>
      <c r="U2" s="1"/>
      <c r="V2" s="112" t="s">
        <v>214</v>
      </c>
      <c r="W2" s="116">
        <v>2</v>
      </c>
      <c r="X2" s="117">
        <v>3</v>
      </c>
      <c r="Y2" s="117">
        <v>4</v>
      </c>
      <c r="Z2" s="117">
        <v>5</v>
      </c>
      <c r="AA2" s="117">
        <v>6</v>
      </c>
      <c r="AB2" s="117">
        <v>7</v>
      </c>
      <c r="AC2" s="117">
        <v>8</v>
      </c>
      <c r="AD2" s="117">
        <v>9</v>
      </c>
      <c r="AE2" s="117">
        <v>10</v>
      </c>
      <c r="AF2" s="117">
        <v>20</v>
      </c>
      <c r="AG2" s="117">
        <v>50</v>
      </c>
      <c r="AH2" s="276">
        <v>2</v>
      </c>
      <c r="AI2" s="277">
        <v>3</v>
      </c>
      <c r="AJ2" s="277">
        <v>4</v>
      </c>
      <c r="AK2" s="276">
        <v>5</v>
      </c>
      <c r="AL2" s="277">
        <v>6</v>
      </c>
      <c r="AM2" s="277">
        <v>7</v>
      </c>
      <c r="AN2" s="276">
        <v>8</v>
      </c>
      <c r="AO2" s="277">
        <v>9</v>
      </c>
      <c r="AP2" s="277">
        <v>10</v>
      </c>
      <c r="AQ2" s="276">
        <v>20</v>
      </c>
      <c r="AR2" s="277">
        <v>50</v>
      </c>
    </row>
    <row r="3" spans="1:44" ht="16.8" thickBot="1">
      <c r="A3" s="1"/>
      <c r="B3" s="112" t="s">
        <v>132</v>
      </c>
      <c r="C3" s="163" t="s">
        <v>1</v>
      </c>
      <c r="D3" s="163" t="s">
        <v>2</v>
      </c>
      <c r="E3" s="156" t="s">
        <v>3</v>
      </c>
      <c r="F3" s="1"/>
      <c r="G3" s="1"/>
      <c r="H3" s="2"/>
      <c r="I3" s="20"/>
      <c r="J3" s="33"/>
      <c r="K3" s="69"/>
      <c r="L3" s="125">
        <v>1</v>
      </c>
      <c r="M3" s="107" cm="1">
        <f t="array" ref="M3:M14">N3:N14/SUM(N3:N14)</f>
        <v>0</v>
      </c>
      <c r="N3" s="166">
        <v>0</v>
      </c>
      <c r="O3" s="125" cm="1">
        <f t="array" ref="O3:O13">L3:L13</f>
        <v>1</v>
      </c>
      <c r="P3" s="26"/>
      <c r="Q3" s="113">
        <v>2</v>
      </c>
      <c r="R3" s="107" cm="1">
        <f t="array" ref="R3:R13">S3:S13/SUM(S3:S13)</f>
        <v>0.1111111111111111</v>
      </c>
      <c r="S3" s="169">
        <v>120000000</v>
      </c>
      <c r="T3" s="292" cm="1">
        <f t="array" ref="T3:T13">_xlfn.XLOOKUP(Q3:Q13,W2:AG2,W14:AG14)</f>
        <v>26.1875</v>
      </c>
      <c r="U3" s="26"/>
      <c r="V3" s="113">
        <v>1</v>
      </c>
      <c r="W3" s="118" cm="1">
        <f t="array" ref="W3:W13">AH3:AH13/SUM(AH3:AH13)</f>
        <v>0</v>
      </c>
      <c r="X3" s="119" cm="1">
        <f t="array" ref="X3:X13">AI3:AI13/SUM(AI3:AI13)</f>
        <v>0</v>
      </c>
      <c r="Y3" s="119" cm="1">
        <f t="array" ref="Y3:Y13">AJ3:AJ13/SUM(AJ3:AJ13)</f>
        <v>0</v>
      </c>
      <c r="Z3" s="119" cm="1">
        <f t="array" ref="Z3:Z13">AK3:AK13/SUM(AK3:AK13)</f>
        <v>0</v>
      </c>
      <c r="AA3" s="119" cm="1">
        <f t="array" ref="AA3:AA13">AL3:AL13/SUM(AL3:AL13)</f>
        <v>0</v>
      </c>
      <c r="AB3" s="119" cm="1">
        <f t="array" ref="AB3:AB13">AM3:AM13/SUM(AM3:AM13)</f>
        <v>0</v>
      </c>
      <c r="AC3" s="119" cm="1">
        <f t="array" ref="AC3:AC13">AN3:AN13/SUM(AN3:AN13)</f>
        <v>0</v>
      </c>
      <c r="AD3" s="119" cm="1">
        <f t="array" ref="AD3:AD13">AO3:AO13/SUM(AO3:AO13)</f>
        <v>0</v>
      </c>
      <c r="AE3" s="119" cm="1">
        <f t="array" ref="AE3:AE13">AP3:AP13/SUM(AP3:AP13)</f>
        <v>0</v>
      </c>
      <c r="AF3" s="119" cm="1">
        <f t="array" ref="AF3:AF13">AQ3:AQ13/SUM(AQ3:AQ13)</f>
        <v>0</v>
      </c>
      <c r="AG3" s="119" cm="1">
        <f t="array" ref="AG3:AG13">AR3:AR13/SUM(AR3:AR13)</f>
        <v>0</v>
      </c>
      <c r="AH3" s="273">
        <v>0</v>
      </c>
      <c r="AI3" s="270">
        <v>0</v>
      </c>
      <c r="AJ3" s="270">
        <v>0</v>
      </c>
      <c r="AK3" s="270">
        <v>0</v>
      </c>
      <c r="AL3" s="270">
        <v>0</v>
      </c>
      <c r="AM3" s="270">
        <v>0</v>
      </c>
      <c r="AN3" s="270">
        <v>0</v>
      </c>
      <c r="AO3" s="270">
        <v>0</v>
      </c>
      <c r="AP3" s="270">
        <v>0</v>
      </c>
      <c r="AQ3" s="270">
        <v>0</v>
      </c>
      <c r="AR3" s="270">
        <v>0</v>
      </c>
    </row>
    <row r="4" spans="1:44">
      <c r="A4" s="1"/>
      <c r="B4" s="125">
        <v>1</v>
      </c>
      <c r="C4" s="155">
        <v>0</v>
      </c>
      <c r="D4" s="163">
        <v>0</v>
      </c>
      <c r="E4" s="156">
        <v>0</v>
      </c>
      <c r="F4" s="1"/>
      <c r="G4" s="1"/>
      <c r="H4" s="2"/>
      <c r="I4" s="20"/>
      <c r="J4" s="33"/>
      <c r="K4" s="33"/>
      <c r="L4" s="122">
        <v>2</v>
      </c>
      <c r="M4" s="107">
        <v>0.28985507246376813</v>
      </c>
      <c r="N4" s="167">
        <v>220000000</v>
      </c>
      <c r="O4" s="122">
        <v>2</v>
      </c>
      <c r="P4" s="26"/>
      <c r="Q4" s="114">
        <v>3</v>
      </c>
      <c r="R4" s="107">
        <v>0.1111111111111111</v>
      </c>
      <c r="S4" s="170">
        <v>120000000</v>
      </c>
      <c r="T4" s="293">
        <v>17.26923076923077</v>
      </c>
      <c r="U4" s="1"/>
      <c r="V4" s="114">
        <v>2</v>
      </c>
      <c r="W4" s="120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09">
        <v>0.32432432432432434</v>
      </c>
      <c r="AG4" s="109">
        <v>0.32432432432432434</v>
      </c>
      <c r="AH4" s="171">
        <v>0</v>
      </c>
      <c r="AI4" s="271">
        <v>0</v>
      </c>
      <c r="AJ4" s="271">
        <v>0</v>
      </c>
      <c r="AK4" s="271">
        <v>250000000</v>
      </c>
      <c r="AL4" s="271">
        <v>250000000</v>
      </c>
      <c r="AM4" s="271">
        <v>250000000</v>
      </c>
      <c r="AN4" s="271">
        <v>240000000</v>
      </c>
      <c r="AO4" s="271">
        <v>240000000</v>
      </c>
      <c r="AP4" s="271">
        <v>240000000</v>
      </c>
      <c r="AQ4" s="274">
        <v>240000000</v>
      </c>
      <c r="AR4" s="274">
        <v>240000000</v>
      </c>
    </row>
    <row r="5" spans="1:44">
      <c r="A5" s="1"/>
      <c r="B5" s="122">
        <v>2</v>
      </c>
      <c r="C5" s="157">
        <v>1</v>
      </c>
      <c r="D5" s="30">
        <v>1</v>
      </c>
      <c r="E5" s="158">
        <v>1</v>
      </c>
      <c r="F5" s="1"/>
      <c r="G5" s="1"/>
      <c r="H5" s="2"/>
      <c r="I5" s="20"/>
      <c r="J5" s="33"/>
      <c r="K5" s="33"/>
      <c r="L5" s="122">
        <v>3</v>
      </c>
      <c r="M5" s="107">
        <v>0.28985507246376813</v>
      </c>
      <c r="N5" s="167">
        <v>220000000</v>
      </c>
      <c r="O5" s="122">
        <v>3</v>
      </c>
      <c r="P5" s="26"/>
      <c r="Q5" s="114">
        <v>4</v>
      </c>
      <c r="R5" s="107">
        <v>0.1111111111111111</v>
      </c>
      <c r="S5" s="170">
        <v>120000000</v>
      </c>
      <c r="T5" s="293">
        <v>17.26923076923077</v>
      </c>
      <c r="U5" s="1"/>
      <c r="V5" s="114">
        <v>3</v>
      </c>
      <c r="W5" s="120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09">
        <v>0.22972972972972974</v>
      </c>
      <c r="AG5" s="109">
        <v>0.22972972972972974</v>
      </c>
      <c r="AH5" s="171">
        <v>0</v>
      </c>
      <c r="AI5" s="271">
        <v>250000000</v>
      </c>
      <c r="AJ5" s="271">
        <v>250000000</v>
      </c>
      <c r="AK5" s="271">
        <v>200000000</v>
      </c>
      <c r="AL5" s="271">
        <v>200000000</v>
      </c>
      <c r="AM5" s="271">
        <v>200000000</v>
      </c>
      <c r="AN5" s="271">
        <v>170000000</v>
      </c>
      <c r="AO5" s="271">
        <v>170000000</v>
      </c>
      <c r="AP5" s="271">
        <v>170000000</v>
      </c>
      <c r="AQ5" s="274">
        <v>170000000</v>
      </c>
      <c r="AR5" s="274">
        <v>170000000</v>
      </c>
    </row>
    <row r="6" spans="1:44">
      <c r="A6" s="1"/>
      <c r="B6" s="122">
        <v>3</v>
      </c>
      <c r="C6" s="157">
        <v>2</v>
      </c>
      <c r="D6" s="30">
        <v>2</v>
      </c>
      <c r="E6" s="158">
        <v>2</v>
      </c>
      <c r="F6" s="1"/>
      <c r="G6" s="1"/>
      <c r="H6" s="2"/>
      <c r="I6" s="20"/>
      <c r="J6" s="33"/>
      <c r="K6" s="33"/>
      <c r="L6" s="122">
        <v>5</v>
      </c>
      <c r="M6" s="107">
        <v>8.5638998682476944E-2</v>
      </c>
      <c r="N6" s="167">
        <v>65000000</v>
      </c>
      <c r="O6" s="122">
        <v>5</v>
      </c>
      <c r="P6" s="26"/>
      <c r="Q6" s="114">
        <v>5</v>
      </c>
      <c r="R6" s="107">
        <v>0.1111111111111111</v>
      </c>
      <c r="S6" s="170">
        <v>120000000</v>
      </c>
      <c r="T6" s="293">
        <v>13.549382716049381</v>
      </c>
      <c r="U6" s="26"/>
      <c r="V6" s="114">
        <v>5</v>
      </c>
      <c r="W6" s="120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09">
        <v>0.17567567567567569</v>
      </c>
      <c r="AG6" s="109">
        <v>0.17567567567567569</v>
      </c>
      <c r="AH6" s="171">
        <v>150000000</v>
      </c>
      <c r="AI6" s="271">
        <v>150000000</v>
      </c>
      <c r="AJ6" s="271">
        <v>150000000</v>
      </c>
      <c r="AK6" s="271">
        <v>160000000</v>
      </c>
      <c r="AL6" s="271">
        <v>160000000</v>
      </c>
      <c r="AM6" s="271">
        <v>160000000</v>
      </c>
      <c r="AN6" s="271">
        <v>130000000</v>
      </c>
      <c r="AO6" s="271">
        <v>130000000</v>
      </c>
      <c r="AP6" s="271">
        <v>130000000</v>
      </c>
      <c r="AQ6" s="274">
        <v>130000000</v>
      </c>
      <c r="AR6" s="274">
        <v>130000000</v>
      </c>
    </row>
    <row r="7" spans="1:44">
      <c r="A7" s="1"/>
      <c r="B7" s="122">
        <v>4</v>
      </c>
      <c r="C7" s="157">
        <v>0</v>
      </c>
      <c r="D7" s="30">
        <v>1</v>
      </c>
      <c r="E7" s="158">
        <v>2</v>
      </c>
      <c r="F7" s="1"/>
      <c r="G7" s="1"/>
      <c r="H7" s="2"/>
      <c r="I7" s="20"/>
      <c r="J7" s="33"/>
      <c r="K7" s="33"/>
      <c r="L7" s="122">
        <v>10</v>
      </c>
      <c r="M7" s="107">
        <v>3.9525691699604744E-2</v>
      </c>
      <c r="N7" s="167">
        <v>30000000</v>
      </c>
      <c r="O7" s="122">
        <v>10</v>
      </c>
      <c r="P7" s="26"/>
      <c r="Q7" s="114">
        <v>6</v>
      </c>
      <c r="R7" s="107">
        <v>0.1111111111111111</v>
      </c>
      <c r="S7" s="170">
        <v>120000000</v>
      </c>
      <c r="T7" s="293">
        <v>13.549382716049381</v>
      </c>
      <c r="U7" s="1"/>
      <c r="V7" s="114">
        <v>10</v>
      </c>
      <c r="W7" s="120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09">
        <v>0.10810810810810811</v>
      </c>
      <c r="AG7" s="109">
        <v>0.10810810810810811</v>
      </c>
      <c r="AH7" s="171">
        <v>100000000</v>
      </c>
      <c r="AI7" s="271">
        <v>100000000</v>
      </c>
      <c r="AJ7" s="271">
        <v>100000000</v>
      </c>
      <c r="AK7" s="271">
        <v>80000000</v>
      </c>
      <c r="AL7" s="271">
        <v>80000000</v>
      </c>
      <c r="AM7" s="271">
        <v>80000000</v>
      </c>
      <c r="AN7" s="271">
        <v>80000000</v>
      </c>
      <c r="AO7" s="271">
        <v>80000000</v>
      </c>
      <c r="AP7" s="271">
        <v>80000000</v>
      </c>
      <c r="AQ7" s="274">
        <v>80000000</v>
      </c>
      <c r="AR7" s="274">
        <v>80000000</v>
      </c>
    </row>
    <row r="8" spans="1:44" ht="16.8" thickBot="1">
      <c r="A8" s="1"/>
      <c r="B8" s="123">
        <v>5</v>
      </c>
      <c r="C8" s="159">
        <v>2</v>
      </c>
      <c r="D8" s="164">
        <v>1</v>
      </c>
      <c r="E8" s="160">
        <v>0</v>
      </c>
      <c r="F8" s="1"/>
      <c r="G8" s="1"/>
      <c r="H8" s="2"/>
      <c r="I8" s="20"/>
      <c r="J8" s="33"/>
      <c r="K8" s="33"/>
      <c r="L8" s="122">
        <v>15</v>
      </c>
      <c r="M8" s="107">
        <v>1.3175230566534914E-2</v>
      </c>
      <c r="N8" s="167">
        <v>10000000</v>
      </c>
      <c r="O8" s="122">
        <v>15</v>
      </c>
      <c r="P8" s="26"/>
      <c r="Q8" s="114">
        <v>7</v>
      </c>
      <c r="R8" s="107">
        <v>7.407407407407407E-2</v>
      </c>
      <c r="S8" s="170">
        <v>80000000</v>
      </c>
      <c r="T8" s="293">
        <v>13.549382716049381</v>
      </c>
      <c r="U8" s="1"/>
      <c r="V8" s="114">
        <v>15</v>
      </c>
      <c r="W8" s="120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09">
        <v>6.7567567567567571E-2</v>
      </c>
      <c r="AG8" s="109">
        <v>6.7567567567567571E-2</v>
      </c>
      <c r="AH8" s="171">
        <v>80000000</v>
      </c>
      <c r="AI8" s="271">
        <v>80000000</v>
      </c>
      <c r="AJ8" s="271">
        <v>80000000</v>
      </c>
      <c r="AK8" s="271">
        <v>50000000</v>
      </c>
      <c r="AL8" s="271">
        <v>50000000</v>
      </c>
      <c r="AM8" s="271">
        <v>50000000</v>
      </c>
      <c r="AN8" s="271">
        <v>50000000</v>
      </c>
      <c r="AO8" s="271">
        <v>50000000</v>
      </c>
      <c r="AP8" s="271">
        <v>50000000</v>
      </c>
      <c r="AQ8" s="274">
        <v>50000000</v>
      </c>
      <c r="AR8" s="274">
        <v>50000000</v>
      </c>
    </row>
    <row r="9" spans="1:44">
      <c r="A9" s="1"/>
      <c r="B9" s="1"/>
      <c r="C9" s="165">
        <v>1</v>
      </c>
      <c r="D9" s="165">
        <v>4</v>
      </c>
      <c r="E9" s="165">
        <v>7</v>
      </c>
      <c r="F9" s="1"/>
      <c r="G9" s="1"/>
      <c r="H9" s="2"/>
      <c r="I9" s="20"/>
      <c r="J9" s="33"/>
      <c r="K9" s="33"/>
      <c r="L9" s="122">
        <v>20</v>
      </c>
      <c r="M9" s="107">
        <v>6.587615283267457E-3</v>
      </c>
      <c r="N9" s="167">
        <v>5000000</v>
      </c>
      <c r="O9" s="122">
        <v>20</v>
      </c>
      <c r="P9" s="26"/>
      <c r="Q9" s="114">
        <v>8</v>
      </c>
      <c r="R9" s="107">
        <v>7.407407407407407E-2</v>
      </c>
      <c r="S9" s="170">
        <v>80000000</v>
      </c>
      <c r="T9" s="293">
        <v>14.47972972972973</v>
      </c>
      <c r="U9" s="1"/>
      <c r="V9" s="114">
        <v>20</v>
      </c>
      <c r="W9" s="120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09">
        <v>2.7027027027027029E-2</v>
      </c>
      <c r="AG9" s="109">
        <v>2.7027027027027029E-2</v>
      </c>
      <c r="AH9" s="171">
        <v>20000000</v>
      </c>
      <c r="AI9" s="271">
        <v>20000000</v>
      </c>
      <c r="AJ9" s="271">
        <v>20000000</v>
      </c>
      <c r="AK9" s="271">
        <v>20000000</v>
      </c>
      <c r="AL9" s="271">
        <v>20000000</v>
      </c>
      <c r="AM9" s="271">
        <v>20000000</v>
      </c>
      <c r="AN9" s="271">
        <v>20000000</v>
      </c>
      <c r="AO9" s="271">
        <v>20000000</v>
      </c>
      <c r="AP9" s="271">
        <v>20000000</v>
      </c>
      <c r="AQ9" s="274">
        <v>20000000</v>
      </c>
      <c r="AR9" s="274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2">
        <v>25</v>
      </c>
      <c r="M10" s="107">
        <v>2.635046113306983E-3</v>
      </c>
      <c r="N10" s="167">
        <v>2000000</v>
      </c>
      <c r="O10" s="122">
        <v>25</v>
      </c>
      <c r="P10" s="26"/>
      <c r="Q10" s="114">
        <v>9</v>
      </c>
      <c r="R10" s="107">
        <v>7.407407407407407E-2</v>
      </c>
      <c r="S10" s="170">
        <v>80000000</v>
      </c>
      <c r="T10" s="293">
        <v>14.47972972972973</v>
      </c>
      <c r="U10" s="1"/>
      <c r="V10" s="114">
        <v>25</v>
      </c>
      <c r="W10" s="120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09">
        <v>2.0270270270270271E-2</v>
      </c>
      <c r="AG10" s="109">
        <v>2.0270270270270271E-2</v>
      </c>
      <c r="AH10" s="171">
        <v>15000000</v>
      </c>
      <c r="AI10" s="271">
        <v>15000000</v>
      </c>
      <c r="AJ10" s="271">
        <v>15000000</v>
      </c>
      <c r="AK10" s="271">
        <v>15000000</v>
      </c>
      <c r="AL10" s="271">
        <v>15000000</v>
      </c>
      <c r="AM10" s="271">
        <v>15000000</v>
      </c>
      <c r="AN10" s="271">
        <v>15000000</v>
      </c>
      <c r="AO10" s="271">
        <v>15000000</v>
      </c>
      <c r="AP10" s="271">
        <v>15000000</v>
      </c>
      <c r="AQ10" s="274">
        <v>15000000</v>
      </c>
      <c r="AR10" s="274">
        <v>15000000</v>
      </c>
    </row>
    <row r="11" spans="1:44" ht="16.8" thickBot="1">
      <c r="A11" s="1"/>
      <c r="B11" s="61" t="s">
        <v>53</v>
      </c>
      <c r="C11" s="327">
        <f>PRODUCT('Regular Symbol'!C18:E18)</f>
        <v>5218521</v>
      </c>
      <c r="D11" s="327"/>
      <c r="E11" s="327"/>
      <c r="F11" s="327"/>
      <c r="G11" s="327"/>
      <c r="H11" s="1"/>
      <c r="I11" s="33"/>
      <c r="J11" s="33"/>
      <c r="K11" s="33"/>
      <c r="L11" s="122">
        <v>50</v>
      </c>
      <c r="M11" s="107">
        <v>2.635046113306983E-3</v>
      </c>
      <c r="N11" s="167">
        <v>2000000</v>
      </c>
      <c r="O11" s="122">
        <v>50</v>
      </c>
      <c r="P11" s="26"/>
      <c r="Q11" s="114">
        <v>10</v>
      </c>
      <c r="R11" s="107">
        <v>7.407407407407407E-2</v>
      </c>
      <c r="S11" s="170">
        <v>80000000</v>
      </c>
      <c r="T11" s="293">
        <v>14.47972972972973</v>
      </c>
      <c r="U11" s="1"/>
      <c r="V11" s="114">
        <v>50</v>
      </c>
      <c r="W11" s="120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09">
        <v>2.0270270270270271E-2</v>
      </c>
      <c r="AG11" s="109">
        <v>2.0270270270270271E-2</v>
      </c>
      <c r="AH11" s="171">
        <v>15000000</v>
      </c>
      <c r="AI11" s="271">
        <v>15000000</v>
      </c>
      <c r="AJ11" s="271">
        <v>15000000</v>
      </c>
      <c r="AK11" s="271">
        <v>15000000</v>
      </c>
      <c r="AL11" s="271">
        <v>15000000</v>
      </c>
      <c r="AM11" s="271">
        <v>15000000</v>
      </c>
      <c r="AN11" s="271">
        <v>15000000</v>
      </c>
      <c r="AO11" s="271">
        <v>15000000</v>
      </c>
      <c r="AP11" s="271">
        <v>15000000</v>
      </c>
      <c r="AQ11" s="274">
        <v>15000000</v>
      </c>
      <c r="AR11" s="274">
        <v>15000000</v>
      </c>
    </row>
    <row r="12" spans="1:44" ht="16.8" thickBot="1">
      <c r="A12" s="1" t="s">
        <v>75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2">
        <v>100</v>
      </c>
      <c r="M12" s="107">
        <v>2.635046113306983E-3</v>
      </c>
      <c r="N12" s="167">
        <v>2000000</v>
      </c>
      <c r="O12" s="122">
        <v>100</v>
      </c>
      <c r="P12" s="26"/>
      <c r="Q12" s="122">
        <v>20</v>
      </c>
      <c r="R12" s="107">
        <v>7.407407407407407E-2</v>
      </c>
      <c r="S12" s="167">
        <v>80000000</v>
      </c>
      <c r="T12" s="294">
        <v>14.47972972972973</v>
      </c>
      <c r="U12" s="1"/>
      <c r="V12" s="114">
        <v>100</v>
      </c>
      <c r="W12" s="120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09">
        <v>1.3513513513513514E-2</v>
      </c>
      <c r="AG12" s="109">
        <v>1.3513513513513514E-2</v>
      </c>
      <c r="AH12" s="171">
        <v>10000000</v>
      </c>
      <c r="AI12" s="271">
        <v>10000000</v>
      </c>
      <c r="AJ12" s="271">
        <v>10000000</v>
      </c>
      <c r="AK12" s="271">
        <v>10000000</v>
      </c>
      <c r="AL12" s="271">
        <v>10000000</v>
      </c>
      <c r="AM12" s="271">
        <v>10000000</v>
      </c>
      <c r="AN12" s="271">
        <v>10000000</v>
      </c>
      <c r="AO12" s="271">
        <v>10000000</v>
      </c>
      <c r="AP12" s="271">
        <v>10000000</v>
      </c>
      <c r="AQ12" s="274">
        <v>10000000</v>
      </c>
      <c r="AR12" s="274">
        <v>10000000</v>
      </c>
    </row>
    <row r="13" spans="1:44" ht="16.8" thickBot="1">
      <c r="A13" s="1">
        <v>1</v>
      </c>
      <c r="B13" s="41" t="s">
        <v>67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Overview!B41:B48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2">
        <v>500</v>
      </c>
      <c r="M13" s="107">
        <v>3.952569169960474E-3</v>
      </c>
      <c r="N13" s="167">
        <v>3000000</v>
      </c>
      <c r="O13" s="122">
        <v>500</v>
      </c>
      <c r="P13" s="26"/>
      <c r="Q13" s="123">
        <v>50</v>
      </c>
      <c r="R13" s="108">
        <v>7.407407407407407E-2</v>
      </c>
      <c r="S13" s="168">
        <v>80000000</v>
      </c>
      <c r="T13" s="127">
        <v>14.47972972972973</v>
      </c>
      <c r="U13" s="1"/>
      <c r="V13" s="115">
        <v>500</v>
      </c>
      <c r="W13" s="121">
        <v>2.5000000000000001E-2</v>
      </c>
      <c r="X13" s="110">
        <v>1.5384615384615385E-2</v>
      </c>
      <c r="Y13" s="110">
        <v>1.5384615384615385E-2</v>
      </c>
      <c r="Z13" s="110">
        <v>1.2345679012345678E-2</v>
      </c>
      <c r="AA13" s="110">
        <v>1.2345679012345678E-2</v>
      </c>
      <c r="AB13" s="110">
        <v>1.2345679012345678E-2</v>
      </c>
      <c r="AC13" s="110">
        <v>1.3513513513513514E-2</v>
      </c>
      <c r="AD13" s="110">
        <v>1.3513513513513514E-2</v>
      </c>
      <c r="AE13" s="110">
        <v>1.3513513513513514E-2</v>
      </c>
      <c r="AF13" s="111">
        <v>1.3513513513513514E-2</v>
      </c>
      <c r="AG13" s="111">
        <v>1.3513513513513514E-2</v>
      </c>
      <c r="AH13" s="172">
        <v>10000000</v>
      </c>
      <c r="AI13" s="272">
        <v>10000000</v>
      </c>
      <c r="AJ13" s="272">
        <v>10000000</v>
      </c>
      <c r="AK13" s="272">
        <v>10000000</v>
      </c>
      <c r="AL13" s="272">
        <v>10000000</v>
      </c>
      <c r="AM13" s="272">
        <v>10000000</v>
      </c>
      <c r="AN13" s="272">
        <v>10000000</v>
      </c>
      <c r="AO13" s="272">
        <v>10000000</v>
      </c>
      <c r="AP13" s="272">
        <v>10000000</v>
      </c>
      <c r="AQ13" s="275">
        <v>10000000</v>
      </c>
      <c r="AR13" s="275">
        <v>10000000</v>
      </c>
    </row>
    <row r="14" spans="1:44" ht="16.8" thickBot="1">
      <c r="A14" s="1">
        <v>1</v>
      </c>
      <c r="B14" s="46" t="s">
        <v>68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6" t="s">
        <v>102</v>
      </c>
      <c r="M14" s="108">
        <v>0.2635046113306983</v>
      </c>
      <c r="N14" s="168">
        <v>200000000</v>
      </c>
      <c r="O14" s="127">
        <f>T15</f>
        <v>146.87657042132349</v>
      </c>
      <c r="P14" s="1"/>
      <c r="Q14" s="1"/>
      <c r="R14" s="1"/>
      <c r="S14" s="125" t="s">
        <v>216</v>
      </c>
      <c r="T14" s="298">
        <f>SUMPRODUCT(Q3:Q13, R3:R13)</f>
        <v>9.9259259259259238</v>
      </c>
      <c r="U14" s="1"/>
      <c r="V14" s="112" t="s">
        <v>215</v>
      </c>
      <c r="W14" s="295">
        <f t="shared" ref="W14:AG14" si="3">SUMPRODUCT($V$3:$V$13,_xlfn.ANCHORARRAY(W3))</f>
        <v>26.1875</v>
      </c>
      <c r="X14" s="296">
        <f t="shared" si="3"/>
        <v>17.26923076923077</v>
      </c>
      <c r="Y14" s="296">
        <f t="shared" si="3"/>
        <v>17.26923076923077</v>
      </c>
      <c r="Z14" s="296">
        <f t="shared" si="3"/>
        <v>13.549382716049381</v>
      </c>
      <c r="AA14" s="296">
        <f t="shared" si="3"/>
        <v>13.549382716049381</v>
      </c>
      <c r="AB14" s="296">
        <f t="shared" si="3"/>
        <v>13.549382716049381</v>
      </c>
      <c r="AC14" s="296">
        <f t="shared" si="3"/>
        <v>14.47972972972973</v>
      </c>
      <c r="AD14" s="296">
        <f t="shared" si="3"/>
        <v>14.47972972972973</v>
      </c>
      <c r="AE14" s="296">
        <f t="shared" si="3"/>
        <v>14.47972972972973</v>
      </c>
      <c r="AF14" s="296">
        <f t="shared" si="3"/>
        <v>14.47972972972973</v>
      </c>
      <c r="AG14" s="297">
        <f t="shared" si="3"/>
        <v>14.47972972972973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6.8" thickBot="1">
      <c r="A15" s="1">
        <v>1</v>
      </c>
      <c r="B15" s="46" t="s">
        <v>69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278" t="s">
        <v>218</v>
      </c>
      <c r="O15" s="299">
        <f>SUMPRODUCT(M3:M14, O3:O14)</f>
        <v>43.742179294156387</v>
      </c>
      <c r="P15" s="1"/>
      <c r="Q15" s="1"/>
      <c r="R15" s="1"/>
      <c r="S15" s="123" t="s">
        <v>217</v>
      </c>
      <c r="T15" s="127" cm="1">
        <f t="array" ref="T15">SUMPRODUCT(Q3:Q13*_xlfn.ANCHORARRAY(T3),_xlfn.ANCHORARRAY(R3))</f>
        <v>146.87657042132349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70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71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72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180</v>
      </c>
      <c r="M18" s="177"/>
      <c r="N18" s="174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73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4" t="str" cm="1">
        <f t="array" ref="L19:L31">L2:L14</f>
        <v>R4 Multiplier</v>
      </c>
      <c r="M19" s="124" t="s">
        <v>219</v>
      </c>
      <c r="N19" s="124" t="s">
        <v>220</v>
      </c>
      <c r="O19" s="124" t="s">
        <v>119</v>
      </c>
      <c r="P19" s="1"/>
      <c r="Q19" s="1"/>
      <c r="R19" s="1"/>
      <c r="S19" s="1"/>
    </row>
    <row r="20" spans="1:19" ht="16.8" thickBot="1">
      <c r="A20" s="1">
        <v>1</v>
      </c>
      <c r="B20" s="91" t="s">
        <v>74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5">
        <v>1</v>
      </c>
      <c r="M20" s="107">
        <v>0</v>
      </c>
      <c r="N20" s="259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2">
        <v>2</v>
      </c>
      <c r="M21" s="107">
        <v>4.6105699999999999E-2</v>
      </c>
      <c r="N21" s="260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2">
        <v>3</v>
      </c>
      <c r="M22" s="107">
        <v>4.2582450000000001E-2</v>
      </c>
      <c r="N22" s="260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Symbol'!C18:E18)</f>
        <v>5218521</v>
      </c>
      <c r="D23" s="327"/>
      <c r="E23" s="327"/>
      <c r="F23" s="327"/>
      <c r="G23" s="327"/>
      <c r="H23" s="1"/>
      <c r="I23" s="33"/>
      <c r="J23" s="33"/>
      <c r="K23" s="34"/>
      <c r="L23" s="122">
        <v>5</v>
      </c>
      <c r="M23" s="107">
        <v>1.211164E-2</v>
      </c>
      <c r="N23" s="260">
        <v>82.565201739813929</v>
      </c>
      <c r="O23" s="1"/>
      <c r="P23" s="1"/>
      <c r="Q23" s="1"/>
      <c r="R23" s="1"/>
      <c r="S23" s="1"/>
    </row>
    <row r="24" spans="1:19" ht="16.8" thickBot="1">
      <c r="A24" s="1" t="s">
        <v>75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2">
        <v>10</v>
      </c>
      <c r="M24" s="107">
        <v>4.2834500000000003E-3</v>
      </c>
      <c r="N24" s="260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67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2">
        <v>15</v>
      </c>
      <c r="M25" s="107">
        <v>1.08366E-3</v>
      </c>
      <c r="N25" s="260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68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2">
        <v>20</v>
      </c>
      <c r="M26" s="107">
        <v>3.9250999999999999E-4</v>
      </c>
      <c r="N26" s="260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69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2">
        <v>25</v>
      </c>
      <c r="M27" s="107">
        <v>1.6449999999999999E-4</v>
      </c>
      <c r="N27" s="260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70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2">
        <v>50</v>
      </c>
      <c r="M28" s="107">
        <v>7.9510000000000003E-5</v>
      </c>
      <c r="N28" s="260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71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2">
        <v>100</v>
      </c>
      <c r="M29" s="107">
        <v>3.5500000000000002E-5</v>
      </c>
      <c r="N29" s="260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72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2">
        <v>500</v>
      </c>
      <c r="M30" s="107">
        <v>2.88E-6</v>
      </c>
      <c r="N30" s="260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73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6" t="str">
        <v>Re-spin</v>
      </c>
      <c r="M31" s="108">
        <v>8.5256599999999991E-3</v>
      </c>
      <c r="N31" s="261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74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Symbol'!C18:E18)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75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67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68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69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70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71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72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73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74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Symbol'!C18:E18)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75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67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68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69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70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71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72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73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74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Symbol'!C18:E18)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75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67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68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69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70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71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72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73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74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21" priority="2" operator="equal">
      <formula>0</formula>
    </cfRule>
  </conditionalFormatting>
  <conditionalFormatting sqref="M20:N31">
    <cfRule type="cellIs" dxfId="2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10AF-3F1A-4E29-899A-0ACAF4A678CC}">
  <sheetPr>
    <tabColor theme="9" tint="0.39997558519241921"/>
  </sheetPr>
  <dimension ref="A1:AR69"/>
  <sheetViews>
    <sheetView workbookViewId="0"/>
  </sheetViews>
  <sheetFormatPr defaultColWidth="15.33203125" defaultRowHeight="16.2" outlineLevelCol="1"/>
  <cols>
    <col min="2" max="2" width="19.77734375" bestFit="1" customWidth="1"/>
    <col min="3" max="3" width="9.33203125" customWidth="1"/>
    <col min="4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3" width="17.5546875" customWidth="1"/>
    <col min="14" max="14" width="21.88671875" bestFit="1" customWidth="1"/>
    <col min="15" max="15" width="18.77734375" bestFit="1" customWidth="1"/>
    <col min="16" max="16" width="16.77734375" bestFit="1" customWidth="1"/>
    <col min="17" max="17" width="21.88671875" bestFit="1" customWidth="1"/>
    <col min="19" max="19" width="30.21875" bestFit="1" customWidth="1"/>
    <col min="22" max="22" width="21.218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4" t="s">
        <v>112</v>
      </c>
      <c r="C1" s="135">
        <v>8</v>
      </c>
      <c r="D1" s="1"/>
      <c r="E1" s="1"/>
      <c r="F1" s="1"/>
      <c r="G1" s="1"/>
      <c r="H1" s="2" t="s">
        <v>76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77</v>
      </c>
      <c r="I2" s="20">
        <f ca="1">I1*O15</f>
        <v>22.081394189070298</v>
      </c>
      <c r="J2" s="33"/>
      <c r="K2" s="152"/>
      <c r="L2" s="124" t="s">
        <v>210</v>
      </c>
      <c r="M2" s="124" t="s">
        <v>204</v>
      </c>
      <c r="N2" s="124" t="s">
        <v>211</v>
      </c>
      <c r="O2" s="124" t="s">
        <v>212</v>
      </c>
      <c r="P2" s="1"/>
      <c r="Q2" s="112" t="s">
        <v>99</v>
      </c>
      <c r="R2" s="124" t="s">
        <v>204</v>
      </c>
      <c r="S2" s="124" t="s">
        <v>211</v>
      </c>
      <c r="T2" s="124" t="s">
        <v>213</v>
      </c>
      <c r="U2" s="1"/>
      <c r="V2" s="112" t="s">
        <v>214</v>
      </c>
      <c r="W2" s="116">
        <v>2</v>
      </c>
      <c r="X2" s="117">
        <v>3</v>
      </c>
      <c r="Y2" s="117">
        <v>4</v>
      </c>
      <c r="Z2" s="117">
        <v>5</v>
      </c>
      <c r="AA2" s="117">
        <v>6</v>
      </c>
      <c r="AB2" s="117">
        <v>7</v>
      </c>
      <c r="AC2" s="117">
        <v>8</v>
      </c>
      <c r="AD2" s="117">
        <v>9</v>
      </c>
      <c r="AE2" s="117">
        <v>10</v>
      </c>
      <c r="AF2" s="117">
        <v>20</v>
      </c>
      <c r="AG2" s="117">
        <v>50</v>
      </c>
      <c r="AH2" s="276">
        <v>2</v>
      </c>
      <c r="AI2" s="277">
        <v>3</v>
      </c>
      <c r="AJ2" s="277">
        <v>4</v>
      </c>
      <c r="AK2" s="276">
        <v>5</v>
      </c>
      <c r="AL2" s="277">
        <v>6</v>
      </c>
      <c r="AM2" s="277">
        <v>7</v>
      </c>
      <c r="AN2" s="276">
        <v>8</v>
      </c>
      <c r="AO2" s="277">
        <v>9</v>
      </c>
      <c r="AP2" s="277">
        <v>10</v>
      </c>
      <c r="AQ2" s="276">
        <v>20</v>
      </c>
      <c r="AR2" s="277">
        <v>50</v>
      </c>
    </row>
    <row r="3" spans="1:44" ht="16.8" thickBot="1">
      <c r="A3" s="1"/>
      <c r="B3" s="112" t="s">
        <v>132</v>
      </c>
      <c r="C3" s="163" t="s">
        <v>1</v>
      </c>
      <c r="D3" s="163" t="s">
        <v>2</v>
      </c>
      <c r="E3" s="156" t="s">
        <v>3</v>
      </c>
      <c r="F3" s="1"/>
      <c r="G3" s="1"/>
      <c r="H3" s="2"/>
      <c r="I3" s="20"/>
      <c r="J3" s="33"/>
      <c r="K3" s="69"/>
      <c r="L3" s="125">
        <v>1</v>
      </c>
      <c r="M3" s="107" cm="1">
        <f t="array" ref="M3:M14">N3:N14/SUM(N3:N14)</f>
        <v>0</v>
      </c>
      <c r="N3" s="166">
        <v>0</v>
      </c>
      <c r="O3" s="125" cm="1">
        <f t="array" ref="O3:O13">L3:L13</f>
        <v>1</v>
      </c>
      <c r="P3" s="26"/>
      <c r="Q3" s="113">
        <v>2</v>
      </c>
      <c r="R3" s="107" cm="1">
        <f t="array" ref="R3:R13">S3:S13/SUM(S3:S13)</f>
        <v>1.0869565193761815E-9</v>
      </c>
      <c r="S3" s="169">
        <v>1</v>
      </c>
      <c r="T3" s="292" cm="1">
        <f t="array" ref="T3:T13">_xlfn.XLOOKUP(Q3:Q13,W2:AG2,W14:AG14)</f>
        <v>57.10526315789474</v>
      </c>
      <c r="U3" s="26"/>
      <c r="V3" s="113">
        <v>1</v>
      </c>
      <c r="W3" s="118" cm="1">
        <f t="array" ref="W3:W13">AH3:AH13/SUM(AH3:AH13)</f>
        <v>0</v>
      </c>
      <c r="X3" s="119" cm="1">
        <f t="array" ref="X3:X13">AI3:AI13/SUM(AI3:AI13)</f>
        <v>0</v>
      </c>
      <c r="Y3" s="119" cm="1">
        <f t="array" ref="Y3:Y13">AJ3:AJ13/SUM(AJ3:AJ13)</f>
        <v>0</v>
      </c>
      <c r="Z3" s="119" cm="1">
        <f t="array" ref="Z3:Z13">AK3:AK13/SUM(AK3:AK13)</f>
        <v>0</v>
      </c>
      <c r="AA3" s="119" cm="1">
        <f t="array" ref="AA3:AA13">AL3:AL13/SUM(AL3:AL13)</f>
        <v>0</v>
      </c>
      <c r="AB3" s="119" cm="1">
        <f t="array" ref="AB3:AB13">AM3:AM13/SUM(AM3:AM13)</f>
        <v>0</v>
      </c>
      <c r="AC3" s="119" cm="1">
        <f t="array" ref="AC3:AC13">AN3:AN13/SUM(AN3:AN13)</f>
        <v>0</v>
      </c>
      <c r="AD3" s="119" cm="1">
        <f t="array" ref="AD3:AD13">AO3:AO13/SUM(AO3:AO13)</f>
        <v>0</v>
      </c>
      <c r="AE3" s="119" cm="1">
        <f t="array" ref="AE3:AE13">AP3:AP13/SUM(AP3:AP13)</f>
        <v>0</v>
      </c>
      <c r="AF3" s="119" cm="1">
        <f t="array" ref="AF3:AF13">AQ3:AQ13/SUM(AQ3:AQ13)</f>
        <v>0</v>
      </c>
      <c r="AG3" s="119" cm="1">
        <f t="array" ref="AG3:AG13">AR3:AR13/SUM(AR3:AR13)</f>
        <v>0</v>
      </c>
      <c r="AH3" s="273">
        <v>0</v>
      </c>
      <c r="AI3" s="270">
        <v>0</v>
      </c>
      <c r="AJ3" s="270">
        <v>0</v>
      </c>
      <c r="AK3" s="270">
        <v>0</v>
      </c>
      <c r="AL3" s="270">
        <v>0</v>
      </c>
      <c r="AM3" s="270">
        <v>0</v>
      </c>
      <c r="AN3" s="270">
        <v>0</v>
      </c>
      <c r="AO3" s="270">
        <v>0</v>
      </c>
      <c r="AP3" s="270">
        <v>0</v>
      </c>
      <c r="AQ3" s="270">
        <v>0</v>
      </c>
      <c r="AR3" s="270">
        <v>0</v>
      </c>
    </row>
    <row r="4" spans="1:44">
      <c r="A4" s="1"/>
      <c r="B4" s="125">
        <v>1</v>
      </c>
      <c r="C4" s="155">
        <v>0</v>
      </c>
      <c r="D4" s="163">
        <v>0</v>
      </c>
      <c r="E4" s="156">
        <v>0</v>
      </c>
      <c r="F4" s="1"/>
      <c r="G4" s="1"/>
      <c r="H4" s="2"/>
      <c r="I4" s="20"/>
      <c r="J4" s="33"/>
      <c r="K4" s="33"/>
      <c r="L4" s="122">
        <v>2</v>
      </c>
      <c r="M4" s="107">
        <v>0</v>
      </c>
      <c r="N4" s="167">
        <v>0</v>
      </c>
      <c r="O4" s="122">
        <v>2</v>
      </c>
      <c r="P4" s="26"/>
      <c r="Q4" s="114">
        <v>3</v>
      </c>
      <c r="R4" s="107">
        <v>1.0869565193761815E-9</v>
      </c>
      <c r="S4" s="170">
        <v>1</v>
      </c>
      <c r="T4" s="293">
        <v>57.10526315789474</v>
      </c>
      <c r="U4" s="1"/>
      <c r="V4" s="114">
        <v>2</v>
      </c>
      <c r="W4" s="120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09">
        <v>0</v>
      </c>
      <c r="AG4" s="109">
        <v>0</v>
      </c>
      <c r="AH4" s="171">
        <v>0</v>
      </c>
      <c r="AI4" s="271">
        <v>0</v>
      </c>
      <c r="AJ4" s="271">
        <v>0</v>
      </c>
      <c r="AK4" s="271">
        <v>0</v>
      </c>
      <c r="AL4" s="271">
        <v>0</v>
      </c>
      <c r="AM4" s="271">
        <v>0</v>
      </c>
      <c r="AN4" s="271">
        <v>0</v>
      </c>
      <c r="AO4" s="271">
        <v>0</v>
      </c>
      <c r="AP4" s="271">
        <v>0</v>
      </c>
      <c r="AQ4" s="274">
        <v>0</v>
      </c>
      <c r="AR4" s="274">
        <v>0</v>
      </c>
    </row>
    <row r="5" spans="1:44">
      <c r="A5" s="1"/>
      <c r="B5" s="122">
        <v>2</v>
      </c>
      <c r="C5" s="157">
        <v>1</v>
      </c>
      <c r="D5" s="30">
        <v>1</v>
      </c>
      <c r="E5" s="158">
        <v>1</v>
      </c>
      <c r="F5" s="1"/>
      <c r="G5" s="1"/>
      <c r="H5" s="2"/>
      <c r="I5" s="20"/>
      <c r="J5" s="33"/>
      <c r="K5" s="33"/>
      <c r="L5" s="122">
        <v>3</v>
      </c>
      <c r="M5" s="107">
        <v>0</v>
      </c>
      <c r="N5" s="167">
        <v>0</v>
      </c>
      <c r="O5" s="122">
        <v>3</v>
      </c>
      <c r="P5" s="26"/>
      <c r="Q5" s="114">
        <v>4</v>
      </c>
      <c r="R5" s="107">
        <v>0.13043478232514177</v>
      </c>
      <c r="S5" s="170">
        <v>120000000</v>
      </c>
      <c r="T5" s="293">
        <v>57.10526315789474</v>
      </c>
      <c r="U5" s="1"/>
      <c r="V5" s="114">
        <v>3</v>
      </c>
      <c r="W5" s="120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09">
        <v>0</v>
      </c>
      <c r="AG5" s="109">
        <v>0</v>
      </c>
      <c r="AH5" s="171">
        <v>0</v>
      </c>
      <c r="AI5" s="271">
        <v>0</v>
      </c>
      <c r="AJ5" s="271">
        <v>0</v>
      </c>
      <c r="AK5" s="271">
        <v>0</v>
      </c>
      <c r="AL5" s="271">
        <v>0</v>
      </c>
      <c r="AM5" s="271">
        <v>0</v>
      </c>
      <c r="AN5" s="271">
        <v>0</v>
      </c>
      <c r="AO5" s="271">
        <v>0</v>
      </c>
      <c r="AP5" s="271">
        <v>0</v>
      </c>
      <c r="AQ5" s="274">
        <v>0</v>
      </c>
      <c r="AR5" s="274">
        <v>0</v>
      </c>
    </row>
    <row r="6" spans="1:44">
      <c r="A6" s="1"/>
      <c r="B6" s="122">
        <v>3</v>
      </c>
      <c r="C6" s="157">
        <v>2</v>
      </c>
      <c r="D6" s="30">
        <v>2</v>
      </c>
      <c r="E6" s="158">
        <v>2</v>
      </c>
      <c r="F6" s="1"/>
      <c r="G6" s="1"/>
      <c r="H6" s="2"/>
      <c r="I6" s="20"/>
      <c r="J6" s="33"/>
      <c r="K6" s="33"/>
      <c r="L6" s="122">
        <v>5</v>
      </c>
      <c r="M6" s="107">
        <v>0</v>
      </c>
      <c r="N6" s="167">
        <v>0</v>
      </c>
      <c r="O6" s="122">
        <v>5</v>
      </c>
      <c r="P6" s="26"/>
      <c r="Q6" s="114">
        <v>5</v>
      </c>
      <c r="R6" s="107">
        <v>0.13043478232514177</v>
      </c>
      <c r="S6" s="170">
        <v>120000000</v>
      </c>
      <c r="T6" s="293">
        <v>57.10526315789474</v>
      </c>
      <c r="U6" s="26"/>
      <c r="V6" s="114">
        <v>5</v>
      </c>
      <c r="W6" s="120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09">
        <v>0</v>
      </c>
      <c r="AG6" s="109">
        <v>0</v>
      </c>
      <c r="AH6" s="171">
        <v>0</v>
      </c>
      <c r="AI6" s="271">
        <v>0</v>
      </c>
      <c r="AJ6" s="271">
        <v>0</v>
      </c>
      <c r="AK6" s="271">
        <v>0</v>
      </c>
      <c r="AL6" s="271">
        <v>0</v>
      </c>
      <c r="AM6" s="271">
        <v>0</v>
      </c>
      <c r="AN6" s="271">
        <v>0</v>
      </c>
      <c r="AO6" s="271">
        <v>0</v>
      </c>
      <c r="AP6" s="271">
        <v>0</v>
      </c>
      <c r="AQ6" s="274">
        <v>0</v>
      </c>
      <c r="AR6" s="274">
        <v>0</v>
      </c>
    </row>
    <row r="7" spans="1:44">
      <c r="A7" s="1"/>
      <c r="B7" s="122">
        <v>4</v>
      </c>
      <c r="C7" s="157">
        <v>0</v>
      </c>
      <c r="D7" s="30">
        <v>1</v>
      </c>
      <c r="E7" s="158">
        <v>2</v>
      </c>
      <c r="F7" s="1"/>
      <c r="G7" s="1"/>
      <c r="H7" s="2"/>
      <c r="I7" s="20"/>
      <c r="J7" s="33"/>
      <c r="K7" s="33"/>
      <c r="L7" s="122">
        <v>10</v>
      </c>
      <c r="M7" s="107">
        <v>0.1</v>
      </c>
      <c r="N7" s="167">
        <v>10000000</v>
      </c>
      <c r="O7" s="122">
        <v>10</v>
      </c>
      <c r="P7" s="26"/>
      <c r="Q7" s="114">
        <v>6</v>
      </c>
      <c r="R7" s="107">
        <v>0.13043478232514177</v>
      </c>
      <c r="S7" s="170">
        <v>120000000</v>
      </c>
      <c r="T7" s="293">
        <v>57.10526315789474</v>
      </c>
      <c r="U7" s="1"/>
      <c r="V7" s="114">
        <v>10</v>
      </c>
      <c r="W7" s="120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09">
        <v>0.10752688172043011</v>
      </c>
      <c r="AG7" s="109">
        <v>0.10752688172043011</v>
      </c>
      <c r="AH7" s="171">
        <v>10000000</v>
      </c>
      <c r="AI7" s="271">
        <v>10000000</v>
      </c>
      <c r="AJ7" s="271">
        <v>10000000</v>
      </c>
      <c r="AK7" s="271">
        <v>10000000</v>
      </c>
      <c r="AL7" s="271">
        <v>10000000</v>
      </c>
      <c r="AM7" s="271">
        <v>10000000</v>
      </c>
      <c r="AN7" s="271">
        <v>10000000</v>
      </c>
      <c r="AO7" s="271">
        <v>10000000</v>
      </c>
      <c r="AP7" s="271">
        <v>10000000</v>
      </c>
      <c r="AQ7" s="274">
        <v>10000000</v>
      </c>
      <c r="AR7" s="274">
        <v>10000000</v>
      </c>
    </row>
    <row r="8" spans="1:44" ht="16.8" thickBot="1">
      <c r="A8" s="1"/>
      <c r="B8" s="123">
        <v>5</v>
      </c>
      <c r="C8" s="159">
        <v>2</v>
      </c>
      <c r="D8" s="164">
        <v>1</v>
      </c>
      <c r="E8" s="160">
        <v>0</v>
      </c>
      <c r="F8" s="1"/>
      <c r="G8" s="1"/>
      <c r="H8" s="2"/>
      <c r="I8" s="20"/>
      <c r="J8" s="33"/>
      <c r="K8" s="33"/>
      <c r="L8" s="122">
        <v>15</v>
      </c>
      <c r="M8" s="107">
        <v>0.1</v>
      </c>
      <c r="N8" s="167">
        <v>10000000</v>
      </c>
      <c r="O8" s="122">
        <v>15</v>
      </c>
      <c r="P8" s="26"/>
      <c r="Q8" s="114">
        <v>7</v>
      </c>
      <c r="R8" s="107">
        <v>0.13043478232514177</v>
      </c>
      <c r="S8" s="170">
        <v>120000000</v>
      </c>
      <c r="T8" s="293">
        <v>57.10526315789474</v>
      </c>
      <c r="U8" s="1"/>
      <c r="V8" s="114">
        <v>15</v>
      </c>
      <c r="W8" s="120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09">
        <v>0.21505376344086022</v>
      </c>
      <c r="AG8" s="109">
        <v>0.21505376344086022</v>
      </c>
      <c r="AH8" s="171">
        <v>20000000</v>
      </c>
      <c r="AI8" s="271">
        <v>20000000</v>
      </c>
      <c r="AJ8" s="271">
        <v>20000000</v>
      </c>
      <c r="AK8" s="271">
        <v>20000000</v>
      </c>
      <c r="AL8" s="271">
        <v>20000000</v>
      </c>
      <c r="AM8" s="271">
        <v>20000000</v>
      </c>
      <c r="AN8" s="271">
        <v>20000000</v>
      </c>
      <c r="AO8" s="271">
        <v>20000000</v>
      </c>
      <c r="AP8" s="271">
        <v>20000000</v>
      </c>
      <c r="AQ8" s="274">
        <v>20000000</v>
      </c>
      <c r="AR8" s="274">
        <v>20000000</v>
      </c>
    </row>
    <row r="9" spans="1:44">
      <c r="A9" s="1"/>
      <c r="B9" s="1"/>
      <c r="C9" s="165">
        <v>1</v>
      </c>
      <c r="D9" s="165">
        <v>4</v>
      </c>
      <c r="E9" s="165">
        <v>7</v>
      </c>
      <c r="F9" s="1"/>
      <c r="G9" s="1"/>
      <c r="H9" s="2"/>
      <c r="I9" s="20"/>
      <c r="J9" s="33"/>
      <c r="K9" s="33"/>
      <c r="L9" s="122">
        <v>20</v>
      </c>
      <c r="M9" s="107">
        <v>0.1</v>
      </c>
      <c r="N9" s="167">
        <v>10000000</v>
      </c>
      <c r="O9" s="122">
        <v>20</v>
      </c>
      <c r="P9" s="26"/>
      <c r="Q9" s="114">
        <v>8</v>
      </c>
      <c r="R9" s="107">
        <v>0.13043478232514177</v>
      </c>
      <c r="S9" s="170">
        <v>120000000</v>
      </c>
      <c r="T9" s="293">
        <v>57.10526315789474</v>
      </c>
      <c r="U9" s="1"/>
      <c r="V9" s="114">
        <v>20</v>
      </c>
      <c r="W9" s="120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09">
        <v>0.21505376344086022</v>
      </c>
      <c r="AG9" s="109">
        <v>0.21505376344086022</v>
      </c>
      <c r="AH9" s="171">
        <v>20000000</v>
      </c>
      <c r="AI9" s="271">
        <v>20000000</v>
      </c>
      <c r="AJ9" s="271">
        <v>20000000</v>
      </c>
      <c r="AK9" s="271">
        <v>20000000</v>
      </c>
      <c r="AL9" s="271">
        <v>20000000</v>
      </c>
      <c r="AM9" s="271">
        <v>20000000</v>
      </c>
      <c r="AN9" s="271">
        <v>20000000</v>
      </c>
      <c r="AO9" s="271">
        <v>20000000</v>
      </c>
      <c r="AP9" s="271">
        <v>20000000</v>
      </c>
      <c r="AQ9" s="274">
        <v>20000000</v>
      </c>
      <c r="AR9" s="274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2">
        <v>25</v>
      </c>
      <c r="M10" s="107">
        <v>0.1</v>
      </c>
      <c r="N10" s="167">
        <v>10000000</v>
      </c>
      <c r="O10" s="122">
        <v>25</v>
      </c>
      <c r="P10" s="26"/>
      <c r="Q10" s="114">
        <v>9</v>
      </c>
      <c r="R10" s="107">
        <v>8.695652155009452E-2</v>
      </c>
      <c r="S10" s="170">
        <v>80000000</v>
      </c>
      <c r="T10" s="293">
        <v>57.10526315789474</v>
      </c>
      <c r="U10" s="1"/>
      <c r="V10" s="114">
        <v>25</v>
      </c>
      <c r="W10" s="120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09">
        <v>0.16129032258064516</v>
      </c>
      <c r="AG10" s="109">
        <v>0.16129032258064516</v>
      </c>
      <c r="AH10" s="171">
        <v>15000000</v>
      </c>
      <c r="AI10" s="271">
        <v>15000000</v>
      </c>
      <c r="AJ10" s="271">
        <v>15000000</v>
      </c>
      <c r="AK10" s="271">
        <v>15000000</v>
      </c>
      <c r="AL10" s="271">
        <v>15000000</v>
      </c>
      <c r="AM10" s="271">
        <v>15000000</v>
      </c>
      <c r="AN10" s="271">
        <v>15000000</v>
      </c>
      <c r="AO10" s="271">
        <v>15000000</v>
      </c>
      <c r="AP10" s="271">
        <v>15000000</v>
      </c>
      <c r="AQ10" s="274">
        <v>15000000</v>
      </c>
      <c r="AR10" s="274">
        <v>15000000</v>
      </c>
    </row>
    <row r="11" spans="1:44" ht="16.8" thickBot="1">
      <c r="A11" s="1"/>
      <c r="B11" s="61" t="s">
        <v>53</v>
      </c>
      <c r="C11" s="327">
        <f>PRODUCT('Regular Symbol'!C18:E18)</f>
        <v>5218521</v>
      </c>
      <c r="D11" s="327"/>
      <c r="E11" s="327"/>
      <c r="F11" s="327"/>
      <c r="G11" s="327"/>
      <c r="H11" s="1"/>
      <c r="I11" s="33"/>
      <c r="J11" s="33"/>
      <c r="K11" s="33"/>
      <c r="L11" s="122">
        <v>50</v>
      </c>
      <c r="M11" s="107">
        <v>0.1</v>
      </c>
      <c r="N11" s="167">
        <v>10000000</v>
      </c>
      <c r="O11" s="122">
        <v>50</v>
      </c>
      <c r="P11" s="26"/>
      <c r="Q11" s="114">
        <v>10</v>
      </c>
      <c r="R11" s="107">
        <v>8.695652155009452E-2</v>
      </c>
      <c r="S11" s="170">
        <v>80000000</v>
      </c>
      <c r="T11" s="293">
        <v>47.58064516129032</v>
      </c>
      <c r="U11" s="1"/>
      <c r="V11" s="114">
        <v>50</v>
      </c>
      <c r="W11" s="120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09">
        <v>0.16129032258064516</v>
      </c>
      <c r="AG11" s="109">
        <v>0.16129032258064516</v>
      </c>
      <c r="AH11" s="171">
        <v>15000000</v>
      </c>
      <c r="AI11" s="271">
        <v>15000000</v>
      </c>
      <c r="AJ11" s="271">
        <v>15000000</v>
      </c>
      <c r="AK11" s="271">
        <v>15000000</v>
      </c>
      <c r="AL11" s="271">
        <v>15000000</v>
      </c>
      <c r="AM11" s="271">
        <v>15000000</v>
      </c>
      <c r="AN11" s="271">
        <v>15000000</v>
      </c>
      <c r="AO11" s="271">
        <v>15000000</v>
      </c>
      <c r="AP11" s="271">
        <v>15000000</v>
      </c>
      <c r="AQ11" s="274">
        <v>15000000</v>
      </c>
      <c r="AR11" s="274">
        <v>15000000</v>
      </c>
    </row>
    <row r="12" spans="1:44" ht="16.8" thickBot="1">
      <c r="A12" s="1" t="s">
        <v>75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2">
        <v>100</v>
      </c>
      <c r="M12" s="107">
        <v>0.1</v>
      </c>
      <c r="N12" s="167">
        <v>10000000</v>
      </c>
      <c r="O12" s="122">
        <v>100</v>
      </c>
      <c r="P12" s="26"/>
      <c r="Q12" s="122">
        <v>20</v>
      </c>
      <c r="R12" s="107">
        <v>8.695652155009452E-2</v>
      </c>
      <c r="S12" s="167">
        <v>80000000</v>
      </c>
      <c r="T12" s="294">
        <v>47.58064516129032</v>
      </c>
      <c r="U12" s="1"/>
      <c r="V12" s="114">
        <v>100</v>
      </c>
      <c r="W12" s="120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09">
        <v>0.10752688172043011</v>
      </c>
      <c r="AG12" s="109">
        <v>0.10752688172043011</v>
      </c>
      <c r="AH12" s="171">
        <v>10000000</v>
      </c>
      <c r="AI12" s="271">
        <v>10000000</v>
      </c>
      <c r="AJ12" s="271">
        <v>10000000</v>
      </c>
      <c r="AK12" s="271">
        <v>10000000</v>
      </c>
      <c r="AL12" s="271">
        <v>10000000</v>
      </c>
      <c r="AM12" s="271">
        <v>10000000</v>
      </c>
      <c r="AN12" s="271">
        <v>10000000</v>
      </c>
      <c r="AO12" s="271">
        <v>10000000</v>
      </c>
      <c r="AP12" s="271">
        <v>10000000</v>
      </c>
      <c r="AQ12" s="274">
        <v>10000000</v>
      </c>
      <c r="AR12" s="274">
        <v>10000000</v>
      </c>
    </row>
    <row r="13" spans="1:44" ht="16.8" thickBot="1">
      <c r="A13" s="1">
        <v>1</v>
      </c>
      <c r="B13" s="41" t="s">
        <v>67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Overview!B41:B48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2">
        <v>500</v>
      </c>
      <c r="M13" s="107">
        <v>0.1</v>
      </c>
      <c r="N13" s="167">
        <v>10000000</v>
      </c>
      <c r="O13" s="122">
        <v>500</v>
      </c>
      <c r="P13" s="26"/>
      <c r="Q13" s="123">
        <v>50</v>
      </c>
      <c r="R13" s="108">
        <v>8.695652155009452E-2</v>
      </c>
      <c r="S13" s="168">
        <v>80000000</v>
      </c>
      <c r="T13" s="127">
        <v>47.58064516129032</v>
      </c>
      <c r="U13" s="1"/>
      <c r="V13" s="115">
        <v>500</v>
      </c>
      <c r="W13" s="121">
        <v>5.2631578947368418E-2</v>
      </c>
      <c r="X13" s="110">
        <v>5.2631578947368418E-2</v>
      </c>
      <c r="Y13" s="110">
        <v>5.2631578947368418E-2</v>
      </c>
      <c r="Z13" s="110">
        <v>5.2631578947368418E-2</v>
      </c>
      <c r="AA13" s="110">
        <v>5.2631578947368418E-2</v>
      </c>
      <c r="AB13" s="110">
        <v>5.2631578947368418E-2</v>
      </c>
      <c r="AC13" s="110">
        <v>5.2631578947368418E-2</v>
      </c>
      <c r="AD13" s="110">
        <v>5.2631578947368418E-2</v>
      </c>
      <c r="AE13" s="110">
        <v>3.2258064516129031E-2</v>
      </c>
      <c r="AF13" s="111">
        <v>3.2258064516129031E-2</v>
      </c>
      <c r="AG13" s="111">
        <v>3.2258064516129031E-2</v>
      </c>
      <c r="AH13" s="172">
        <v>5000000</v>
      </c>
      <c r="AI13" s="272">
        <v>5000000</v>
      </c>
      <c r="AJ13" s="272">
        <v>5000000</v>
      </c>
      <c r="AK13" s="272">
        <v>5000000</v>
      </c>
      <c r="AL13" s="272">
        <v>5000000</v>
      </c>
      <c r="AM13" s="272">
        <v>5000000</v>
      </c>
      <c r="AN13" s="272">
        <v>5000000</v>
      </c>
      <c r="AO13" s="272">
        <v>5000000</v>
      </c>
      <c r="AP13" s="272">
        <v>3000000</v>
      </c>
      <c r="AQ13" s="275">
        <v>3000000</v>
      </c>
      <c r="AR13" s="275">
        <v>3000000</v>
      </c>
    </row>
    <row r="14" spans="1:44" ht="16.8" thickBot="1">
      <c r="A14" s="1">
        <v>1</v>
      </c>
      <c r="B14" s="46" t="s">
        <v>68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6" t="s">
        <v>102</v>
      </c>
      <c r="M14" s="108">
        <v>0.3</v>
      </c>
      <c r="N14" s="168">
        <v>30000000</v>
      </c>
      <c r="O14" s="127">
        <f>T15</f>
        <v>599.1422445234839</v>
      </c>
      <c r="P14" s="1"/>
      <c r="Q14" s="1"/>
      <c r="R14" s="1"/>
      <c r="S14" s="125" t="s">
        <v>216</v>
      </c>
      <c r="T14" s="298">
        <f>SUMPRODUCT(Q3:Q13, R3:R13)</f>
        <v>11.652173893147449</v>
      </c>
      <c r="U14" s="1"/>
      <c r="V14" s="112" t="s">
        <v>215</v>
      </c>
      <c r="W14" s="295">
        <f t="shared" ref="W14:AG14" si="3">SUMPRODUCT($V$3:$V$13,_xlfn.ANCHORARRAY(W3))</f>
        <v>57.10526315789474</v>
      </c>
      <c r="X14" s="296">
        <f t="shared" si="3"/>
        <v>57.10526315789474</v>
      </c>
      <c r="Y14" s="296">
        <f t="shared" si="3"/>
        <v>57.10526315789474</v>
      </c>
      <c r="Z14" s="296">
        <f t="shared" si="3"/>
        <v>57.10526315789474</v>
      </c>
      <c r="AA14" s="296">
        <f t="shared" si="3"/>
        <v>57.10526315789474</v>
      </c>
      <c r="AB14" s="296">
        <f t="shared" si="3"/>
        <v>57.10526315789474</v>
      </c>
      <c r="AC14" s="296">
        <f t="shared" si="3"/>
        <v>57.10526315789474</v>
      </c>
      <c r="AD14" s="296">
        <f t="shared" si="3"/>
        <v>57.10526315789474</v>
      </c>
      <c r="AE14" s="296">
        <f t="shared" si="3"/>
        <v>47.58064516129032</v>
      </c>
      <c r="AF14" s="296">
        <f t="shared" si="3"/>
        <v>47.58064516129032</v>
      </c>
      <c r="AG14" s="297">
        <f t="shared" si="3"/>
        <v>47.58064516129032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6.8" thickBot="1">
      <c r="A15" s="1">
        <v>1</v>
      </c>
      <c r="B15" s="46" t="s">
        <v>69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278" t="s">
        <v>218</v>
      </c>
      <c r="O15" s="299">
        <f>SUMPRODUCT(M3:M14, O3:O14)</f>
        <v>251.74267335704516</v>
      </c>
      <c r="P15" s="1"/>
      <c r="Q15" s="1"/>
      <c r="R15" s="1"/>
      <c r="S15" s="123" t="s">
        <v>217</v>
      </c>
      <c r="T15" s="127" cm="1">
        <f t="array" ref="T15">SUMPRODUCT(Q3:Q13*_xlfn.ANCHORARRAY(T3),_xlfn.ANCHORARRAY(R3))</f>
        <v>599.1422445234839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70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71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72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180</v>
      </c>
      <c r="M18" s="177"/>
      <c r="N18" s="174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73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4" t="str" cm="1">
        <f t="array" ref="L19:L31">L2:L14</f>
        <v>R4 Multiplier</v>
      </c>
      <c r="M19" s="124" t="s">
        <v>219</v>
      </c>
      <c r="N19" s="124" t="s">
        <v>220</v>
      </c>
      <c r="O19" s="124" t="s">
        <v>119</v>
      </c>
      <c r="P19" s="1"/>
      <c r="Q19" s="1"/>
      <c r="R19" s="1"/>
      <c r="S19" s="1"/>
    </row>
    <row r="20" spans="1:19" ht="16.8" thickBot="1">
      <c r="A20" s="1">
        <v>1</v>
      </c>
      <c r="B20" s="91" t="s">
        <v>74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5">
        <v>1</v>
      </c>
      <c r="M20" s="107">
        <v>0</v>
      </c>
      <c r="N20" s="259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2">
        <v>2</v>
      </c>
      <c r="M21" s="107">
        <v>0</v>
      </c>
      <c r="N21" s="260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2">
        <v>3</v>
      </c>
      <c r="M22" s="107">
        <v>0</v>
      </c>
      <c r="N22" s="260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Symbol'!C18:E18)</f>
        <v>5218521</v>
      </c>
      <c r="D23" s="327"/>
      <c r="E23" s="327"/>
      <c r="F23" s="327"/>
      <c r="G23" s="327"/>
      <c r="H23" s="1"/>
      <c r="I23" s="33"/>
      <c r="J23" s="33"/>
      <c r="K23" s="34"/>
      <c r="L23" s="122">
        <v>5</v>
      </c>
      <c r="M23" s="107">
        <v>0</v>
      </c>
      <c r="N23" s="260">
        <v>0</v>
      </c>
      <c r="O23" s="1"/>
      <c r="P23" s="1"/>
      <c r="Q23" s="1"/>
      <c r="R23" s="1"/>
      <c r="S23" s="1"/>
    </row>
    <row r="24" spans="1:19" ht="16.8" thickBot="1">
      <c r="A24" s="1" t="s">
        <v>75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2">
        <v>10</v>
      </c>
      <c r="M24" s="107">
        <v>4.259723E-2</v>
      </c>
      <c r="N24" s="260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67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2">
        <v>15</v>
      </c>
      <c r="M25" s="107">
        <v>2.802112E-2</v>
      </c>
      <c r="N25" s="260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68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2">
        <v>20</v>
      </c>
      <c r="M26" s="107">
        <v>3.6643179999999997E-2</v>
      </c>
      <c r="N26" s="260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69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2">
        <v>25</v>
      </c>
      <c r="M27" s="107">
        <v>2.239128E-2</v>
      </c>
      <c r="N27" s="260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70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2">
        <v>50</v>
      </c>
      <c r="M28" s="107">
        <v>5.8166600000000004E-3</v>
      </c>
      <c r="N28" s="260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71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2">
        <v>100</v>
      </c>
      <c r="M29" s="107">
        <v>2.20609E-3</v>
      </c>
      <c r="N29" s="260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72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2">
        <v>500</v>
      </c>
      <c r="M30" s="107">
        <v>6.2189999999999999E-5</v>
      </c>
      <c r="N30" s="260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73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6" t="str">
        <v>Re-spin</v>
      </c>
      <c r="M31" s="108">
        <v>7.9484937604323985E-3</v>
      </c>
      <c r="N31" s="261">
        <v>125.80999999999999</v>
      </c>
      <c r="O31" s="1">
        <v>4.8899999999999997</v>
      </c>
      <c r="P31" s="1"/>
      <c r="Q31" s="1"/>
      <c r="R31" s="1"/>
      <c r="S31" s="1"/>
    </row>
    <row r="32" spans="1:19" ht="16.8" thickBot="1">
      <c r="A32" s="1">
        <v>2</v>
      </c>
      <c r="B32" s="91" t="s">
        <v>74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Symbol'!C18:E18)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75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67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68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69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70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71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72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73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74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Symbol'!C18:E18)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75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67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68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69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70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71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72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73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74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Symbol'!C18:E18)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75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67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68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69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70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71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72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73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74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9" priority="2" operator="equal">
      <formula>0</formula>
    </cfRule>
  </conditionalFormatting>
  <conditionalFormatting sqref="M20:N31">
    <cfRule type="cellIs" dxfId="18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workbookViewId="0">
      <selection activeCell="H9" sqref="H9"/>
    </sheetView>
  </sheetViews>
  <sheetFormatPr defaultColWidth="15.33203125" defaultRowHeight="16.2" outlineLevelCol="1"/>
  <cols>
    <col min="2" max="2" width="19.77734375" bestFit="1" customWidth="1"/>
    <col min="3" max="3" width="9.33203125" customWidth="1"/>
    <col min="4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3" width="17.5546875" customWidth="1"/>
    <col min="14" max="14" width="21.88671875" bestFit="1" customWidth="1"/>
    <col min="15" max="15" width="18.77734375" bestFit="1" customWidth="1"/>
    <col min="16" max="16" width="16.77734375" bestFit="1" customWidth="1"/>
    <col min="17" max="17" width="21.88671875" bestFit="1" customWidth="1"/>
    <col min="19" max="19" width="30.21875" bestFit="1" customWidth="1"/>
    <col min="22" max="22" width="21.218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4" t="s">
        <v>112</v>
      </c>
      <c r="C1" s="135">
        <v>250</v>
      </c>
      <c r="D1" s="1"/>
      <c r="E1" s="1"/>
      <c r="F1" s="1"/>
      <c r="G1" s="1"/>
      <c r="H1" s="2" t="s">
        <v>76</v>
      </c>
      <c r="I1" s="20">
        <f ca="1">SUM(I12:I68)</f>
        <v>2.8068527462091269E-3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77</v>
      </c>
      <c r="I2" s="20">
        <f ca="1">SUM(_xlfn.ANCHORARRAY(O21))</f>
        <v>1.8532863592875257</v>
      </c>
      <c r="J2" s="33"/>
      <c r="K2" s="152"/>
      <c r="L2" s="124" t="s">
        <v>210</v>
      </c>
      <c r="M2" s="124" t="s">
        <v>204</v>
      </c>
      <c r="N2" s="124" t="s">
        <v>211</v>
      </c>
      <c r="O2" s="124" t="s">
        <v>212</v>
      </c>
      <c r="P2" s="1"/>
      <c r="Q2" s="112" t="s">
        <v>99</v>
      </c>
      <c r="R2" s="124" t="s">
        <v>204</v>
      </c>
      <c r="S2" s="124" t="s">
        <v>211</v>
      </c>
      <c r="T2" s="124" t="s">
        <v>213</v>
      </c>
      <c r="U2" s="1"/>
      <c r="V2" s="112" t="s">
        <v>214</v>
      </c>
      <c r="W2" s="116">
        <v>2</v>
      </c>
      <c r="X2" s="117">
        <v>3</v>
      </c>
      <c r="Y2" s="117">
        <v>4</v>
      </c>
      <c r="Z2" s="117">
        <v>5</v>
      </c>
      <c r="AA2" s="117">
        <v>6</v>
      </c>
      <c r="AB2" s="117">
        <v>7</v>
      </c>
      <c r="AC2" s="117">
        <v>8</v>
      </c>
      <c r="AD2" s="117">
        <v>9</v>
      </c>
      <c r="AE2" s="117">
        <v>10</v>
      </c>
      <c r="AF2" s="117">
        <v>20</v>
      </c>
      <c r="AG2" s="117">
        <v>50</v>
      </c>
      <c r="AH2" s="276">
        <v>2</v>
      </c>
      <c r="AI2" s="277">
        <v>3</v>
      </c>
      <c r="AJ2" s="277">
        <v>4</v>
      </c>
      <c r="AK2" s="276">
        <v>5</v>
      </c>
      <c r="AL2" s="277">
        <v>6</v>
      </c>
      <c r="AM2" s="277">
        <v>7</v>
      </c>
      <c r="AN2" s="276">
        <v>8</v>
      </c>
      <c r="AO2" s="277">
        <v>9</v>
      </c>
      <c r="AP2" s="277">
        <v>10</v>
      </c>
      <c r="AQ2" s="276">
        <v>20</v>
      </c>
      <c r="AR2" s="277">
        <v>50</v>
      </c>
    </row>
    <row r="3" spans="1:44" ht="16.8" thickBot="1">
      <c r="A3" s="1"/>
      <c r="B3" s="112" t="s">
        <v>132</v>
      </c>
      <c r="C3" s="163" t="s">
        <v>1</v>
      </c>
      <c r="D3" s="163" t="s">
        <v>2</v>
      </c>
      <c r="E3" s="156" t="s">
        <v>3</v>
      </c>
      <c r="F3" s="1"/>
      <c r="G3" s="1"/>
      <c r="H3" s="2" t="s">
        <v>144</v>
      </c>
      <c r="I3" s="20">
        <v>5</v>
      </c>
      <c r="J3" s="33"/>
      <c r="K3" s="69"/>
      <c r="L3" s="125">
        <v>1</v>
      </c>
      <c r="M3" s="107" cm="1">
        <f t="array" ref="M3:M14">N3:N14/SUM(N3:N14)</f>
        <v>0</v>
      </c>
      <c r="N3" s="166">
        <v>0</v>
      </c>
      <c r="O3" s="125" cm="1">
        <f t="array" ref="O3:O13">L3:L13</f>
        <v>1</v>
      </c>
      <c r="P3" s="26"/>
      <c r="Q3" s="113">
        <v>2</v>
      </c>
      <c r="R3" s="107" cm="1">
        <f t="array" ref="R3:R13">S3:S13/SUM(S3:S13)</f>
        <v>0</v>
      </c>
      <c r="S3" s="169">
        <v>0</v>
      </c>
      <c r="T3" s="292" cm="1">
        <f t="array" ref="T3:T13">_xlfn.XLOOKUP(Q3:Q13,W2:AG2,W14:AG14)</f>
        <v>24.37962962962963</v>
      </c>
      <c r="U3" s="26"/>
      <c r="V3" s="113">
        <v>1</v>
      </c>
      <c r="W3" s="118" cm="1">
        <f t="array" ref="W3:W13">AH3:AH13/SUM(AH3:AH13)</f>
        <v>0</v>
      </c>
      <c r="X3" s="119" cm="1">
        <f t="array" ref="X3:X13">AI3:AI13/SUM(AI3:AI13)</f>
        <v>0</v>
      </c>
      <c r="Y3" s="119" cm="1">
        <f t="array" ref="Y3:Y13">AJ3:AJ13/SUM(AJ3:AJ13)</f>
        <v>0</v>
      </c>
      <c r="Z3" s="119" cm="1">
        <f t="array" ref="Z3:Z13">AK3:AK13/SUM(AK3:AK13)</f>
        <v>0</v>
      </c>
      <c r="AA3" s="119" cm="1">
        <f t="array" ref="AA3:AA13">AL3:AL13/SUM(AL3:AL13)</f>
        <v>0</v>
      </c>
      <c r="AB3" s="119" cm="1">
        <f t="array" ref="AB3:AB13">AM3:AM13/SUM(AM3:AM13)</f>
        <v>0</v>
      </c>
      <c r="AC3" s="119" cm="1">
        <f t="array" ref="AC3:AC13">AN3:AN13/SUM(AN3:AN13)</f>
        <v>0</v>
      </c>
      <c r="AD3" s="119" cm="1">
        <f t="array" ref="AD3:AD13">AO3:AO13/SUM(AO3:AO13)</f>
        <v>0</v>
      </c>
      <c r="AE3" s="119" cm="1">
        <f t="array" ref="AE3:AE13">AP3:AP13/SUM(AP3:AP13)</f>
        <v>0</v>
      </c>
      <c r="AF3" s="119" cm="1">
        <f t="array" ref="AF3:AF13">AQ3:AQ13/SUM(AQ3:AQ13)</f>
        <v>0</v>
      </c>
      <c r="AG3" s="119" cm="1">
        <f t="array" ref="AG3:AG13">AR3:AR13/SUM(AR3:AR13)</f>
        <v>0</v>
      </c>
      <c r="AH3" s="273">
        <v>0</v>
      </c>
      <c r="AI3" s="270">
        <v>0</v>
      </c>
      <c r="AJ3" s="270">
        <v>0</v>
      </c>
      <c r="AK3" s="270">
        <v>0</v>
      </c>
      <c r="AL3" s="270">
        <v>0</v>
      </c>
      <c r="AM3" s="270">
        <v>0</v>
      </c>
      <c r="AN3" s="270">
        <v>0</v>
      </c>
      <c r="AO3" s="270">
        <v>0</v>
      </c>
      <c r="AP3" s="270">
        <v>0</v>
      </c>
      <c r="AQ3" s="270">
        <v>0</v>
      </c>
      <c r="AR3" s="270">
        <v>0</v>
      </c>
    </row>
    <row r="4" spans="1:44">
      <c r="A4" s="1"/>
      <c r="B4" s="125">
        <v>1</v>
      </c>
      <c r="C4" s="155">
        <v>0</v>
      </c>
      <c r="D4" s="163">
        <v>0</v>
      </c>
      <c r="E4" s="156">
        <v>0</v>
      </c>
      <c r="F4" s="1"/>
      <c r="G4" s="1"/>
      <c r="H4" s="2" t="s">
        <v>191</v>
      </c>
      <c r="I4" s="20">
        <v>0.20476417</v>
      </c>
      <c r="J4" s="33"/>
      <c r="K4" s="33"/>
      <c r="L4" s="122">
        <v>2</v>
      </c>
      <c r="M4" s="107">
        <v>2.8340080971659919E-2</v>
      </c>
      <c r="N4" s="167">
        <v>7000000</v>
      </c>
      <c r="O4" s="122">
        <v>2</v>
      </c>
      <c r="P4" s="26"/>
      <c r="Q4" s="114">
        <v>3</v>
      </c>
      <c r="R4" s="107">
        <v>0.11503067484662577</v>
      </c>
      <c r="S4" s="170">
        <v>150000000</v>
      </c>
      <c r="T4" s="293">
        <v>16.66477272727273</v>
      </c>
      <c r="U4" s="1"/>
      <c r="V4" s="114">
        <v>2</v>
      </c>
      <c r="W4" s="120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09">
        <v>0</v>
      </c>
      <c r="AG4" s="109">
        <v>0</v>
      </c>
      <c r="AH4" s="171">
        <v>0</v>
      </c>
      <c r="AI4" s="271">
        <v>0</v>
      </c>
      <c r="AJ4" s="271">
        <v>0</v>
      </c>
      <c r="AK4" s="271">
        <v>0</v>
      </c>
      <c r="AL4" s="271">
        <v>0</v>
      </c>
      <c r="AM4" s="271">
        <v>0</v>
      </c>
      <c r="AN4" s="271">
        <v>0</v>
      </c>
      <c r="AO4" s="271">
        <v>0</v>
      </c>
      <c r="AP4" s="271">
        <v>0</v>
      </c>
      <c r="AQ4" s="274">
        <v>0</v>
      </c>
      <c r="AR4" s="274">
        <v>0</v>
      </c>
    </row>
    <row r="5" spans="1:44">
      <c r="A5" s="1"/>
      <c r="B5" s="122">
        <v>2</v>
      </c>
      <c r="C5" s="157">
        <v>1</v>
      </c>
      <c r="D5" s="30">
        <v>1</v>
      </c>
      <c r="E5" s="158">
        <v>1</v>
      </c>
      <c r="F5" s="1"/>
      <c r="G5" s="1"/>
      <c r="H5" s="2" t="s">
        <v>200</v>
      </c>
      <c r="I5" s="20"/>
      <c r="J5" s="33"/>
      <c r="K5" s="33"/>
      <c r="L5" s="122">
        <v>3</v>
      </c>
      <c r="M5" s="107">
        <v>4.048582995951417E-2</v>
      </c>
      <c r="N5" s="167">
        <v>10000000</v>
      </c>
      <c r="O5" s="122">
        <v>3</v>
      </c>
      <c r="P5" s="26"/>
      <c r="Q5" s="114">
        <v>4</v>
      </c>
      <c r="R5" s="107">
        <v>0.11503067484662577</v>
      </c>
      <c r="S5" s="170">
        <v>150000000</v>
      </c>
      <c r="T5" s="293">
        <v>16.66477272727273</v>
      </c>
      <c r="U5" s="1"/>
      <c r="V5" s="114">
        <v>3</v>
      </c>
      <c r="W5" s="120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09">
        <v>0.13192612137203166</v>
      </c>
      <c r="AG5" s="109">
        <v>0.13192612137203166</v>
      </c>
      <c r="AH5" s="171">
        <v>0</v>
      </c>
      <c r="AI5" s="271">
        <v>50000000</v>
      </c>
      <c r="AJ5" s="271">
        <v>50000000</v>
      </c>
      <c r="AK5" s="271">
        <v>50000000</v>
      </c>
      <c r="AL5" s="271">
        <v>50000000</v>
      </c>
      <c r="AM5" s="271">
        <v>50000000</v>
      </c>
      <c r="AN5" s="271">
        <v>50000000</v>
      </c>
      <c r="AO5" s="271">
        <v>50000000</v>
      </c>
      <c r="AP5" s="271">
        <v>50000000</v>
      </c>
      <c r="AQ5" s="274">
        <v>50000000</v>
      </c>
      <c r="AR5" s="274">
        <v>50000000</v>
      </c>
    </row>
    <row r="6" spans="1:44">
      <c r="A6" s="1"/>
      <c r="B6" s="122">
        <v>3</v>
      </c>
      <c r="C6" s="157">
        <v>2</v>
      </c>
      <c r="D6" s="30">
        <v>2</v>
      </c>
      <c r="E6" s="158">
        <v>2</v>
      </c>
      <c r="F6" s="1"/>
      <c r="G6" s="1"/>
      <c r="H6" s="2"/>
      <c r="I6" s="20"/>
      <c r="J6" s="33"/>
      <c r="K6" s="33"/>
      <c r="L6" s="122">
        <v>5</v>
      </c>
      <c r="M6" s="107">
        <v>6.0728744939271252E-2</v>
      </c>
      <c r="N6" s="167">
        <v>15000000</v>
      </c>
      <c r="O6" s="122">
        <v>5</v>
      </c>
      <c r="P6" s="26"/>
      <c r="Q6" s="114">
        <v>5</v>
      </c>
      <c r="R6" s="107">
        <v>0.11503067484662577</v>
      </c>
      <c r="S6" s="170">
        <v>150000000</v>
      </c>
      <c r="T6" s="293">
        <v>17.447229551451187</v>
      </c>
      <c r="U6" s="26"/>
      <c r="V6" s="114">
        <v>5</v>
      </c>
      <c r="W6" s="120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09">
        <v>0.31662269129287601</v>
      </c>
      <c r="AG6" s="109">
        <v>0.31662269129287601</v>
      </c>
      <c r="AH6" s="171">
        <v>0</v>
      </c>
      <c r="AI6" s="271">
        <v>120000000</v>
      </c>
      <c r="AJ6" s="271">
        <v>120000000</v>
      </c>
      <c r="AK6" s="271">
        <v>120000000</v>
      </c>
      <c r="AL6" s="271">
        <v>120000000</v>
      </c>
      <c r="AM6" s="271">
        <v>120000000</v>
      </c>
      <c r="AN6" s="271">
        <v>120000000</v>
      </c>
      <c r="AO6" s="271">
        <v>120000000</v>
      </c>
      <c r="AP6" s="271">
        <v>120000000</v>
      </c>
      <c r="AQ6" s="274">
        <v>120000000</v>
      </c>
      <c r="AR6" s="274">
        <v>120000000</v>
      </c>
    </row>
    <row r="7" spans="1:44">
      <c r="A7" s="1"/>
      <c r="B7" s="122">
        <v>4</v>
      </c>
      <c r="C7" s="157">
        <v>0</v>
      </c>
      <c r="D7" s="30">
        <v>1</v>
      </c>
      <c r="E7" s="158">
        <v>2</v>
      </c>
      <c r="F7" s="1"/>
      <c r="G7" s="1"/>
      <c r="H7" s="2"/>
      <c r="I7" s="20"/>
      <c r="J7" s="33"/>
      <c r="K7" s="33"/>
      <c r="L7" s="122">
        <v>10</v>
      </c>
      <c r="M7" s="107">
        <v>6.0728744939271252E-2</v>
      </c>
      <c r="N7" s="167">
        <v>15000000</v>
      </c>
      <c r="O7" s="122">
        <v>10</v>
      </c>
      <c r="P7" s="26"/>
      <c r="Q7" s="114">
        <v>6</v>
      </c>
      <c r="R7" s="107">
        <v>0.11503067484662577</v>
      </c>
      <c r="S7" s="170">
        <v>150000000</v>
      </c>
      <c r="T7" s="293">
        <v>17.447229551451187</v>
      </c>
      <c r="U7" s="1"/>
      <c r="V7" s="114">
        <v>10</v>
      </c>
      <c r="W7" s="120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09">
        <v>0.23746701846965698</v>
      </c>
      <c r="AG7" s="109">
        <v>0.23746701846965698</v>
      </c>
      <c r="AH7" s="171">
        <v>120000000</v>
      </c>
      <c r="AI7" s="271">
        <v>120000000</v>
      </c>
      <c r="AJ7" s="271">
        <v>120000000</v>
      </c>
      <c r="AK7" s="271">
        <v>90000000</v>
      </c>
      <c r="AL7" s="271">
        <v>90000000</v>
      </c>
      <c r="AM7" s="271">
        <v>90000000</v>
      </c>
      <c r="AN7" s="271">
        <v>90000000</v>
      </c>
      <c r="AO7" s="271">
        <v>90000000</v>
      </c>
      <c r="AP7" s="271">
        <v>90000000</v>
      </c>
      <c r="AQ7" s="274">
        <v>90000000</v>
      </c>
      <c r="AR7" s="274">
        <v>90000000</v>
      </c>
    </row>
    <row r="8" spans="1:44" ht="16.8" thickBot="1">
      <c r="A8" s="1"/>
      <c r="B8" s="123">
        <v>5</v>
      </c>
      <c r="C8" s="159">
        <v>2</v>
      </c>
      <c r="D8" s="164">
        <v>1</v>
      </c>
      <c r="E8" s="160">
        <v>0</v>
      </c>
      <c r="F8" s="1"/>
      <c r="G8" s="1"/>
      <c r="H8" s="2"/>
      <c r="I8" s="20"/>
      <c r="J8" s="33"/>
      <c r="K8" s="33"/>
      <c r="L8" s="122">
        <v>15</v>
      </c>
      <c r="M8" s="107">
        <v>6.0728744939271252E-2</v>
      </c>
      <c r="N8" s="167">
        <v>15000000</v>
      </c>
      <c r="O8" s="122">
        <v>15</v>
      </c>
      <c r="P8" s="26"/>
      <c r="Q8" s="114">
        <v>7</v>
      </c>
      <c r="R8" s="107">
        <v>0.11503067484662577</v>
      </c>
      <c r="S8" s="170">
        <v>150000000</v>
      </c>
      <c r="T8" s="293">
        <v>17.447229551451187</v>
      </c>
      <c r="U8" s="1"/>
      <c r="V8" s="114">
        <v>15</v>
      </c>
      <c r="W8" s="120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09">
        <v>0.13192612137203166</v>
      </c>
      <c r="AG8" s="109">
        <v>0.13192612137203166</v>
      </c>
      <c r="AH8" s="171">
        <v>90000000</v>
      </c>
      <c r="AI8" s="271">
        <v>90000000</v>
      </c>
      <c r="AJ8" s="271">
        <v>90000000</v>
      </c>
      <c r="AK8" s="271">
        <v>50000000</v>
      </c>
      <c r="AL8" s="271">
        <v>50000000</v>
      </c>
      <c r="AM8" s="271">
        <v>50000000</v>
      </c>
      <c r="AN8" s="271">
        <v>50000000</v>
      </c>
      <c r="AO8" s="271">
        <v>50000000</v>
      </c>
      <c r="AP8" s="271">
        <v>50000000</v>
      </c>
      <c r="AQ8" s="274">
        <v>50000000</v>
      </c>
      <c r="AR8" s="274">
        <v>50000000</v>
      </c>
    </row>
    <row r="9" spans="1:44">
      <c r="A9" s="1"/>
      <c r="B9" s="1"/>
      <c r="C9" s="165">
        <v>1</v>
      </c>
      <c r="D9" s="165">
        <v>4</v>
      </c>
      <c r="E9" s="165">
        <v>7</v>
      </c>
      <c r="F9" s="1"/>
      <c r="G9" s="1"/>
      <c r="H9" s="2"/>
      <c r="I9" s="20"/>
      <c r="J9" s="33"/>
      <c r="K9" s="33"/>
      <c r="L9" s="122">
        <v>20</v>
      </c>
      <c r="M9" s="107">
        <v>6.0728744939271252E-2</v>
      </c>
      <c r="N9" s="167">
        <v>15000000</v>
      </c>
      <c r="O9" s="122">
        <v>20</v>
      </c>
      <c r="P9" s="26"/>
      <c r="Q9" s="114">
        <v>8</v>
      </c>
      <c r="R9" s="107">
        <v>0.11503067484662577</v>
      </c>
      <c r="S9" s="170">
        <v>150000000</v>
      </c>
      <c r="T9" s="293">
        <v>17.447229551451187</v>
      </c>
      <c r="U9" s="1"/>
      <c r="V9" s="114">
        <v>20</v>
      </c>
      <c r="W9" s="120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09">
        <v>7.9155672823219003E-2</v>
      </c>
      <c r="AG9" s="109">
        <v>7.9155672823219003E-2</v>
      </c>
      <c r="AH9" s="171">
        <v>21000000</v>
      </c>
      <c r="AI9" s="271">
        <v>21000000</v>
      </c>
      <c r="AJ9" s="271">
        <v>21000000</v>
      </c>
      <c r="AK9" s="271">
        <v>30000000</v>
      </c>
      <c r="AL9" s="271">
        <v>30000000</v>
      </c>
      <c r="AM9" s="271">
        <v>30000000</v>
      </c>
      <c r="AN9" s="271">
        <v>30000000</v>
      </c>
      <c r="AO9" s="271">
        <v>30000000</v>
      </c>
      <c r="AP9" s="271">
        <v>30000000</v>
      </c>
      <c r="AQ9" s="274">
        <v>30000000</v>
      </c>
      <c r="AR9" s="274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2">
        <v>25</v>
      </c>
      <c r="M10" s="107">
        <v>2.0242914979757085E-2</v>
      </c>
      <c r="N10" s="167">
        <v>5000000</v>
      </c>
      <c r="O10" s="122">
        <v>25</v>
      </c>
      <c r="P10" s="26"/>
      <c r="Q10" s="114">
        <v>9</v>
      </c>
      <c r="R10" s="107">
        <v>0.11503067484662577</v>
      </c>
      <c r="S10" s="170">
        <v>150000000</v>
      </c>
      <c r="T10" s="293">
        <v>17.447229551451187</v>
      </c>
      <c r="U10" s="1"/>
      <c r="V10" s="114">
        <v>25</v>
      </c>
      <c r="W10" s="120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09">
        <v>3.5620052770448551E-2</v>
      </c>
      <c r="AG10" s="109">
        <v>3.5620052770448551E-2</v>
      </c>
      <c r="AH10" s="171">
        <v>13500000</v>
      </c>
      <c r="AI10" s="271">
        <v>13500000</v>
      </c>
      <c r="AJ10" s="271">
        <v>13500000</v>
      </c>
      <c r="AK10" s="271">
        <v>13500000</v>
      </c>
      <c r="AL10" s="271">
        <v>13500000</v>
      </c>
      <c r="AM10" s="271">
        <v>13500000</v>
      </c>
      <c r="AN10" s="271">
        <v>13500000</v>
      </c>
      <c r="AO10" s="271">
        <v>13500000</v>
      </c>
      <c r="AP10" s="271">
        <v>13500000</v>
      </c>
      <c r="AQ10" s="274">
        <v>13500000</v>
      </c>
      <c r="AR10" s="274">
        <v>13500000</v>
      </c>
    </row>
    <row r="11" spans="1:44" ht="16.8" thickBot="1">
      <c r="A11" s="1"/>
      <c r="B11" s="61" t="s">
        <v>53</v>
      </c>
      <c r="C11" s="327">
        <f>PRODUCT('Regular Symbol'!C96:E96)</f>
        <v>5218521</v>
      </c>
      <c r="D11" s="327"/>
      <c r="E11" s="327"/>
      <c r="F11" s="327"/>
      <c r="G11" s="327"/>
      <c r="H11" s="1"/>
      <c r="I11" s="33"/>
      <c r="J11" s="33"/>
      <c r="K11" s="33"/>
      <c r="L11" s="122">
        <v>50</v>
      </c>
      <c r="M11" s="107">
        <v>2.0242914979757085E-2</v>
      </c>
      <c r="N11" s="167">
        <v>5000000</v>
      </c>
      <c r="O11" s="122">
        <v>50</v>
      </c>
      <c r="P11" s="26"/>
      <c r="Q11" s="114">
        <v>10</v>
      </c>
      <c r="R11" s="107">
        <v>0.15337423312883436</v>
      </c>
      <c r="S11" s="170">
        <v>200000000</v>
      </c>
      <c r="T11" s="293">
        <v>17.447229551451187</v>
      </c>
      <c r="U11" s="1"/>
      <c r="V11" s="114">
        <v>50</v>
      </c>
      <c r="W11" s="120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09">
        <v>3.5620052770448551E-2</v>
      </c>
      <c r="AG11" s="109">
        <v>3.5620052770448551E-2</v>
      </c>
      <c r="AH11" s="171">
        <v>13500000</v>
      </c>
      <c r="AI11" s="271">
        <v>13500000</v>
      </c>
      <c r="AJ11" s="271">
        <v>13500000</v>
      </c>
      <c r="AK11" s="271">
        <v>13500000</v>
      </c>
      <c r="AL11" s="271">
        <v>13500000</v>
      </c>
      <c r="AM11" s="271">
        <v>13500000</v>
      </c>
      <c r="AN11" s="271">
        <v>13500000</v>
      </c>
      <c r="AO11" s="271">
        <v>13500000</v>
      </c>
      <c r="AP11" s="271">
        <v>13500000</v>
      </c>
      <c r="AQ11" s="274">
        <v>13500000</v>
      </c>
      <c r="AR11" s="274">
        <v>13500000</v>
      </c>
    </row>
    <row r="12" spans="1:44" ht="16.8" thickBot="1">
      <c r="A12" s="1" t="s">
        <v>75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2">
        <v>100</v>
      </c>
      <c r="M12" s="107">
        <v>2.0242914979757085E-2</v>
      </c>
      <c r="N12" s="167">
        <v>5000000</v>
      </c>
      <c r="O12" s="122">
        <v>100</v>
      </c>
      <c r="P12" s="26"/>
      <c r="Q12" s="122">
        <v>20</v>
      </c>
      <c r="R12" s="107">
        <v>3.834355828220859E-2</v>
      </c>
      <c r="S12" s="167">
        <v>50000000</v>
      </c>
      <c r="T12" s="294">
        <v>17.447229551451187</v>
      </c>
      <c r="U12" s="1"/>
      <c r="V12" s="114">
        <v>100</v>
      </c>
      <c r="W12" s="120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09">
        <v>2.2427440633245383E-2</v>
      </c>
      <c r="AG12" s="109">
        <v>2.2427440633245383E-2</v>
      </c>
      <c r="AH12" s="171">
        <v>8500000</v>
      </c>
      <c r="AI12" s="271">
        <v>8500000</v>
      </c>
      <c r="AJ12" s="271">
        <v>8500000</v>
      </c>
      <c r="AK12" s="271">
        <v>8500000</v>
      </c>
      <c r="AL12" s="271">
        <v>8500000</v>
      </c>
      <c r="AM12" s="271">
        <v>8500000</v>
      </c>
      <c r="AN12" s="271">
        <v>8500000</v>
      </c>
      <c r="AO12" s="271">
        <v>8500000</v>
      </c>
      <c r="AP12" s="271">
        <v>8500000</v>
      </c>
      <c r="AQ12" s="274">
        <v>8500000</v>
      </c>
      <c r="AR12" s="274">
        <v>8500000</v>
      </c>
    </row>
    <row r="13" spans="1:44" ht="16.8" thickBot="1">
      <c r="A13" s="1">
        <v>1</v>
      </c>
      <c r="B13" s="41" t="s">
        <v>67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Overview!B41:B48</f>
        <v>5</v>
      </c>
      <c r="I13" s="95">
        <f t="shared" ref="I13:I20" si="1">J13*H13/$C$1</f>
        <v>1.521120639353564E-5</v>
      </c>
      <c r="J13" s="66">
        <f t="shared" ref="J13:J20" si="2">F13/C$11</f>
        <v>7.6056031967678198E-4</v>
      </c>
      <c r="K13" s="67"/>
      <c r="L13" s="122">
        <v>500</v>
      </c>
      <c r="M13" s="107">
        <v>2.0242914979757085E-2</v>
      </c>
      <c r="N13" s="167">
        <v>5000000</v>
      </c>
      <c r="O13" s="122">
        <v>500</v>
      </c>
      <c r="P13" s="26"/>
      <c r="Q13" s="123">
        <v>50</v>
      </c>
      <c r="R13" s="108">
        <v>3.0674846625766872E-3</v>
      </c>
      <c r="S13" s="168">
        <v>4000000</v>
      </c>
      <c r="T13" s="127">
        <v>17.447229551451187</v>
      </c>
      <c r="U13" s="1"/>
      <c r="V13" s="115">
        <v>500</v>
      </c>
      <c r="W13" s="121">
        <v>1.2962962962962963E-2</v>
      </c>
      <c r="X13" s="110">
        <v>7.9545454545454537E-3</v>
      </c>
      <c r="Y13" s="110">
        <v>7.9545454545454537E-3</v>
      </c>
      <c r="Z13" s="110">
        <v>9.2348284960422165E-3</v>
      </c>
      <c r="AA13" s="110">
        <v>9.2348284960422165E-3</v>
      </c>
      <c r="AB13" s="110">
        <v>9.2348284960422165E-3</v>
      </c>
      <c r="AC13" s="110">
        <v>9.2348284960422165E-3</v>
      </c>
      <c r="AD13" s="110">
        <v>9.2348284960422165E-3</v>
      </c>
      <c r="AE13" s="110">
        <v>9.2348284960422165E-3</v>
      </c>
      <c r="AF13" s="111">
        <v>9.2348284960422165E-3</v>
      </c>
      <c r="AG13" s="111">
        <v>9.2348284960422165E-3</v>
      </c>
      <c r="AH13" s="172">
        <v>3500000</v>
      </c>
      <c r="AI13" s="272">
        <v>3500000</v>
      </c>
      <c r="AJ13" s="272">
        <v>3500000</v>
      </c>
      <c r="AK13" s="272">
        <v>3500000</v>
      </c>
      <c r="AL13" s="272">
        <v>3500000</v>
      </c>
      <c r="AM13" s="272">
        <v>3500000</v>
      </c>
      <c r="AN13" s="272">
        <v>3500000</v>
      </c>
      <c r="AO13" s="272">
        <v>3500000</v>
      </c>
      <c r="AP13" s="272">
        <v>3500000</v>
      </c>
      <c r="AQ13" s="275">
        <v>3500000</v>
      </c>
      <c r="AR13" s="275">
        <v>3500000</v>
      </c>
    </row>
    <row r="14" spans="1:44" ht="16.8" thickBot="1">
      <c r="A14" s="1">
        <v>1</v>
      </c>
      <c r="B14" s="46" t="s">
        <v>68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1.2745680241585693E-4</v>
      </c>
      <c r="J14" s="51">
        <f t="shared" si="2"/>
        <v>7.966050150991057E-3</v>
      </c>
      <c r="K14" s="34"/>
      <c r="L14" s="126" t="s">
        <v>102</v>
      </c>
      <c r="M14" s="108">
        <v>0.60728744939271251</v>
      </c>
      <c r="N14" s="168">
        <v>150000000</v>
      </c>
      <c r="O14" s="127">
        <f>T15</f>
        <v>126.47783824647155</v>
      </c>
      <c r="P14" s="1"/>
      <c r="Q14" s="1"/>
      <c r="R14" s="1"/>
      <c r="S14" s="125" t="s">
        <v>216</v>
      </c>
      <c r="T14" s="298">
        <f>SUMPRODUCT(Q3:Q13, R3:R13)</f>
        <v>7.2852760736196327</v>
      </c>
      <c r="U14" s="1"/>
      <c r="V14" s="112" t="s">
        <v>215</v>
      </c>
      <c r="W14" s="295">
        <f t="shared" ref="W14:AG14" si="3">SUMPRODUCT($V$3:$V$13,_xlfn.ANCHORARRAY(W3))</f>
        <v>24.37962962962963</v>
      </c>
      <c r="X14" s="296">
        <f t="shared" si="3"/>
        <v>16.66477272727273</v>
      </c>
      <c r="Y14" s="296">
        <f t="shared" si="3"/>
        <v>16.66477272727273</v>
      </c>
      <c r="Z14" s="296">
        <f t="shared" si="3"/>
        <v>17.447229551451187</v>
      </c>
      <c r="AA14" s="296">
        <f t="shared" si="3"/>
        <v>17.447229551451187</v>
      </c>
      <c r="AB14" s="296">
        <f t="shared" si="3"/>
        <v>17.447229551451187</v>
      </c>
      <c r="AC14" s="296">
        <f t="shared" si="3"/>
        <v>17.447229551451187</v>
      </c>
      <c r="AD14" s="296">
        <f t="shared" si="3"/>
        <v>17.447229551451187</v>
      </c>
      <c r="AE14" s="296">
        <f t="shared" si="3"/>
        <v>17.447229551451187</v>
      </c>
      <c r="AF14" s="296">
        <f t="shared" si="3"/>
        <v>17.447229551451187</v>
      </c>
      <c r="AG14" s="297">
        <f t="shared" si="3"/>
        <v>17.447229551451187</v>
      </c>
      <c r="AH14" s="1" cm="1">
        <f t="array" ref="AH14">AH2*SMALL(_xlfn.UNIQUE($V$3:$V$13*--(AH3:AH13&gt;0)),2)</f>
        <v>20</v>
      </c>
      <c r="AI14" s="1" cm="1">
        <f t="array" ref="AI14">AI2*SMALL(_xlfn.UNIQUE($V$3:$V$13*--(AI3:AI13&gt;0)),2)</f>
        <v>9</v>
      </c>
      <c r="AJ14" s="1" cm="1">
        <f t="array" ref="AJ14">AJ2*SMALL(_xlfn.UNIQUE($V$3:$V$13*--(AJ3:AJ13&gt;0)),2)</f>
        <v>12</v>
      </c>
      <c r="AK14" s="1" cm="1">
        <f t="array" ref="AK14">AK2*SMALL(_xlfn.UNIQUE($V$3:$V$13*--(AK3:AK13&gt;0)),2)</f>
        <v>15</v>
      </c>
      <c r="AL14" s="1" cm="1">
        <f t="array" ref="AL14">AL2*SMALL(_xlfn.UNIQUE($V$3:$V$13*--(AL3:AL13&gt;0)),2)</f>
        <v>18</v>
      </c>
      <c r="AM14" s="1" cm="1">
        <f t="array" ref="AM14">AM2*SMALL(_xlfn.UNIQUE($V$3:$V$13*--(AM3:AM13&gt;0)),2)</f>
        <v>21</v>
      </c>
      <c r="AN14" s="1" cm="1">
        <f t="array" ref="AN14">AN2*SMALL(_xlfn.UNIQUE($V$3:$V$13*--(AN3:AN13&gt;0)),2)</f>
        <v>24</v>
      </c>
      <c r="AO14" s="1" cm="1">
        <f t="array" ref="AO14">AO2*SMALL(_xlfn.UNIQUE($V$3:$V$13*--(AO3:AO13&gt;0)),2)</f>
        <v>27</v>
      </c>
      <c r="AP14" s="1" cm="1">
        <f t="array" ref="AP14">AP2*SMALL(_xlfn.UNIQUE($V$3:$V$13*--(AP3:AP13&gt;0)),2)</f>
        <v>30</v>
      </c>
      <c r="AQ14" s="1" cm="1">
        <f t="array" ref="AQ14">AQ2*SMALL(_xlfn.UNIQUE($V$3:$V$13*--(AQ3:AQ13&gt;0)),2)</f>
        <v>60</v>
      </c>
      <c r="AR14" s="1" cm="1">
        <f t="array" ref="AR14">AR2*SMALL(_xlfn.UNIQUE($V$3:$V$13*--(AR3:AR13&gt;0)),2)</f>
        <v>150</v>
      </c>
    </row>
    <row r="15" spans="1:44" ht="16.8" thickBot="1">
      <c r="A15" s="1">
        <v>1</v>
      </c>
      <c r="B15" s="46" t="s">
        <v>69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1.050021644063519E-4</v>
      </c>
      <c r="J15" s="51">
        <f t="shared" si="2"/>
        <v>8.7501803671959921E-3</v>
      </c>
      <c r="K15" s="34"/>
      <c r="L15" s="35"/>
      <c r="M15" s="35"/>
      <c r="N15" s="278" t="s">
        <v>218</v>
      </c>
      <c r="O15" s="299">
        <f>SUMPRODUCT(M3:M14, O3:O14)</f>
        <v>93.686946303525218</v>
      </c>
      <c r="P15" s="1"/>
      <c r="Q15" s="1"/>
      <c r="R15" s="1"/>
      <c r="S15" s="123" t="s">
        <v>217</v>
      </c>
      <c r="T15" s="127" cm="1">
        <f t="array" ref="T15">SUMPRODUCT(Q3:Q13*_xlfn.ANCHORARRAY(T3),_xlfn.ANCHORARRAY(R3))</f>
        <v>126.47783824647155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70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8.8067251238425594E-5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71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8.6797006278215607E-5</v>
      </c>
      <c r="J17" s="51">
        <f t="shared" si="2"/>
        <v>1.0849625784776952E-2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72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7.5898286123597103E-5</v>
      </c>
      <c r="J18" s="51">
        <f t="shared" si="2"/>
        <v>1.1859107206812046E-2</v>
      </c>
      <c r="K18" s="34"/>
      <c r="L18" s="35"/>
      <c r="M18" s="177"/>
      <c r="N18" s="174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73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4.4787402407693678E-5</v>
      </c>
      <c r="J19" s="51">
        <f t="shared" si="2"/>
        <v>1.1196850601923419E-2</v>
      </c>
      <c r="K19" s="34"/>
      <c r="L19" s="300"/>
      <c r="M19" s="300"/>
      <c r="N19" s="300"/>
      <c r="O19" s="300"/>
      <c r="P19" s="1"/>
      <c r="Q19" s="1"/>
      <c r="R19" s="1"/>
      <c r="S19" s="1"/>
    </row>
    <row r="20" spans="1:19" ht="16.8" thickBot="1">
      <c r="A20" s="1">
        <v>1</v>
      </c>
      <c r="B20" s="91" t="s">
        <v>74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1.8150429978148983E-5</v>
      </c>
      <c r="J20" s="68">
        <f t="shared" si="2"/>
        <v>1.1344018736343114E-2</v>
      </c>
      <c r="K20" s="34"/>
      <c r="L20" s="312" t="s">
        <v>199</v>
      </c>
      <c r="M20" s="309" t="s">
        <v>197</v>
      </c>
      <c r="N20" s="310" t="s">
        <v>196</v>
      </c>
      <c r="O20" s="311" t="s">
        <v>198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266" t="s">
        <v>190</v>
      </c>
      <c r="M21" s="302">
        <f ca="1">$I$1</f>
        <v>2.8068527462091269E-3</v>
      </c>
      <c r="N21" s="303">
        <f>$O$15</f>
        <v>93.686946303525218</v>
      </c>
      <c r="O21" s="305" cm="1">
        <f t="array" aca="1" ref="O21:O25" ca="1">M21:M25*N21:N25</f>
        <v>0.26296546251599678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267" t="s">
        <v>192</v>
      </c>
      <c r="M22" s="302">
        <f t="shared" ref="M22:M25" ca="1" si="4">$I$1</f>
        <v>2.8068527462091269E-3</v>
      </c>
      <c r="N22" s="303">
        <f>$O$15+1*$O$15*_xlfn.BINOM.DIST(1,1,$I$4,FALSE)</f>
        <v>112.87067610320113</v>
      </c>
      <c r="O22" s="305">
        <f ca="1"/>
        <v>0.31681136718675096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5218521</v>
      </c>
      <c r="D23" s="327"/>
      <c r="E23" s="327"/>
      <c r="F23" s="327"/>
      <c r="G23" s="327"/>
      <c r="H23" s="1"/>
      <c r="I23" s="33"/>
      <c r="J23" s="33"/>
      <c r="K23" s="34"/>
      <c r="L23" s="267" t="s">
        <v>193</v>
      </c>
      <c r="M23" s="302">
        <f t="shared" ca="1" si="4"/>
        <v>2.8068527462091269E-3</v>
      </c>
      <c r="N23" s="303">
        <f>$O$15+1*$O$15*_xlfn.BINOM.DIST(1,2,$I$4,FALSE)+2*$O$15*_xlfn.BINOM.DIST(2,2,$I$4,FALSE)</f>
        <v>132.05440590287702</v>
      </c>
      <c r="O23" s="305">
        <f ca="1"/>
        <v>0.37065727185750513</v>
      </c>
      <c r="P23" s="1"/>
      <c r="Q23" s="1"/>
      <c r="R23" s="1"/>
      <c r="S23" s="1"/>
    </row>
    <row r="24" spans="1:19" ht="16.8" thickBot="1">
      <c r="A24" s="1" t="s">
        <v>75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267" t="s">
        <v>194</v>
      </c>
      <c r="M24" s="302">
        <f t="shared" ca="1" si="4"/>
        <v>2.8068527462091269E-3</v>
      </c>
      <c r="N24" s="303">
        <f>$O$15+1*$O$15*_xlfn.BINOM.DIST(1,3,$I$4,FALSE)+2*$O$15*_xlfn.BINOM.DIST(2,3,$I$4,FALSE)+3*$O$15*_xlfn.BINOM.DIST(3,3,$I$4,FALSE)</f>
        <v>151.23813570255294</v>
      </c>
      <c r="O24" s="305">
        <f ca="1"/>
        <v>0.42450317652825931</v>
      </c>
      <c r="P24" s="1"/>
      <c r="Q24" s="1"/>
      <c r="R24" s="1"/>
      <c r="S24" s="1"/>
    </row>
    <row r="25" spans="1:19" ht="16.8" thickBot="1">
      <c r="A25" s="1">
        <v>2</v>
      </c>
      <c r="B25" s="41" t="s">
        <v>67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5">C$11/F25</f>
        <v>1314.8201058201057</v>
      </c>
      <c r="H25" s="43" cm="1">
        <f t="array" ref="H25:H32">_xlfn.ANCHORARRAY(H13)</f>
        <v>5</v>
      </c>
      <c r="I25" s="45">
        <f t="shared" ref="I25:I32" ca="1" si="6">J25*H25/$C$1</f>
        <v>1.521120639353564E-5</v>
      </c>
      <c r="J25" s="66">
        <f t="shared" ref="J25:J32" ca="1" si="7">F25/C$11</f>
        <v>7.6056031967678198E-4</v>
      </c>
      <c r="K25" s="34"/>
      <c r="L25" s="313" t="s">
        <v>195</v>
      </c>
      <c r="M25" s="306">
        <f t="shared" ca="1" si="4"/>
        <v>2.8068527462091269E-3</v>
      </c>
      <c r="N25" s="307">
        <f>$O$15+1*$O$15*_xlfn.BINOM.DIST(1,4,$I$4,FALSE)+2*$O$15*_xlfn.BINOM.DIST(2,4,$I$4,FALSE)+3*$O$15*_xlfn.BINOM.DIST(3,4,$I$4,FALSE)+4*$O$15*_xlfn.BINOM.DIST(4,4,$I$4,FALSE)</f>
        <v>170.42186550222885</v>
      </c>
      <c r="O25" s="308">
        <f ca="1"/>
        <v>0.47834908119901354</v>
      </c>
      <c r="P25" s="1"/>
      <c r="Q25" s="1"/>
      <c r="R25" s="1"/>
      <c r="S25" s="1"/>
    </row>
    <row r="26" spans="1:19">
      <c r="A26" s="1">
        <v>2</v>
      </c>
      <c r="B26" s="46" t="s">
        <v>68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5"/>
        <v>125.53272714151693</v>
      </c>
      <c r="H26" s="48">
        <v>4</v>
      </c>
      <c r="I26" s="50">
        <f t="shared" ca="1" si="6"/>
        <v>1.2745680241585693E-4</v>
      </c>
      <c r="J26" s="51">
        <f t="shared" ca="1" si="7"/>
        <v>7.966050150991057E-3</v>
      </c>
      <c r="K26" s="34"/>
      <c r="L26" s="301"/>
      <c r="M26" s="302"/>
      <c r="N26" s="303"/>
      <c r="O26" s="301"/>
      <c r="P26" s="1"/>
      <c r="Q26" s="1"/>
      <c r="R26" s="1"/>
      <c r="S26" s="1"/>
    </row>
    <row r="27" spans="1:19">
      <c r="A27" s="1">
        <v>2</v>
      </c>
      <c r="B27" s="46" t="s">
        <v>69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5"/>
        <v>114.2833585178372</v>
      </c>
      <c r="H27" s="48">
        <v>3</v>
      </c>
      <c r="I27" s="50">
        <f t="shared" ca="1" si="6"/>
        <v>1.050021644063519E-4</v>
      </c>
      <c r="J27" s="51">
        <f t="shared" ca="1" si="7"/>
        <v>8.7501803671959921E-3</v>
      </c>
      <c r="K27" s="34"/>
      <c r="L27" s="301"/>
      <c r="M27" s="302"/>
      <c r="N27" s="303"/>
      <c r="O27" s="301"/>
      <c r="P27" s="1"/>
      <c r="Q27" s="1"/>
      <c r="R27" s="1"/>
      <c r="S27" s="1"/>
    </row>
    <row r="28" spans="1:19">
      <c r="A28" s="1">
        <v>2</v>
      </c>
      <c r="B28" s="46" t="s">
        <v>70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5"/>
        <v>109.00760345079691</v>
      </c>
      <c r="H28" s="48">
        <v>2.4</v>
      </c>
      <c r="I28" s="50">
        <f t="shared" ca="1" si="6"/>
        <v>8.8067251238425594E-5</v>
      </c>
      <c r="J28" s="51">
        <f t="shared" ca="1" si="7"/>
        <v>9.173672004002667E-3</v>
      </c>
      <c r="K28" s="34"/>
      <c r="L28" s="301"/>
      <c r="M28" s="302"/>
      <c r="N28" s="303"/>
      <c r="O28" s="301"/>
      <c r="P28" s="1"/>
      <c r="Q28" s="1"/>
      <c r="R28" s="1"/>
      <c r="S28" s="1"/>
    </row>
    <row r="29" spans="1:19">
      <c r="A29" s="1">
        <v>2</v>
      </c>
      <c r="B29" s="46" t="s">
        <v>71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5"/>
        <v>92.169077518147617</v>
      </c>
      <c r="H29" s="48">
        <v>2</v>
      </c>
      <c r="I29" s="50">
        <f t="shared" ca="1" si="6"/>
        <v>8.6797006278215607E-5</v>
      </c>
      <c r="J29" s="51">
        <f t="shared" ca="1" si="7"/>
        <v>1.0849625784776952E-2</v>
      </c>
      <c r="K29" s="34"/>
      <c r="L29" s="301"/>
      <c r="M29" s="302"/>
      <c r="N29" s="303"/>
      <c r="O29" s="301"/>
      <c r="P29" s="1"/>
      <c r="Q29" s="1"/>
      <c r="R29" s="1"/>
      <c r="S29" s="1"/>
    </row>
    <row r="30" spans="1:19">
      <c r="A30" s="1">
        <v>2</v>
      </c>
      <c r="B30" s="46" t="s">
        <v>72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5"/>
        <v>84.323379708177811</v>
      </c>
      <c r="H30" s="48">
        <v>1.6</v>
      </c>
      <c r="I30" s="50">
        <f t="shared" ca="1" si="6"/>
        <v>7.5898286123597103E-5</v>
      </c>
      <c r="J30" s="51">
        <f t="shared" ca="1" si="7"/>
        <v>1.1859107206812046E-2</v>
      </c>
      <c r="K30" s="34"/>
      <c r="L30" s="301"/>
      <c r="M30" s="302"/>
      <c r="N30" s="303"/>
      <c r="O30" s="301"/>
      <c r="P30" s="1"/>
      <c r="Q30" s="1"/>
      <c r="R30" s="1"/>
      <c r="S30" s="1"/>
    </row>
    <row r="31" spans="1:19">
      <c r="A31" s="1">
        <v>2</v>
      </c>
      <c r="B31" s="46" t="s">
        <v>73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5"/>
        <v>89.310828156286902</v>
      </c>
      <c r="H31" s="48">
        <v>1</v>
      </c>
      <c r="I31" s="50">
        <f t="shared" ca="1" si="6"/>
        <v>4.4787402407693678E-5</v>
      </c>
      <c r="J31" s="51">
        <f t="shared" ca="1" si="7"/>
        <v>1.1196850601923419E-2</v>
      </c>
      <c r="K31" s="34"/>
      <c r="L31" s="304"/>
      <c r="M31" s="302"/>
      <c r="N31" s="303"/>
      <c r="O31" s="301"/>
      <c r="P31" s="1"/>
      <c r="Q31" s="1"/>
      <c r="R31" s="1"/>
      <c r="S31" s="1"/>
    </row>
    <row r="32" spans="1:19" ht="16.8" thickBot="1">
      <c r="A32" s="1">
        <v>2</v>
      </c>
      <c r="B32" s="91" t="s">
        <v>74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5"/>
        <v>88.152181624689604</v>
      </c>
      <c r="H32" s="53">
        <v>0.4</v>
      </c>
      <c r="I32" s="55">
        <f t="shared" ca="1" si="6"/>
        <v>1.8150429978148983E-5</v>
      </c>
      <c r="J32" s="68">
        <f t="shared" ca="1" si="7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75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67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8">C$11/F37</f>
        <v>1314.8201058201057</v>
      </c>
      <c r="H37" s="43" cm="1">
        <f t="array" ref="H37:H44">_xlfn.ANCHORARRAY(H25)</f>
        <v>5</v>
      </c>
      <c r="I37" s="45">
        <f t="shared" ref="I37:I44" ca="1" si="9">J37*H37/$C$1</f>
        <v>1.521120639353564E-5</v>
      </c>
      <c r="J37" s="66">
        <f t="shared" ref="J37:J44" ca="1" si="10">F37/C$11</f>
        <v>7.6056031967678198E-4</v>
      </c>
    </row>
    <row r="38" spans="1:10">
      <c r="A38" s="1">
        <v>3</v>
      </c>
      <c r="B38" s="46" t="s">
        <v>68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8"/>
        <v>125.53272714151693</v>
      </c>
      <c r="H38" s="48">
        <v>4</v>
      </c>
      <c r="I38" s="50">
        <f t="shared" ca="1" si="9"/>
        <v>1.2745680241585693E-4</v>
      </c>
      <c r="J38" s="51">
        <f t="shared" ca="1" si="10"/>
        <v>7.966050150991057E-3</v>
      </c>
    </row>
    <row r="39" spans="1:10">
      <c r="A39" s="1">
        <v>3</v>
      </c>
      <c r="B39" s="46" t="s">
        <v>69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8"/>
        <v>114.2833585178372</v>
      </c>
      <c r="H39" s="48">
        <v>3</v>
      </c>
      <c r="I39" s="50">
        <f t="shared" ca="1" si="9"/>
        <v>1.050021644063519E-4</v>
      </c>
      <c r="J39" s="51">
        <f t="shared" ca="1" si="10"/>
        <v>8.7501803671959921E-3</v>
      </c>
    </row>
    <row r="40" spans="1:10">
      <c r="A40" s="1">
        <v>3</v>
      </c>
      <c r="B40" s="46" t="s">
        <v>70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8"/>
        <v>109.00760345079691</v>
      </c>
      <c r="H40" s="48">
        <v>2.4</v>
      </c>
      <c r="I40" s="50">
        <f t="shared" ca="1" si="9"/>
        <v>8.8067251238425594E-5</v>
      </c>
      <c r="J40" s="51">
        <f t="shared" ca="1" si="10"/>
        <v>9.173672004002667E-3</v>
      </c>
    </row>
    <row r="41" spans="1:10">
      <c r="A41" s="1">
        <v>3</v>
      </c>
      <c r="B41" s="46" t="s">
        <v>71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8"/>
        <v>92.169077518147617</v>
      </c>
      <c r="H41" s="48">
        <v>2</v>
      </c>
      <c r="I41" s="50">
        <f t="shared" ca="1" si="9"/>
        <v>8.6797006278215607E-5</v>
      </c>
      <c r="J41" s="51">
        <f t="shared" ca="1" si="10"/>
        <v>1.0849625784776952E-2</v>
      </c>
    </row>
    <row r="42" spans="1:10">
      <c r="A42" s="1">
        <v>3</v>
      </c>
      <c r="B42" s="46" t="s">
        <v>72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8"/>
        <v>84.323379708177811</v>
      </c>
      <c r="H42" s="48">
        <v>1.6</v>
      </c>
      <c r="I42" s="50">
        <f t="shared" ca="1" si="9"/>
        <v>7.5898286123597103E-5</v>
      </c>
      <c r="J42" s="51">
        <f t="shared" ca="1" si="10"/>
        <v>1.1859107206812046E-2</v>
      </c>
    </row>
    <row r="43" spans="1:10">
      <c r="A43" s="1">
        <v>3</v>
      </c>
      <c r="B43" s="46" t="s">
        <v>73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8"/>
        <v>89.310828156286902</v>
      </c>
      <c r="H43" s="48">
        <v>1</v>
      </c>
      <c r="I43" s="50">
        <f t="shared" ca="1" si="9"/>
        <v>4.4787402407693678E-5</v>
      </c>
      <c r="J43" s="51">
        <f t="shared" ca="1" si="10"/>
        <v>1.1196850601923419E-2</v>
      </c>
    </row>
    <row r="44" spans="1:10" ht="16.8" thickBot="1">
      <c r="A44" s="1">
        <v>3</v>
      </c>
      <c r="B44" s="91" t="s">
        <v>74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8"/>
        <v>88.152181624689604</v>
      </c>
      <c r="H44" s="53">
        <v>0.4</v>
      </c>
      <c r="I44" s="55">
        <f t="shared" ca="1" si="9"/>
        <v>1.8150429978148983E-5</v>
      </c>
      <c r="J44" s="68">
        <f t="shared" ca="1" si="10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75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67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1">C$11/F49</f>
        <v>1314.8201058201057</v>
      </c>
      <c r="H49" s="43" cm="1">
        <f t="array" ref="H49:H56">_xlfn.ANCHORARRAY(H37)</f>
        <v>5</v>
      </c>
      <c r="I49" s="45">
        <f t="shared" ref="I49:I56" ca="1" si="12">J49*H49/$C$1</f>
        <v>1.521120639353564E-5</v>
      </c>
      <c r="J49" s="66">
        <f t="shared" ref="J49:J56" ca="1" si="13">F49/C$11</f>
        <v>7.6056031967678198E-4</v>
      </c>
    </row>
    <row r="50" spans="1:10">
      <c r="A50" s="1">
        <v>4</v>
      </c>
      <c r="B50" s="46" t="s">
        <v>68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1"/>
        <v>125.53272714151693</v>
      </c>
      <c r="H50" s="48">
        <v>4</v>
      </c>
      <c r="I50" s="50">
        <f t="shared" ca="1" si="12"/>
        <v>1.2745680241585693E-4</v>
      </c>
      <c r="J50" s="51">
        <f t="shared" ca="1" si="13"/>
        <v>7.966050150991057E-3</v>
      </c>
    </row>
    <row r="51" spans="1:10">
      <c r="A51" s="1">
        <v>4</v>
      </c>
      <c r="B51" s="46" t="s">
        <v>69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1"/>
        <v>114.2833585178372</v>
      </c>
      <c r="H51" s="48">
        <v>3</v>
      </c>
      <c r="I51" s="50">
        <f t="shared" ca="1" si="12"/>
        <v>1.050021644063519E-4</v>
      </c>
      <c r="J51" s="51">
        <f t="shared" ca="1" si="13"/>
        <v>8.7501803671959921E-3</v>
      </c>
    </row>
    <row r="52" spans="1:10">
      <c r="A52" s="1">
        <v>4</v>
      </c>
      <c r="B52" s="46" t="s">
        <v>70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1"/>
        <v>109.00760345079691</v>
      </c>
      <c r="H52" s="48">
        <v>2.4</v>
      </c>
      <c r="I52" s="50">
        <f t="shared" ca="1" si="12"/>
        <v>8.8067251238425594E-5</v>
      </c>
      <c r="J52" s="51">
        <f t="shared" ca="1" si="13"/>
        <v>9.173672004002667E-3</v>
      </c>
    </row>
    <row r="53" spans="1:10">
      <c r="A53" s="1">
        <v>4</v>
      </c>
      <c r="B53" s="46" t="s">
        <v>71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1"/>
        <v>92.169077518147617</v>
      </c>
      <c r="H53" s="48">
        <v>2</v>
      </c>
      <c r="I53" s="50">
        <f t="shared" ca="1" si="12"/>
        <v>8.6797006278215607E-5</v>
      </c>
      <c r="J53" s="51">
        <f t="shared" ca="1" si="13"/>
        <v>1.0849625784776952E-2</v>
      </c>
    </row>
    <row r="54" spans="1:10">
      <c r="A54" s="1">
        <v>4</v>
      </c>
      <c r="B54" s="46" t="s">
        <v>72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1"/>
        <v>84.323379708177811</v>
      </c>
      <c r="H54" s="48">
        <v>1.6</v>
      </c>
      <c r="I54" s="50">
        <f t="shared" ca="1" si="12"/>
        <v>7.5898286123597103E-5</v>
      </c>
      <c r="J54" s="51">
        <f t="shared" ca="1" si="13"/>
        <v>1.1859107206812046E-2</v>
      </c>
    </row>
    <row r="55" spans="1:10">
      <c r="A55" s="1">
        <v>4</v>
      </c>
      <c r="B55" s="46" t="s">
        <v>73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1"/>
        <v>89.310828156286902</v>
      </c>
      <c r="H55" s="48">
        <v>1</v>
      </c>
      <c r="I55" s="50">
        <f t="shared" ca="1" si="12"/>
        <v>4.4787402407693678E-5</v>
      </c>
      <c r="J55" s="51">
        <f t="shared" ca="1" si="13"/>
        <v>1.1196850601923419E-2</v>
      </c>
    </row>
    <row r="56" spans="1:10" ht="16.8" thickBot="1">
      <c r="A56" s="1">
        <v>4</v>
      </c>
      <c r="B56" s="91" t="s">
        <v>74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1"/>
        <v>88.152181624689604</v>
      </c>
      <c r="H56" s="53">
        <v>0.4</v>
      </c>
      <c r="I56" s="55">
        <f t="shared" ca="1" si="12"/>
        <v>1.8150429978148983E-5</v>
      </c>
      <c r="J56" s="68">
        <f t="shared" ca="1" si="13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75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67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4">C$11/F61</f>
        <v>1314.8201058201057</v>
      </c>
      <c r="H61" s="43" cm="1">
        <f t="array" ref="H61:H68">_xlfn.ANCHORARRAY(H49)</f>
        <v>5</v>
      </c>
      <c r="I61" s="45">
        <f t="shared" ref="I61:I68" ca="1" si="15">J61*H61/$C$1</f>
        <v>1.521120639353564E-5</v>
      </c>
      <c r="J61" s="66">
        <f t="shared" ref="J61:J68" ca="1" si="16">F61/C$11</f>
        <v>7.6056031967678198E-4</v>
      </c>
    </row>
    <row r="62" spans="1:10">
      <c r="A62" s="1">
        <v>5</v>
      </c>
      <c r="B62" s="46" t="s">
        <v>68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4"/>
        <v>125.53272714151693</v>
      </c>
      <c r="H62" s="48">
        <v>4</v>
      </c>
      <c r="I62" s="50">
        <f t="shared" ca="1" si="15"/>
        <v>1.2745680241585693E-4</v>
      </c>
      <c r="J62" s="51">
        <f t="shared" ca="1" si="16"/>
        <v>7.966050150991057E-3</v>
      </c>
    </row>
    <row r="63" spans="1:10">
      <c r="A63" s="1">
        <v>5</v>
      </c>
      <c r="B63" s="46" t="s">
        <v>69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4"/>
        <v>114.2833585178372</v>
      </c>
      <c r="H63" s="48">
        <v>3</v>
      </c>
      <c r="I63" s="50">
        <f t="shared" ca="1" si="15"/>
        <v>1.050021644063519E-4</v>
      </c>
      <c r="J63" s="51">
        <f t="shared" ca="1" si="16"/>
        <v>8.7501803671959921E-3</v>
      </c>
    </row>
    <row r="64" spans="1:10">
      <c r="A64" s="1">
        <v>5</v>
      </c>
      <c r="B64" s="46" t="s">
        <v>70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4"/>
        <v>109.00760345079691</v>
      </c>
      <c r="H64" s="48">
        <v>2.4</v>
      </c>
      <c r="I64" s="50">
        <f t="shared" ca="1" si="15"/>
        <v>8.8067251238425594E-5</v>
      </c>
      <c r="J64" s="51">
        <f t="shared" ca="1" si="16"/>
        <v>9.173672004002667E-3</v>
      </c>
    </row>
    <row r="65" spans="1:10">
      <c r="A65" s="1">
        <v>5</v>
      </c>
      <c r="B65" s="46" t="s">
        <v>71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4"/>
        <v>92.169077518147617</v>
      </c>
      <c r="H65" s="48">
        <v>2</v>
      </c>
      <c r="I65" s="50">
        <f t="shared" ca="1" si="15"/>
        <v>8.6797006278215607E-5</v>
      </c>
      <c r="J65" s="51">
        <f t="shared" ca="1" si="16"/>
        <v>1.0849625784776952E-2</v>
      </c>
    </row>
    <row r="66" spans="1:10">
      <c r="A66" s="1">
        <v>5</v>
      </c>
      <c r="B66" s="46" t="s">
        <v>72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4"/>
        <v>84.323379708177811</v>
      </c>
      <c r="H66" s="48">
        <v>1.6</v>
      </c>
      <c r="I66" s="50">
        <f t="shared" ca="1" si="15"/>
        <v>7.5898286123597103E-5</v>
      </c>
      <c r="J66" s="51">
        <f t="shared" ca="1" si="16"/>
        <v>1.1859107206812046E-2</v>
      </c>
    </row>
    <row r="67" spans="1:10">
      <c r="A67" s="1">
        <v>5</v>
      </c>
      <c r="B67" s="46" t="s">
        <v>73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4"/>
        <v>89.310828156286902</v>
      </c>
      <c r="H67" s="48">
        <v>1</v>
      </c>
      <c r="I67" s="50">
        <f t="shared" ca="1" si="15"/>
        <v>4.4787402407693678E-5</v>
      </c>
      <c r="J67" s="51">
        <f t="shared" ca="1" si="16"/>
        <v>1.1196850601923419E-2</v>
      </c>
    </row>
    <row r="68" spans="1:10" ht="16.8" thickBot="1">
      <c r="A68" s="1">
        <v>5</v>
      </c>
      <c r="B68" s="91" t="s">
        <v>74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4"/>
        <v>88.152181624689604</v>
      </c>
      <c r="H68" s="53">
        <v>0.4</v>
      </c>
      <c r="I68" s="55">
        <f t="shared" ca="1" si="15"/>
        <v>1.8150429978148983E-5</v>
      </c>
      <c r="J68" s="68">
        <f t="shared" ca="1" si="16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7" priority="2" operator="equal">
      <formula>0</formula>
    </cfRule>
  </conditionalFormatting>
  <conditionalFormatting sqref="M20:N31">
    <cfRule type="cellIs" dxfId="16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AX261"/>
  <sheetViews>
    <sheetView topLeftCell="G1" workbookViewId="0"/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30">
      <c r="A1" s="1" t="s">
        <v>169</v>
      </c>
      <c r="C1" s="1" t="s">
        <v>172</v>
      </c>
      <c r="D1" s="1" t="s">
        <v>170</v>
      </c>
      <c r="E1" s="1">
        <v>100</v>
      </c>
      <c r="F1" s="1"/>
      <c r="O1" s="1" t="s">
        <v>154</v>
      </c>
      <c r="P1" s="1" t="s">
        <v>162</v>
      </c>
      <c r="Q1" s="1" t="s">
        <v>163</v>
      </c>
      <c r="W1" s="175"/>
    </row>
    <row r="2" spans="1:30" ht="16.8" thickBot="1">
      <c r="A2" s="142"/>
      <c r="B2" s="142"/>
      <c r="C2" s="142" t="s">
        <v>155</v>
      </c>
      <c r="D2" s="142"/>
      <c r="E2" s="142"/>
      <c r="F2" s="221"/>
      <c r="G2" s="142"/>
      <c r="H2" s="142"/>
      <c r="I2" s="142" t="s">
        <v>148</v>
      </c>
      <c r="J2" s="189">
        <v>3000</v>
      </c>
      <c r="K2" s="142"/>
      <c r="L2" s="142"/>
      <c r="M2" s="189">
        <f>10^9</f>
        <v>1000000000</v>
      </c>
      <c r="N2" s="142"/>
      <c r="O2" s="211">
        <f>SUM(_xlfn.ANCHORARRAY(O4))</f>
        <v>0.92000001491154915</v>
      </c>
      <c r="P2" s="211">
        <v>0.92</v>
      </c>
      <c r="Q2" s="35">
        <f>P2-O2</f>
        <v>-1.4911549106599864E-8</v>
      </c>
    </row>
    <row r="3" spans="1:30" ht="16.8" thickBot="1">
      <c r="A3" s="155" t="s">
        <v>145</v>
      </c>
      <c r="B3" s="156" t="s">
        <v>146</v>
      </c>
      <c r="C3" s="232" t="s">
        <v>156</v>
      </c>
      <c r="D3" s="233" t="s">
        <v>157</v>
      </c>
      <c r="E3" s="233" t="s">
        <v>158</v>
      </c>
      <c r="F3" s="233" t="s">
        <v>159</v>
      </c>
      <c r="G3" s="234" t="s">
        <v>160</v>
      </c>
      <c r="I3" s="125" t="s">
        <v>147</v>
      </c>
      <c r="J3" s="155" t="s">
        <v>161</v>
      </c>
      <c r="K3" s="163" t="s">
        <v>149</v>
      </c>
      <c r="L3" s="163" t="s">
        <v>151</v>
      </c>
      <c r="M3" s="163" t="s">
        <v>150</v>
      </c>
      <c r="N3" s="163" t="s">
        <v>152</v>
      </c>
      <c r="O3" s="125" t="s">
        <v>153</v>
      </c>
      <c r="P3" s="34">
        <f>SUM(_xlfn.ANCHORARRAY(Q4))</f>
        <v>0.96565564225626388</v>
      </c>
      <c r="R3" s="212">
        <f>1-SUM(_xlfn.ANCHORARRAY(R4))</f>
        <v>4.7279423697653367E-2</v>
      </c>
      <c r="W3" s="85"/>
      <c r="AD3" s="193"/>
    </row>
    <row r="4" spans="1:30" ht="15.6">
      <c r="A4" s="251">
        <v>-1</v>
      </c>
      <c r="B4" s="252">
        <v>0</v>
      </c>
      <c r="C4" s="155">
        <v>79527545</v>
      </c>
      <c r="D4" s="163">
        <v>0</v>
      </c>
      <c r="E4" s="237">
        <f>IFERROR((D4/$E$1)/(C4),0)</f>
        <v>0</v>
      </c>
      <c r="F4" s="181" cm="1">
        <f t="array" ref="F4:F61">C4:C61/SUM(C4:C61)</f>
        <v>0.79527544999999999</v>
      </c>
      <c r="G4" s="182" cm="1">
        <f t="array" ref="G4:G61">E4:E61*_xlfn.ANCHORARRAY(F4)</f>
        <v>0</v>
      </c>
      <c r="H4" s="173"/>
      <c r="I4" s="125" t="str">
        <f>"("&amp;$A4&amp;", "&amp;$B4&amp;"]"</f>
        <v>(-1, 0]</v>
      </c>
      <c r="J4" s="155" cm="1">
        <f t="array" ref="J4:J61">IFERROR(IF(1/_xlfn.ANCHORARRAY(F4)&lt;$J$2,1,0),0)</f>
        <v>1</v>
      </c>
      <c r="K4" s="244">
        <v>1.1139704033446383</v>
      </c>
      <c r="L4" s="181" cm="1">
        <f t="array" ref="L4:L61">K4:K61*_xlfn.ANCHORARRAY(J4)*_xlfn.ANCHORARRAY(F4)</f>
        <v>0.88591331380658866</v>
      </c>
      <c r="M4" s="236" cm="1">
        <f t="array" ref="M4:M61">INT(_xlfn.ANCHORARRAY(L4)*$M$2)</f>
        <v>885913313</v>
      </c>
      <c r="N4" s="190" cm="1">
        <f t="array" ref="N4:N61">_xlfn.ANCHORARRAY(M4)/SUM(_xlfn.ANCHORARRAY(M4))</f>
        <v>0.88596776103472219</v>
      </c>
      <c r="O4" s="206" cm="1">
        <f t="array" ref="O4:O61">_xlfn.ANCHORARRAY(N4)*E4:E61</f>
        <v>0</v>
      </c>
      <c r="P4" s="194">
        <v>0.88031431284716299</v>
      </c>
      <c r="Q4" s="194" cm="1">
        <f t="array" ref="Q4:Q55">P4:P55*E4:E55</f>
        <v>0</v>
      </c>
      <c r="R4" s="212" cm="1">
        <f t="array" ref="R4:R55">P2*P4:P55/P3</f>
        <v>0.8386935594629531</v>
      </c>
      <c r="S4" s="178">
        <f>R4+R3</f>
        <v>0.88597298316060646</v>
      </c>
      <c r="T4" s="209" cm="1">
        <f t="array" ref="T4:T61">S4:S55/_xlfn.ANCHORARRAY(F4)</f>
        <v>1.1140454331396832</v>
      </c>
      <c r="AD4" s="193"/>
    </row>
    <row r="5" spans="1:30" ht="15.6">
      <c r="A5" s="253">
        <v>0</v>
      </c>
      <c r="B5" s="254">
        <v>1</v>
      </c>
      <c r="C5" s="157">
        <v>1221030</v>
      </c>
      <c r="D5" s="30">
        <v>91661240</v>
      </c>
      <c r="E5" s="183">
        <f t="shared" ref="E5:E61" si="0">IFERROR((D5/$E$1)/(C5),0)</f>
        <v>0.75068786188709535</v>
      </c>
      <c r="F5" s="184">
        <v>1.22103E-2</v>
      </c>
      <c r="G5" s="185">
        <v>9.1661240000000012E-3</v>
      </c>
      <c r="H5" s="173"/>
      <c r="I5" s="122" t="str">
        <f t="shared" ref="I5:I61" si="1">"("&amp;$A5&amp;", "&amp;$B5&amp;"]"</f>
        <v>(0, 1]</v>
      </c>
      <c r="J5" s="157">
        <v>1</v>
      </c>
      <c r="K5" s="230">
        <v>0.96350000000000002</v>
      </c>
      <c r="L5" s="184">
        <v>1.176462405E-2</v>
      </c>
      <c r="M5" s="229">
        <v>11764624</v>
      </c>
      <c r="N5" s="191">
        <v>1.1765347051168376E-2</v>
      </c>
      <c r="O5" s="207">
        <v>8.8321032222012305E-3</v>
      </c>
      <c r="P5" s="194">
        <v>1.23573389287732E-2</v>
      </c>
      <c r="Q5" s="194">
        <v>9.2765043390549227E-3</v>
      </c>
      <c r="R5" s="1">
        <v>1.1773091065784221E-2</v>
      </c>
      <c r="S5" s="178" cm="1">
        <f t="array" ref="S5:S55">R5:R55</f>
        <v>1.1773091065784221E-2</v>
      </c>
      <c r="T5" s="1">
        <v>0.9641934322485296</v>
      </c>
      <c r="AD5" s="193"/>
    </row>
    <row r="6" spans="1:30" ht="15.6">
      <c r="A6" s="253">
        <v>1</v>
      </c>
      <c r="B6" s="254">
        <v>2</v>
      </c>
      <c r="C6" s="157">
        <v>1983581</v>
      </c>
      <c r="D6" s="30">
        <v>340592420</v>
      </c>
      <c r="E6" s="183">
        <f t="shared" si="0"/>
        <v>1.7170582900320179</v>
      </c>
      <c r="F6" s="184">
        <v>1.9835809999999999E-2</v>
      </c>
      <c r="G6" s="185">
        <v>3.4059241999999997E-2</v>
      </c>
      <c r="H6" s="173"/>
      <c r="I6" s="210" t="str">
        <f t="shared" si="1"/>
        <v>(1, 2]</v>
      </c>
      <c r="J6" s="157">
        <v>1</v>
      </c>
      <c r="K6" s="230">
        <v>0.82506116129129436</v>
      </c>
      <c r="L6" s="184">
        <v>1.6365756433753469E-2</v>
      </c>
      <c r="M6" s="229">
        <v>16365756</v>
      </c>
      <c r="N6" s="191">
        <v>1.6366761835715376E-2</v>
      </c>
      <c r="O6" s="207">
        <v>2.8102684090994735E-2</v>
      </c>
      <c r="P6" s="194">
        <v>1.7178728121466199E-2</v>
      </c>
      <c r="Q6" s="194">
        <v>2.949687753316969E-2</v>
      </c>
      <c r="R6" s="1">
        <v>1.6366527756024599E-2</v>
      </c>
      <c r="S6" s="178">
        <v>1.6366527756024599E-2</v>
      </c>
      <c r="T6" s="1">
        <v>0.82510004663407244</v>
      </c>
      <c r="AD6" s="193"/>
    </row>
    <row r="7" spans="1:30" ht="15.6">
      <c r="A7" s="253">
        <v>2</v>
      </c>
      <c r="B7" s="254">
        <v>3</v>
      </c>
      <c r="C7" s="157">
        <v>1400402</v>
      </c>
      <c r="D7" s="30">
        <v>385097500</v>
      </c>
      <c r="E7" s="183">
        <f t="shared" si="0"/>
        <v>2.7499068124724184</v>
      </c>
      <c r="F7" s="184">
        <v>1.4004020000000001E-2</v>
      </c>
      <c r="G7" s="185">
        <v>3.8509750000000002E-2</v>
      </c>
      <c r="H7" s="173"/>
      <c r="I7" s="122" t="str">
        <f t="shared" si="1"/>
        <v>(2, 3]</v>
      </c>
      <c r="J7" s="157">
        <v>1</v>
      </c>
      <c r="K7" s="230">
        <v>0.83004214117952957</v>
      </c>
      <c r="L7" s="184">
        <v>1.1623926745920957E-2</v>
      </c>
      <c r="M7" s="229">
        <v>11623926</v>
      </c>
      <c r="N7" s="191">
        <v>1.1624640403900662E-2</v>
      </c>
      <c r="O7" s="207">
        <v>3.1966677839228554E-2</v>
      </c>
      <c r="P7" s="194">
        <v>1.2210324982495699E-2</v>
      </c>
      <c r="Q7" s="194">
        <v>3.3577255851867084E-2</v>
      </c>
      <c r="R7" s="1">
        <v>1.163302785416224E-2</v>
      </c>
      <c r="S7" s="178">
        <v>1.163302785416224E-2</v>
      </c>
      <c r="T7" s="1">
        <v>0.83069203372761813</v>
      </c>
      <c r="AD7" s="193"/>
    </row>
    <row r="8" spans="1:30" ht="15.6">
      <c r="A8" s="253">
        <v>3</v>
      </c>
      <c r="B8" s="254">
        <v>4</v>
      </c>
      <c r="C8" s="157">
        <v>1843384</v>
      </c>
      <c r="D8" s="30">
        <v>681736680</v>
      </c>
      <c r="E8" s="183">
        <f t="shared" si="0"/>
        <v>3.6982890162874367</v>
      </c>
      <c r="F8" s="184">
        <v>1.843384E-2</v>
      </c>
      <c r="G8" s="185">
        <v>6.8173668000000007E-2</v>
      </c>
      <c r="H8" s="173"/>
      <c r="I8" s="122" t="str">
        <f t="shared" si="1"/>
        <v>(3, 4]</v>
      </c>
      <c r="J8" s="157">
        <v>1</v>
      </c>
      <c r="K8" s="230">
        <v>0.67088783212712699</v>
      </c>
      <c r="L8" s="184">
        <v>1.2367038955378318E-2</v>
      </c>
      <c r="M8" s="229">
        <v>12367038</v>
      </c>
      <c r="N8" s="191">
        <v>1.2367798075398522E-2</v>
      </c>
      <c r="O8" s="207">
        <v>4.5739691777907251E-2</v>
      </c>
      <c r="P8" s="194">
        <v>1.2996255599337999E-2</v>
      </c>
      <c r="Q8" s="194">
        <v>4.806390933589582E-2</v>
      </c>
      <c r="R8" s="1">
        <v>1.2381800124373893E-2</v>
      </c>
      <c r="S8" s="178">
        <v>1.2381800124373893E-2</v>
      </c>
      <c r="T8" s="1">
        <v>0.67168859686174409</v>
      </c>
      <c r="AD8" s="193"/>
    </row>
    <row r="9" spans="1:30" ht="15.6">
      <c r="A9" s="253">
        <v>4</v>
      </c>
      <c r="B9" s="254">
        <v>5</v>
      </c>
      <c r="C9" s="157">
        <v>1261039</v>
      </c>
      <c r="D9" s="30">
        <v>605977340</v>
      </c>
      <c r="E9" s="183">
        <f t="shared" si="0"/>
        <v>4.8053814354671029</v>
      </c>
      <c r="F9" s="184">
        <v>1.2610390000000001E-2</v>
      </c>
      <c r="G9" s="185">
        <v>6.0597734000000007E-2</v>
      </c>
      <c r="H9" s="173"/>
      <c r="I9" s="122" t="str">
        <f t="shared" si="1"/>
        <v>(4, 5]</v>
      </c>
      <c r="J9" s="157">
        <v>1</v>
      </c>
      <c r="K9" s="230">
        <v>0.80057166284364722</v>
      </c>
      <c r="L9" s="184">
        <v>1.0095520891406902E-2</v>
      </c>
      <c r="M9" s="229">
        <v>10095520</v>
      </c>
      <c r="N9" s="191">
        <v>1.0096140468408626E-2</v>
      </c>
      <c r="O9" s="207">
        <v>4.8515805976758954E-2</v>
      </c>
      <c r="P9" s="194">
        <v>1.05879741106956E-2</v>
      </c>
      <c r="Q9" s="194">
        <v>5.0879254230742944E-2</v>
      </c>
      <c r="R9" s="1">
        <v>1.0087380796616235E-2</v>
      </c>
      <c r="S9" s="178">
        <v>1.0087380796616235E-2</v>
      </c>
      <c r="T9" s="1">
        <v>0.79992615586165328</v>
      </c>
      <c r="AD9" s="193"/>
    </row>
    <row r="10" spans="1:30" ht="15.6">
      <c r="A10" s="253">
        <v>5</v>
      </c>
      <c r="B10" s="254">
        <v>6</v>
      </c>
      <c r="C10" s="157">
        <v>1254493</v>
      </c>
      <c r="D10" s="30">
        <v>746676720</v>
      </c>
      <c r="E10" s="183">
        <f t="shared" si="0"/>
        <v>5.9520198199591388</v>
      </c>
      <c r="F10" s="184">
        <v>1.2544929999999999E-2</v>
      </c>
      <c r="G10" s="185">
        <v>7.466767199999999E-2</v>
      </c>
      <c r="H10" s="173"/>
      <c r="I10" s="122" t="str">
        <f t="shared" si="1"/>
        <v>(5, 6]</v>
      </c>
      <c r="J10" s="157">
        <v>1</v>
      </c>
      <c r="K10" s="230">
        <v>0.64280199782727687</v>
      </c>
      <c r="L10" s="184">
        <v>8.0639060666033401E-3</v>
      </c>
      <c r="M10" s="229">
        <v>8063906</v>
      </c>
      <c r="N10" s="191">
        <v>8.0644016058650896E-3</v>
      </c>
      <c r="O10" s="207">
        <v>4.7999478194219319E-2</v>
      </c>
      <c r="P10" s="194">
        <v>8.37719620644619E-3</v>
      </c>
      <c r="Q10" s="194">
        <v>4.986123785645423E-2</v>
      </c>
      <c r="R10" s="1">
        <v>7.9811271976032421E-3</v>
      </c>
      <c r="S10" s="178">
        <v>7.9811271976032421E-3</v>
      </c>
      <c r="T10" s="1">
        <v>0.63620340628470962</v>
      </c>
      <c r="AD10" s="193"/>
    </row>
    <row r="11" spans="1:30" ht="15.6">
      <c r="A11" s="253">
        <v>6</v>
      </c>
      <c r="B11" s="254">
        <v>7</v>
      </c>
      <c r="C11" s="157">
        <v>316037</v>
      </c>
      <c r="D11" s="30">
        <v>206311540</v>
      </c>
      <c r="E11" s="183">
        <f t="shared" si="0"/>
        <v>6.528081838518907</v>
      </c>
      <c r="F11" s="184">
        <v>3.16037E-3</v>
      </c>
      <c r="G11" s="185">
        <v>2.0631153999999999E-2</v>
      </c>
      <c r="H11" s="173"/>
      <c r="I11" s="122" t="str">
        <f t="shared" si="1"/>
        <v>(6, 7]</v>
      </c>
      <c r="J11" s="157">
        <v>1</v>
      </c>
      <c r="K11" s="230">
        <v>0.62019472848920265</v>
      </c>
      <c r="L11" s="184">
        <v>1.9600448140754214E-3</v>
      </c>
      <c r="M11" s="229">
        <v>1960044</v>
      </c>
      <c r="N11" s="191">
        <v>1.9601644638672913E-3</v>
      </c>
      <c r="O11" s="207">
        <v>1.2796114037082215E-2</v>
      </c>
      <c r="P11" s="194">
        <v>2.1346721997370101E-3</v>
      </c>
      <c r="Q11" s="194">
        <v>1.3935314818294381E-2</v>
      </c>
      <c r="R11" s="1">
        <v>2.0337461283500414E-3</v>
      </c>
      <c r="S11" s="178">
        <v>2.0337461283500414E-3</v>
      </c>
      <c r="T11" s="1">
        <v>0.64351519864763984</v>
      </c>
      <c r="AD11" s="193"/>
    </row>
    <row r="12" spans="1:30" ht="15.6">
      <c r="A12" s="253">
        <v>7</v>
      </c>
      <c r="B12" s="254">
        <v>8</v>
      </c>
      <c r="C12" s="157">
        <v>1316405</v>
      </c>
      <c r="D12" s="30">
        <v>1015442580</v>
      </c>
      <c r="E12" s="183">
        <f t="shared" si="0"/>
        <v>7.7137551133579718</v>
      </c>
      <c r="F12" s="184">
        <v>1.316405E-2</v>
      </c>
      <c r="G12" s="185">
        <v>0.10154425800000001</v>
      </c>
      <c r="H12" s="173"/>
      <c r="I12" s="210" t="str">
        <f t="shared" si="1"/>
        <v>(7, 8]</v>
      </c>
      <c r="J12" s="157">
        <v>1</v>
      </c>
      <c r="K12" s="230">
        <v>0.63959999999999995</v>
      </c>
      <c r="L12" s="184">
        <v>8.4197263799999991E-3</v>
      </c>
      <c r="M12" s="229">
        <v>8419726</v>
      </c>
      <c r="N12" s="191">
        <v>8.4202434744829677E-3</v>
      </c>
      <c r="O12" s="207">
        <v>6.4951696157012087E-2</v>
      </c>
      <c r="P12" s="194">
        <v>8.8375429069112096E-3</v>
      </c>
      <c r="Q12" s="194">
        <v>6.817064178770682E-2</v>
      </c>
      <c r="R12" s="1">
        <v>8.4197089713691602E-3</v>
      </c>
      <c r="S12" s="178">
        <v>8.4197089713691602E-3</v>
      </c>
      <c r="T12" s="1">
        <v>0.6395986775626924</v>
      </c>
      <c r="AD12" s="193"/>
    </row>
    <row r="13" spans="1:30" ht="15.6">
      <c r="A13" s="253">
        <v>8</v>
      </c>
      <c r="B13" s="254">
        <v>9</v>
      </c>
      <c r="C13" s="157">
        <v>574169</v>
      </c>
      <c r="D13" s="30">
        <v>512208280</v>
      </c>
      <c r="E13" s="183">
        <f t="shared" si="0"/>
        <v>8.9208626728367424</v>
      </c>
      <c r="F13" s="184">
        <v>5.7416899999999998E-3</v>
      </c>
      <c r="G13" s="185">
        <v>5.1220827999999996E-2</v>
      </c>
      <c r="H13" s="173"/>
      <c r="I13" s="122" t="str">
        <f t="shared" si="1"/>
        <v>(8, 9]</v>
      </c>
      <c r="J13" s="157">
        <v>1</v>
      </c>
      <c r="K13" s="230">
        <v>0.5367818784476529</v>
      </c>
      <c r="L13" s="184">
        <v>3.0820351436641039E-3</v>
      </c>
      <c r="M13" s="229">
        <v>3082035</v>
      </c>
      <c r="N13" s="191">
        <v>3.0822244211840284E-3</v>
      </c>
      <c r="O13" s="207">
        <v>2.7496100788246432E-2</v>
      </c>
      <c r="P13" s="194">
        <v>3.2443304962611699E-3</v>
      </c>
      <c r="Q13" s="194">
        <v>2.8942226822442175E-2</v>
      </c>
      <c r="R13" s="1">
        <v>3.0909404201132189E-3</v>
      </c>
      <c r="S13" s="178">
        <v>3.0909404201132189E-3</v>
      </c>
      <c r="T13" s="1">
        <v>0.53833286368877786</v>
      </c>
      <c r="AD13" s="193"/>
    </row>
    <row r="14" spans="1:30" ht="15.6">
      <c r="A14" s="253">
        <v>9</v>
      </c>
      <c r="B14" s="254">
        <v>10</v>
      </c>
      <c r="C14" s="157">
        <v>713840</v>
      </c>
      <c r="D14" s="30">
        <v>696013360</v>
      </c>
      <c r="E14" s="183">
        <f t="shared" si="0"/>
        <v>9.7502712092345618</v>
      </c>
      <c r="F14" s="184">
        <v>7.1383999999999996E-3</v>
      </c>
      <c r="G14" s="185">
        <v>6.9601335999999986E-2</v>
      </c>
      <c r="H14" s="173"/>
      <c r="I14" s="122" t="str">
        <f t="shared" si="1"/>
        <v>(9, 10]</v>
      </c>
      <c r="J14" s="157">
        <v>1</v>
      </c>
      <c r="K14" s="230">
        <v>0.86878798622955189</v>
      </c>
      <c r="L14" s="184">
        <v>6.2017561609010331E-3</v>
      </c>
      <c r="M14" s="229">
        <v>6201756</v>
      </c>
      <c r="N14" s="191">
        <v>6.2021371585412157E-3</v>
      </c>
      <c r="O14" s="207">
        <v>6.0472519372648269E-2</v>
      </c>
      <c r="P14" s="194">
        <v>6.4938584552695199E-3</v>
      </c>
      <c r="Q14" s="194">
        <v>6.3316881133258826E-2</v>
      </c>
      <c r="R14" s="1">
        <v>6.1868325699302408E-3</v>
      </c>
      <c r="S14" s="178">
        <v>6.1868325699302408E-3</v>
      </c>
      <c r="T14" s="1">
        <v>0.86669737895470145</v>
      </c>
    </row>
    <row r="15" spans="1:30" ht="15.6">
      <c r="A15" s="253">
        <v>10</v>
      </c>
      <c r="B15" s="254">
        <v>15</v>
      </c>
      <c r="C15" s="157">
        <v>1791031</v>
      </c>
      <c r="D15" s="30">
        <v>2280142320</v>
      </c>
      <c r="E15" s="183">
        <f t="shared" si="0"/>
        <v>12.730892541781801</v>
      </c>
      <c r="F15" s="184">
        <v>1.7910309999999999E-2</v>
      </c>
      <c r="G15" s="185">
        <v>0.22801423199999998</v>
      </c>
      <c r="H15" s="173"/>
      <c r="I15" s="210" t="str">
        <f t="shared" si="1"/>
        <v>(10, 15]</v>
      </c>
      <c r="J15" s="157">
        <v>1</v>
      </c>
      <c r="K15" s="230">
        <v>0.55195810366333065</v>
      </c>
      <c r="L15" s="184">
        <v>9.8857407436223864E-3</v>
      </c>
      <c r="M15" s="229">
        <v>9885740</v>
      </c>
      <c r="N15" s="191">
        <v>9.886347575376592E-3</v>
      </c>
      <c r="O15" s="207">
        <v>0.12586202861282444</v>
      </c>
      <c r="P15" s="194">
        <v>1.0357800760463E-2</v>
      </c>
      <c r="Q15" s="194">
        <v>0.13186404845064026</v>
      </c>
      <c r="R15" s="1">
        <v>9.8680899097331898E-3</v>
      </c>
      <c r="S15" s="178">
        <v>9.8680899097331898E-3</v>
      </c>
      <c r="T15" s="1">
        <v>0.55097259119095043</v>
      </c>
    </row>
    <row r="16" spans="1:30" ht="15.6">
      <c r="A16" s="253">
        <v>15</v>
      </c>
      <c r="B16" s="254">
        <v>20</v>
      </c>
      <c r="C16" s="157">
        <v>1124732</v>
      </c>
      <c r="D16" s="30">
        <v>2007398080</v>
      </c>
      <c r="E16" s="183">
        <f t="shared" si="0"/>
        <v>17.847790229139029</v>
      </c>
      <c r="F16" s="184">
        <v>1.124732E-2</v>
      </c>
      <c r="G16" s="185">
        <v>0.20073980799999999</v>
      </c>
      <c r="H16" s="173"/>
      <c r="I16" s="122" t="str">
        <f t="shared" si="1"/>
        <v>(15, 20]</v>
      </c>
      <c r="J16" s="157">
        <v>1</v>
      </c>
      <c r="K16" s="230">
        <v>0.52230015044291156</v>
      </c>
      <c r="L16" s="184">
        <v>5.8744769280795681E-3</v>
      </c>
      <c r="M16" s="229">
        <v>5874476</v>
      </c>
      <c r="N16" s="191">
        <v>5.8748370439853752E-3</v>
      </c>
      <c r="O16" s="207">
        <v>0.1048528591914262</v>
      </c>
      <c r="P16" s="194">
        <v>6.1690170335704101E-3</v>
      </c>
      <c r="Q16" s="194">
        <v>0.1101033219351502</v>
      </c>
      <c r="R16" s="1">
        <v>5.8773494634421913E-3</v>
      </c>
      <c r="S16" s="178">
        <v>5.8773494634421913E-3</v>
      </c>
      <c r="T16" s="1">
        <v>0.52255554776090585</v>
      </c>
    </row>
    <row r="17" spans="1:20" ht="15.6">
      <c r="A17" s="253">
        <v>20</v>
      </c>
      <c r="B17" s="254">
        <v>25</v>
      </c>
      <c r="C17" s="157">
        <v>621987</v>
      </c>
      <c r="D17" s="30">
        <v>1445763680</v>
      </c>
      <c r="E17" s="183">
        <f t="shared" si="0"/>
        <v>23.244274880343159</v>
      </c>
      <c r="F17" s="184">
        <v>6.2198699999999997E-3</v>
      </c>
      <c r="G17" s="185">
        <v>0.14457636800000001</v>
      </c>
      <c r="H17" s="173"/>
      <c r="I17" s="122" t="str">
        <f t="shared" si="1"/>
        <v>(20, 25]</v>
      </c>
      <c r="J17" s="157">
        <v>1</v>
      </c>
      <c r="K17" s="230">
        <v>0.39618480743674223</v>
      </c>
      <c r="L17" s="184">
        <v>2.4642179982315698E-3</v>
      </c>
      <c r="M17" s="229">
        <v>2464217</v>
      </c>
      <c r="N17" s="191">
        <v>2.464368450227477E-3</v>
      </c>
      <c r="O17" s="207">
        <v>5.7282457663532745E-2</v>
      </c>
      <c r="P17" s="194">
        <v>2.5816539959949798E-3</v>
      </c>
      <c r="Q17" s="194">
        <v>6.0008675128843648E-2</v>
      </c>
      <c r="R17" s="1">
        <v>2.4595948828775921E-3</v>
      </c>
      <c r="S17" s="178">
        <v>2.4595948828775921E-3</v>
      </c>
      <c r="T17" s="1">
        <v>0.39544152576783631</v>
      </c>
    </row>
    <row r="18" spans="1:20" ht="15.6">
      <c r="A18" s="253">
        <v>25</v>
      </c>
      <c r="B18" s="254">
        <v>30</v>
      </c>
      <c r="C18" s="157">
        <v>433005</v>
      </c>
      <c r="D18" s="30">
        <v>1231300120</v>
      </c>
      <c r="E18" s="183">
        <f t="shared" si="0"/>
        <v>28.436164016581792</v>
      </c>
      <c r="F18" s="184">
        <v>4.3300500000000002E-3</v>
      </c>
      <c r="G18" s="185">
        <v>0.123130012</v>
      </c>
      <c r="H18" s="173"/>
      <c r="I18" s="122" t="str">
        <f t="shared" si="1"/>
        <v>(25, 30]</v>
      </c>
      <c r="J18" s="157">
        <v>1</v>
      </c>
      <c r="K18" s="230">
        <v>0.49356601568919212</v>
      </c>
      <c r="L18" s="184">
        <v>2.1371655262349865E-3</v>
      </c>
      <c r="M18" s="229">
        <v>2137165</v>
      </c>
      <c r="N18" s="191">
        <v>2.1372963496844662E-3</v>
      </c>
      <c r="O18" s="207">
        <v>6.0776509551669029E-2</v>
      </c>
      <c r="P18" s="194">
        <v>2.25050136953143E-3</v>
      </c>
      <c r="Q18" s="194">
        <v>6.3995626063537689E-2</v>
      </c>
      <c r="R18" s="1">
        <v>2.1440989617492034E-3</v>
      </c>
      <c r="S18" s="178">
        <v>2.1440989617492034E-3</v>
      </c>
      <c r="T18" s="1">
        <v>0.49516725251422117</v>
      </c>
    </row>
    <row r="19" spans="1:20" ht="15.6">
      <c r="A19" s="253">
        <v>30</v>
      </c>
      <c r="B19" s="254">
        <v>35</v>
      </c>
      <c r="C19" s="157">
        <v>214207</v>
      </c>
      <c r="D19" s="30">
        <v>697834840</v>
      </c>
      <c r="E19" s="183">
        <f t="shared" si="0"/>
        <v>32.577592702386013</v>
      </c>
      <c r="F19" s="184">
        <v>2.1420699999999998E-3</v>
      </c>
      <c r="G19" s="185">
        <v>6.9783484000000007E-2</v>
      </c>
      <c r="H19" s="173"/>
      <c r="I19" s="122" t="str">
        <f t="shared" si="1"/>
        <v>(30, 35]</v>
      </c>
      <c r="J19" s="157">
        <v>1</v>
      </c>
      <c r="K19" s="230">
        <v>0.19071754552668113</v>
      </c>
      <c r="L19" s="184">
        <v>4.085303327463378E-4</v>
      </c>
      <c r="M19" s="229">
        <v>408530</v>
      </c>
      <c r="N19" s="191">
        <v>4.0855510816272726E-4</v>
      </c>
      <c r="O19" s="207">
        <v>1.3309741910204592E-2</v>
      </c>
      <c r="P19" s="194">
        <v>4.2879067664282501E-4</v>
      </c>
      <c r="Q19" s="194">
        <v>1.3968968018250457E-2</v>
      </c>
      <c r="R19" s="1">
        <v>4.0851770056422523E-4</v>
      </c>
      <c r="S19" s="178">
        <v>4.0851770056422523E-4</v>
      </c>
      <c r="T19" s="1">
        <v>0.19071164834212948</v>
      </c>
    </row>
    <row r="20" spans="1:20" ht="15.6">
      <c r="A20" s="253">
        <v>35</v>
      </c>
      <c r="B20" s="254">
        <v>40</v>
      </c>
      <c r="C20" s="157">
        <v>376411</v>
      </c>
      <c r="D20" s="30">
        <v>1440717120</v>
      </c>
      <c r="E20" s="183">
        <f t="shared" si="0"/>
        <v>38.275106731737381</v>
      </c>
      <c r="F20" s="184">
        <v>3.7641100000000002E-3</v>
      </c>
      <c r="G20" s="185">
        <v>0.14407171199999999</v>
      </c>
      <c r="H20" s="173"/>
      <c r="I20" s="210" t="str">
        <f t="shared" si="1"/>
        <v>(35, 40]</v>
      </c>
      <c r="J20" s="157">
        <v>1</v>
      </c>
      <c r="K20" s="230">
        <v>0.25334743459680892</v>
      </c>
      <c r="L20" s="184">
        <v>9.5362761204019443E-4</v>
      </c>
      <c r="M20" s="229">
        <v>953627</v>
      </c>
      <c r="N20" s="191">
        <v>9.536856097028299E-4</v>
      </c>
      <c r="O20" s="207">
        <v>3.6502418499897854E-2</v>
      </c>
      <c r="P20" s="194">
        <v>1.0049665469022799E-3</v>
      </c>
      <c r="Q20" s="194">
        <v>3.8465201844510327E-2</v>
      </c>
      <c r="R20" s="1">
        <v>9.5745230772931904E-4</v>
      </c>
      <c r="S20" s="178">
        <v>9.5745230772931904E-4</v>
      </c>
      <c r="T20" s="1">
        <v>0.25436353021811769</v>
      </c>
    </row>
    <row r="21" spans="1:20" ht="15.6">
      <c r="A21" s="253">
        <v>40</v>
      </c>
      <c r="B21" s="254">
        <v>45</v>
      </c>
      <c r="C21" s="157">
        <v>165201</v>
      </c>
      <c r="D21" s="30">
        <v>718988620</v>
      </c>
      <c r="E21" s="183">
        <f t="shared" si="0"/>
        <v>43.52205010865552</v>
      </c>
      <c r="F21" s="184">
        <v>1.65201E-3</v>
      </c>
      <c r="G21" s="185">
        <v>7.1898862000000008E-2</v>
      </c>
      <c r="H21" s="173"/>
      <c r="I21" s="122" t="str">
        <f t="shared" si="1"/>
        <v>(40, 45]</v>
      </c>
      <c r="J21" s="157">
        <v>1</v>
      </c>
      <c r="K21" s="230">
        <v>0.13411575362295503</v>
      </c>
      <c r="L21" s="184">
        <v>2.2156056614265794E-4</v>
      </c>
      <c r="M21" s="229">
        <v>221560</v>
      </c>
      <c r="N21" s="191">
        <v>2.215736170282081E-4</v>
      </c>
      <c r="O21" s="207">
        <v>9.6433380630577201E-3</v>
      </c>
      <c r="P21" s="194">
        <v>2.3202958692793599E-4</v>
      </c>
      <c r="Q21" s="194">
        <v>1.0098403308968272E-2</v>
      </c>
      <c r="R21" s="1">
        <v>2.2105936177717854E-4</v>
      </c>
      <c r="S21" s="178">
        <v>2.2105936177717854E-4</v>
      </c>
      <c r="T21" s="1">
        <v>0.13381236298640961</v>
      </c>
    </row>
    <row r="22" spans="1:20" ht="15.6">
      <c r="A22" s="253">
        <v>45</v>
      </c>
      <c r="B22" s="254">
        <v>50</v>
      </c>
      <c r="C22" s="157">
        <v>203218</v>
      </c>
      <c r="D22" s="30">
        <v>977981300</v>
      </c>
      <c r="E22" s="183">
        <f t="shared" si="0"/>
        <v>48.124737966125046</v>
      </c>
      <c r="F22" s="184">
        <v>2.0321800000000002E-3</v>
      </c>
      <c r="G22" s="185">
        <v>9.7798130000000011E-2</v>
      </c>
      <c r="H22" s="173"/>
      <c r="I22" s="122" t="str">
        <f t="shared" si="1"/>
        <v>(45, 50]</v>
      </c>
      <c r="J22" s="157">
        <v>1</v>
      </c>
      <c r="K22" s="230">
        <v>0.54523346588489185</v>
      </c>
      <c r="L22" s="184">
        <v>1.1080125447019596E-3</v>
      </c>
      <c r="M22" s="229">
        <v>1108012</v>
      </c>
      <c r="N22" s="191">
        <v>1.1080800981705132E-3</v>
      </c>
      <c r="O22" s="207">
        <v>5.3326064369934062E-2</v>
      </c>
      <c r="P22" s="194">
        <v>1.16460290270869E-3</v>
      </c>
      <c r="Q22" s="194">
        <v>5.6046209527444324E-2</v>
      </c>
      <c r="R22" s="1">
        <v>1.1095411486320085E-3</v>
      </c>
      <c r="S22" s="178">
        <v>1.1095411486320085E-3</v>
      </c>
      <c r="T22" s="1">
        <v>0.54598566496669021</v>
      </c>
    </row>
    <row r="23" spans="1:20" ht="15.6">
      <c r="A23" s="253">
        <v>50</v>
      </c>
      <c r="B23" s="254">
        <v>60</v>
      </c>
      <c r="C23" s="157">
        <v>324269</v>
      </c>
      <c r="D23" s="30">
        <v>1840796800</v>
      </c>
      <c r="E23" s="183">
        <f t="shared" si="0"/>
        <v>56.767584937197206</v>
      </c>
      <c r="F23" s="184">
        <v>3.2426899999999999E-3</v>
      </c>
      <c r="G23" s="185">
        <v>0.18407968</v>
      </c>
      <c r="H23" s="173"/>
      <c r="I23" s="210" t="str">
        <f t="shared" si="1"/>
        <v>(50, 60]</v>
      </c>
      <c r="J23" s="157">
        <v>1</v>
      </c>
      <c r="K23" s="230">
        <v>0.13328569796490394</v>
      </c>
      <c r="L23" s="184">
        <v>4.3220419993381435E-4</v>
      </c>
      <c r="M23" s="229">
        <v>432204</v>
      </c>
      <c r="N23" s="191">
        <v>4.3223056316148964E-4</v>
      </c>
      <c r="O23" s="207">
        <v>2.4536685206722444E-2</v>
      </c>
      <c r="P23" s="194">
        <v>4.5292175368333E-4</v>
      </c>
      <c r="Q23" s="194">
        <v>2.5711274122122749E-2</v>
      </c>
      <c r="R23" s="1">
        <v>4.3150787418905147E-4</v>
      </c>
      <c r="S23" s="178">
        <v>4.3150787418905147E-4</v>
      </c>
      <c r="T23" s="1">
        <v>0.13307096089637044</v>
      </c>
    </row>
    <row r="24" spans="1:20" ht="15.6">
      <c r="A24" s="253">
        <v>60</v>
      </c>
      <c r="B24" s="254">
        <v>70</v>
      </c>
      <c r="C24" s="157">
        <v>197124</v>
      </c>
      <c r="D24" s="30">
        <v>1291443040</v>
      </c>
      <c r="E24" s="183">
        <f t="shared" si="0"/>
        <v>65.514246869990458</v>
      </c>
      <c r="F24" s="184">
        <v>1.97124E-3</v>
      </c>
      <c r="G24" s="185">
        <v>0.12914430399999999</v>
      </c>
      <c r="H24" s="173"/>
      <c r="I24" s="122" t="str">
        <f t="shared" si="1"/>
        <v>(60, 70]</v>
      </c>
      <c r="J24" s="157">
        <v>1</v>
      </c>
      <c r="K24" s="230">
        <v>2.2550303856244389E-2</v>
      </c>
      <c r="L24" s="184">
        <v>4.4452060973583191E-5</v>
      </c>
      <c r="M24" s="229">
        <v>44452</v>
      </c>
      <c r="N24" s="191">
        <v>4.4454732010010405E-5</v>
      </c>
      <c r="O24" s="207">
        <v>2.9124182874430888E-3</v>
      </c>
      <c r="P24" s="194">
        <v>4.6777164724671799E-5</v>
      </c>
      <c r="Q24" s="194">
        <v>3.0645707176503575E-3</v>
      </c>
      <c r="R24" s="1">
        <v>4.4565567334279095E-5</v>
      </c>
      <c r="S24" s="178">
        <v>4.4565567334279095E-5</v>
      </c>
      <c r="T24" s="1">
        <v>2.2607885054219221E-2</v>
      </c>
    </row>
    <row r="25" spans="1:20" ht="15.6">
      <c r="A25" s="253">
        <v>70</v>
      </c>
      <c r="B25" s="254">
        <v>80</v>
      </c>
      <c r="C25" s="157">
        <v>255967</v>
      </c>
      <c r="D25" s="30">
        <v>1949434600</v>
      </c>
      <c r="E25" s="183">
        <f t="shared" si="0"/>
        <v>76.159606511776914</v>
      </c>
      <c r="F25" s="184">
        <v>2.55967E-3</v>
      </c>
      <c r="G25" s="185">
        <v>0.19494346000000001</v>
      </c>
      <c r="H25" s="173"/>
      <c r="I25" s="210" t="str">
        <f t="shared" si="1"/>
        <v>(70, 80]</v>
      </c>
      <c r="J25" s="157">
        <v>1</v>
      </c>
      <c r="K25" s="230">
        <v>7.4473896223385364E-2</v>
      </c>
      <c r="L25" s="184">
        <v>1.9062859794611282E-4</v>
      </c>
      <c r="M25" s="229">
        <v>190628</v>
      </c>
      <c r="N25" s="191">
        <v>1.9063971595438369E-4</v>
      </c>
      <c r="O25" s="207">
        <v>1.4519045752602782E-2</v>
      </c>
      <c r="P25" s="194">
        <v>2.0010231576665199E-4</v>
      </c>
      <c r="Q25" s="194">
        <v>1.5239713630883549E-2</v>
      </c>
      <c r="R25" s="1">
        <v>1.9064159359663874E-4</v>
      </c>
      <c r="S25" s="178">
        <v>1.9064159359663874E-4</v>
      </c>
      <c r="T25" s="1">
        <v>7.4478973303839457E-2</v>
      </c>
    </row>
    <row r="26" spans="1:20" ht="15.6">
      <c r="A26" s="253">
        <v>80</v>
      </c>
      <c r="B26" s="254">
        <v>90</v>
      </c>
      <c r="C26" s="157">
        <v>168742</v>
      </c>
      <c r="D26" s="30">
        <v>1456119240</v>
      </c>
      <c r="E26" s="183">
        <f t="shared" si="0"/>
        <v>86.292638465823572</v>
      </c>
      <c r="F26" s="184">
        <v>1.68742E-3</v>
      </c>
      <c r="G26" s="185">
        <v>0.145611924</v>
      </c>
      <c r="H26" s="173"/>
      <c r="I26" s="122" t="str">
        <f t="shared" si="1"/>
        <v>(80, 90]</v>
      </c>
      <c r="J26" s="157">
        <v>1</v>
      </c>
      <c r="K26" s="230">
        <v>4.3483755327854E-2</v>
      </c>
      <c r="L26" s="184">
        <v>7.33753584153274E-5</v>
      </c>
      <c r="M26" s="229">
        <v>73375</v>
      </c>
      <c r="N26" s="191">
        <v>7.3379509611142663E-5</v>
      </c>
      <c r="O26" s="207">
        <v>6.3321114936737595E-3</v>
      </c>
      <c r="P26" s="194">
        <v>7.7219446529617E-5</v>
      </c>
      <c r="Q26" s="194">
        <v>6.6634697819112345E-3</v>
      </c>
      <c r="R26" s="1">
        <v>7.3568555599444921E-5</v>
      </c>
      <c r="S26" s="178">
        <v>7.3568555599444921E-5</v>
      </c>
      <c r="T26" s="1">
        <v>4.3598247975871404E-2</v>
      </c>
    </row>
    <row r="27" spans="1:20" ht="15.6">
      <c r="A27" s="253">
        <v>90</v>
      </c>
      <c r="B27" s="254">
        <v>100</v>
      </c>
      <c r="C27" s="157">
        <v>167385</v>
      </c>
      <c r="D27" s="30">
        <v>1609603760</v>
      </c>
      <c r="E27" s="183">
        <f t="shared" si="0"/>
        <v>96.161768378289565</v>
      </c>
      <c r="F27" s="184">
        <v>1.6738499999999999E-3</v>
      </c>
      <c r="G27" s="185">
        <v>0.16096037599999999</v>
      </c>
      <c r="H27" s="173"/>
      <c r="I27" s="122" t="str">
        <f t="shared" si="1"/>
        <v>(90, 100]</v>
      </c>
      <c r="J27" s="157">
        <v>1</v>
      </c>
      <c r="K27" s="230">
        <v>8.2708060409192277E-2</v>
      </c>
      <c r="L27" s="184">
        <v>1.3844088691592648E-4</v>
      </c>
      <c r="M27" s="229">
        <v>138440</v>
      </c>
      <c r="N27" s="191">
        <v>1.3844850849153786E-4</v>
      </c>
      <c r="O27" s="207">
        <v>1.3313453405882919E-2</v>
      </c>
      <c r="P27" s="194">
        <v>1.45157709582117E-4</v>
      </c>
      <c r="Q27" s="194">
        <v>1.3958622047158559E-2</v>
      </c>
      <c r="R27" s="1">
        <v>1.3829473672780313E-4</v>
      </c>
      <c r="S27" s="178">
        <v>1.3829473672780313E-4</v>
      </c>
      <c r="T27" s="1">
        <v>8.2620746618755042E-2</v>
      </c>
    </row>
    <row r="28" spans="1:20" ht="15.6">
      <c r="A28" s="253">
        <v>100</v>
      </c>
      <c r="B28" s="254">
        <v>120</v>
      </c>
      <c r="C28" s="157">
        <v>285202</v>
      </c>
      <c r="D28" s="30">
        <v>3187137680</v>
      </c>
      <c r="E28" s="183">
        <f t="shared" si="0"/>
        <v>111.75018688508496</v>
      </c>
      <c r="F28" s="184">
        <v>2.8520199999999998E-3</v>
      </c>
      <c r="G28" s="185">
        <v>0.31871376799999995</v>
      </c>
      <c r="H28" s="173"/>
      <c r="I28" s="122" t="str">
        <f t="shared" si="1"/>
        <v>(100, 120]</v>
      </c>
      <c r="J28" s="157">
        <v>1</v>
      </c>
      <c r="K28" s="230">
        <v>3.0621170699775817E-2</v>
      </c>
      <c r="L28" s="184">
        <v>8.7332191259174619E-5</v>
      </c>
      <c r="M28" s="229">
        <v>87332</v>
      </c>
      <c r="N28" s="191">
        <v>8.7337367405251263E-5</v>
      </c>
      <c r="O28" s="207">
        <v>9.7599671295881558E-3</v>
      </c>
      <c r="P28" s="194">
        <v>9.1698092753920201E-5</v>
      </c>
      <c r="Q28" s="194">
        <v>1.0247279002256438E-2</v>
      </c>
      <c r="R28" s="1">
        <v>8.7362659774340855E-5</v>
      </c>
      <c r="S28" s="178">
        <v>8.7362659774340855E-5</v>
      </c>
      <c r="T28" s="1">
        <v>3.063185383494536E-2</v>
      </c>
    </row>
    <row r="29" spans="1:20" ht="15.6">
      <c r="A29" s="253">
        <v>120</v>
      </c>
      <c r="B29" s="254">
        <v>140</v>
      </c>
      <c r="C29" s="157">
        <v>196747</v>
      </c>
      <c r="D29" s="30">
        <v>2577020240</v>
      </c>
      <c r="E29" s="183">
        <f t="shared" si="0"/>
        <v>130.98142487560165</v>
      </c>
      <c r="F29" s="184">
        <v>1.9674699999999998E-3</v>
      </c>
      <c r="G29" s="185">
        <v>0.25770202399999997</v>
      </c>
      <c r="H29" s="173"/>
      <c r="I29" s="122" t="str">
        <f t="shared" si="1"/>
        <v>(120, 140]</v>
      </c>
      <c r="J29" s="157">
        <v>1</v>
      </c>
      <c r="K29" s="230">
        <v>1.0761055043159669E-2</v>
      </c>
      <c r="L29" s="184">
        <v>2.1172052965765352E-5</v>
      </c>
      <c r="M29" s="229">
        <v>21172</v>
      </c>
      <c r="N29" s="191">
        <v>2.1173301226400169E-5</v>
      </c>
      <c r="O29" s="207">
        <v>2.7733091639542181E-3</v>
      </c>
      <c r="P29" s="194">
        <v>2.22748403450818E-5</v>
      </c>
      <c r="Q29" s="194">
        <v>2.9175903272753525E-3</v>
      </c>
      <c r="R29" s="1">
        <v>2.1221698730609087E-5</v>
      </c>
      <c r="S29" s="178">
        <v>2.1221698730609087E-5</v>
      </c>
      <c r="T29" s="1">
        <v>1.0786288345239871E-2</v>
      </c>
    </row>
    <row r="30" spans="1:20" ht="15.6">
      <c r="A30" s="253">
        <v>140</v>
      </c>
      <c r="B30" s="254">
        <v>160</v>
      </c>
      <c r="C30" s="157">
        <v>185544</v>
      </c>
      <c r="D30" s="30">
        <v>2804385800</v>
      </c>
      <c r="E30" s="183">
        <f t="shared" si="0"/>
        <v>151.14397663088002</v>
      </c>
      <c r="F30" s="184">
        <v>1.8554400000000001E-3</v>
      </c>
      <c r="G30" s="185">
        <v>0.28043858000000005</v>
      </c>
      <c r="H30" s="173"/>
      <c r="I30" s="122" t="str">
        <f t="shared" si="1"/>
        <v>(140, 160]</v>
      </c>
      <c r="J30" s="157">
        <v>1</v>
      </c>
      <c r="K30" s="230">
        <v>7.6839129959173332E-3</v>
      </c>
      <c r="L30" s="184">
        <v>1.4257039529144858E-5</v>
      </c>
      <c r="M30" s="229">
        <v>14257</v>
      </c>
      <c r="N30" s="191">
        <v>1.4257876232041717E-5</v>
      </c>
      <c r="O30" s="207">
        <v>2.1549921120216928E-3</v>
      </c>
      <c r="P30" s="194">
        <v>1.4849893563387901E-5</v>
      </c>
      <c r="Q30" s="194">
        <v>2.2444719657157565E-3</v>
      </c>
      <c r="R30" s="1">
        <v>1.4147799153739423E-5</v>
      </c>
      <c r="S30" s="178">
        <v>1.4147799153739423E-5</v>
      </c>
      <c r="T30" s="1">
        <v>7.62503727080338E-3</v>
      </c>
    </row>
    <row r="31" spans="1:20" ht="15.6">
      <c r="A31" s="253">
        <v>160</v>
      </c>
      <c r="B31" s="254">
        <v>180</v>
      </c>
      <c r="C31" s="157">
        <v>142149</v>
      </c>
      <c r="D31" s="30">
        <v>2437933280</v>
      </c>
      <c r="E31" s="183">
        <f t="shared" si="0"/>
        <v>171.50548227564036</v>
      </c>
      <c r="F31" s="184">
        <v>1.4214900000000001E-3</v>
      </c>
      <c r="G31" s="185">
        <v>0.24379332800000003</v>
      </c>
      <c r="H31" s="173"/>
      <c r="I31" s="122" t="str">
        <f t="shared" si="1"/>
        <v>(160, 180]</v>
      </c>
      <c r="J31" s="157">
        <v>1</v>
      </c>
      <c r="K31" s="230">
        <v>8.9412089613705777E-3</v>
      </c>
      <c r="L31" s="184">
        <v>1.2709839126498663E-5</v>
      </c>
      <c r="M31" s="229">
        <v>12709</v>
      </c>
      <c r="N31" s="191">
        <v>1.2709781092306809E-5</v>
      </c>
      <c r="O31" s="207">
        <v>2.1797971358538944E-3</v>
      </c>
      <c r="P31" s="194">
        <v>1.33649042070491E-5</v>
      </c>
      <c r="Q31" s="194">
        <v>2.2921543415976909E-3</v>
      </c>
      <c r="R31" s="1">
        <v>1.273301923836547E-5</v>
      </c>
      <c r="S31" s="178">
        <v>1.273301923836547E-5</v>
      </c>
      <c r="T31" s="1">
        <v>8.9575158730384793E-3</v>
      </c>
    </row>
    <row r="32" spans="1:20" ht="15.6">
      <c r="A32" s="253">
        <v>180</v>
      </c>
      <c r="B32" s="254">
        <v>200</v>
      </c>
      <c r="C32" s="157">
        <v>129447</v>
      </c>
      <c r="D32" s="30">
        <v>2486430640</v>
      </c>
      <c r="E32" s="183">
        <f t="shared" si="0"/>
        <v>192.08097831544956</v>
      </c>
      <c r="F32" s="184">
        <v>1.29447E-3</v>
      </c>
      <c r="G32" s="185">
        <v>0.248643064</v>
      </c>
      <c r="H32" s="173"/>
      <c r="I32" s="122" t="str">
        <f t="shared" si="1"/>
        <v>(180, 200]</v>
      </c>
      <c r="J32" s="157">
        <v>1</v>
      </c>
      <c r="K32" s="230">
        <v>4.3612800093536866E-3</v>
      </c>
      <c r="L32" s="184">
        <v>5.645546133708067E-6</v>
      </c>
      <c r="M32" s="229">
        <v>5645</v>
      </c>
      <c r="N32" s="191">
        <v>5.6453469404415714E-6</v>
      </c>
      <c r="O32" s="207">
        <v>1.084363763250147E-3</v>
      </c>
      <c r="P32" s="194">
        <v>5.9399574253551498E-6</v>
      </c>
      <c r="Q32" s="194">
        <v>1.140952833414336E-3</v>
      </c>
      <c r="R32" s="1">
        <v>5.6591196614957597E-6</v>
      </c>
      <c r="S32" s="178">
        <v>5.6591196614957597E-6</v>
      </c>
      <c r="T32" s="1">
        <v>4.371765789470408E-3</v>
      </c>
    </row>
    <row r="33" spans="1:20" ht="15.6">
      <c r="A33" s="253">
        <v>200</v>
      </c>
      <c r="B33" s="254">
        <v>250</v>
      </c>
      <c r="C33" s="157">
        <v>250612</v>
      </c>
      <c r="D33" s="30">
        <v>5619770140</v>
      </c>
      <c r="E33" s="183">
        <f t="shared" si="0"/>
        <v>224.24186152299171</v>
      </c>
      <c r="F33" s="184">
        <v>2.5061200000000001E-3</v>
      </c>
      <c r="G33" s="185">
        <v>0.561977014</v>
      </c>
      <c r="H33" s="173"/>
      <c r="I33" s="122" t="str">
        <f t="shared" si="1"/>
        <v>(200, 250]</v>
      </c>
      <c r="J33" s="157">
        <v>1</v>
      </c>
      <c r="K33" s="230">
        <v>2.3972395051852433E-3</v>
      </c>
      <c r="L33" s="184">
        <v>6.0077698687348424E-6</v>
      </c>
      <c r="M33" s="229">
        <v>6007</v>
      </c>
      <c r="N33" s="191">
        <v>6.0073691888808718E-6</v>
      </c>
      <c r="O33" s="207">
        <v>1.3471036497705116E-3</v>
      </c>
      <c r="P33" s="194">
        <v>6.3112047644398504E-6</v>
      </c>
      <c r="Q33" s="194">
        <v>1.4152363048307664E-3</v>
      </c>
      <c r="R33" s="1">
        <v>6.0128146403392477E-6</v>
      </c>
      <c r="S33" s="178">
        <v>6.0128146403392477E-6</v>
      </c>
      <c r="T33" s="1">
        <v>2.399252486049849E-3</v>
      </c>
    </row>
    <row r="34" spans="1:20" ht="15.6">
      <c r="A34" s="253">
        <v>250</v>
      </c>
      <c r="B34" s="254">
        <v>300</v>
      </c>
      <c r="C34" s="157">
        <v>173868</v>
      </c>
      <c r="D34" s="30">
        <v>4785735260</v>
      </c>
      <c r="E34" s="183">
        <f t="shared" si="0"/>
        <v>275.25106747647641</v>
      </c>
      <c r="F34" s="184">
        <v>1.73868E-3</v>
      </c>
      <c r="G34" s="185">
        <v>0.47857352600000003</v>
      </c>
      <c r="H34" s="173"/>
      <c r="I34" s="122" t="str">
        <f t="shared" si="1"/>
        <v>(250, 300]</v>
      </c>
      <c r="J34" s="157">
        <v>1</v>
      </c>
      <c r="K34" s="230">
        <v>4.0700370205354574E-4</v>
      </c>
      <c r="L34" s="184">
        <v>7.0764919668645896E-7</v>
      </c>
      <c r="M34" s="229">
        <v>707</v>
      </c>
      <c r="N34" s="191">
        <v>7.0704345206238994E-7</v>
      </c>
      <c r="O34" s="207">
        <v>1.9461446493242572E-4</v>
      </c>
      <c r="P34" s="194">
        <v>7.4249467816939405E-7</v>
      </c>
      <c r="Q34" s="194">
        <v>2.0437245276172853E-4</v>
      </c>
      <c r="R34" s="1">
        <v>7.0738995768697018E-7</v>
      </c>
      <c r="S34" s="178">
        <v>7.0738995768697018E-7</v>
      </c>
      <c r="T34" s="1">
        <v>4.0685460101166985E-4</v>
      </c>
    </row>
    <row r="35" spans="1:20" ht="15.6">
      <c r="A35" s="253">
        <v>300</v>
      </c>
      <c r="B35" s="254">
        <v>350</v>
      </c>
      <c r="C35" s="157">
        <v>120231</v>
      </c>
      <c r="D35" s="30">
        <v>3902840620</v>
      </c>
      <c r="E35" s="183">
        <f t="shared" si="0"/>
        <v>324.61184054029331</v>
      </c>
      <c r="F35" s="184">
        <v>1.2023100000000001E-3</v>
      </c>
      <c r="G35" s="185">
        <v>0.3902840620000001</v>
      </c>
      <c r="H35" s="173"/>
      <c r="I35" s="122" t="str">
        <f t="shared" si="1"/>
        <v>(300, 350]</v>
      </c>
      <c r="J35" s="157">
        <v>1</v>
      </c>
      <c r="K35" s="230">
        <v>2.953433679522469E-4</v>
      </c>
      <c r="L35" s="184">
        <v>3.5509428472266597E-7</v>
      </c>
      <c r="M35" s="229">
        <v>355</v>
      </c>
      <c r="N35" s="191">
        <v>3.550218182208606E-7</v>
      </c>
      <c r="O35" s="207">
        <v>1.15244285844635E-4</v>
      </c>
      <c r="P35" s="194">
        <v>3.7124733908469702E-7</v>
      </c>
      <c r="Q35" s="194">
        <v>1.2051128203596987E-4</v>
      </c>
      <c r="R35" s="1">
        <v>3.5369497884348509E-7</v>
      </c>
      <c r="S35" s="178">
        <v>3.5369497884348509E-7</v>
      </c>
      <c r="T35" s="1">
        <v>2.9417952012666043E-4</v>
      </c>
    </row>
    <row r="36" spans="1:20" ht="15.6">
      <c r="A36" s="253">
        <v>350</v>
      </c>
      <c r="B36" s="254">
        <v>400</v>
      </c>
      <c r="C36" s="157">
        <v>101299</v>
      </c>
      <c r="D36" s="30">
        <v>3810751320</v>
      </c>
      <c r="E36" s="183">
        <f t="shared" si="0"/>
        <v>376.18844411099815</v>
      </c>
      <c r="F36" s="184">
        <v>1.0129900000000001E-3</v>
      </c>
      <c r="G36" s="185">
        <v>0.38107513200000004</v>
      </c>
      <c r="H36" s="173"/>
      <c r="I36" s="122" t="str">
        <f t="shared" si="1"/>
        <v>(350, 400]</v>
      </c>
      <c r="J36" s="157">
        <v>1</v>
      </c>
      <c r="K36" s="230">
        <v>0</v>
      </c>
      <c r="L36" s="184">
        <v>0</v>
      </c>
      <c r="M36" s="229">
        <v>0</v>
      </c>
      <c r="N36" s="191">
        <v>0</v>
      </c>
      <c r="O36" s="207">
        <v>0</v>
      </c>
      <c r="P36" s="194">
        <v>0</v>
      </c>
      <c r="Q36" s="194">
        <v>0</v>
      </c>
      <c r="R36" s="1">
        <v>0</v>
      </c>
      <c r="S36" s="178">
        <v>0</v>
      </c>
      <c r="T36" s="1">
        <v>0</v>
      </c>
    </row>
    <row r="37" spans="1:20" ht="15.6">
      <c r="A37" s="253">
        <v>400</v>
      </c>
      <c r="B37" s="254">
        <v>450</v>
      </c>
      <c r="C37" s="157">
        <v>76969</v>
      </c>
      <c r="D37" s="30">
        <v>3273311860</v>
      </c>
      <c r="E37" s="183">
        <f t="shared" si="0"/>
        <v>425.27665163897154</v>
      </c>
      <c r="F37" s="184">
        <v>7.6968999999999996E-4</v>
      </c>
      <c r="G37" s="185">
        <v>0.327331186</v>
      </c>
      <c r="H37" s="173"/>
      <c r="I37" s="122" t="str">
        <f t="shared" si="1"/>
        <v>(400, 450]</v>
      </c>
      <c r="J37" s="157">
        <v>1</v>
      </c>
      <c r="K37" s="230">
        <v>0</v>
      </c>
      <c r="L37" s="184">
        <v>0</v>
      </c>
      <c r="M37" s="229">
        <v>0</v>
      </c>
      <c r="N37" s="191">
        <v>0</v>
      </c>
      <c r="O37" s="207">
        <v>0</v>
      </c>
      <c r="P37" s="194">
        <v>0</v>
      </c>
      <c r="Q37" s="194">
        <v>0</v>
      </c>
      <c r="R37" s="1">
        <v>0</v>
      </c>
      <c r="S37" s="178">
        <v>0</v>
      </c>
      <c r="T37" s="1">
        <v>0</v>
      </c>
    </row>
    <row r="38" spans="1:20" ht="15.6">
      <c r="A38" s="253">
        <v>450</v>
      </c>
      <c r="B38" s="254">
        <v>500</v>
      </c>
      <c r="C38" s="157">
        <v>66958</v>
      </c>
      <c r="D38" s="30">
        <v>3195883300</v>
      </c>
      <c r="E38" s="183">
        <f t="shared" si="0"/>
        <v>477.29670838436033</v>
      </c>
      <c r="F38" s="184">
        <v>6.6958000000000002E-4</v>
      </c>
      <c r="G38" s="185">
        <v>0.31958832999999998</v>
      </c>
      <c r="H38" s="173"/>
      <c r="I38" s="122" t="str">
        <f t="shared" si="1"/>
        <v>(450, 500]</v>
      </c>
      <c r="J38" s="157">
        <v>1</v>
      </c>
      <c r="K38" s="230">
        <v>0</v>
      </c>
      <c r="L38" s="184">
        <v>0</v>
      </c>
      <c r="M38" s="229">
        <v>0</v>
      </c>
      <c r="N38" s="191">
        <v>0</v>
      </c>
      <c r="O38" s="207">
        <v>0</v>
      </c>
      <c r="P38" s="194">
        <v>0</v>
      </c>
      <c r="Q38" s="194">
        <v>0</v>
      </c>
      <c r="R38" s="1">
        <v>0</v>
      </c>
      <c r="S38" s="178">
        <v>0</v>
      </c>
      <c r="T38" s="1">
        <v>0</v>
      </c>
    </row>
    <row r="39" spans="1:20" ht="15.6">
      <c r="A39" s="253">
        <v>500</v>
      </c>
      <c r="B39" s="254">
        <v>550</v>
      </c>
      <c r="C39" s="157">
        <v>63841</v>
      </c>
      <c r="D39" s="30">
        <v>3349902500</v>
      </c>
      <c r="E39" s="183">
        <f t="shared" si="0"/>
        <v>524.72588148681882</v>
      </c>
      <c r="F39" s="184">
        <v>6.3840999999999995E-4</v>
      </c>
      <c r="G39" s="185">
        <v>0.33499024999999999</v>
      </c>
      <c r="H39" s="173"/>
      <c r="I39" s="122" t="str">
        <f t="shared" si="1"/>
        <v>(500, 550]</v>
      </c>
      <c r="J39" s="157">
        <v>1</v>
      </c>
      <c r="K39" s="230">
        <v>1.08E-4</v>
      </c>
      <c r="L39" s="184">
        <v>6.8948279999999986E-8</v>
      </c>
      <c r="M39" s="229">
        <v>68</v>
      </c>
      <c r="N39" s="191">
        <v>6.8004179264840897E-8</v>
      </c>
      <c r="O39" s="207">
        <v>3.5683552909531287E-5</v>
      </c>
      <c r="P39" s="194">
        <v>0</v>
      </c>
      <c r="Q39" s="194">
        <v>0</v>
      </c>
      <c r="R39" s="1">
        <v>0</v>
      </c>
      <c r="S39" s="178">
        <v>0</v>
      </c>
      <c r="T39" s="1">
        <v>0</v>
      </c>
    </row>
    <row r="40" spans="1:20" ht="15.6">
      <c r="A40" s="253">
        <v>550</v>
      </c>
      <c r="B40" s="254">
        <v>600</v>
      </c>
      <c r="C40" s="157">
        <v>49241</v>
      </c>
      <c r="D40" s="30">
        <v>2836792460</v>
      </c>
      <c r="E40" s="183">
        <f t="shared" si="0"/>
        <v>576.10374687760202</v>
      </c>
      <c r="F40" s="184">
        <v>4.9240999999999998E-4</v>
      </c>
      <c r="G40" s="185">
        <v>0.283679246</v>
      </c>
      <c r="H40" s="173"/>
      <c r="I40" s="122" t="str">
        <f t="shared" si="1"/>
        <v>(550, 600]</v>
      </c>
      <c r="J40" s="157">
        <v>1</v>
      </c>
      <c r="K40" s="230">
        <v>0</v>
      </c>
      <c r="L40" s="184">
        <v>0</v>
      </c>
      <c r="M40" s="229">
        <v>0</v>
      </c>
      <c r="N40" s="191">
        <v>0</v>
      </c>
      <c r="O40" s="207">
        <v>0</v>
      </c>
      <c r="P40" s="194">
        <v>0</v>
      </c>
      <c r="Q40" s="194">
        <v>0</v>
      </c>
      <c r="R40" s="1">
        <v>0</v>
      </c>
      <c r="S40" s="178">
        <v>0</v>
      </c>
      <c r="T40" s="1">
        <v>0</v>
      </c>
    </row>
    <row r="41" spans="1:20" ht="15.6">
      <c r="A41" s="253">
        <v>600</v>
      </c>
      <c r="B41" s="254">
        <v>650</v>
      </c>
      <c r="C41" s="157">
        <v>36244</v>
      </c>
      <c r="D41" s="30">
        <v>2268304480</v>
      </c>
      <c r="E41" s="183">
        <f t="shared" si="0"/>
        <v>625.84275466284078</v>
      </c>
      <c r="F41" s="184">
        <v>3.6244000000000001E-4</v>
      </c>
      <c r="G41" s="185">
        <v>0.22683044800000002</v>
      </c>
      <c r="H41" s="173"/>
      <c r="I41" s="122" t="str">
        <f t="shared" si="1"/>
        <v>(600, 650]</v>
      </c>
      <c r="J41" s="157">
        <v>1</v>
      </c>
      <c r="K41" s="230">
        <v>0</v>
      </c>
      <c r="L41" s="184">
        <v>0</v>
      </c>
      <c r="M41" s="229">
        <v>0</v>
      </c>
      <c r="N41" s="191">
        <v>0</v>
      </c>
      <c r="O41" s="207">
        <v>0</v>
      </c>
      <c r="P41" s="194">
        <v>0</v>
      </c>
      <c r="Q41" s="194">
        <v>0</v>
      </c>
      <c r="R41" s="1">
        <v>0</v>
      </c>
      <c r="S41" s="178">
        <v>0</v>
      </c>
      <c r="T41" s="1">
        <v>0</v>
      </c>
    </row>
    <row r="42" spans="1:20" ht="15.6">
      <c r="A42" s="253">
        <v>650</v>
      </c>
      <c r="B42" s="254">
        <v>700</v>
      </c>
      <c r="C42" s="157">
        <v>30702</v>
      </c>
      <c r="D42" s="30">
        <v>2073268860</v>
      </c>
      <c r="E42" s="183">
        <f t="shared" si="0"/>
        <v>675.28788352550328</v>
      </c>
      <c r="F42" s="184">
        <v>3.0702000000000003E-4</v>
      </c>
      <c r="G42" s="185">
        <v>0.20732688600000004</v>
      </c>
      <c r="H42" s="173"/>
      <c r="I42" s="122" t="str">
        <f t="shared" si="1"/>
        <v>(650, 700]</v>
      </c>
      <c r="J42" s="157">
        <v>0</v>
      </c>
      <c r="K42" s="230">
        <v>0</v>
      </c>
      <c r="L42" s="184">
        <v>0</v>
      </c>
      <c r="M42" s="229">
        <v>0</v>
      </c>
      <c r="N42" s="191">
        <v>0</v>
      </c>
      <c r="O42" s="207">
        <v>0</v>
      </c>
      <c r="P42" s="194">
        <v>0</v>
      </c>
      <c r="Q42" s="194">
        <v>0</v>
      </c>
      <c r="R42" s="1">
        <v>0</v>
      </c>
      <c r="S42" s="178">
        <v>0</v>
      </c>
      <c r="T42" s="1">
        <v>0</v>
      </c>
    </row>
    <row r="43" spans="1:20" ht="15.6">
      <c r="A43" s="253">
        <v>700</v>
      </c>
      <c r="B43" s="254">
        <v>750</v>
      </c>
      <c r="C43" s="157">
        <v>26624</v>
      </c>
      <c r="D43" s="30">
        <v>1929990420</v>
      </c>
      <c r="E43" s="183">
        <f t="shared" si="0"/>
        <v>724.90625751201924</v>
      </c>
      <c r="F43" s="184">
        <v>2.6624E-4</v>
      </c>
      <c r="G43" s="185">
        <v>0.19299904200000001</v>
      </c>
      <c r="H43" s="173"/>
      <c r="I43" s="122" t="str">
        <f t="shared" si="1"/>
        <v>(700, 750]</v>
      </c>
      <c r="J43" s="157">
        <v>0</v>
      </c>
      <c r="K43" s="230">
        <v>0</v>
      </c>
      <c r="L43" s="184">
        <v>0</v>
      </c>
      <c r="M43" s="229">
        <v>0</v>
      </c>
      <c r="N43" s="191">
        <v>0</v>
      </c>
      <c r="O43" s="207">
        <v>0</v>
      </c>
      <c r="P43" s="194">
        <v>0</v>
      </c>
      <c r="Q43" s="194">
        <v>0</v>
      </c>
      <c r="R43" s="1">
        <v>0</v>
      </c>
      <c r="S43" s="178">
        <v>0</v>
      </c>
      <c r="T43" s="1">
        <v>0</v>
      </c>
    </row>
    <row r="44" spans="1:20" ht="15.6">
      <c r="A44" s="253">
        <v>750</v>
      </c>
      <c r="B44" s="254">
        <v>800</v>
      </c>
      <c r="C44" s="157">
        <v>29582</v>
      </c>
      <c r="D44" s="30">
        <v>2311927880</v>
      </c>
      <c r="E44" s="183">
        <f t="shared" si="0"/>
        <v>781.53197214522345</v>
      </c>
      <c r="F44" s="184">
        <v>2.9582000000000002E-4</v>
      </c>
      <c r="G44" s="185">
        <v>0.23119278800000001</v>
      </c>
      <c r="H44" s="173"/>
      <c r="I44" s="122" t="str">
        <f t="shared" si="1"/>
        <v>(750, 800]</v>
      </c>
      <c r="J44" s="157">
        <v>0</v>
      </c>
      <c r="K44" s="230">
        <v>0</v>
      </c>
      <c r="L44" s="184">
        <v>0</v>
      </c>
      <c r="M44" s="229">
        <v>0</v>
      </c>
      <c r="N44" s="191">
        <v>0</v>
      </c>
      <c r="O44" s="207">
        <v>0</v>
      </c>
      <c r="P44" s="194">
        <v>0</v>
      </c>
      <c r="Q44" s="194">
        <v>0</v>
      </c>
      <c r="R44" s="1">
        <v>0</v>
      </c>
      <c r="S44" s="178">
        <v>0</v>
      </c>
      <c r="T44" s="1">
        <v>0</v>
      </c>
    </row>
    <row r="45" spans="1:20" ht="15.6">
      <c r="A45" s="253">
        <v>800</v>
      </c>
      <c r="B45" s="254">
        <v>850</v>
      </c>
      <c r="C45" s="157">
        <v>31660</v>
      </c>
      <c r="D45" s="30">
        <v>2618094520</v>
      </c>
      <c r="E45" s="183">
        <f t="shared" si="0"/>
        <v>826.9407833228048</v>
      </c>
      <c r="F45" s="184">
        <v>3.166E-4</v>
      </c>
      <c r="G45" s="185">
        <v>0.261809452</v>
      </c>
      <c r="H45" s="173"/>
      <c r="I45" s="122" t="str">
        <f t="shared" si="1"/>
        <v>(800, 850]</v>
      </c>
      <c r="J45" s="157">
        <v>0</v>
      </c>
      <c r="K45" s="230">
        <v>0</v>
      </c>
      <c r="L45" s="184">
        <v>0</v>
      </c>
      <c r="M45" s="229">
        <v>0</v>
      </c>
      <c r="N45" s="191">
        <v>0</v>
      </c>
      <c r="O45" s="207">
        <v>0</v>
      </c>
      <c r="P45" s="194">
        <v>0</v>
      </c>
      <c r="Q45" s="194">
        <v>0</v>
      </c>
      <c r="R45" s="1">
        <v>0</v>
      </c>
      <c r="S45" s="178">
        <v>0</v>
      </c>
      <c r="T45" s="1">
        <v>0</v>
      </c>
    </row>
    <row r="46" spans="1:20" ht="15.6">
      <c r="A46" s="253">
        <v>850</v>
      </c>
      <c r="B46" s="254">
        <v>900</v>
      </c>
      <c r="C46" s="157">
        <v>25319</v>
      </c>
      <c r="D46" s="30">
        <v>2214041620</v>
      </c>
      <c r="E46" s="183">
        <f t="shared" si="0"/>
        <v>874.45855681504008</v>
      </c>
      <c r="F46" s="184">
        <v>2.5318999999999998E-4</v>
      </c>
      <c r="G46" s="185">
        <v>0.22140416199999999</v>
      </c>
      <c r="H46" s="173"/>
      <c r="I46" s="122" t="str">
        <f t="shared" si="1"/>
        <v>(850, 900]</v>
      </c>
      <c r="J46" s="157">
        <v>0</v>
      </c>
      <c r="K46" s="230">
        <v>0</v>
      </c>
      <c r="L46" s="184">
        <v>0</v>
      </c>
      <c r="M46" s="229">
        <v>0</v>
      </c>
      <c r="N46" s="191">
        <v>0</v>
      </c>
      <c r="O46" s="207">
        <v>0</v>
      </c>
      <c r="P46" s="194">
        <v>0</v>
      </c>
      <c r="Q46" s="194">
        <v>0</v>
      </c>
      <c r="R46" s="1">
        <v>0</v>
      </c>
      <c r="S46" s="178">
        <v>0</v>
      </c>
      <c r="T46" s="1">
        <v>0</v>
      </c>
    </row>
    <row r="47" spans="1:20" ht="15.6">
      <c r="A47" s="253">
        <v>900</v>
      </c>
      <c r="B47" s="254">
        <v>950</v>
      </c>
      <c r="C47" s="157">
        <v>17351</v>
      </c>
      <c r="D47" s="30">
        <v>1604425740</v>
      </c>
      <c r="E47" s="183">
        <f t="shared" si="0"/>
        <v>924.68776439398312</v>
      </c>
      <c r="F47" s="184">
        <v>1.7351000000000001E-4</v>
      </c>
      <c r="G47" s="185">
        <v>0.16044257400000003</v>
      </c>
      <c r="H47" s="173"/>
      <c r="I47" s="122" t="str">
        <f t="shared" si="1"/>
        <v>(900, 950]</v>
      </c>
      <c r="J47" s="157">
        <v>0</v>
      </c>
      <c r="K47" s="230">
        <v>0</v>
      </c>
      <c r="L47" s="184">
        <v>0</v>
      </c>
      <c r="M47" s="229">
        <v>0</v>
      </c>
      <c r="N47" s="191">
        <v>0</v>
      </c>
      <c r="O47" s="207">
        <v>0</v>
      </c>
      <c r="P47" s="194">
        <v>0</v>
      </c>
      <c r="Q47" s="194">
        <v>0</v>
      </c>
      <c r="R47" s="1">
        <v>0</v>
      </c>
      <c r="S47" s="178">
        <v>0</v>
      </c>
      <c r="T47" s="1">
        <v>0</v>
      </c>
    </row>
    <row r="48" spans="1:20" ht="15.6">
      <c r="A48" s="253">
        <v>950</v>
      </c>
      <c r="B48" s="254">
        <v>1000</v>
      </c>
      <c r="C48" s="157">
        <v>22344</v>
      </c>
      <c r="D48" s="30">
        <v>2195989840</v>
      </c>
      <c r="E48" s="183">
        <f t="shared" si="0"/>
        <v>982.8096312209093</v>
      </c>
      <c r="F48" s="184">
        <v>2.2343999999999999E-4</v>
      </c>
      <c r="G48" s="185">
        <v>0.21959898399999997</v>
      </c>
      <c r="H48" s="173"/>
      <c r="I48" s="122" t="str">
        <f t="shared" si="1"/>
        <v>(950, 1000]</v>
      </c>
      <c r="J48" s="157">
        <v>0</v>
      </c>
      <c r="K48" s="230">
        <v>0</v>
      </c>
      <c r="L48" s="184">
        <v>0</v>
      </c>
      <c r="M48" s="229">
        <v>0</v>
      </c>
      <c r="N48" s="191">
        <v>0</v>
      </c>
      <c r="O48" s="207">
        <v>0</v>
      </c>
      <c r="P48" s="194">
        <v>3.7124733908469702E-7</v>
      </c>
      <c r="Q48" s="194">
        <v>3.6486546041757497E-4</v>
      </c>
      <c r="R48" s="1">
        <v>3.5369497884348509E-7</v>
      </c>
      <c r="S48" s="178">
        <v>3.5369497884348509E-7</v>
      </c>
      <c r="T48" s="1">
        <v>1.5829528233238682E-3</v>
      </c>
    </row>
    <row r="49" spans="1:20" ht="15.6">
      <c r="A49" s="253">
        <v>1000</v>
      </c>
      <c r="B49" s="254">
        <v>2000</v>
      </c>
      <c r="C49" s="157">
        <v>247568</v>
      </c>
      <c r="D49" s="30">
        <v>34895596880</v>
      </c>
      <c r="E49" s="183">
        <f t="shared" si="0"/>
        <v>1409.5358398500614</v>
      </c>
      <c r="F49" s="184">
        <v>2.4756800000000001E-3</v>
      </c>
      <c r="G49" s="185">
        <v>3.4895596879999999</v>
      </c>
      <c r="H49" s="173"/>
      <c r="I49" s="122" t="str">
        <f t="shared" si="1"/>
        <v>(1000, 2000]</v>
      </c>
      <c r="J49" s="157">
        <v>1</v>
      </c>
      <c r="K49" s="230">
        <v>9.0000000000000006E-5</v>
      </c>
      <c r="L49" s="184">
        <v>2.2281120000000003E-7</v>
      </c>
      <c r="M49" s="229">
        <v>222</v>
      </c>
      <c r="N49" s="191">
        <v>2.2201364407050998E-7</v>
      </c>
      <c r="O49" s="207">
        <v>3.1293618825309891E-4</v>
      </c>
      <c r="P49" s="194">
        <v>0</v>
      </c>
      <c r="Q49" s="194">
        <v>0</v>
      </c>
      <c r="R49" s="1">
        <v>0</v>
      </c>
      <c r="S49" s="178">
        <v>0</v>
      </c>
      <c r="T49" s="1">
        <v>0</v>
      </c>
    </row>
    <row r="50" spans="1:20" ht="15.6">
      <c r="A50" s="253">
        <v>2000</v>
      </c>
      <c r="B50" s="254">
        <v>3000</v>
      </c>
      <c r="C50" s="157">
        <v>110800</v>
      </c>
      <c r="D50" s="30">
        <v>26706283260</v>
      </c>
      <c r="E50" s="183">
        <f t="shared" si="0"/>
        <v>2410.3143736462093</v>
      </c>
      <c r="F50" s="184">
        <v>1.108E-3</v>
      </c>
      <c r="G50" s="185">
        <v>2.6706283260000001</v>
      </c>
      <c r="H50" s="173"/>
      <c r="I50" s="122" t="str">
        <f t="shared" si="1"/>
        <v>(2000, 3000]</v>
      </c>
      <c r="J50" s="157">
        <v>1</v>
      </c>
      <c r="K50" s="230">
        <v>0</v>
      </c>
      <c r="L50" s="184">
        <v>0</v>
      </c>
      <c r="M50" s="229">
        <v>0</v>
      </c>
      <c r="N50" s="191">
        <v>0</v>
      </c>
      <c r="O50" s="207">
        <v>0</v>
      </c>
      <c r="P50" s="194">
        <v>0</v>
      </c>
      <c r="Q50" s="194">
        <v>0</v>
      </c>
      <c r="R50" s="1">
        <v>0</v>
      </c>
      <c r="S50" s="178">
        <v>0</v>
      </c>
      <c r="T50" s="1">
        <v>0</v>
      </c>
    </row>
    <row r="51" spans="1:20" ht="15.6">
      <c r="A51" s="253">
        <v>3000</v>
      </c>
      <c r="B51" s="254">
        <v>4000</v>
      </c>
      <c r="C51" s="157">
        <v>51673</v>
      </c>
      <c r="D51" s="30">
        <v>17757022700</v>
      </c>
      <c r="E51" s="183">
        <f t="shared" si="0"/>
        <v>3436.4218644166199</v>
      </c>
      <c r="F51" s="184">
        <v>5.1672999999999997E-4</v>
      </c>
      <c r="G51" s="185">
        <v>1.7757022699999998</v>
      </c>
      <c r="H51" s="173"/>
      <c r="I51" s="122" t="str">
        <f t="shared" si="1"/>
        <v>(3000, 4000]</v>
      </c>
      <c r="J51" s="157">
        <v>1</v>
      </c>
      <c r="K51" s="230">
        <v>0</v>
      </c>
      <c r="L51" s="184">
        <v>0</v>
      </c>
      <c r="M51" s="229">
        <v>0</v>
      </c>
      <c r="N51" s="191">
        <v>0</v>
      </c>
      <c r="O51" s="207">
        <v>0</v>
      </c>
      <c r="P51" s="194">
        <v>0</v>
      </c>
      <c r="Q51" s="194">
        <v>0</v>
      </c>
      <c r="R51" s="1">
        <v>0</v>
      </c>
      <c r="S51" s="178">
        <v>0</v>
      </c>
      <c r="T51" s="1">
        <v>0</v>
      </c>
    </row>
    <row r="52" spans="1:20" ht="15.6">
      <c r="A52" s="253">
        <v>4000</v>
      </c>
      <c r="B52" s="254">
        <v>5000</v>
      </c>
      <c r="C52" s="157">
        <v>31007</v>
      </c>
      <c r="D52" s="30">
        <v>13779144020</v>
      </c>
      <c r="E52" s="183">
        <f t="shared" si="0"/>
        <v>4443.8817105814815</v>
      </c>
      <c r="F52" s="184">
        <v>3.1007000000000002E-4</v>
      </c>
      <c r="G52" s="185">
        <v>1.377914402</v>
      </c>
      <c r="H52" s="173"/>
      <c r="I52" s="122" t="str">
        <f t="shared" si="1"/>
        <v>(4000, 5000]</v>
      </c>
      <c r="J52" s="157">
        <v>0</v>
      </c>
      <c r="K52" s="230">
        <v>0</v>
      </c>
      <c r="L52" s="184">
        <v>0</v>
      </c>
      <c r="M52" s="229">
        <v>0</v>
      </c>
      <c r="N52" s="191">
        <v>0</v>
      </c>
      <c r="O52" s="207">
        <v>0</v>
      </c>
      <c r="P52" s="194">
        <v>0</v>
      </c>
      <c r="Q52" s="194">
        <v>0</v>
      </c>
      <c r="R52" s="1">
        <v>0</v>
      </c>
      <c r="S52" s="178">
        <v>0</v>
      </c>
      <c r="T52" s="1">
        <v>0</v>
      </c>
    </row>
    <row r="53" spans="1:20" ht="15.6">
      <c r="A53" s="253">
        <v>5000</v>
      </c>
      <c r="B53" s="254">
        <v>6000</v>
      </c>
      <c r="C53" s="157">
        <v>15139</v>
      </c>
      <c r="D53" s="30">
        <v>8260523660</v>
      </c>
      <c r="E53" s="183">
        <f t="shared" si="0"/>
        <v>5456.4526454851703</v>
      </c>
      <c r="F53" s="184">
        <v>1.5139E-4</v>
      </c>
      <c r="G53" s="185">
        <v>0.82605236599999987</v>
      </c>
      <c r="H53" s="173"/>
      <c r="I53" s="122" t="str">
        <f t="shared" si="1"/>
        <v>(5000, 6000]</v>
      </c>
      <c r="J53" s="157">
        <v>0</v>
      </c>
      <c r="K53" s="230">
        <v>0</v>
      </c>
      <c r="L53" s="184">
        <v>0</v>
      </c>
      <c r="M53" s="229">
        <v>0</v>
      </c>
      <c r="N53" s="191">
        <v>0</v>
      </c>
      <c r="O53" s="207">
        <v>0</v>
      </c>
      <c r="P53" s="194">
        <v>0</v>
      </c>
      <c r="Q53" s="194">
        <v>0</v>
      </c>
      <c r="R53" s="1">
        <v>0</v>
      </c>
      <c r="S53" s="178">
        <v>0</v>
      </c>
      <c r="T53" s="1">
        <v>0</v>
      </c>
    </row>
    <row r="54" spans="1:20" ht="15.6">
      <c r="A54" s="253">
        <v>6000</v>
      </c>
      <c r="B54" s="254">
        <v>7000</v>
      </c>
      <c r="C54" s="157">
        <v>10296</v>
      </c>
      <c r="D54" s="30">
        <v>6634417080</v>
      </c>
      <c r="E54" s="183">
        <f t="shared" si="0"/>
        <v>6443.6840326340325</v>
      </c>
      <c r="F54" s="184">
        <v>1.0296E-4</v>
      </c>
      <c r="G54" s="185">
        <v>0.66344170800000002</v>
      </c>
      <c r="H54" s="173"/>
      <c r="I54" s="122" t="str">
        <f t="shared" si="1"/>
        <v>(6000, 7000]</v>
      </c>
      <c r="J54" s="157">
        <v>0</v>
      </c>
      <c r="K54" s="230">
        <v>0</v>
      </c>
      <c r="L54" s="184">
        <v>0</v>
      </c>
      <c r="M54" s="229">
        <v>0</v>
      </c>
      <c r="N54" s="191">
        <v>0</v>
      </c>
      <c r="O54" s="207">
        <v>0</v>
      </c>
      <c r="P54" s="194">
        <v>0</v>
      </c>
      <c r="Q54" s="194">
        <v>0</v>
      </c>
      <c r="R54" s="1">
        <v>0</v>
      </c>
      <c r="S54" s="178">
        <v>0</v>
      </c>
      <c r="T54" s="1">
        <v>0</v>
      </c>
    </row>
    <row r="55" spans="1:20" ht="15.6">
      <c r="A55" s="253">
        <v>7000</v>
      </c>
      <c r="B55" s="254">
        <v>8000</v>
      </c>
      <c r="C55" s="157">
        <v>16379</v>
      </c>
      <c r="D55" s="30">
        <v>15875619560</v>
      </c>
      <c r="E55" s="183">
        <f t="shared" si="0"/>
        <v>9692.6671713779833</v>
      </c>
      <c r="F55" s="184">
        <v>1.6379E-4</v>
      </c>
      <c r="G55" s="185">
        <v>1.5875619559999998</v>
      </c>
      <c r="H55" s="173"/>
      <c r="I55" s="122" t="str">
        <f t="shared" si="1"/>
        <v>(7000, 8000]</v>
      </c>
      <c r="J55" s="157">
        <v>0</v>
      </c>
      <c r="K55" s="230">
        <v>0</v>
      </c>
      <c r="L55" s="184">
        <v>0</v>
      </c>
      <c r="M55" s="229">
        <v>0</v>
      </c>
      <c r="N55" s="191">
        <v>0</v>
      </c>
      <c r="O55" s="207">
        <v>0</v>
      </c>
      <c r="P55" s="194">
        <v>0</v>
      </c>
      <c r="Q55" s="194">
        <v>0</v>
      </c>
      <c r="R55" s="1">
        <v>0</v>
      </c>
      <c r="S55" s="178">
        <v>0</v>
      </c>
      <c r="T55" s="1">
        <v>0</v>
      </c>
    </row>
    <row r="56" spans="1:20" ht="15.6">
      <c r="A56" s="253">
        <v>8000</v>
      </c>
      <c r="B56" s="254">
        <v>9000</v>
      </c>
      <c r="C56" s="157">
        <v>0</v>
      </c>
      <c r="D56" s="30">
        <v>0</v>
      </c>
      <c r="E56" s="183">
        <f t="shared" si="0"/>
        <v>0</v>
      </c>
      <c r="F56" s="184">
        <v>0</v>
      </c>
      <c r="G56" s="185">
        <v>0</v>
      </c>
      <c r="H56" s="173"/>
      <c r="I56" s="122" t="str">
        <f t="shared" si="1"/>
        <v>(8000, 9000]</v>
      </c>
      <c r="J56" s="157">
        <v>0</v>
      </c>
      <c r="K56" s="230">
        <v>0</v>
      </c>
      <c r="L56" s="184">
        <v>0</v>
      </c>
      <c r="M56" s="229">
        <v>0</v>
      </c>
      <c r="N56" s="191">
        <v>0</v>
      </c>
      <c r="O56" s="207">
        <v>0</v>
      </c>
      <c r="P56" s="194"/>
      <c r="Q56" s="194"/>
      <c r="S56" s="178"/>
      <c r="T56" s="1" t="e">
        <v>#N/A</v>
      </c>
    </row>
    <row r="57" spans="1:20" ht="15.6">
      <c r="A57" s="253">
        <v>9000</v>
      </c>
      <c r="B57" s="254">
        <v>10000</v>
      </c>
      <c r="C57" s="157">
        <v>0</v>
      </c>
      <c r="D57" s="30">
        <v>0</v>
      </c>
      <c r="E57" s="183">
        <f t="shared" si="0"/>
        <v>0</v>
      </c>
      <c r="F57" s="184">
        <v>0</v>
      </c>
      <c r="G57" s="185">
        <v>0</v>
      </c>
      <c r="H57" s="173"/>
      <c r="I57" s="122" t="str">
        <f t="shared" si="1"/>
        <v>(9000, 10000]</v>
      </c>
      <c r="J57" s="157">
        <v>0</v>
      </c>
      <c r="K57" s="230">
        <v>0</v>
      </c>
      <c r="L57" s="184">
        <v>0</v>
      </c>
      <c r="M57" s="229">
        <v>0</v>
      </c>
      <c r="N57" s="191">
        <v>0</v>
      </c>
      <c r="O57" s="207">
        <v>0</v>
      </c>
      <c r="P57" s="194"/>
      <c r="Q57" s="194"/>
      <c r="S57" s="178"/>
      <c r="T57" s="1" t="e">
        <v>#N/A</v>
      </c>
    </row>
    <row r="58" spans="1:20" ht="15.6">
      <c r="A58" s="253">
        <v>10000</v>
      </c>
      <c r="B58" s="254">
        <v>20000</v>
      </c>
      <c r="C58" s="157">
        <v>0</v>
      </c>
      <c r="D58" s="30">
        <v>0</v>
      </c>
      <c r="E58" s="183">
        <f>IFERROR((D58/$E$1)/(C58),0)</f>
        <v>0</v>
      </c>
      <c r="F58" s="184">
        <v>0</v>
      </c>
      <c r="G58" s="185">
        <v>0</v>
      </c>
      <c r="H58" s="173"/>
      <c r="I58" s="122" t="str">
        <f t="shared" si="1"/>
        <v>(10000, 20000]</v>
      </c>
      <c r="J58" s="157">
        <v>0</v>
      </c>
      <c r="K58" s="230">
        <v>0</v>
      </c>
      <c r="L58" s="184">
        <v>0</v>
      </c>
      <c r="M58" s="229">
        <v>0</v>
      </c>
      <c r="N58" s="191">
        <v>0</v>
      </c>
      <c r="O58" s="207">
        <v>0</v>
      </c>
      <c r="P58" s="194"/>
      <c r="Q58" s="194"/>
      <c r="S58" s="178"/>
      <c r="T58" s="1" t="e">
        <v>#N/A</v>
      </c>
    </row>
    <row r="59" spans="1:20" ht="15.6">
      <c r="A59" s="253">
        <v>20000</v>
      </c>
      <c r="B59" s="254">
        <v>30000</v>
      </c>
      <c r="C59" s="157">
        <v>0</v>
      </c>
      <c r="D59" s="30">
        <v>0</v>
      </c>
      <c r="E59" s="183">
        <f t="shared" si="0"/>
        <v>0</v>
      </c>
      <c r="F59" s="184">
        <v>0</v>
      </c>
      <c r="G59" s="185">
        <v>0</v>
      </c>
      <c r="H59" s="173"/>
      <c r="I59" s="122" t="str">
        <f t="shared" si="1"/>
        <v>(20000, 30000]</v>
      </c>
      <c r="J59" s="157">
        <v>0</v>
      </c>
      <c r="K59" s="230">
        <v>0</v>
      </c>
      <c r="L59" s="184">
        <v>0</v>
      </c>
      <c r="M59" s="229">
        <v>0</v>
      </c>
      <c r="N59" s="191">
        <v>0</v>
      </c>
      <c r="O59" s="207">
        <v>0</v>
      </c>
      <c r="P59" s="194"/>
      <c r="Q59" s="194"/>
      <c r="S59" s="178"/>
      <c r="T59" s="1" t="e">
        <v>#N/A</v>
      </c>
    </row>
    <row r="60" spans="1:20" ht="15.6">
      <c r="A60" s="253">
        <v>30000</v>
      </c>
      <c r="B60" s="254">
        <v>100000</v>
      </c>
      <c r="C60" s="157">
        <v>0</v>
      </c>
      <c r="D60" s="30">
        <v>0</v>
      </c>
      <c r="E60" s="183">
        <f t="shared" si="0"/>
        <v>0</v>
      </c>
      <c r="F60" s="184">
        <v>0</v>
      </c>
      <c r="G60" s="185">
        <v>0</v>
      </c>
      <c r="H60" s="173"/>
      <c r="I60" s="122" t="str">
        <f t="shared" si="1"/>
        <v>(30000, 100000]</v>
      </c>
      <c r="J60" s="157">
        <v>0</v>
      </c>
      <c r="K60" s="230">
        <v>0</v>
      </c>
      <c r="L60" s="184">
        <v>0</v>
      </c>
      <c r="M60" s="229">
        <v>0</v>
      </c>
      <c r="N60" s="191">
        <v>0</v>
      </c>
      <c r="O60" s="207">
        <v>0</v>
      </c>
      <c r="P60" s="194"/>
      <c r="Q60" s="194"/>
      <c r="S60" s="178"/>
      <c r="T60" s="1" t="e">
        <v>#N/A</v>
      </c>
    </row>
    <row r="61" spans="1:20" thickBot="1">
      <c r="A61" s="255">
        <v>100000</v>
      </c>
      <c r="B61" s="256">
        <v>999999</v>
      </c>
      <c r="C61" s="159">
        <v>0</v>
      </c>
      <c r="D61" s="164">
        <v>0</v>
      </c>
      <c r="E61" s="186">
        <f t="shared" si="0"/>
        <v>0</v>
      </c>
      <c r="F61" s="187">
        <v>0</v>
      </c>
      <c r="G61" s="188">
        <v>0</v>
      </c>
      <c r="H61" s="173"/>
      <c r="I61" s="123" t="str">
        <f t="shared" si="1"/>
        <v>(100000, 999999]</v>
      </c>
      <c r="J61" s="159">
        <v>0</v>
      </c>
      <c r="K61" s="246">
        <v>0</v>
      </c>
      <c r="L61" s="187">
        <v>0</v>
      </c>
      <c r="M61" s="240">
        <v>0</v>
      </c>
      <c r="N61" s="192">
        <v>0</v>
      </c>
      <c r="O61" s="208">
        <v>0</v>
      </c>
      <c r="P61" s="194"/>
      <c r="Q61" s="194"/>
      <c r="S61" s="178"/>
      <c r="T61" s="1" t="e">
        <v>#N/A</v>
      </c>
    </row>
    <row r="62" spans="1:20" ht="16.8" thickBot="1">
      <c r="L62" s="176"/>
      <c r="O62" s="10">
        <f>SUM(O28:O55)</f>
        <v>1.9958011446378314E-2</v>
      </c>
    </row>
    <row r="63" spans="1:20" ht="16.8" thickBot="1">
      <c r="L63" s="176"/>
      <c r="M63" s="112"/>
      <c r="N63" s="112" t="s">
        <v>168</v>
      </c>
      <c r="O63" s="215" t="s">
        <v>167</v>
      </c>
    </row>
    <row r="64" spans="1:20">
      <c r="L64" s="176"/>
      <c r="M64" s="125" t="s">
        <v>165</v>
      </c>
      <c r="N64" s="248">
        <f>1/SUM(N35:N55)</f>
        <v>1550292.3162790698</v>
      </c>
      <c r="O64" s="216" cm="1">
        <f t="array" ref="O64:O65">N66/N64:N65</f>
        <v>2.2576387454467404</v>
      </c>
    </row>
    <row r="65" spans="1:26" ht="16.8" thickBot="1">
      <c r="L65" s="176"/>
      <c r="M65" s="122" t="s">
        <v>166</v>
      </c>
      <c r="N65" s="249">
        <f>1/N49</f>
        <v>4504227.6756756762</v>
      </c>
      <c r="O65" s="216">
        <v>0.77704775424678485</v>
      </c>
    </row>
    <row r="66" spans="1:26" ht="16.8" thickBot="1">
      <c r="D66" s="1" t="s">
        <v>170</v>
      </c>
      <c r="E66" s="1">
        <v>150</v>
      </c>
      <c r="L66" s="176"/>
      <c r="M66" s="112" t="s">
        <v>164</v>
      </c>
      <c r="N66" s="112">
        <v>3500000</v>
      </c>
      <c r="O66" s="162"/>
    </row>
    <row r="67" spans="1:26" ht="16.8" thickBot="1">
      <c r="A67" s="143" t="s">
        <v>104</v>
      </c>
      <c r="B67" s="143"/>
      <c r="C67" s="143" t="s">
        <v>172</v>
      </c>
      <c r="D67" s="143"/>
      <c r="E67" s="143"/>
      <c r="F67" s="217"/>
      <c r="G67" s="143"/>
      <c r="H67" s="143"/>
      <c r="I67" s="143"/>
      <c r="J67" s="143"/>
      <c r="K67" s="143"/>
      <c r="L67" s="143"/>
      <c r="M67" s="143"/>
      <c r="N67" s="143"/>
      <c r="O67" s="218">
        <f>SUM(_xlfn.ANCHORARRAY(O69))</f>
        <v>0.91999674230626383</v>
      </c>
      <c r="P67" s="218">
        <v>0.92</v>
      </c>
    </row>
    <row r="68" spans="1:26" thickBot="1">
      <c r="A68" s="161" t="str" cm="1">
        <f t="array" ref="A68:G68">A3:G3</f>
        <v>Lower</v>
      </c>
      <c r="B68" s="162" t="str">
        <v>Upper</v>
      </c>
      <c r="C68" s="222" t="str">
        <v>Count</v>
      </c>
      <c r="D68" s="223" t="str">
        <v>Pay</v>
      </c>
      <c r="E68" s="223" t="str">
        <v>Multi.</v>
      </c>
      <c r="F68" s="223" t="str">
        <v>Prob.</v>
      </c>
      <c r="G68" s="224" t="str">
        <v>RTP</v>
      </c>
      <c r="I68" s="112" t="s">
        <v>147</v>
      </c>
      <c r="J68" s="161" t="s">
        <v>161</v>
      </c>
      <c r="K68" s="180" t="s">
        <v>149</v>
      </c>
      <c r="L68" s="180" t="s">
        <v>151</v>
      </c>
      <c r="M68" s="180" t="s">
        <v>150</v>
      </c>
      <c r="N68" s="180" t="s">
        <v>152</v>
      </c>
      <c r="O68" s="112" t="s">
        <v>153</v>
      </c>
      <c r="P68" s="179">
        <f>SUM(_xlfn.ANCHORARRAY(Q69))</f>
        <v>0.95588230791008122</v>
      </c>
      <c r="R68" s="212">
        <f>1-SUM(_xlfn.ANCHORARRAY(R69))</f>
        <v>3.7538416197422042E-2</v>
      </c>
    </row>
    <row r="69" spans="1:26" ht="15.6">
      <c r="A69" s="251" cm="1">
        <f t="array" ref="A69:B126">A4:B61</f>
        <v>-1</v>
      </c>
      <c r="B69" s="252">
        <v>0</v>
      </c>
      <c r="C69" s="155">
        <v>79527545</v>
      </c>
      <c r="D69" s="163">
        <v>0</v>
      </c>
      <c r="E69" s="237">
        <f>IFERROR((D69/$E$66)/(C69),0)</f>
        <v>0</v>
      </c>
      <c r="F69" s="181" cm="1">
        <f t="array" ref="F69:F126">C69:C126/SUM(C69:C126)</f>
        <v>0.79527544999999999</v>
      </c>
      <c r="G69" s="182" cm="1">
        <f t="array" ref="G69:G126">E69:E126*_xlfn.ANCHORARRAY(F69)</f>
        <v>0</v>
      </c>
      <c r="H69" s="174"/>
      <c r="I69" s="125" t="str">
        <f>"("&amp;$A69&amp;", "&amp;$B69&amp;"]"</f>
        <v>(-1, 0]</v>
      </c>
      <c r="J69" s="155" cm="1">
        <f t="array" ref="J69:J126">IFERROR(IF(1/_xlfn.ANCHORARRAY(F69)&lt;$J$2,1,0),0)</f>
        <v>1</v>
      </c>
      <c r="K69" s="244">
        <v>1.1123706896750862</v>
      </c>
      <c r="L69" s="181" cm="1">
        <f t="array" ref="L69:L126">K69:K126*_xlfn.ANCHORARRAY(J69)*_xlfn.ANCHORARRAY(F69)</f>
        <v>0.8846411007981646</v>
      </c>
      <c r="M69" s="236" cm="1">
        <f t="array" ref="M69:M126">INT(_xlfn.ANCHORARRAY(L69)*$M$2)</f>
        <v>884641100</v>
      </c>
      <c r="N69" s="190" cm="1">
        <f t="array" ref="N69:N126">_xlfn.ANCHORARRAY(M69)/SUM(_xlfn.ANCHORARRAY(M69))</f>
        <v>0.88464973418140558</v>
      </c>
      <c r="O69" s="206" cm="1">
        <f t="array" ref="O69:O126">_xlfn.ANCHORARRAY(N69)*E69:E126</f>
        <v>0</v>
      </c>
      <c r="P69" s="179">
        <v>0.88014181434019922</v>
      </c>
      <c r="Q69" s="179" cm="1">
        <f t="array" ref="Q69:Q120">P69:P120*E69:E120</f>
        <v>0</v>
      </c>
      <c r="R69" s="212" cm="1">
        <f t="array" ref="R69:R120">P67*P69:P120/P68</f>
        <v>0.84710268460074245</v>
      </c>
      <c r="S69" s="178">
        <f>R69+R68</f>
        <v>0.88464110079816449</v>
      </c>
      <c r="T69" s="209" cm="1">
        <f t="array" ref="T69:T120">S69:S120/F69:F120</f>
        <v>1.1123706896750862</v>
      </c>
      <c r="U69" s="176"/>
      <c r="Y69" s="176"/>
      <c r="Z69" s="263"/>
    </row>
    <row r="70" spans="1:26" ht="15.6">
      <c r="A70" s="253">
        <v>0</v>
      </c>
      <c r="B70" s="254">
        <v>1</v>
      </c>
      <c r="C70" s="157">
        <v>1221030</v>
      </c>
      <c r="D70" s="30">
        <v>91661240</v>
      </c>
      <c r="E70" s="183">
        <f t="shared" ref="E70:E126" si="2">IFERROR((D70/$E$66)/(C70),0)</f>
        <v>0.50045857459139687</v>
      </c>
      <c r="F70" s="184">
        <v>1.22103E-2</v>
      </c>
      <c r="G70" s="185">
        <v>6.1107493333333335E-3</v>
      </c>
      <c r="H70" s="174"/>
      <c r="I70" s="122" t="str">
        <f t="shared" ref="I70:I126" si="3">"("&amp;$A70&amp;", "&amp;$B70&amp;"]"</f>
        <v>(0, 1]</v>
      </c>
      <c r="J70" s="157">
        <v>1</v>
      </c>
      <c r="K70" s="230">
        <v>0.33055134398690089</v>
      </c>
      <c r="L70" s="184">
        <v>4.036131075483256E-3</v>
      </c>
      <c r="M70" s="229">
        <v>4036131</v>
      </c>
      <c r="N70" s="191">
        <v>4.0361703930230355E-3</v>
      </c>
      <c r="O70" s="207">
        <v>2.0199360817003066E-3</v>
      </c>
      <c r="P70" s="179">
        <v>4.1935503124571009E-3</v>
      </c>
      <c r="Q70" s="179">
        <v>2.0986982118495878E-3</v>
      </c>
      <c r="R70" s="1">
        <v>4.036131075483256E-3</v>
      </c>
      <c r="S70" s="178" cm="1">
        <f t="array" ref="S70:S120">R70:R120</f>
        <v>4.036131075483256E-3</v>
      </c>
      <c r="T70" s="1">
        <v>0.33055134398690089</v>
      </c>
      <c r="U70" s="176"/>
      <c r="Y70" s="176"/>
    </row>
    <row r="71" spans="1:26" ht="15.6">
      <c r="A71" s="253">
        <v>1</v>
      </c>
      <c r="B71" s="254">
        <v>2</v>
      </c>
      <c r="C71" s="157">
        <v>1983581</v>
      </c>
      <c r="D71" s="30">
        <v>340592420</v>
      </c>
      <c r="E71" s="183">
        <f t="shared" si="2"/>
        <v>1.144705526688012</v>
      </c>
      <c r="F71" s="184">
        <v>1.9835809999999999E-2</v>
      </c>
      <c r="G71" s="185">
        <v>2.2706161333333332E-2</v>
      </c>
      <c r="H71" s="174"/>
      <c r="I71" s="210" t="str">
        <f t="shared" si="3"/>
        <v>(1, 2]</v>
      </c>
      <c r="J71" s="157">
        <v>1</v>
      </c>
      <c r="K71" s="230">
        <v>0.59050611914469409</v>
      </c>
      <c r="L71" s="184">
        <v>1.1713167183191514E-2</v>
      </c>
      <c r="M71" s="229">
        <v>11713167</v>
      </c>
      <c r="N71" s="191">
        <v>1.1713281321625699E-2</v>
      </c>
      <c r="O71" s="207">
        <v>1.3408257864516399E-2</v>
      </c>
      <c r="P71" s="179">
        <v>1.217001008696275E-2</v>
      </c>
      <c r="Q71" s="179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76"/>
      <c r="Y71" s="176"/>
    </row>
    <row r="72" spans="1:26" ht="15.6">
      <c r="A72" s="253">
        <v>2</v>
      </c>
      <c r="B72" s="254">
        <v>3</v>
      </c>
      <c r="C72" s="157">
        <v>1400402</v>
      </c>
      <c r="D72" s="30">
        <v>385097500</v>
      </c>
      <c r="E72" s="183">
        <f t="shared" si="2"/>
        <v>1.8332712083149456</v>
      </c>
      <c r="F72" s="184">
        <v>1.4004020000000001E-2</v>
      </c>
      <c r="G72" s="185">
        <v>2.5673166666666667E-2</v>
      </c>
      <c r="H72" s="174"/>
      <c r="I72" s="122" t="str">
        <f t="shared" si="3"/>
        <v>(2, 3]</v>
      </c>
      <c r="J72" s="157">
        <v>1</v>
      </c>
      <c r="K72" s="230">
        <v>0.42874966626435673</v>
      </c>
      <c r="L72" s="184">
        <v>6.0042189013593773E-3</v>
      </c>
      <c r="M72" s="229">
        <v>6004218</v>
      </c>
      <c r="N72" s="191">
        <v>6.0042766017396332E-3</v>
      </c>
      <c r="O72" s="207">
        <v>1.1007467420728372E-2</v>
      </c>
      <c r="P72" s="179">
        <v>6.2383985006834062E-3</v>
      </c>
      <c r="Q72" s="179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76"/>
      <c r="Y72" s="176"/>
    </row>
    <row r="73" spans="1:26" ht="15.6">
      <c r="A73" s="253">
        <v>3</v>
      </c>
      <c r="B73" s="254">
        <v>4</v>
      </c>
      <c r="C73" s="157">
        <v>1843384</v>
      </c>
      <c r="D73" s="30">
        <v>681736680</v>
      </c>
      <c r="E73" s="183">
        <f t="shared" si="2"/>
        <v>2.4655260108582913</v>
      </c>
      <c r="F73" s="184">
        <v>1.843384E-2</v>
      </c>
      <c r="G73" s="185">
        <v>4.5449112000000007E-2</v>
      </c>
      <c r="H73" s="174"/>
      <c r="I73" s="122" t="str">
        <f t="shared" si="3"/>
        <v>(3, 4]</v>
      </c>
      <c r="J73" s="157">
        <v>1</v>
      </c>
      <c r="K73" s="230">
        <v>0.60101244522638764</v>
      </c>
      <c r="L73" s="184">
        <v>1.1078967253311993E-2</v>
      </c>
      <c r="M73" s="229">
        <v>11078967</v>
      </c>
      <c r="N73" s="191">
        <v>1.1079075131773286E-2</v>
      </c>
      <c r="O73" s="207">
        <v>2.7315747913640286E-2</v>
      </c>
      <c r="P73" s="179">
        <v>1.1511074768865306E-2</v>
      </c>
      <c r="Q73" s="179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76"/>
      <c r="Y73" s="176"/>
    </row>
    <row r="74" spans="1:26" ht="15.6">
      <c r="A74" s="253">
        <v>4</v>
      </c>
      <c r="B74" s="254">
        <v>5</v>
      </c>
      <c r="C74" s="157">
        <v>1261039</v>
      </c>
      <c r="D74" s="30">
        <v>605977340</v>
      </c>
      <c r="E74" s="183">
        <f t="shared" si="2"/>
        <v>3.2035876236447351</v>
      </c>
      <c r="F74" s="184">
        <v>1.2610390000000001E-2</v>
      </c>
      <c r="G74" s="185">
        <v>4.0398489333333336E-2</v>
      </c>
      <c r="H74" s="174"/>
      <c r="I74" s="122" t="str">
        <f t="shared" si="3"/>
        <v>(4, 5]</v>
      </c>
      <c r="J74" s="157">
        <v>1</v>
      </c>
      <c r="K74" s="230">
        <v>0.82043147060621513</v>
      </c>
      <c r="L74" s="184">
        <v>1.034596081261791E-2</v>
      </c>
      <c r="M74" s="229">
        <v>10345960</v>
      </c>
      <c r="N74" s="191">
        <v>1.0346060977555142E-2</v>
      </c>
      <c r="O74" s="207">
        <v>3.3144512901169404E-2</v>
      </c>
      <c r="P74" s="179">
        <v>1.0749479238165724E-2</v>
      </c>
      <c r="Q74" s="179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76"/>
      <c r="Y74" s="176"/>
    </row>
    <row r="75" spans="1:26" ht="15.6">
      <c r="A75" s="253">
        <v>5</v>
      </c>
      <c r="B75" s="254">
        <v>6</v>
      </c>
      <c r="C75" s="157">
        <v>1254493</v>
      </c>
      <c r="D75" s="30">
        <v>746676720</v>
      </c>
      <c r="E75" s="183">
        <f t="shared" si="2"/>
        <v>3.9680132133060924</v>
      </c>
      <c r="F75" s="184">
        <v>1.2544929999999999E-2</v>
      </c>
      <c r="G75" s="185">
        <v>4.9778447999999996E-2</v>
      </c>
      <c r="H75" s="174"/>
      <c r="I75" s="122" t="str">
        <f t="shared" si="3"/>
        <v>(5, 6]</v>
      </c>
      <c r="J75" s="157">
        <v>1</v>
      </c>
      <c r="K75" s="230">
        <v>0.7290074009922195</v>
      </c>
      <c r="L75" s="184">
        <v>9.1453468149293241E-3</v>
      </c>
      <c r="M75" s="229">
        <v>9145346</v>
      </c>
      <c r="N75" s="191">
        <v>9.1454352594481318E-3</v>
      </c>
      <c r="O75" s="207">
        <v>3.628920795092562E-2</v>
      </c>
      <c r="P75" s="179">
        <v>9.5020382827095129E-3</v>
      </c>
      <c r="Q75" s="179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76"/>
      <c r="Y75" s="176"/>
    </row>
    <row r="76" spans="1:26" ht="15.6">
      <c r="A76" s="253">
        <v>6</v>
      </c>
      <c r="B76" s="254">
        <v>7</v>
      </c>
      <c r="C76" s="157">
        <v>316037</v>
      </c>
      <c r="D76" s="30">
        <v>206311540</v>
      </c>
      <c r="E76" s="183">
        <f t="shared" si="2"/>
        <v>4.352054559012605</v>
      </c>
      <c r="F76" s="184">
        <v>3.16037E-3</v>
      </c>
      <c r="G76" s="185">
        <v>1.3754102666666667E-2</v>
      </c>
      <c r="H76" s="174"/>
      <c r="I76" s="122" t="str">
        <f t="shared" si="3"/>
        <v>(6, 7]</v>
      </c>
      <c r="J76" s="157">
        <v>1</v>
      </c>
      <c r="K76" s="230">
        <v>0.66054758436093131</v>
      </c>
      <c r="L76" s="184">
        <v>2.0875747691867564E-3</v>
      </c>
      <c r="M76" s="229">
        <v>2087574</v>
      </c>
      <c r="N76" s="191">
        <v>2.0875943749210993E-3</v>
      </c>
      <c r="O76" s="207">
        <v>9.085324616744439E-3</v>
      </c>
      <c r="P76" s="179">
        <v>2.168995422070752E-3</v>
      </c>
      <c r="Q76" s="179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76"/>
      <c r="Y76" s="176"/>
    </row>
    <row r="77" spans="1:26" ht="15.6">
      <c r="A77" s="253">
        <v>7</v>
      </c>
      <c r="B77" s="254">
        <v>8</v>
      </c>
      <c r="C77" s="157">
        <v>1316405</v>
      </c>
      <c r="D77" s="30">
        <v>1015442580</v>
      </c>
      <c r="E77" s="183">
        <f t="shared" si="2"/>
        <v>5.1425034089053145</v>
      </c>
      <c r="F77" s="184">
        <v>1.316405E-2</v>
      </c>
      <c r="G77" s="185">
        <v>6.7696172000000013E-2</v>
      </c>
      <c r="H77" s="174"/>
      <c r="I77" s="210" t="str">
        <f t="shared" si="3"/>
        <v>(7, 8]</v>
      </c>
      <c r="J77" s="157">
        <v>1</v>
      </c>
      <c r="K77" s="230">
        <v>0.72317352377813093</v>
      </c>
      <c r="L77" s="184">
        <v>9.5198924256915049E-3</v>
      </c>
      <c r="M77" s="229">
        <v>9519892</v>
      </c>
      <c r="N77" s="191">
        <v>9.5199849150527701E-3</v>
      </c>
      <c r="O77" s="207">
        <v>4.8956554878386044E-2</v>
      </c>
      <c r="P77" s="179">
        <v>9.891192111875757E-3</v>
      </c>
      <c r="Q77" s="179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76"/>
      <c r="Y77" s="176"/>
    </row>
    <row r="78" spans="1:26" ht="15.6">
      <c r="A78" s="253">
        <v>8</v>
      </c>
      <c r="B78" s="254">
        <v>9</v>
      </c>
      <c r="C78" s="157">
        <v>574169</v>
      </c>
      <c r="D78" s="30">
        <v>512208280</v>
      </c>
      <c r="E78" s="183">
        <f t="shared" si="2"/>
        <v>5.9472417818911625</v>
      </c>
      <c r="F78" s="184">
        <v>5.7416899999999998E-3</v>
      </c>
      <c r="G78" s="185">
        <v>3.4147218666666666E-2</v>
      </c>
      <c r="H78" s="174"/>
      <c r="I78" s="122" t="str">
        <f t="shared" si="3"/>
        <v>(8, 9]</v>
      </c>
      <c r="J78" s="157">
        <v>1</v>
      </c>
      <c r="K78" s="230">
        <v>0.62631340746078512</v>
      </c>
      <c r="L78" s="184">
        <v>3.5960974284835151E-3</v>
      </c>
      <c r="M78" s="229">
        <v>3596097</v>
      </c>
      <c r="N78" s="191">
        <v>3.5961320982492791E-3</v>
      </c>
      <c r="O78" s="207">
        <v>2.1387067067908046E-2</v>
      </c>
      <c r="P78" s="179">
        <v>3.7363542493568814E-3</v>
      </c>
      <c r="Q78" s="179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76"/>
      <c r="Y78" s="176"/>
    </row>
    <row r="79" spans="1:26" ht="15.6">
      <c r="A79" s="253">
        <v>9</v>
      </c>
      <c r="B79" s="254">
        <v>10</v>
      </c>
      <c r="C79" s="157">
        <v>713840</v>
      </c>
      <c r="D79" s="30">
        <v>696013360</v>
      </c>
      <c r="E79" s="183">
        <f t="shared" si="2"/>
        <v>6.5001808061563748</v>
      </c>
      <c r="F79" s="184">
        <v>7.1383999999999996E-3</v>
      </c>
      <c r="G79" s="185">
        <v>4.6400890666666667E-2</v>
      </c>
      <c r="H79" s="174"/>
      <c r="I79" s="122" t="str">
        <f t="shared" si="3"/>
        <v>(9, 10]</v>
      </c>
      <c r="J79" s="157">
        <v>1</v>
      </c>
      <c r="K79" s="230">
        <v>1.1721860319530641</v>
      </c>
      <c r="L79" s="184">
        <v>8.3675327704937526E-3</v>
      </c>
      <c r="M79" s="229">
        <v>8367532</v>
      </c>
      <c r="N79" s="191">
        <v>8.3676136679093991E-3</v>
      </c>
      <c r="O79" s="207">
        <v>5.4391001757476416E-2</v>
      </c>
      <c r="P79" s="179">
        <v>8.6938875393182645E-3</v>
      </c>
      <c r="Q79" s="179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76"/>
      <c r="Y79" s="176"/>
    </row>
    <row r="80" spans="1:26" ht="15.6">
      <c r="A80" s="253">
        <v>10</v>
      </c>
      <c r="B80" s="254">
        <v>15</v>
      </c>
      <c r="C80" s="157">
        <v>1791031</v>
      </c>
      <c r="D80" s="30">
        <v>2280142320</v>
      </c>
      <c r="E80" s="183">
        <f t="shared" si="2"/>
        <v>8.4872616945212016</v>
      </c>
      <c r="F80" s="184">
        <v>1.7910309999999999E-2</v>
      </c>
      <c r="G80" s="185">
        <v>0.152009488</v>
      </c>
      <c r="H80" s="174"/>
      <c r="I80" s="210" t="str">
        <f t="shared" si="3"/>
        <v>(10, 15]</v>
      </c>
      <c r="J80" s="157">
        <v>1</v>
      </c>
      <c r="K80" s="230">
        <v>0.81551519246783599</v>
      </c>
      <c r="L80" s="184">
        <v>1.4606129906808606E-2</v>
      </c>
      <c r="M80" s="229">
        <v>14606129</v>
      </c>
      <c r="N80" s="191">
        <v>1.4606271557210398E-2</v>
      </c>
      <c r="O80" s="207">
        <v>0.12396724908728636</v>
      </c>
      <c r="P80" s="179">
        <v>1.5175805614081161E-2</v>
      </c>
      <c r="Q80" s="179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76"/>
      <c r="Y80" s="176"/>
    </row>
    <row r="81" spans="1:25" ht="15.6">
      <c r="A81" s="253">
        <v>15</v>
      </c>
      <c r="B81" s="254">
        <v>20</v>
      </c>
      <c r="C81" s="157">
        <v>1124732</v>
      </c>
      <c r="D81" s="30">
        <v>2007398080</v>
      </c>
      <c r="E81" s="183">
        <f t="shared" si="2"/>
        <v>11.898526819426021</v>
      </c>
      <c r="F81" s="184">
        <v>1.124732E-2</v>
      </c>
      <c r="G81" s="185">
        <v>0.13382653866666666</v>
      </c>
      <c r="H81" s="174"/>
      <c r="I81" s="122" t="str">
        <f t="shared" si="3"/>
        <v>(15, 20]</v>
      </c>
      <c r="J81" s="157">
        <v>1</v>
      </c>
      <c r="K81" s="230">
        <v>0.81822091491588611</v>
      </c>
      <c r="L81" s="184">
        <v>9.2027924607517436E-3</v>
      </c>
      <c r="M81" s="229">
        <v>9202792</v>
      </c>
      <c r="N81" s="191">
        <v>9.2028818201265652E-3</v>
      </c>
      <c r="O81" s="207">
        <v>0.10950073615278409</v>
      </c>
      <c r="P81" s="179">
        <v>9.5617244528270352E-3</v>
      </c>
      <c r="Q81" s="179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76"/>
      <c r="Y81" s="176"/>
    </row>
    <row r="82" spans="1:25" ht="15.6">
      <c r="A82" s="253">
        <v>20</v>
      </c>
      <c r="B82" s="254">
        <v>25</v>
      </c>
      <c r="C82" s="157">
        <v>621987</v>
      </c>
      <c r="D82" s="30">
        <v>1445763680</v>
      </c>
      <c r="E82" s="183">
        <f t="shared" si="2"/>
        <v>15.496183253562105</v>
      </c>
      <c r="F82" s="184">
        <v>6.2198699999999997E-3</v>
      </c>
      <c r="G82" s="185">
        <v>9.6384245333333327E-2</v>
      </c>
      <c r="H82" s="174"/>
      <c r="I82" s="122" t="str">
        <f t="shared" si="3"/>
        <v>(20, 25]</v>
      </c>
      <c r="J82" s="157">
        <v>1</v>
      </c>
      <c r="K82" s="230">
        <v>0.82660655304799369</v>
      </c>
      <c r="L82" s="184">
        <v>5.1413853011066241E-3</v>
      </c>
      <c r="M82" s="229">
        <v>5141385</v>
      </c>
      <c r="N82" s="191">
        <v>5.1414351804073607E-3</v>
      </c>
      <c r="O82" s="207">
        <v>7.9672621741903607E-2</v>
      </c>
      <c r="P82" s="179">
        <v>5.3419122255182255E-3</v>
      </c>
      <c r="Q82" s="179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76"/>
      <c r="Y82" s="176"/>
    </row>
    <row r="83" spans="1:25" ht="15.6">
      <c r="A83" s="253">
        <v>25</v>
      </c>
      <c r="B83" s="254">
        <v>30</v>
      </c>
      <c r="C83" s="157">
        <v>433005</v>
      </c>
      <c r="D83" s="30">
        <v>1231300120</v>
      </c>
      <c r="E83" s="183">
        <f t="shared" si="2"/>
        <v>18.957442677721197</v>
      </c>
      <c r="F83" s="184">
        <v>4.3300500000000002E-3</v>
      </c>
      <c r="G83" s="185">
        <v>8.2086674666666679E-2</v>
      </c>
      <c r="H83" s="174"/>
      <c r="I83" s="122" t="str">
        <f t="shared" si="3"/>
        <v>(25, 30]</v>
      </c>
      <c r="J83" s="157">
        <v>1</v>
      </c>
      <c r="K83" s="230">
        <v>0.79175901956837635</v>
      </c>
      <c r="L83" s="184">
        <v>3.4283561426820481E-3</v>
      </c>
      <c r="M83" s="229">
        <v>3428356</v>
      </c>
      <c r="N83" s="191">
        <v>3.4283894610811403E-3</v>
      </c>
      <c r="O83" s="207">
        <v>6.4993496685349178E-2</v>
      </c>
      <c r="P83" s="179">
        <v>3.5620706326137171E-3</v>
      </c>
      <c r="Q83" s="179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76"/>
      <c r="Y83" s="176"/>
    </row>
    <row r="84" spans="1:25" ht="15.6">
      <c r="A84" s="253">
        <v>30</v>
      </c>
      <c r="B84" s="254">
        <v>35</v>
      </c>
      <c r="C84" s="157">
        <v>214207</v>
      </c>
      <c r="D84" s="30">
        <v>697834840</v>
      </c>
      <c r="E84" s="183">
        <f t="shared" si="2"/>
        <v>21.718395134924005</v>
      </c>
      <c r="F84" s="184">
        <v>2.1420699999999998E-3</v>
      </c>
      <c r="G84" s="185">
        <v>4.6522322666666657E-2</v>
      </c>
      <c r="H84" s="174"/>
      <c r="I84" s="122" t="str">
        <f t="shared" si="3"/>
        <v>(30, 35]</v>
      </c>
      <c r="J84" s="157">
        <v>1</v>
      </c>
      <c r="K84" s="230">
        <v>0.28748702106670021</v>
      </c>
      <c r="L84" s="184">
        <v>6.1581732321634643E-4</v>
      </c>
      <c r="M84" s="229">
        <v>615817</v>
      </c>
      <c r="N84" s="191">
        <v>6.1582301043258182E-4</v>
      </c>
      <c r="O84" s="207">
        <v>1.3374687473753239E-2</v>
      </c>
      <c r="P84" s="179">
        <v>6.3983574365983657E-4</v>
      </c>
      <c r="Q84" s="179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76"/>
      <c r="Y84" s="176"/>
    </row>
    <row r="85" spans="1:25" ht="15.6">
      <c r="A85" s="253">
        <v>35</v>
      </c>
      <c r="B85" s="254">
        <v>40</v>
      </c>
      <c r="C85" s="157">
        <v>376411</v>
      </c>
      <c r="D85" s="30">
        <v>1440717120</v>
      </c>
      <c r="E85" s="183">
        <f t="shared" si="2"/>
        <v>25.516737821158259</v>
      </c>
      <c r="F85" s="184">
        <v>3.7641100000000002E-3</v>
      </c>
      <c r="G85" s="185">
        <v>9.6047808000000012E-2</v>
      </c>
      <c r="H85" s="174"/>
      <c r="I85" s="210" t="str">
        <f t="shared" si="3"/>
        <v>(35, 40]</v>
      </c>
      <c r="J85" s="157">
        <v>1</v>
      </c>
      <c r="K85" s="230">
        <v>0.5494109496287658</v>
      </c>
      <c r="L85" s="184">
        <v>2.0680432496071339E-3</v>
      </c>
      <c r="M85" s="229">
        <v>2068043</v>
      </c>
      <c r="N85" s="191">
        <v>2.0680631842966788E-3</v>
      </c>
      <c r="O85" s="207">
        <v>5.2770226071288048E-2</v>
      </c>
      <c r="P85" s="179">
        <v>2.1487021242307947E-3</v>
      </c>
      <c r="Q85" s="179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76"/>
      <c r="Y85" s="176"/>
    </row>
    <row r="86" spans="1:25" ht="15.6">
      <c r="A86" s="253">
        <v>40</v>
      </c>
      <c r="B86" s="254">
        <v>45</v>
      </c>
      <c r="C86" s="157">
        <v>165201</v>
      </c>
      <c r="D86" s="30">
        <v>718988620</v>
      </c>
      <c r="E86" s="183">
        <f t="shared" si="2"/>
        <v>29.014700072437012</v>
      </c>
      <c r="F86" s="184">
        <v>1.65201E-3</v>
      </c>
      <c r="G86" s="185">
        <v>4.7932574666666665E-2</v>
      </c>
      <c r="H86" s="174"/>
      <c r="I86" s="122" t="str">
        <f t="shared" si="3"/>
        <v>(40, 45]</v>
      </c>
      <c r="J86" s="157">
        <v>1</v>
      </c>
      <c r="K86" s="230">
        <v>0.42771014922171824</v>
      </c>
      <c r="L86" s="184">
        <v>7.0658144361577071E-4</v>
      </c>
      <c r="M86" s="229">
        <v>706581</v>
      </c>
      <c r="N86" s="191">
        <v>7.065878962978679E-4</v>
      </c>
      <c r="O86" s="207">
        <v>2.0501435885896865E-2</v>
      </c>
      <c r="P86" s="179">
        <v>7.3413989244552143E-4</v>
      </c>
      <c r="Q86" s="179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76"/>
      <c r="Y86" s="176"/>
    </row>
    <row r="87" spans="1:25" ht="15.6">
      <c r="A87" s="253">
        <v>45</v>
      </c>
      <c r="B87" s="254">
        <v>50</v>
      </c>
      <c r="C87" s="157">
        <v>203218</v>
      </c>
      <c r="D87" s="30">
        <v>977981300</v>
      </c>
      <c r="E87" s="183">
        <f t="shared" si="2"/>
        <v>32.083158644083362</v>
      </c>
      <c r="F87" s="184">
        <v>2.0321800000000002E-3</v>
      </c>
      <c r="G87" s="185">
        <v>6.5198753333333331E-2</v>
      </c>
      <c r="H87" s="174"/>
      <c r="I87" s="122" t="str">
        <f t="shared" si="3"/>
        <v>(45, 50]</v>
      </c>
      <c r="J87" s="157">
        <v>1</v>
      </c>
      <c r="K87" s="230">
        <v>0.50769311722911836</v>
      </c>
      <c r="L87" s="184">
        <v>1.0317237989706698E-3</v>
      </c>
      <c r="M87" s="229">
        <v>1031723</v>
      </c>
      <c r="N87" s="191">
        <v>1.0317330697147604E-3</v>
      </c>
      <c r="O87" s="207">
        <v>3.3101255754005778E-2</v>
      </c>
      <c r="P87" s="179">
        <v>1.0719636153106963E-3</v>
      </c>
      <c r="Q87" s="179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76"/>
      <c r="Y87" s="176"/>
    </row>
    <row r="88" spans="1:25" ht="15.6">
      <c r="A88" s="253">
        <v>50</v>
      </c>
      <c r="B88" s="254">
        <v>60</v>
      </c>
      <c r="C88" s="157">
        <v>324269</v>
      </c>
      <c r="D88" s="30">
        <v>1840796800</v>
      </c>
      <c r="E88" s="183">
        <f t="shared" si="2"/>
        <v>37.845056624798133</v>
      </c>
      <c r="F88" s="184">
        <v>3.2426899999999999E-3</v>
      </c>
      <c r="G88" s="185">
        <v>0.12271978666666665</v>
      </c>
      <c r="H88" s="174"/>
      <c r="I88" s="210" t="str">
        <f t="shared" si="3"/>
        <v>(50, 60]</v>
      </c>
      <c r="J88" s="157">
        <v>1</v>
      </c>
      <c r="K88" s="230">
        <v>0.30718554612398019</v>
      </c>
      <c r="L88" s="184">
        <v>9.9610749856076926E-4</v>
      </c>
      <c r="M88" s="229">
        <v>996107</v>
      </c>
      <c r="N88" s="191">
        <v>9.961167220992077E-4</v>
      </c>
      <c r="O88" s="207">
        <v>3.769809375275282E-2</v>
      </c>
      <c r="P88" s="179">
        <v>1.0349581898378326E-3</v>
      </c>
      <c r="Q88" s="179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76"/>
      <c r="Y88" s="176"/>
    </row>
    <row r="89" spans="1:25" ht="15.6">
      <c r="A89" s="253">
        <v>60</v>
      </c>
      <c r="B89" s="254">
        <v>70</v>
      </c>
      <c r="C89" s="157">
        <v>197124</v>
      </c>
      <c r="D89" s="30">
        <v>1291443040</v>
      </c>
      <c r="E89" s="183">
        <f t="shared" si="2"/>
        <v>43.676164579993646</v>
      </c>
      <c r="F89" s="184">
        <v>1.97124E-3</v>
      </c>
      <c r="G89" s="185">
        <v>8.6096202666666677E-2</v>
      </c>
      <c r="H89" s="174"/>
      <c r="I89" s="122" t="str">
        <f t="shared" si="3"/>
        <v>(60, 70]</v>
      </c>
      <c r="J89" s="157">
        <v>1</v>
      </c>
      <c r="K89" s="230">
        <v>5.8283766383008029E-2</v>
      </c>
      <c r="L89" s="184">
        <v>1.1489129164484075E-4</v>
      </c>
      <c r="M89" s="229">
        <v>114891</v>
      </c>
      <c r="N89" s="191">
        <v>1.1489212134710435E-4</v>
      </c>
      <c r="O89" s="207">
        <v>5.0180472009007304E-3</v>
      </c>
      <c r="P89" s="179">
        <v>1.1937234023504414E-4</v>
      </c>
      <c r="Q89" s="179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76"/>
      <c r="Y89" s="176"/>
    </row>
    <row r="90" spans="1:25" ht="15.6">
      <c r="A90" s="253">
        <v>70</v>
      </c>
      <c r="B90" s="254">
        <v>80</v>
      </c>
      <c r="C90" s="157">
        <v>255967</v>
      </c>
      <c r="D90" s="30">
        <v>1949434600</v>
      </c>
      <c r="E90" s="183">
        <f t="shared" si="2"/>
        <v>50.773071007851271</v>
      </c>
      <c r="F90" s="184">
        <v>2.55967E-3</v>
      </c>
      <c r="G90" s="185">
        <v>0.12996230666666667</v>
      </c>
      <c r="H90" s="174"/>
      <c r="I90" s="210" t="str">
        <f t="shared" si="3"/>
        <v>(70, 80]</v>
      </c>
      <c r="J90" s="157">
        <v>1</v>
      </c>
      <c r="K90" s="230">
        <v>0.14860000000000001</v>
      </c>
      <c r="L90" s="184">
        <v>3.8036696200000004E-4</v>
      </c>
      <c r="M90" s="229">
        <v>380366</v>
      </c>
      <c r="N90" s="191">
        <v>3.803697124083931E-4</v>
      </c>
      <c r="O90" s="207">
        <v>1.931253841734731E-2</v>
      </c>
      <c r="P90" s="179">
        <v>4.0586595679915005E-4</v>
      </c>
      <c r="Q90" s="179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76"/>
      <c r="Y90" s="176"/>
    </row>
    <row r="91" spans="1:25" ht="15.6">
      <c r="A91" s="253">
        <v>80</v>
      </c>
      <c r="B91" s="254">
        <v>90</v>
      </c>
      <c r="C91" s="157">
        <v>168742</v>
      </c>
      <c r="D91" s="30">
        <v>1456119240</v>
      </c>
      <c r="E91" s="183">
        <f t="shared" si="2"/>
        <v>57.528425643882372</v>
      </c>
      <c r="F91" s="184">
        <v>1.68742E-3</v>
      </c>
      <c r="G91" s="185">
        <v>9.7074615999999989E-2</v>
      </c>
      <c r="H91" s="174"/>
      <c r="I91" s="122" t="str">
        <f t="shared" si="3"/>
        <v>(80, 90]</v>
      </c>
      <c r="J91" s="157">
        <v>1</v>
      </c>
      <c r="K91" s="230">
        <v>0.13140782548182589</v>
      </c>
      <c r="L91" s="184">
        <v>2.2174019287454265E-4</v>
      </c>
      <c r="M91" s="229">
        <v>221740</v>
      </c>
      <c r="N91" s="191">
        <v>2.2174216420352264E-4</v>
      </c>
      <c r="O91" s="207">
        <v>1.2756477605495907E-2</v>
      </c>
      <c r="P91" s="179">
        <v>2.3038861665363518E-4</v>
      </c>
      <c r="Q91" s="179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76"/>
      <c r="Y91" s="176"/>
    </row>
    <row r="92" spans="1:25" ht="15.6">
      <c r="A92" s="253">
        <v>90</v>
      </c>
      <c r="B92" s="254">
        <v>100</v>
      </c>
      <c r="C92" s="157">
        <v>167385</v>
      </c>
      <c r="D92" s="30">
        <v>1609603760</v>
      </c>
      <c r="E92" s="183">
        <f t="shared" si="2"/>
        <v>64.107845585526377</v>
      </c>
      <c r="F92" s="184">
        <v>1.6738499999999999E-3</v>
      </c>
      <c r="G92" s="185">
        <v>0.10730691733333332</v>
      </c>
      <c r="H92" s="174"/>
      <c r="I92" s="122" t="str">
        <f t="shared" si="3"/>
        <v>(90, 100]</v>
      </c>
      <c r="J92" s="157">
        <v>1</v>
      </c>
      <c r="K92" s="230">
        <v>0.22239016932776776</v>
      </c>
      <c r="L92" s="184">
        <v>3.7224778492928403E-4</v>
      </c>
      <c r="M92" s="229">
        <v>372247</v>
      </c>
      <c r="N92" s="191">
        <v>3.7225063316617972E-4</v>
      </c>
      <c r="O92" s="207">
        <v>2.3864186110131875E-2</v>
      </c>
      <c r="P92" s="179">
        <v>3.8676638236154301E-4</v>
      </c>
      <c r="Q92" s="179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76"/>
      <c r="Y92" s="176"/>
    </row>
    <row r="93" spans="1:25" ht="15.6">
      <c r="A93" s="253">
        <v>100</v>
      </c>
      <c r="B93" s="254">
        <v>120</v>
      </c>
      <c r="C93" s="157">
        <v>285202</v>
      </c>
      <c r="D93" s="30">
        <v>3187137680</v>
      </c>
      <c r="E93" s="183">
        <f t="shared" si="2"/>
        <v>74.500124590056643</v>
      </c>
      <c r="F93" s="184">
        <v>2.8520199999999998E-3</v>
      </c>
      <c r="G93" s="185">
        <v>0.21247584533333333</v>
      </c>
      <c r="H93" s="174"/>
      <c r="I93" s="122" t="str">
        <f t="shared" si="3"/>
        <v>(100, 120]</v>
      </c>
      <c r="J93" s="157">
        <v>1</v>
      </c>
      <c r="K93" s="230">
        <v>6.6871741478122748E-2</v>
      </c>
      <c r="L93" s="184">
        <v>1.9071954413043562E-4</v>
      </c>
      <c r="M93" s="229">
        <v>190719</v>
      </c>
      <c r="N93" s="191">
        <v>1.9072086143560762E-4</v>
      </c>
      <c r="O93" s="207">
        <v>1.4208727938875697E-2</v>
      </c>
      <c r="P93" s="179">
        <v>1.9815808479017326E-4</v>
      </c>
      <c r="Q93" s="179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76"/>
      <c r="Y93" s="176"/>
    </row>
    <row r="94" spans="1:25" ht="15.6">
      <c r="A94" s="253">
        <v>120</v>
      </c>
      <c r="B94" s="254">
        <v>140</v>
      </c>
      <c r="C94" s="157">
        <v>196747</v>
      </c>
      <c r="D94" s="30">
        <v>2577020240</v>
      </c>
      <c r="E94" s="183">
        <f t="shared" si="2"/>
        <v>87.320949917067779</v>
      </c>
      <c r="F94" s="184">
        <v>1.9674699999999998E-3</v>
      </c>
      <c r="G94" s="185">
        <v>0.17180134933333333</v>
      </c>
      <c r="H94" s="174"/>
      <c r="I94" s="122" t="str">
        <f t="shared" si="3"/>
        <v>(120, 140]</v>
      </c>
      <c r="J94" s="157">
        <v>1</v>
      </c>
      <c r="K94" s="230">
        <v>2.2190270156617124E-2</v>
      </c>
      <c r="L94" s="184">
        <v>4.3658690825039488E-5</v>
      </c>
      <c r="M94" s="229">
        <v>43658</v>
      </c>
      <c r="N94" s="191">
        <v>4.3658426106238795E-5</v>
      </c>
      <c r="O94" s="207">
        <v>3.8122952394808824E-3</v>
      </c>
      <c r="P94" s="179">
        <v>4.5361489289316774E-5</v>
      </c>
      <c r="Q94" s="179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76"/>
      <c r="Y94" s="176"/>
    </row>
    <row r="95" spans="1:25" ht="15.6">
      <c r="A95" s="253">
        <v>140</v>
      </c>
      <c r="B95" s="254">
        <v>160</v>
      </c>
      <c r="C95" s="157">
        <v>185544</v>
      </c>
      <c r="D95" s="30">
        <v>2804385800</v>
      </c>
      <c r="E95" s="183">
        <f t="shared" si="2"/>
        <v>100.76265108725333</v>
      </c>
      <c r="F95" s="184">
        <v>1.8554400000000001E-3</v>
      </c>
      <c r="G95" s="185">
        <v>0.18695905333333332</v>
      </c>
      <c r="H95" s="174"/>
      <c r="I95" s="122" t="str">
        <f t="shared" si="3"/>
        <v>(140, 160]</v>
      </c>
      <c r="J95" s="157">
        <v>1</v>
      </c>
      <c r="K95" s="230">
        <v>7.6163222051456314E-2</v>
      </c>
      <c r="L95" s="184">
        <v>1.4131628872315411E-4</v>
      </c>
      <c r="M95" s="229">
        <v>141316</v>
      </c>
      <c r="N95" s="191">
        <v>1.4131737925762155E-4</v>
      </c>
      <c r="O95" s="207">
        <v>1.4239513778700771E-2</v>
      </c>
      <c r="P95" s="179">
        <v>1.4682797848910429E-4</v>
      </c>
      <c r="Q95" s="179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76"/>
      <c r="Y95" s="176"/>
    </row>
    <row r="96" spans="1:25" ht="15.6">
      <c r="A96" s="253">
        <v>160</v>
      </c>
      <c r="B96" s="254">
        <v>180</v>
      </c>
      <c r="C96" s="157">
        <v>142149</v>
      </c>
      <c r="D96" s="30">
        <v>2437933280</v>
      </c>
      <c r="E96" s="183">
        <f t="shared" si="2"/>
        <v>114.33698818376023</v>
      </c>
      <c r="F96" s="184">
        <v>1.4214900000000001E-3</v>
      </c>
      <c r="G96" s="185">
        <v>0.16252888533333334</v>
      </c>
      <c r="H96" s="174"/>
      <c r="I96" s="122" t="str">
        <f t="shared" si="3"/>
        <v>(160, 180]</v>
      </c>
      <c r="J96" s="157">
        <v>1</v>
      </c>
      <c r="K96" s="230">
        <v>2.4247365435882226E-2</v>
      </c>
      <c r="L96" s="184">
        <v>3.4467387493452229E-5</v>
      </c>
      <c r="M96" s="229">
        <v>34467</v>
      </c>
      <c r="N96" s="191">
        <v>3.4467336401203274E-5</v>
      </c>
      <c r="O96" s="207">
        <v>3.9408914348300671E-3</v>
      </c>
      <c r="P96" s="179">
        <v>3.5811702070513243E-5</v>
      </c>
      <c r="Q96" s="179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76"/>
      <c r="Y96" s="176"/>
    </row>
    <row r="97" spans="1:25" ht="15.6">
      <c r="A97" s="253">
        <v>180</v>
      </c>
      <c r="B97" s="254">
        <v>200</v>
      </c>
      <c r="C97" s="157">
        <v>129447</v>
      </c>
      <c r="D97" s="30">
        <v>2486430640</v>
      </c>
      <c r="E97" s="183">
        <f t="shared" si="2"/>
        <v>128.05398554363305</v>
      </c>
      <c r="F97" s="184">
        <v>1.29447E-3</v>
      </c>
      <c r="G97" s="185">
        <v>0.16576204266666666</v>
      </c>
      <c r="H97" s="174"/>
      <c r="I97" s="122" t="str">
        <f t="shared" si="3"/>
        <v>(180, 200]</v>
      </c>
      <c r="J97" s="157">
        <v>1</v>
      </c>
      <c r="K97" s="230">
        <v>3.2839523440938059E-2</v>
      </c>
      <c r="L97" s="184">
        <v>4.2509777908591088E-5</v>
      </c>
      <c r="M97" s="229">
        <v>42509</v>
      </c>
      <c r="N97" s="191">
        <v>4.2509414891889347E-5</v>
      </c>
      <c r="O97" s="207">
        <v>5.4435000000342976E-3</v>
      </c>
      <c r="P97" s="179">
        <v>4.4167765886966334E-5</v>
      </c>
      <c r="Q97" s="179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76"/>
      <c r="Y97" s="176"/>
    </row>
    <row r="98" spans="1:25" ht="15.6">
      <c r="A98" s="253">
        <v>200</v>
      </c>
      <c r="B98" s="254">
        <v>250</v>
      </c>
      <c r="C98" s="157">
        <v>250612</v>
      </c>
      <c r="D98" s="30">
        <v>5619770140</v>
      </c>
      <c r="E98" s="183">
        <f t="shared" si="2"/>
        <v>149.49457434866113</v>
      </c>
      <c r="F98" s="184">
        <v>2.5061200000000001E-3</v>
      </c>
      <c r="G98" s="185">
        <v>0.37465134266666666</v>
      </c>
      <c r="H98" s="174"/>
      <c r="I98" s="122" t="str">
        <f t="shared" si="3"/>
        <v>(200, 250]</v>
      </c>
      <c r="J98" s="157">
        <v>1</v>
      </c>
      <c r="K98" s="230">
        <v>2.338058781657254E-2</v>
      </c>
      <c r="L98" s="184">
        <v>5.8594558738868779E-5</v>
      </c>
      <c r="M98" s="229">
        <v>58594</v>
      </c>
      <c r="N98" s="191">
        <v>5.8594571883021578E-5</v>
      </c>
      <c r="O98" s="207">
        <v>8.7595705827943383E-3</v>
      </c>
      <c r="P98" s="179">
        <v>6.087989351987251E-5</v>
      </c>
      <c r="Q98" s="179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76"/>
      <c r="Y98" s="176"/>
    </row>
    <row r="99" spans="1:25" ht="15.6">
      <c r="A99" s="253">
        <v>250</v>
      </c>
      <c r="B99" s="254">
        <v>300</v>
      </c>
      <c r="C99" s="157">
        <v>173868</v>
      </c>
      <c r="D99" s="30">
        <v>4785735260</v>
      </c>
      <c r="E99" s="183">
        <f t="shared" si="2"/>
        <v>183.50071165098427</v>
      </c>
      <c r="F99" s="184">
        <v>1.73868E-3</v>
      </c>
      <c r="G99" s="185">
        <v>0.31904901733333335</v>
      </c>
      <c r="H99" s="174"/>
      <c r="I99" s="122" t="str">
        <f t="shared" si="3"/>
        <v>(250, 300]</v>
      </c>
      <c r="J99" s="157">
        <v>1</v>
      </c>
      <c r="K99" s="230">
        <v>1.3215921462815555E-2</v>
      </c>
      <c r="L99" s="184">
        <v>2.2978258328968151E-5</v>
      </c>
      <c r="M99" s="229">
        <v>22978</v>
      </c>
      <c r="N99" s="191">
        <v>2.2978224267468849E-5</v>
      </c>
      <c r="O99" s="207">
        <v>4.2165205055564505E-3</v>
      </c>
      <c r="P99" s="179">
        <v>2.3874468047008827E-5</v>
      </c>
      <c r="Q99" s="179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76"/>
      <c r="Y99" s="176"/>
    </row>
    <row r="100" spans="1:25" ht="15.6">
      <c r="A100" s="253">
        <v>300</v>
      </c>
      <c r="B100" s="254">
        <v>350</v>
      </c>
      <c r="C100" s="157">
        <v>120231</v>
      </c>
      <c r="D100" s="30">
        <v>3902840620</v>
      </c>
      <c r="E100" s="183">
        <f t="shared" si="2"/>
        <v>216.40789369352882</v>
      </c>
      <c r="F100" s="184">
        <v>1.2023100000000001E-3</v>
      </c>
      <c r="G100" s="185">
        <v>0.26018937466666664</v>
      </c>
      <c r="H100" s="174"/>
      <c r="I100" s="122" t="str">
        <f t="shared" si="3"/>
        <v>(300, 350]</v>
      </c>
      <c r="J100" s="157">
        <v>1</v>
      </c>
      <c r="K100" s="230">
        <v>1.9111758472414061E-3</v>
      </c>
      <c r="L100" s="184">
        <v>2.2978258328968151E-6</v>
      </c>
      <c r="M100" s="229">
        <v>2297</v>
      </c>
      <c r="N100" s="191">
        <v>2.297022418938809E-6</v>
      </c>
      <c r="O100" s="207">
        <v>4.9709378344936223E-4</v>
      </c>
      <c r="P100" s="179">
        <v>2.3874468047008827E-6</v>
      </c>
      <c r="Q100" s="179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76"/>
      <c r="Y100" s="176"/>
    </row>
    <row r="101" spans="1:25" ht="15.6">
      <c r="A101" s="253">
        <v>350</v>
      </c>
      <c r="B101" s="254">
        <v>400</v>
      </c>
      <c r="C101" s="157">
        <v>101299</v>
      </c>
      <c r="D101" s="30">
        <v>3810751320</v>
      </c>
      <c r="E101" s="183">
        <f t="shared" si="2"/>
        <v>250.79229607399876</v>
      </c>
      <c r="F101" s="184">
        <v>1.0129900000000001E-3</v>
      </c>
      <c r="G101" s="185">
        <v>0.25405008800000001</v>
      </c>
      <c r="H101" s="174"/>
      <c r="I101" s="122" t="str">
        <f t="shared" si="3"/>
        <v>(350, 400]</v>
      </c>
      <c r="J101" s="157">
        <v>1</v>
      </c>
      <c r="K101" s="230">
        <v>1.1341799192967428E-3</v>
      </c>
      <c r="L101" s="184">
        <v>1.1489129164484076E-6</v>
      </c>
      <c r="M101" s="229">
        <v>1148</v>
      </c>
      <c r="N101" s="191">
        <v>1.1480112045893569E-6</v>
      </c>
      <c r="O101" s="207">
        <v>2.8791236591764198E-4</v>
      </c>
      <c r="P101" s="179">
        <v>1.1937234023504413E-6</v>
      </c>
      <c r="Q101" s="179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76"/>
      <c r="Y101" s="176"/>
    </row>
    <row r="102" spans="1:25" ht="15.6">
      <c r="A102" s="253">
        <v>400</v>
      </c>
      <c r="B102" s="254">
        <v>450</v>
      </c>
      <c r="C102" s="157">
        <v>76969</v>
      </c>
      <c r="D102" s="30">
        <v>3273311860</v>
      </c>
      <c r="E102" s="183">
        <f t="shared" si="2"/>
        <v>283.51776775931432</v>
      </c>
      <c r="F102" s="184">
        <v>7.6968999999999996E-4</v>
      </c>
      <c r="G102" s="185">
        <v>0.21822079066666664</v>
      </c>
      <c r="H102" s="174"/>
      <c r="I102" s="122" t="str">
        <f t="shared" si="3"/>
        <v>(400, 450]</v>
      </c>
      <c r="J102" s="157">
        <v>1</v>
      </c>
      <c r="K102" s="230">
        <v>7.4634782603931948E-3</v>
      </c>
      <c r="L102" s="184">
        <v>5.7445645822420376E-6</v>
      </c>
      <c r="M102" s="229">
        <v>5744</v>
      </c>
      <c r="N102" s="191">
        <v>5.7440560619871648E-6</v>
      </c>
      <c r="O102" s="207">
        <v>1.6285419525789585E-3</v>
      </c>
      <c r="P102" s="179">
        <v>5.9686170117522067E-6</v>
      </c>
      <c r="Q102" s="179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76"/>
      <c r="Y102" s="176"/>
    </row>
    <row r="103" spans="1:25" ht="15.6">
      <c r="A103" s="253">
        <v>450</v>
      </c>
      <c r="B103" s="254">
        <v>500</v>
      </c>
      <c r="C103" s="157">
        <v>66958</v>
      </c>
      <c r="D103" s="30">
        <v>3195883300</v>
      </c>
      <c r="E103" s="183">
        <f t="shared" si="2"/>
        <v>318.19780558957359</v>
      </c>
      <c r="F103" s="184">
        <v>6.6958000000000002E-4</v>
      </c>
      <c r="G103" s="185">
        <v>0.2130588866666667</v>
      </c>
      <c r="H103" s="174"/>
      <c r="I103" s="122" t="str">
        <f t="shared" si="3"/>
        <v>(450, 500]</v>
      </c>
      <c r="J103" s="157">
        <v>1</v>
      </c>
      <c r="K103" s="230">
        <v>2.4022194256515583E-2</v>
      </c>
      <c r="L103" s="184">
        <v>1.6084780830277705E-5</v>
      </c>
      <c r="M103" s="229">
        <v>16084</v>
      </c>
      <c r="N103" s="191">
        <v>1.6084156981372139E-5</v>
      </c>
      <c r="O103" s="207">
        <v>5.117943456230835E-3</v>
      </c>
      <c r="P103" s="179">
        <v>1.6712127632906179E-5</v>
      </c>
      <c r="Q103" s="179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76"/>
      <c r="Y103" s="176"/>
    </row>
    <row r="104" spans="1:25" ht="15.6">
      <c r="A104" s="253">
        <v>500</v>
      </c>
      <c r="B104" s="254">
        <v>550</v>
      </c>
      <c r="C104" s="157">
        <v>63841</v>
      </c>
      <c r="D104" s="30">
        <v>3349902500</v>
      </c>
      <c r="E104" s="183">
        <f t="shared" si="2"/>
        <v>349.81725432454584</v>
      </c>
      <c r="F104" s="184">
        <v>6.3840999999999995E-4</v>
      </c>
      <c r="G104" s="185">
        <v>0.22332683333333331</v>
      </c>
      <c r="H104" s="174"/>
      <c r="I104" s="122" t="str">
        <f t="shared" si="3"/>
        <v>(500, 550]</v>
      </c>
      <c r="J104" s="157">
        <v>1</v>
      </c>
      <c r="K104" s="230">
        <v>7.1985897241484791E-3</v>
      </c>
      <c r="L104" s="184">
        <v>4.5956516657936303E-6</v>
      </c>
      <c r="M104" s="229">
        <v>4595</v>
      </c>
      <c r="N104" s="191">
        <v>4.5950448476377131E-6</v>
      </c>
      <c r="O104" s="207">
        <v>1.6074259720987758E-3</v>
      </c>
      <c r="P104" s="179">
        <v>4.7748936094017653E-6</v>
      </c>
      <c r="Q104" s="179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76"/>
      <c r="Y104" s="176"/>
    </row>
    <row r="105" spans="1:25" ht="15.6">
      <c r="A105" s="253">
        <v>550</v>
      </c>
      <c r="B105" s="254">
        <v>600</v>
      </c>
      <c r="C105" s="157">
        <v>49241</v>
      </c>
      <c r="D105" s="30">
        <v>2836792460</v>
      </c>
      <c r="E105" s="183">
        <f t="shared" si="2"/>
        <v>384.06916458506799</v>
      </c>
      <c r="F105" s="184">
        <v>4.9240999999999998E-4</v>
      </c>
      <c r="G105" s="185">
        <v>0.18911949733333333</v>
      </c>
      <c r="H105" s="174"/>
      <c r="I105" s="122" t="str">
        <f t="shared" si="3"/>
        <v>(550, 600]</v>
      </c>
      <c r="J105" s="157">
        <v>1</v>
      </c>
      <c r="K105" s="230">
        <v>0</v>
      </c>
      <c r="L105" s="184">
        <v>0</v>
      </c>
      <c r="M105" s="229">
        <v>0</v>
      </c>
      <c r="N105" s="191">
        <v>0</v>
      </c>
      <c r="O105" s="207">
        <v>0</v>
      </c>
      <c r="P105" s="179">
        <v>0</v>
      </c>
      <c r="Q105" s="179">
        <v>0</v>
      </c>
      <c r="R105" s="1">
        <v>0</v>
      </c>
      <c r="S105" s="1">
        <v>0</v>
      </c>
      <c r="T105" s="1">
        <v>0</v>
      </c>
      <c r="U105" s="176"/>
      <c r="Y105" s="176"/>
    </row>
    <row r="106" spans="1:25" ht="15.6">
      <c r="A106" s="253">
        <v>600</v>
      </c>
      <c r="B106" s="254">
        <v>650</v>
      </c>
      <c r="C106" s="157">
        <v>36244</v>
      </c>
      <c r="D106" s="30">
        <v>2268304480</v>
      </c>
      <c r="E106" s="183">
        <f t="shared" si="2"/>
        <v>417.22850310856052</v>
      </c>
      <c r="F106" s="184">
        <v>3.6244000000000001E-4</v>
      </c>
      <c r="G106" s="185">
        <v>0.15122029866666667</v>
      </c>
      <c r="H106" s="174"/>
      <c r="I106" s="122" t="str">
        <f t="shared" si="3"/>
        <v>(600, 650]</v>
      </c>
      <c r="J106" s="157">
        <v>1</v>
      </c>
      <c r="K106" s="230">
        <v>7.0000000000000001E-3</v>
      </c>
      <c r="L106" s="184">
        <v>2.5370800000000001E-6</v>
      </c>
      <c r="M106" s="229">
        <v>2537</v>
      </c>
      <c r="N106" s="191">
        <v>2.5370247613616707E-6</v>
      </c>
      <c r="O106" s="207">
        <v>1.0585190435322828E-3</v>
      </c>
      <c r="P106" s="179">
        <v>0</v>
      </c>
      <c r="Q106" s="179">
        <v>0</v>
      </c>
      <c r="R106" s="1">
        <v>0</v>
      </c>
      <c r="S106" s="1">
        <v>0</v>
      </c>
      <c r="T106" s="1">
        <v>0</v>
      </c>
      <c r="U106" s="176"/>
      <c r="Y106" s="176"/>
    </row>
    <row r="107" spans="1:25" ht="15.6">
      <c r="A107" s="253">
        <v>650</v>
      </c>
      <c r="B107" s="254">
        <v>700</v>
      </c>
      <c r="C107" s="157">
        <v>30702</v>
      </c>
      <c r="D107" s="30">
        <v>2073268860</v>
      </c>
      <c r="E107" s="183">
        <f t="shared" si="2"/>
        <v>450.19192235033552</v>
      </c>
      <c r="F107" s="184">
        <v>3.0702000000000003E-4</v>
      </c>
      <c r="G107" s="185">
        <v>0.13821792400000002</v>
      </c>
      <c r="H107" s="174"/>
      <c r="I107" s="122" t="str">
        <f t="shared" si="3"/>
        <v>(650, 700]</v>
      </c>
      <c r="J107" s="157">
        <v>0</v>
      </c>
      <c r="K107" s="230">
        <v>0</v>
      </c>
      <c r="L107" s="184">
        <v>0</v>
      </c>
      <c r="M107" s="229">
        <v>0</v>
      </c>
      <c r="N107" s="191">
        <v>0</v>
      </c>
      <c r="O107" s="207">
        <v>0</v>
      </c>
      <c r="P107" s="179">
        <v>0</v>
      </c>
      <c r="Q107" s="179">
        <v>0</v>
      </c>
      <c r="R107" s="1">
        <v>0</v>
      </c>
      <c r="S107" s="1">
        <v>0</v>
      </c>
      <c r="T107" s="1">
        <v>0</v>
      </c>
      <c r="U107" s="176"/>
      <c r="Y107" s="176"/>
    </row>
    <row r="108" spans="1:25" ht="15.6">
      <c r="A108" s="253">
        <v>700</v>
      </c>
      <c r="B108" s="254">
        <v>750</v>
      </c>
      <c r="C108" s="157">
        <v>26624</v>
      </c>
      <c r="D108" s="30">
        <v>1929990420</v>
      </c>
      <c r="E108" s="183">
        <f t="shared" si="2"/>
        <v>483.27083834134618</v>
      </c>
      <c r="F108" s="184">
        <v>2.6624E-4</v>
      </c>
      <c r="G108" s="185">
        <v>0.12866602800000002</v>
      </c>
      <c r="H108" s="174"/>
      <c r="I108" s="122" t="str">
        <f t="shared" si="3"/>
        <v>(700, 750]</v>
      </c>
      <c r="J108" s="157">
        <v>0</v>
      </c>
      <c r="K108" s="230">
        <v>0</v>
      </c>
      <c r="L108" s="184">
        <v>0</v>
      </c>
      <c r="M108" s="229">
        <v>0</v>
      </c>
      <c r="N108" s="191">
        <v>0</v>
      </c>
      <c r="O108" s="207">
        <v>0</v>
      </c>
      <c r="P108" s="179">
        <v>2.3874468047008827E-6</v>
      </c>
      <c r="Q108" s="179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76"/>
      <c r="Y108" s="176"/>
    </row>
    <row r="109" spans="1:25" ht="15.6">
      <c r="A109" s="253">
        <v>750</v>
      </c>
      <c r="B109" s="254">
        <v>800</v>
      </c>
      <c r="C109" s="157">
        <v>29582</v>
      </c>
      <c r="D109" s="30">
        <v>2311927880</v>
      </c>
      <c r="E109" s="183">
        <f t="shared" si="2"/>
        <v>521.02131476348234</v>
      </c>
      <c r="F109" s="184">
        <v>2.9582000000000002E-4</v>
      </c>
      <c r="G109" s="185">
        <v>0.15412852533333335</v>
      </c>
      <c r="H109" s="174"/>
      <c r="I109" s="122" t="str">
        <f t="shared" si="3"/>
        <v>(750, 800]</v>
      </c>
      <c r="J109" s="157">
        <v>0</v>
      </c>
      <c r="K109" s="230">
        <v>0</v>
      </c>
      <c r="L109" s="184">
        <v>0</v>
      </c>
      <c r="M109" s="229">
        <v>0</v>
      </c>
      <c r="N109" s="191">
        <v>0</v>
      </c>
      <c r="O109" s="207">
        <v>0</v>
      </c>
      <c r="P109" s="179">
        <v>0</v>
      </c>
      <c r="Q109" s="179">
        <v>0</v>
      </c>
      <c r="R109" s="1">
        <v>0</v>
      </c>
      <c r="S109" s="1">
        <v>0</v>
      </c>
      <c r="T109" s="1">
        <v>0</v>
      </c>
      <c r="U109" s="176"/>
      <c r="Y109" s="176"/>
    </row>
    <row r="110" spans="1:25" ht="15.6">
      <c r="A110" s="253">
        <v>800</v>
      </c>
      <c r="B110" s="254">
        <v>850</v>
      </c>
      <c r="C110" s="157">
        <v>31660</v>
      </c>
      <c r="D110" s="30">
        <v>2618094520</v>
      </c>
      <c r="E110" s="183">
        <f t="shared" si="2"/>
        <v>551.2938555485365</v>
      </c>
      <c r="F110" s="184">
        <v>3.166E-4</v>
      </c>
      <c r="G110" s="185">
        <v>0.17453963466666667</v>
      </c>
      <c r="H110" s="174"/>
      <c r="I110" s="122" t="str">
        <f t="shared" si="3"/>
        <v>(800, 850]</v>
      </c>
      <c r="J110" s="157">
        <v>0</v>
      </c>
      <c r="K110" s="230">
        <v>0</v>
      </c>
      <c r="L110" s="184">
        <v>0</v>
      </c>
      <c r="M110" s="229">
        <v>0</v>
      </c>
      <c r="N110" s="191">
        <v>0</v>
      </c>
      <c r="O110" s="207">
        <v>0</v>
      </c>
      <c r="P110" s="179">
        <v>0</v>
      </c>
      <c r="Q110" s="179">
        <v>0</v>
      </c>
      <c r="R110" s="1">
        <v>0</v>
      </c>
      <c r="S110" s="1">
        <v>0</v>
      </c>
      <c r="T110" s="1">
        <v>0</v>
      </c>
      <c r="U110" s="176"/>
      <c r="Y110" s="176"/>
    </row>
    <row r="111" spans="1:25" ht="15.6">
      <c r="A111" s="253">
        <v>850</v>
      </c>
      <c r="B111" s="254">
        <v>900</v>
      </c>
      <c r="C111" s="157">
        <v>25319</v>
      </c>
      <c r="D111" s="30">
        <v>2214041620</v>
      </c>
      <c r="E111" s="183">
        <f t="shared" si="2"/>
        <v>582.97237121002672</v>
      </c>
      <c r="F111" s="184">
        <v>2.5318999999999998E-4</v>
      </c>
      <c r="G111" s="185">
        <v>0.14760277466666666</v>
      </c>
      <c r="H111" s="174"/>
      <c r="I111" s="122" t="str">
        <f t="shared" si="3"/>
        <v>(850, 900]</v>
      </c>
      <c r="J111" s="157">
        <v>0</v>
      </c>
      <c r="K111" s="230">
        <v>0</v>
      </c>
      <c r="L111" s="184">
        <v>0</v>
      </c>
      <c r="M111" s="229">
        <v>0</v>
      </c>
      <c r="N111" s="191">
        <v>0</v>
      </c>
      <c r="O111" s="207">
        <v>0</v>
      </c>
      <c r="P111" s="179">
        <v>0</v>
      </c>
      <c r="Q111" s="179">
        <v>0</v>
      </c>
      <c r="R111" s="1">
        <v>0</v>
      </c>
      <c r="S111" s="1">
        <v>0</v>
      </c>
      <c r="T111" s="1">
        <v>0</v>
      </c>
      <c r="U111" s="176"/>
      <c r="Y111" s="176"/>
    </row>
    <row r="112" spans="1:25" ht="15.6">
      <c r="A112" s="253">
        <v>900</v>
      </c>
      <c r="B112" s="254">
        <v>950</v>
      </c>
      <c r="C112" s="157">
        <v>17351</v>
      </c>
      <c r="D112" s="30">
        <v>1604425740</v>
      </c>
      <c r="E112" s="183">
        <f t="shared" si="2"/>
        <v>616.45850959598863</v>
      </c>
      <c r="F112" s="184">
        <v>1.7351000000000001E-4</v>
      </c>
      <c r="G112" s="185">
        <v>0.106961716</v>
      </c>
      <c r="H112" s="174"/>
      <c r="I112" s="122" t="str">
        <f t="shared" si="3"/>
        <v>(900, 950]</v>
      </c>
      <c r="J112" s="157">
        <v>0</v>
      </c>
      <c r="K112" s="230">
        <v>0</v>
      </c>
      <c r="L112" s="184">
        <v>0</v>
      </c>
      <c r="M112" s="229">
        <v>0</v>
      </c>
      <c r="N112" s="191">
        <v>0</v>
      </c>
      <c r="O112" s="207">
        <v>0</v>
      </c>
      <c r="P112" s="179">
        <v>0</v>
      </c>
      <c r="Q112" s="179">
        <v>0</v>
      </c>
      <c r="R112" s="1">
        <v>0</v>
      </c>
      <c r="S112" s="1">
        <v>0</v>
      </c>
      <c r="T112" s="1">
        <v>0</v>
      </c>
      <c r="U112" s="176"/>
      <c r="Y112" s="176"/>
    </row>
    <row r="113" spans="1:25" ht="15.6">
      <c r="A113" s="253">
        <v>950</v>
      </c>
      <c r="B113" s="254">
        <v>1000</v>
      </c>
      <c r="C113" s="157">
        <v>22344</v>
      </c>
      <c r="D113" s="30">
        <v>2195989840</v>
      </c>
      <c r="E113" s="183">
        <f t="shared" si="2"/>
        <v>655.20642081393964</v>
      </c>
      <c r="F113" s="184">
        <v>2.2343999999999999E-4</v>
      </c>
      <c r="G113" s="185">
        <v>0.14639932266666666</v>
      </c>
      <c r="H113" s="174"/>
      <c r="I113" s="122" t="str">
        <f t="shared" si="3"/>
        <v>(950, 1000]</v>
      </c>
      <c r="J113" s="157">
        <v>0</v>
      </c>
      <c r="K113" s="230">
        <v>0</v>
      </c>
      <c r="L113" s="184">
        <v>0</v>
      </c>
      <c r="M113" s="229">
        <v>0</v>
      </c>
      <c r="N113" s="191">
        <v>0</v>
      </c>
      <c r="O113" s="207">
        <v>0</v>
      </c>
      <c r="P113" s="179">
        <v>0</v>
      </c>
      <c r="Q113" s="179">
        <v>0</v>
      </c>
      <c r="R113" s="1">
        <v>0</v>
      </c>
      <c r="S113" s="1">
        <v>0</v>
      </c>
      <c r="T113" s="1">
        <v>0</v>
      </c>
      <c r="U113" s="176"/>
      <c r="Y113" s="176"/>
    </row>
    <row r="114" spans="1:25" ht="15.6">
      <c r="A114" s="253">
        <v>1000</v>
      </c>
      <c r="B114" s="254">
        <v>2000</v>
      </c>
      <c r="C114" s="157">
        <v>247568</v>
      </c>
      <c r="D114" s="30">
        <v>34895596880</v>
      </c>
      <c r="E114" s="183">
        <f t="shared" si="2"/>
        <v>939.69055990004097</v>
      </c>
      <c r="F114" s="184">
        <v>2.4756800000000001E-3</v>
      </c>
      <c r="G114" s="185">
        <v>2.3263731253333333</v>
      </c>
      <c r="H114" s="174"/>
      <c r="I114" s="122" t="str">
        <f t="shared" si="3"/>
        <v>(1000, 2000]</v>
      </c>
      <c r="J114" s="157">
        <v>1</v>
      </c>
      <c r="K114" s="230">
        <v>4.0000000000000002E-4</v>
      </c>
      <c r="L114" s="184">
        <v>9.9027200000000015E-7</v>
      </c>
      <c r="M114" s="229">
        <v>990</v>
      </c>
      <c r="N114" s="191">
        <v>9.9000966249430593E-7</v>
      </c>
      <c r="O114" s="207">
        <v>9.3030273405572488E-4</v>
      </c>
      <c r="P114" s="179">
        <v>1.1937234023504413E-6</v>
      </c>
      <c r="Q114" s="179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76"/>
      <c r="Y114" s="176"/>
    </row>
    <row r="115" spans="1:25" ht="15.6">
      <c r="A115" s="253">
        <v>2000</v>
      </c>
      <c r="B115" s="254">
        <v>3000</v>
      </c>
      <c r="C115" s="157">
        <v>110800</v>
      </c>
      <c r="D115" s="30">
        <v>26706283260</v>
      </c>
      <c r="E115" s="183">
        <f t="shared" si="2"/>
        <v>1606.876249097473</v>
      </c>
      <c r="F115" s="184">
        <v>1.108E-3</v>
      </c>
      <c r="G115" s="185">
        <v>1.7804188840000001</v>
      </c>
      <c r="H115" s="174"/>
      <c r="I115" s="122" t="str">
        <f t="shared" si="3"/>
        <v>(2000, 3000]</v>
      </c>
      <c r="J115" s="157">
        <v>1</v>
      </c>
      <c r="K115" s="230">
        <v>4.0000000000000002E-4</v>
      </c>
      <c r="L115" s="184">
        <v>4.4320000000000005E-7</v>
      </c>
      <c r="M115" s="229">
        <v>443</v>
      </c>
      <c r="N115" s="191">
        <v>4.430043237221995E-7</v>
      </c>
      <c r="O115" s="207">
        <v>7.1185312603669055E-4</v>
      </c>
      <c r="P115" s="179">
        <v>0</v>
      </c>
      <c r="Q115" s="179">
        <v>0</v>
      </c>
      <c r="R115" s="1">
        <v>0</v>
      </c>
      <c r="S115" s="1">
        <v>0</v>
      </c>
      <c r="T115" s="1">
        <v>0</v>
      </c>
      <c r="U115" s="176"/>
      <c r="Y115" s="176"/>
    </row>
    <row r="116" spans="1:25" ht="15.6">
      <c r="A116" s="253">
        <v>3000</v>
      </c>
      <c r="B116" s="254">
        <v>4000</v>
      </c>
      <c r="C116" s="157">
        <v>51673</v>
      </c>
      <c r="D116" s="30">
        <v>17757022700</v>
      </c>
      <c r="E116" s="183">
        <f t="shared" si="2"/>
        <v>2290.9479096110799</v>
      </c>
      <c r="F116" s="184">
        <v>5.1672999999999997E-4</v>
      </c>
      <c r="G116" s="185">
        <v>1.1838015133333333</v>
      </c>
      <c r="H116" s="174"/>
      <c r="I116" s="122" t="str">
        <f t="shared" si="3"/>
        <v>(3000, 4000]</v>
      </c>
      <c r="J116" s="157">
        <v>1</v>
      </c>
      <c r="K116" s="230">
        <v>0</v>
      </c>
      <c r="L116" s="184">
        <v>0</v>
      </c>
      <c r="M116" s="229">
        <v>0</v>
      </c>
      <c r="N116" s="191">
        <v>0</v>
      </c>
      <c r="O116" s="207">
        <v>0</v>
      </c>
      <c r="P116" s="179">
        <v>0</v>
      </c>
      <c r="Q116" s="179">
        <v>0</v>
      </c>
      <c r="R116" s="1">
        <v>0</v>
      </c>
      <c r="S116" s="1">
        <v>0</v>
      </c>
      <c r="T116" s="1">
        <v>0</v>
      </c>
      <c r="U116" s="176"/>
      <c r="Y116" s="176"/>
    </row>
    <row r="117" spans="1:25" ht="15.6">
      <c r="A117" s="253">
        <v>4000</v>
      </c>
      <c r="B117" s="254">
        <v>5000</v>
      </c>
      <c r="C117" s="157">
        <v>31007</v>
      </c>
      <c r="D117" s="30">
        <v>13779144020</v>
      </c>
      <c r="E117" s="183">
        <f t="shared" si="2"/>
        <v>2962.5878070543213</v>
      </c>
      <c r="F117" s="184">
        <v>3.1007000000000002E-4</v>
      </c>
      <c r="G117" s="185">
        <v>0.91860960133333347</v>
      </c>
      <c r="H117" s="174"/>
      <c r="I117" s="122" t="str">
        <f t="shared" si="3"/>
        <v>(4000, 5000]</v>
      </c>
      <c r="J117" s="157">
        <v>0</v>
      </c>
      <c r="K117" s="230">
        <v>0</v>
      </c>
      <c r="L117" s="184">
        <v>0</v>
      </c>
      <c r="M117" s="229">
        <v>0</v>
      </c>
      <c r="N117" s="191">
        <v>0</v>
      </c>
      <c r="O117" s="207">
        <v>0</v>
      </c>
      <c r="P117" s="179">
        <v>0</v>
      </c>
      <c r="Q117" s="179">
        <v>0</v>
      </c>
      <c r="R117" s="1">
        <v>0</v>
      </c>
      <c r="S117" s="1">
        <v>0</v>
      </c>
      <c r="T117" s="1">
        <v>0</v>
      </c>
      <c r="U117" s="176"/>
      <c r="Y117" s="176"/>
    </row>
    <row r="118" spans="1:25" ht="15.6">
      <c r="A118" s="253">
        <v>5000</v>
      </c>
      <c r="B118" s="254">
        <v>6000</v>
      </c>
      <c r="C118" s="157">
        <v>15139</v>
      </c>
      <c r="D118" s="30">
        <v>8260523660</v>
      </c>
      <c r="E118" s="183">
        <f t="shared" si="2"/>
        <v>3637.6350969901141</v>
      </c>
      <c r="F118" s="184">
        <v>1.5139E-4</v>
      </c>
      <c r="G118" s="185">
        <v>0.55070157733333336</v>
      </c>
      <c r="H118" s="174"/>
      <c r="I118" s="122" t="str">
        <f t="shared" si="3"/>
        <v>(5000, 6000]</v>
      </c>
      <c r="J118" s="157">
        <v>0</v>
      </c>
      <c r="K118" s="230">
        <v>0</v>
      </c>
      <c r="L118" s="184">
        <v>0</v>
      </c>
      <c r="M118" s="229">
        <v>0</v>
      </c>
      <c r="N118" s="191">
        <v>0</v>
      </c>
      <c r="O118" s="207">
        <v>0</v>
      </c>
      <c r="P118" s="179">
        <v>0</v>
      </c>
      <c r="Q118" s="179">
        <v>0</v>
      </c>
      <c r="R118" s="1">
        <v>0</v>
      </c>
      <c r="S118" s="1">
        <v>0</v>
      </c>
      <c r="T118" s="1">
        <v>0</v>
      </c>
      <c r="U118" s="176"/>
      <c r="Y118" s="176"/>
    </row>
    <row r="119" spans="1:25" ht="15.6">
      <c r="A119" s="253">
        <v>6000</v>
      </c>
      <c r="B119" s="254">
        <v>7000</v>
      </c>
      <c r="C119" s="157">
        <v>10296</v>
      </c>
      <c r="D119" s="30">
        <v>6634417080</v>
      </c>
      <c r="E119" s="183">
        <f t="shared" si="2"/>
        <v>4295.789355089355</v>
      </c>
      <c r="F119" s="184">
        <v>1.0296E-4</v>
      </c>
      <c r="G119" s="185">
        <v>0.44229447199999999</v>
      </c>
      <c r="H119" s="174"/>
      <c r="I119" s="122" t="str">
        <f t="shared" si="3"/>
        <v>(6000, 7000]</v>
      </c>
      <c r="J119" s="157">
        <v>0</v>
      </c>
      <c r="K119" s="230">
        <v>0</v>
      </c>
      <c r="L119" s="184">
        <v>0</v>
      </c>
      <c r="M119" s="229">
        <v>0</v>
      </c>
      <c r="N119" s="191">
        <v>0</v>
      </c>
      <c r="O119" s="207">
        <v>0</v>
      </c>
      <c r="P119" s="179">
        <v>0</v>
      </c>
      <c r="Q119" s="179">
        <v>0</v>
      </c>
      <c r="R119" s="1">
        <v>0</v>
      </c>
      <c r="S119" s="1">
        <v>0</v>
      </c>
      <c r="T119" s="1">
        <v>0</v>
      </c>
      <c r="U119" s="176"/>
      <c r="Y119" s="176"/>
    </row>
    <row r="120" spans="1:25" ht="15.6">
      <c r="A120" s="253">
        <v>7000</v>
      </c>
      <c r="B120" s="254">
        <v>8000</v>
      </c>
      <c r="C120" s="157">
        <v>16379</v>
      </c>
      <c r="D120" s="30">
        <v>15875619560</v>
      </c>
      <c r="E120" s="183">
        <f t="shared" si="2"/>
        <v>6461.7781142519898</v>
      </c>
      <c r="F120" s="184">
        <v>1.6379E-4</v>
      </c>
      <c r="G120" s="185">
        <v>1.0583746373333334</v>
      </c>
      <c r="H120" s="174"/>
      <c r="I120" s="122" t="str">
        <f t="shared" si="3"/>
        <v>(7000, 8000]</v>
      </c>
      <c r="J120" s="157">
        <v>0</v>
      </c>
      <c r="K120" s="230">
        <v>0</v>
      </c>
      <c r="L120" s="184">
        <v>0</v>
      </c>
      <c r="M120" s="229">
        <v>0</v>
      </c>
      <c r="N120" s="191">
        <v>0</v>
      </c>
      <c r="O120" s="207">
        <v>0</v>
      </c>
      <c r="P120" s="179">
        <v>0</v>
      </c>
      <c r="Q120" s="179">
        <v>0</v>
      </c>
      <c r="R120" s="1">
        <v>0</v>
      </c>
      <c r="S120" s="1">
        <v>0</v>
      </c>
      <c r="T120" s="1">
        <v>0</v>
      </c>
      <c r="U120" s="176"/>
      <c r="Y120" s="176"/>
    </row>
    <row r="121" spans="1:25" ht="15.6">
      <c r="A121" s="253">
        <v>8000</v>
      </c>
      <c r="B121" s="254">
        <v>9000</v>
      </c>
      <c r="C121" s="157">
        <v>0</v>
      </c>
      <c r="D121" s="30">
        <v>0</v>
      </c>
      <c r="E121" s="183">
        <f t="shared" si="2"/>
        <v>0</v>
      </c>
      <c r="F121" s="184">
        <v>0</v>
      </c>
      <c r="G121" s="185">
        <v>0</v>
      </c>
      <c r="H121" s="174"/>
      <c r="I121" s="122" t="str">
        <f t="shared" si="3"/>
        <v>(8000, 9000]</v>
      </c>
      <c r="J121" s="157">
        <v>0</v>
      </c>
      <c r="K121" s="230">
        <v>0</v>
      </c>
      <c r="L121" s="184">
        <v>0</v>
      </c>
      <c r="M121" s="229">
        <v>0</v>
      </c>
      <c r="N121" s="191">
        <v>0</v>
      </c>
      <c r="O121" s="207">
        <v>0</v>
      </c>
      <c r="P121" s="179">
        <v>0</v>
      </c>
      <c r="Q121" s="194"/>
      <c r="S121" s="178"/>
      <c r="U121" s="176"/>
      <c r="Y121" s="176"/>
    </row>
    <row r="122" spans="1:25" ht="15.6">
      <c r="A122" s="253">
        <v>9000</v>
      </c>
      <c r="B122" s="254">
        <v>10000</v>
      </c>
      <c r="C122" s="157">
        <v>0</v>
      </c>
      <c r="D122" s="30">
        <v>0</v>
      </c>
      <c r="E122" s="183">
        <f t="shared" si="2"/>
        <v>0</v>
      </c>
      <c r="F122" s="184">
        <v>0</v>
      </c>
      <c r="G122" s="185">
        <v>0</v>
      </c>
      <c r="H122" s="174"/>
      <c r="I122" s="122" t="str">
        <f t="shared" si="3"/>
        <v>(9000, 10000]</v>
      </c>
      <c r="J122" s="157">
        <v>0</v>
      </c>
      <c r="K122" s="230">
        <v>0</v>
      </c>
      <c r="L122" s="184">
        <v>0</v>
      </c>
      <c r="M122" s="229">
        <v>0</v>
      </c>
      <c r="N122" s="191">
        <v>0</v>
      </c>
      <c r="O122" s="207">
        <v>0</v>
      </c>
      <c r="P122" s="179">
        <v>0</v>
      </c>
      <c r="Q122" s="194"/>
      <c r="S122" s="178"/>
      <c r="U122" s="176"/>
      <c r="Y122" s="176"/>
    </row>
    <row r="123" spans="1:25" ht="15.6">
      <c r="A123" s="253">
        <v>10000</v>
      </c>
      <c r="B123" s="254">
        <v>20000</v>
      </c>
      <c r="C123" s="157">
        <v>0</v>
      </c>
      <c r="D123" s="30">
        <v>0</v>
      </c>
      <c r="E123" s="183">
        <f t="shared" si="2"/>
        <v>0</v>
      </c>
      <c r="F123" s="184">
        <v>0</v>
      </c>
      <c r="G123" s="185">
        <v>0</v>
      </c>
      <c r="H123" s="174"/>
      <c r="I123" s="122" t="str">
        <f t="shared" si="3"/>
        <v>(10000, 20000]</v>
      </c>
      <c r="J123" s="157">
        <v>0</v>
      </c>
      <c r="K123" s="230">
        <v>0</v>
      </c>
      <c r="L123" s="184">
        <v>0</v>
      </c>
      <c r="M123" s="229">
        <v>0</v>
      </c>
      <c r="N123" s="191">
        <v>0</v>
      </c>
      <c r="O123" s="207">
        <v>0</v>
      </c>
      <c r="P123" s="179">
        <v>0</v>
      </c>
      <c r="Q123" s="194"/>
      <c r="S123" s="178"/>
      <c r="U123" s="176"/>
      <c r="Y123" s="176"/>
    </row>
    <row r="124" spans="1:25" ht="15.6">
      <c r="A124" s="253">
        <v>20000</v>
      </c>
      <c r="B124" s="254">
        <v>30000</v>
      </c>
      <c r="C124" s="157">
        <v>0</v>
      </c>
      <c r="D124" s="30">
        <v>0</v>
      </c>
      <c r="E124" s="183">
        <f t="shared" si="2"/>
        <v>0</v>
      </c>
      <c r="F124" s="184">
        <v>0</v>
      </c>
      <c r="G124" s="185">
        <v>0</v>
      </c>
      <c r="H124" s="174"/>
      <c r="I124" s="122" t="str">
        <f t="shared" si="3"/>
        <v>(20000, 30000]</v>
      </c>
      <c r="J124" s="157">
        <v>0</v>
      </c>
      <c r="K124" s="230">
        <v>0</v>
      </c>
      <c r="L124" s="184">
        <v>0</v>
      </c>
      <c r="M124" s="229">
        <v>0</v>
      </c>
      <c r="N124" s="191">
        <v>0</v>
      </c>
      <c r="O124" s="207">
        <v>0</v>
      </c>
      <c r="P124" s="179">
        <v>0</v>
      </c>
      <c r="Q124" s="194"/>
      <c r="S124" s="178"/>
      <c r="U124" s="176"/>
      <c r="Y124" s="176"/>
    </row>
    <row r="125" spans="1:25" ht="15.6">
      <c r="A125" s="253">
        <v>30000</v>
      </c>
      <c r="B125" s="254">
        <v>100000</v>
      </c>
      <c r="C125" s="157">
        <v>0</v>
      </c>
      <c r="D125" s="30">
        <v>0</v>
      </c>
      <c r="E125" s="183">
        <f t="shared" si="2"/>
        <v>0</v>
      </c>
      <c r="F125" s="184">
        <v>0</v>
      </c>
      <c r="G125" s="185">
        <v>0</v>
      </c>
      <c r="H125" s="174"/>
      <c r="I125" s="122" t="str">
        <f t="shared" si="3"/>
        <v>(30000, 100000]</v>
      </c>
      <c r="J125" s="157">
        <v>0</v>
      </c>
      <c r="K125" s="230">
        <v>0</v>
      </c>
      <c r="L125" s="184">
        <v>0</v>
      </c>
      <c r="M125" s="229">
        <v>0</v>
      </c>
      <c r="N125" s="191">
        <v>0</v>
      </c>
      <c r="O125" s="207">
        <v>0</v>
      </c>
      <c r="P125" s="179">
        <v>0</v>
      </c>
      <c r="Q125" s="194"/>
      <c r="S125" s="178"/>
      <c r="U125" s="176"/>
      <c r="Y125" s="176"/>
    </row>
    <row r="126" spans="1:25" thickBot="1">
      <c r="A126" s="255">
        <v>100000</v>
      </c>
      <c r="B126" s="256">
        <v>999999</v>
      </c>
      <c r="C126" s="159">
        <v>0</v>
      </c>
      <c r="D126" s="164">
        <v>0</v>
      </c>
      <c r="E126" s="186">
        <f t="shared" si="2"/>
        <v>0</v>
      </c>
      <c r="F126" s="187">
        <v>0</v>
      </c>
      <c r="G126" s="188">
        <v>0</v>
      </c>
      <c r="H126" s="174"/>
      <c r="I126" s="123" t="str">
        <f t="shared" si="3"/>
        <v>(100000, 999999]</v>
      </c>
      <c r="J126" s="159">
        <v>0</v>
      </c>
      <c r="K126" s="246">
        <v>0</v>
      </c>
      <c r="L126" s="187">
        <v>0</v>
      </c>
      <c r="M126" s="240">
        <v>0</v>
      </c>
      <c r="N126" s="192">
        <v>0</v>
      </c>
      <c r="O126" s="208">
        <v>0</v>
      </c>
      <c r="P126" s="179">
        <v>0</v>
      </c>
      <c r="Q126" s="194"/>
      <c r="S126" s="178"/>
      <c r="U126" s="176"/>
      <c r="Y126" s="176"/>
    </row>
    <row r="127" spans="1:25" ht="16.8" thickBot="1">
      <c r="O127" s="10">
        <f>SUM(O96:O120)</f>
        <v>3.4200074957115426E-2</v>
      </c>
    </row>
    <row r="128" spans="1:25" ht="16.8" thickBot="1">
      <c r="M128" s="112"/>
      <c r="N128" s="161" t="s">
        <v>168</v>
      </c>
      <c r="O128" s="215" t="s">
        <v>167</v>
      </c>
    </row>
    <row r="129" spans="1:50">
      <c r="M129" s="125" t="s">
        <v>165</v>
      </c>
      <c r="N129" s="214">
        <f>1/SUM(N103:N120)</f>
        <v>40569.201184632228</v>
      </c>
      <c r="O129" s="216" cm="1">
        <f t="array" ref="O129:O130">N131/N129:N130</f>
        <v>86.272342018058112</v>
      </c>
    </row>
    <row r="130" spans="1:50" ht="16.8" thickBot="1">
      <c r="M130" s="122" t="s">
        <v>166</v>
      </c>
      <c r="N130" s="214">
        <f>1/SUM(N115:N120)</f>
        <v>2257314.3115124153</v>
      </c>
      <c r="O130" s="216">
        <v>1.5505151330276983</v>
      </c>
    </row>
    <row r="131" spans="1:50" ht="16.8" thickBot="1">
      <c r="D131" s="1" t="s">
        <v>170</v>
      </c>
      <c r="E131" s="1">
        <v>800</v>
      </c>
      <c r="M131" s="112" t="s">
        <v>164</v>
      </c>
      <c r="N131" s="180">
        <f>N66</f>
        <v>3500000</v>
      </c>
      <c r="O131" s="162"/>
    </row>
    <row r="132" spans="1:50" ht="16.8" thickBot="1">
      <c r="A132" s="144" t="s">
        <v>105</v>
      </c>
      <c r="B132" s="144"/>
      <c r="C132" s="144" t="s">
        <v>172</v>
      </c>
      <c r="D132" s="144"/>
      <c r="E132" s="144"/>
      <c r="F132" s="219"/>
      <c r="G132" s="144"/>
      <c r="H132" s="144"/>
      <c r="I132" s="144"/>
      <c r="J132" s="144"/>
      <c r="K132" s="144"/>
      <c r="L132" s="144"/>
      <c r="M132" s="144"/>
      <c r="N132" s="144"/>
      <c r="O132" s="220">
        <f>SUM(_xlfn.ANCHORARRAY(O134))</f>
        <v>0.91999937006948573</v>
      </c>
    </row>
    <row r="133" spans="1:50" thickBot="1">
      <c r="A133" s="161" t="str" cm="1">
        <f t="array" ref="A133:G133">A68:G68</f>
        <v>Lower</v>
      </c>
      <c r="B133" s="162" t="str">
        <v>Upper</v>
      </c>
      <c r="C133" s="222" t="str">
        <v>Count</v>
      </c>
      <c r="D133" s="223" t="str">
        <v>Pay</v>
      </c>
      <c r="E133" s="223" t="str">
        <v>Multi.</v>
      </c>
      <c r="F133" s="223" t="str">
        <v>Prob.</v>
      </c>
      <c r="G133" s="224" t="str">
        <v>RTP</v>
      </c>
      <c r="I133" s="112" t="s">
        <v>147</v>
      </c>
      <c r="J133" s="161" t="s">
        <v>161</v>
      </c>
      <c r="K133" s="180" t="s">
        <v>149</v>
      </c>
      <c r="L133" s="180" t="s">
        <v>151</v>
      </c>
      <c r="M133" s="180" t="s">
        <v>150</v>
      </c>
      <c r="N133" s="180" t="s">
        <v>152</v>
      </c>
      <c r="O133" s="112" t="s">
        <v>153</v>
      </c>
      <c r="R133" s="1" t="s">
        <v>175</v>
      </c>
    </row>
    <row r="134" spans="1:50" ht="15.6">
      <c r="A134" s="251" cm="1">
        <f t="array" ref="A134:B191">_xlfn.ANCHORARRAY(A69)</f>
        <v>-1</v>
      </c>
      <c r="B134" s="252">
        <v>0</v>
      </c>
      <c r="C134" s="155">
        <v>79518011</v>
      </c>
      <c r="D134" s="163">
        <v>0</v>
      </c>
      <c r="E134" s="237">
        <f>IFERROR((D134/$E$131)/(C134),0)</f>
        <v>0</v>
      </c>
      <c r="F134" s="181" cm="1">
        <f t="array" ref="F134:F191">C134:C191/SUM(C134:C191)</f>
        <v>0.79518011</v>
      </c>
      <c r="G134" s="182" cm="1">
        <f t="array" ref="G134:G191">E134:E191*_xlfn.ANCHORARRAY(F134)</f>
        <v>0</v>
      </c>
      <c r="H134" s="228"/>
      <c r="I134" s="125" t="str">
        <f>"("&amp;$A134&amp;", "&amp;$B134&amp;"]"</f>
        <v>(-1, 0]</v>
      </c>
      <c r="J134" s="155" cm="1">
        <f t="array" ref="J134:J191">IFERROR(IF(1/_xlfn.ANCHORARRAY(F134)&lt;$J$2,1,0),0)</f>
        <v>1</v>
      </c>
      <c r="K134" s="244">
        <v>0.138876</v>
      </c>
      <c r="L134" s="181" cm="1">
        <f t="array" ref="L134:L191">K134:K191*_xlfn.ANCHORARRAY(J134)*_xlfn.ANCHORARRAY(F134)</f>
        <v>0.11043143295636</v>
      </c>
      <c r="M134" s="236" cm="1">
        <f t="array" ref="M134:M191">INT(_xlfn.ANCHORARRAY(L134)*$M$2)</f>
        <v>110431432</v>
      </c>
      <c r="N134" s="190" cm="1">
        <f t="array" ref="N134:N191">_xlfn.ANCHORARRAY(M134)/SUM(_xlfn.ANCHORARRAY(M134))</f>
        <v>0.8541379010537502</v>
      </c>
      <c r="O134" s="206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0">
        <v>0.75429336623852539</v>
      </c>
      <c r="S134" s="20"/>
      <c r="AX134" s="178"/>
    </row>
    <row r="135" spans="1:50" ht="15.6">
      <c r="A135" s="253">
        <v>0</v>
      </c>
      <c r="B135" s="254">
        <v>1</v>
      </c>
      <c r="C135" s="157">
        <v>0</v>
      </c>
      <c r="D135" s="30">
        <v>0</v>
      </c>
      <c r="E135" s="183">
        <f t="shared" ref="E135:E191" si="4">IFERROR((D135/$E$131)/(C135),0)</f>
        <v>0</v>
      </c>
      <c r="F135" s="184">
        <v>0</v>
      </c>
      <c r="G135" s="185">
        <v>0</v>
      </c>
      <c r="H135" s="228"/>
      <c r="I135" s="122" t="str">
        <f t="shared" ref="I135:I191" si="5">"("&amp;$A135&amp;", "&amp;$B135&amp;"]"</f>
        <v>(0, 1]</v>
      </c>
      <c r="J135" s="157">
        <v>0</v>
      </c>
      <c r="K135" s="230">
        <v>0</v>
      </c>
      <c r="L135" s="184">
        <v>0</v>
      </c>
      <c r="M135" s="229">
        <v>0</v>
      </c>
      <c r="N135" s="191">
        <v>0</v>
      </c>
      <c r="O135" s="207">
        <v>0</v>
      </c>
      <c r="P135" s="1">
        <v>0</v>
      </c>
      <c r="Q135" s="1">
        <v>0.96355921240005371</v>
      </c>
      <c r="R135" s="191">
        <v>0</v>
      </c>
      <c r="S135" s="20"/>
      <c r="AX135" s="178"/>
    </row>
    <row r="136" spans="1:50" ht="15.6">
      <c r="A136" s="253">
        <v>1</v>
      </c>
      <c r="B136" s="254">
        <v>2</v>
      </c>
      <c r="C136" s="157">
        <v>0</v>
      </c>
      <c r="D136" s="30">
        <v>0</v>
      </c>
      <c r="E136" s="183">
        <f t="shared" si="4"/>
        <v>0</v>
      </c>
      <c r="F136" s="184">
        <v>0</v>
      </c>
      <c r="G136" s="185">
        <v>0</v>
      </c>
      <c r="H136" s="228"/>
      <c r="I136" s="210" t="str">
        <f t="shared" si="5"/>
        <v>(1, 2]</v>
      </c>
      <c r="J136" s="157">
        <v>0</v>
      </c>
      <c r="K136" s="230">
        <v>0</v>
      </c>
      <c r="L136" s="184">
        <v>0</v>
      </c>
      <c r="M136" s="229">
        <v>0</v>
      </c>
      <c r="N136" s="191">
        <v>0</v>
      </c>
      <c r="O136" s="207">
        <v>0</v>
      </c>
      <c r="P136" s="1">
        <v>0</v>
      </c>
      <c r="Q136" s="1">
        <v>0.82511184749780209</v>
      </c>
      <c r="R136" s="191">
        <v>0</v>
      </c>
      <c r="S136" s="20"/>
      <c r="AX136" s="178"/>
    </row>
    <row r="137" spans="1:50" ht="15.6">
      <c r="A137" s="253">
        <v>2</v>
      </c>
      <c r="B137" s="254">
        <v>3</v>
      </c>
      <c r="C137" s="157">
        <v>0</v>
      </c>
      <c r="D137" s="30">
        <v>0</v>
      </c>
      <c r="E137" s="183">
        <f t="shared" si="4"/>
        <v>0</v>
      </c>
      <c r="F137" s="184">
        <v>0</v>
      </c>
      <c r="G137" s="185">
        <v>0</v>
      </c>
      <c r="H137" s="228"/>
      <c r="I137" s="122" t="str">
        <f t="shared" si="5"/>
        <v>(2, 3]</v>
      </c>
      <c r="J137" s="157">
        <v>0</v>
      </c>
      <c r="K137" s="230">
        <v>0</v>
      </c>
      <c r="L137" s="184">
        <v>0</v>
      </c>
      <c r="M137" s="229">
        <v>0</v>
      </c>
      <c r="N137" s="191">
        <v>0</v>
      </c>
      <c r="O137" s="207">
        <v>0</v>
      </c>
      <c r="P137" s="1">
        <v>0</v>
      </c>
      <c r="Q137" s="1">
        <v>0.8300931021164395</v>
      </c>
      <c r="R137" s="191">
        <v>0</v>
      </c>
      <c r="S137" s="20"/>
      <c r="AX137" s="178"/>
    </row>
    <row r="138" spans="1:50" ht="15.6">
      <c r="A138" s="253">
        <v>3</v>
      </c>
      <c r="B138" s="254">
        <v>4</v>
      </c>
      <c r="C138" s="157">
        <v>153893</v>
      </c>
      <c r="D138" s="30">
        <v>61557200</v>
      </c>
      <c r="E138" s="183">
        <f t="shared" si="4"/>
        <v>0.5</v>
      </c>
      <c r="F138" s="184">
        <v>1.53893E-3</v>
      </c>
      <c r="G138" s="185">
        <v>7.6946499999999999E-4</v>
      </c>
      <c r="H138" s="228"/>
      <c r="I138" s="122" t="str">
        <f t="shared" si="5"/>
        <v>(3, 4]</v>
      </c>
      <c r="J138" s="157">
        <v>1</v>
      </c>
      <c r="K138" s="230">
        <v>0</v>
      </c>
      <c r="L138" s="184">
        <v>0</v>
      </c>
      <c r="M138" s="229">
        <v>0</v>
      </c>
      <c r="N138" s="191">
        <v>0</v>
      </c>
      <c r="O138" s="207">
        <v>0</v>
      </c>
      <c r="P138" s="1">
        <v>7.1992066772194221</v>
      </c>
      <c r="Q138" s="1">
        <v>0.67092901291312723</v>
      </c>
      <c r="R138" s="191">
        <v>0</v>
      </c>
      <c r="S138" s="20"/>
      <c r="AX138" s="178"/>
    </row>
    <row r="139" spans="1:50" ht="15.6">
      <c r="A139" s="253">
        <v>4</v>
      </c>
      <c r="B139" s="254">
        <v>5</v>
      </c>
      <c r="C139" s="157">
        <v>0</v>
      </c>
      <c r="D139" s="30">
        <v>0</v>
      </c>
      <c r="E139" s="183">
        <f t="shared" si="4"/>
        <v>0</v>
      </c>
      <c r="F139" s="184">
        <v>0</v>
      </c>
      <c r="G139" s="185">
        <v>0</v>
      </c>
      <c r="H139" s="228"/>
      <c r="I139" s="122" t="str">
        <f t="shared" si="5"/>
        <v>(4, 5]</v>
      </c>
      <c r="J139" s="157">
        <v>0</v>
      </c>
      <c r="K139" s="230">
        <v>0</v>
      </c>
      <c r="L139" s="184">
        <v>0</v>
      </c>
      <c r="M139" s="229">
        <v>0</v>
      </c>
      <c r="N139" s="191">
        <v>0</v>
      </c>
      <c r="O139" s="207">
        <v>0</v>
      </c>
      <c r="P139" s="1">
        <v>0</v>
      </c>
      <c r="Q139" s="1">
        <v>0.80062079510694162</v>
      </c>
      <c r="R139" s="191">
        <v>0</v>
      </c>
      <c r="S139" s="20"/>
      <c r="AX139" s="178"/>
    </row>
    <row r="140" spans="1:50" ht="15.6">
      <c r="A140" s="253">
        <v>5</v>
      </c>
      <c r="B140" s="254">
        <v>6</v>
      </c>
      <c r="C140" s="157">
        <v>153964</v>
      </c>
      <c r="D140" s="30">
        <v>92378400</v>
      </c>
      <c r="E140" s="183">
        <f t="shared" si="4"/>
        <v>0.75</v>
      </c>
      <c r="F140" s="184">
        <v>1.5396400000000001E-3</v>
      </c>
      <c r="G140" s="185">
        <v>1.1547300000000001E-3</v>
      </c>
      <c r="H140" s="228"/>
      <c r="I140" s="122" t="str">
        <f t="shared" si="5"/>
        <v>(5, 6]</v>
      </c>
      <c r="J140" s="157">
        <v>1</v>
      </c>
      <c r="K140" s="230">
        <v>0</v>
      </c>
      <c r="L140" s="184">
        <v>0</v>
      </c>
      <c r="M140" s="229">
        <v>0</v>
      </c>
      <c r="N140" s="191">
        <v>0</v>
      </c>
      <c r="O140" s="207">
        <v>0</v>
      </c>
      <c r="P140" s="1">
        <v>5.9399828917462072</v>
      </c>
      <c r="Q140" s="1">
        <v>0.64284149898525456</v>
      </c>
      <c r="R140" s="191">
        <v>0</v>
      </c>
      <c r="S140" s="20"/>
      <c r="AX140" s="178"/>
    </row>
    <row r="141" spans="1:50" ht="15.6">
      <c r="A141" s="253">
        <v>6</v>
      </c>
      <c r="B141" s="254">
        <v>7</v>
      </c>
      <c r="C141" s="157">
        <v>0</v>
      </c>
      <c r="D141" s="30">
        <v>0</v>
      </c>
      <c r="E141" s="183">
        <f t="shared" si="4"/>
        <v>0</v>
      </c>
      <c r="F141" s="184">
        <v>0</v>
      </c>
      <c r="G141" s="185">
        <v>0</v>
      </c>
      <c r="H141" s="228"/>
      <c r="I141" s="122" t="str">
        <f t="shared" si="5"/>
        <v>(6, 7]</v>
      </c>
      <c r="J141" s="157">
        <v>0</v>
      </c>
      <c r="K141" s="230">
        <v>0</v>
      </c>
      <c r="L141" s="184">
        <v>0</v>
      </c>
      <c r="M141" s="229">
        <v>0</v>
      </c>
      <c r="N141" s="191">
        <v>0</v>
      </c>
      <c r="O141" s="207">
        <v>0</v>
      </c>
      <c r="P141" s="1">
        <v>0</v>
      </c>
      <c r="Q141" s="1">
        <v>0.62023258791448188</v>
      </c>
      <c r="R141" s="191">
        <v>0</v>
      </c>
      <c r="S141" s="20"/>
      <c r="AX141" s="178"/>
    </row>
    <row r="142" spans="1:50" ht="15.6">
      <c r="A142" s="253">
        <v>7</v>
      </c>
      <c r="B142" s="254">
        <v>8</v>
      </c>
      <c r="C142" s="157">
        <v>217346</v>
      </c>
      <c r="D142" s="30">
        <v>173876800</v>
      </c>
      <c r="E142" s="183">
        <f t="shared" si="4"/>
        <v>1</v>
      </c>
      <c r="F142" s="184">
        <v>2.1734599999999999E-3</v>
      </c>
      <c r="G142" s="185">
        <v>2.1734599999999999E-3</v>
      </c>
      <c r="H142" s="228"/>
      <c r="I142" s="210" t="str">
        <f t="shared" si="5"/>
        <v>(7, 8]</v>
      </c>
      <c r="J142" s="157">
        <v>1</v>
      </c>
      <c r="K142" s="230">
        <v>2</v>
      </c>
      <c r="L142" s="184">
        <v>4.3469199999999998E-3</v>
      </c>
      <c r="M142" s="229">
        <v>4346920</v>
      </c>
      <c r="N142" s="191">
        <v>3.3621488534610035E-2</v>
      </c>
      <c r="O142" s="207">
        <v>3.3621488534610035E-2</v>
      </c>
      <c r="P142" s="1">
        <v>4.3801058749886224</v>
      </c>
      <c r="Q142" s="1">
        <v>0.63963928080514487</v>
      </c>
      <c r="R142" s="191">
        <v>3.9711126823384776E-2</v>
      </c>
      <c r="S142" s="20"/>
      <c r="AX142" s="178"/>
    </row>
    <row r="143" spans="1:50" ht="15.6">
      <c r="A143" s="253">
        <v>8</v>
      </c>
      <c r="B143" s="254">
        <v>9</v>
      </c>
      <c r="C143" s="157">
        <v>0</v>
      </c>
      <c r="D143" s="30">
        <v>0</v>
      </c>
      <c r="E143" s="183">
        <f t="shared" si="4"/>
        <v>0</v>
      </c>
      <c r="F143" s="184">
        <v>0</v>
      </c>
      <c r="G143" s="185">
        <v>0</v>
      </c>
      <c r="H143" s="228"/>
      <c r="I143" s="122" t="str">
        <f t="shared" si="5"/>
        <v>(8, 9]</v>
      </c>
      <c r="J143" s="157">
        <v>0</v>
      </c>
      <c r="K143" s="230">
        <v>0</v>
      </c>
      <c r="L143" s="184">
        <v>0</v>
      </c>
      <c r="M143" s="229">
        <v>0</v>
      </c>
      <c r="N143" s="191">
        <v>0</v>
      </c>
      <c r="O143" s="207">
        <v>0</v>
      </c>
      <c r="P143" s="1">
        <v>0</v>
      </c>
      <c r="Q143" s="1">
        <v>0.53681484391947809</v>
      </c>
      <c r="R143" s="191">
        <v>0</v>
      </c>
      <c r="S143" s="20"/>
      <c r="AX143" s="178"/>
    </row>
    <row r="144" spans="1:50" ht="15.6">
      <c r="A144" s="253">
        <v>9</v>
      </c>
      <c r="B144" s="254">
        <v>10</v>
      </c>
      <c r="C144" s="157">
        <v>327763</v>
      </c>
      <c r="D144" s="30">
        <v>327763000</v>
      </c>
      <c r="E144" s="183">
        <f t="shared" si="4"/>
        <v>1.25</v>
      </c>
      <c r="F144" s="184">
        <v>3.2776300000000001E-3</v>
      </c>
      <c r="G144" s="185">
        <v>4.0970375000000002E-3</v>
      </c>
      <c r="H144" s="228"/>
      <c r="I144" s="122" t="str">
        <f t="shared" si="5"/>
        <v>(9, 10]</v>
      </c>
      <c r="J144" s="157">
        <v>1</v>
      </c>
      <c r="K144" s="230">
        <v>1</v>
      </c>
      <c r="L144" s="184">
        <v>3.2776300000000001E-3</v>
      </c>
      <c r="M144" s="229">
        <v>3277630</v>
      </c>
      <c r="N144" s="191">
        <v>2.5351007026974019E-2</v>
      </c>
      <c r="O144" s="207">
        <v>3.1688758783717526E-2</v>
      </c>
      <c r="P144" s="1">
        <v>2.5529463874535558</v>
      </c>
      <c r="Q144" s="1">
        <v>0.86884135920391348</v>
      </c>
      <c r="R144" s="191">
        <v>2.9007261453407363E-2</v>
      </c>
      <c r="S144" s="20"/>
      <c r="AV144" s="193"/>
      <c r="AW144" s="176"/>
      <c r="AX144" s="178"/>
    </row>
    <row r="145" spans="1:50" ht="15.6">
      <c r="A145" s="253">
        <v>10</v>
      </c>
      <c r="B145" s="254">
        <v>15</v>
      </c>
      <c r="C145" s="157">
        <v>261822</v>
      </c>
      <c r="D145" s="30">
        <v>365993900</v>
      </c>
      <c r="E145" s="183">
        <f t="shared" si="4"/>
        <v>1.7473412280098692</v>
      </c>
      <c r="F145" s="184">
        <v>2.6182200000000001E-3</v>
      </c>
      <c r="G145" s="185">
        <v>4.5749237500000003E-3</v>
      </c>
      <c r="H145" s="228"/>
      <c r="I145" s="210" t="str">
        <f t="shared" si="5"/>
        <v>(10, 15]</v>
      </c>
      <c r="J145" s="157">
        <v>1</v>
      </c>
      <c r="K145" s="230">
        <v>0.2</v>
      </c>
      <c r="L145" s="184">
        <v>5.2364400000000008E-4</v>
      </c>
      <c r="M145" s="229">
        <v>523644</v>
      </c>
      <c r="N145" s="191">
        <v>4.0501529225790535E-3</v>
      </c>
      <c r="O145" s="207">
        <v>7.0769991813670443E-3</v>
      </c>
      <c r="P145" s="1">
        <v>5.578702919239177</v>
      </c>
      <c r="Q145" s="1">
        <v>0.55199198536354721</v>
      </c>
      <c r="R145" s="191">
        <v>4.6017881522689451E-2</v>
      </c>
      <c r="S145" s="20"/>
      <c r="AV145" s="193"/>
      <c r="AW145" s="176"/>
      <c r="AX145" s="178"/>
    </row>
    <row r="146" spans="1:50" ht="15.6">
      <c r="A146" s="253">
        <v>15</v>
      </c>
      <c r="B146" s="254">
        <v>20</v>
      </c>
      <c r="C146" s="157">
        <v>900127</v>
      </c>
      <c r="D146" s="30">
        <v>1689426800</v>
      </c>
      <c r="E146" s="183">
        <f t="shared" si="4"/>
        <v>2.3460950510316878</v>
      </c>
      <c r="F146" s="184">
        <v>9.0012700000000005E-3</v>
      </c>
      <c r="G146" s="185">
        <v>2.1117835000000001E-2</v>
      </c>
      <c r="H146" s="228"/>
      <c r="I146" s="122" t="str">
        <f t="shared" si="5"/>
        <v>(15, 20]</v>
      </c>
      <c r="J146" s="157">
        <v>1</v>
      </c>
      <c r="K146" s="230">
        <v>0.2</v>
      </c>
      <c r="L146" s="184">
        <v>1.8002540000000003E-3</v>
      </c>
      <c r="M146" s="229">
        <v>1800254</v>
      </c>
      <c r="N146" s="191">
        <v>1.3924162216094582E-2</v>
      </c>
      <c r="O146" s="207">
        <v>3.2667408064941915E-2</v>
      </c>
      <c r="P146" s="1">
        <v>1.022398152719179</v>
      </c>
      <c r="Q146" s="1">
        <v>0.52233216837303242</v>
      </c>
      <c r="R146" s="191">
        <v>5.3251296983840228E-2</v>
      </c>
      <c r="S146" s="20"/>
      <c r="AV146" s="193"/>
      <c r="AW146" s="176"/>
      <c r="AX146" s="178"/>
    </row>
    <row r="147" spans="1:50" ht="15.6">
      <c r="A147" s="253">
        <v>20</v>
      </c>
      <c r="B147" s="254">
        <v>25</v>
      </c>
      <c r="C147" s="157">
        <v>567432</v>
      </c>
      <c r="D147" s="30">
        <v>1378828300</v>
      </c>
      <c r="E147" s="183">
        <f t="shared" si="4"/>
        <v>3.037430696541612</v>
      </c>
      <c r="F147" s="184">
        <v>5.6743200000000001E-3</v>
      </c>
      <c r="G147" s="185">
        <v>1.7235353750000001E-2</v>
      </c>
      <c r="H147" s="228"/>
      <c r="I147" s="122" t="str">
        <f t="shared" si="5"/>
        <v>(20, 25]</v>
      </c>
      <c r="J147" s="157">
        <v>1</v>
      </c>
      <c r="K147" s="230">
        <v>0.2</v>
      </c>
      <c r="L147" s="184">
        <v>1.134864E-3</v>
      </c>
      <c r="M147" s="229">
        <v>1134864</v>
      </c>
      <c r="N147" s="191">
        <v>8.7776671676363226E-3</v>
      </c>
      <c r="O147" s="207">
        <v>2.6661555699004035E-2</v>
      </c>
      <c r="P147" s="1">
        <v>0.90608833841012859</v>
      </c>
      <c r="Q147" s="1">
        <v>0.39620899636607793</v>
      </c>
      <c r="R147" s="191">
        <v>1.1467970542457288E-2</v>
      </c>
      <c r="S147" s="20"/>
      <c r="AV147" s="193"/>
      <c r="AW147" s="176"/>
      <c r="AX147" s="178"/>
    </row>
    <row r="148" spans="1:50" ht="15.6">
      <c r="A148" s="253">
        <v>25</v>
      </c>
      <c r="B148" s="254">
        <v>30</v>
      </c>
      <c r="C148" s="157">
        <v>450370</v>
      </c>
      <c r="D148" s="30">
        <v>1346011800</v>
      </c>
      <c r="E148" s="183">
        <f t="shared" si="4"/>
        <v>3.73584996780425</v>
      </c>
      <c r="F148" s="184">
        <v>4.5037000000000002E-3</v>
      </c>
      <c r="G148" s="185">
        <v>1.6825147500000002E-2</v>
      </c>
      <c r="H148" s="228"/>
      <c r="I148" s="122" t="str">
        <f t="shared" si="5"/>
        <v>(25, 30]</v>
      </c>
      <c r="J148" s="157">
        <v>1</v>
      </c>
      <c r="K148" s="230">
        <v>0.2</v>
      </c>
      <c r="L148" s="184">
        <v>9.0074000000000013E-4</v>
      </c>
      <c r="M148" s="229">
        <v>900740</v>
      </c>
      <c r="N148" s="191">
        <v>6.9668223897989025E-3</v>
      </c>
      <c r="O148" s="207">
        <v>2.602700320062816E-2</v>
      </c>
      <c r="P148" s="1">
        <v>0.76123841754138599</v>
      </c>
      <c r="Q148" s="1">
        <v>0.49359622860809138</v>
      </c>
      <c r="R148" s="191">
        <v>9.9561030193249505E-3</v>
      </c>
      <c r="S148" s="20"/>
      <c r="AV148" s="193"/>
      <c r="AW148" s="176"/>
      <c r="AX148" s="178"/>
    </row>
    <row r="149" spans="1:50" ht="15.6">
      <c r="A149" s="253">
        <v>30</v>
      </c>
      <c r="B149" s="254">
        <v>35</v>
      </c>
      <c r="C149" s="157">
        <v>301500</v>
      </c>
      <c r="D149" s="30">
        <v>969339200</v>
      </c>
      <c r="E149" s="183">
        <f t="shared" si="4"/>
        <v>4.0188192371475955</v>
      </c>
      <c r="F149" s="184">
        <v>3.0149999999999999E-3</v>
      </c>
      <c r="G149" s="185">
        <v>1.2116739999999999E-2</v>
      </c>
      <c r="H149" s="228"/>
      <c r="I149" s="122" t="str">
        <f t="shared" si="5"/>
        <v>(30, 35]</v>
      </c>
      <c r="J149" s="157">
        <v>1</v>
      </c>
      <c r="K149" s="230">
        <v>0.2</v>
      </c>
      <c r="L149" s="184">
        <v>6.0300000000000002E-4</v>
      </c>
      <c r="M149" s="229">
        <v>603000</v>
      </c>
      <c r="N149" s="191">
        <v>4.6639362091710577E-3</v>
      </c>
      <c r="O149" s="207">
        <v>1.8743516558245878E-2</v>
      </c>
      <c r="P149" s="1">
        <v>0.20425307145359264</v>
      </c>
      <c r="Q149" s="1">
        <v>0.19072911163628045</v>
      </c>
      <c r="R149" s="191">
        <v>1.512899027411925E-2</v>
      </c>
      <c r="S149" s="20"/>
      <c r="AV149" s="193"/>
      <c r="AW149" s="176"/>
      <c r="AX149" s="178"/>
    </row>
    <row r="150" spans="1:50" ht="15.6">
      <c r="A150" s="253">
        <v>35</v>
      </c>
      <c r="B150" s="254">
        <v>40</v>
      </c>
      <c r="C150" s="157">
        <v>1057290</v>
      </c>
      <c r="D150" s="30">
        <v>4155740700</v>
      </c>
      <c r="E150" s="183">
        <f t="shared" si="4"/>
        <v>4.9131987203132539</v>
      </c>
      <c r="F150" s="184">
        <v>1.05729E-2</v>
      </c>
      <c r="G150" s="185">
        <v>5.1946758750000002E-2</v>
      </c>
      <c r="H150" s="228"/>
      <c r="I150" s="210" t="str">
        <f t="shared" si="5"/>
        <v>(35, 40]</v>
      </c>
      <c r="J150" s="157">
        <v>1</v>
      </c>
      <c r="K150" s="230">
        <v>0.05</v>
      </c>
      <c r="L150" s="184">
        <v>5.28645E-4</v>
      </c>
      <c r="M150" s="229">
        <v>528645</v>
      </c>
      <c r="N150" s="191">
        <v>4.0888334283536217E-3</v>
      </c>
      <c r="O150" s="207">
        <v>2.0089251167761068E-2</v>
      </c>
      <c r="P150" s="1">
        <v>0.19560037305721978</v>
      </c>
      <c r="Q150" s="1">
        <v>0.25336284266475473</v>
      </c>
      <c r="R150" s="191">
        <v>4.4788674627454679E-3</v>
      </c>
      <c r="S150" s="20"/>
      <c r="AV150" s="193"/>
      <c r="AW150" s="176"/>
      <c r="AX150" s="178"/>
    </row>
    <row r="151" spans="1:50" ht="15.6">
      <c r="A151" s="253">
        <v>40</v>
      </c>
      <c r="B151" s="254">
        <v>45</v>
      </c>
      <c r="C151" s="157">
        <v>224678</v>
      </c>
      <c r="D151" s="30">
        <v>1002843100</v>
      </c>
      <c r="E151" s="183">
        <f t="shared" si="4"/>
        <v>5.5793352041588404</v>
      </c>
      <c r="F151" s="184">
        <v>2.2467799999999999E-3</v>
      </c>
      <c r="G151" s="185">
        <v>1.2535538749999998E-2</v>
      </c>
      <c r="H151" s="228"/>
      <c r="I151" s="122" t="str">
        <f t="shared" si="5"/>
        <v>(40, 45]</v>
      </c>
      <c r="J151" s="157">
        <v>1</v>
      </c>
      <c r="K151" s="230">
        <v>0.5</v>
      </c>
      <c r="L151" s="184">
        <v>1.1233899999999999E-3</v>
      </c>
      <c r="M151" s="229">
        <v>1123390</v>
      </c>
      <c r="N151" s="191">
        <v>8.6889208922399236E-3</v>
      </c>
      <c r="O151" s="207">
        <v>4.8478402220225446E-2</v>
      </c>
      <c r="P151" s="1">
        <v>0.31448913391514433</v>
      </c>
      <c r="Q151" s="1">
        <v>0.13412365362692</v>
      </c>
      <c r="R151" s="191">
        <v>1.0283220296035658E-3</v>
      </c>
      <c r="S151" s="20"/>
      <c r="AV151" s="193"/>
      <c r="AW151" s="176"/>
      <c r="AX151" s="178"/>
    </row>
    <row r="152" spans="1:50" ht="15.6">
      <c r="A152" s="253">
        <v>45</v>
      </c>
      <c r="B152" s="254">
        <v>50</v>
      </c>
      <c r="C152" s="157">
        <v>766222</v>
      </c>
      <c r="D152" s="30">
        <v>3760474600</v>
      </c>
      <c r="E152" s="183">
        <f t="shared" si="4"/>
        <v>6.1347667516724922</v>
      </c>
      <c r="F152" s="184">
        <v>7.66222E-3</v>
      </c>
      <c r="G152" s="185">
        <v>4.70059325E-2</v>
      </c>
      <c r="H152" s="228"/>
      <c r="I152" s="122" t="str">
        <f t="shared" si="5"/>
        <v>(45, 50]</v>
      </c>
      <c r="J152" s="157">
        <v>1</v>
      </c>
      <c r="K152" s="230">
        <v>0.05</v>
      </c>
      <c r="L152" s="184">
        <v>3.83111E-4</v>
      </c>
      <c r="M152" s="229">
        <v>383111</v>
      </c>
      <c r="N152" s="191">
        <v>2.963192810997899E-3</v>
      </c>
      <c r="O152" s="207">
        <v>1.817849673570486E-2</v>
      </c>
      <c r="P152" s="1">
        <v>0.13465197680499391</v>
      </c>
      <c r="Q152" s="1">
        <v>0.54526670775743935</v>
      </c>
      <c r="R152" s="191">
        <v>9.7328902357705308E-3</v>
      </c>
      <c r="S152" s="20"/>
      <c r="AV152" s="193"/>
      <c r="AW152" s="176"/>
      <c r="AX152" s="178"/>
    </row>
    <row r="153" spans="1:50" ht="15.6">
      <c r="A153" s="253">
        <v>50</v>
      </c>
      <c r="B153" s="254">
        <v>60</v>
      </c>
      <c r="C153" s="157">
        <v>795950</v>
      </c>
      <c r="D153" s="30">
        <v>4715567200</v>
      </c>
      <c r="E153" s="183">
        <f t="shared" si="4"/>
        <v>7.4055644198756205</v>
      </c>
      <c r="F153" s="184">
        <v>7.9594999999999996E-3</v>
      </c>
      <c r="G153" s="185">
        <v>5.8944589999999998E-2</v>
      </c>
      <c r="H153" s="228"/>
      <c r="I153" s="210" t="str">
        <f t="shared" si="5"/>
        <v>(50, 60]</v>
      </c>
      <c r="J153" s="157">
        <v>1</v>
      </c>
      <c r="K153" s="230">
        <v>0.05</v>
      </c>
      <c r="L153" s="184">
        <v>3.9797500000000001E-4</v>
      </c>
      <c r="M153" s="229">
        <v>397975</v>
      </c>
      <c r="N153" s="191">
        <v>3.0781592252816774E-3</v>
      </c>
      <c r="O153" s="207">
        <v>2.2795506437457896E-2</v>
      </c>
      <c r="P153" s="1">
        <v>0.12514815278587949</v>
      </c>
      <c r="Q153" s="1">
        <v>0.1332938280136213</v>
      </c>
      <c r="R153" s="191">
        <v>2.0103330739649414E-3</v>
      </c>
      <c r="S153" s="20"/>
      <c r="AV153" s="193"/>
      <c r="AW153" s="176"/>
      <c r="AX153" s="178"/>
    </row>
    <row r="154" spans="1:50" ht="15.6">
      <c r="A154" s="253">
        <v>60</v>
      </c>
      <c r="B154" s="254">
        <v>70</v>
      </c>
      <c r="C154" s="157">
        <v>217944</v>
      </c>
      <c r="D154" s="30">
        <v>1434094600</v>
      </c>
      <c r="E154" s="183">
        <f t="shared" si="4"/>
        <v>8.2251323734537305</v>
      </c>
      <c r="F154" s="184">
        <v>2.1794399999999999E-3</v>
      </c>
      <c r="G154" s="185">
        <v>1.7926182499999999E-2</v>
      </c>
      <c r="H154" s="228"/>
      <c r="I154" s="122" t="str">
        <f t="shared" si="5"/>
        <v>(60, 70]</v>
      </c>
      <c r="J154" s="157">
        <v>1</v>
      </c>
      <c r="K154" s="230">
        <v>0.05</v>
      </c>
      <c r="L154" s="184">
        <v>1.08972E-4</v>
      </c>
      <c r="M154" s="229">
        <v>108972</v>
      </c>
      <c r="N154" s="191">
        <v>8.4284984508422635E-4</v>
      </c>
      <c r="O154" s="207">
        <v>6.9325515467627318E-3</v>
      </c>
      <c r="P154" s="1">
        <v>5.2716349772007648E-2</v>
      </c>
      <c r="Q154" s="1">
        <v>2.2551658859403426E-2</v>
      </c>
      <c r="R154" s="191">
        <v>2.0901833615760785E-4</v>
      </c>
      <c r="S154" s="20"/>
      <c r="AV154" s="193"/>
      <c r="AW154" s="176"/>
      <c r="AX154" s="178"/>
    </row>
    <row r="155" spans="1:50" ht="15.6">
      <c r="A155" s="253">
        <v>70</v>
      </c>
      <c r="B155" s="254">
        <v>80</v>
      </c>
      <c r="C155" s="157">
        <v>1018318</v>
      </c>
      <c r="D155" s="30">
        <v>7924819100</v>
      </c>
      <c r="E155" s="183">
        <f t="shared" si="4"/>
        <v>9.7278294943229913</v>
      </c>
      <c r="F155" s="184">
        <v>1.018318E-2</v>
      </c>
      <c r="G155" s="185">
        <v>9.9060238750000001E-2</v>
      </c>
      <c r="H155" s="228"/>
      <c r="I155" s="210" t="str">
        <f t="shared" si="5"/>
        <v>(70, 80]</v>
      </c>
      <c r="J155" s="157">
        <v>1</v>
      </c>
      <c r="K155" s="230">
        <v>0.02</v>
      </c>
      <c r="L155" s="184">
        <v>2.0366359999999999E-4</v>
      </c>
      <c r="M155" s="229">
        <v>203663</v>
      </c>
      <c r="N155" s="191">
        <v>1.5752425210089635E-3</v>
      </c>
      <c r="O155" s="207">
        <v>1.5323690656582699E-2</v>
      </c>
      <c r="P155" s="1">
        <v>3.7352743682071129E-2</v>
      </c>
      <c r="Q155" s="1">
        <v>7.4478239755274581E-2</v>
      </c>
      <c r="R155" s="191">
        <v>8.9040872178555394E-4</v>
      </c>
      <c r="S155" s="20"/>
      <c r="AV155" s="193"/>
      <c r="AW155" s="176"/>
      <c r="AX155" s="178"/>
    </row>
    <row r="156" spans="1:50" ht="15.6">
      <c r="A156" s="253">
        <v>80</v>
      </c>
      <c r="B156" s="254">
        <v>90</v>
      </c>
      <c r="C156" s="157">
        <v>239281</v>
      </c>
      <c r="D156" s="30">
        <v>2102290900</v>
      </c>
      <c r="E156" s="183">
        <f t="shared" si="4"/>
        <v>10.982333010142886</v>
      </c>
      <c r="F156" s="184">
        <v>2.39281E-3</v>
      </c>
      <c r="G156" s="185">
        <v>2.6278636250000001E-2</v>
      </c>
      <c r="H156" s="174"/>
      <c r="I156" s="122" t="str">
        <f t="shared" si="5"/>
        <v>(80, 90]</v>
      </c>
      <c r="J156" s="157">
        <v>1</v>
      </c>
      <c r="K156" s="230">
        <v>0.8</v>
      </c>
      <c r="L156" s="184">
        <v>1.9142480000000001E-3</v>
      </c>
      <c r="M156" s="229">
        <v>1914248</v>
      </c>
      <c r="N156" s="191">
        <v>1.4805854992592501E-2</v>
      </c>
      <c r="O156" s="207">
        <v>0.16260283002853748</v>
      </c>
      <c r="P156" s="1">
        <v>9.2670192870943635E-2</v>
      </c>
      <c r="Q156" s="1">
        <v>4.3486215412370757E-2</v>
      </c>
      <c r="R156" s="191">
        <v>1.7343594393281491E-2</v>
      </c>
      <c r="S156" s="20"/>
      <c r="AV156" s="193"/>
      <c r="AW156" s="176"/>
      <c r="AX156" s="178"/>
    </row>
    <row r="157" spans="1:50" ht="15.6">
      <c r="A157" s="253">
        <v>90</v>
      </c>
      <c r="B157" s="254">
        <v>100</v>
      </c>
      <c r="C157" s="157">
        <v>826678</v>
      </c>
      <c r="D157" s="30">
        <v>8193252700</v>
      </c>
      <c r="E157" s="183">
        <f t="shared" si="4"/>
        <v>12.388821131081267</v>
      </c>
      <c r="F157" s="184">
        <v>8.2667799999999996E-3</v>
      </c>
      <c r="G157" s="185">
        <v>0.10241565874999999</v>
      </c>
      <c r="H157" s="174"/>
      <c r="I157" s="122" t="str">
        <f t="shared" si="5"/>
        <v>(90, 100]</v>
      </c>
      <c r="J157" s="157">
        <v>1</v>
      </c>
      <c r="K157" s="230">
        <v>3.4885751173975937E-2</v>
      </c>
      <c r="L157" s="184">
        <v>2.883928300900008E-4</v>
      </c>
      <c r="M157" s="229">
        <v>288392</v>
      </c>
      <c r="N157" s="191">
        <v>2.2305835675543277E-3</v>
      </c>
      <c r="O157" s="207">
        <v>2.7634300836359694E-2</v>
      </c>
      <c r="P157" s="1">
        <v>4.5029701185489358E-2</v>
      </c>
      <c r="Q157" s="1">
        <v>8.2712613729747503E-2</v>
      </c>
      <c r="R157" s="191">
        <v>6.457975597966469E-4</v>
      </c>
      <c r="S157" s="20"/>
      <c r="AV157" s="193"/>
      <c r="AW157" s="176"/>
      <c r="AX157" s="178"/>
    </row>
    <row r="158" spans="1:50" ht="15.6">
      <c r="A158" s="253">
        <v>100</v>
      </c>
      <c r="B158" s="254">
        <v>120</v>
      </c>
      <c r="C158" s="157">
        <v>662843</v>
      </c>
      <c r="D158" s="30">
        <v>7742508100</v>
      </c>
      <c r="E158" s="183">
        <f t="shared" si="4"/>
        <v>14.600946415667059</v>
      </c>
      <c r="F158" s="184">
        <v>6.6284300000000003E-3</v>
      </c>
      <c r="G158" s="185">
        <v>9.6781351250000008E-2</v>
      </c>
      <c r="H158" s="174"/>
      <c r="I158" s="122" t="str">
        <f t="shared" si="5"/>
        <v>(100, 120]</v>
      </c>
      <c r="J158" s="157">
        <v>1</v>
      </c>
      <c r="K158" s="230">
        <v>1.1950032369864905E-2</v>
      </c>
      <c r="L158" s="184">
        <v>7.9209953061383645E-5</v>
      </c>
      <c r="M158" s="229">
        <v>79209</v>
      </c>
      <c r="N158" s="191">
        <v>6.1264630711812651E-4</v>
      </c>
      <c r="O158" s="207">
        <v>8.9452159019880687E-3</v>
      </c>
      <c r="P158" s="1">
        <v>2.8773157661106417E-2</v>
      </c>
      <c r="Q158" s="1">
        <v>3.0622985605027759E-2</v>
      </c>
      <c r="R158" s="191">
        <v>4.0819114181211416E-4</v>
      </c>
      <c r="S158" s="20"/>
      <c r="AV158" s="193"/>
      <c r="AW158" s="176"/>
      <c r="AX158" s="178"/>
    </row>
    <row r="159" spans="1:50" ht="15.6">
      <c r="A159" s="253">
        <v>120</v>
      </c>
      <c r="B159" s="254">
        <v>140</v>
      </c>
      <c r="C159" s="157">
        <v>239708</v>
      </c>
      <c r="D159" s="30">
        <v>3174490800</v>
      </c>
      <c r="E159" s="183">
        <f t="shared" si="4"/>
        <v>16.553946885377208</v>
      </c>
      <c r="F159" s="184">
        <v>2.3970799999999998E-3</v>
      </c>
      <c r="G159" s="185">
        <v>3.9681134999999992E-2</v>
      </c>
      <c r="H159" s="174"/>
      <c r="I159" s="122" t="str">
        <f t="shared" si="5"/>
        <v>(120, 140]</v>
      </c>
      <c r="J159" s="157">
        <v>1</v>
      </c>
      <c r="K159" s="230">
        <v>4.6912718934663524E-3</v>
      </c>
      <c r="L159" s="184">
        <v>1.1245354030390322E-5</v>
      </c>
      <c r="M159" s="229">
        <v>11245</v>
      </c>
      <c r="N159" s="191">
        <v>8.6975062474508355E-5</v>
      </c>
      <c r="O159" s="207">
        <v>1.4397805645553756E-3</v>
      </c>
      <c r="P159" s="1">
        <v>1.8213170234718409E-2</v>
      </c>
      <c r="Q159" s="1">
        <v>1.0761689492800486E-2</v>
      </c>
      <c r="R159" s="191">
        <v>9.9304221196745189E-5</v>
      </c>
      <c r="S159" s="20"/>
      <c r="AV159" s="193"/>
      <c r="AW159" s="176"/>
      <c r="AX159" s="178"/>
    </row>
    <row r="160" spans="1:50" ht="15.6">
      <c r="A160" s="253">
        <v>140</v>
      </c>
      <c r="B160" s="254">
        <v>160</v>
      </c>
      <c r="C160" s="157">
        <v>781682</v>
      </c>
      <c r="D160" s="30">
        <v>12093146800</v>
      </c>
      <c r="E160" s="183">
        <f t="shared" si="4"/>
        <v>19.33834155065615</v>
      </c>
      <c r="F160" s="184">
        <v>7.8168200000000004E-3</v>
      </c>
      <c r="G160" s="185">
        <v>0.15116433500000001</v>
      </c>
      <c r="H160" s="174"/>
      <c r="I160" s="122" t="str">
        <f t="shared" si="5"/>
        <v>(140, 160]</v>
      </c>
      <c r="J160" s="157">
        <v>1</v>
      </c>
      <c r="K160" s="230">
        <v>2.5300735497717545E-3</v>
      </c>
      <c r="L160" s="184">
        <v>1.9777129525326846E-5</v>
      </c>
      <c r="M160" s="229">
        <v>19777</v>
      </c>
      <c r="N160" s="191">
        <v>1.5296627928486898E-4</v>
      </c>
      <c r="O160" s="207">
        <v>2.9581141545438547E-3</v>
      </c>
      <c r="P160" s="1">
        <v>1.8078627786954484E-2</v>
      </c>
      <c r="Q160" s="1">
        <v>7.6843639417290329E-3</v>
      </c>
      <c r="R160" s="191">
        <v>6.6021016442040678E-5</v>
      </c>
      <c r="S160" s="20"/>
      <c r="AV160" s="193"/>
      <c r="AW160" s="176"/>
      <c r="AX160" s="178"/>
    </row>
    <row r="161" spans="1:50" ht="15.6">
      <c r="A161" s="253">
        <v>160</v>
      </c>
      <c r="B161" s="254">
        <v>180</v>
      </c>
      <c r="C161" s="157">
        <v>219420</v>
      </c>
      <c r="D161" s="30">
        <v>3833507300</v>
      </c>
      <c r="E161" s="183">
        <f t="shared" si="4"/>
        <v>21.838866671224135</v>
      </c>
      <c r="F161" s="184">
        <v>2.1941999999999999E-3</v>
      </c>
      <c r="G161" s="185">
        <v>4.7918841249999997E-2</v>
      </c>
      <c r="H161" s="174"/>
      <c r="I161" s="122" t="str">
        <f t="shared" si="5"/>
        <v>(160, 180]</v>
      </c>
      <c r="J161" s="157">
        <v>1</v>
      </c>
      <c r="K161" s="230">
        <v>0.3</v>
      </c>
      <c r="L161" s="184">
        <v>6.5825999999999992E-4</v>
      </c>
      <c r="M161" s="229">
        <v>658260</v>
      </c>
      <c r="N161" s="191">
        <v>5.0913476766980765E-3</v>
      </c>
      <c r="O161" s="207">
        <v>0.11118926308825605</v>
      </c>
      <c r="P161" s="1">
        <v>1.57083841040941E-2</v>
      </c>
      <c r="Q161" s="1">
        <v>8.9411681350602592E-3</v>
      </c>
      <c r="R161" s="191">
        <v>2.1526616943544309E-3</v>
      </c>
      <c r="S161" s="20"/>
      <c r="AV161" s="193"/>
      <c r="AW161" s="176"/>
      <c r="AX161" s="178"/>
    </row>
    <row r="162" spans="1:50" ht="15.6">
      <c r="A162" s="253">
        <v>180</v>
      </c>
      <c r="B162" s="254">
        <v>200</v>
      </c>
      <c r="C162" s="157">
        <v>786584</v>
      </c>
      <c r="D162" s="30">
        <v>15639660000</v>
      </c>
      <c r="E162" s="183">
        <f t="shared" si="4"/>
        <v>24.853766412741678</v>
      </c>
      <c r="F162" s="184">
        <v>7.8658400000000007E-3</v>
      </c>
      <c r="G162" s="185">
        <v>0.19549575000000002</v>
      </c>
      <c r="H162" s="174"/>
      <c r="I162" s="122" t="str">
        <f t="shared" si="5"/>
        <v>(180, 200]</v>
      </c>
      <c r="J162" s="157">
        <v>1</v>
      </c>
      <c r="K162" s="230">
        <v>1.3342809727043619E-3</v>
      </c>
      <c r="L162" s="184">
        <v>1.049524064633688E-5</v>
      </c>
      <c r="M162" s="229">
        <v>10495</v>
      </c>
      <c r="N162" s="191">
        <v>8.1174146791459785E-5</v>
      </c>
      <c r="O162" s="207">
        <v>2.0174832831085458E-3</v>
      </c>
      <c r="P162" s="1">
        <v>5.4043070914090987E-3</v>
      </c>
      <c r="Q162" s="1">
        <v>4.3611261291814961E-3</v>
      </c>
      <c r="R162" s="191">
        <v>2.6463420138394297E-5</v>
      </c>
      <c r="S162" s="20"/>
      <c r="AV162" s="193"/>
      <c r="AW162" s="176"/>
      <c r="AX162" s="178"/>
    </row>
    <row r="163" spans="1:50" ht="15.6">
      <c r="A163" s="253">
        <v>200</v>
      </c>
      <c r="B163" s="254">
        <v>250</v>
      </c>
      <c r="C163" s="157">
        <v>638292</v>
      </c>
      <c r="D163" s="30">
        <v>14917780500</v>
      </c>
      <c r="E163" s="183">
        <f t="shared" si="4"/>
        <v>29.214255583651369</v>
      </c>
      <c r="F163" s="184">
        <v>6.3829200000000003E-3</v>
      </c>
      <c r="G163" s="185">
        <v>0.18647225625</v>
      </c>
      <c r="H163" s="174"/>
      <c r="I163" s="122" t="str">
        <f t="shared" si="5"/>
        <v>(200, 250]</v>
      </c>
      <c r="J163" s="157">
        <v>1</v>
      </c>
      <c r="K163" s="230">
        <v>6.3627689645984198E-4</v>
      </c>
      <c r="L163" s="184">
        <v>4.0613045279514547E-6</v>
      </c>
      <c r="M163" s="229">
        <v>4061</v>
      </c>
      <c r="N163" s="191">
        <v>3.1410024785147038E-5</v>
      </c>
      <c r="O163" s="207">
        <v>9.1762049196210968E-4</v>
      </c>
      <c r="P163" s="1">
        <v>9.1799007167599738E-3</v>
      </c>
      <c r="Q163" s="1">
        <v>2.3970796246312511E-3</v>
      </c>
      <c r="R163" s="191">
        <v>2.8128054630970713E-5</v>
      </c>
      <c r="S163" s="20"/>
      <c r="AV163" s="193"/>
      <c r="AW163" s="176"/>
      <c r="AX163" s="178"/>
    </row>
    <row r="164" spans="1:50" ht="15.6">
      <c r="A164" s="253">
        <v>250</v>
      </c>
      <c r="B164" s="254">
        <v>300</v>
      </c>
      <c r="C164" s="157">
        <v>626501</v>
      </c>
      <c r="D164" s="30">
        <v>17991720700</v>
      </c>
      <c r="E164" s="183">
        <f t="shared" si="4"/>
        <v>35.897230610964705</v>
      </c>
      <c r="F164" s="184">
        <v>6.2650099999999997E-3</v>
      </c>
      <c r="G164" s="185">
        <v>0.22489650874999997</v>
      </c>
      <c r="H164" s="174"/>
      <c r="I164" s="122" t="str">
        <f t="shared" si="5"/>
        <v>(250, 300]</v>
      </c>
      <c r="J164" s="157">
        <v>1</v>
      </c>
      <c r="K164" s="230">
        <v>4.4999999999999998E-2</v>
      </c>
      <c r="L164" s="184">
        <v>2.8192544999999997E-4</v>
      </c>
      <c r="M164" s="229">
        <v>281925</v>
      </c>
      <c r="N164" s="191">
        <v>2.1805642052579607E-3</v>
      </c>
      <c r="O164" s="207">
        <v>7.8276216138159993E-2</v>
      </c>
      <c r="P164" s="1">
        <v>3.6677075164235733E-3</v>
      </c>
      <c r="Q164" s="1">
        <v>4.0665530866081735E-4</v>
      </c>
      <c r="R164" s="191">
        <v>3.2913285978576421E-6</v>
      </c>
      <c r="S164" s="20"/>
      <c r="AV164" s="193"/>
      <c r="AW164" s="176"/>
      <c r="AX164" s="178"/>
    </row>
    <row r="165" spans="1:50" ht="15.6">
      <c r="A165" s="253">
        <v>300</v>
      </c>
      <c r="B165" s="254">
        <v>350</v>
      </c>
      <c r="C165" s="157">
        <v>364267</v>
      </c>
      <c r="D165" s="30">
        <v>11882655400</v>
      </c>
      <c r="E165" s="183">
        <f t="shared" si="4"/>
        <v>40.775912311573656</v>
      </c>
      <c r="F165" s="184">
        <v>3.6426700000000002E-3</v>
      </c>
      <c r="G165" s="185">
        <v>0.14853319250000002</v>
      </c>
      <c r="H165" s="174"/>
      <c r="I165" s="122" t="str">
        <f t="shared" si="5"/>
        <v>(300, 350]</v>
      </c>
      <c r="J165" s="157">
        <v>1</v>
      </c>
      <c r="K165" s="230">
        <v>2.3208249430046859E-2</v>
      </c>
      <c r="L165" s="184">
        <v>8.4539993951348796E-5</v>
      </c>
      <c r="M165" s="229">
        <v>84539</v>
      </c>
      <c r="N165" s="191">
        <v>6.5387148123899179E-4</v>
      </c>
      <c r="O165" s="207">
        <v>2.6662206182039908E-2</v>
      </c>
      <c r="P165" s="1">
        <v>6.3058756871712477E-4</v>
      </c>
      <c r="Q165" s="1">
        <v>2.9528309522574095E-4</v>
      </c>
      <c r="R165" s="191">
        <v>6.0550012594074441E-4</v>
      </c>
      <c r="S165" s="20"/>
      <c r="AV165" s="193"/>
      <c r="AW165" s="176"/>
      <c r="AX165" s="178"/>
    </row>
    <row r="166" spans="1:50" ht="15.6">
      <c r="A166" s="253">
        <v>350</v>
      </c>
      <c r="B166" s="254">
        <v>400</v>
      </c>
      <c r="C166" s="157">
        <v>605285</v>
      </c>
      <c r="D166" s="30">
        <v>23590705200</v>
      </c>
      <c r="E166" s="183">
        <f t="shared" si="4"/>
        <v>48.71817656145452</v>
      </c>
      <c r="F166" s="184">
        <v>6.0528500000000002E-3</v>
      </c>
      <c r="G166" s="185">
        <v>0.29488381499999999</v>
      </c>
      <c r="H166" s="174"/>
      <c r="I166" s="122" t="str">
        <f t="shared" si="5"/>
        <v>(350, 400]</v>
      </c>
      <c r="J166" s="157">
        <v>1</v>
      </c>
      <c r="K166" s="230">
        <v>0</v>
      </c>
      <c r="L166" s="184">
        <v>0</v>
      </c>
      <c r="M166" s="229">
        <v>0</v>
      </c>
      <c r="N166" s="191">
        <v>0</v>
      </c>
      <c r="O166" s="207">
        <v>0</v>
      </c>
      <c r="P166" s="1">
        <v>1.8966457199325225E-4</v>
      </c>
      <c r="Q166" s="1">
        <v>0</v>
      </c>
      <c r="R166" s="191">
        <v>0</v>
      </c>
      <c r="S166" s="20"/>
      <c r="AV166" s="193"/>
      <c r="AW166" s="176"/>
      <c r="AX166" s="178"/>
    </row>
    <row r="167" spans="1:50" ht="15.6">
      <c r="A167" s="253">
        <v>400</v>
      </c>
      <c r="B167" s="254">
        <v>450</v>
      </c>
      <c r="C167" s="157">
        <v>244010</v>
      </c>
      <c r="D167" s="30">
        <v>10524570800</v>
      </c>
      <c r="E167" s="183">
        <f t="shared" si="4"/>
        <v>53.914648989795502</v>
      </c>
      <c r="F167" s="184">
        <v>2.4401000000000002E-3</v>
      </c>
      <c r="G167" s="185">
        <v>0.13155713500000002</v>
      </c>
      <c r="H167" s="174"/>
      <c r="I167" s="122" t="str">
        <f t="shared" si="5"/>
        <v>(400, 450]</v>
      </c>
      <c r="J167" s="157">
        <v>1</v>
      </c>
      <c r="K167" s="230">
        <v>4.4999999999999998E-2</v>
      </c>
      <c r="L167" s="184">
        <v>1.098045E-4</v>
      </c>
      <c r="M167" s="229">
        <v>109804</v>
      </c>
      <c r="N167" s="191">
        <v>8.4928499421528818E-4</v>
      </c>
      <c r="O167" s="207">
        <v>4.5788902355417764E-2</v>
      </c>
      <c r="P167" s="1">
        <v>2.3540248604512785E-3</v>
      </c>
      <c r="Q167" s="1">
        <v>0</v>
      </c>
      <c r="R167" s="191">
        <v>1.0746472424909915E-3</v>
      </c>
      <c r="S167" s="20"/>
      <c r="AV167" s="193"/>
      <c r="AW167" s="176"/>
      <c r="AX167" s="178"/>
    </row>
    <row r="168" spans="1:50" ht="15.6">
      <c r="A168" s="253">
        <v>450</v>
      </c>
      <c r="B168" s="254">
        <v>500</v>
      </c>
      <c r="C168" s="157">
        <v>495115</v>
      </c>
      <c r="D168" s="30">
        <v>24113538400</v>
      </c>
      <c r="E168" s="183">
        <f t="shared" si="4"/>
        <v>60.878630217222259</v>
      </c>
      <c r="F168" s="184">
        <v>4.9511499999999996E-3</v>
      </c>
      <c r="G168" s="185">
        <v>0.30141922999999998</v>
      </c>
      <c r="H168" s="174"/>
      <c r="I168" s="122" t="str">
        <f t="shared" si="5"/>
        <v>(450, 500]</v>
      </c>
      <c r="J168" s="157">
        <v>1</v>
      </c>
      <c r="K168" s="230">
        <v>0</v>
      </c>
      <c r="L168" s="184">
        <v>0</v>
      </c>
      <c r="M168" s="229">
        <v>0</v>
      </c>
      <c r="N168" s="191">
        <v>0</v>
      </c>
      <c r="O168" s="207">
        <v>0</v>
      </c>
      <c r="P168" s="1">
        <v>3.2485699244361693E-3</v>
      </c>
      <c r="Q168" s="1">
        <v>0</v>
      </c>
      <c r="R168" s="191">
        <v>0</v>
      </c>
      <c r="S168" s="20"/>
      <c r="AV168" s="193"/>
      <c r="AW168" s="176"/>
      <c r="AX168" s="178"/>
    </row>
    <row r="169" spans="1:50" ht="15.6">
      <c r="A169" s="253">
        <v>500</v>
      </c>
      <c r="B169" s="254">
        <v>550</v>
      </c>
      <c r="C169" s="157">
        <v>180745</v>
      </c>
      <c r="D169" s="30">
        <v>9511211700</v>
      </c>
      <c r="E169" s="183">
        <f t="shared" si="4"/>
        <v>65.777834103294694</v>
      </c>
      <c r="F169" s="184">
        <v>1.8074499999999999E-3</v>
      </c>
      <c r="G169" s="185">
        <v>0.11889014625</v>
      </c>
      <c r="H169" s="174"/>
      <c r="I169" s="122" t="str">
        <f t="shared" si="5"/>
        <v>(500, 550]</v>
      </c>
      <c r="J169" s="157">
        <v>1</v>
      </c>
      <c r="K169" s="230">
        <v>0</v>
      </c>
      <c r="L169" s="184">
        <v>0</v>
      </c>
      <c r="M169" s="229">
        <v>0</v>
      </c>
      <c r="N169" s="191">
        <v>0</v>
      </c>
      <c r="O169" s="207">
        <v>0</v>
      </c>
      <c r="P169" s="1">
        <v>2.5422804767145498E-3</v>
      </c>
      <c r="Q169" s="1">
        <v>1.0652116862962814E-4</v>
      </c>
      <c r="R169" s="191">
        <v>0</v>
      </c>
      <c r="S169" s="20"/>
      <c r="AV169" s="193"/>
      <c r="AW169" s="176"/>
      <c r="AX169" s="178"/>
    </row>
    <row r="170" spans="1:50" ht="15.6">
      <c r="A170" s="253">
        <v>550</v>
      </c>
      <c r="B170" s="254">
        <v>600</v>
      </c>
      <c r="C170" s="157">
        <v>348900</v>
      </c>
      <c r="D170" s="30">
        <v>20413025400</v>
      </c>
      <c r="E170" s="183">
        <f t="shared" si="4"/>
        <v>73.13351031814274</v>
      </c>
      <c r="F170" s="184">
        <v>3.4889999999999999E-3</v>
      </c>
      <c r="G170" s="185">
        <v>0.25516281750000003</v>
      </c>
      <c r="H170" s="174"/>
      <c r="I170" s="122" t="str">
        <f t="shared" si="5"/>
        <v>(550, 600]</v>
      </c>
      <c r="J170" s="157">
        <v>1</v>
      </c>
      <c r="K170" s="230">
        <v>0</v>
      </c>
      <c r="L170" s="184">
        <v>0</v>
      </c>
      <c r="M170" s="229">
        <v>0</v>
      </c>
      <c r="N170" s="191">
        <v>0</v>
      </c>
      <c r="O170" s="207">
        <v>0</v>
      </c>
      <c r="P170" s="1">
        <v>0</v>
      </c>
      <c r="Q170" s="1">
        <v>0</v>
      </c>
      <c r="R170" s="191">
        <v>0</v>
      </c>
      <c r="S170" s="20"/>
      <c r="AV170" s="193"/>
      <c r="AW170" s="176"/>
      <c r="AX170" s="178"/>
    </row>
    <row r="171" spans="1:50" ht="15.6">
      <c r="A171" s="253">
        <v>600</v>
      </c>
      <c r="B171" s="254">
        <v>650</v>
      </c>
      <c r="C171" s="157">
        <v>180287</v>
      </c>
      <c r="D171" s="30">
        <v>11363876300</v>
      </c>
      <c r="E171" s="183">
        <f t="shared" si="4"/>
        <v>78.790181072401225</v>
      </c>
      <c r="F171" s="184">
        <v>1.80287E-3</v>
      </c>
      <c r="G171" s="185">
        <v>0.14204845375</v>
      </c>
      <c r="H171" s="174"/>
      <c r="I171" s="122" t="str">
        <f t="shared" si="5"/>
        <v>(600, 650]</v>
      </c>
      <c r="J171" s="157">
        <v>1</v>
      </c>
      <c r="K171" s="230">
        <v>0</v>
      </c>
      <c r="L171" s="184">
        <v>0</v>
      </c>
      <c r="M171" s="229">
        <v>0</v>
      </c>
      <c r="N171" s="191">
        <v>0</v>
      </c>
      <c r="O171" s="207">
        <v>0</v>
      </c>
      <c r="P171" s="1">
        <v>1.4072144754539544E-3</v>
      </c>
      <c r="Q171" s="1">
        <v>0</v>
      </c>
      <c r="R171" s="191">
        <v>0</v>
      </c>
      <c r="S171" s="20"/>
      <c r="AV171" s="193"/>
      <c r="AW171" s="176"/>
      <c r="AX171" s="178"/>
    </row>
    <row r="172" spans="1:50" ht="15.6">
      <c r="A172" s="253">
        <v>650</v>
      </c>
      <c r="B172" s="254">
        <v>700</v>
      </c>
      <c r="C172" s="157">
        <v>174129</v>
      </c>
      <c r="D172" s="30">
        <v>11828598700</v>
      </c>
      <c r="E172" s="183">
        <f t="shared" si="4"/>
        <v>84.912612919157638</v>
      </c>
      <c r="F172" s="184">
        <v>1.7412899999999999E-3</v>
      </c>
      <c r="G172" s="185">
        <v>0.14785748374999999</v>
      </c>
      <c r="H172" s="174"/>
      <c r="I172" s="122" t="str">
        <f t="shared" si="5"/>
        <v>(650, 700]</v>
      </c>
      <c r="J172" s="157">
        <v>1</v>
      </c>
      <c r="K172" s="230">
        <v>0</v>
      </c>
      <c r="L172" s="184">
        <v>0</v>
      </c>
      <c r="M172" s="229">
        <v>0</v>
      </c>
      <c r="N172" s="191">
        <v>0</v>
      </c>
      <c r="O172" s="207">
        <v>0</v>
      </c>
      <c r="P172" s="1">
        <v>0</v>
      </c>
      <c r="Q172" s="1">
        <v>0</v>
      </c>
      <c r="R172" s="191">
        <v>0</v>
      </c>
      <c r="S172" s="20"/>
      <c r="AV172" s="193"/>
      <c r="AW172" s="176"/>
      <c r="AX172" s="178"/>
    </row>
    <row r="173" spans="1:50" ht="15.6">
      <c r="A173" s="253">
        <v>700</v>
      </c>
      <c r="B173" s="254">
        <v>750</v>
      </c>
      <c r="C173" s="157">
        <v>161776</v>
      </c>
      <c r="D173" s="30">
        <v>11751211600</v>
      </c>
      <c r="E173" s="183">
        <f t="shared" si="4"/>
        <v>90.798477524478287</v>
      </c>
      <c r="F173" s="184">
        <v>1.61776E-3</v>
      </c>
      <c r="G173" s="185">
        <v>0.146890145</v>
      </c>
      <c r="H173" s="174"/>
      <c r="I173" s="122" t="str">
        <f t="shared" si="5"/>
        <v>(700, 750]</v>
      </c>
      <c r="J173" s="157">
        <v>1</v>
      </c>
      <c r="K173" s="230">
        <v>0</v>
      </c>
      <c r="L173" s="184">
        <v>0</v>
      </c>
      <c r="M173" s="229">
        <v>0</v>
      </c>
      <c r="N173" s="191">
        <v>0</v>
      </c>
      <c r="O173" s="207">
        <v>0</v>
      </c>
      <c r="P173" s="1">
        <v>0</v>
      </c>
      <c r="Q173" s="1">
        <v>0</v>
      </c>
      <c r="R173" s="191">
        <v>0</v>
      </c>
      <c r="S173" s="20"/>
      <c r="AV173" s="193"/>
      <c r="AW173" s="176"/>
      <c r="AX173" s="178"/>
    </row>
    <row r="174" spans="1:50" ht="15.6">
      <c r="A174" s="253">
        <v>750</v>
      </c>
      <c r="B174" s="254">
        <v>800</v>
      </c>
      <c r="C174" s="157">
        <v>404148</v>
      </c>
      <c r="D174" s="30">
        <v>32027744300</v>
      </c>
      <c r="E174" s="183">
        <f t="shared" si="4"/>
        <v>99.059454395419493</v>
      </c>
      <c r="F174" s="184">
        <v>4.0414800000000001E-3</v>
      </c>
      <c r="G174" s="185">
        <v>0.40034680374999998</v>
      </c>
      <c r="H174" s="174"/>
      <c r="I174" s="122" t="str">
        <f t="shared" si="5"/>
        <v>(750, 800]</v>
      </c>
      <c r="J174" s="157">
        <v>1</v>
      </c>
      <c r="K174" s="230">
        <v>0</v>
      </c>
      <c r="L174" s="184">
        <v>0</v>
      </c>
      <c r="M174" s="229">
        <v>0</v>
      </c>
      <c r="N174" s="191">
        <v>0</v>
      </c>
      <c r="O174" s="207">
        <v>0</v>
      </c>
      <c r="P174" s="1">
        <v>0</v>
      </c>
      <c r="Q174" s="1">
        <v>0</v>
      </c>
      <c r="R174" s="191">
        <v>0</v>
      </c>
      <c r="S174" s="20"/>
      <c r="AV174" s="193"/>
      <c r="AW174" s="176"/>
      <c r="AX174" s="178"/>
    </row>
    <row r="175" spans="1:50" ht="15.6">
      <c r="A175" s="253">
        <v>800</v>
      </c>
      <c r="B175" s="254">
        <v>850</v>
      </c>
      <c r="C175" s="157">
        <v>107727</v>
      </c>
      <c r="D175" s="30">
        <v>8918430600</v>
      </c>
      <c r="E175" s="183">
        <f t="shared" si="4"/>
        <v>103.48416135230723</v>
      </c>
      <c r="F175" s="184">
        <v>1.07727E-3</v>
      </c>
      <c r="G175" s="185">
        <v>0.1114803825</v>
      </c>
      <c r="H175" s="174"/>
      <c r="I175" s="122" t="str">
        <f t="shared" si="5"/>
        <v>(800, 850]</v>
      </c>
      <c r="J175" s="157">
        <v>1</v>
      </c>
      <c r="K175" s="230">
        <v>3.5000000000000003E-2</v>
      </c>
      <c r="L175" s="184">
        <v>3.7704450000000001E-5</v>
      </c>
      <c r="M175" s="229">
        <v>37704</v>
      </c>
      <c r="N175" s="191">
        <v>2.9162363321821817E-4</v>
      </c>
      <c r="O175" s="207">
        <v>3.017842711410015E-2</v>
      </c>
      <c r="P175" s="1">
        <v>0</v>
      </c>
      <c r="Q175" s="1">
        <v>0</v>
      </c>
      <c r="R175" s="191">
        <v>3.1696348056083236E-4</v>
      </c>
      <c r="S175" s="20"/>
      <c r="AV175" s="193"/>
      <c r="AW175" s="176"/>
      <c r="AX175" s="178"/>
    </row>
    <row r="176" spans="1:50" ht="15.6">
      <c r="A176" s="253">
        <v>850</v>
      </c>
      <c r="B176" s="254">
        <v>900</v>
      </c>
      <c r="C176" s="157">
        <v>140498</v>
      </c>
      <c r="D176" s="30">
        <v>12391053800</v>
      </c>
      <c r="E176" s="183">
        <f t="shared" si="4"/>
        <v>110.24226145567908</v>
      </c>
      <c r="F176" s="184">
        <v>1.4049799999999999E-3</v>
      </c>
      <c r="G176" s="185">
        <v>0.15488817249999998</v>
      </c>
      <c r="H176" s="174"/>
      <c r="I176" s="122" t="str">
        <f t="shared" si="5"/>
        <v>(850, 900]</v>
      </c>
      <c r="J176" s="157">
        <v>1</v>
      </c>
      <c r="K176" s="230">
        <v>0</v>
      </c>
      <c r="L176" s="184">
        <v>0</v>
      </c>
      <c r="M176" s="229">
        <v>0</v>
      </c>
      <c r="N176" s="191">
        <v>0</v>
      </c>
      <c r="O176" s="207">
        <v>0</v>
      </c>
      <c r="P176" s="1">
        <v>0</v>
      </c>
      <c r="Q176" s="1">
        <v>0</v>
      </c>
      <c r="R176" s="191">
        <v>0</v>
      </c>
      <c r="S176" s="20"/>
      <c r="AV176" s="193"/>
      <c r="AW176" s="176"/>
      <c r="AX176" s="178"/>
    </row>
    <row r="177" spans="1:50" ht="15.6">
      <c r="A177" s="253">
        <v>900</v>
      </c>
      <c r="B177" s="254">
        <v>950</v>
      </c>
      <c r="C177" s="157">
        <v>93189</v>
      </c>
      <c r="D177" s="30">
        <v>8645286800</v>
      </c>
      <c r="E177" s="183">
        <f t="shared" si="4"/>
        <v>115.9644217665175</v>
      </c>
      <c r="F177" s="184">
        <v>9.3189E-4</v>
      </c>
      <c r="G177" s="185">
        <v>0.10806608499999999</v>
      </c>
      <c r="H177" s="174"/>
      <c r="I177" s="122" t="str">
        <f t="shared" si="5"/>
        <v>(900, 950]</v>
      </c>
      <c r="J177" s="157">
        <v>1</v>
      </c>
      <c r="K177" s="230">
        <v>0</v>
      </c>
      <c r="L177" s="184">
        <v>0</v>
      </c>
      <c r="M177" s="229">
        <v>0</v>
      </c>
      <c r="N177" s="191">
        <v>0</v>
      </c>
      <c r="O177" s="207">
        <v>0</v>
      </c>
      <c r="P177" s="1">
        <v>0</v>
      </c>
      <c r="Q177" s="1">
        <v>0</v>
      </c>
      <c r="R177" s="191">
        <v>0</v>
      </c>
      <c r="S177" s="20"/>
      <c r="AV177" s="193"/>
      <c r="AW177" s="176"/>
      <c r="AX177" s="178"/>
    </row>
    <row r="178" spans="1:50" ht="15.6">
      <c r="A178" s="253">
        <v>950</v>
      </c>
      <c r="B178" s="254">
        <v>1000</v>
      </c>
      <c r="C178" s="157">
        <v>338356</v>
      </c>
      <c r="D178" s="30">
        <v>33572817700</v>
      </c>
      <c r="E178" s="183">
        <f t="shared" si="4"/>
        <v>124.02919447268557</v>
      </c>
      <c r="F178" s="184">
        <v>3.3835599999999999E-3</v>
      </c>
      <c r="G178" s="185">
        <v>0.41966022124999997</v>
      </c>
      <c r="H178" s="174"/>
      <c r="I178" s="122" t="str">
        <f t="shared" si="5"/>
        <v>(950, 1000]</v>
      </c>
      <c r="J178" s="157">
        <v>1</v>
      </c>
      <c r="K178" s="230">
        <v>0</v>
      </c>
      <c r="L178" s="184">
        <v>0</v>
      </c>
      <c r="M178" s="229">
        <v>0</v>
      </c>
      <c r="N178" s="191">
        <v>0</v>
      </c>
      <c r="O178" s="207">
        <v>0</v>
      </c>
      <c r="P178" s="1">
        <v>0</v>
      </c>
      <c r="Q178" s="1">
        <v>0</v>
      </c>
      <c r="R178" s="191">
        <v>0</v>
      </c>
      <c r="S178" s="20"/>
      <c r="AV178" s="193"/>
      <c r="AW178" s="176"/>
      <c r="AX178" s="178"/>
    </row>
    <row r="179" spans="1:50" ht="15.6">
      <c r="A179" s="253">
        <v>1000</v>
      </c>
      <c r="B179" s="254">
        <v>2000</v>
      </c>
      <c r="C179" s="157">
        <v>1971848</v>
      </c>
      <c r="D179" s="30">
        <v>292952998700</v>
      </c>
      <c r="E179" s="183">
        <f t="shared" si="4"/>
        <v>185.70967355242391</v>
      </c>
      <c r="F179" s="184">
        <v>1.971848E-2</v>
      </c>
      <c r="G179" s="185">
        <v>3.6619124837499997</v>
      </c>
      <c r="H179" s="174"/>
      <c r="I179" s="122" t="str">
        <f t="shared" si="5"/>
        <v>(1000, 2000]</v>
      </c>
      <c r="J179" s="157">
        <v>1</v>
      </c>
      <c r="K179" s="230">
        <v>0</v>
      </c>
      <c r="L179" s="184">
        <v>0</v>
      </c>
      <c r="M179" s="229">
        <v>0</v>
      </c>
      <c r="N179" s="191">
        <v>0</v>
      </c>
      <c r="O179" s="207">
        <v>0</v>
      </c>
      <c r="P179" s="1">
        <v>5.0207199667231244E-5</v>
      </c>
      <c r="Q179" s="1">
        <v>8.9677843691636223E-5</v>
      </c>
      <c r="R179" s="191">
        <v>0</v>
      </c>
      <c r="S179" s="20"/>
      <c r="AV179" s="193"/>
      <c r="AW179" s="176"/>
      <c r="AX179" s="178"/>
    </row>
    <row r="180" spans="1:50" ht="15.6">
      <c r="A180" s="253">
        <v>2000</v>
      </c>
      <c r="B180" s="254">
        <v>3000</v>
      </c>
      <c r="C180" s="157">
        <v>848263</v>
      </c>
      <c r="D180" s="30">
        <v>212974878600</v>
      </c>
      <c r="E180" s="183">
        <f t="shared" si="4"/>
        <v>313.83969152255844</v>
      </c>
      <c r="F180" s="184">
        <v>8.4826299999999997E-3</v>
      </c>
      <c r="G180" s="185">
        <v>2.6621859824999996</v>
      </c>
      <c r="H180" s="174"/>
      <c r="I180" s="122" t="str">
        <f t="shared" si="5"/>
        <v>(2000, 3000]</v>
      </c>
      <c r="J180" s="157">
        <v>1</v>
      </c>
      <c r="K180" s="230">
        <v>1.5E-3</v>
      </c>
      <c r="L180" s="184">
        <v>1.2723945E-5</v>
      </c>
      <c r="M180" s="229">
        <v>12723</v>
      </c>
      <c r="N180" s="191">
        <v>9.8406733647236094E-5</v>
      </c>
      <c r="O180" s="207">
        <v>3.0883938931591148E-2</v>
      </c>
      <c r="P180" s="1">
        <v>5.2224878807893251E-5</v>
      </c>
      <c r="Q180" s="1">
        <v>0</v>
      </c>
      <c r="R180" s="191">
        <v>2.7065723786705421E-5</v>
      </c>
      <c r="S180" s="20"/>
      <c r="AV180" s="193"/>
      <c r="AW180" s="176"/>
      <c r="AX180" s="178"/>
    </row>
    <row r="181" spans="1:50" ht="15.6">
      <c r="A181" s="253">
        <v>3000</v>
      </c>
      <c r="B181" s="254">
        <v>4000</v>
      </c>
      <c r="C181" s="157">
        <v>456313</v>
      </c>
      <c r="D181" s="30">
        <v>161430754300</v>
      </c>
      <c r="E181" s="183">
        <f t="shared" si="4"/>
        <v>442.21497716479695</v>
      </c>
      <c r="F181" s="184">
        <v>4.5631300000000003E-3</v>
      </c>
      <c r="G181" s="185">
        <v>2.01788442875</v>
      </c>
      <c r="H181" s="174"/>
      <c r="I181" s="122" t="str">
        <f t="shared" si="5"/>
        <v>(3000, 4000]</v>
      </c>
      <c r="J181" s="157">
        <v>1</v>
      </c>
      <c r="K181" s="230">
        <v>0</v>
      </c>
      <c r="L181" s="184">
        <v>0</v>
      </c>
      <c r="M181" s="229">
        <v>0</v>
      </c>
      <c r="N181" s="191">
        <v>0</v>
      </c>
      <c r="O181" s="207">
        <v>0</v>
      </c>
      <c r="P181" s="1">
        <v>0</v>
      </c>
      <c r="Q181" s="1">
        <v>0</v>
      </c>
      <c r="R181" s="191">
        <v>0</v>
      </c>
      <c r="S181" s="20"/>
      <c r="AV181" s="193"/>
      <c r="AW181" s="176"/>
      <c r="AX181" s="178"/>
    </row>
    <row r="182" spans="1:50" ht="15.6">
      <c r="A182" s="253">
        <v>4000</v>
      </c>
      <c r="B182" s="254">
        <v>5000</v>
      </c>
      <c r="C182" s="157">
        <v>266366</v>
      </c>
      <c r="D182" s="30">
        <v>120086682800</v>
      </c>
      <c r="E182" s="183">
        <f t="shared" si="4"/>
        <v>563.54171891307453</v>
      </c>
      <c r="F182" s="184">
        <v>2.66366E-3</v>
      </c>
      <c r="G182" s="185">
        <v>1.501083535</v>
      </c>
      <c r="H182" s="174"/>
      <c r="I182" s="122" t="str">
        <f t="shared" si="5"/>
        <v>(4000, 5000]</v>
      </c>
      <c r="J182" s="157">
        <v>1</v>
      </c>
      <c r="K182" s="230">
        <v>3.0000000000000001E-3</v>
      </c>
      <c r="L182" s="184">
        <v>7.9909800000000005E-6</v>
      </c>
      <c r="M182" s="229">
        <v>7990</v>
      </c>
      <c r="N182" s="191">
        <v>6.1799088410077527E-5</v>
      </c>
      <c r="O182" s="207">
        <v>3.4826364509876154E-2</v>
      </c>
      <c r="P182" s="1">
        <v>0</v>
      </c>
      <c r="Q182" s="1">
        <v>0</v>
      </c>
      <c r="R182" s="191">
        <v>7.7303539113947503E-6</v>
      </c>
      <c r="S182" s="20"/>
      <c r="AV182" s="193"/>
      <c r="AW182" s="176"/>
      <c r="AX182" s="178"/>
    </row>
    <row r="183" spans="1:50" ht="15.6">
      <c r="A183" s="253">
        <v>5000</v>
      </c>
      <c r="B183" s="254">
        <v>6000</v>
      </c>
      <c r="C183" s="157">
        <v>177049</v>
      </c>
      <c r="D183" s="30">
        <v>97990132500</v>
      </c>
      <c r="E183" s="183">
        <f t="shared" si="4"/>
        <v>691.82918641167134</v>
      </c>
      <c r="F183" s="184">
        <v>1.77049E-3</v>
      </c>
      <c r="G183" s="185">
        <v>1.22487665625</v>
      </c>
      <c r="H183" s="174"/>
      <c r="I183" s="122" t="str">
        <f t="shared" si="5"/>
        <v>(5000, 6000]</v>
      </c>
      <c r="J183" s="157">
        <v>1</v>
      </c>
      <c r="K183" s="230">
        <v>0</v>
      </c>
      <c r="L183" s="184">
        <v>0</v>
      </c>
      <c r="M183" s="229">
        <v>0</v>
      </c>
      <c r="N183" s="191">
        <v>0</v>
      </c>
      <c r="O183" s="207">
        <v>0</v>
      </c>
      <c r="P183" s="1">
        <v>0</v>
      </c>
      <c r="Q183" s="1">
        <v>0</v>
      </c>
      <c r="R183" s="191">
        <v>0</v>
      </c>
      <c r="S183" s="20"/>
      <c r="AV183" s="193"/>
      <c r="AW183" s="176"/>
      <c r="AX183" s="178"/>
    </row>
    <row r="184" spans="1:50" ht="15.6">
      <c r="A184" s="253">
        <v>6000</v>
      </c>
      <c r="B184" s="254">
        <v>7000</v>
      </c>
      <c r="C184" s="157">
        <v>111173</v>
      </c>
      <c r="D184" s="30">
        <v>72055815400</v>
      </c>
      <c r="E184" s="183">
        <f t="shared" si="4"/>
        <v>810.17665485324676</v>
      </c>
      <c r="F184" s="184">
        <v>1.11173E-3</v>
      </c>
      <c r="G184" s="185">
        <v>0.90069769249999998</v>
      </c>
      <c r="H184" s="174"/>
      <c r="I184" s="122" t="str">
        <f t="shared" si="5"/>
        <v>(6000, 7000]</v>
      </c>
      <c r="J184" s="157">
        <v>1</v>
      </c>
      <c r="K184" s="230">
        <v>0</v>
      </c>
      <c r="L184" s="184">
        <v>0</v>
      </c>
      <c r="M184" s="229">
        <v>0</v>
      </c>
      <c r="N184" s="191">
        <v>0</v>
      </c>
      <c r="O184" s="207">
        <v>0</v>
      </c>
      <c r="P184" s="1">
        <v>0</v>
      </c>
      <c r="Q184" s="1">
        <v>0</v>
      </c>
      <c r="R184" s="191">
        <v>0</v>
      </c>
      <c r="S184" s="20"/>
      <c r="AV184" s="193"/>
      <c r="AW184" s="176"/>
      <c r="AX184" s="178"/>
    </row>
    <row r="185" spans="1:50" ht="15.6">
      <c r="A185" s="253">
        <v>7000</v>
      </c>
      <c r="B185" s="254">
        <v>8000</v>
      </c>
      <c r="C185" s="157">
        <v>80422</v>
      </c>
      <c r="D185" s="30">
        <v>60431077900</v>
      </c>
      <c r="E185" s="183">
        <f t="shared" si="4"/>
        <v>939.28088551640099</v>
      </c>
      <c r="F185" s="184">
        <v>8.0422000000000002E-4</v>
      </c>
      <c r="G185" s="185">
        <v>0.75538847375000007</v>
      </c>
      <c r="H185" s="174"/>
      <c r="I185" s="122" t="str">
        <f t="shared" si="5"/>
        <v>(7000, 8000]</v>
      </c>
      <c r="J185" s="157">
        <v>1</v>
      </c>
      <c r="K185" s="230">
        <v>0</v>
      </c>
      <c r="L185" s="184">
        <v>0</v>
      </c>
      <c r="M185" s="229">
        <v>0</v>
      </c>
      <c r="N185" s="191">
        <v>0</v>
      </c>
      <c r="O185" s="207">
        <v>0</v>
      </c>
      <c r="P185" s="1">
        <v>0</v>
      </c>
      <c r="Q185" s="1">
        <v>0</v>
      </c>
      <c r="R185" s="191">
        <v>2.044038365528305E-6</v>
      </c>
      <c r="S185" s="20"/>
      <c r="AV185" s="193"/>
      <c r="AW185" s="176"/>
      <c r="AX185" s="178"/>
    </row>
    <row r="186" spans="1:50" ht="15.6">
      <c r="A186" s="253">
        <v>8000</v>
      </c>
      <c r="B186" s="254">
        <v>9000</v>
      </c>
      <c r="C186" s="157">
        <v>57918</v>
      </c>
      <c r="D186" s="30">
        <v>49185145000</v>
      </c>
      <c r="E186" s="183">
        <f t="shared" si="4"/>
        <v>1061.5254540902656</v>
      </c>
      <c r="F186" s="184">
        <v>5.7917999999999999E-4</v>
      </c>
      <c r="G186" s="185">
        <v>0.61481431250000007</v>
      </c>
      <c r="H186" s="174"/>
      <c r="I186" s="122" t="str">
        <f t="shared" si="5"/>
        <v>(8000, 9000]</v>
      </c>
      <c r="J186" s="157">
        <v>1</v>
      </c>
      <c r="K186" s="230">
        <v>7.8510000000000003E-3</v>
      </c>
      <c r="L186" s="184">
        <v>4.5471421800000002E-6</v>
      </c>
      <c r="M186" s="229">
        <v>4547</v>
      </c>
      <c r="N186" s="191">
        <v>3.5169018147762517E-5</v>
      </c>
      <c r="O186" s="207">
        <v>3.73328079592124E-2</v>
      </c>
      <c r="P186" s="194">
        <v>0</v>
      </c>
      <c r="Q186" s="194">
        <v>0</v>
      </c>
      <c r="R186" s="191">
        <v>0</v>
      </c>
      <c r="S186" s="20"/>
      <c r="AV186" s="193"/>
      <c r="AW186" s="176"/>
    </row>
    <row r="187" spans="1:50" ht="15.6">
      <c r="A187" s="253">
        <v>9000</v>
      </c>
      <c r="B187" s="254">
        <v>10000</v>
      </c>
      <c r="C187" s="157">
        <v>46112</v>
      </c>
      <c r="D187" s="30">
        <v>43824708200</v>
      </c>
      <c r="E187" s="183">
        <f t="shared" si="4"/>
        <v>1187.9962970593338</v>
      </c>
      <c r="F187" s="184">
        <v>4.6111999999999998E-4</v>
      </c>
      <c r="G187" s="185">
        <v>0.5478088525</v>
      </c>
      <c r="H187" s="174"/>
      <c r="I187" s="122" t="str">
        <f t="shared" si="5"/>
        <v>(9000, 10000]</v>
      </c>
      <c r="J187" s="157">
        <v>1</v>
      </c>
      <c r="K187" s="230">
        <v>0</v>
      </c>
      <c r="L187" s="184">
        <v>0</v>
      </c>
      <c r="M187" s="229">
        <v>0</v>
      </c>
      <c r="N187" s="191">
        <v>0</v>
      </c>
      <c r="O187" s="207">
        <v>0</v>
      </c>
      <c r="P187" s="194">
        <v>0</v>
      </c>
      <c r="Q187" s="194">
        <v>0</v>
      </c>
      <c r="R187" s="191">
        <v>0</v>
      </c>
      <c r="S187" s="20"/>
      <c r="AV187" s="193"/>
      <c r="AW187" s="176"/>
    </row>
    <row r="188" spans="1:50" ht="15.6">
      <c r="A188" s="253">
        <v>10000</v>
      </c>
      <c r="B188" s="254">
        <v>20000</v>
      </c>
      <c r="C188" s="157">
        <v>154927</v>
      </c>
      <c r="D188" s="30">
        <v>208302096300</v>
      </c>
      <c r="E188" s="183">
        <f t="shared" si="4"/>
        <v>1680.647145913882</v>
      </c>
      <c r="F188" s="184">
        <v>1.5492699999999999E-3</v>
      </c>
      <c r="G188" s="185">
        <v>2.6037762037499999</v>
      </c>
      <c r="H188" s="174"/>
      <c r="I188" s="122" t="str">
        <f t="shared" si="5"/>
        <v>(10000, 20000]</v>
      </c>
      <c r="J188" s="157">
        <v>1</v>
      </c>
      <c r="K188" s="230">
        <v>5.0000000000000001E-4</v>
      </c>
      <c r="L188" s="184">
        <v>7.7463499999999997E-7</v>
      </c>
      <c r="M188" s="229">
        <v>774</v>
      </c>
      <c r="N188" s="191">
        <v>5.9865449849061337E-6</v>
      </c>
      <c r="O188" s="207">
        <v>1.0061269742767557E-2</v>
      </c>
      <c r="P188" s="194">
        <v>0</v>
      </c>
      <c r="Q188" s="194">
        <v>0</v>
      </c>
      <c r="R188" s="191">
        <v>8.7594869167767505E-6</v>
      </c>
      <c r="S188" s="20"/>
      <c r="AV188" s="193"/>
      <c r="AW188" s="176"/>
    </row>
    <row r="189" spans="1:50" ht="15.6">
      <c r="A189" s="253">
        <v>20000</v>
      </c>
      <c r="B189" s="254">
        <v>30000</v>
      </c>
      <c r="C189" s="157">
        <v>36837</v>
      </c>
      <c r="D189" s="30">
        <v>98401966100</v>
      </c>
      <c r="E189" s="183">
        <f t="shared" si="4"/>
        <v>3339.100839509189</v>
      </c>
      <c r="F189" s="184">
        <v>3.6837000000000003E-4</v>
      </c>
      <c r="G189" s="185">
        <v>1.2300245762499999</v>
      </c>
      <c r="H189" s="174"/>
      <c r="I189" s="122" t="str">
        <f t="shared" si="5"/>
        <v>(20000, 30000]</v>
      </c>
      <c r="J189" s="157">
        <v>1</v>
      </c>
      <c r="K189" s="230">
        <v>0</v>
      </c>
      <c r="L189" s="184">
        <v>0</v>
      </c>
      <c r="M189" s="229">
        <v>0</v>
      </c>
      <c r="N189" s="191">
        <v>0</v>
      </c>
      <c r="O189" s="207">
        <v>0</v>
      </c>
      <c r="P189" s="194">
        <v>0</v>
      </c>
      <c r="Q189" s="194">
        <v>0</v>
      </c>
      <c r="R189" s="191">
        <v>0</v>
      </c>
      <c r="S189" s="20"/>
      <c r="AV189" s="193"/>
      <c r="AW189" s="176"/>
    </row>
    <row r="190" spans="1:50" ht="15.6">
      <c r="A190" s="253">
        <v>30000</v>
      </c>
      <c r="B190" s="254">
        <v>100000</v>
      </c>
      <c r="C190" s="157">
        <v>720</v>
      </c>
      <c r="D190" s="30">
        <v>4214734900</v>
      </c>
      <c r="E190" s="183">
        <f t="shared" si="4"/>
        <v>7317.2480902777779</v>
      </c>
      <c r="F190" s="184">
        <v>7.1999999999999997E-6</v>
      </c>
      <c r="G190" s="185">
        <v>5.2684186250000001E-2</v>
      </c>
      <c r="H190" s="174"/>
      <c r="I190" s="122" t="str">
        <f t="shared" si="5"/>
        <v>(30000, 100000]</v>
      </c>
      <c r="J190" s="157">
        <v>0</v>
      </c>
      <c r="K190" s="230">
        <v>0</v>
      </c>
      <c r="L190" s="184">
        <v>0</v>
      </c>
      <c r="M190" s="229">
        <v>0</v>
      </c>
      <c r="N190" s="191">
        <v>0</v>
      </c>
      <c r="O190" s="207">
        <v>0</v>
      </c>
      <c r="P190" s="194">
        <v>0</v>
      </c>
      <c r="Q190" s="194">
        <v>0</v>
      </c>
      <c r="R190" s="191">
        <v>0</v>
      </c>
      <c r="S190" s="20"/>
      <c r="AV190" s="193"/>
      <c r="AW190" s="176"/>
    </row>
    <row r="191" spans="1:50" thickBot="1">
      <c r="A191" s="255">
        <v>100000</v>
      </c>
      <c r="B191" s="256">
        <v>999999</v>
      </c>
      <c r="C191" s="159">
        <v>1</v>
      </c>
      <c r="D191" s="164">
        <v>10725000</v>
      </c>
      <c r="E191" s="186">
        <f t="shared" si="4"/>
        <v>13406.25</v>
      </c>
      <c r="F191" s="187">
        <v>1E-8</v>
      </c>
      <c r="G191" s="188">
        <v>1.3406250000000001E-4</v>
      </c>
      <c r="H191" s="174"/>
      <c r="I191" s="123" t="str">
        <f t="shared" si="5"/>
        <v>(100000, 999999]</v>
      </c>
      <c r="J191" s="159">
        <v>0</v>
      </c>
      <c r="K191" s="246">
        <v>0</v>
      </c>
      <c r="L191" s="187">
        <v>0</v>
      </c>
      <c r="M191" s="240">
        <v>0</v>
      </c>
      <c r="N191" s="192">
        <v>0</v>
      </c>
      <c r="O191" s="208">
        <v>0</v>
      </c>
      <c r="P191" s="194">
        <v>0</v>
      </c>
      <c r="Q191" s="194">
        <v>0</v>
      </c>
      <c r="R191" s="192">
        <v>0</v>
      </c>
      <c r="S191" s="20"/>
      <c r="AV191" s="193"/>
      <c r="AW191" s="176"/>
    </row>
    <row r="192" spans="1:50" ht="16.8" thickBot="1">
      <c r="N192" s="1">
        <f>1/N186</f>
        <v>28434.117659995602</v>
      </c>
      <c r="O192" s="10">
        <f>SUM(O175:O185)</f>
        <v>9.5888730555567459E-2</v>
      </c>
    </row>
    <row r="193" spans="1:20" ht="16.8" thickBot="1">
      <c r="M193" s="112"/>
      <c r="N193" s="161" t="s">
        <v>168</v>
      </c>
      <c r="O193" s="215" t="s">
        <v>167</v>
      </c>
    </row>
    <row r="194" spans="1:20">
      <c r="M194" s="125" t="s">
        <v>165</v>
      </c>
      <c r="N194" s="214">
        <f>1/SUM(N181:N185)</f>
        <v>16181.468460575719</v>
      </c>
      <c r="O194" s="216" cm="1">
        <f t="array" ref="O194:O195">N196/N194:N195</f>
        <v>216.29680943527134</v>
      </c>
    </row>
    <row r="195" spans="1:20" ht="16.8" thickBot="1">
      <c r="M195" s="122" t="s">
        <v>166</v>
      </c>
      <c r="N195" s="214">
        <f>1/SUM(N192)</f>
        <v>3.5169018147762517E-5</v>
      </c>
      <c r="O195" s="216">
        <v>99519411809.984604</v>
      </c>
    </row>
    <row r="196" spans="1:20" ht="16.8" thickBot="1">
      <c r="D196" s="1" t="s">
        <v>170</v>
      </c>
      <c r="E196" s="1">
        <v>250</v>
      </c>
      <c r="M196" s="112" t="s">
        <v>164</v>
      </c>
      <c r="N196" s="180">
        <f>N131</f>
        <v>3500000</v>
      </c>
      <c r="O196" s="162"/>
    </row>
    <row r="197" spans="1:20" ht="16.8" thickBot="1">
      <c r="A197" s="225" t="s">
        <v>118</v>
      </c>
      <c r="B197" s="225"/>
      <c r="C197" s="225"/>
      <c r="D197" s="225"/>
      <c r="E197" s="225"/>
      <c r="F197" s="226"/>
      <c r="G197" s="225"/>
      <c r="H197" s="225"/>
      <c r="I197" s="225"/>
      <c r="J197" s="225">
        <v>3000</v>
      </c>
      <c r="K197" s="225"/>
      <c r="L197" s="225"/>
      <c r="M197" s="225"/>
      <c r="N197" s="225"/>
      <c r="O197" s="227">
        <f>SUM(_xlfn.ANCHORARRAY(O199))</f>
        <v>0.91999585481002999</v>
      </c>
      <c r="P197" s="34"/>
    </row>
    <row r="198" spans="1:20" thickBot="1">
      <c r="A198" s="161" t="str" cm="1">
        <f t="array" ref="A198:G198">A133:G133</f>
        <v>Lower</v>
      </c>
      <c r="B198" s="162" t="str">
        <v>Upper</v>
      </c>
      <c r="C198" s="222" t="str">
        <v>Count</v>
      </c>
      <c r="D198" s="223" t="str">
        <v>Pay</v>
      </c>
      <c r="E198" s="223" t="str">
        <v>Multi.</v>
      </c>
      <c r="F198" s="223" t="str">
        <v>Prob.</v>
      </c>
      <c r="G198" s="224" t="str">
        <v>RTP</v>
      </c>
      <c r="I198" s="112" t="s">
        <v>147</v>
      </c>
      <c r="J198" s="161" t="s">
        <v>161</v>
      </c>
      <c r="K198" s="180" t="s">
        <v>149</v>
      </c>
      <c r="L198" s="180" t="s">
        <v>151</v>
      </c>
      <c r="M198" s="180" t="s">
        <v>150</v>
      </c>
      <c r="N198" s="180" t="s">
        <v>152</v>
      </c>
      <c r="O198" s="112" t="s">
        <v>153</v>
      </c>
      <c r="P198" s="34"/>
    </row>
    <row r="199" spans="1:20" ht="15.6">
      <c r="A199" s="251" cm="1">
        <f t="array" ref="A199:B256">_xlfn.ANCHORARRAY(A134)</f>
        <v>-1</v>
      </c>
      <c r="B199" s="252">
        <v>0</v>
      </c>
      <c r="C199" s="155" cm="1">
        <f t="array" ref="C199:D256">'[1]Raw Data'!$S$1:$T$58</f>
        <v>31793475</v>
      </c>
      <c r="D199" s="163">
        <v>0</v>
      </c>
      <c r="E199" s="237">
        <f>IFERROR((D199/$E$196)/(C199),0)</f>
        <v>0</v>
      </c>
      <c r="F199" s="181" cm="1">
        <f t="array" ref="F199:F256">C199:C256/SUM(C199:C256)</f>
        <v>0.31793474999999999</v>
      </c>
      <c r="G199" s="182" cm="1">
        <f t="array" ref="G199:G256">E199:E256*_xlfn.ANCHORARRAY(F199)</f>
        <v>0</v>
      </c>
      <c r="H199" s="228"/>
      <c r="I199" s="266" t="str">
        <f>"("&amp;$A199&amp;", "&amp;$B199&amp;"]"</f>
        <v>(-1, 0]</v>
      </c>
      <c r="J199" s="155" cm="1">
        <f t="array" ref="J199:J256">IFERROR(IF(1/_xlfn.ANCHORARRAY(F199)&lt;$J$197,1,0),0)</f>
        <v>1</v>
      </c>
      <c r="K199" s="244">
        <v>0</v>
      </c>
      <c r="L199" s="181" cm="1">
        <f t="array" ref="L199:L256">K199:K256*_xlfn.ANCHORARRAY(J199)*_xlfn.ANCHORARRAY(F199)</f>
        <v>0</v>
      </c>
      <c r="M199" s="236" cm="1">
        <f t="array" ref="M199:M256">INT(_xlfn.ANCHORARRAY(L199)*$M$2)</f>
        <v>0</v>
      </c>
      <c r="N199" s="190" cm="1">
        <f t="array" ref="N199:N256">_xlfn.ANCHORARRAY(M199)/SUM(_xlfn.ANCHORARRAY(M199))</f>
        <v>0</v>
      </c>
      <c r="O199" s="206" cm="1">
        <f t="array" ref="O199:O256">_xlfn.ANCHORARRAY(N199)*E199:E256</f>
        <v>0</v>
      </c>
      <c r="P199" s="194"/>
      <c r="Q199" s="1">
        <v>0</v>
      </c>
      <c r="R199" s="1" cm="1">
        <f t="array" ref="R199:R256">IFERROR(Q199:Q256/_xlfn.ANCHORARRAY(J199)/_xlfn.ANCHORARRAY(F199),0)</f>
        <v>0</v>
      </c>
      <c r="S199" s="178"/>
      <c r="T199" s="209"/>
    </row>
    <row r="200" spans="1:20" ht="15.6">
      <c r="A200" s="253">
        <v>0</v>
      </c>
      <c r="B200" s="254">
        <v>1</v>
      </c>
      <c r="C200" s="157">
        <v>87336</v>
      </c>
      <c r="D200" s="30">
        <v>69868.800000007104</v>
      </c>
      <c r="E200" s="183">
        <f t="shared" ref="E200:E256" si="6">IFERROR((D200/$E$196)/(C200),0)</f>
        <v>3.200000000000325E-3</v>
      </c>
      <c r="F200" s="184">
        <v>8.7336E-4</v>
      </c>
      <c r="G200" s="185">
        <v>2.794752000000284E-6</v>
      </c>
      <c r="H200" s="228"/>
      <c r="I200" s="267" t="str">
        <f t="shared" ref="I200:I256" si="7">"("&amp;$A200&amp;", "&amp;$B200&amp;"]"</f>
        <v>(0, 1]</v>
      </c>
      <c r="J200" s="157">
        <v>1</v>
      </c>
      <c r="K200" s="230">
        <v>0</v>
      </c>
      <c r="L200" s="184">
        <v>0</v>
      </c>
      <c r="M200" s="229">
        <v>0</v>
      </c>
      <c r="N200" s="191">
        <v>0</v>
      </c>
      <c r="O200" s="207">
        <v>0</v>
      </c>
      <c r="P200" s="194"/>
      <c r="Q200" s="1">
        <v>0</v>
      </c>
      <c r="R200" s="1">
        <v>0</v>
      </c>
    </row>
    <row r="201" spans="1:20" ht="15.6">
      <c r="A201" s="253">
        <v>1</v>
      </c>
      <c r="B201" s="254">
        <v>2</v>
      </c>
      <c r="C201" s="157">
        <v>445099</v>
      </c>
      <c r="D201" s="30">
        <v>776381.59999989392</v>
      </c>
      <c r="E201" s="183">
        <f t="shared" si="6"/>
        <v>6.9771587893919691E-3</v>
      </c>
      <c r="F201" s="184">
        <v>4.4509900000000002E-3</v>
      </c>
      <c r="G201" s="185">
        <v>3.105526399999576E-5</v>
      </c>
      <c r="H201" s="228"/>
      <c r="I201" s="267" t="str">
        <f t="shared" si="7"/>
        <v>(1, 2]</v>
      </c>
      <c r="J201" s="157">
        <v>1</v>
      </c>
      <c r="K201" s="230">
        <v>0</v>
      </c>
      <c r="L201" s="184">
        <v>0</v>
      </c>
      <c r="M201" s="229">
        <v>0</v>
      </c>
      <c r="N201" s="191">
        <v>0</v>
      </c>
      <c r="O201" s="207">
        <v>0</v>
      </c>
      <c r="Q201" s="1">
        <v>0</v>
      </c>
      <c r="R201" s="1">
        <v>0</v>
      </c>
    </row>
    <row r="202" spans="1:20" ht="15.6">
      <c r="A202" s="253">
        <v>2</v>
      </c>
      <c r="B202" s="254">
        <v>3</v>
      </c>
      <c r="C202" s="157">
        <v>206522</v>
      </c>
      <c r="D202" s="30">
        <v>579814.40000004496</v>
      </c>
      <c r="E202" s="183">
        <f t="shared" si="6"/>
        <v>1.1230075246221613E-2</v>
      </c>
      <c r="F202" s="184">
        <v>2.06522E-3</v>
      </c>
      <c r="G202" s="185">
        <v>2.3192576000001799E-5</v>
      </c>
      <c r="H202" s="228"/>
      <c r="I202" s="267" t="str">
        <f t="shared" si="7"/>
        <v>(2, 3]</v>
      </c>
      <c r="J202" s="157">
        <v>1</v>
      </c>
      <c r="K202" s="230">
        <v>0</v>
      </c>
      <c r="L202" s="184">
        <v>0</v>
      </c>
      <c r="M202" s="229">
        <v>0</v>
      </c>
      <c r="N202" s="191">
        <v>0</v>
      </c>
      <c r="O202" s="207">
        <v>0</v>
      </c>
      <c r="Q202" s="1">
        <v>0</v>
      </c>
      <c r="R202" s="1">
        <v>0</v>
      </c>
    </row>
    <row r="203" spans="1:20" ht="15.6">
      <c r="A203" s="253">
        <v>3</v>
      </c>
      <c r="B203" s="254">
        <v>4</v>
      </c>
      <c r="C203" s="157">
        <v>523202</v>
      </c>
      <c r="D203" s="30">
        <v>1993365.19999982</v>
      </c>
      <c r="E203" s="183">
        <f t="shared" si="6"/>
        <v>1.5239736851157449E-2</v>
      </c>
      <c r="F203" s="184">
        <v>5.2320200000000004E-3</v>
      </c>
      <c r="G203" s="185">
        <v>7.9734607999992806E-5</v>
      </c>
      <c r="H203" s="228"/>
      <c r="I203" s="267" t="str">
        <f t="shared" si="7"/>
        <v>(3, 4]</v>
      </c>
      <c r="J203" s="157">
        <v>1</v>
      </c>
      <c r="K203" s="230">
        <v>0</v>
      </c>
      <c r="L203" s="184">
        <v>0</v>
      </c>
      <c r="M203" s="229">
        <v>0</v>
      </c>
      <c r="N203" s="191">
        <v>0</v>
      </c>
      <c r="O203" s="207">
        <v>0</v>
      </c>
      <c r="Q203" s="1">
        <v>0</v>
      </c>
      <c r="R203" s="1">
        <v>0</v>
      </c>
    </row>
    <row r="204" spans="1:20" ht="15.6">
      <c r="A204" s="253">
        <v>4</v>
      </c>
      <c r="B204" s="254">
        <v>5</v>
      </c>
      <c r="C204" s="157">
        <v>470796</v>
      </c>
      <c r="D204" s="30">
        <v>2300695.4000002109</v>
      </c>
      <c r="E204" s="183">
        <f t="shared" si="6"/>
        <v>1.9547280775539393E-2</v>
      </c>
      <c r="F204" s="184">
        <v>4.7079599999999997E-3</v>
      </c>
      <c r="G204" s="185">
        <v>9.202781600000844E-5</v>
      </c>
      <c r="H204" s="228"/>
      <c r="I204" s="267" t="str">
        <f t="shared" si="7"/>
        <v>(4, 5]</v>
      </c>
      <c r="J204" s="157">
        <v>1</v>
      </c>
      <c r="K204" s="230">
        <v>0</v>
      </c>
      <c r="L204" s="184">
        <v>0</v>
      </c>
      <c r="M204" s="229">
        <v>0</v>
      </c>
      <c r="N204" s="191">
        <v>0</v>
      </c>
      <c r="O204" s="207">
        <v>0</v>
      </c>
      <c r="Q204" s="1">
        <v>0</v>
      </c>
      <c r="R204" s="1">
        <v>0</v>
      </c>
    </row>
    <row r="205" spans="1:20" ht="15.6">
      <c r="A205" s="253">
        <v>5</v>
      </c>
      <c r="B205" s="254">
        <v>6</v>
      </c>
      <c r="C205" s="157">
        <v>515408</v>
      </c>
      <c r="D205" s="30">
        <v>3082878.4000000414</v>
      </c>
      <c r="E205" s="183">
        <f t="shared" si="6"/>
        <v>2.3925731847391128E-2</v>
      </c>
      <c r="F205" s="184">
        <v>5.1540800000000001E-3</v>
      </c>
      <c r="G205" s="185">
        <v>1.2331513600000166E-4</v>
      </c>
      <c r="H205" s="228"/>
      <c r="I205" s="267" t="str">
        <f t="shared" si="7"/>
        <v>(5, 6]</v>
      </c>
      <c r="J205" s="157">
        <v>1</v>
      </c>
      <c r="K205" s="230">
        <v>0</v>
      </c>
      <c r="L205" s="184">
        <v>0</v>
      </c>
      <c r="M205" s="229">
        <v>0</v>
      </c>
      <c r="N205" s="191">
        <v>0</v>
      </c>
      <c r="O205" s="207">
        <v>0</v>
      </c>
      <c r="Q205" s="1">
        <v>0</v>
      </c>
      <c r="R205" s="1">
        <v>0</v>
      </c>
    </row>
    <row r="206" spans="1:20" ht="15.6">
      <c r="A206" s="253">
        <v>6</v>
      </c>
      <c r="B206" s="254">
        <v>7</v>
      </c>
      <c r="C206" s="157">
        <v>64703</v>
      </c>
      <c r="D206" s="30">
        <v>417548.80000001274</v>
      </c>
      <c r="E206" s="183">
        <f t="shared" si="6"/>
        <v>2.5813257499653047E-2</v>
      </c>
      <c r="F206" s="184">
        <v>6.4703000000000004E-4</v>
      </c>
      <c r="G206" s="185">
        <v>1.6701952000000514E-5</v>
      </c>
      <c r="H206" s="228"/>
      <c r="I206" s="267" t="str">
        <f t="shared" si="7"/>
        <v>(6, 7]</v>
      </c>
      <c r="J206" s="157">
        <v>1</v>
      </c>
      <c r="K206" s="230">
        <v>0</v>
      </c>
      <c r="L206" s="184">
        <v>0</v>
      </c>
      <c r="M206" s="229">
        <v>0</v>
      </c>
      <c r="N206" s="191">
        <v>0</v>
      </c>
      <c r="O206" s="207">
        <v>0</v>
      </c>
      <c r="Q206" s="1">
        <v>0</v>
      </c>
      <c r="R206" s="1">
        <v>0</v>
      </c>
    </row>
    <row r="207" spans="1:20" ht="15.6">
      <c r="A207" s="253">
        <v>7</v>
      </c>
      <c r="B207" s="254">
        <v>8</v>
      </c>
      <c r="C207" s="157">
        <v>811727</v>
      </c>
      <c r="D207" s="30">
        <v>6369123.0000010356</v>
      </c>
      <c r="E207" s="183">
        <f t="shared" si="6"/>
        <v>3.138554218352247E-2</v>
      </c>
      <c r="F207" s="184">
        <v>8.1172699999999993E-3</v>
      </c>
      <c r="G207" s="185">
        <v>2.5476492000004142E-4</v>
      </c>
      <c r="H207" s="228"/>
      <c r="I207" s="267" t="str">
        <f t="shared" si="7"/>
        <v>(7, 8]</v>
      </c>
      <c r="J207" s="157">
        <v>1</v>
      </c>
      <c r="K207" s="230">
        <v>0</v>
      </c>
      <c r="L207" s="184">
        <v>0</v>
      </c>
      <c r="M207" s="229">
        <v>0</v>
      </c>
      <c r="N207" s="191">
        <v>0</v>
      </c>
      <c r="O207" s="207">
        <v>0</v>
      </c>
      <c r="Q207" s="1">
        <v>0</v>
      </c>
      <c r="R207" s="1">
        <v>0</v>
      </c>
    </row>
    <row r="208" spans="1:20" ht="15.6">
      <c r="A208" s="253">
        <v>8</v>
      </c>
      <c r="B208" s="254">
        <v>9</v>
      </c>
      <c r="C208" s="157">
        <v>180638</v>
      </c>
      <c r="D208" s="30">
        <v>1612065.5999999999</v>
      </c>
      <c r="E208" s="183">
        <f t="shared" si="6"/>
        <v>3.5697153422867833E-2</v>
      </c>
      <c r="F208" s="184">
        <v>1.80638E-3</v>
      </c>
      <c r="G208" s="185">
        <v>6.4482623999999997E-5</v>
      </c>
      <c r="H208" s="228"/>
      <c r="I208" s="267" t="str">
        <f t="shared" si="7"/>
        <v>(8, 9]</v>
      </c>
      <c r="J208" s="157">
        <v>1</v>
      </c>
      <c r="K208" s="230">
        <v>0</v>
      </c>
      <c r="L208" s="184">
        <v>0</v>
      </c>
      <c r="M208" s="229">
        <v>0</v>
      </c>
      <c r="N208" s="191">
        <v>0</v>
      </c>
      <c r="O208" s="207">
        <v>0</v>
      </c>
      <c r="Q208" s="1">
        <v>0</v>
      </c>
      <c r="R208" s="1">
        <v>0</v>
      </c>
    </row>
    <row r="209" spans="1:24" ht="15.6">
      <c r="A209" s="253">
        <v>9</v>
      </c>
      <c r="B209" s="254">
        <v>10</v>
      </c>
      <c r="C209" s="157">
        <v>723996</v>
      </c>
      <c r="D209" s="30">
        <v>7173791.5999993756</v>
      </c>
      <c r="E209" s="183">
        <f t="shared" si="6"/>
        <v>3.9634426709536381E-2</v>
      </c>
      <c r="F209" s="184">
        <v>7.2399600000000001E-3</v>
      </c>
      <c r="G209" s="185">
        <v>2.8695166399997504E-4</v>
      </c>
      <c r="H209" s="228"/>
      <c r="I209" s="267" t="str">
        <f t="shared" si="7"/>
        <v>(9, 10]</v>
      </c>
      <c r="J209" s="157">
        <v>1</v>
      </c>
      <c r="K209" s="230">
        <v>0</v>
      </c>
      <c r="L209" s="184">
        <v>0</v>
      </c>
      <c r="M209" s="229">
        <v>0</v>
      </c>
      <c r="N209" s="191">
        <v>0</v>
      </c>
      <c r="O209" s="207">
        <v>0</v>
      </c>
      <c r="Q209" s="1">
        <v>0</v>
      </c>
      <c r="R209" s="1">
        <v>0</v>
      </c>
    </row>
    <row r="210" spans="1:24" ht="15.6">
      <c r="A210" s="253">
        <v>10</v>
      </c>
      <c r="B210" s="254">
        <v>15</v>
      </c>
      <c r="C210" s="157">
        <v>1429134</v>
      </c>
      <c r="D210" s="30">
        <v>18936692.999999009</v>
      </c>
      <c r="E210" s="183">
        <f t="shared" si="6"/>
        <v>5.3001868264274755E-2</v>
      </c>
      <c r="F210" s="184">
        <v>1.429134E-2</v>
      </c>
      <c r="G210" s="185">
        <v>7.5746771999996032E-4</v>
      </c>
      <c r="H210" s="228"/>
      <c r="I210" s="267" t="str">
        <f t="shared" si="7"/>
        <v>(10, 15]</v>
      </c>
      <c r="J210" s="157">
        <v>1</v>
      </c>
      <c r="K210" s="230">
        <v>0</v>
      </c>
      <c r="L210" s="184">
        <v>0</v>
      </c>
      <c r="M210" s="229">
        <v>0</v>
      </c>
      <c r="N210" s="191">
        <v>0</v>
      </c>
      <c r="O210" s="207">
        <v>0</v>
      </c>
      <c r="Q210" s="1">
        <v>0</v>
      </c>
      <c r="R210" s="1">
        <v>0</v>
      </c>
    </row>
    <row r="211" spans="1:24" ht="15.6">
      <c r="A211" s="253">
        <v>15</v>
      </c>
      <c r="B211" s="254">
        <v>20</v>
      </c>
      <c r="C211" s="157">
        <v>1893669</v>
      </c>
      <c r="D211" s="30">
        <v>34749383.799997613</v>
      </c>
      <c r="E211" s="183">
        <f t="shared" si="6"/>
        <v>7.3401177924964936E-2</v>
      </c>
      <c r="F211" s="184">
        <v>1.8936689999999999E-2</v>
      </c>
      <c r="G211" s="185">
        <v>1.3899753519999042E-3</v>
      </c>
      <c r="H211" s="228"/>
      <c r="I211" s="267" t="str">
        <f t="shared" si="7"/>
        <v>(15, 20]</v>
      </c>
      <c r="J211" s="157">
        <v>1</v>
      </c>
      <c r="K211" s="230">
        <v>0</v>
      </c>
      <c r="L211" s="184">
        <v>0</v>
      </c>
      <c r="M211" s="229">
        <v>0</v>
      </c>
      <c r="N211" s="191">
        <v>0</v>
      </c>
      <c r="O211" s="207">
        <v>0</v>
      </c>
      <c r="Q211" s="1">
        <v>0</v>
      </c>
      <c r="R211" s="1">
        <v>0</v>
      </c>
    </row>
    <row r="212" spans="1:24" ht="15.6">
      <c r="A212" s="253">
        <v>20</v>
      </c>
      <c r="B212" s="254">
        <v>25</v>
      </c>
      <c r="C212" s="157">
        <v>1198419</v>
      </c>
      <c r="D212" s="30">
        <v>28277717.599998325</v>
      </c>
      <c r="E212" s="183">
        <f t="shared" si="6"/>
        <v>9.4383408807765315E-2</v>
      </c>
      <c r="F212" s="184">
        <v>1.198419E-2</v>
      </c>
      <c r="G212" s="185">
        <v>1.131108703999933E-3</v>
      </c>
      <c r="H212" s="228"/>
      <c r="I212" s="267" t="str">
        <f t="shared" si="7"/>
        <v>(20, 25]</v>
      </c>
      <c r="J212" s="157">
        <v>1</v>
      </c>
      <c r="K212" s="230">
        <v>0</v>
      </c>
      <c r="L212" s="184">
        <v>0</v>
      </c>
      <c r="M212" s="229">
        <v>0</v>
      </c>
      <c r="N212" s="191">
        <v>0</v>
      </c>
      <c r="O212" s="207">
        <v>0</v>
      </c>
      <c r="Q212" s="1">
        <v>5.9828691256932701E-2</v>
      </c>
      <c r="R212" s="1">
        <v>4.9923016288070112</v>
      </c>
      <c r="S212" s="178"/>
    </row>
    <row r="213" spans="1:24" ht="15.6">
      <c r="A213" s="253">
        <v>25</v>
      </c>
      <c r="B213" s="254">
        <v>30</v>
      </c>
      <c r="C213" s="157">
        <v>1193075</v>
      </c>
      <c r="D213" s="30">
        <v>34514758.599997401</v>
      </c>
      <c r="E213" s="183">
        <f t="shared" si="6"/>
        <v>0.11571697873142059</v>
      </c>
      <c r="F213" s="184">
        <v>1.193075E-2</v>
      </c>
      <c r="G213" s="185">
        <v>1.3805903439998962E-3</v>
      </c>
      <c r="H213" s="228"/>
      <c r="I213" s="267" t="str">
        <f t="shared" si="7"/>
        <v>(25, 30]</v>
      </c>
      <c r="J213" s="157">
        <v>1</v>
      </c>
      <c r="K213" s="230">
        <v>0</v>
      </c>
      <c r="L213" s="184">
        <v>0</v>
      </c>
      <c r="M213" s="229">
        <v>0</v>
      </c>
      <c r="N213" s="191">
        <v>0</v>
      </c>
      <c r="O213" s="207">
        <v>0</v>
      </c>
      <c r="Q213" s="1">
        <v>5.7737519973484426E-2</v>
      </c>
      <c r="R213" s="1">
        <v>4.839387295307036</v>
      </c>
      <c r="S213" s="178"/>
    </row>
    <row r="214" spans="1:24" ht="15.6">
      <c r="A214" s="253">
        <v>30</v>
      </c>
      <c r="B214" s="254">
        <v>35</v>
      </c>
      <c r="C214" s="157">
        <v>863756</v>
      </c>
      <c r="D214" s="30">
        <v>28120411.799997173</v>
      </c>
      <c r="E214" s="183">
        <f t="shared" si="6"/>
        <v>0.13022386785155612</v>
      </c>
      <c r="F214" s="184">
        <v>8.6375600000000007E-3</v>
      </c>
      <c r="G214" s="185">
        <v>1.1248164719998871E-3</v>
      </c>
      <c r="H214" s="228"/>
      <c r="I214" s="267" t="str">
        <f t="shared" si="7"/>
        <v>(30, 35]</v>
      </c>
      <c r="J214" s="157">
        <v>1</v>
      </c>
      <c r="K214" s="230">
        <v>0</v>
      </c>
      <c r="L214" s="184">
        <v>0</v>
      </c>
      <c r="M214" s="229">
        <v>0</v>
      </c>
      <c r="N214" s="191">
        <v>0</v>
      </c>
      <c r="O214" s="207">
        <v>0</v>
      </c>
      <c r="Q214" s="1">
        <v>3.969084365502263E-2</v>
      </c>
      <c r="R214" s="1">
        <v>4.5951453483417337</v>
      </c>
    </row>
    <row r="215" spans="1:24" ht="15.6">
      <c r="A215" s="253">
        <v>35</v>
      </c>
      <c r="B215" s="254">
        <v>40</v>
      </c>
      <c r="C215" s="157">
        <v>1624478</v>
      </c>
      <c r="D215" s="30">
        <v>62803369.600001521</v>
      </c>
      <c r="E215" s="183">
        <f t="shared" si="6"/>
        <v>0.15464258574139267</v>
      </c>
      <c r="F215" s="184">
        <v>1.624478E-2</v>
      </c>
      <c r="G215" s="185">
        <v>2.5121347840000607E-3</v>
      </c>
      <c r="H215" s="228"/>
      <c r="I215" s="267" t="str">
        <f t="shared" si="7"/>
        <v>(35, 40]</v>
      </c>
      <c r="J215" s="157">
        <v>1</v>
      </c>
      <c r="K215" s="230">
        <v>0</v>
      </c>
      <c r="L215" s="184">
        <v>0</v>
      </c>
      <c r="M215" s="229">
        <v>0</v>
      </c>
      <c r="N215" s="191">
        <v>0</v>
      </c>
      <c r="O215" s="207">
        <v>0</v>
      </c>
      <c r="Q215" s="1">
        <v>0.14578571768617526</v>
      </c>
      <c r="R215" s="1">
        <v>8.9743116057081274</v>
      </c>
    </row>
    <row r="216" spans="1:24" ht="15.6">
      <c r="A216" s="253">
        <v>40</v>
      </c>
      <c r="B216" s="254">
        <v>45</v>
      </c>
      <c r="C216" s="157">
        <v>729957</v>
      </c>
      <c r="D216" s="30">
        <v>31952887.399999078</v>
      </c>
      <c r="E216" s="183">
        <f t="shared" si="6"/>
        <v>0.17509462831371755</v>
      </c>
      <c r="F216" s="184">
        <v>7.29957E-3</v>
      </c>
      <c r="G216" s="185">
        <v>1.2781154959999633E-3</v>
      </c>
      <c r="H216" s="228"/>
      <c r="I216" s="267" t="str">
        <f t="shared" si="7"/>
        <v>(40, 45]</v>
      </c>
      <c r="J216" s="157">
        <v>1</v>
      </c>
      <c r="K216" s="230">
        <v>0</v>
      </c>
      <c r="L216" s="184">
        <v>0</v>
      </c>
      <c r="M216" s="229">
        <v>0</v>
      </c>
      <c r="N216" s="191">
        <v>0</v>
      </c>
      <c r="O216" s="207">
        <v>0</v>
      </c>
      <c r="Q216" s="1">
        <v>4.9052519485505035E-2</v>
      </c>
      <c r="R216" s="1">
        <v>6.7199190480405058</v>
      </c>
    </row>
    <row r="217" spans="1:24" ht="15.6">
      <c r="A217" s="253">
        <v>45</v>
      </c>
      <c r="B217" s="254">
        <v>50</v>
      </c>
      <c r="C217" s="157">
        <v>1147882</v>
      </c>
      <c r="D217" s="30">
        <v>55492008.600002214</v>
      </c>
      <c r="E217" s="183">
        <f t="shared" si="6"/>
        <v>0.19337182253925825</v>
      </c>
      <c r="F217" s="184">
        <v>1.1478820000000001E-2</v>
      </c>
      <c r="G217" s="185">
        <v>2.2196803440000883E-3</v>
      </c>
      <c r="H217" s="228"/>
      <c r="I217" s="267" t="str">
        <f t="shared" si="7"/>
        <v>(45, 50]</v>
      </c>
      <c r="J217" s="157">
        <v>1</v>
      </c>
      <c r="K217" s="230">
        <v>0</v>
      </c>
      <c r="L217" s="184">
        <v>0</v>
      </c>
      <c r="M217" s="229">
        <v>0</v>
      </c>
      <c r="N217" s="191">
        <v>0</v>
      </c>
      <c r="O217" s="207">
        <v>0</v>
      </c>
      <c r="Q217" s="1">
        <v>9.7526683223074465E-2</v>
      </c>
      <c r="R217" s="1">
        <v>8.4962289872194585</v>
      </c>
    </row>
    <row r="218" spans="1:24" ht="15.6">
      <c r="A218" s="253">
        <v>50</v>
      </c>
      <c r="B218" s="254">
        <v>60</v>
      </c>
      <c r="C218" s="157">
        <v>1827391</v>
      </c>
      <c r="D218" s="30">
        <v>104804012.40000774</v>
      </c>
      <c r="E218" s="183">
        <f t="shared" si="6"/>
        <v>0.22940687001305737</v>
      </c>
      <c r="F218" s="184">
        <v>1.8273910000000001E-2</v>
      </c>
      <c r="G218" s="185">
        <v>4.1921604960003097E-3</v>
      </c>
      <c r="H218" s="228"/>
      <c r="I218" s="267" t="str">
        <f t="shared" si="7"/>
        <v>(50, 60]</v>
      </c>
      <c r="J218" s="157">
        <v>1</v>
      </c>
      <c r="K218" s="230">
        <v>3.1739000000000002</v>
      </c>
      <c r="L218" s="184">
        <v>5.7999562949000008E-2</v>
      </c>
      <c r="M218" s="229">
        <v>57999562</v>
      </c>
      <c r="N218" s="191">
        <v>9.5553891151628531E-2</v>
      </c>
      <c r="O218" s="207">
        <v>2.192071908666348E-2</v>
      </c>
      <c r="Q218" s="1">
        <v>0.11195442178961326</v>
      </c>
      <c r="R218" s="1">
        <v>6.1264623602509403</v>
      </c>
    </row>
    <row r="219" spans="1:24" ht="15.6">
      <c r="A219" s="253">
        <v>60</v>
      </c>
      <c r="B219" s="254">
        <v>70</v>
      </c>
      <c r="C219" s="157">
        <v>1194177</v>
      </c>
      <c r="D219" s="30">
        <v>78501248.59999916</v>
      </c>
      <c r="E219" s="183">
        <f t="shared" si="6"/>
        <v>0.26294677790645493</v>
      </c>
      <c r="F219" s="184">
        <v>1.1941770000000001E-2</v>
      </c>
      <c r="G219" s="185">
        <v>3.1400499439999665E-3</v>
      </c>
      <c r="H219" s="228"/>
      <c r="I219" s="267" t="str">
        <f t="shared" si="7"/>
        <v>(60, 70]</v>
      </c>
      <c r="J219" s="157">
        <v>1</v>
      </c>
      <c r="K219" s="230">
        <v>3.529699084068854</v>
      </c>
      <c r="L219" s="184">
        <v>4.2150854631160924E-2</v>
      </c>
      <c r="M219" s="229">
        <v>42150854</v>
      </c>
      <c r="N219" s="191">
        <v>6.9443250538067616E-2</v>
      </c>
      <c r="O219" s="207">
        <v>1.8259878976335572E-2</v>
      </c>
      <c r="Q219" s="1">
        <v>4.2150854631160924E-2</v>
      </c>
      <c r="R219" s="1">
        <v>3.529699084068854</v>
      </c>
    </row>
    <row r="220" spans="1:24" ht="15.6">
      <c r="A220" s="253">
        <v>70</v>
      </c>
      <c r="B220" s="254">
        <v>80</v>
      </c>
      <c r="C220" s="157">
        <v>1857617</v>
      </c>
      <c r="D220" s="30">
        <v>142317235.40000734</v>
      </c>
      <c r="E220" s="183">
        <f t="shared" si="6"/>
        <v>0.30645119074600918</v>
      </c>
      <c r="F220" s="184">
        <v>1.8576169999999999E-2</v>
      </c>
      <c r="G220" s="185">
        <v>5.6926894160002931E-3</v>
      </c>
      <c r="H220" s="228"/>
      <c r="I220" s="267" t="str">
        <f t="shared" si="7"/>
        <v>(70, 80]</v>
      </c>
      <c r="J220" s="157">
        <v>1</v>
      </c>
      <c r="K220" s="230">
        <v>1.9587374680591885</v>
      </c>
      <c r="L220" s="184">
        <v>3.6385840192037056E-2</v>
      </c>
      <c r="M220" s="229">
        <v>36385840</v>
      </c>
      <c r="N220" s="191">
        <v>5.994542846410756E-2</v>
      </c>
      <c r="O220" s="207">
        <v>1.8370347932605474E-2</v>
      </c>
      <c r="Q220" s="1">
        <v>3.6385840192037056E-2</v>
      </c>
      <c r="R220" s="1">
        <v>1.9587374680591885</v>
      </c>
    </row>
    <row r="221" spans="1:24" thickBot="1">
      <c r="A221" s="253">
        <v>80</v>
      </c>
      <c r="B221" s="254">
        <v>90</v>
      </c>
      <c r="C221" s="157">
        <v>1162434</v>
      </c>
      <c r="D221" s="30">
        <v>100563565.39999692</v>
      </c>
      <c r="E221" s="183">
        <f t="shared" si="6"/>
        <v>0.34604481768426226</v>
      </c>
      <c r="F221" s="184">
        <v>1.162434E-2</v>
      </c>
      <c r="G221" s="185">
        <v>4.0225426159998775E-3</v>
      </c>
      <c r="H221" s="228"/>
      <c r="I221" s="267" t="str">
        <f t="shared" si="7"/>
        <v>(80, 90]</v>
      </c>
      <c r="J221" s="157">
        <v>1</v>
      </c>
      <c r="K221" s="269">
        <v>3.7966512900527212</v>
      </c>
      <c r="L221" s="184">
        <v>4.4133565457011449E-2</v>
      </c>
      <c r="M221" s="229">
        <v>44133565</v>
      </c>
      <c r="N221" s="191">
        <v>7.2709753672679844E-2</v>
      </c>
      <c r="O221" s="207">
        <v>2.5160833453530117E-2</v>
      </c>
      <c r="Q221" s="1">
        <v>4.4133565457011449E-2</v>
      </c>
      <c r="R221" s="1">
        <v>3.7966512900527212</v>
      </c>
    </row>
    <row r="222" spans="1:24" ht="16.8" thickBot="1">
      <c r="A222" s="253">
        <v>90</v>
      </c>
      <c r="B222" s="254">
        <v>100</v>
      </c>
      <c r="C222" s="157">
        <v>1405737</v>
      </c>
      <c r="D222" s="30">
        <v>135925771.80000448</v>
      </c>
      <c r="E222" s="183">
        <f t="shared" si="6"/>
        <v>0.3867744017551063</v>
      </c>
      <c r="F222" s="184">
        <v>1.405737E-2</v>
      </c>
      <c r="G222" s="185">
        <v>5.4370308720001785E-3</v>
      </c>
      <c r="H222" s="228"/>
      <c r="I222" s="267" t="str">
        <f t="shared" si="7"/>
        <v>(90, 100]</v>
      </c>
      <c r="J222" s="157">
        <v>1</v>
      </c>
      <c r="K222" s="269">
        <v>5.8001510082923655</v>
      </c>
      <c r="L222" s="184">
        <v>8.1534868779438843E-2</v>
      </c>
      <c r="M222" s="229">
        <v>81534868</v>
      </c>
      <c r="N222" s="191">
        <v>0.13432815064938594</v>
      </c>
      <c r="O222" s="207">
        <v>5.195469010628604E-2</v>
      </c>
      <c r="Q222" s="1">
        <v>8.1534868779438843E-2</v>
      </c>
      <c r="R222" s="1">
        <v>5.8001510082923655</v>
      </c>
      <c r="U222" s="284" t="s">
        <v>203</v>
      </c>
      <c r="V222" s="180" t="s">
        <v>204</v>
      </c>
      <c r="W222" s="282" t="s">
        <v>176</v>
      </c>
      <c r="X222" s="283" t="s">
        <v>205</v>
      </c>
    </row>
    <row r="223" spans="1:24" ht="15.6">
      <c r="A223" s="253">
        <v>100</v>
      </c>
      <c r="B223" s="254">
        <v>120</v>
      </c>
      <c r="C223" s="157">
        <v>2375046</v>
      </c>
      <c r="D223" s="30">
        <v>266821252.00001076</v>
      </c>
      <c r="E223" s="183">
        <f t="shared" si="6"/>
        <v>0.44937445758947109</v>
      </c>
      <c r="F223" s="184">
        <v>2.3750460000000001E-2</v>
      </c>
      <c r="G223" s="185">
        <v>1.0672850080000429E-2</v>
      </c>
      <c r="H223" s="228"/>
      <c r="I223" s="267" t="str">
        <f t="shared" si="7"/>
        <v>(100, 120]</v>
      </c>
      <c r="J223" s="157">
        <v>1</v>
      </c>
      <c r="K223" s="269">
        <v>3.7941572418023743</v>
      </c>
      <c r="L223" s="184">
        <v>9.0112979805137619E-2</v>
      </c>
      <c r="M223" s="229">
        <v>90112979</v>
      </c>
      <c r="N223" s="191">
        <v>0.148460531248753</v>
      </c>
      <c r="O223" s="207">
        <v>6.6714370703353107E-2</v>
      </c>
      <c r="Q223" s="1">
        <v>9.0112979805137619E-2</v>
      </c>
      <c r="R223" s="1">
        <v>3.7941572418023743</v>
      </c>
      <c r="U223" s="125" t="s">
        <v>186</v>
      </c>
      <c r="V223" s="181">
        <f>SUM(N199:N228)</f>
        <v>0.75713844894497206</v>
      </c>
      <c r="W223" s="279" cm="1">
        <f t="array" ref="W223:W228">1/V223:V228</f>
        <v>1.3207624066555348</v>
      </c>
      <c r="X223" s="285"/>
    </row>
    <row r="224" spans="1:24" ht="15.6">
      <c r="A224" s="253">
        <v>120</v>
      </c>
      <c r="B224" s="254">
        <v>140</v>
      </c>
      <c r="C224" s="157">
        <v>1829546</v>
      </c>
      <c r="D224" s="30">
        <v>240457937.39999625</v>
      </c>
      <c r="E224" s="183">
        <f t="shared" si="6"/>
        <v>0.52572154490785417</v>
      </c>
      <c r="F224" s="184">
        <v>1.829546E-2</v>
      </c>
      <c r="G224" s="185">
        <v>9.6183174959998501E-3</v>
      </c>
      <c r="H224" s="228"/>
      <c r="I224" s="267" t="str">
        <f t="shared" si="7"/>
        <v>(120, 140]</v>
      </c>
      <c r="J224" s="157">
        <v>1</v>
      </c>
      <c r="K224" s="269">
        <v>2.5947016947249391</v>
      </c>
      <c r="L224" s="184">
        <v>4.747126106777233E-2</v>
      </c>
      <c r="M224" s="229">
        <v>47471261</v>
      </c>
      <c r="N224" s="191">
        <v>7.8208585548017559E-2</v>
      </c>
      <c r="O224" s="207">
        <v>4.1115938419361869E-2</v>
      </c>
      <c r="Q224" s="1">
        <v>4.747126106777233E-2</v>
      </c>
      <c r="R224" s="265">
        <v>2.5947016947249391</v>
      </c>
      <c r="U224" s="122" t="s">
        <v>189</v>
      </c>
      <c r="V224" s="184">
        <f>SUM(N229:N256)</f>
        <v>0.2428615510550281</v>
      </c>
      <c r="W224" s="280">
        <v>4.1175723191087492</v>
      </c>
      <c r="X224" s="286">
        <v>2500</v>
      </c>
    </row>
    <row r="225" spans="1:24" ht="15.6">
      <c r="A225" s="253">
        <v>140</v>
      </c>
      <c r="B225" s="254">
        <v>160</v>
      </c>
      <c r="C225" s="157">
        <v>2074929</v>
      </c>
      <c r="D225" s="30">
        <v>314924383.00001752</v>
      </c>
      <c r="E225" s="183">
        <f t="shared" si="6"/>
        <v>0.60710392114625134</v>
      </c>
      <c r="F225" s="184">
        <v>2.074929E-2</v>
      </c>
      <c r="G225" s="185">
        <v>1.2596975320000701E-2</v>
      </c>
      <c r="H225" s="228"/>
      <c r="I225" s="122" t="str">
        <f t="shared" si="7"/>
        <v>(140, 160]</v>
      </c>
      <c r="J225" s="157">
        <v>1</v>
      </c>
      <c r="K225" s="269">
        <v>1.0434579572202272</v>
      </c>
      <c r="L225" s="184">
        <v>2.1651011757170088E-2</v>
      </c>
      <c r="M225" s="229">
        <v>21651011</v>
      </c>
      <c r="N225" s="191">
        <v>3.566989606605498E-2</v>
      </c>
      <c r="O225" s="207">
        <v>2.1655333768581225E-2</v>
      </c>
      <c r="Q225" s="1">
        <v>2.1651011757170088E-2</v>
      </c>
      <c r="R225" s="265">
        <v>1.0434579572202272</v>
      </c>
      <c r="U225" s="122" t="s">
        <v>187</v>
      </c>
      <c r="V225" s="184">
        <f>SUM(N234:N256)</f>
        <v>0.12381231938602776</v>
      </c>
      <c r="W225" s="280">
        <v>8.0767407068932613</v>
      </c>
      <c r="X225" s="286">
        <v>5000</v>
      </c>
    </row>
    <row r="226" spans="1:24" ht="15.6">
      <c r="A226" s="253">
        <v>160</v>
      </c>
      <c r="B226" s="254">
        <v>180</v>
      </c>
      <c r="C226" s="157">
        <v>1668205</v>
      </c>
      <c r="D226" s="30">
        <v>286436695.79998577</v>
      </c>
      <c r="E226" s="183">
        <f t="shared" si="6"/>
        <v>0.68681414046831368</v>
      </c>
      <c r="F226" s="184">
        <v>1.668205E-2</v>
      </c>
      <c r="G226" s="185">
        <v>1.1457467831999432E-2</v>
      </c>
      <c r="H226" s="228"/>
      <c r="I226" s="122" t="str">
        <f t="shared" si="7"/>
        <v>(160, 180]</v>
      </c>
      <c r="J226" s="157">
        <v>1</v>
      </c>
      <c r="K226" s="269">
        <v>0.74005325246975717</v>
      </c>
      <c r="L226" s="184">
        <v>1.2345605360363113E-2</v>
      </c>
      <c r="M226" s="229">
        <v>12345605</v>
      </c>
      <c r="N226" s="191">
        <v>2.0339301810089548E-2</v>
      </c>
      <c r="O226" s="207">
        <v>1.3969320090422269E-2</v>
      </c>
      <c r="Q226" s="1">
        <v>1.2345605360363113E-2</v>
      </c>
      <c r="R226" s="265">
        <v>0.74005325246975717</v>
      </c>
      <c r="U226" s="122" t="s">
        <v>201</v>
      </c>
      <c r="V226" s="184">
        <f>SUM(N245:N256)</f>
        <v>5.3585082790155742E-3</v>
      </c>
      <c r="W226" s="280">
        <v>186.61910142344925</v>
      </c>
      <c r="X226" s="286">
        <v>12500</v>
      </c>
    </row>
    <row r="227" spans="1:24" ht="15.6">
      <c r="A227" s="253">
        <v>180</v>
      </c>
      <c r="B227" s="254">
        <v>200</v>
      </c>
      <c r="C227" s="157">
        <v>1747165</v>
      </c>
      <c r="D227" s="30">
        <v>336589328.19999319</v>
      </c>
      <c r="E227" s="183">
        <f t="shared" si="6"/>
        <v>0.77059540043440244</v>
      </c>
      <c r="F227" s="184">
        <v>1.7471649999999998E-2</v>
      </c>
      <c r="G227" s="185">
        <v>1.3463573127999727E-2</v>
      </c>
      <c r="H227" s="228"/>
      <c r="I227" s="122" t="str">
        <f t="shared" si="7"/>
        <v>(180, 200]</v>
      </c>
      <c r="J227" s="157">
        <v>1</v>
      </c>
      <c r="K227" s="269">
        <v>1.0365263427330573</v>
      </c>
      <c r="L227" s="184">
        <v>1.8109825476012021E-2</v>
      </c>
      <c r="M227" s="229">
        <v>18109825</v>
      </c>
      <c r="N227" s="191">
        <v>2.9835815774350866E-2</v>
      </c>
      <c r="O227" s="207">
        <v>2.2991342403922966E-2</v>
      </c>
      <c r="Q227" s="1">
        <v>1.8109825476012021E-2</v>
      </c>
      <c r="R227" s="265">
        <v>1.0365263427330573</v>
      </c>
      <c r="U227" s="122" t="s">
        <v>202</v>
      </c>
      <c r="V227" s="184">
        <f>SUM(N246:N256)</f>
        <v>3.7729458771935116E-3</v>
      </c>
      <c r="W227" s="280">
        <v>265.0448833747505</v>
      </c>
      <c r="X227" s="286">
        <v>25000</v>
      </c>
    </row>
    <row r="228" spans="1:24" thickBot="1">
      <c r="A228" s="253">
        <v>200</v>
      </c>
      <c r="B228" s="254">
        <v>250</v>
      </c>
      <c r="C228" s="157">
        <v>3469209</v>
      </c>
      <c r="D228" s="30">
        <v>783622512.80004096</v>
      </c>
      <c r="E228" s="183">
        <f t="shared" si="6"/>
        <v>0.90351721421227837</v>
      </c>
      <c r="F228" s="184">
        <v>3.4692090000000002E-2</v>
      </c>
      <c r="G228" s="185">
        <v>3.1344900512001644E-2</v>
      </c>
      <c r="H228" s="228"/>
      <c r="I228" s="122" t="str">
        <f t="shared" si="7"/>
        <v>(200, 250]</v>
      </c>
      <c r="J228" s="157">
        <v>1</v>
      </c>
      <c r="K228" s="269">
        <v>0.22122032523728835</v>
      </c>
      <c r="L228" s="184">
        <v>7.674595432961279E-3</v>
      </c>
      <c r="M228" s="229">
        <v>7674595</v>
      </c>
      <c r="N228" s="191">
        <v>1.2643844021836451E-2</v>
      </c>
      <c r="O228" s="207">
        <v>1.1423930727544239E-2</v>
      </c>
      <c r="Q228" s="1">
        <v>7.674595432961279E-3</v>
      </c>
      <c r="R228" s="265">
        <v>0.22122032523728835</v>
      </c>
      <c r="U228" s="123" t="s">
        <v>188</v>
      </c>
      <c r="V228" s="187">
        <f>SUM(N253)</f>
        <v>1.9876183199432133E-4</v>
      </c>
      <c r="W228" s="281">
        <v>5031.147026399768</v>
      </c>
      <c r="X228" s="287">
        <v>100000</v>
      </c>
    </row>
    <row r="229" spans="1:24" ht="15.6">
      <c r="A229" s="253">
        <v>250</v>
      </c>
      <c r="B229" s="254">
        <v>300</v>
      </c>
      <c r="C229" s="157">
        <v>3017071</v>
      </c>
      <c r="D229" s="30">
        <v>833314045.80001783</v>
      </c>
      <c r="E229" s="183">
        <f t="shared" si="6"/>
        <v>1.1047987214089663</v>
      </c>
      <c r="F229" s="184">
        <v>3.017071E-2</v>
      </c>
      <c r="G229" s="185">
        <v>3.3332561832000715E-2</v>
      </c>
      <c r="H229" s="228"/>
      <c r="I229" s="268" t="str">
        <f t="shared" si="7"/>
        <v>(250, 300]</v>
      </c>
      <c r="J229" s="157">
        <v>1</v>
      </c>
      <c r="K229" s="269">
        <v>1.4755588121061511</v>
      </c>
      <c r="L229" s="184">
        <v>4.4518657007999174E-2</v>
      </c>
      <c r="M229" s="229">
        <v>44518657</v>
      </c>
      <c r="N229" s="191">
        <v>7.3344190171551388E-2</v>
      </c>
      <c r="O229" s="207">
        <v>8.1030567524306041E-2</v>
      </c>
      <c r="P229" s="1" cm="1">
        <f t="array" ref="P229:P256">2*K229:K256</f>
        <v>2.9511176242123023</v>
      </c>
      <c r="Q229" s="1">
        <v>1.1129664251999793E-2</v>
      </c>
      <c r="R229" s="265">
        <v>0.36888970302653779</v>
      </c>
    </row>
    <row r="230" spans="1:24" ht="15.6">
      <c r="A230" s="253">
        <v>300</v>
      </c>
      <c r="B230" s="254">
        <v>350</v>
      </c>
      <c r="C230" s="157">
        <v>2404948</v>
      </c>
      <c r="D230" s="30">
        <v>781820966.20000577</v>
      </c>
      <c r="E230" s="183">
        <f t="shared" si="6"/>
        <v>1.3003540470729609</v>
      </c>
      <c r="F230" s="184">
        <v>2.4049480000000002E-2</v>
      </c>
      <c r="G230" s="185">
        <v>3.1272838648000234E-2</v>
      </c>
      <c r="H230" s="228"/>
      <c r="I230" s="122" t="str">
        <f t="shared" si="7"/>
        <v>(300, 350]</v>
      </c>
      <c r="J230" s="157">
        <v>1</v>
      </c>
      <c r="K230" s="269">
        <v>0.27816411343595132</v>
      </c>
      <c r="L230" s="184">
        <v>6.6897022827956433E-3</v>
      </c>
      <c r="M230" s="229">
        <v>6689702</v>
      </c>
      <c r="N230" s="191">
        <v>1.1021239380132417E-2</v>
      </c>
      <c r="O230" s="207">
        <v>1.433151323171508E-2</v>
      </c>
      <c r="P230" s="1">
        <v>0.55632822687190264</v>
      </c>
      <c r="Q230" s="1">
        <v>1.6724255706989108E-3</v>
      </c>
      <c r="R230" s="265">
        <v>6.954102835898783E-2</v>
      </c>
    </row>
    <row r="231" spans="1:24" ht="15.6">
      <c r="A231" s="253">
        <v>350</v>
      </c>
      <c r="B231" s="254">
        <v>400</v>
      </c>
      <c r="C231" s="157">
        <v>2297534</v>
      </c>
      <c r="D231" s="30">
        <v>865200651.79998469</v>
      </c>
      <c r="E231" s="183">
        <f t="shared" si="6"/>
        <v>1.5063118139709528</v>
      </c>
      <c r="F231" s="184">
        <v>2.297534E-2</v>
      </c>
      <c r="G231" s="185">
        <v>3.4608026071999393E-2</v>
      </c>
      <c r="H231" s="228"/>
      <c r="I231" s="122" t="str">
        <f t="shared" si="7"/>
        <v>(350, 400]</v>
      </c>
      <c r="J231" s="157">
        <v>1</v>
      </c>
      <c r="K231" s="269">
        <v>0.33347478219297505</v>
      </c>
      <c r="L231" s="184">
        <v>7.6616965023095472E-3</v>
      </c>
      <c r="M231" s="229">
        <v>7661696</v>
      </c>
      <c r="N231" s="191">
        <v>1.262259300545869E-2</v>
      </c>
      <c r="O231" s="207">
        <v>1.9013560967069541E-2</v>
      </c>
      <c r="P231" s="1">
        <v>0.6669495643859501</v>
      </c>
      <c r="Q231" s="1">
        <v>1.915424125577387E-3</v>
      </c>
      <c r="R231" s="265">
        <v>8.3368695548243762E-2</v>
      </c>
    </row>
    <row r="232" spans="1:24" ht="15.6">
      <c r="A232" s="253">
        <v>400</v>
      </c>
      <c r="B232" s="254">
        <v>450</v>
      </c>
      <c r="C232" s="157">
        <v>1834931</v>
      </c>
      <c r="D232" s="30">
        <v>781318106.79999387</v>
      </c>
      <c r="E232" s="183">
        <f t="shared" si="6"/>
        <v>1.7032097812942153</v>
      </c>
      <c r="F232" s="184">
        <v>1.8349310000000001E-2</v>
      </c>
      <c r="G232" s="185">
        <v>3.1252724271999759E-2</v>
      </c>
      <c r="H232" s="228"/>
      <c r="I232" s="122" t="str">
        <f t="shared" si="7"/>
        <v>(400, 450]</v>
      </c>
      <c r="J232" s="157">
        <v>1</v>
      </c>
      <c r="K232" s="269">
        <v>0.3252165802983551</v>
      </c>
      <c r="L232" s="184">
        <v>5.9674998490344107E-3</v>
      </c>
      <c r="M232" s="229">
        <v>5967499</v>
      </c>
      <c r="N232" s="191">
        <v>9.8314147595364963E-3</v>
      </c>
      <c r="O232" s="207">
        <v>1.6744961782402878E-2</v>
      </c>
      <c r="P232" s="1">
        <v>0.65043316059671019</v>
      </c>
      <c r="Q232" s="1">
        <v>1.4918749622586027E-3</v>
      </c>
      <c r="R232" s="265">
        <v>8.1304145074588774E-2</v>
      </c>
    </row>
    <row r="233" spans="1:24" ht="15.6">
      <c r="A233" s="253">
        <v>450</v>
      </c>
      <c r="B233" s="254">
        <v>500</v>
      </c>
      <c r="C233" s="157">
        <v>1743465</v>
      </c>
      <c r="D233" s="30">
        <v>830907635.39999986</v>
      </c>
      <c r="E233" s="183">
        <f t="shared" si="6"/>
        <v>1.9063362565924751</v>
      </c>
      <c r="F233" s="184">
        <v>1.7434649999999999E-2</v>
      </c>
      <c r="G233" s="185">
        <v>3.3236305415999992E-2</v>
      </c>
      <c r="H233" s="228"/>
      <c r="I233" s="122" t="str">
        <f t="shared" si="7"/>
        <v>(450, 500]</v>
      </c>
      <c r="J233" s="157">
        <v>1</v>
      </c>
      <c r="K233" s="269">
        <v>0.42577706654440939</v>
      </c>
      <c r="L233" s="184">
        <v>7.4232741332284869E-3</v>
      </c>
      <c r="M233" s="229">
        <v>7423274</v>
      </c>
      <c r="N233" s="191">
        <v>1.2229794352321386E-2</v>
      </c>
      <c r="O233" s="207">
        <v>2.3314100384500144E-2</v>
      </c>
      <c r="P233" s="1">
        <v>0.85155413308881878</v>
      </c>
      <c r="Q233" s="1">
        <v>1.8558185333071217E-3</v>
      </c>
      <c r="R233" s="265">
        <v>0.10644426663610235</v>
      </c>
    </row>
    <row r="234" spans="1:24" ht="15.6">
      <c r="A234" s="253">
        <v>500</v>
      </c>
      <c r="B234" s="254">
        <v>550</v>
      </c>
      <c r="C234" s="157">
        <v>1455019</v>
      </c>
      <c r="D234" s="30">
        <v>764396994.99999642</v>
      </c>
      <c r="E234" s="183">
        <f t="shared" si="6"/>
        <v>2.1014075967392767</v>
      </c>
      <c r="F234" s="184">
        <v>1.4550189999999999E-2</v>
      </c>
      <c r="G234" s="185">
        <v>3.0575879799999855E-2</v>
      </c>
      <c r="H234" s="228"/>
      <c r="I234" s="268" t="str">
        <f t="shared" si="7"/>
        <v>(500, 550]</v>
      </c>
      <c r="J234" s="157">
        <v>1</v>
      </c>
      <c r="K234" s="269">
        <v>1.4706347695450555</v>
      </c>
      <c r="L234" s="184">
        <v>2.1398015317486769E-2</v>
      </c>
      <c r="M234" s="229">
        <v>21398015</v>
      </c>
      <c r="N234" s="191">
        <v>3.5253086845223325E-2</v>
      </c>
      <c r="O234" s="207">
        <v>7.4081104505061751E-2</v>
      </c>
      <c r="P234" s="1">
        <v>2.9412695390901109</v>
      </c>
      <c r="Q234" s="1">
        <v>5.3495038293716922E-3</v>
      </c>
      <c r="R234" s="265">
        <v>0.36765869238626386</v>
      </c>
    </row>
    <row r="235" spans="1:24" ht="15.6">
      <c r="A235" s="253">
        <v>550</v>
      </c>
      <c r="B235" s="254">
        <v>600</v>
      </c>
      <c r="C235" s="157">
        <v>1424067</v>
      </c>
      <c r="D235" s="30">
        <v>820759390.99999714</v>
      </c>
      <c r="E235" s="183">
        <f t="shared" si="6"/>
        <v>2.3053954371528786</v>
      </c>
      <c r="F235" s="184">
        <v>1.424067E-2</v>
      </c>
      <c r="G235" s="185">
        <v>3.2830375639999888E-2</v>
      </c>
      <c r="H235" s="228"/>
      <c r="I235" s="122" t="str">
        <f t="shared" si="7"/>
        <v>(550, 600]</v>
      </c>
      <c r="J235" s="157">
        <v>1</v>
      </c>
      <c r="K235" s="269">
        <v>0.7913102574159756</v>
      </c>
      <c r="L235" s="184">
        <v>1.1268788243475962E-2</v>
      </c>
      <c r="M235" s="229">
        <v>11268788</v>
      </c>
      <c r="N235" s="191">
        <v>1.8565252992130833E-2</v>
      </c>
      <c r="O235" s="207">
        <v>4.2800249537647252E-2</v>
      </c>
      <c r="P235" s="1">
        <v>1.5826205148319512</v>
      </c>
      <c r="Q235" s="1">
        <v>2.8171970608689904E-3</v>
      </c>
      <c r="R235" s="265">
        <v>0.1978275643539939</v>
      </c>
    </row>
    <row r="236" spans="1:24" ht="15.6">
      <c r="A236" s="253">
        <v>600</v>
      </c>
      <c r="B236" s="254">
        <v>650</v>
      </c>
      <c r="C236" s="157">
        <v>1152860</v>
      </c>
      <c r="D236" s="30">
        <v>721511146.39999747</v>
      </c>
      <c r="E236" s="183">
        <f t="shared" si="6"/>
        <v>2.5033781947504381</v>
      </c>
      <c r="F236" s="184">
        <v>1.15286E-2</v>
      </c>
      <c r="G236" s="185">
        <v>2.8860445855999901E-2</v>
      </c>
      <c r="H236" s="228"/>
      <c r="I236" s="122" t="str">
        <f t="shared" si="7"/>
        <v>(600, 650]</v>
      </c>
      <c r="J236" s="157">
        <v>1</v>
      </c>
      <c r="K236" s="269">
        <v>0.64569766402299278</v>
      </c>
      <c r="L236" s="184">
        <v>7.4439900894554744E-3</v>
      </c>
      <c r="M236" s="229">
        <v>7443990</v>
      </c>
      <c r="N236" s="191">
        <v>1.2263923824007691E-2</v>
      </c>
      <c r="O236" s="207">
        <v>3.0701239483101266E-2</v>
      </c>
      <c r="P236" s="1">
        <v>1.2913953280459856</v>
      </c>
      <c r="Q236" s="1">
        <v>1.8609975223638686E-3</v>
      </c>
      <c r="R236" s="265">
        <v>0.16142441600574819</v>
      </c>
    </row>
    <row r="237" spans="1:24" ht="15.6">
      <c r="A237" s="253">
        <v>650</v>
      </c>
      <c r="B237" s="254">
        <v>700</v>
      </c>
      <c r="C237" s="157">
        <v>1052234</v>
      </c>
      <c r="D237" s="30">
        <v>710614398.79999399</v>
      </c>
      <c r="E237" s="183">
        <f t="shared" si="6"/>
        <v>2.7013550172299849</v>
      </c>
      <c r="F237" s="184">
        <v>1.052234E-2</v>
      </c>
      <c r="G237" s="185">
        <v>2.8424575951999761E-2</v>
      </c>
      <c r="H237" s="228"/>
      <c r="I237" s="122" t="str">
        <f t="shared" si="7"/>
        <v>(650, 700]</v>
      </c>
      <c r="J237" s="157">
        <v>1</v>
      </c>
      <c r="K237" s="269">
        <v>0.3331078571432054</v>
      </c>
      <c r="L237" s="184">
        <v>3.505074129532236E-3</v>
      </c>
      <c r="M237" s="229">
        <v>3505074</v>
      </c>
      <c r="N237" s="191">
        <v>5.7745860128116692E-3</v>
      </c>
      <c r="O237" s="207">
        <v>1.5599206898134897E-2</v>
      </c>
      <c r="P237" s="1">
        <v>0.6662157142864108</v>
      </c>
      <c r="Q237" s="1">
        <v>8.762685323830589E-4</v>
      </c>
      <c r="R237" s="265">
        <v>8.327696428580135E-2</v>
      </c>
    </row>
    <row r="238" spans="1:24" ht="15.6">
      <c r="A238" s="253">
        <v>700</v>
      </c>
      <c r="B238" s="254">
        <v>750</v>
      </c>
      <c r="C238" s="157">
        <v>947593</v>
      </c>
      <c r="D238" s="30">
        <v>687119571.39999485</v>
      </c>
      <c r="E238" s="183">
        <f t="shared" si="6"/>
        <v>2.9004839478552285</v>
      </c>
      <c r="F238" s="184">
        <v>9.4759300000000005E-3</v>
      </c>
      <c r="G238" s="185">
        <v>2.7484782855999795E-2</v>
      </c>
      <c r="H238" s="228"/>
      <c r="I238" s="122" t="str">
        <f t="shared" si="7"/>
        <v>(700, 750]</v>
      </c>
      <c r="J238" s="157">
        <v>1</v>
      </c>
      <c r="K238" s="269">
        <v>0.31285645273751522</v>
      </c>
      <c r="L238" s="184">
        <v>2.9646058461890029E-3</v>
      </c>
      <c r="M238" s="229">
        <v>2964605</v>
      </c>
      <c r="N238" s="191">
        <v>4.8841669438395704E-3</v>
      </c>
      <c r="O238" s="207">
        <v>1.4166447819251802E-2</v>
      </c>
      <c r="P238" s="1">
        <v>0.62571290547503045</v>
      </c>
      <c r="Q238" s="1">
        <v>7.4115146154725073E-4</v>
      </c>
      <c r="R238" s="265">
        <v>7.8214113184378806E-2</v>
      </c>
    </row>
    <row r="239" spans="1:24" ht="15.6">
      <c r="A239" s="253">
        <v>750</v>
      </c>
      <c r="B239" s="254">
        <v>800</v>
      </c>
      <c r="C239" s="157">
        <v>961798</v>
      </c>
      <c r="D239" s="30">
        <v>748574591.99999762</v>
      </c>
      <c r="E239" s="183">
        <f t="shared" si="6"/>
        <v>3.1132299796838736</v>
      </c>
      <c r="F239" s="184">
        <v>9.6179799999999999E-3</v>
      </c>
      <c r="G239" s="185">
        <v>2.9942983679999903E-2</v>
      </c>
      <c r="H239" s="228"/>
      <c r="I239" s="122" t="str">
        <f t="shared" si="7"/>
        <v>(750, 800]</v>
      </c>
      <c r="J239" s="157">
        <v>1</v>
      </c>
      <c r="K239" s="269">
        <v>0.50696574790008064</v>
      </c>
      <c r="L239" s="184">
        <v>4.875986423988018E-3</v>
      </c>
      <c r="M239" s="229">
        <v>4875986</v>
      </c>
      <c r="N239" s="191">
        <v>8.0331543796979803E-3</v>
      </c>
      <c r="O239" s="207">
        <v>2.5009057046304562E-2</v>
      </c>
      <c r="P239" s="1">
        <v>1.0139314958001613</v>
      </c>
      <c r="Q239" s="1">
        <v>1.2189966059970045E-3</v>
      </c>
      <c r="R239" s="265">
        <v>0.12674143697502016</v>
      </c>
    </row>
    <row r="240" spans="1:24" ht="15.6">
      <c r="A240" s="253">
        <v>800</v>
      </c>
      <c r="B240" s="254">
        <v>850</v>
      </c>
      <c r="C240" s="157">
        <v>777660</v>
      </c>
      <c r="D240" s="30">
        <v>642172326.79999638</v>
      </c>
      <c r="E240" s="183">
        <f t="shared" si="6"/>
        <v>3.3031007216521173</v>
      </c>
      <c r="F240" s="184">
        <v>7.7765999999999998E-3</v>
      </c>
      <c r="G240" s="185">
        <v>2.5686893071999856E-2</v>
      </c>
      <c r="H240" s="228"/>
      <c r="I240" s="122" t="str">
        <f t="shared" si="7"/>
        <v>(800, 850]</v>
      </c>
      <c r="J240" s="157">
        <v>1</v>
      </c>
      <c r="K240" s="269">
        <v>0.35176903596586545</v>
      </c>
      <c r="L240" s="184">
        <v>2.7355670850921494E-3</v>
      </c>
      <c r="M240" s="229">
        <v>2735567</v>
      </c>
      <c r="N240" s="191">
        <v>4.5068283680484858E-3</v>
      </c>
      <c r="O240" s="207">
        <v>1.4886508034863188E-2</v>
      </c>
      <c r="P240" s="1">
        <v>0.7035380719317309</v>
      </c>
      <c r="Q240" s="1">
        <v>6.8389177127303735E-4</v>
      </c>
      <c r="R240" s="265">
        <v>8.7942258991466363E-2</v>
      </c>
    </row>
    <row r="241" spans="1:19" ht="15.6">
      <c r="A241" s="253">
        <v>850</v>
      </c>
      <c r="B241" s="254">
        <v>900</v>
      </c>
      <c r="C241" s="157">
        <v>749319</v>
      </c>
      <c r="D241" s="30">
        <v>656319274.99999499</v>
      </c>
      <c r="E241" s="183">
        <f t="shared" si="6"/>
        <v>3.5035506906937899</v>
      </c>
      <c r="F241" s="184">
        <v>7.4931900000000003E-3</v>
      </c>
      <c r="G241" s="185">
        <v>2.62527709999998E-2</v>
      </c>
      <c r="H241" s="228"/>
      <c r="I241" s="122" t="str">
        <f t="shared" si="7"/>
        <v>(850, 900]</v>
      </c>
      <c r="J241" s="157">
        <v>1</v>
      </c>
      <c r="K241" s="269">
        <v>0.35483923420193092</v>
      </c>
      <c r="L241" s="184">
        <v>2.658877801329567E-3</v>
      </c>
      <c r="M241" s="229">
        <v>2658877</v>
      </c>
      <c r="N241" s="191">
        <v>4.3804821050815622E-3</v>
      </c>
      <c r="O241" s="207">
        <v>1.5347241104830293E-2</v>
      </c>
      <c r="P241" s="1">
        <v>0.70967846840386184</v>
      </c>
      <c r="Q241" s="1">
        <v>6.6471945033239174E-4</v>
      </c>
      <c r="R241" s="265">
        <v>8.870980855048273E-2</v>
      </c>
    </row>
    <row r="242" spans="1:19" ht="15.6">
      <c r="A242" s="253">
        <v>900</v>
      </c>
      <c r="B242" s="254">
        <v>950</v>
      </c>
      <c r="C242" s="157">
        <v>664325</v>
      </c>
      <c r="D242" s="30">
        <v>614612265.79999816</v>
      </c>
      <c r="E242" s="183">
        <f t="shared" si="6"/>
        <v>3.7006722059232948</v>
      </c>
      <c r="F242" s="184">
        <v>6.6432499999999998E-3</v>
      </c>
      <c r="G242" s="185">
        <v>2.4584490631999929E-2</v>
      </c>
      <c r="H242" s="228"/>
      <c r="I242" s="122" t="str">
        <f t="shared" si="7"/>
        <v>(900, 950]</v>
      </c>
      <c r="J242" s="157">
        <v>1</v>
      </c>
      <c r="K242" s="269">
        <v>0.30756128426652141</v>
      </c>
      <c r="L242" s="184">
        <v>2.0432065017035681E-3</v>
      </c>
      <c r="M242" s="229">
        <v>2043206</v>
      </c>
      <c r="N242" s="191">
        <v>3.3661682432076698E-3</v>
      </c>
      <c r="O242" s="207">
        <v>1.245708525810027E-2</v>
      </c>
      <c r="P242" s="1">
        <v>0.61512256853304281</v>
      </c>
      <c r="Q242" s="1">
        <v>5.1080162542589203E-4</v>
      </c>
      <c r="R242" s="265">
        <v>7.6890321066630352E-2</v>
      </c>
    </row>
    <row r="243" spans="1:19" ht="15.6">
      <c r="A243" s="253">
        <v>950</v>
      </c>
      <c r="B243" s="254">
        <v>1000</v>
      </c>
      <c r="C243" s="157">
        <v>707435</v>
      </c>
      <c r="D243" s="30">
        <v>692206913.99999499</v>
      </c>
      <c r="E243" s="183">
        <f t="shared" si="6"/>
        <v>3.9138969036024229</v>
      </c>
      <c r="F243" s="184">
        <v>7.0743500000000001E-3</v>
      </c>
      <c r="G243" s="185">
        <v>2.7688276559999801E-2</v>
      </c>
      <c r="H243" s="228"/>
      <c r="I243" s="122" t="str">
        <f t="shared" si="7"/>
        <v>(950, 1000]</v>
      </c>
      <c r="J243" s="157">
        <v>1</v>
      </c>
      <c r="K243" s="269">
        <v>0.52725618109115813</v>
      </c>
      <c r="L243" s="184">
        <v>3.7299947647022346E-3</v>
      </c>
      <c r="M243" s="229">
        <v>3729994</v>
      </c>
      <c r="N243" s="191">
        <v>6.1451402110972407E-3</v>
      </c>
      <c r="O243" s="207">
        <v>2.4051445244416231E-2</v>
      </c>
      <c r="P243" s="1">
        <v>1.0545123621823163</v>
      </c>
      <c r="Q243" s="1">
        <v>9.3249869117555866E-4</v>
      </c>
      <c r="R243" s="265">
        <v>0.13181404527278953</v>
      </c>
    </row>
    <row r="244" spans="1:19" ht="15.6">
      <c r="A244" s="253">
        <v>1000</v>
      </c>
      <c r="B244" s="254">
        <v>2000</v>
      </c>
      <c r="C244" s="157">
        <v>6776726</v>
      </c>
      <c r="D244" s="30">
        <v>9522490079.9991722</v>
      </c>
      <c r="E244" s="183">
        <f t="shared" si="6"/>
        <v>5.6207024335935509</v>
      </c>
      <c r="F244" s="184">
        <v>6.7767259999999996E-2</v>
      </c>
      <c r="G244" s="185">
        <v>0.38089960319996685</v>
      </c>
      <c r="H244" s="228"/>
      <c r="I244" s="268" t="str">
        <f t="shared" si="7"/>
        <v>(1000, 2000]</v>
      </c>
      <c r="J244" s="157">
        <v>1</v>
      </c>
      <c r="K244" s="269">
        <v>0.13687017864208509</v>
      </c>
      <c r="L244" s="184">
        <v>9.2753169822846274E-3</v>
      </c>
      <c r="M244" s="229">
        <v>9275316</v>
      </c>
      <c r="N244" s="191">
        <v>1.5281021181866141E-2</v>
      </c>
      <c r="O244" s="207">
        <v>8.5890072944709614E-2</v>
      </c>
      <c r="P244" s="1">
        <v>0.27374035728417018</v>
      </c>
      <c r="Q244" s="1">
        <v>2.3188292455711568E-3</v>
      </c>
      <c r="R244" s="265">
        <v>3.4217544660521272E-2</v>
      </c>
    </row>
    <row r="245" spans="1:19" ht="15.6">
      <c r="A245" s="253">
        <v>2000</v>
      </c>
      <c r="B245" s="254">
        <v>3000</v>
      </c>
      <c r="C245" s="157">
        <v>2434947</v>
      </c>
      <c r="D245" s="30">
        <v>5936244713.9997463</v>
      </c>
      <c r="E245" s="183">
        <f t="shared" si="6"/>
        <v>9.7517436133102624</v>
      </c>
      <c r="F245" s="184">
        <v>2.4349470000000002E-2</v>
      </c>
      <c r="G245" s="185">
        <v>0.23744978855998986</v>
      </c>
      <c r="H245" s="228"/>
      <c r="I245" s="122" t="str">
        <f t="shared" si="7"/>
        <v>(2000, 3000]</v>
      </c>
      <c r="J245" s="157">
        <v>1</v>
      </c>
      <c r="K245" s="269">
        <v>3.9524859593085195E-2</v>
      </c>
      <c r="L245" s="184">
        <v>9.6240938291604025E-4</v>
      </c>
      <c r="M245" s="229">
        <v>962409</v>
      </c>
      <c r="N245" s="191">
        <v>1.585562401822063E-3</v>
      </c>
      <c r="O245" s="207">
        <v>1.5461998025473184E-2</v>
      </c>
      <c r="P245" s="1">
        <v>7.9049719186170389E-2</v>
      </c>
      <c r="Q245" s="1">
        <v>2.4060234572901006E-4</v>
      </c>
      <c r="R245" s="265">
        <v>9.8812148982712986E-3</v>
      </c>
    </row>
    <row r="246" spans="1:19" ht="15.6">
      <c r="A246" s="253">
        <v>3000</v>
      </c>
      <c r="B246" s="254">
        <v>4000</v>
      </c>
      <c r="C246" s="157">
        <v>1162298</v>
      </c>
      <c r="D246" s="30">
        <v>4019809478.8000169</v>
      </c>
      <c r="E246" s="183">
        <f t="shared" si="6"/>
        <v>13.83400635224363</v>
      </c>
      <c r="F246" s="184">
        <v>1.162298E-2</v>
      </c>
      <c r="G246" s="185">
        <v>0.16079237915200068</v>
      </c>
      <c r="H246" s="228"/>
      <c r="I246" s="122" t="str">
        <f t="shared" si="7"/>
        <v>(3000, 4000]</v>
      </c>
      <c r="J246" s="157">
        <v>1</v>
      </c>
      <c r="K246" s="269">
        <v>6.6968341545855931E-2</v>
      </c>
      <c r="L246" s="184">
        <v>7.7837169442065252E-4</v>
      </c>
      <c r="M246" s="229">
        <v>778371</v>
      </c>
      <c r="N246" s="191">
        <v>1.2823610255812664E-3</v>
      </c>
      <c r="O246" s="207">
        <v>1.7740190573760896E-2</v>
      </c>
      <c r="P246" s="1">
        <v>0.13393668309171186</v>
      </c>
      <c r="Q246" s="1">
        <v>1.9459292360516313E-4</v>
      </c>
      <c r="R246" s="265">
        <v>1.6742085386463983E-2</v>
      </c>
    </row>
    <row r="247" spans="1:19" ht="15.6">
      <c r="A247" s="253">
        <v>4000</v>
      </c>
      <c r="B247" s="254">
        <v>5000</v>
      </c>
      <c r="C247" s="157">
        <v>676302</v>
      </c>
      <c r="D247" s="30">
        <v>3019851371.1999927</v>
      </c>
      <c r="E247" s="183">
        <f t="shared" si="6"/>
        <v>17.860963718575384</v>
      </c>
      <c r="F247" s="184">
        <v>6.7630199999999998E-3</v>
      </c>
      <c r="G247" s="185">
        <v>0.1207940548479997</v>
      </c>
      <c r="H247" s="228"/>
      <c r="I247" s="122" t="str">
        <f t="shared" si="7"/>
        <v>(4000, 5000]</v>
      </c>
      <c r="J247" s="157">
        <v>1</v>
      </c>
      <c r="K247" s="269">
        <v>9.1509990624217788E-2</v>
      </c>
      <c r="L247" s="184">
        <v>6.1888389679139741E-4</v>
      </c>
      <c r="M247" s="229">
        <v>618883</v>
      </c>
      <c r="N247" s="191">
        <v>1.01960561042846E-3</v>
      </c>
      <c r="O247" s="207">
        <v>1.8211138815118631E-2</v>
      </c>
      <c r="P247" s="1">
        <v>0.18301998124843558</v>
      </c>
      <c r="Q247" s="1">
        <v>1.5472097419784935E-4</v>
      </c>
      <c r="R247" s="265">
        <v>2.2877497656054447E-2</v>
      </c>
    </row>
    <row r="248" spans="1:19" ht="15.6">
      <c r="A248" s="253">
        <v>5000</v>
      </c>
      <c r="B248" s="254">
        <v>6000</v>
      </c>
      <c r="C248" s="157">
        <v>416443</v>
      </c>
      <c r="D248" s="30">
        <v>2277477620.0000114</v>
      </c>
      <c r="E248" s="183">
        <f t="shared" si="6"/>
        <v>21.87552793539583</v>
      </c>
      <c r="F248" s="184">
        <v>4.1644300000000002E-3</v>
      </c>
      <c r="G248" s="185">
        <v>9.1099104800000455E-2</v>
      </c>
      <c r="H248" s="228"/>
      <c r="I248" s="122" t="str">
        <f t="shared" si="7"/>
        <v>(5000, 6000]</v>
      </c>
      <c r="J248" s="157">
        <v>1</v>
      </c>
      <c r="K248" s="269">
        <v>4.9312654007060426E-2</v>
      </c>
      <c r="L248" s="184">
        <v>2.0535909572662266E-4</v>
      </c>
      <c r="M248" s="229">
        <v>205359</v>
      </c>
      <c r="N248" s="191">
        <v>3.3832758138772293E-4</v>
      </c>
      <c r="O248" s="207">
        <v>7.4010944579620394E-3</v>
      </c>
      <c r="P248" s="1">
        <v>9.8625308014120852E-2</v>
      </c>
      <c r="Q248" s="1">
        <v>5.1339773931655664E-5</v>
      </c>
      <c r="R248" s="265">
        <v>1.2328163501765107E-2</v>
      </c>
    </row>
    <row r="249" spans="1:19" ht="15.6">
      <c r="A249" s="253">
        <v>6000</v>
      </c>
      <c r="B249" s="254">
        <v>7000</v>
      </c>
      <c r="C249" s="157">
        <v>265365</v>
      </c>
      <c r="D249" s="30">
        <v>1716492367.0000064</v>
      </c>
      <c r="E249" s="183">
        <f t="shared" si="6"/>
        <v>25.873681412394344</v>
      </c>
      <c r="F249" s="184">
        <v>2.65365E-3</v>
      </c>
      <c r="G249" s="185">
        <v>6.8659694680000258E-2</v>
      </c>
      <c r="H249" s="228"/>
      <c r="I249" s="122" t="str">
        <f t="shared" si="7"/>
        <v>(6000, 7000]</v>
      </c>
      <c r="J249" s="157">
        <v>1</v>
      </c>
      <c r="K249" s="269">
        <v>7.3140878925947464E-2</v>
      </c>
      <c r="L249" s="184">
        <v>1.940902933618405E-4</v>
      </c>
      <c r="M249" s="229">
        <v>194090</v>
      </c>
      <c r="N249" s="191">
        <v>3.1976197912700756E-4</v>
      </c>
      <c r="O249" s="207">
        <v>8.2734195757288836E-3</v>
      </c>
      <c r="P249" s="1">
        <v>0.14628175785189493</v>
      </c>
      <c r="Q249" s="1">
        <v>4.8522573340460124E-5</v>
      </c>
      <c r="R249" s="265">
        <v>1.8285219731486866E-2</v>
      </c>
    </row>
    <row r="250" spans="1:19" ht="15.6">
      <c r="A250" s="253">
        <v>7000</v>
      </c>
      <c r="B250" s="254">
        <v>8000</v>
      </c>
      <c r="C250" s="157">
        <v>174776</v>
      </c>
      <c r="D250" s="30">
        <v>1305679208.8000031</v>
      </c>
      <c r="E250" s="183">
        <f t="shared" si="6"/>
        <v>29.882345603515429</v>
      </c>
      <c r="F250" s="184">
        <v>1.7477599999999999E-3</v>
      </c>
      <c r="G250" s="185">
        <v>5.2227168352000121E-2</v>
      </c>
      <c r="H250" s="228"/>
      <c r="I250" s="122" t="str">
        <f t="shared" si="7"/>
        <v>(7000, 8000]</v>
      </c>
      <c r="J250" s="157">
        <v>1</v>
      </c>
      <c r="K250" s="269">
        <v>0.10351761138459514</v>
      </c>
      <c r="L250" s="184">
        <v>1.8092394047353999E-4</v>
      </c>
      <c r="M250" s="229">
        <v>180923</v>
      </c>
      <c r="N250" s="191">
        <v>2.9806943453859335E-4</v>
      </c>
      <c r="O250" s="207">
        <v>8.9070138567266654E-3</v>
      </c>
      <c r="P250" s="1">
        <v>0.20703522276919029</v>
      </c>
      <c r="Q250" s="1">
        <v>4.5230985118384998E-5</v>
      </c>
      <c r="R250" s="265">
        <v>2.5879402846148786E-2</v>
      </c>
    </row>
    <row r="251" spans="1:19" ht="15.6">
      <c r="A251" s="253">
        <v>8000</v>
      </c>
      <c r="B251" s="254">
        <v>9000</v>
      </c>
      <c r="C251" s="157">
        <v>117151</v>
      </c>
      <c r="D251" s="30">
        <v>992176702.5999999</v>
      </c>
      <c r="E251" s="183">
        <f t="shared" si="6"/>
        <v>33.876849624843153</v>
      </c>
      <c r="F251" s="184">
        <v>1.17151E-3</v>
      </c>
      <c r="G251" s="185">
        <v>3.9687068104000002E-2</v>
      </c>
      <c r="H251" s="228"/>
      <c r="I251" s="122" t="str">
        <f t="shared" si="7"/>
        <v>(8000, 9000]</v>
      </c>
      <c r="J251" s="157">
        <v>1</v>
      </c>
      <c r="K251" s="269">
        <v>0.12440415021860174</v>
      </c>
      <c r="L251" s="184">
        <v>1.4574070602259412E-4</v>
      </c>
      <c r="M251" s="229">
        <v>145740</v>
      </c>
      <c r="N251" s="191">
        <v>2.4010567694353178E-4</v>
      </c>
      <c r="O251" s="207">
        <v>8.1340239118871966E-3</v>
      </c>
      <c r="P251" s="194">
        <v>0.24880830043720348</v>
      </c>
      <c r="Q251" s="194">
        <v>3.6435176505648529E-5</v>
      </c>
      <c r="R251" s="265">
        <v>3.1101037554650435E-2</v>
      </c>
      <c r="S251" s="178"/>
    </row>
    <row r="252" spans="1:19" ht="15.6">
      <c r="A252" s="253">
        <v>9000</v>
      </c>
      <c r="B252" s="254">
        <v>10000</v>
      </c>
      <c r="C252" s="157">
        <v>80616</v>
      </c>
      <c r="D252" s="30">
        <v>763643690.40000033</v>
      </c>
      <c r="E252" s="183">
        <f t="shared" si="6"/>
        <v>37.890428222685337</v>
      </c>
      <c r="F252" s="184">
        <v>8.0615999999999999E-4</v>
      </c>
      <c r="G252" s="185">
        <v>3.054574761600001E-2</v>
      </c>
      <c r="H252" s="228"/>
      <c r="I252" s="122" t="str">
        <f t="shared" si="7"/>
        <v>(9000, 10000]</v>
      </c>
      <c r="J252" s="157">
        <v>1</v>
      </c>
      <c r="K252" s="269">
        <v>5.7187821879955782E-2</v>
      </c>
      <c r="L252" s="184">
        <v>4.6102534486745153E-5</v>
      </c>
      <c r="M252" s="229">
        <v>46102</v>
      </c>
      <c r="N252" s="191">
        <v>7.5952737192608086E-5</v>
      </c>
      <c r="O252" s="207">
        <v>2.8778817369129995E-3</v>
      </c>
      <c r="P252" s="194">
        <v>0.11437564375991156</v>
      </c>
      <c r="Q252" s="194">
        <v>1.1525633621686288E-5</v>
      </c>
      <c r="R252" s="265">
        <v>1.4296955469988945E-2</v>
      </c>
      <c r="S252" s="178"/>
    </row>
    <row r="253" spans="1:19" ht="15.6">
      <c r="A253" s="253">
        <v>10000</v>
      </c>
      <c r="B253" s="254">
        <v>20000</v>
      </c>
      <c r="C253" s="157">
        <v>180537</v>
      </c>
      <c r="D253" s="30">
        <v>2277134633.8000031</v>
      </c>
      <c r="E253" s="183">
        <f t="shared" si="6"/>
        <v>50.452475310878171</v>
      </c>
      <c r="F253" s="184">
        <v>1.8053699999999999E-3</v>
      </c>
      <c r="G253" s="185">
        <v>9.1085385352000114E-2</v>
      </c>
      <c r="H253" s="228"/>
      <c r="I253" s="268" t="str">
        <f t="shared" si="7"/>
        <v>(10000, 20000]</v>
      </c>
      <c r="J253" s="157">
        <v>1</v>
      </c>
      <c r="K253" s="269">
        <v>6.6825847169087141E-2</v>
      </c>
      <c r="L253" s="184">
        <v>1.2064537970365485E-4</v>
      </c>
      <c r="M253" s="229">
        <v>120645</v>
      </c>
      <c r="N253" s="191">
        <v>1.9876183199432133E-4</v>
      </c>
      <c r="O253" s="207">
        <v>1.0028026421438411E-2</v>
      </c>
      <c r="P253" s="194">
        <v>0.13365169433817428</v>
      </c>
      <c r="Q253" s="194">
        <v>3.0161344925913713E-5</v>
      </c>
      <c r="R253" s="265">
        <v>1.6706461792271785E-2</v>
      </c>
      <c r="S253" s="178"/>
    </row>
    <row r="254" spans="1:19" ht="15.6">
      <c r="A254" s="253">
        <v>20000</v>
      </c>
      <c r="B254" s="254">
        <v>30000</v>
      </c>
      <c r="C254" s="157">
        <v>8852</v>
      </c>
      <c r="D254" s="30">
        <v>204279606.00000003</v>
      </c>
      <c r="E254" s="183">
        <f t="shared" si="6"/>
        <v>92.308904654315427</v>
      </c>
      <c r="F254" s="184">
        <v>8.852E-5</v>
      </c>
      <c r="G254" s="185">
        <v>8.1711842400000022E-3</v>
      </c>
      <c r="H254" s="228"/>
      <c r="I254" s="122" t="str">
        <f t="shared" si="7"/>
        <v>(20000, 30000]</v>
      </c>
      <c r="J254" s="157">
        <v>0</v>
      </c>
      <c r="K254" s="230">
        <v>0</v>
      </c>
      <c r="L254" s="184">
        <v>0</v>
      </c>
      <c r="M254" s="229">
        <v>0</v>
      </c>
      <c r="N254" s="191">
        <v>0</v>
      </c>
      <c r="O254" s="207">
        <v>0</v>
      </c>
      <c r="P254" s="194">
        <v>0</v>
      </c>
      <c r="Q254" s="194">
        <v>0</v>
      </c>
      <c r="R254" s="1">
        <v>0</v>
      </c>
      <c r="S254" s="178"/>
    </row>
    <row r="255" spans="1:19" ht="15.6">
      <c r="A255" s="253">
        <v>30000</v>
      </c>
      <c r="B255" s="254">
        <v>100000</v>
      </c>
      <c r="C255" s="157">
        <v>1000</v>
      </c>
      <c r="D255" s="30">
        <v>35397581.600000001</v>
      </c>
      <c r="E255" s="183">
        <f t="shared" si="6"/>
        <v>141.59032640000001</v>
      </c>
      <c r="F255" s="184">
        <v>1.0000000000000001E-5</v>
      </c>
      <c r="G255" s="185">
        <v>1.4159032640000003E-3</v>
      </c>
      <c r="H255" s="228"/>
      <c r="I255" s="122" t="str">
        <f t="shared" si="7"/>
        <v>(30000, 100000]</v>
      </c>
      <c r="J255" s="157">
        <v>0</v>
      </c>
      <c r="K255" s="230">
        <v>0</v>
      </c>
      <c r="L255" s="184">
        <v>0</v>
      </c>
      <c r="M255" s="229">
        <v>0</v>
      </c>
      <c r="N255" s="191">
        <v>0</v>
      </c>
      <c r="O255" s="207">
        <v>0</v>
      </c>
      <c r="P255" s="194">
        <v>0</v>
      </c>
      <c r="Q255" s="194">
        <v>0</v>
      </c>
      <c r="R255" s="1">
        <v>0</v>
      </c>
      <c r="S255" s="178"/>
    </row>
    <row r="256" spans="1:19" thickBot="1">
      <c r="A256" s="255">
        <v>100000</v>
      </c>
      <c r="B256" s="256">
        <v>999999</v>
      </c>
      <c r="C256" s="159">
        <v>0</v>
      </c>
      <c r="D256" s="164">
        <v>0</v>
      </c>
      <c r="E256" s="186">
        <f t="shared" si="6"/>
        <v>0</v>
      </c>
      <c r="F256" s="187">
        <v>0</v>
      </c>
      <c r="G256" s="188">
        <v>0</v>
      </c>
      <c r="H256" s="228"/>
      <c r="I256" s="123" t="str">
        <f t="shared" si="7"/>
        <v>(100000, 999999]</v>
      </c>
      <c r="J256" s="159">
        <v>0</v>
      </c>
      <c r="K256" s="246">
        <v>0</v>
      </c>
      <c r="L256" s="187">
        <v>0</v>
      </c>
      <c r="M256" s="240">
        <v>0</v>
      </c>
      <c r="N256" s="192">
        <v>0</v>
      </c>
      <c r="O256" s="208">
        <v>0</v>
      </c>
      <c r="P256" s="194">
        <v>0</v>
      </c>
      <c r="Q256" s="194">
        <v>0</v>
      </c>
      <c r="R256" s="1">
        <v>0</v>
      </c>
      <c r="S256" s="178"/>
    </row>
    <row r="257" spans="13:15" ht="16.8" thickBot="1">
      <c r="N257" s="1">
        <f>1/N251</f>
        <v>4164.832804995197</v>
      </c>
      <c r="O257" s="10">
        <f>SUM(O240:O250)</f>
        <v>0.22862720789168986</v>
      </c>
    </row>
    <row r="258" spans="13:15" ht="16.8" thickBot="1">
      <c r="M258" s="112"/>
      <c r="N258" s="161" t="s">
        <v>168</v>
      </c>
      <c r="O258" s="215" t="s">
        <v>167</v>
      </c>
    </row>
    <row r="259" spans="13:15">
      <c r="M259" s="125" t="s">
        <v>165</v>
      </c>
      <c r="N259" s="214">
        <f>1/SUM(N244:N253)</f>
        <v>48.450716955311833</v>
      </c>
      <c r="O259" s="216" cm="1">
        <f t="array" ref="O259:O260">N261/N259:N260</f>
        <v>288.95341245234408</v>
      </c>
    </row>
    <row r="260" spans="13:15" ht="16.8" thickBot="1">
      <c r="M260" s="122" t="s">
        <v>166</v>
      </c>
      <c r="N260" s="214">
        <f>1/SUM(N257)</f>
        <v>2.4010567694353175E-4</v>
      </c>
      <c r="O260" s="216">
        <v>58307659.269932762</v>
      </c>
    </row>
    <row r="261" spans="13:15" ht="16.8" thickBot="1">
      <c r="M261" s="112" t="s">
        <v>164</v>
      </c>
      <c r="N261" s="180">
        <f>N196/250</f>
        <v>14000</v>
      </c>
      <c r="O261" s="162"/>
    </row>
  </sheetData>
  <phoneticPr fontId="2" type="noConversion"/>
  <conditionalFormatting sqref="J4:O61 C4:G61">
    <cfRule type="cellIs" dxfId="15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14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13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12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11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196"/>
  <sheetViews>
    <sheetView workbookViewId="0"/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169</v>
      </c>
      <c r="C1" s="1" t="s">
        <v>172</v>
      </c>
      <c r="D1" s="1" t="s">
        <v>170</v>
      </c>
      <c r="E1" s="1">
        <v>100</v>
      </c>
      <c r="F1" s="1"/>
      <c r="O1" s="1" t="s">
        <v>154</v>
      </c>
      <c r="W1" s="175"/>
    </row>
    <row r="2" spans="1:30" ht="16.8" thickBot="1">
      <c r="A2" s="142"/>
      <c r="B2" s="142"/>
      <c r="C2" s="142" t="s">
        <v>155</v>
      </c>
      <c r="D2" s="142"/>
      <c r="E2" s="142"/>
      <c r="F2" s="221"/>
      <c r="G2" s="142"/>
      <c r="H2" s="142"/>
      <c r="I2" s="142" t="s">
        <v>148</v>
      </c>
      <c r="J2" s="189">
        <v>3000</v>
      </c>
      <c r="K2" s="142"/>
      <c r="L2" s="142"/>
      <c r="M2" s="189">
        <f>10^9</f>
        <v>1000000000</v>
      </c>
      <c r="N2" s="142"/>
      <c r="O2" s="211">
        <f>SUM(_xlfn.ANCHORARRAY(O4))</f>
        <v>0.91999953740811868</v>
      </c>
      <c r="P2" s="211"/>
      <c r="Q2" s="177"/>
    </row>
    <row r="3" spans="1:30" ht="16.8" thickBot="1">
      <c r="A3" s="155" t="s">
        <v>145</v>
      </c>
      <c r="B3" s="156" t="s">
        <v>146</v>
      </c>
      <c r="C3" s="232" t="s">
        <v>156</v>
      </c>
      <c r="D3" s="233" t="s">
        <v>157</v>
      </c>
      <c r="E3" s="233" t="s">
        <v>158</v>
      </c>
      <c r="F3" s="233" t="s">
        <v>159</v>
      </c>
      <c r="G3" s="234" t="s">
        <v>160</v>
      </c>
      <c r="I3" s="125" t="s">
        <v>147</v>
      </c>
      <c r="J3" s="155" t="s">
        <v>161</v>
      </c>
      <c r="K3" s="163" t="s">
        <v>149</v>
      </c>
      <c r="L3" s="163" t="s">
        <v>151</v>
      </c>
      <c r="M3" s="163" t="s">
        <v>150</v>
      </c>
      <c r="N3" s="163" t="s">
        <v>152</v>
      </c>
      <c r="O3" s="125" t="s">
        <v>153</v>
      </c>
      <c r="P3" s="34"/>
      <c r="R3" s="212"/>
      <c r="W3" s="85"/>
      <c r="AD3" s="193"/>
    </row>
    <row r="4" spans="1:30" ht="15.6">
      <c r="A4" s="235">
        <v>-1</v>
      </c>
      <c r="B4" s="241">
        <v>0</v>
      </c>
      <c r="C4" s="155" cm="1">
        <f t="array" ref="C4:D61">'Multiplier Weight'!C4:D61</f>
        <v>79527545</v>
      </c>
      <c r="D4" s="163">
        <v>0</v>
      </c>
      <c r="E4" s="237">
        <f>IFERROR((D4/$E$1)/(C4),0)</f>
        <v>0</v>
      </c>
      <c r="F4" s="181" cm="1">
        <f t="array" ref="F4:F61">C4:C61/SUM(C4:C61)</f>
        <v>0.79527544999999999</v>
      </c>
      <c r="G4" s="182" cm="1">
        <f t="array" ref="G4:G61">E4:E61*_xlfn.ANCHORARRAY(F4)</f>
        <v>0</v>
      </c>
      <c r="H4" s="174" cm="1">
        <f t="array" ref="H4:H18">18*(K4:K18/SUM(K4:K18))</f>
        <v>2.0352553165824996</v>
      </c>
      <c r="I4" s="125" t="str">
        <f>"("&amp;$A4&amp;", "&amp;$B4&amp;"]"</f>
        <v>(-1, 0]</v>
      </c>
      <c r="J4" s="155" cm="1">
        <f t="array" ref="J4:J61">IFERROR(IF(1/_xlfn.ANCHORARRAY(F4)&lt;$J$2,1,0),0)</f>
        <v>1</v>
      </c>
      <c r="K4" s="250">
        <v>0.2454074</v>
      </c>
      <c r="L4" s="181" cm="1">
        <f t="array" ref="L4:L61">K4:K61*_xlfn.ANCHORARRAY(J4)*_xlfn.ANCHORARRAY(F4)</f>
        <v>0.19516648046832999</v>
      </c>
      <c r="M4" s="236" cm="1">
        <f t="array" ref="M4:M61">INT(_xlfn.ANCHORARRAY(L4)*$M$2)</f>
        <v>195166480</v>
      </c>
      <c r="N4" s="190" cm="1">
        <f t="array" ref="N4:N61">_xlfn.ANCHORARRAY(M4)/SUM(_xlfn.ANCHORARRAY(M4))</f>
        <v>0.89919408374632992</v>
      </c>
      <c r="O4" s="206" cm="1">
        <f t="array" ref="O4:O61">_xlfn.ANCHORARRAY(N4)*E4:E61</f>
        <v>0</v>
      </c>
      <c r="P4" s="194"/>
      <c r="Q4" s="194"/>
      <c r="R4" s="212"/>
      <c r="S4" s="178"/>
      <c r="T4" s="209"/>
      <c r="AD4" s="193"/>
    </row>
    <row r="5" spans="1:30" ht="15.6">
      <c r="A5" s="238">
        <v>0</v>
      </c>
      <c r="B5" s="242">
        <v>1</v>
      </c>
      <c r="C5" s="157">
        <v>1221030</v>
      </c>
      <c r="D5" s="30">
        <v>91661240</v>
      </c>
      <c r="E5" s="183">
        <f t="shared" ref="E5:E61" si="0">IFERROR((D5/$E$1)/(C5),0)</f>
        <v>0.75068786188709535</v>
      </c>
      <c r="F5" s="184">
        <v>1.22103E-2</v>
      </c>
      <c r="G5" s="185">
        <v>9.1661240000000012E-3</v>
      </c>
      <c r="H5" s="174">
        <v>0.8293373861515585</v>
      </c>
      <c r="I5" s="122" t="str">
        <f t="shared" ref="I5:I61" si="1">"("&amp;$A5&amp;", "&amp;$B5&amp;"]"</f>
        <v>(0, 1]</v>
      </c>
      <c r="J5" s="157">
        <v>1</v>
      </c>
      <c r="K5" s="230">
        <v>0.1</v>
      </c>
      <c r="L5" s="184">
        <v>1.2210300000000001E-3</v>
      </c>
      <c r="M5" s="229">
        <v>1221030</v>
      </c>
      <c r="N5" s="191">
        <v>5.6256737943768892E-3</v>
      </c>
      <c r="O5" s="207">
        <v>4.22312503237505E-3</v>
      </c>
      <c r="P5" s="194"/>
      <c r="Q5" s="194"/>
      <c r="S5" s="178"/>
      <c r="AD5" s="193"/>
    </row>
    <row r="6" spans="1:30" ht="15.6">
      <c r="A6" s="238">
        <v>1</v>
      </c>
      <c r="B6" s="242">
        <v>2</v>
      </c>
      <c r="C6" s="157">
        <v>1983581</v>
      </c>
      <c r="D6" s="30">
        <v>340592420</v>
      </c>
      <c r="E6" s="183">
        <f t="shared" si="0"/>
        <v>1.7170582900320179</v>
      </c>
      <c r="F6" s="184">
        <v>1.9835809999999999E-2</v>
      </c>
      <c r="G6" s="185">
        <v>3.4059241999999997E-2</v>
      </c>
      <c r="H6" s="174">
        <v>0.8293373861515585</v>
      </c>
      <c r="I6" s="210" t="str">
        <f t="shared" si="1"/>
        <v>(1, 2]</v>
      </c>
      <c r="J6" s="157">
        <v>1</v>
      </c>
      <c r="K6" s="230">
        <v>0.1</v>
      </c>
      <c r="L6" s="184">
        <v>1.9835809999999999E-3</v>
      </c>
      <c r="M6" s="229">
        <v>1983581</v>
      </c>
      <c r="N6" s="191">
        <v>9.1389889279738443E-3</v>
      </c>
      <c r="O6" s="207">
        <v>1.5692176701288314E-2</v>
      </c>
      <c r="P6" s="194"/>
      <c r="Q6" s="194"/>
      <c r="S6" s="178"/>
      <c r="AD6" s="193"/>
    </row>
    <row r="7" spans="1:30" ht="15.6">
      <c r="A7" s="238">
        <v>2</v>
      </c>
      <c r="B7" s="242">
        <v>3</v>
      </c>
      <c r="C7" s="157">
        <v>1400402</v>
      </c>
      <c r="D7" s="30">
        <v>385097500</v>
      </c>
      <c r="E7" s="183">
        <f t="shared" si="0"/>
        <v>2.7499068124724184</v>
      </c>
      <c r="F7" s="184">
        <v>1.4004020000000001E-2</v>
      </c>
      <c r="G7" s="185">
        <v>3.8509750000000002E-2</v>
      </c>
      <c r="H7" s="174">
        <v>0.8293373861515585</v>
      </c>
      <c r="I7" s="122" t="str">
        <f t="shared" si="1"/>
        <v>(2, 3]</v>
      </c>
      <c r="J7" s="157">
        <v>1</v>
      </c>
      <c r="K7" s="230">
        <v>0.1</v>
      </c>
      <c r="L7" s="184">
        <v>1.4004020000000002E-3</v>
      </c>
      <c r="M7" s="229">
        <v>1400402</v>
      </c>
      <c r="N7" s="191">
        <v>6.4520976822788822E-3</v>
      </c>
      <c r="O7" s="207">
        <v>1.7742667371236198E-2</v>
      </c>
      <c r="P7" s="194"/>
      <c r="Q7" s="194"/>
      <c r="S7" s="178"/>
      <c r="AD7" s="193"/>
    </row>
    <row r="8" spans="1:30" ht="15.6">
      <c r="A8" s="238">
        <v>3</v>
      </c>
      <c r="B8" s="242">
        <v>4</v>
      </c>
      <c r="C8" s="157">
        <v>1843384</v>
      </c>
      <c r="D8" s="30">
        <v>681736680</v>
      </c>
      <c r="E8" s="183">
        <f t="shared" si="0"/>
        <v>3.6982890162874367</v>
      </c>
      <c r="F8" s="184">
        <v>1.843384E-2</v>
      </c>
      <c r="G8" s="185">
        <v>6.8173668000000007E-2</v>
      </c>
      <c r="H8" s="174">
        <v>0.8293373861515585</v>
      </c>
      <c r="I8" s="122" t="str">
        <f t="shared" si="1"/>
        <v>(3, 4]</v>
      </c>
      <c r="J8" s="157">
        <v>1</v>
      </c>
      <c r="K8" s="230">
        <v>0.1</v>
      </c>
      <c r="L8" s="184">
        <v>1.843384E-3</v>
      </c>
      <c r="M8" s="229">
        <v>1843384</v>
      </c>
      <c r="N8" s="191">
        <v>8.4930567322454385E-3</v>
      </c>
      <c r="O8" s="207">
        <v>3.1409778427569375E-2</v>
      </c>
      <c r="P8" s="194"/>
      <c r="Q8" s="194"/>
      <c r="S8" s="178"/>
      <c r="AD8" s="193"/>
    </row>
    <row r="9" spans="1:30" ht="15.6">
      <c r="A9" s="238">
        <v>4</v>
      </c>
      <c r="B9" s="242">
        <v>5</v>
      </c>
      <c r="C9" s="157">
        <v>1261039</v>
      </c>
      <c r="D9" s="30">
        <v>605977340</v>
      </c>
      <c r="E9" s="183">
        <f t="shared" si="0"/>
        <v>4.8053814354671029</v>
      </c>
      <c r="F9" s="184">
        <v>1.2610390000000001E-2</v>
      </c>
      <c r="G9" s="185">
        <v>6.0597734000000007E-2</v>
      </c>
      <c r="H9" s="174">
        <v>0.8293373861515585</v>
      </c>
      <c r="I9" s="122" t="str">
        <f t="shared" si="1"/>
        <v>(4, 5]</v>
      </c>
      <c r="J9" s="157">
        <v>1</v>
      </c>
      <c r="K9" s="230">
        <v>0.1</v>
      </c>
      <c r="L9" s="184">
        <v>1.2610390000000003E-3</v>
      </c>
      <c r="M9" s="229">
        <v>1261039</v>
      </c>
      <c r="N9" s="191">
        <v>5.8100079899652242E-3</v>
      </c>
      <c r="O9" s="207">
        <v>2.7919304534894426E-2</v>
      </c>
      <c r="P9" s="194"/>
      <c r="Q9" s="194"/>
      <c r="S9" s="178"/>
      <c r="AD9" s="193"/>
    </row>
    <row r="10" spans="1:30" ht="15.6">
      <c r="A10" s="238">
        <v>5</v>
      </c>
      <c r="B10" s="242">
        <v>6</v>
      </c>
      <c r="C10" s="157">
        <v>1254493</v>
      </c>
      <c r="D10" s="30">
        <v>746676720</v>
      </c>
      <c r="E10" s="183">
        <f t="shared" si="0"/>
        <v>5.9520198199591388</v>
      </c>
      <c r="F10" s="184">
        <v>1.2544929999999999E-2</v>
      </c>
      <c r="G10" s="185">
        <v>7.466767199999999E-2</v>
      </c>
      <c r="H10" s="174">
        <v>0.8293373861515585</v>
      </c>
      <c r="I10" s="122" t="str">
        <f t="shared" si="1"/>
        <v>(5, 6]</v>
      </c>
      <c r="J10" s="157">
        <v>1</v>
      </c>
      <c r="K10" s="230">
        <v>0.1</v>
      </c>
      <c r="L10" s="184">
        <v>1.254493E-3</v>
      </c>
      <c r="M10" s="229">
        <v>1254493</v>
      </c>
      <c r="N10" s="191">
        <v>5.7798484847458673E-3</v>
      </c>
      <c r="O10" s="207">
        <v>3.4401772737568198E-2</v>
      </c>
      <c r="P10" s="194"/>
      <c r="Q10" s="194"/>
      <c r="S10" s="178"/>
      <c r="AD10" s="193"/>
    </row>
    <row r="11" spans="1:30" ht="15.6">
      <c r="A11" s="238">
        <v>6</v>
      </c>
      <c r="B11" s="242">
        <v>7</v>
      </c>
      <c r="C11" s="157">
        <v>316037</v>
      </c>
      <c r="D11" s="30">
        <v>206311540</v>
      </c>
      <c r="E11" s="183">
        <f t="shared" si="0"/>
        <v>6.528081838518907</v>
      </c>
      <c r="F11" s="184">
        <v>3.16037E-3</v>
      </c>
      <c r="G11" s="185">
        <v>2.0631153999999999E-2</v>
      </c>
      <c r="H11" s="174">
        <v>0.8293373861515585</v>
      </c>
      <c r="I11" s="122" t="str">
        <f t="shared" si="1"/>
        <v>(6, 7]</v>
      </c>
      <c r="J11" s="157">
        <v>1</v>
      </c>
      <c r="K11" s="230">
        <v>0.1</v>
      </c>
      <c r="L11" s="184">
        <v>3.1603700000000002E-4</v>
      </c>
      <c r="M11" s="229">
        <v>316037</v>
      </c>
      <c r="N11" s="191">
        <v>1.4560830355957583E-3</v>
      </c>
      <c r="O11" s="207">
        <v>9.5054292200481491E-3</v>
      </c>
      <c r="P11" s="194"/>
      <c r="Q11" s="194"/>
      <c r="S11" s="178"/>
      <c r="AD11" s="193"/>
    </row>
    <row r="12" spans="1:30" ht="15.6">
      <c r="A12" s="238">
        <v>7</v>
      </c>
      <c r="B12" s="242">
        <v>8</v>
      </c>
      <c r="C12" s="157">
        <v>1316405</v>
      </c>
      <c r="D12" s="30">
        <v>1015442580</v>
      </c>
      <c r="E12" s="183">
        <f t="shared" si="0"/>
        <v>7.7137551133579718</v>
      </c>
      <c r="F12" s="184">
        <v>1.316405E-2</v>
      </c>
      <c r="G12" s="185">
        <v>0.10154425800000001</v>
      </c>
      <c r="H12" s="174">
        <v>2.0733434653788958</v>
      </c>
      <c r="I12" s="210" t="str">
        <f t="shared" si="1"/>
        <v>(7, 8]</v>
      </c>
      <c r="J12" s="157">
        <v>1</v>
      </c>
      <c r="K12" s="230">
        <v>0.25</v>
      </c>
      <c r="L12" s="184">
        <v>3.2910125E-3</v>
      </c>
      <c r="M12" s="229">
        <v>3291012</v>
      </c>
      <c r="N12" s="191">
        <v>1.5162739625873134E-2</v>
      </c>
      <c r="O12" s="207">
        <v>0.11696166032159443</v>
      </c>
      <c r="P12" s="194"/>
      <c r="Q12" s="194"/>
      <c r="S12" s="178"/>
      <c r="AD12" s="193"/>
    </row>
    <row r="13" spans="1:30" ht="15.6">
      <c r="A13" s="238">
        <v>8</v>
      </c>
      <c r="B13" s="242">
        <v>9</v>
      </c>
      <c r="C13" s="157">
        <v>574169</v>
      </c>
      <c r="D13" s="30">
        <v>512208280</v>
      </c>
      <c r="E13" s="183">
        <f t="shared" si="0"/>
        <v>8.9208626728367424</v>
      </c>
      <c r="F13" s="184">
        <v>5.7416899999999998E-3</v>
      </c>
      <c r="G13" s="185">
        <v>5.1220827999999996E-2</v>
      </c>
      <c r="H13" s="174">
        <v>1.0366717326894479</v>
      </c>
      <c r="I13" s="122" t="str">
        <f t="shared" si="1"/>
        <v>(8, 9]</v>
      </c>
      <c r="J13" s="157">
        <v>1</v>
      </c>
      <c r="K13" s="230">
        <v>0.125</v>
      </c>
      <c r="L13" s="184">
        <v>7.1771124999999998E-4</v>
      </c>
      <c r="M13" s="229">
        <v>717711</v>
      </c>
      <c r="N13" s="191">
        <v>3.3067229835761869E-3</v>
      </c>
      <c r="O13" s="207">
        <v>2.9498821633596149E-2</v>
      </c>
      <c r="P13" s="194"/>
      <c r="Q13" s="194"/>
      <c r="S13" s="178"/>
      <c r="AD13" s="193"/>
    </row>
    <row r="14" spans="1:30" ht="15.6">
      <c r="A14" s="238">
        <v>9</v>
      </c>
      <c r="B14" s="242">
        <v>10</v>
      </c>
      <c r="C14" s="157">
        <v>713840</v>
      </c>
      <c r="D14" s="30">
        <v>696013360</v>
      </c>
      <c r="E14" s="183">
        <f t="shared" si="0"/>
        <v>9.7502712092345618</v>
      </c>
      <c r="F14" s="184">
        <v>7.1383999999999996E-3</v>
      </c>
      <c r="G14" s="185">
        <v>6.9601335999999986E-2</v>
      </c>
      <c r="H14" s="174">
        <v>1.0366717326894479</v>
      </c>
      <c r="I14" s="122" t="str">
        <f t="shared" si="1"/>
        <v>(9, 10]</v>
      </c>
      <c r="J14" s="157">
        <v>1</v>
      </c>
      <c r="K14" s="230">
        <v>0.125</v>
      </c>
      <c r="L14" s="184">
        <v>8.9229999999999995E-4</v>
      </c>
      <c r="M14" s="229">
        <v>892300</v>
      </c>
      <c r="N14" s="191">
        <v>4.1111100683214157E-3</v>
      </c>
      <c r="O14" s="207">
        <v>4.0084438137148633E-2</v>
      </c>
      <c r="P14" s="194"/>
      <c r="Q14" s="194"/>
      <c r="S14" s="178"/>
    </row>
    <row r="15" spans="1:30" ht="15.6">
      <c r="A15" s="238">
        <v>10</v>
      </c>
      <c r="B15" s="242">
        <v>15</v>
      </c>
      <c r="C15" s="157">
        <v>1791031</v>
      </c>
      <c r="D15" s="30">
        <v>2280142320</v>
      </c>
      <c r="E15" s="183">
        <f t="shared" si="0"/>
        <v>12.730892541781801</v>
      </c>
      <c r="F15" s="184">
        <v>1.7910309999999999E-2</v>
      </c>
      <c r="G15" s="185">
        <v>0.22801423199999998</v>
      </c>
      <c r="H15" s="174">
        <v>2.0733434653788958</v>
      </c>
      <c r="I15" s="210" t="str">
        <f t="shared" si="1"/>
        <v>(10, 15]</v>
      </c>
      <c r="J15" s="157">
        <v>1</v>
      </c>
      <c r="K15" s="230">
        <v>0.25</v>
      </c>
      <c r="L15" s="184">
        <v>4.4775774999999997E-3</v>
      </c>
      <c r="M15" s="229">
        <v>4477577</v>
      </c>
      <c r="N15" s="191">
        <v>2.0629622197001454E-2</v>
      </c>
      <c r="O15" s="207">
        <v>0.26263350336758207</v>
      </c>
      <c r="P15" s="194"/>
      <c r="Q15" s="194"/>
      <c r="S15" s="178"/>
    </row>
    <row r="16" spans="1:30" ht="15.6">
      <c r="A16" s="238">
        <v>15</v>
      </c>
      <c r="B16" s="242">
        <v>20</v>
      </c>
      <c r="C16" s="157">
        <v>1124732</v>
      </c>
      <c r="D16" s="30">
        <v>2007398080</v>
      </c>
      <c r="E16" s="183">
        <f t="shared" si="0"/>
        <v>17.847790229139029</v>
      </c>
      <c r="F16" s="184">
        <v>1.124732E-2</v>
      </c>
      <c r="G16" s="185">
        <v>0.20073980799999999</v>
      </c>
      <c r="H16" s="174">
        <v>0.8293373861515585</v>
      </c>
      <c r="I16" s="122" t="str">
        <f t="shared" si="1"/>
        <v>(15, 20]</v>
      </c>
      <c r="J16" s="157">
        <v>1</v>
      </c>
      <c r="K16" s="230">
        <v>0.1</v>
      </c>
      <c r="L16" s="184">
        <v>1.124732E-3</v>
      </c>
      <c r="M16" s="229">
        <v>1124732</v>
      </c>
      <c r="N16" s="191">
        <v>5.1819982622024908E-3</v>
      </c>
      <c r="O16" s="207">
        <v>9.2487217951553041E-2</v>
      </c>
      <c r="P16" s="194"/>
      <c r="Q16" s="194"/>
      <c r="S16" s="178"/>
    </row>
    <row r="17" spans="1:19" ht="15.6">
      <c r="A17" s="238">
        <v>20</v>
      </c>
      <c r="B17" s="242">
        <v>25</v>
      </c>
      <c r="C17" s="157">
        <v>621987</v>
      </c>
      <c r="D17" s="30">
        <v>1445763680</v>
      </c>
      <c r="E17" s="183">
        <f t="shared" si="0"/>
        <v>23.244274880343159</v>
      </c>
      <c r="F17" s="184">
        <v>6.2198699999999997E-3</v>
      </c>
      <c r="G17" s="185">
        <v>0.14457636800000001</v>
      </c>
      <c r="H17" s="174">
        <v>2.0733434653788958</v>
      </c>
      <c r="I17" s="122" t="str">
        <f t="shared" si="1"/>
        <v>(20, 25]</v>
      </c>
      <c r="J17" s="157">
        <v>1</v>
      </c>
      <c r="K17" s="230">
        <v>0.25</v>
      </c>
      <c r="L17" s="184">
        <v>1.5549674999999999E-3</v>
      </c>
      <c r="M17" s="229">
        <v>1554967</v>
      </c>
      <c r="N17" s="191">
        <v>7.1642278265242028E-3</v>
      </c>
      <c r="O17" s="207">
        <v>0.166527280905132</v>
      </c>
      <c r="P17" s="194"/>
      <c r="Q17" s="194"/>
      <c r="S17" s="178"/>
    </row>
    <row r="18" spans="1:19" ht="15.6">
      <c r="A18" s="238">
        <v>25</v>
      </c>
      <c r="B18" s="242">
        <v>30</v>
      </c>
      <c r="C18" s="157">
        <v>433005</v>
      </c>
      <c r="D18" s="30">
        <v>1231300120</v>
      </c>
      <c r="E18" s="183">
        <f t="shared" si="0"/>
        <v>28.436164016581792</v>
      </c>
      <c r="F18" s="184">
        <v>4.3300500000000002E-3</v>
      </c>
      <c r="G18" s="185">
        <v>0.123130012</v>
      </c>
      <c r="H18" s="174">
        <v>1.0366717326894479</v>
      </c>
      <c r="I18" s="122" t="str">
        <f t="shared" si="1"/>
        <v>(25, 30]</v>
      </c>
      <c r="J18" s="157">
        <v>1</v>
      </c>
      <c r="K18" s="230">
        <v>0.125</v>
      </c>
      <c r="L18" s="184">
        <v>5.4125625000000003E-4</v>
      </c>
      <c r="M18" s="229">
        <v>541256</v>
      </c>
      <c r="N18" s="191">
        <v>2.4937386429893264E-3</v>
      </c>
      <c r="O18" s="207">
        <v>7.0912361066532592E-2</v>
      </c>
      <c r="P18" s="194"/>
      <c r="Q18" s="194"/>
      <c r="S18" s="178"/>
    </row>
    <row r="19" spans="1:19" ht="15.6">
      <c r="A19" s="238">
        <v>30</v>
      </c>
      <c r="B19" s="242">
        <v>35</v>
      </c>
      <c r="C19" s="157">
        <v>214207</v>
      </c>
      <c r="D19" s="30">
        <v>697834840</v>
      </c>
      <c r="E19" s="183">
        <f t="shared" si="0"/>
        <v>32.577592702386013</v>
      </c>
      <c r="F19" s="184">
        <v>2.1420699999999998E-3</v>
      </c>
      <c r="G19" s="185">
        <v>6.9783484000000007E-2</v>
      </c>
      <c r="H19" s="174"/>
      <c r="I19" s="122" t="str">
        <f t="shared" si="1"/>
        <v>(30, 35]</v>
      </c>
      <c r="J19" s="157">
        <v>1</v>
      </c>
      <c r="K19" s="230">
        <v>0</v>
      </c>
      <c r="L19" s="184">
        <v>0</v>
      </c>
      <c r="M19" s="229">
        <v>0</v>
      </c>
      <c r="N19" s="191">
        <v>0</v>
      </c>
      <c r="O19" s="207">
        <v>0</v>
      </c>
      <c r="P19" s="194"/>
      <c r="Q19" s="194"/>
      <c r="S19" s="178"/>
    </row>
    <row r="20" spans="1:19" ht="15.6">
      <c r="A20" s="238">
        <v>35</v>
      </c>
      <c r="B20" s="242">
        <v>40</v>
      </c>
      <c r="C20" s="157">
        <v>376411</v>
      </c>
      <c r="D20" s="30">
        <v>1440717120</v>
      </c>
      <c r="E20" s="183">
        <f t="shared" si="0"/>
        <v>38.275106731737381</v>
      </c>
      <c r="F20" s="184">
        <v>3.7641100000000002E-3</v>
      </c>
      <c r="G20" s="185">
        <v>0.14407171199999999</v>
      </c>
      <c r="H20" s="174"/>
      <c r="I20" s="210" t="str">
        <f t="shared" si="1"/>
        <v>(35, 40]</v>
      </c>
      <c r="J20" s="157">
        <v>1</v>
      </c>
      <c r="K20" s="230">
        <v>0</v>
      </c>
      <c r="L20" s="184">
        <v>0</v>
      </c>
      <c r="M20" s="229">
        <v>0</v>
      </c>
      <c r="N20" s="191">
        <v>0</v>
      </c>
      <c r="O20" s="207">
        <v>0</v>
      </c>
      <c r="P20" s="194"/>
      <c r="Q20" s="194"/>
      <c r="S20" s="178"/>
    </row>
    <row r="21" spans="1:19" ht="15.6">
      <c r="A21" s="238">
        <v>40</v>
      </c>
      <c r="B21" s="242">
        <v>45</v>
      </c>
      <c r="C21" s="157">
        <v>165201</v>
      </c>
      <c r="D21" s="30">
        <v>718988620</v>
      </c>
      <c r="E21" s="183">
        <f t="shared" si="0"/>
        <v>43.52205010865552</v>
      </c>
      <c r="F21" s="184">
        <v>1.65201E-3</v>
      </c>
      <c r="G21" s="185">
        <v>7.1898862000000008E-2</v>
      </c>
      <c r="H21" s="174"/>
      <c r="I21" s="122" t="str">
        <f t="shared" si="1"/>
        <v>(40, 45]</v>
      </c>
      <c r="J21" s="157">
        <v>1</v>
      </c>
      <c r="K21" s="230">
        <v>0</v>
      </c>
      <c r="L21" s="184">
        <v>0</v>
      </c>
      <c r="M21" s="229">
        <v>0</v>
      </c>
      <c r="N21" s="191">
        <v>0</v>
      </c>
      <c r="O21" s="207">
        <v>0</v>
      </c>
      <c r="P21" s="194"/>
      <c r="Q21" s="194"/>
      <c r="S21" s="178"/>
    </row>
    <row r="22" spans="1:19" ht="15.6">
      <c r="A22" s="238">
        <v>45</v>
      </c>
      <c r="B22" s="242">
        <v>50</v>
      </c>
      <c r="C22" s="157">
        <v>203218</v>
      </c>
      <c r="D22" s="30">
        <v>977981300</v>
      </c>
      <c r="E22" s="183">
        <f t="shared" si="0"/>
        <v>48.124737966125046</v>
      </c>
      <c r="F22" s="184">
        <v>2.0321800000000002E-3</v>
      </c>
      <c r="G22" s="185">
        <v>9.7798130000000011E-2</v>
      </c>
      <c r="H22" s="174"/>
      <c r="I22" s="122" t="str">
        <f t="shared" si="1"/>
        <v>(45, 50]</v>
      </c>
      <c r="J22" s="157">
        <v>1</v>
      </c>
      <c r="K22" s="230">
        <v>0</v>
      </c>
      <c r="L22" s="184">
        <v>0</v>
      </c>
      <c r="M22" s="229">
        <v>0</v>
      </c>
      <c r="N22" s="191">
        <v>0</v>
      </c>
      <c r="O22" s="207">
        <v>0</v>
      </c>
      <c r="P22" s="194"/>
      <c r="Q22" s="194"/>
      <c r="S22" s="178"/>
    </row>
    <row r="23" spans="1:19" ht="15.6">
      <c r="A23" s="238">
        <v>50</v>
      </c>
      <c r="B23" s="242">
        <v>60</v>
      </c>
      <c r="C23" s="157">
        <v>324269</v>
      </c>
      <c r="D23" s="30">
        <v>1840796800</v>
      </c>
      <c r="E23" s="183">
        <f t="shared" si="0"/>
        <v>56.767584937197206</v>
      </c>
      <c r="F23" s="184">
        <v>3.2426899999999999E-3</v>
      </c>
      <c r="G23" s="185">
        <v>0.18407968</v>
      </c>
      <c r="H23" s="174"/>
      <c r="I23" s="210" t="str">
        <f t="shared" si="1"/>
        <v>(50, 60]</v>
      </c>
      <c r="J23" s="157">
        <v>1</v>
      </c>
      <c r="K23" s="230">
        <v>0</v>
      </c>
      <c r="L23" s="184">
        <v>0</v>
      </c>
      <c r="M23" s="229">
        <v>0</v>
      </c>
      <c r="N23" s="191">
        <v>0</v>
      </c>
      <c r="O23" s="207">
        <v>0</v>
      </c>
      <c r="P23" s="194"/>
      <c r="Q23" s="194"/>
      <c r="S23" s="178"/>
    </row>
    <row r="24" spans="1:19" ht="15.6">
      <c r="A24" s="238">
        <v>60</v>
      </c>
      <c r="B24" s="242">
        <v>70</v>
      </c>
      <c r="C24" s="157">
        <v>197124</v>
      </c>
      <c r="D24" s="30">
        <v>1291443040</v>
      </c>
      <c r="E24" s="183">
        <f t="shared" si="0"/>
        <v>65.514246869990458</v>
      </c>
      <c r="F24" s="184">
        <v>1.97124E-3</v>
      </c>
      <c r="G24" s="185">
        <v>0.12914430399999999</v>
      </c>
      <c r="H24" s="174"/>
      <c r="I24" s="122" t="str">
        <f t="shared" si="1"/>
        <v>(60, 70]</v>
      </c>
      <c r="J24" s="157">
        <v>1</v>
      </c>
      <c r="K24" s="230">
        <v>0</v>
      </c>
      <c r="L24" s="184">
        <v>0</v>
      </c>
      <c r="M24" s="229">
        <v>0</v>
      </c>
      <c r="N24" s="191">
        <v>0</v>
      </c>
      <c r="O24" s="207">
        <v>0</v>
      </c>
      <c r="P24" s="194"/>
      <c r="Q24" s="194"/>
      <c r="S24" s="178"/>
    </row>
    <row r="25" spans="1:19" ht="15.6">
      <c r="A25" s="238">
        <v>70</v>
      </c>
      <c r="B25" s="242">
        <v>80</v>
      </c>
      <c r="C25" s="157">
        <v>255967</v>
      </c>
      <c r="D25" s="30">
        <v>1949434600</v>
      </c>
      <c r="E25" s="183">
        <f t="shared" si="0"/>
        <v>76.159606511776914</v>
      </c>
      <c r="F25" s="184">
        <v>2.55967E-3</v>
      </c>
      <c r="G25" s="185">
        <v>0.19494346000000001</v>
      </c>
      <c r="H25" s="174"/>
      <c r="I25" s="210" t="str">
        <f t="shared" si="1"/>
        <v>(70, 80]</v>
      </c>
      <c r="J25" s="157">
        <v>1</v>
      </c>
      <c r="K25" s="230">
        <v>0</v>
      </c>
      <c r="L25" s="184">
        <v>0</v>
      </c>
      <c r="M25" s="229">
        <v>0</v>
      </c>
      <c r="N25" s="191">
        <v>0</v>
      </c>
      <c r="O25" s="207">
        <v>0</v>
      </c>
      <c r="P25" s="194"/>
      <c r="Q25" s="194"/>
      <c r="S25" s="178"/>
    </row>
    <row r="26" spans="1:19" ht="15.6">
      <c r="A26" s="238">
        <v>80</v>
      </c>
      <c r="B26" s="242">
        <v>90</v>
      </c>
      <c r="C26" s="157">
        <v>168742</v>
      </c>
      <c r="D26" s="30">
        <v>1456119240</v>
      </c>
      <c r="E26" s="183">
        <f t="shared" si="0"/>
        <v>86.292638465823572</v>
      </c>
      <c r="F26" s="184">
        <v>1.68742E-3</v>
      </c>
      <c r="G26" s="185">
        <v>0.145611924</v>
      </c>
      <c r="H26" s="174"/>
      <c r="I26" s="122" t="str">
        <f t="shared" si="1"/>
        <v>(80, 90]</v>
      </c>
      <c r="J26" s="157">
        <v>1</v>
      </c>
      <c r="K26" s="230">
        <v>0</v>
      </c>
      <c r="L26" s="184">
        <v>0</v>
      </c>
      <c r="M26" s="229">
        <v>0</v>
      </c>
      <c r="N26" s="191">
        <v>0</v>
      </c>
      <c r="O26" s="207">
        <v>0</v>
      </c>
      <c r="P26" s="194"/>
      <c r="Q26" s="194"/>
      <c r="S26" s="178"/>
    </row>
    <row r="27" spans="1:19" ht="15.6">
      <c r="A27" s="238">
        <v>90</v>
      </c>
      <c r="B27" s="242">
        <v>100</v>
      </c>
      <c r="C27" s="157">
        <v>167385</v>
      </c>
      <c r="D27" s="30">
        <v>1609603760</v>
      </c>
      <c r="E27" s="183">
        <f t="shared" si="0"/>
        <v>96.161768378289565</v>
      </c>
      <c r="F27" s="184">
        <v>1.6738499999999999E-3</v>
      </c>
      <c r="G27" s="185">
        <v>0.16096037599999999</v>
      </c>
      <c r="H27" s="174"/>
      <c r="I27" s="122" t="str">
        <f t="shared" si="1"/>
        <v>(90, 100]</v>
      </c>
      <c r="J27" s="157">
        <v>1</v>
      </c>
      <c r="K27" s="230">
        <v>0</v>
      </c>
      <c r="L27" s="184">
        <v>0</v>
      </c>
      <c r="M27" s="229">
        <v>0</v>
      </c>
      <c r="N27" s="191">
        <v>0</v>
      </c>
      <c r="O27" s="207">
        <v>0</v>
      </c>
      <c r="P27" s="194"/>
      <c r="Q27" s="194"/>
      <c r="S27" s="178"/>
    </row>
    <row r="28" spans="1:19" ht="15.6">
      <c r="A28" s="238">
        <v>100</v>
      </c>
      <c r="B28" s="242">
        <v>120</v>
      </c>
      <c r="C28" s="157">
        <v>285202</v>
      </c>
      <c r="D28" s="30">
        <v>3187137680</v>
      </c>
      <c r="E28" s="183">
        <f t="shared" si="0"/>
        <v>111.75018688508496</v>
      </c>
      <c r="F28" s="184">
        <v>2.8520199999999998E-3</v>
      </c>
      <c r="G28" s="185">
        <v>0.31871376799999995</v>
      </c>
      <c r="H28" s="174"/>
      <c r="I28" s="122" t="str">
        <f t="shared" si="1"/>
        <v>(100, 120]</v>
      </c>
      <c r="J28" s="157">
        <v>1</v>
      </c>
      <c r="K28" s="230">
        <v>0</v>
      </c>
      <c r="L28" s="184">
        <v>0</v>
      </c>
      <c r="M28" s="229">
        <v>0</v>
      </c>
      <c r="N28" s="191">
        <v>0</v>
      </c>
      <c r="O28" s="207">
        <v>0</v>
      </c>
      <c r="P28" s="194"/>
      <c r="Q28" s="194"/>
      <c r="S28" s="178"/>
    </row>
    <row r="29" spans="1:19" ht="15.6">
      <c r="A29" s="238">
        <v>120</v>
      </c>
      <c r="B29" s="242">
        <v>140</v>
      </c>
      <c r="C29" s="157">
        <v>196747</v>
      </c>
      <c r="D29" s="30">
        <v>2577020240</v>
      </c>
      <c r="E29" s="183">
        <f t="shared" si="0"/>
        <v>130.98142487560165</v>
      </c>
      <c r="F29" s="184">
        <v>1.9674699999999998E-3</v>
      </c>
      <c r="G29" s="185">
        <v>0.25770202399999997</v>
      </c>
      <c r="H29" s="174"/>
      <c r="I29" s="122" t="str">
        <f t="shared" si="1"/>
        <v>(120, 140]</v>
      </c>
      <c r="J29" s="157">
        <v>1</v>
      </c>
      <c r="K29" s="230">
        <v>0</v>
      </c>
      <c r="L29" s="184">
        <v>0</v>
      </c>
      <c r="M29" s="229">
        <v>0</v>
      </c>
      <c r="N29" s="191">
        <v>0</v>
      </c>
      <c r="O29" s="207">
        <v>0</v>
      </c>
      <c r="P29" s="194"/>
      <c r="Q29" s="194"/>
      <c r="S29" s="178"/>
    </row>
    <row r="30" spans="1:19" ht="15.6">
      <c r="A30" s="238">
        <v>140</v>
      </c>
      <c r="B30" s="242">
        <v>160</v>
      </c>
      <c r="C30" s="157">
        <v>185544</v>
      </c>
      <c r="D30" s="30">
        <v>2804385800</v>
      </c>
      <c r="E30" s="183">
        <f t="shared" si="0"/>
        <v>151.14397663088002</v>
      </c>
      <c r="F30" s="184">
        <v>1.8554400000000001E-3</v>
      </c>
      <c r="G30" s="185">
        <v>0.28043858000000005</v>
      </c>
      <c r="H30" s="174"/>
      <c r="I30" s="122" t="str">
        <f t="shared" si="1"/>
        <v>(140, 160]</v>
      </c>
      <c r="J30" s="157">
        <v>1</v>
      </c>
      <c r="K30" s="230">
        <v>0</v>
      </c>
      <c r="L30" s="184">
        <v>0</v>
      </c>
      <c r="M30" s="229">
        <v>0</v>
      </c>
      <c r="N30" s="191">
        <v>0</v>
      </c>
      <c r="O30" s="207">
        <v>0</v>
      </c>
      <c r="P30" s="194"/>
      <c r="Q30" s="194"/>
      <c r="S30" s="178"/>
    </row>
    <row r="31" spans="1:19" ht="15.6">
      <c r="A31" s="238">
        <v>160</v>
      </c>
      <c r="B31" s="242">
        <v>180</v>
      </c>
      <c r="C31" s="157">
        <v>142149</v>
      </c>
      <c r="D31" s="30">
        <v>2437933280</v>
      </c>
      <c r="E31" s="183">
        <f t="shared" si="0"/>
        <v>171.50548227564036</v>
      </c>
      <c r="F31" s="184">
        <v>1.4214900000000001E-3</v>
      </c>
      <c r="G31" s="185">
        <v>0.24379332800000003</v>
      </c>
      <c r="H31" s="174"/>
      <c r="I31" s="122" t="str">
        <f t="shared" si="1"/>
        <v>(160, 180]</v>
      </c>
      <c r="J31" s="157">
        <v>1</v>
      </c>
      <c r="K31" s="230">
        <v>0</v>
      </c>
      <c r="L31" s="184">
        <v>0</v>
      </c>
      <c r="M31" s="229">
        <v>0</v>
      </c>
      <c r="N31" s="191">
        <v>0</v>
      </c>
      <c r="O31" s="207">
        <v>0</v>
      </c>
      <c r="P31" s="194"/>
      <c r="Q31" s="194"/>
      <c r="S31" s="178"/>
    </row>
    <row r="32" spans="1:19" ht="15.6">
      <c r="A32" s="238">
        <v>180</v>
      </c>
      <c r="B32" s="242">
        <v>200</v>
      </c>
      <c r="C32" s="157">
        <v>129447</v>
      </c>
      <c r="D32" s="30">
        <v>2486430640</v>
      </c>
      <c r="E32" s="183">
        <f t="shared" si="0"/>
        <v>192.08097831544956</v>
      </c>
      <c r="F32" s="184">
        <v>1.29447E-3</v>
      </c>
      <c r="G32" s="185">
        <v>0.248643064</v>
      </c>
      <c r="H32" s="174"/>
      <c r="I32" s="122" t="str">
        <f t="shared" si="1"/>
        <v>(180, 200]</v>
      </c>
      <c r="J32" s="157">
        <v>1</v>
      </c>
      <c r="K32" s="230">
        <v>0</v>
      </c>
      <c r="L32" s="184">
        <v>0</v>
      </c>
      <c r="M32" s="229">
        <v>0</v>
      </c>
      <c r="N32" s="191">
        <v>0</v>
      </c>
      <c r="O32" s="207">
        <v>0</v>
      </c>
      <c r="P32" s="194"/>
      <c r="Q32" s="194"/>
      <c r="S32" s="178"/>
    </row>
    <row r="33" spans="1:19" ht="15.6">
      <c r="A33" s="238">
        <v>200</v>
      </c>
      <c r="B33" s="242">
        <v>250</v>
      </c>
      <c r="C33" s="157">
        <v>250612</v>
      </c>
      <c r="D33" s="30">
        <v>5619770140</v>
      </c>
      <c r="E33" s="183">
        <f t="shared" si="0"/>
        <v>224.24186152299171</v>
      </c>
      <c r="F33" s="184">
        <v>2.5061200000000001E-3</v>
      </c>
      <c r="G33" s="185">
        <v>0.561977014</v>
      </c>
      <c r="H33" s="174"/>
      <c r="I33" s="122" t="str">
        <f t="shared" si="1"/>
        <v>(200, 250]</v>
      </c>
      <c r="J33" s="157">
        <v>1</v>
      </c>
      <c r="K33" s="230">
        <v>0</v>
      </c>
      <c r="L33" s="184">
        <v>0</v>
      </c>
      <c r="M33" s="229">
        <v>0</v>
      </c>
      <c r="N33" s="191">
        <v>0</v>
      </c>
      <c r="O33" s="207">
        <v>0</v>
      </c>
      <c r="P33" s="194"/>
      <c r="Q33" s="194"/>
      <c r="S33" s="178"/>
    </row>
    <row r="34" spans="1:19" ht="15.6">
      <c r="A34" s="238">
        <v>250</v>
      </c>
      <c r="B34" s="242">
        <v>300</v>
      </c>
      <c r="C34" s="157">
        <v>173868</v>
      </c>
      <c r="D34" s="30">
        <v>4785735260</v>
      </c>
      <c r="E34" s="183">
        <f t="shared" si="0"/>
        <v>275.25106747647641</v>
      </c>
      <c r="F34" s="184">
        <v>1.73868E-3</v>
      </c>
      <c r="G34" s="185">
        <v>0.47857352600000003</v>
      </c>
      <c r="H34" s="174"/>
      <c r="I34" s="122" t="str">
        <f t="shared" si="1"/>
        <v>(250, 300]</v>
      </c>
      <c r="J34" s="157">
        <v>1</v>
      </c>
      <c r="K34" s="230">
        <v>0</v>
      </c>
      <c r="L34" s="184">
        <v>0</v>
      </c>
      <c r="M34" s="229">
        <v>0</v>
      </c>
      <c r="N34" s="191">
        <v>0</v>
      </c>
      <c r="O34" s="207">
        <v>0</v>
      </c>
      <c r="P34" s="194"/>
      <c r="Q34" s="194"/>
      <c r="S34" s="178"/>
    </row>
    <row r="35" spans="1:19" ht="15.6">
      <c r="A35" s="238">
        <v>300</v>
      </c>
      <c r="B35" s="242">
        <v>350</v>
      </c>
      <c r="C35" s="157">
        <v>120231</v>
      </c>
      <c r="D35" s="30">
        <v>3902840620</v>
      </c>
      <c r="E35" s="183">
        <f t="shared" si="0"/>
        <v>324.61184054029331</v>
      </c>
      <c r="F35" s="184">
        <v>1.2023100000000001E-3</v>
      </c>
      <c r="G35" s="185">
        <v>0.3902840620000001</v>
      </c>
      <c r="H35" s="174"/>
      <c r="I35" s="122" t="str">
        <f t="shared" si="1"/>
        <v>(300, 350]</v>
      </c>
      <c r="J35" s="157">
        <v>1</v>
      </c>
      <c r="K35" s="230">
        <v>0</v>
      </c>
      <c r="L35" s="184">
        <v>0</v>
      </c>
      <c r="M35" s="229">
        <v>0</v>
      </c>
      <c r="N35" s="191">
        <v>0</v>
      </c>
      <c r="O35" s="207">
        <v>0</v>
      </c>
      <c r="P35" s="194"/>
      <c r="Q35" s="194"/>
      <c r="S35" s="178"/>
    </row>
    <row r="36" spans="1:19" ht="15.6">
      <c r="A36" s="238">
        <v>350</v>
      </c>
      <c r="B36" s="242">
        <v>400</v>
      </c>
      <c r="C36" s="157">
        <v>101299</v>
      </c>
      <c r="D36" s="30">
        <v>3810751320</v>
      </c>
      <c r="E36" s="183">
        <f t="shared" si="0"/>
        <v>376.18844411099815</v>
      </c>
      <c r="F36" s="184">
        <v>1.0129900000000001E-3</v>
      </c>
      <c r="G36" s="185">
        <v>0.38107513200000004</v>
      </c>
      <c r="H36" s="174"/>
      <c r="I36" s="122" t="str">
        <f t="shared" si="1"/>
        <v>(350, 400]</v>
      </c>
      <c r="J36" s="157">
        <v>1</v>
      </c>
      <c r="K36" s="230">
        <v>0</v>
      </c>
      <c r="L36" s="184">
        <v>0</v>
      </c>
      <c r="M36" s="229">
        <v>0</v>
      </c>
      <c r="N36" s="191">
        <v>0</v>
      </c>
      <c r="O36" s="207">
        <v>0</v>
      </c>
      <c r="P36" s="194"/>
      <c r="Q36" s="194"/>
      <c r="S36" s="178"/>
    </row>
    <row r="37" spans="1:19" ht="15.6">
      <c r="A37" s="238">
        <v>400</v>
      </c>
      <c r="B37" s="242">
        <v>450</v>
      </c>
      <c r="C37" s="157">
        <v>76969</v>
      </c>
      <c r="D37" s="30">
        <v>3273311860</v>
      </c>
      <c r="E37" s="183">
        <f t="shared" si="0"/>
        <v>425.27665163897154</v>
      </c>
      <c r="F37" s="184">
        <v>7.6968999999999996E-4</v>
      </c>
      <c r="G37" s="185">
        <v>0.327331186</v>
      </c>
      <c r="H37" s="174"/>
      <c r="I37" s="122" t="str">
        <f t="shared" si="1"/>
        <v>(400, 450]</v>
      </c>
      <c r="J37" s="157">
        <v>1</v>
      </c>
      <c r="K37" s="230">
        <v>0</v>
      </c>
      <c r="L37" s="184">
        <v>0</v>
      </c>
      <c r="M37" s="229">
        <v>0</v>
      </c>
      <c r="N37" s="191">
        <v>0</v>
      </c>
      <c r="O37" s="207">
        <v>0</v>
      </c>
      <c r="P37" s="194"/>
      <c r="Q37" s="194"/>
      <c r="S37" s="178"/>
    </row>
    <row r="38" spans="1:19" ht="15.6">
      <c r="A38" s="238">
        <v>450</v>
      </c>
      <c r="B38" s="242">
        <v>500</v>
      </c>
      <c r="C38" s="157">
        <v>66958</v>
      </c>
      <c r="D38" s="30">
        <v>3195883300</v>
      </c>
      <c r="E38" s="183">
        <f t="shared" si="0"/>
        <v>477.29670838436033</v>
      </c>
      <c r="F38" s="184">
        <v>6.6958000000000002E-4</v>
      </c>
      <c r="G38" s="185">
        <v>0.31958832999999998</v>
      </c>
      <c r="H38" s="174"/>
      <c r="I38" s="122" t="str">
        <f t="shared" si="1"/>
        <v>(450, 500]</v>
      </c>
      <c r="J38" s="157">
        <v>1</v>
      </c>
      <c r="K38" s="230">
        <v>0</v>
      </c>
      <c r="L38" s="184">
        <v>0</v>
      </c>
      <c r="M38" s="229">
        <v>0</v>
      </c>
      <c r="N38" s="191">
        <v>0</v>
      </c>
      <c r="O38" s="207">
        <v>0</v>
      </c>
      <c r="P38" s="194"/>
      <c r="Q38" s="194"/>
      <c r="S38" s="178"/>
    </row>
    <row r="39" spans="1:19" ht="15.6">
      <c r="A39" s="238">
        <v>500</v>
      </c>
      <c r="B39" s="242">
        <v>550</v>
      </c>
      <c r="C39" s="157">
        <v>63841</v>
      </c>
      <c r="D39" s="30">
        <v>3349902500</v>
      </c>
      <c r="E39" s="183">
        <f t="shared" si="0"/>
        <v>524.72588148681882</v>
      </c>
      <c r="F39" s="184">
        <v>6.3840999999999995E-4</v>
      </c>
      <c r="G39" s="185">
        <v>0.33499024999999999</v>
      </c>
      <c r="H39" s="174"/>
      <c r="I39" s="122" t="str">
        <f t="shared" si="1"/>
        <v>(500, 550]</v>
      </c>
      <c r="J39" s="157">
        <v>1</v>
      </c>
      <c r="K39" s="230">
        <v>0</v>
      </c>
      <c r="L39" s="184">
        <v>0</v>
      </c>
      <c r="M39" s="229">
        <v>0</v>
      </c>
      <c r="N39" s="191">
        <v>0</v>
      </c>
      <c r="O39" s="207">
        <v>0</v>
      </c>
      <c r="P39" s="194"/>
      <c r="Q39" s="194"/>
      <c r="S39" s="178"/>
    </row>
    <row r="40" spans="1:19" ht="15.6">
      <c r="A40" s="238">
        <v>550</v>
      </c>
      <c r="B40" s="242">
        <v>600</v>
      </c>
      <c r="C40" s="157">
        <v>49241</v>
      </c>
      <c r="D40" s="30">
        <v>2836792460</v>
      </c>
      <c r="E40" s="183">
        <f t="shared" si="0"/>
        <v>576.10374687760202</v>
      </c>
      <c r="F40" s="184">
        <v>4.9240999999999998E-4</v>
      </c>
      <c r="G40" s="185">
        <v>0.283679246</v>
      </c>
      <c r="H40" s="174"/>
      <c r="I40" s="122" t="str">
        <f t="shared" si="1"/>
        <v>(550, 600]</v>
      </c>
      <c r="J40" s="157">
        <v>1</v>
      </c>
      <c r="K40" s="230">
        <v>0</v>
      </c>
      <c r="L40" s="184">
        <v>0</v>
      </c>
      <c r="M40" s="229">
        <v>0</v>
      </c>
      <c r="N40" s="191">
        <v>0</v>
      </c>
      <c r="O40" s="207">
        <v>0</v>
      </c>
      <c r="P40" s="194"/>
      <c r="Q40" s="194"/>
      <c r="S40" s="178"/>
    </row>
    <row r="41" spans="1:19" ht="15.6">
      <c r="A41" s="238">
        <v>600</v>
      </c>
      <c r="B41" s="242">
        <v>650</v>
      </c>
      <c r="C41" s="157">
        <v>36244</v>
      </c>
      <c r="D41" s="30">
        <v>2268304480</v>
      </c>
      <c r="E41" s="183">
        <f t="shared" si="0"/>
        <v>625.84275466284078</v>
      </c>
      <c r="F41" s="184">
        <v>3.6244000000000001E-4</v>
      </c>
      <c r="G41" s="185">
        <v>0.22683044800000002</v>
      </c>
      <c r="H41" s="174"/>
      <c r="I41" s="122" t="str">
        <f t="shared" si="1"/>
        <v>(600, 650]</v>
      </c>
      <c r="J41" s="157">
        <v>1</v>
      </c>
      <c r="K41" s="230">
        <v>0</v>
      </c>
      <c r="L41" s="184">
        <v>0</v>
      </c>
      <c r="M41" s="229">
        <v>0</v>
      </c>
      <c r="N41" s="191">
        <v>0</v>
      </c>
      <c r="O41" s="207">
        <v>0</v>
      </c>
      <c r="P41" s="194"/>
      <c r="Q41" s="194"/>
      <c r="S41" s="178"/>
    </row>
    <row r="42" spans="1:19" ht="15.6">
      <c r="A42" s="238">
        <v>650</v>
      </c>
      <c r="B42" s="242">
        <v>700</v>
      </c>
      <c r="C42" s="157">
        <v>30702</v>
      </c>
      <c r="D42" s="30">
        <v>2073268860</v>
      </c>
      <c r="E42" s="183">
        <f t="shared" si="0"/>
        <v>675.28788352550328</v>
      </c>
      <c r="F42" s="184">
        <v>3.0702000000000003E-4</v>
      </c>
      <c r="G42" s="185">
        <v>0.20732688600000004</v>
      </c>
      <c r="H42" s="174"/>
      <c r="I42" s="122" t="str">
        <f t="shared" si="1"/>
        <v>(650, 700]</v>
      </c>
      <c r="J42" s="157">
        <v>0</v>
      </c>
      <c r="K42" s="230">
        <v>0</v>
      </c>
      <c r="L42" s="184">
        <v>0</v>
      </c>
      <c r="M42" s="229">
        <v>0</v>
      </c>
      <c r="N42" s="191">
        <v>0</v>
      </c>
      <c r="O42" s="207">
        <v>0</v>
      </c>
      <c r="P42" s="194"/>
      <c r="Q42" s="194"/>
      <c r="S42" s="178"/>
    </row>
    <row r="43" spans="1:19" ht="15.6">
      <c r="A43" s="238">
        <v>700</v>
      </c>
      <c r="B43" s="242">
        <v>750</v>
      </c>
      <c r="C43" s="157">
        <v>26624</v>
      </c>
      <c r="D43" s="30">
        <v>1929990420</v>
      </c>
      <c r="E43" s="183">
        <f t="shared" si="0"/>
        <v>724.90625751201924</v>
      </c>
      <c r="F43" s="184">
        <v>2.6624E-4</v>
      </c>
      <c r="G43" s="185">
        <v>0.19299904200000001</v>
      </c>
      <c r="H43" s="174"/>
      <c r="I43" s="122" t="str">
        <f t="shared" si="1"/>
        <v>(700, 750]</v>
      </c>
      <c r="J43" s="157">
        <v>0</v>
      </c>
      <c r="K43" s="230">
        <v>0</v>
      </c>
      <c r="L43" s="184">
        <v>0</v>
      </c>
      <c r="M43" s="229">
        <v>0</v>
      </c>
      <c r="N43" s="191">
        <v>0</v>
      </c>
      <c r="O43" s="207">
        <v>0</v>
      </c>
      <c r="P43" s="194"/>
      <c r="Q43" s="194"/>
      <c r="S43" s="178"/>
    </row>
    <row r="44" spans="1:19" ht="15.6">
      <c r="A44" s="238">
        <v>750</v>
      </c>
      <c r="B44" s="242">
        <v>800</v>
      </c>
      <c r="C44" s="157">
        <v>29582</v>
      </c>
      <c r="D44" s="30">
        <v>2311927880</v>
      </c>
      <c r="E44" s="183">
        <f t="shared" si="0"/>
        <v>781.53197214522345</v>
      </c>
      <c r="F44" s="184">
        <v>2.9582000000000002E-4</v>
      </c>
      <c r="G44" s="185">
        <v>0.23119278800000001</v>
      </c>
      <c r="H44" s="174"/>
      <c r="I44" s="122" t="str">
        <f t="shared" si="1"/>
        <v>(750, 800]</v>
      </c>
      <c r="J44" s="157">
        <v>0</v>
      </c>
      <c r="K44" s="230">
        <v>0</v>
      </c>
      <c r="L44" s="184">
        <v>0</v>
      </c>
      <c r="M44" s="229">
        <v>0</v>
      </c>
      <c r="N44" s="191">
        <v>0</v>
      </c>
      <c r="O44" s="207">
        <v>0</v>
      </c>
      <c r="P44" s="194"/>
      <c r="Q44" s="194"/>
      <c r="S44" s="178"/>
    </row>
    <row r="45" spans="1:19" ht="15.6">
      <c r="A45" s="238">
        <v>800</v>
      </c>
      <c r="B45" s="242">
        <v>850</v>
      </c>
      <c r="C45" s="157">
        <v>31660</v>
      </c>
      <c r="D45" s="30">
        <v>2618094520</v>
      </c>
      <c r="E45" s="183">
        <f t="shared" si="0"/>
        <v>826.9407833228048</v>
      </c>
      <c r="F45" s="184">
        <v>3.166E-4</v>
      </c>
      <c r="G45" s="185">
        <v>0.261809452</v>
      </c>
      <c r="H45" s="174"/>
      <c r="I45" s="122" t="str">
        <f t="shared" si="1"/>
        <v>(800, 850]</v>
      </c>
      <c r="J45" s="157">
        <v>0</v>
      </c>
      <c r="K45" s="230">
        <v>0</v>
      </c>
      <c r="L45" s="184">
        <v>0</v>
      </c>
      <c r="M45" s="229">
        <v>0</v>
      </c>
      <c r="N45" s="191">
        <v>0</v>
      </c>
      <c r="O45" s="207">
        <v>0</v>
      </c>
      <c r="P45" s="194"/>
      <c r="Q45" s="194"/>
      <c r="S45" s="178"/>
    </row>
    <row r="46" spans="1:19" ht="15.6">
      <c r="A46" s="238">
        <v>850</v>
      </c>
      <c r="B46" s="242">
        <v>900</v>
      </c>
      <c r="C46" s="157">
        <v>25319</v>
      </c>
      <c r="D46" s="30">
        <v>2214041620</v>
      </c>
      <c r="E46" s="183">
        <f t="shared" si="0"/>
        <v>874.45855681504008</v>
      </c>
      <c r="F46" s="184">
        <v>2.5318999999999998E-4</v>
      </c>
      <c r="G46" s="185">
        <v>0.22140416199999999</v>
      </c>
      <c r="H46" s="174"/>
      <c r="I46" s="122" t="str">
        <f t="shared" si="1"/>
        <v>(850, 900]</v>
      </c>
      <c r="J46" s="157">
        <v>0</v>
      </c>
      <c r="K46" s="230">
        <v>0</v>
      </c>
      <c r="L46" s="184">
        <v>0</v>
      </c>
      <c r="M46" s="229">
        <v>0</v>
      </c>
      <c r="N46" s="191">
        <v>0</v>
      </c>
      <c r="O46" s="207">
        <v>0</v>
      </c>
      <c r="P46" s="194"/>
      <c r="Q46" s="194"/>
      <c r="S46" s="178"/>
    </row>
    <row r="47" spans="1:19" ht="15.6">
      <c r="A47" s="238">
        <v>900</v>
      </c>
      <c r="B47" s="242">
        <v>950</v>
      </c>
      <c r="C47" s="157">
        <v>17351</v>
      </c>
      <c r="D47" s="30">
        <v>1604425740</v>
      </c>
      <c r="E47" s="183">
        <f t="shared" si="0"/>
        <v>924.68776439398312</v>
      </c>
      <c r="F47" s="184">
        <v>1.7351000000000001E-4</v>
      </c>
      <c r="G47" s="185">
        <v>0.16044257400000003</v>
      </c>
      <c r="H47" s="174"/>
      <c r="I47" s="122" t="str">
        <f t="shared" si="1"/>
        <v>(900, 950]</v>
      </c>
      <c r="J47" s="157">
        <v>0</v>
      </c>
      <c r="K47" s="230">
        <v>0</v>
      </c>
      <c r="L47" s="184">
        <v>0</v>
      </c>
      <c r="M47" s="229">
        <v>0</v>
      </c>
      <c r="N47" s="191">
        <v>0</v>
      </c>
      <c r="O47" s="207">
        <v>0</v>
      </c>
      <c r="P47" s="194"/>
      <c r="Q47" s="194"/>
      <c r="S47" s="178"/>
    </row>
    <row r="48" spans="1:19" ht="15.6">
      <c r="A48" s="238">
        <v>950</v>
      </c>
      <c r="B48" s="242">
        <v>1000</v>
      </c>
      <c r="C48" s="157">
        <v>22344</v>
      </c>
      <c r="D48" s="30">
        <v>2195989840</v>
      </c>
      <c r="E48" s="183">
        <f t="shared" si="0"/>
        <v>982.8096312209093</v>
      </c>
      <c r="F48" s="184">
        <v>2.2343999999999999E-4</v>
      </c>
      <c r="G48" s="185">
        <v>0.21959898399999997</v>
      </c>
      <c r="H48" s="174"/>
      <c r="I48" s="122" t="str">
        <f t="shared" si="1"/>
        <v>(950, 1000]</v>
      </c>
      <c r="J48" s="157">
        <v>0</v>
      </c>
      <c r="K48" s="230">
        <v>0</v>
      </c>
      <c r="L48" s="184">
        <v>0</v>
      </c>
      <c r="M48" s="229">
        <v>0</v>
      </c>
      <c r="N48" s="191">
        <v>0</v>
      </c>
      <c r="O48" s="207">
        <v>0</v>
      </c>
      <c r="P48" s="194"/>
      <c r="Q48" s="194"/>
      <c r="S48" s="178"/>
    </row>
    <row r="49" spans="1:19" ht="15.6">
      <c r="A49" s="238">
        <v>1000</v>
      </c>
      <c r="B49" s="242">
        <v>2000</v>
      </c>
      <c r="C49" s="157">
        <v>247568</v>
      </c>
      <c r="D49" s="30">
        <v>34895596880</v>
      </c>
      <c r="E49" s="183">
        <f t="shared" si="0"/>
        <v>1409.5358398500614</v>
      </c>
      <c r="F49" s="184">
        <v>2.4756800000000001E-3</v>
      </c>
      <c r="G49" s="185">
        <v>3.4895596879999999</v>
      </c>
      <c r="H49" s="174"/>
      <c r="I49" s="122" t="str">
        <f t="shared" si="1"/>
        <v>(1000, 2000]</v>
      </c>
      <c r="J49" s="157">
        <v>1</v>
      </c>
      <c r="K49" s="230">
        <v>0</v>
      </c>
      <c r="L49" s="184">
        <v>0</v>
      </c>
      <c r="M49" s="229">
        <v>0</v>
      </c>
      <c r="N49" s="191">
        <v>0</v>
      </c>
      <c r="O49" s="207">
        <v>0</v>
      </c>
      <c r="P49" s="194"/>
      <c r="Q49" s="194"/>
      <c r="S49" s="178"/>
    </row>
    <row r="50" spans="1:19" ht="15.6">
      <c r="A50" s="238">
        <v>2000</v>
      </c>
      <c r="B50" s="242">
        <v>3000</v>
      </c>
      <c r="C50" s="157">
        <v>110800</v>
      </c>
      <c r="D50" s="30">
        <v>26706283260</v>
      </c>
      <c r="E50" s="183">
        <f t="shared" si="0"/>
        <v>2410.3143736462093</v>
      </c>
      <c r="F50" s="184">
        <v>1.108E-3</v>
      </c>
      <c r="G50" s="185">
        <v>2.6706283260000001</v>
      </c>
      <c r="H50" s="174"/>
      <c r="I50" s="122" t="str">
        <f t="shared" si="1"/>
        <v>(2000, 3000]</v>
      </c>
      <c r="J50" s="157">
        <v>1</v>
      </c>
      <c r="K50" s="230">
        <v>0</v>
      </c>
      <c r="L50" s="184">
        <v>0</v>
      </c>
      <c r="M50" s="229">
        <v>0</v>
      </c>
      <c r="N50" s="191">
        <v>0</v>
      </c>
      <c r="O50" s="207">
        <v>0</v>
      </c>
      <c r="P50" s="194"/>
      <c r="Q50" s="194"/>
      <c r="S50" s="178"/>
    </row>
    <row r="51" spans="1:19" ht="15.6">
      <c r="A51" s="238">
        <v>3000</v>
      </c>
      <c r="B51" s="242">
        <v>4000</v>
      </c>
      <c r="C51" s="157">
        <v>51673</v>
      </c>
      <c r="D51" s="30">
        <v>17757022700</v>
      </c>
      <c r="E51" s="183">
        <f t="shared" si="0"/>
        <v>3436.4218644166199</v>
      </c>
      <c r="F51" s="184">
        <v>5.1672999999999997E-4</v>
      </c>
      <c r="G51" s="185">
        <v>1.7757022699999998</v>
      </c>
      <c r="H51" s="174"/>
      <c r="I51" s="122" t="str">
        <f t="shared" si="1"/>
        <v>(3000, 4000]</v>
      </c>
      <c r="J51" s="157">
        <v>1</v>
      </c>
      <c r="K51" s="230">
        <v>0</v>
      </c>
      <c r="L51" s="184">
        <v>0</v>
      </c>
      <c r="M51" s="229">
        <v>0</v>
      </c>
      <c r="N51" s="191">
        <v>0</v>
      </c>
      <c r="O51" s="207">
        <v>0</v>
      </c>
      <c r="P51" s="194"/>
      <c r="Q51" s="194"/>
      <c r="S51" s="178"/>
    </row>
    <row r="52" spans="1:19" ht="15.6">
      <c r="A52" s="238">
        <v>4000</v>
      </c>
      <c r="B52" s="242">
        <v>5000</v>
      </c>
      <c r="C52" s="157">
        <v>31007</v>
      </c>
      <c r="D52" s="30">
        <v>13779144020</v>
      </c>
      <c r="E52" s="183">
        <f t="shared" si="0"/>
        <v>4443.8817105814815</v>
      </c>
      <c r="F52" s="184">
        <v>3.1007000000000002E-4</v>
      </c>
      <c r="G52" s="185">
        <v>1.377914402</v>
      </c>
      <c r="H52" s="174"/>
      <c r="I52" s="122" t="str">
        <f t="shared" si="1"/>
        <v>(4000, 5000]</v>
      </c>
      <c r="J52" s="157">
        <v>0</v>
      </c>
      <c r="K52" s="230">
        <v>0</v>
      </c>
      <c r="L52" s="184">
        <v>0</v>
      </c>
      <c r="M52" s="229">
        <v>0</v>
      </c>
      <c r="N52" s="191">
        <v>0</v>
      </c>
      <c r="O52" s="207">
        <v>0</v>
      </c>
      <c r="P52" s="194"/>
      <c r="Q52" s="194"/>
      <c r="S52" s="178"/>
    </row>
    <row r="53" spans="1:19" ht="15.6">
      <c r="A53" s="238">
        <v>5000</v>
      </c>
      <c r="B53" s="242">
        <v>6000</v>
      </c>
      <c r="C53" s="157">
        <v>15139</v>
      </c>
      <c r="D53" s="30">
        <v>8260523660</v>
      </c>
      <c r="E53" s="183">
        <f t="shared" si="0"/>
        <v>5456.4526454851703</v>
      </c>
      <c r="F53" s="184">
        <v>1.5139E-4</v>
      </c>
      <c r="G53" s="185">
        <v>0.82605236599999987</v>
      </c>
      <c r="H53" s="174"/>
      <c r="I53" s="122" t="str">
        <f t="shared" si="1"/>
        <v>(5000, 6000]</v>
      </c>
      <c r="J53" s="157">
        <v>0</v>
      </c>
      <c r="K53" s="230">
        <v>0</v>
      </c>
      <c r="L53" s="184">
        <v>0</v>
      </c>
      <c r="M53" s="229">
        <v>0</v>
      </c>
      <c r="N53" s="191">
        <v>0</v>
      </c>
      <c r="O53" s="207">
        <v>0</v>
      </c>
      <c r="P53" s="194"/>
      <c r="Q53" s="194"/>
      <c r="S53" s="178"/>
    </row>
    <row r="54" spans="1:19" ht="15.6">
      <c r="A54" s="238">
        <v>6000</v>
      </c>
      <c r="B54" s="242">
        <v>7000</v>
      </c>
      <c r="C54" s="157">
        <v>10296</v>
      </c>
      <c r="D54" s="30">
        <v>6634417080</v>
      </c>
      <c r="E54" s="183">
        <f t="shared" si="0"/>
        <v>6443.6840326340325</v>
      </c>
      <c r="F54" s="184">
        <v>1.0296E-4</v>
      </c>
      <c r="G54" s="185">
        <v>0.66344170800000002</v>
      </c>
      <c r="H54" s="174"/>
      <c r="I54" s="122" t="str">
        <f t="shared" si="1"/>
        <v>(6000, 7000]</v>
      </c>
      <c r="J54" s="157">
        <v>0</v>
      </c>
      <c r="K54" s="230">
        <v>0</v>
      </c>
      <c r="L54" s="184">
        <v>0</v>
      </c>
      <c r="M54" s="229">
        <v>0</v>
      </c>
      <c r="N54" s="191">
        <v>0</v>
      </c>
      <c r="O54" s="207">
        <v>0</v>
      </c>
      <c r="P54" s="194"/>
      <c r="Q54" s="194"/>
      <c r="S54" s="178"/>
    </row>
    <row r="55" spans="1:19" ht="15.6">
      <c r="A55" s="238">
        <v>7000</v>
      </c>
      <c r="B55" s="242">
        <v>8000</v>
      </c>
      <c r="C55" s="157">
        <v>16379</v>
      </c>
      <c r="D55" s="30">
        <v>15875619560</v>
      </c>
      <c r="E55" s="183">
        <f t="shared" si="0"/>
        <v>9692.6671713779833</v>
      </c>
      <c r="F55" s="184">
        <v>1.6379E-4</v>
      </c>
      <c r="G55" s="185">
        <v>1.5875619559999998</v>
      </c>
      <c r="H55" s="174"/>
      <c r="I55" s="122" t="str">
        <f t="shared" si="1"/>
        <v>(7000, 8000]</v>
      </c>
      <c r="J55" s="157">
        <v>0</v>
      </c>
      <c r="K55" s="230">
        <v>0</v>
      </c>
      <c r="L55" s="184">
        <v>0</v>
      </c>
      <c r="M55" s="229">
        <v>0</v>
      </c>
      <c r="N55" s="191">
        <v>0</v>
      </c>
      <c r="O55" s="207">
        <v>0</v>
      </c>
      <c r="P55" s="194"/>
      <c r="Q55" s="194"/>
      <c r="S55" s="178"/>
    </row>
    <row r="56" spans="1:19" ht="15.6">
      <c r="A56" s="238">
        <v>8000</v>
      </c>
      <c r="B56" s="242">
        <v>9000</v>
      </c>
      <c r="C56" s="157">
        <v>0</v>
      </c>
      <c r="D56" s="30">
        <v>0</v>
      </c>
      <c r="E56" s="183">
        <f t="shared" si="0"/>
        <v>0</v>
      </c>
      <c r="F56" s="184">
        <v>0</v>
      </c>
      <c r="G56" s="185">
        <v>0</v>
      </c>
      <c r="H56" s="174"/>
      <c r="I56" s="122" t="str">
        <f t="shared" si="1"/>
        <v>(8000, 9000]</v>
      </c>
      <c r="J56" s="157">
        <v>0</v>
      </c>
      <c r="K56" s="230">
        <v>0</v>
      </c>
      <c r="L56" s="184">
        <v>0</v>
      </c>
      <c r="M56" s="229">
        <v>0</v>
      </c>
      <c r="N56" s="191">
        <v>0</v>
      </c>
      <c r="O56" s="207">
        <v>0</v>
      </c>
      <c r="P56" s="194"/>
      <c r="Q56" s="194"/>
      <c r="S56" s="178"/>
    </row>
    <row r="57" spans="1:19" ht="15.6">
      <c r="A57" s="238">
        <v>9000</v>
      </c>
      <c r="B57" s="242">
        <v>10000</v>
      </c>
      <c r="C57" s="157">
        <v>0</v>
      </c>
      <c r="D57" s="30">
        <v>0</v>
      </c>
      <c r="E57" s="183">
        <f t="shared" si="0"/>
        <v>0</v>
      </c>
      <c r="F57" s="184">
        <v>0</v>
      </c>
      <c r="G57" s="185">
        <v>0</v>
      </c>
      <c r="H57" s="174"/>
      <c r="I57" s="122" t="str">
        <f t="shared" si="1"/>
        <v>(9000, 10000]</v>
      </c>
      <c r="J57" s="157">
        <v>0</v>
      </c>
      <c r="K57" s="230">
        <v>0</v>
      </c>
      <c r="L57" s="184">
        <v>0</v>
      </c>
      <c r="M57" s="229">
        <v>0</v>
      </c>
      <c r="N57" s="191">
        <v>0</v>
      </c>
      <c r="O57" s="207">
        <v>0</v>
      </c>
      <c r="P57" s="194"/>
      <c r="Q57" s="194"/>
      <c r="S57" s="178"/>
    </row>
    <row r="58" spans="1:19" ht="15.6">
      <c r="A58" s="238">
        <v>10000</v>
      </c>
      <c r="B58" s="242">
        <v>20000</v>
      </c>
      <c r="C58" s="157">
        <v>0</v>
      </c>
      <c r="D58" s="30">
        <v>0</v>
      </c>
      <c r="E58" s="183">
        <f>IFERROR((D58/$E$1)/(C58),0)</f>
        <v>0</v>
      </c>
      <c r="F58" s="184">
        <v>0</v>
      </c>
      <c r="G58" s="185">
        <v>0</v>
      </c>
      <c r="H58" s="174"/>
      <c r="I58" s="122" t="str">
        <f t="shared" si="1"/>
        <v>(10000, 20000]</v>
      </c>
      <c r="J58" s="157">
        <v>0</v>
      </c>
      <c r="K58" s="230">
        <v>0</v>
      </c>
      <c r="L58" s="184">
        <v>0</v>
      </c>
      <c r="M58" s="229">
        <v>0</v>
      </c>
      <c r="N58" s="191">
        <v>0</v>
      </c>
      <c r="O58" s="207">
        <v>0</v>
      </c>
      <c r="P58" s="194"/>
      <c r="Q58" s="194"/>
      <c r="S58" s="178"/>
    </row>
    <row r="59" spans="1:19" ht="15.6">
      <c r="A59" s="238">
        <v>20000</v>
      </c>
      <c r="B59" s="242">
        <v>30000</v>
      </c>
      <c r="C59" s="157">
        <v>0</v>
      </c>
      <c r="D59" s="30">
        <v>0</v>
      </c>
      <c r="E59" s="183">
        <f t="shared" si="0"/>
        <v>0</v>
      </c>
      <c r="F59" s="184">
        <v>0</v>
      </c>
      <c r="G59" s="185">
        <v>0</v>
      </c>
      <c r="H59" s="174"/>
      <c r="I59" s="122" t="str">
        <f t="shared" si="1"/>
        <v>(20000, 30000]</v>
      </c>
      <c r="J59" s="157">
        <v>0</v>
      </c>
      <c r="K59" s="230">
        <v>0</v>
      </c>
      <c r="L59" s="184">
        <v>0</v>
      </c>
      <c r="M59" s="229">
        <v>0</v>
      </c>
      <c r="N59" s="191">
        <v>0</v>
      </c>
      <c r="O59" s="207">
        <v>0</v>
      </c>
      <c r="P59" s="194"/>
      <c r="Q59" s="194"/>
      <c r="S59" s="178"/>
    </row>
    <row r="60" spans="1:19" ht="15.6">
      <c r="A60" s="238">
        <v>30000</v>
      </c>
      <c r="B60" s="242">
        <v>100000</v>
      </c>
      <c r="C60" s="157">
        <v>0</v>
      </c>
      <c r="D60" s="30">
        <v>0</v>
      </c>
      <c r="E60" s="183">
        <f t="shared" si="0"/>
        <v>0</v>
      </c>
      <c r="F60" s="184">
        <v>0</v>
      </c>
      <c r="G60" s="185">
        <v>0</v>
      </c>
      <c r="H60" s="174"/>
      <c r="I60" s="122" t="str">
        <f t="shared" si="1"/>
        <v>(30000, 100000]</v>
      </c>
      <c r="J60" s="157">
        <v>0</v>
      </c>
      <c r="K60" s="230">
        <v>0</v>
      </c>
      <c r="L60" s="184">
        <v>0</v>
      </c>
      <c r="M60" s="229">
        <v>0</v>
      </c>
      <c r="N60" s="191">
        <v>0</v>
      </c>
      <c r="O60" s="207">
        <v>0</v>
      </c>
      <c r="P60" s="194"/>
      <c r="Q60" s="194"/>
      <c r="S60" s="178"/>
    </row>
    <row r="61" spans="1:19" thickBot="1">
      <c r="A61" s="239">
        <v>100000</v>
      </c>
      <c r="B61" s="243">
        <v>999999</v>
      </c>
      <c r="C61" s="159">
        <v>0</v>
      </c>
      <c r="D61" s="164">
        <v>0</v>
      </c>
      <c r="E61" s="186">
        <f t="shared" si="0"/>
        <v>0</v>
      </c>
      <c r="F61" s="187">
        <v>0</v>
      </c>
      <c r="G61" s="188">
        <v>0</v>
      </c>
      <c r="H61" s="174"/>
      <c r="I61" s="123" t="str">
        <f t="shared" si="1"/>
        <v>(100000, 999999]</v>
      </c>
      <c r="J61" s="159">
        <v>0</v>
      </c>
      <c r="K61" s="246">
        <v>0</v>
      </c>
      <c r="L61" s="187">
        <v>0</v>
      </c>
      <c r="M61" s="240">
        <v>0</v>
      </c>
      <c r="N61" s="192">
        <v>0</v>
      </c>
      <c r="O61" s="208">
        <v>0</v>
      </c>
      <c r="P61" s="194"/>
      <c r="Q61" s="194"/>
      <c r="S61" s="178"/>
    </row>
    <row r="62" spans="1:19" ht="16.8" thickBot="1">
      <c r="L62" s="176"/>
      <c r="O62" s="10">
        <f>SUM(O28:O55)</f>
        <v>0</v>
      </c>
    </row>
    <row r="63" spans="1:19" ht="16.8" thickBot="1">
      <c r="L63" s="176"/>
      <c r="M63" s="112"/>
      <c r="N63" s="112" t="s">
        <v>168</v>
      </c>
      <c r="O63" s="215" t="s">
        <v>167</v>
      </c>
    </row>
    <row r="64" spans="1:19">
      <c r="L64" s="176"/>
      <c r="M64" s="125" t="s">
        <v>165</v>
      </c>
      <c r="N64" s="248" t="e">
        <f>1/SUM(N35:N55)</f>
        <v>#DIV/0!</v>
      </c>
      <c r="O64" s="216" t="e" cm="1">
        <f t="array" ref="O64:O65">N66/N64:N65</f>
        <v>#DIV/0!</v>
      </c>
    </row>
    <row r="65" spans="1:20" ht="16.8" thickBot="1">
      <c r="L65" s="176"/>
      <c r="M65" s="122" t="s">
        <v>166</v>
      </c>
      <c r="N65" s="249" t="e">
        <f>1/N49</f>
        <v>#DIV/0!</v>
      </c>
      <c r="O65" s="216" t="e">
        <v>#DIV/0!</v>
      </c>
    </row>
    <row r="66" spans="1:20" ht="16.8" thickBot="1">
      <c r="D66" s="1" t="s">
        <v>170</v>
      </c>
      <c r="E66" s="1">
        <v>150</v>
      </c>
      <c r="L66" s="176"/>
      <c r="M66" s="112" t="s">
        <v>164</v>
      </c>
      <c r="N66" s="112">
        <v>3500000</v>
      </c>
      <c r="O66" s="162"/>
    </row>
    <row r="67" spans="1:20" ht="16.8" thickBot="1">
      <c r="A67" s="143" t="s">
        <v>104</v>
      </c>
      <c r="B67" s="143"/>
      <c r="C67" s="143" t="s">
        <v>172</v>
      </c>
      <c r="D67" s="143"/>
      <c r="E67" s="143"/>
      <c r="F67" s="217"/>
      <c r="G67" s="143"/>
      <c r="H67" s="143"/>
      <c r="I67" s="143"/>
      <c r="J67" s="143"/>
      <c r="K67" s="143"/>
      <c r="L67" s="143"/>
      <c r="M67" s="143"/>
      <c r="N67" s="143"/>
      <c r="O67" s="218">
        <f>SUM(_xlfn.ANCHORARRAY(O69))</f>
        <v>0.92000350909006678</v>
      </c>
      <c r="P67" s="218"/>
    </row>
    <row r="68" spans="1:20" thickBot="1">
      <c r="A68" s="161" t="str" cm="1">
        <f t="array" ref="A68:G68">A3:G3</f>
        <v>Lower</v>
      </c>
      <c r="B68" s="162" t="str">
        <v>Upper</v>
      </c>
      <c r="C68" s="222" t="str">
        <v>Count</v>
      </c>
      <c r="D68" s="223" t="str">
        <v>Pay</v>
      </c>
      <c r="E68" s="223" t="str">
        <v>Multi.</v>
      </c>
      <c r="F68" s="223" t="str">
        <v>Prob.</v>
      </c>
      <c r="G68" s="224" t="str">
        <v>RTP</v>
      </c>
      <c r="I68" s="112" t="s">
        <v>147</v>
      </c>
      <c r="J68" s="161" t="s">
        <v>161</v>
      </c>
      <c r="K68" s="180" t="s">
        <v>149</v>
      </c>
      <c r="L68" s="180" t="s">
        <v>151</v>
      </c>
      <c r="M68" s="180" t="s">
        <v>150</v>
      </c>
      <c r="N68" s="180" t="s">
        <v>152</v>
      </c>
      <c r="O68" s="112" t="s">
        <v>153</v>
      </c>
      <c r="P68" s="179"/>
      <c r="R68" s="212"/>
    </row>
    <row r="69" spans="1:20" ht="15.6">
      <c r="A69" s="195" cm="1">
        <f t="array" ref="A69:B126">A4:B61</f>
        <v>-1</v>
      </c>
      <c r="B69" s="196">
        <v>0</v>
      </c>
      <c r="C69" s="155" cm="1">
        <f t="array" ref="C69:D126">'Multiplier Weight'!C69:D126</f>
        <v>79527545</v>
      </c>
      <c r="D69" s="163">
        <v>0</v>
      </c>
      <c r="E69" s="183">
        <f>IFERROR((D69/$E$66)/(C69),0)</f>
        <v>0</v>
      </c>
      <c r="F69" s="181" cm="1">
        <f t="array" ref="F69:F126">C69:C126/SUM(C69:C126)</f>
        <v>0.79527544999999999</v>
      </c>
      <c r="G69" s="182" cm="1">
        <f t="array" ref="G69:G126">E69:E126*_xlfn.ANCHORARRAY(F69)</f>
        <v>0</v>
      </c>
      <c r="H69" s="228" cm="1">
        <f t="array" ref="H69:H126">A69:A126/1.5</f>
        <v>-0.66666666666666663</v>
      </c>
      <c r="I69" s="125" t="str">
        <f>"("&amp;$A69&amp;", "&amp;$B69&amp;"]"</f>
        <v>(-1, 0]</v>
      </c>
      <c r="J69" s="155" cm="1">
        <f t="array" ref="J69:J126">IFERROR(IF(1/_xlfn.ANCHORARRAY(F69)&lt;$J$2,1,0),0)</f>
        <v>1</v>
      </c>
      <c r="K69" s="213">
        <v>1.3181</v>
      </c>
      <c r="L69" s="181" cm="1">
        <f t="array" ref="L69:L126">K69:K126*_xlfn.ANCHORARRAY(J69)*_xlfn.ANCHORARRAY(F69)</f>
        <v>1.0482525706450001</v>
      </c>
      <c r="M69" s="203" cm="1">
        <f t="array" ref="M69:M126">INT(_xlfn.ANCHORARRAY(L69)*$M$2)</f>
        <v>1048252570</v>
      </c>
      <c r="N69" s="190" cm="1">
        <f t="array" ref="N69:N126">_xlfn.ANCHORARRAY(M69)/SUM(_xlfn.ANCHORARRAY(M69))</f>
        <v>0.86826591864209501</v>
      </c>
      <c r="O69" s="206" cm="1">
        <f t="array" ref="O69:O126">_xlfn.ANCHORARRAY(N69)*E69:E126</f>
        <v>0</v>
      </c>
      <c r="Q69" s="179"/>
      <c r="R69" s="212"/>
      <c r="S69" s="178"/>
      <c r="T69" s="209"/>
    </row>
    <row r="70" spans="1:20" ht="15.6">
      <c r="A70" s="197">
        <v>0</v>
      </c>
      <c r="B70" s="198">
        <v>1</v>
      </c>
      <c r="C70" s="157">
        <v>1221030</v>
      </c>
      <c r="D70" s="30">
        <v>91661240</v>
      </c>
      <c r="E70" s="183">
        <f t="shared" ref="E70:E126" si="2">IFERROR((D70/$E$66)/(C70),0)</f>
        <v>0.50045857459139687</v>
      </c>
      <c r="F70" s="184">
        <v>1.22103E-2</v>
      </c>
      <c r="G70" s="185">
        <v>6.1107493333333335E-3</v>
      </c>
      <c r="H70" s="228">
        <v>0</v>
      </c>
      <c r="I70" s="122" t="str">
        <f t="shared" ref="I70:I126" si="3">"("&amp;$A70&amp;", "&amp;$B70&amp;"]"</f>
        <v>(0, 1]</v>
      </c>
      <c r="J70" s="157">
        <v>1</v>
      </c>
      <c r="K70" s="201">
        <v>1</v>
      </c>
      <c r="L70" s="184">
        <v>1.22103E-2</v>
      </c>
      <c r="M70" s="204">
        <v>12210300</v>
      </c>
      <c r="N70" s="191">
        <v>1.0113771861676021E-2</v>
      </c>
      <c r="O70" s="207">
        <v>5.0615238496369598E-3</v>
      </c>
      <c r="Q70" s="179"/>
      <c r="S70" s="178"/>
    </row>
    <row r="71" spans="1:20" ht="15.6">
      <c r="A71" s="197">
        <v>1</v>
      </c>
      <c r="B71" s="198">
        <v>2</v>
      </c>
      <c r="C71" s="157">
        <v>1983581</v>
      </c>
      <c r="D71" s="30">
        <v>340592420</v>
      </c>
      <c r="E71" s="183">
        <f t="shared" si="2"/>
        <v>1.144705526688012</v>
      </c>
      <c r="F71" s="184">
        <v>1.9835809999999999E-2</v>
      </c>
      <c r="G71" s="185">
        <v>2.2706161333333332E-2</v>
      </c>
      <c r="H71" s="228">
        <v>0.66666666666666663</v>
      </c>
      <c r="I71" s="210" t="str">
        <f t="shared" si="3"/>
        <v>(1, 2]</v>
      </c>
      <c r="J71" s="157">
        <v>1</v>
      </c>
      <c r="K71" s="201">
        <v>1</v>
      </c>
      <c r="L71" s="184">
        <v>1.9835809999999999E-2</v>
      </c>
      <c r="M71" s="204">
        <v>19835810</v>
      </c>
      <c r="N71" s="191">
        <v>1.642996953650212E-2</v>
      </c>
      <c r="O71" s="207">
        <v>1.880747693174965E-2</v>
      </c>
      <c r="Q71" s="179"/>
    </row>
    <row r="72" spans="1:20" ht="15.6">
      <c r="A72" s="197">
        <v>2</v>
      </c>
      <c r="B72" s="198">
        <v>3</v>
      </c>
      <c r="C72" s="157">
        <v>1400402</v>
      </c>
      <c r="D72" s="30">
        <v>385097500</v>
      </c>
      <c r="E72" s="183">
        <f t="shared" si="2"/>
        <v>1.8332712083149456</v>
      </c>
      <c r="F72" s="184">
        <v>1.4004020000000001E-2</v>
      </c>
      <c r="G72" s="185">
        <v>2.5673166666666667E-2</v>
      </c>
      <c r="H72" s="228">
        <v>1.3333333333333333</v>
      </c>
      <c r="I72" s="122" t="str">
        <f t="shared" si="3"/>
        <v>(2, 3]</v>
      </c>
      <c r="J72" s="157">
        <v>1</v>
      </c>
      <c r="K72" s="201">
        <v>1</v>
      </c>
      <c r="L72" s="184">
        <v>1.4004020000000001E-2</v>
      </c>
      <c r="M72" s="204">
        <v>14004020</v>
      </c>
      <c r="N72" s="191">
        <v>1.1599507254231938E-2</v>
      </c>
      <c r="O72" s="207">
        <v>2.1265042679823761E-2</v>
      </c>
      <c r="Q72" s="179"/>
    </row>
    <row r="73" spans="1:20" ht="15.6">
      <c r="A73" s="197">
        <v>3</v>
      </c>
      <c r="B73" s="198">
        <v>4</v>
      </c>
      <c r="C73" s="157">
        <v>1843384</v>
      </c>
      <c r="D73" s="30">
        <v>681736680</v>
      </c>
      <c r="E73" s="183">
        <f t="shared" si="2"/>
        <v>2.4655260108582913</v>
      </c>
      <c r="F73" s="184">
        <v>1.843384E-2</v>
      </c>
      <c r="G73" s="185">
        <v>4.5449112000000007E-2</v>
      </c>
      <c r="H73" s="228">
        <v>2</v>
      </c>
      <c r="I73" s="122" t="str">
        <f t="shared" si="3"/>
        <v>(3, 4]</v>
      </c>
      <c r="J73" s="157">
        <v>1</v>
      </c>
      <c r="K73" s="201">
        <v>0.8293373861515585</v>
      </c>
      <c r="L73" s="184">
        <v>1.5287872682336045E-2</v>
      </c>
      <c r="M73" s="204">
        <v>15287872</v>
      </c>
      <c r="N73" s="191">
        <v>1.2662919802011802E-2</v>
      </c>
      <c r="O73" s="207">
        <v>3.1220758145272622E-2</v>
      </c>
      <c r="Q73" s="179"/>
    </row>
    <row r="74" spans="1:20" ht="15.6">
      <c r="A74" s="197">
        <v>4</v>
      </c>
      <c r="B74" s="198">
        <v>5</v>
      </c>
      <c r="C74" s="157">
        <v>1261039</v>
      </c>
      <c r="D74" s="30">
        <v>605977340</v>
      </c>
      <c r="E74" s="183">
        <f t="shared" si="2"/>
        <v>3.2035876236447351</v>
      </c>
      <c r="F74" s="184">
        <v>1.2610390000000001E-2</v>
      </c>
      <c r="G74" s="185">
        <v>4.0398489333333336E-2</v>
      </c>
      <c r="H74" s="228">
        <v>2.6666666666666665</v>
      </c>
      <c r="I74" s="122" t="str">
        <f t="shared" si="3"/>
        <v>(4, 5]</v>
      </c>
      <c r="J74" s="157">
        <v>1</v>
      </c>
      <c r="K74" s="201">
        <v>0.8293373861515585</v>
      </c>
      <c r="L74" s="184">
        <v>1.0458267880951753E-2</v>
      </c>
      <c r="M74" s="204">
        <v>10458267</v>
      </c>
      <c r="N74" s="191">
        <v>8.6625657442073404E-3</v>
      </c>
      <c r="O74" s="207">
        <v>2.7751288407151482E-2</v>
      </c>
      <c r="Q74" s="179"/>
    </row>
    <row r="75" spans="1:20" ht="15.6">
      <c r="A75" s="197">
        <v>5</v>
      </c>
      <c r="B75" s="198">
        <v>6</v>
      </c>
      <c r="C75" s="157">
        <v>1254493</v>
      </c>
      <c r="D75" s="30">
        <v>746676720</v>
      </c>
      <c r="E75" s="183">
        <f t="shared" si="2"/>
        <v>3.9680132133060924</v>
      </c>
      <c r="F75" s="184">
        <v>1.2544929999999999E-2</v>
      </c>
      <c r="G75" s="185">
        <v>4.9778447999999996E-2</v>
      </c>
      <c r="H75" s="228">
        <v>3.3333333333333335</v>
      </c>
      <c r="I75" s="122" t="str">
        <f t="shared" si="3"/>
        <v>(5, 6]</v>
      </c>
      <c r="J75" s="157">
        <v>1</v>
      </c>
      <c r="K75" s="201">
        <v>0.8293373861515585</v>
      </c>
      <c r="L75" s="184">
        <v>1.040397945565427E-2</v>
      </c>
      <c r="M75" s="204">
        <v>10403979</v>
      </c>
      <c r="N75" s="191">
        <v>8.6175990810764859E-3</v>
      </c>
      <c r="O75" s="207">
        <v>3.4194747020685937E-2</v>
      </c>
      <c r="Q75" s="179"/>
    </row>
    <row r="76" spans="1:20" ht="15.6">
      <c r="A76" s="197">
        <v>6</v>
      </c>
      <c r="B76" s="198">
        <v>7</v>
      </c>
      <c r="C76" s="157">
        <v>316037</v>
      </c>
      <c r="D76" s="30">
        <v>206311540</v>
      </c>
      <c r="E76" s="183">
        <f t="shared" si="2"/>
        <v>4.352054559012605</v>
      </c>
      <c r="F76" s="184">
        <v>3.16037E-3</v>
      </c>
      <c r="G76" s="185">
        <v>1.3754102666666667E-2</v>
      </c>
      <c r="H76" s="228">
        <v>4</v>
      </c>
      <c r="I76" s="122" t="str">
        <f t="shared" si="3"/>
        <v>(6, 7]</v>
      </c>
      <c r="J76" s="157">
        <v>1</v>
      </c>
      <c r="K76" s="201">
        <v>0.8293373861515585</v>
      </c>
      <c r="L76" s="184">
        <v>2.6210129950718008E-3</v>
      </c>
      <c r="M76" s="204">
        <v>2621012</v>
      </c>
      <c r="N76" s="191">
        <v>2.170980026265955E-3</v>
      </c>
      <c r="O76" s="207">
        <v>9.4482235208360535E-3</v>
      </c>
      <c r="Q76" s="179"/>
    </row>
    <row r="77" spans="1:20" ht="15.6">
      <c r="A77" s="197">
        <v>7</v>
      </c>
      <c r="B77" s="198">
        <v>8</v>
      </c>
      <c r="C77" s="157">
        <v>1316405</v>
      </c>
      <c r="D77" s="30">
        <v>1015442580</v>
      </c>
      <c r="E77" s="183">
        <f t="shared" si="2"/>
        <v>5.1425034089053145</v>
      </c>
      <c r="F77" s="184">
        <v>1.316405E-2</v>
      </c>
      <c r="G77" s="185">
        <v>6.7696172000000013E-2</v>
      </c>
      <c r="H77" s="228">
        <v>4.666666666666667</v>
      </c>
      <c r="I77" s="210" t="str">
        <f t="shared" si="3"/>
        <v>(7, 8]</v>
      </c>
      <c r="J77" s="157">
        <v>1</v>
      </c>
      <c r="K77" s="201">
        <v>0.8293373861515585</v>
      </c>
      <c r="L77" s="184">
        <v>1.0917438818168423E-2</v>
      </c>
      <c r="M77" s="204">
        <v>10917438</v>
      </c>
      <c r="N77" s="191">
        <v>9.0428963453799277E-3</v>
      </c>
      <c r="O77" s="207">
        <v>4.6503125282493687E-2</v>
      </c>
      <c r="Q77" s="179"/>
    </row>
    <row r="78" spans="1:20" ht="15.6">
      <c r="A78" s="197">
        <v>8</v>
      </c>
      <c r="B78" s="198">
        <v>9</v>
      </c>
      <c r="C78" s="157">
        <v>574169</v>
      </c>
      <c r="D78" s="30">
        <v>512208280</v>
      </c>
      <c r="E78" s="183">
        <f t="shared" si="2"/>
        <v>5.9472417818911625</v>
      </c>
      <c r="F78" s="184">
        <v>5.7416899999999998E-3</v>
      </c>
      <c r="G78" s="185">
        <v>3.4147218666666666E-2</v>
      </c>
      <c r="H78" s="228">
        <v>5.333333333333333</v>
      </c>
      <c r="I78" s="122" t="str">
        <f t="shared" si="3"/>
        <v>(8, 9]</v>
      </c>
      <c r="J78" s="157">
        <v>1</v>
      </c>
      <c r="K78" s="201">
        <v>0.8293373861515585</v>
      </c>
      <c r="L78" s="184">
        <v>4.7617981766925419E-3</v>
      </c>
      <c r="M78" s="204">
        <v>4761798</v>
      </c>
      <c r="N78" s="191">
        <v>3.944189628705695E-3</v>
      </c>
      <c r="O78" s="207">
        <v>2.3457049355540299E-2</v>
      </c>
      <c r="Q78" s="179"/>
    </row>
    <row r="79" spans="1:20" ht="15.6">
      <c r="A79" s="197">
        <v>9</v>
      </c>
      <c r="B79" s="198">
        <v>10</v>
      </c>
      <c r="C79" s="157">
        <v>713840</v>
      </c>
      <c r="D79" s="30">
        <v>696013360</v>
      </c>
      <c r="E79" s="183">
        <f t="shared" si="2"/>
        <v>6.5001808061563748</v>
      </c>
      <c r="F79" s="184">
        <v>7.1383999999999996E-3</v>
      </c>
      <c r="G79" s="185">
        <v>4.6400890666666667E-2</v>
      </c>
      <c r="H79" s="228">
        <v>6</v>
      </c>
      <c r="I79" s="122" t="str">
        <f t="shared" si="3"/>
        <v>(9, 10]</v>
      </c>
      <c r="J79" s="157">
        <v>1</v>
      </c>
      <c r="K79" s="201">
        <v>0.8293373861515585</v>
      </c>
      <c r="L79" s="184">
        <v>5.9201419973042846E-3</v>
      </c>
      <c r="M79" s="204">
        <v>5920141</v>
      </c>
      <c r="N79" s="191">
        <v>4.9036432735440191E-3</v>
      </c>
      <c r="O79" s="207">
        <v>3.1874567886928648E-2</v>
      </c>
      <c r="Q79" s="179"/>
    </row>
    <row r="80" spans="1:20" ht="15.6">
      <c r="A80" s="197">
        <v>10</v>
      </c>
      <c r="B80" s="198">
        <v>15</v>
      </c>
      <c r="C80" s="157">
        <v>1791031</v>
      </c>
      <c r="D80" s="30">
        <v>2280142320</v>
      </c>
      <c r="E80" s="183">
        <f t="shared" si="2"/>
        <v>8.4872616945212016</v>
      </c>
      <c r="F80" s="184">
        <v>1.7910309999999999E-2</v>
      </c>
      <c r="G80" s="185">
        <v>0.152009488</v>
      </c>
      <c r="H80" s="228">
        <v>6.666666666666667</v>
      </c>
      <c r="I80" s="210" t="str">
        <f t="shared" si="3"/>
        <v>(10, 15]</v>
      </c>
      <c r="J80" s="157">
        <v>1</v>
      </c>
      <c r="K80" s="201">
        <v>0.5</v>
      </c>
      <c r="L80" s="184">
        <v>8.9551549999999994E-3</v>
      </c>
      <c r="M80" s="204">
        <v>8955155</v>
      </c>
      <c r="N80" s="191">
        <v>7.4175404908927156E-3</v>
      </c>
      <c r="O80" s="207">
        <v>6.2954607275913732E-2</v>
      </c>
      <c r="Q80" s="179"/>
    </row>
    <row r="81" spans="1:17" ht="15.6">
      <c r="A81" s="197">
        <v>15</v>
      </c>
      <c r="B81" s="198">
        <v>20</v>
      </c>
      <c r="C81" s="157">
        <v>1124732</v>
      </c>
      <c r="D81" s="30">
        <v>2007398080</v>
      </c>
      <c r="E81" s="183">
        <f t="shared" si="2"/>
        <v>11.898526819426021</v>
      </c>
      <c r="F81" s="184">
        <v>1.124732E-2</v>
      </c>
      <c r="G81" s="185">
        <v>0.13382653866666666</v>
      </c>
      <c r="H81" s="228">
        <v>10</v>
      </c>
      <c r="I81" s="122" t="str">
        <f t="shared" si="3"/>
        <v>(15, 20]</v>
      </c>
      <c r="J81" s="157">
        <v>1</v>
      </c>
      <c r="K81" s="201">
        <v>2</v>
      </c>
      <c r="L81" s="184">
        <v>2.249464E-2</v>
      </c>
      <c r="M81" s="204">
        <v>22494640</v>
      </c>
      <c r="N81" s="191">
        <v>1.8632274151374813E-2</v>
      </c>
      <c r="O81" s="207">
        <v>0.22169661369703142</v>
      </c>
      <c r="Q81" s="179"/>
    </row>
    <row r="82" spans="1:17" ht="15.6">
      <c r="A82" s="197">
        <v>20</v>
      </c>
      <c r="B82" s="198">
        <v>25</v>
      </c>
      <c r="C82" s="157">
        <v>621987</v>
      </c>
      <c r="D82" s="30">
        <v>1445763680</v>
      </c>
      <c r="E82" s="183">
        <f t="shared" si="2"/>
        <v>15.496183253562105</v>
      </c>
      <c r="F82" s="184">
        <v>6.2198699999999997E-3</v>
      </c>
      <c r="G82" s="185">
        <v>9.6384245333333327E-2</v>
      </c>
      <c r="H82" s="228">
        <v>13.333333333333334</v>
      </c>
      <c r="I82" s="122" t="str">
        <f t="shared" si="3"/>
        <v>(20, 25]</v>
      </c>
      <c r="J82" s="157">
        <v>1</v>
      </c>
      <c r="K82" s="201">
        <v>0.5</v>
      </c>
      <c r="L82" s="184">
        <v>3.1099349999999999E-3</v>
      </c>
      <c r="M82" s="204">
        <v>3109935</v>
      </c>
      <c r="N82" s="191">
        <v>2.575954161211552E-3</v>
      </c>
      <c r="O82" s="207">
        <v>3.9917457734910074E-2</v>
      </c>
      <c r="Q82" s="179"/>
    </row>
    <row r="83" spans="1:17" ht="15.6">
      <c r="A83" s="197">
        <v>25</v>
      </c>
      <c r="B83" s="198">
        <v>30</v>
      </c>
      <c r="C83" s="157">
        <v>433005</v>
      </c>
      <c r="D83" s="30">
        <v>1231300120</v>
      </c>
      <c r="E83" s="183">
        <f t="shared" si="2"/>
        <v>18.957442677721197</v>
      </c>
      <c r="F83" s="184">
        <v>4.3300500000000002E-3</v>
      </c>
      <c r="G83" s="185">
        <v>8.2086674666666679E-2</v>
      </c>
      <c r="H83" s="228">
        <v>16.666666666666668</v>
      </c>
      <c r="I83" s="122" t="str">
        <f t="shared" si="3"/>
        <v>(25, 30]</v>
      </c>
      <c r="J83" s="157">
        <v>1</v>
      </c>
      <c r="K83" s="201">
        <v>0.5</v>
      </c>
      <c r="L83" s="184">
        <v>2.1650250000000001E-3</v>
      </c>
      <c r="M83" s="204">
        <v>2165025</v>
      </c>
      <c r="N83" s="191">
        <v>1.7932867271750184E-3</v>
      </c>
      <c r="O83" s="207">
        <v>3.3996130335138659E-2</v>
      </c>
      <c r="Q83" s="179"/>
    </row>
    <row r="84" spans="1:17" ht="15.6">
      <c r="A84" s="197">
        <v>30</v>
      </c>
      <c r="B84" s="198">
        <v>35</v>
      </c>
      <c r="C84" s="157">
        <v>214207</v>
      </c>
      <c r="D84" s="30">
        <v>697834840</v>
      </c>
      <c r="E84" s="183">
        <f t="shared" si="2"/>
        <v>21.718395134924005</v>
      </c>
      <c r="F84" s="184">
        <v>2.1420699999999998E-3</v>
      </c>
      <c r="G84" s="185">
        <v>4.6522322666666657E-2</v>
      </c>
      <c r="H84" s="228">
        <v>20</v>
      </c>
      <c r="I84" s="122" t="str">
        <f t="shared" si="3"/>
        <v>(30, 35]</v>
      </c>
      <c r="J84" s="157">
        <v>1</v>
      </c>
      <c r="K84" s="201">
        <v>5</v>
      </c>
      <c r="L84" s="184">
        <v>1.0710349999999999E-2</v>
      </c>
      <c r="M84" s="204">
        <v>10710350</v>
      </c>
      <c r="N84" s="191">
        <v>8.8713656878784113E-3</v>
      </c>
      <c r="O84" s="207">
        <v>0.19267182539575023</v>
      </c>
      <c r="Q84" s="179"/>
    </row>
    <row r="85" spans="1:17" ht="15.6">
      <c r="A85" s="197">
        <v>35</v>
      </c>
      <c r="B85" s="198">
        <v>40</v>
      </c>
      <c r="C85" s="157">
        <v>376411</v>
      </c>
      <c r="D85" s="30">
        <v>1440717120</v>
      </c>
      <c r="E85" s="183">
        <f t="shared" si="2"/>
        <v>25.516737821158259</v>
      </c>
      <c r="F85" s="184">
        <v>3.7641100000000002E-3</v>
      </c>
      <c r="G85" s="185">
        <v>9.6047808000000012E-2</v>
      </c>
      <c r="H85" s="228">
        <v>23.333333333333332</v>
      </c>
      <c r="I85" s="210" t="str">
        <f t="shared" si="3"/>
        <v>(35, 40]</v>
      </c>
      <c r="J85" s="157">
        <v>1</v>
      </c>
      <c r="K85" s="201">
        <v>0.5</v>
      </c>
      <c r="L85" s="184">
        <v>1.8820550000000001E-3</v>
      </c>
      <c r="M85" s="204">
        <v>1882055</v>
      </c>
      <c r="N85" s="191">
        <v>1.5589031310554748E-3</v>
      </c>
      <c r="O85" s="207">
        <v>3.977812248372526E-2</v>
      </c>
      <c r="Q85" s="179"/>
    </row>
    <row r="86" spans="1:17" ht="15.6">
      <c r="A86" s="197">
        <v>40</v>
      </c>
      <c r="B86" s="198">
        <v>45</v>
      </c>
      <c r="C86" s="157">
        <v>165201</v>
      </c>
      <c r="D86" s="30">
        <v>718988620</v>
      </c>
      <c r="E86" s="183">
        <f t="shared" si="2"/>
        <v>29.014700072437012</v>
      </c>
      <c r="F86" s="184">
        <v>1.65201E-3</v>
      </c>
      <c r="G86" s="185">
        <v>4.7932574666666665E-2</v>
      </c>
      <c r="H86" s="228">
        <v>26.666666666666668</v>
      </c>
      <c r="I86" s="122" t="str">
        <f t="shared" si="3"/>
        <v>(40, 45]</v>
      </c>
      <c r="J86" s="157">
        <v>1</v>
      </c>
      <c r="K86" s="201">
        <v>2</v>
      </c>
      <c r="L86" s="184">
        <v>3.30402E-3</v>
      </c>
      <c r="M86" s="204">
        <v>3304020</v>
      </c>
      <c r="N86" s="191">
        <v>2.7367144547156747E-3</v>
      </c>
      <c r="O86" s="207">
        <v>7.9404949087478305E-2</v>
      </c>
      <c r="Q86" s="179"/>
    </row>
    <row r="87" spans="1:17" ht="15.6">
      <c r="A87" s="197">
        <v>45</v>
      </c>
      <c r="B87" s="198">
        <v>50</v>
      </c>
      <c r="C87" s="157">
        <v>203218</v>
      </c>
      <c r="D87" s="30">
        <v>977981300</v>
      </c>
      <c r="E87" s="183">
        <f t="shared" si="2"/>
        <v>32.083158644083362</v>
      </c>
      <c r="F87" s="184">
        <v>2.0321800000000002E-3</v>
      </c>
      <c r="G87" s="185">
        <v>6.5198753333333331E-2</v>
      </c>
      <c r="H87" s="228">
        <v>30</v>
      </c>
      <c r="I87" s="122" t="str">
        <f t="shared" si="3"/>
        <v>(45, 50]</v>
      </c>
      <c r="J87" s="157">
        <v>1</v>
      </c>
      <c r="K87" s="201">
        <v>0</v>
      </c>
      <c r="L87" s="184">
        <v>0</v>
      </c>
      <c r="M87" s="204">
        <v>0</v>
      </c>
      <c r="N87" s="191">
        <v>0</v>
      </c>
      <c r="O87" s="207">
        <v>0</v>
      </c>
      <c r="Q87" s="179"/>
    </row>
    <row r="88" spans="1:17" ht="15.6">
      <c r="A88" s="197">
        <v>50</v>
      </c>
      <c r="B88" s="198">
        <v>60</v>
      </c>
      <c r="C88" s="157">
        <v>324269</v>
      </c>
      <c r="D88" s="30">
        <v>1840796800</v>
      </c>
      <c r="E88" s="183">
        <f t="shared" si="2"/>
        <v>37.845056624798133</v>
      </c>
      <c r="F88" s="184">
        <v>3.2426899999999999E-3</v>
      </c>
      <c r="G88" s="185">
        <v>0.12271978666666665</v>
      </c>
      <c r="H88" s="228">
        <v>33.333333333333336</v>
      </c>
      <c r="I88" s="210" t="str">
        <f t="shared" si="3"/>
        <v>(50, 60]</v>
      </c>
      <c r="J88" s="157">
        <v>1</v>
      </c>
      <c r="K88" s="201">
        <v>0</v>
      </c>
      <c r="L88" s="184">
        <v>0</v>
      </c>
      <c r="M88" s="204">
        <v>0</v>
      </c>
      <c r="N88" s="191">
        <v>0</v>
      </c>
      <c r="O88" s="207">
        <v>0</v>
      </c>
      <c r="Q88" s="179"/>
    </row>
    <row r="89" spans="1:17" ht="15.6">
      <c r="A89" s="197">
        <v>60</v>
      </c>
      <c r="B89" s="198">
        <v>70</v>
      </c>
      <c r="C89" s="157">
        <v>197124</v>
      </c>
      <c r="D89" s="30">
        <v>1291443040</v>
      </c>
      <c r="E89" s="183">
        <f t="shared" si="2"/>
        <v>43.676164579993646</v>
      </c>
      <c r="F89" s="184">
        <v>1.97124E-3</v>
      </c>
      <c r="G89" s="185">
        <v>8.6096202666666677E-2</v>
      </c>
      <c r="H89" s="228">
        <v>40</v>
      </c>
      <c r="I89" s="122" t="str">
        <f t="shared" si="3"/>
        <v>(60, 70]</v>
      </c>
      <c r="J89" s="157">
        <v>1</v>
      </c>
      <c r="K89" s="201">
        <v>0</v>
      </c>
      <c r="L89" s="184">
        <v>0</v>
      </c>
      <c r="M89" s="204">
        <v>0</v>
      </c>
      <c r="N89" s="191">
        <v>0</v>
      </c>
      <c r="O89" s="207">
        <v>0</v>
      </c>
      <c r="Q89" s="179"/>
    </row>
    <row r="90" spans="1:17" ht="15.6">
      <c r="A90" s="197">
        <v>70</v>
      </c>
      <c r="B90" s="198">
        <v>80</v>
      </c>
      <c r="C90" s="157">
        <v>255967</v>
      </c>
      <c r="D90" s="30">
        <v>1949434600</v>
      </c>
      <c r="E90" s="183">
        <f t="shared" si="2"/>
        <v>50.773071007851271</v>
      </c>
      <c r="F90" s="184">
        <v>2.55967E-3</v>
      </c>
      <c r="G90" s="185">
        <v>0.12996230666666667</v>
      </c>
      <c r="H90" s="228">
        <v>46.666666666666664</v>
      </c>
      <c r="I90" s="210" t="str">
        <f t="shared" si="3"/>
        <v>(70, 80]</v>
      </c>
      <c r="J90" s="157">
        <v>1</v>
      </c>
      <c r="K90" s="201">
        <v>0</v>
      </c>
      <c r="L90" s="184">
        <v>0</v>
      </c>
      <c r="M90" s="204">
        <v>0</v>
      </c>
      <c r="N90" s="191">
        <v>0</v>
      </c>
      <c r="O90" s="207">
        <v>0</v>
      </c>
      <c r="Q90" s="179"/>
    </row>
    <row r="91" spans="1:17" ht="15.6">
      <c r="A91" s="197">
        <v>80</v>
      </c>
      <c r="B91" s="198">
        <v>90</v>
      </c>
      <c r="C91" s="157">
        <v>168742</v>
      </c>
      <c r="D91" s="30">
        <v>1456119240</v>
      </c>
      <c r="E91" s="183">
        <f t="shared" si="2"/>
        <v>57.528425643882372</v>
      </c>
      <c r="F91" s="184">
        <v>1.68742E-3</v>
      </c>
      <c r="G91" s="185">
        <v>9.7074615999999989E-2</v>
      </c>
      <c r="H91" s="228">
        <v>53.333333333333336</v>
      </c>
      <c r="I91" s="122" t="str">
        <f t="shared" si="3"/>
        <v>(80, 90]</v>
      </c>
      <c r="J91" s="157">
        <v>1</v>
      </c>
      <c r="K91" s="201">
        <v>0</v>
      </c>
      <c r="L91" s="184">
        <v>0</v>
      </c>
      <c r="M91" s="204">
        <v>0</v>
      </c>
      <c r="N91" s="191">
        <v>0</v>
      </c>
      <c r="O91" s="207">
        <v>0</v>
      </c>
      <c r="Q91" s="179"/>
    </row>
    <row r="92" spans="1:17" ht="15.6">
      <c r="A92" s="197">
        <v>90</v>
      </c>
      <c r="B92" s="198">
        <v>100</v>
      </c>
      <c r="C92" s="157">
        <v>167385</v>
      </c>
      <c r="D92" s="30">
        <v>1609603760</v>
      </c>
      <c r="E92" s="183">
        <f t="shared" si="2"/>
        <v>64.107845585526377</v>
      </c>
      <c r="F92" s="184">
        <v>1.6738499999999999E-3</v>
      </c>
      <c r="G92" s="185">
        <v>0.10730691733333332</v>
      </c>
      <c r="H92" s="228">
        <v>60</v>
      </c>
      <c r="I92" s="122" t="str">
        <f t="shared" si="3"/>
        <v>(90, 100]</v>
      </c>
      <c r="J92" s="157">
        <v>1</v>
      </c>
      <c r="K92" s="201">
        <v>0</v>
      </c>
      <c r="L92" s="184">
        <v>0</v>
      </c>
      <c r="M92" s="204">
        <v>0</v>
      </c>
      <c r="N92" s="191">
        <v>0</v>
      </c>
      <c r="O92" s="207">
        <v>0</v>
      </c>
      <c r="Q92" s="179"/>
    </row>
    <row r="93" spans="1:17" ht="15.6">
      <c r="A93" s="197">
        <v>100</v>
      </c>
      <c r="B93" s="198">
        <v>120</v>
      </c>
      <c r="C93" s="157">
        <v>285202</v>
      </c>
      <c r="D93" s="30">
        <v>3187137680</v>
      </c>
      <c r="E93" s="183">
        <f t="shared" si="2"/>
        <v>74.500124590056643</v>
      </c>
      <c r="F93" s="184">
        <v>2.8520199999999998E-3</v>
      </c>
      <c r="G93" s="185">
        <v>0.21247584533333333</v>
      </c>
      <c r="H93" s="228">
        <v>66.666666666666671</v>
      </c>
      <c r="I93" s="122" t="str">
        <f t="shared" si="3"/>
        <v>(100, 120]</v>
      </c>
      <c r="J93" s="157">
        <v>1</v>
      </c>
      <c r="K93" s="201">
        <v>0</v>
      </c>
      <c r="L93" s="184">
        <v>0</v>
      </c>
      <c r="M93" s="204">
        <v>0</v>
      </c>
      <c r="N93" s="191">
        <v>0</v>
      </c>
      <c r="O93" s="207">
        <v>0</v>
      </c>
      <c r="Q93" s="179"/>
    </row>
    <row r="94" spans="1:17" ht="15.6">
      <c r="A94" s="197">
        <v>120</v>
      </c>
      <c r="B94" s="198">
        <v>140</v>
      </c>
      <c r="C94" s="157">
        <v>196747</v>
      </c>
      <c r="D94" s="30">
        <v>2577020240</v>
      </c>
      <c r="E94" s="183">
        <f t="shared" si="2"/>
        <v>87.320949917067779</v>
      </c>
      <c r="F94" s="184">
        <v>1.9674699999999998E-3</v>
      </c>
      <c r="G94" s="185">
        <v>0.17180134933333333</v>
      </c>
      <c r="H94" s="228">
        <v>80</v>
      </c>
      <c r="I94" s="122" t="str">
        <f t="shared" si="3"/>
        <v>(120, 140]</v>
      </c>
      <c r="J94" s="157">
        <v>1</v>
      </c>
      <c r="K94" s="201">
        <v>0</v>
      </c>
      <c r="L94" s="184">
        <v>0</v>
      </c>
      <c r="M94" s="204">
        <v>0</v>
      </c>
      <c r="N94" s="191">
        <v>0</v>
      </c>
      <c r="O94" s="207">
        <v>0</v>
      </c>
      <c r="Q94" s="179"/>
    </row>
    <row r="95" spans="1:17" ht="15.6">
      <c r="A95" s="197">
        <v>140</v>
      </c>
      <c r="B95" s="198">
        <v>160</v>
      </c>
      <c r="C95" s="157">
        <v>185544</v>
      </c>
      <c r="D95" s="30">
        <v>2804385800</v>
      </c>
      <c r="E95" s="183">
        <f t="shared" si="2"/>
        <v>100.76265108725333</v>
      </c>
      <c r="F95" s="184">
        <v>1.8554400000000001E-3</v>
      </c>
      <c r="G95" s="185">
        <v>0.18695905333333332</v>
      </c>
      <c r="H95" s="228">
        <v>93.333333333333329</v>
      </c>
      <c r="I95" s="122" t="str">
        <f t="shared" si="3"/>
        <v>(140, 160]</v>
      </c>
      <c r="J95" s="157">
        <v>1</v>
      </c>
      <c r="K95" s="201">
        <v>0</v>
      </c>
      <c r="L95" s="184">
        <v>0</v>
      </c>
      <c r="M95" s="204">
        <v>0</v>
      </c>
      <c r="N95" s="191">
        <v>0</v>
      </c>
      <c r="O95" s="207">
        <v>0</v>
      </c>
      <c r="Q95" s="179"/>
    </row>
    <row r="96" spans="1:17" ht="15.6">
      <c r="A96" s="197">
        <v>160</v>
      </c>
      <c r="B96" s="198">
        <v>180</v>
      </c>
      <c r="C96" s="157">
        <v>142149</v>
      </c>
      <c r="D96" s="30">
        <v>2437933280</v>
      </c>
      <c r="E96" s="183">
        <f t="shared" si="2"/>
        <v>114.33698818376023</v>
      </c>
      <c r="F96" s="184">
        <v>1.4214900000000001E-3</v>
      </c>
      <c r="G96" s="185">
        <v>0.16252888533333334</v>
      </c>
      <c r="H96" s="228">
        <v>106.66666666666667</v>
      </c>
      <c r="I96" s="122" t="str">
        <f t="shared" si="3"/>
        <v>(160, 180]</v>
      </c>
      <c r="J96" s="157">
        <v>1</v>
      </c>
      <c r="K96" s="201">
        <v>0</v>
      </c>
      <c r="L96" s="184">
        <v>0</v>
      </c>
      <c r="M96" s="204">
        <v>0</v>
      </c>
      <c r="N96" s="191">
        <v>0</v>
      </c>
      <c r="O96" s="207">
        <v>0</v>
      </c>
      <c r="Q96" s="179"/>
    </row>
    <row r="97" spans="1:17" ht="15.6">
      <c r="A97" s="197">
        <v>180</v>
      </c>
      <c r="B97" s="198">
        <v>200</v>
      </c>
      <c r="C97" s="157">
        <v>129447</v>
      </c>
      <c r="D97" s="30">
        <v>2486430640</v>
      </c>
      <c r="E97" s="183">
        <f t="shared" si="2"/>
        <v>128.05398554363305</v>
      </c>
      <c r="F97" s="184">
        <v>1.29447E-3</v>
      </c>
      <c r="G97" s="185">
        <v>0.16576204266666666</v>
      </c>
      <c r="H97" s="228">
        <v>120</v>
      </c>
      <c r="I97" s="122" t="str">
        <f t="shared" si="3"/>
        <v>(180, 200]</v>
      </c>
      <c r="J97" s="157">
        <v>1</v>
      </c>
      <c r="K97" s="201">
        <v>0</v>
      </c>
      <c r="L97" s="184">
        <v>0</v>
      </c>
      <c r="M97" s="204">
        <v>0</v>
      </c>
      <c r="N97" s="191">
        <v>0</v>
      </c>
      <c r="O97" s="207">
        <v>0</v>
      </c>
      <c r="Q97" s="179"/>
    </row>
    <row r="98" spans="1:17" ht="15.6">
      <c r="A98" s="197">
        <v>200</v>
      </c>
      <c r="B98" s="198">
        <v>250</v>
      </c>
      <c r="C98" s="157">
        <v>250612</v>
      </c>
      <c r="D98" s="30">
        <v>5619770140</v>
      </c>
      <c r="E98" s="183">
        <f t="shared" si="2"/>
        <v>149.49457434866113</v>
      </c>
      <c r="F98" s="184">
        <v>2.5061200000000001E-3</v>
      </c>
      <c r="G98" s="185">
        <v>0.37465134266666666</v>
      </c>
      <c r="H98" s="228">
        <v>133.33333333333334</v>
      </c>
      <c r="I98" s="122" t="str">
        <f t="shared" si="3"/>
        <v>(200, 250]</v>
      </c>
      <c r="J98" s="157">
        <v>1</v>
      </c>
      <c r="K98" s="201">
        <v>0</v>
      </c>
      <c r="L98" s="184">
        <v>0</v>
      </c>
      <c r="M98" s="204">
        <v>0</v>
      </c>
      <c r="N98" s="191">
        <v>0</v>
      </c>
      <c r="O98" s="207">
        <v>0</v>
      </c>
      <c r="Q98" s="179"/>
    </row>
    <row r="99" spans="1:17" ht="15.6">
      <c r="A99" s="197">
        <v>250</v>
      </c>
      <c r="B99" s="198">
        <v>300</v>
      </c>
      <c r="C99" s="157">
        <v>173868</v>
      </c>
      <c r="D99" s="30">
        <v>4785735260</v>
      </c>
      <c r="E99" s="183">
        <f t="shared" si="2"/>
        <v>183.50071165098427</v>
      </c>
      <c r="F99" s="184">
        <v>1.73868E-3</v>
      </c>
      <c r="G99" s="185">
        <v>0.31904901733333335</v>
      </c>
      <c r="H99" s="228">
        <v>166.66666666666666</v>
      </c>
      <c r="I99" s="122" t="str">
        <f t="shared" si="3"/>
        <v>(250, 300]</v>
      </c>
      <c r="J99" s="157">
        <v>1</v>
      </c>
      <c r="K99" s="201">
        <v>0</v>
      </c>
      <c r="L99" s="184">
        <v>0</v>
      </c>
      <c r="M99" s="204">
        <v>0</v>
      </c>
      <c r="N99" s="191">
        <v>0</v>
      </c>
      <c r="O99" s="207">
        <v>0</v>
      </c>
      <c r="Q99" s="179"/>
    </row>
    <row r="100" spans="1:17" ht="15.6">
      <c r="A100" s="197">
        <v>300</v>
      </c>
      <c r="B100" s="198">
        <v>350</v>
      </c>
      <c r="C100" s="157">
        <v>120231</v>
      </c>
      <c r="D100" s="30">
        <v>3902840620</v>
      </c>
      <c r="E100" s="183">
        <f t="shared" si="2"/>
        <v>216.40789369352882</v>
      </c>
      <c r="F100" s="184">
        <v>1.2023100000000001E-3</v>
      </c>
      <c r="G100" s="185">
        <v>0.26018937466666664</v>
      </c>
      <c r="H100" s="228">
        <v>200</v>
      </c>
      <c r="I100" s="122" t="str">
        <f t="shared" si="3"/>
        <v>(300, 350]</v>
      </c>
      <c r="J100" s="157">
        <v>1</v>
      </c>
      <c r="K100" s="201">
        <v>0</v>
      </c>
      <c r="L100" s="184">
        <v>0</v>
      </c>
      <c r="M100" s="204">
        <v>0</v>
      </c>
      <c r="N100" s="191">
        <v>0</v>
      </c>
      <c r="O100" s="207">
        <v>0</v>
      </c>
      <c r="Q100" s="179"/>
    </row>
    <row r="101" spans="1:17" ht="15.6">
      <c r="A101" s="197">
        <v>350</v>
      </c>
      <c r="B101" s="198">
        <v>400</v>
      </c>
      <c r="C101" s="157">
        <v>101299</v>
      </c>
      <c r="D101" s="30">
        <v>3810751320</v>
      </c>
      <c r="E101" s="183">
        <f t="shared" si="2"/>
        <v>250.79229607399876</v>
      </c>
      <c r="F101" s="184">
        <v>1.0129900000000001E-3</v>
      </c>
      <c r="G101" s="185">
        <v>0.25405008800000001</v>
      </c>
      <c r="H101" s="228">
        <v>233.33333333333334</v>
      </c>
      <c r="I101" s="122" t="str">
        <f t="shared" si="3"/>
        <v>(350, 400]</v>
      </c>
      <c r="J101" s="157">
        <v>1</v>
      </c>
      <c r="K101" s="201">
        <v>0</v>
      </c>
      <c r="L101" s="184">
        <v>0</v>
      </c>
      <c r="M101" s="204">
        <v>0</v>
      </c>
      <c r="N101" s="191">
        <v>0</v>
      </c>
      <c r="O101" s="207">
        <v>0</v>
      </c>
      <c r="Q101" s="179"/>
    </row>
    <row r="102" spans="1:17" ht="15.6">
      <c r="A102" s="197">
        <v>400</v>
      </c>
      <c r="B102" s="198">
        <v>450</v>
      </c>
      <c r="C102" s="157">
        <v>76969</v>
      </c>
      <c r="D102" s="30">
        <v>3273311860</v>
      </c>
      <c r="E102" s="183">
        <f t="shared" si="2"/>
        <v>283.51776775931432</v>
      </c>
      <c r="F102" s="184">
        <v>7.6968999999999996E-4</v>
      </c>
      <c r="G102" s="185">
        <v>0.21822079066666664</v>
      </c>
      <c r="H102" s="228">
        <v>266.66666666666669</v>
      </c>
      <c r="I102" s="122" t="str">
        <f t="shared" si="3"/>
        <v>(400, 450]</v>
      </c>
      <c r="J102" s="157">
        <v>1</v>
      </c>
      <c r="K102" s="201">
        <v>0</v>
      </c>
      <c r="L102" s="184">
        <v>0</v>
      </c>
      <c r="M102" s="204">
        <v>0</v>
      </c>
      <c r="N102" s="191">
        <v>0</v>
      </c>
      <c r="O102" s="207">
        <v>0</v>
      </c>
      <c r="Q102" s="179"/>
    </row>
    <row r="103" spans="1:17" ht="15.6">
      <c r="A103" s="197">
        <v>450</v>
      </c>
      <c r="B103" s="198">
        <v>500</v>
      </c>
      <c r="C103" s="157">
        <v>66958</v>
      </c>
      <c r="D103" s="30">
        <v>3195883300</v>
      </c>
      <c r="E103" s="183">
        <f t="shared" si="2"/>
        <v>318.19780558957359</v>
      </c>
      <c r="F103" s="184">
        <v>6.6958000000000002E-4</v>
      </c>
      <c r="G103" s="185">
        <v>0.2130588866666667</v>
      </c>
      <c r="H103" s="228">
        <v>300</v>
      </c>
      <c r="I103" s="122" t="str">
        <f t="shared" si="3"/>
        <v>(450, 500]</v>
      </c>
      <c r="J103" s="157">
        <v>1</v>
      </c>
      <c r="K103" s="201">
        <v>0</v>
      </c>
      <c r="L103" s="184">
        <v>0</v>
      </c>
      <c r="M103" s="204">
        <v>0</v>
      </c>
      <c r="N103" s="191">
        <v>0</v>
      </c>
      <c r="O103" s="207">
        <v>0</v>
      </c>
      <c r="Q103" s="179"/>
    </row>
    <row r="104" spans="1:17" ht="15.6">
      <c r="A104" s="197">
        <v>500</v>
      </c>
      <c r="B104" s="198">
        <v>550</v>
      </c>
      <c r="C104" s="157">
        <v>63841</v>
      </c>
      <c r="D104" s="30">
        <v>3349902500</v>
      </c>
      <c r="E104" s="183">
        <f t="shared" si="2"/>
        <v>349.81725432454584</v>
      </c>
      <c r="F104" s="184">
        <v>6.3840999999999995E-4</v>
      </c>
      <c r="G104" s="185">
        <v>0.22332683333333331</v>
      </c>
      <c r="H104" s="228">
        <v>333.33333333333331</v>
      </c>
      <c r="I104" s="122" t="str">
        <f t="shared" si="3"/>
        <v>(500, 550]</v>
      </c>
      <c r="J104" s="157">
        <v>1</v>
      </c>
      <c r="K104" s="201">
        <v>0</v>
      </c>
      <c r="L104" s="184">
        <v>0</v>
      </c>
      <c r="M104" s="204">
        <v>0</v>
      </c>
      <c r="N104" s="191">
        <v>0</v>
      </c>
      <c r="O104" s="207">
        <v>0</v>
      </c>
      <c r="Q104" s="179"/>
    </row>
    <row r="105" spans="1:17" ht="15.6">
      <c r="A105" s="197">
        <v>550</v>
      </c>
      <c r="B105" s="198">
        <v>600</v>
      </c>
      <c r="C105" s="157">
        <v>49241</v>
      </c>
      <c r="D105" s="30">
        <v>2836792460</v>
      </c>
      <c r="E105" s="183">
        <f t="shared" si="2"/>
        <v>384.06916458506799</v>
      </c>
      <c r="F105" s="184">
        <v>4.9240999999999998E-4</v>
      </c>
      <c r="G105" s="185">
        <v>0.18911949733333333</v>
      </c>
      <c r="H105" s="228">
        <v>366.66666666666669</v>
      </c>
      <c r="I105" s="122" t="str">
        <f t="shared" si="3"/>
        <v>(550, 600]</v>
      </c>
      <c r="J105" s="157">
        <v>1</v>
      </c>
      <c r="K105" s="201">
        <v>0</v>
      </c>
      <c r="L105" s="184">
        <v>0</v>
      </c>
      <c r="M105" s="204">
        <v>0</v>
      </c>
      <c r="N105" s="191">
        <v>0</v>
      </c>
      <c r="O105" s="207">
        <v>0</v>
      </c>
      <c r="Q105" s="179"/>
    </row>
    <row r="106" spans="1:17" ht="15.6">
      <c r="A106" s="197">
        <v>600</v>
      </c>
      <c r="B106" s="198">
        <v>650</v>
      </c>
      <c r="C106" s="157">
        <v>36244</v>
      </c>
      <c r="D106" s="30">
        <v>2268304480</v>
      </c>
      <c r="E106" s="183">
        <f t="shared" si="2"/>
        <v>417.22850310856052</v>
      </c>
      <c r="F106" s="184">
        <v>3.6244000000000001E-4</v>
      </c>
      <c r="G106" s="185">
        <v>0.15122029866666667</v>
      </c>
      <c r="H106" s="228">
        <v>400</v>
      </c>
      <c r="I106" s="122" t="str">
        <f t="shared" si="3"/>
        <v>(600, 650]</v>
      </c>
      <c r="J106" s="157">
        <v>1</v>
      </c>
      <c r="K106" s="201">
        <v>0</v>
      </c>
      <c r="L106" s="184">
        <v>0</v>
      </c>
      <c r="M106" s="204">
        <v>0</v>
      </c>
      <c r="N106" s="191">
        <v>0</v>
      </c>
      <c r="O106" s="207">
        <v>0</v>
      </c>
      <c r="Q106" s="179"/>
    </row>
    <row r="107" spans="1:17" ht="15.6">
      <c r="A107" s="197">
        <v>650</v>
      </c>
      <c r="B107" s="198">
        <v>700</v>
      </c>
      <c r="C107" s="157">
        <v>30702</v>
      </c>
      <c r="D107" s="30">
        <v>2073268860</v>
      </c>
      <c r="E107" s="183">
        <f t="shared" si="2"/>
        <v>450.19192235033552</v>
      </c>
      <c r="F107" s="184">
        <v>3.0702000000000003E-4</v>
      </c>
      <c r="G107" s="185">
        <v>0.13821792400000002</v>
      </c>
      <c r="H107" s="228">
        <v>433.33333333333331</v>
      </c>
      <c r="I107" s="122" t="str">
        <f t="shared" si="3"/>
        <v>(650, 700]</v>
      </c>
      <c r="J107" s="157">
        <v>0</v>
      </c>
      <c r="K107" s="201">
        <v>0</v>
      </c>
      <c r="L107" s="184">
        <v>0</v>
      </c>
      <c r="M107" s="204">
        <v>0</v>
      </c>
      <c r="N107" s="191">
        <v>0</v>
      </c>
      <c r="O107" s="207">
        <v>0</v>
      </c>
      <c r="Q107" s="179"/>
    </row>
    <row r="108" spans="1:17" ht="15.6">
      <c r="A108" s="197">
        <v>700</v>
      </c>
      <c r="B108" s="198">
        <v>750</v>
      </c>
      <c r="C108" s="157">
        <v>26624</v>
      </c>
      <c r="D108" s="30">
        <v>1929990420</v>
      </c>
      <c r="E108" s="183">
        <f t="shared" si="2"/>
        <v>483.27083834134618</v>
      </c>
      <c r="F108" s="184">
        <v>2.6624E-4</v>
      </c>
      <c r="G108" s="185">
        <v>0.12866602800000002</v>
      </c>
      <c r="H108" s="228">
        <v>466.66666666666669</v>
      </c>
      <c r="I108" s="122" t="str">
        <f t="shared" si="3"/>
        <v>(700, 750]</v>
      </c>
      <c r="J108" s="157">
        <v>0</v>
      </c>
      <c r="K108" s="201">
        <v>0</v>
      </c>
      <c r="L108" s="184">
        <v>0</v>
      </c>
      <c r="M108" s="204">
        <v>0</v>
      </c>
      <c r="N108" s="191">
        <v>0</v>
      </c>
      <c r="O108" s="207">
        <v>0</v>
      </c>
      <c r="Q108" s="179"/>
    </row>
    <row r="109" spans="1:17" ht="15.6">
      <c r="A109" s="197">
        <v>750</v>
      </c>
      <c r="B109" s="198">
        <v>800</v>
      </c>
      <c r="C109" s="157">
        <v>29582</v>
      </c>
      <c r="D109" s="30">
        <v>2311927880</v>
      </c>
      <c r="E109" s="183">
        <f t="shared" si="2"/>
        <v>521.02131476348234</v>
      </c>
      <c r="F109" s="184">
        <v>2.9582000000000002E-4</v>
      </c>
      <c r="G109" s="185">
        <v>0.15412852533333335</v>
      </c>
      <c r="H109" s="228">
        <v>500</v>
      </c>
      <c r="I109" s="122" t="str">
        <f t="shared" si="3"/>
        <v>(750, 800]</v>
      </c>
      <c r="J109" s="157">
        <v>0</v>
      </c>
      <c r="K109" s="201">
        <v>0</v>
      </c>
      <c r="L109" s="184">
        <v>0</v>
      </c>
      <c r="M109" s="204">
        <v>0</v>
      </c>
      <c r="N109" s="191">
        <v>0</v>
      </c>
      <c r="O109" s="207">
        <v>0</v>
      </c>
      <c r="Q109" s="179"/>
    </row>
    <row r="110" spans="1:17" ht="15.6">
      <c r="A110" s="197">
        <v>800</v>
      </c>
      <c r="B110" s="198">
        <v>850</v>
      </c>
      <c r="C110" s="157">
        <v>31660</v>
      </c>
      <c r="D110" s="30">
        <v>2618094520</v>
      </c>
      <c r="E110" s="183">
        <f t="shared" si="2"/>
        <v>551.2938555485365</v>
      </c>
      <c r="F110" s="184">
        <v>3.166E-4</v>
      </c>
      <c r="G110" s="185">
        <v>0.17453963466666667</v>
      </c>
      <c r="H110" s="228">
        <v>533.33333333333337</v>
      </c>
      <c r="I110" s="122" t="str">
        <f t="shared" si="3"/>
        <v>(800, 850]</v>
      </c>
      <c r="J110" s="157">
        <v>0</v>
      </c>
      <c r="K110" s="201">
        <v>0</v>
      </c>
      <c r="L110" s="184">
        <v>0</v>
      </c>
      <c r="M110" s="204">
        <v>0</v>
      </c>
      <c r="N110" s="191">
        <v>0</v>
      </c>
      <c r="O110" s="207">
        <v>0</v>
      </c>
      <c r="Q110" s="179"/>
    </row>
    <row r="111" spans="1:17" ht="15.6">
      <c r="A111" s="197">
        <v>850</v>
      </c>
      <c r="B111" s="198">
        <v>900</v>
      </c>
      <c r="C111" s="157">
        <v>25319</v>
      </c>
      <c r="D111" s="30">
        <v>2214041620</v>
      </c>
      <c r="E111" s="183">
        <f t="shared" si="2"/>
        <v>582.97237121002672</v>
      </c>
      <c r="F111" s="184">
        <v>2.5318999999999998E-4</v>
      </c>
      <c r="G111" s="185">
        <v>0.14760277466666666</v>
      </c>
      <c r="H111" s="228">
        <v>566.66666666666663</v>
      </c>
      <c r="I111" s="122" t="str">
        <f t="shared" si="3"/>
        <v>(850, 900]</v>
      </c>
      <c r="J111" s="157">
        <v>0</v>
      </c>
      <c r="K111" s="201">
        <v>0</v>
      </c>
      <c r="L111" s="184">
        <v>0</v>
      </c>
      <c r="M111" s="204">
        <v>0</v>
      </c>
      <c r="N111" s="191">
        <v>0</v>
      </c>
      <c r="O111" s="207">
        <v>0</v>
      </c>
      <c r="Q111" s="179"/>
    </row>
    <row r="112" spans="1:17" ht="15.6">
      <c r="A112" s="197">
        <v>900</v>
      </c>
      <c r="B112" s="198">
        <v>950</v>
      </c>
      <c r="C112" s="157">
        <v>17351</v>
      </c>
      <c r="D112" s="30">
        <v>1604425740</v>
      </c>
      <c r="E112" s="183">
        <f t="shared" si="2"/>
        <v>616.45850959598863</v>
      </c>
      <c r="F112" s="184">
        <v>1.7351000000000001E-4</v>
      </c>
      <c r="G112" s="185">
        <v>0.106961716</v>
      </c>
      <c r="H112" s="228">
        <v>600</v>
      </c>
      <c r="I112" s="122" t="str">
        <f t="shared" si="3"/>
        <v>(900, 950]</v>
      </c>
      <c r="J112" s="157">
        <v>0</v>
      </c>
      <c r="K112" s="201">
        <v>0</v>
      </c>
      <c r="L112" s="184">
        <v>0</v>
      </c>
      <c r="M112" s="204">
        <v>0</v>
      </c>
      <c r="N112" s="191">
        <v>0</v>
      </c>
      <c r="O112" s="207">
        <v>0</v>
      </c>
      <c r="Q112" s="179"/>
    </row>
    <row r="113" spans="1:19" ht="15.6">
      <c r="A113" s="197">
        <v>950</v>
      </c>
      <c r="B113" s="198">
        <v>1000</v>
      </c>
      <c r="C113" s="157">
        <v>22344</v>
      </c>
      <c r="D113" s="30">
        <v>2195989840</v>
      </c>
      <c r="E113" s="183">
        <f t="shared" si="2"/>
        <v>655.20642081393964</v>
      </c>
      <c r="F113" s="184">
        <v>2.2343999999999999E-4</v>
      </c>
      <c r="G113" s="185">
        <v>0.14639932266666666</v>
      </c>
      <c r="H113" s="228">
        <v>633.33333333333337</v>
      </c>
      <c r="I113" s="122" t="str">
        <f t="shared" si="3"/>
        <v>(950, 1000]</v>
      </c>
      <c r="J113" s="157">
        <v>0</v>
      </c>
      <c r="K113" s="201">
        <v>0</v>
      </c>
      <c r="L113" s="184">
        <v>0</v>
      </c>
      <c r="M113" s="204">
        <v>0</v>
      </c>
      <c r="N113" s="191">
        <v>0</v>
      </c>
      <c r="O113" s="207">
        <v>0</v>
      </c>
      <c r="Q113" s="179"/>
    </row>
    <row r="114" spans="1:19" ht="15.6">
      <c r="A114" s="197">
        <v>1000</v>
      </c>
      <c r="B114" s="198">
        <v>2000</v>
      </c>
      <c r="C114" s="157">
        <v>247568</v>
      </c>
      <c r="D114" s="30">
        <v>34895596880</v>
      </c>
      <c r="E114" s="183">
        <f t="shared" si="2"/>
        <v>939.69055990004097</v>
      </c>
      <c r="F114" s="184">
        <v>2.4756800000000001E-3</v>
      </c>
      <c r="G114" s="185">
        <v>2.3263731253333333</v>
      </c>
      <c r="H114" s="228">
        <v>666.66666666666663</v>
      </c>
      <c r="I114" s="122" t="str">
        <f t="shared" si="3"/>
        <v>(1000, 2000]</v>
      </c>
      <c r="J114" s="157">
        <v>1</v>
      </c>
      <c r="K114" s="201">
        <v>0</v>
      </c>
      <c r="L114" s="184">
        <v>0</v>
      </c>
      <c r="M114" s="204">
        <v>0</v>
      </c>
      <c r="N114" s="191">
        <v>0</v>
      </c>
      <c r="O114" s="207">
        <v>0</v>
      </c>
      <c r="Q114" s="179"/>
    </row>
    <row r="115" spans="1:19" ht="15.6">
      <c r="A115" s="197">
        <v>2000</v>
      </c>
      <c r="B115" s="198">
        <v>3000</v>
      </c>
      <c r="C115" s="157">
        <v>110800</v>
      </c>
      <c r="D115" s="30">
        <v>26706283260</v>
      </c>
      <c r="E115" s="183">
        <f t="shared" si="2"/>
        <v>1606.876249097473</v>
      </c>
      <c r="F115" s="184">
        <v>1.108E-3</v>
      </c>
      <c r="G115" s="185">
        <v>1.7804188840000001</v>
      </c>
      <c r="H115" s="228">
        <v>1333.3333333333333</v>
      </c>
      <c r="I115" s="122" t="str">
        <f t="shared" si="3"/>
        <v>(2000, 3000]</v>
      </c>
      <c r="J115" s="157">
        <v>1</v>
      </c>
      <c r="K115" s="201">
        <v>0</v>
      </c>
      <c r="L115" s="184">
        <v>0</v>
      </c>
      <c r="M115" s="204">
        <v>0</v>
      </c>
      <c r="N115" s="191">
        <v>0</v>
      </c>
      <c r="O115" s="207">
        <v>0</v>
      </c>
      <c r="Q115" s="179"/>
    </row>
    <row r="116" spans="1:19" ht="15.6">
      <c r="A116" s="197">
        <v>3000</v>
      </c>
      <c r="B116" s="198">
        <v>4000</v>
      </c>
      <c r="C116" s="157">
        <v>51673</v>
      </c>
      <c r="D116" s="30">
        <v>17757022700</v>
      </c>
      <c r="E116" s="183">
        <f t="shared" si="2"/>
        <v>2290.9479096110799</v>
      </c>
      <c r="F116" s="184">
        <v>5.1672999999999997E-4</v>
      </c>
      <c r="G116" s="185">
        <v>1.1838015133333333</v>
      </c>
      <c r="H116" s="228">
        <v>2000</v>
      </c>
      <c r="I116" s="122" t="str">
        <f t="shared" si="3"/>
        <v>(3000, 4000]</v>
      </c>
      <c r="J116" s="157">
        <v>1</v>
      </c>
      <c r="K116" s="201">
        <v>0</v>
      </c>
      <c r="L116" s="184">
        <v>0</v>
      </c>
      <c r="M116" s="204">
        <v>0</v>
      </c>
      <c r="N116" s="191">
        <v>0</v>
      </c>
      <c r="O116" s="207">
        <v>0</v>
      </c>
      <c r="Q116" s="179"/>
    </row>
    <row r="117" spans="1:19" ht="15.6">
      <c r="A117" s="197">
        <v>4000</v>
      </c>
      <c r="B117" s="198">
        <v>5000</v>
      </c>
      <c r="C117" s="157">
        <v>31007</v>
      </c>
      <c r="D117" s="30">
        <v>13779144020</v>
      </c>
      <c r="E117" s="183">
        <f t="shared" si="2"/>
        <v>2962.5878070543213</v>
      </c>
      <c r="F117" s="184">
        <v>3.1007000000000002E-4</v>
      </c>
      <c r="G117" s="185">
        <v>0.91860960133333347</v>
      </c>
      <c r="H117" s="228">
        <v>2666.6666666666665</v>
      </c>
      <c r="I117" s="122" t="str">
        <f t="shared" si="3"/>
        <v>(4000, 5000]</v>
      </c>
      <c r="J117" s="157">
        <v>0</v>
      </c>
      <c r="K117" s="201">
        <v>0</v>
      </c>
      <c r="L117" s="184">
        <v>0</v>
      </c>
      <c r="M117" s="204">
        <v>0</v>
      </c>
      <c r="N117" s="191">
        <v>0</v>
      </c>
      <c r="O117" s="207">
        <v>0</v>
      </c>
      <c r="Q117" s="179"/>
    </row>
    <row r="118" spans="1:19" ht="15.6">
      <c r="A118" s="197">
        <v>5000</v>
      </c>
      <c r="B118" s="198">
        <v>6000</v>
      </c>
      <c r="C118" s="157">
        <v>15139</v>
      </c>
      <c r="D118" s="30">
        <v>8260523660</v>
      </c>
      <c r="E118" s="183">
        <f t="shared" si="2"/>
        <v>3637.6350969901141</v>
      </c>
      <c r="F118" s="184">
        <v>1.5139E-4</v>
      </c>
      <c r="G118" s="185">
        <v>0.55070157733333336</v>
      </c>
      <c r="H118" s="228">
        <v>3333.3333333333335</v>
      </c>
      <c r="I118" s="122" t="str">
        <f t="shared" si="3"/>
        <v>(5000, 6000]</v>
      </c>
      <c r="J118" s="157">
        <v>0</v>
      </c>
      <c r="K118" s="201">
        <v>0</v>
      </c>
      <c r="L118" s="184">
        <v>0</v>
      </c>
      <c r="M118" s="204">
        <v>0</v>
      </c>
      <c r="N118" s="191">
        <v>0</v>
      </c>
      <c r="O118" s="207">
        <v>0</v>
      </c>
      <c r="Q118" s="179"/>
    </row>
    <row r="119" spans="1:19" ht="15.6">
      <c r="A119" s="197">
        <v>6000</v>
      </c>
      <c r="B119" s="198">
        <v>7000</v>
      </c>
      <c r="C119" s="157">
        <v>10296</v>
      </c>
      <c r="D119" s="30">
        <v>6634417080</v>
      </c>
      <c r="E119" s="183">
        <f t="shared" si="2"/>
        <v>4295.789355089355</v>
      </c>
      <c r="F119" s="184">
        <v>1.0296E-4</v>
      </c>
      <c r="G119" s="185">
        <v>0.44229447199999999</v>
      </c>
      <c r="H119" s="228">
        <v>4000</v>
      </c>
      <c r="I119" s="122" t="str">
        <f t="shared" si="3"/>
        <v>(6000, 7000]</v>
      </c>
      <c r="J119" s="157">
        <v>0</v>
      </c>
      <c r="K119" s="201">
        <v>0</v>
      </c>
      <c r="L119" s="184">
        <v>0</v>
      </c>
      <c r="M119" s="204">
        <v>0</v>
      </c>
      <c r="N119" s="191">
        <v>0</v>
      </c>
      <c r="O119" s="207">
        <v>0</v>
      </c>
      <c r="Q119" s="179"/>
    </row>
    <row r="120" spans="1:19" thickBot="1">
      <c r="A120" s="199">
        <v>7000</v>
      </c>
      <c r="B120" s="200">
        <v>8000</v>
      </c>
      <c r="C120" s="159">
        <v>16379</v>
      </c>
      <c r="D120" s="164">
        <v>15875619560</v>
      </c>
      <c r="E120" s="186">
        <f t="shared" si="2"/>
        <v>6461.7781142519898</v>
      </c>
      <c r="F120" s="187">
        <v>1.6379E-4</v>
      </c>
      <c r="G120" s="188">
        <v>1.0583746373333334</v>
      </c>
      <c r="H120" s="228">
        <v>4666.666666666667</v>
      </c>
      <c r="I120" s="123" t="str">
        <f t="shared" si="3"/>
        <v>(7000, 8000]</v>
      </c>
      <c r="J120" s="159">
        <v>0</v>
      </c>
      <c r="K120" s="202">
        <v>0</v>
      </c>
      <c r="L120" s="187">
        <v>0</v>
      </c>
      <c r="M120" s="205">
        <v>0</v>
      </c>
      <c r="N120" s="192">
        <v>0</v>
      </c>
      <c r="O120" s="208">
        <v>0</v>
      </c>
      <c r="Q120" s="179"/>
    </row>
    <row r="121" spans="1:19" ht="15.6">
      <c r="A121" s="238">
        <v>8000</v>
      </c>
      <c r="B121" s="242">
        <v>9000</v>
      </c>
      <c r="C121" s="157">
        <v>0</v>
      </c>
      <c r="D121" s="30">
        <v>0</v>
      </c>
      <c r="E121" s="183">
        <f t="shared" si="2"/>
        <v>0</v>
      </c>
      <c r="F121" s="184">
        <v>0</v>
      </c>
      <c r="G121" s="185">
        <v>0</v>
      </c>
      <c r="H121" s="174">
        <v>5333.333333333333</v>
      </c>
      <c r="I121" s="122" t="str">
        <f t="shared" si="3"/>
        <v>(8000, 9000]</v>
      </c>
      <c r="J121" s="157">
        <v>0</v>
      </c>
      <c r="K121" s="230">
        <v>0</v>
      </c>
      <c r="L121" s="184">
        <v>0</v>
      </c>
      <c r="M121" s="229">
        <v>0</v>
      </c>
      <c r="N121" s="245">
        <v>0</v>
      </c>
      <c r="O121" s="231">
        <v>0</v>
      </c>
      <c r="P121" s="194"/>
      <c r="Q121" s="194"/>
      <c r="S121" s="178"/>
    </row>
    <row r="122" spans="1:19" ht="15.6">
      <c r="A122" s="238">
        <v>9000</v>
      </c>
      <c r="B122" s="242">
        <v>10000</v>
      </c>
      <c r="C122" s="157">
        <v>0</v>
      </c>
      <c r="D122" s="30">
        <v>0</v>
      </c>
      <c r="E122" s="183">
        <f t="shared" si="2"/>
        <v>0</v>
      </c>
      <c r="F122" s="184">
        <v>0</v>
      </c>
      <c r="G122" s="185">
        <v>0</v>
      </c>
      <c r="H122" s="174">
        <v>6000</v>
      </c>
      <c r="I122" s="122" t="str">
        <f t="shared" si="3"/>
        <v>(9000, 10000]</v>
      </c>
      <c r="J122" s="157">
        <v>0</v>
      </c>
      <c r="K122" s="230">
        <v>0</v>
      </c>
      <c r="L122" s="184">
        <v>0</v>
      </c>
      <c r="M122" s="229">
        <v>0</v>
      </c>
      <c r="N122" s="245">
        <v>0</v>
      </c>
      <c r="O122" s="231">
        <v>0</v>
      </c>
      <c r="P122" s="194"/>
      <c r="Q122" s="194"/>
      <c r="S122" s="178"/>
    </row>
    <row r="123" spans="1:19" ht="15.6">
      <c r="A123" s="238">
        <v>10000</v>
      </c>
      <c r="B123" s="242">
        <v>20000</v>
      </c>
      <c r="C123" s="157">
        <v>0</v>
      </c>
      <c r="D123" s="30">
        <v>0</v>
      </c>
      <c r="E123" s="183">
        <f t="shared" si="2"/>
        <v>0</v>
      </c>
      <c r="F123" s="184">
        <v>0</v>
      </c>
      <c r="G123" s="185">
        <v>0</v>
      </c>
      <c r="H123" s="174">
        <v>6666.666666666667</v>
      </c>
      <c r="I123" s="122" t="str">
        <f t="shared" si="3"/>
        <v>(10000, 20000]</v>
      </c>
      <c r="J123" s="157">
        <v>0</v>
      </c>
      <c r="K123" s="230">
        <v>0</v>
      </c>
      <c r="L123" s="184">
        <v>0</v>
      </c>
      <c r="M123" s="229">
        <v>0</v>
      </c>
      <c r="N123" s="245">
        <v>0</v>
      </c>
      <c r="O123" s="231">
        <v>0</v>
      </c>
      <c r="P123" s="194"/>
      <c r="Q123" s="194"/>
      <c r="S123" s="178"/>
    </row>
    <row r="124" spans="1:19" ht="15.6">
      <c r="A124" s="238">
        <v>20000</v>
      </c>
      <c r="B124" s="242">
        <v>30000</v>
      </c>
      <c r="C124" s="157">
        <v>0</v>
      </c>
      <c r="D124" s="30">
        <v>0</v>
      </c>
      <c r="E124" s="183">
        <f t="shared" si="2"/>
        <v>0</v>
      </c>
      <c r="F124" s="184">
        <v>0</v>
      </c>
      <c r="G124" s="185">
        <v>0</v>
      </c>
      <c r="H124" s="174">
        <v>13333.333333333334</v>
      </c>
      <c r="I124" s="122" t="str">
        <f t="shared" si="3"/>
        <v>(20000, 30000]</v>
      </c>
      <c r="J124" s="157">
        <v>0</v>
      </c>
      <c r="K124" s="230">
        <v>0</v>
      </c>
      <c r="L124" s="184">
        <v>0</v>
      </c>
      <c r="M124" s="229">
        <v>0</v>
      </c>
      <c r="N124" s="245">
        <v>0</v>
      </c>
      <c r="O124" s="231">
        <v>0</v>
      </c>
      <c r="P124" s="194"/>
      <c r="Q124" s="194"/>
      <c r="S124" s="178"/>
    </row>
    <row r="125" spans="1:19" ht="15.6">
      <c r="A125" s="238">
        <v>30000</v>
      </c>
      <c r="B125" s="242">
        <v>100000</v>
      </c>
      <c r="C125" s="157">
        <v>0</v>
      </c>
      <c r="D125" s="30">
        <v>0</v>
      </c>
      <c r="E125" s="183">
        <f t="shared" si="2"/>
        <v>0</v>
      </c>
      <c r="F125" s="184">
        <v>0</v>
      </c>
      <c r="G125" s="185">
        <v>0</v>
      </c>
      <c r="H125" s="174">
        <v>20000</v>
      </c>
      <c r="I125" s="122" t="str">
        <f t="shared" si="3"/>
        <v>(30000, 100000]</v>
      </c>
      <c r="J125" s="157">
        <v>0</v>
      </c>
      <c r="K125" s="230">
        <v>0</v>
      </c>
      <c r="L125" s="184">
        <v>0</v>
      </c>
      <c r="M125" s="229">
        <v>0</v>
      </c>
      <c r="N125" s="245">
        <v>0</v>
      </c>
      <c r="O125" s="231">
        <v>0</v>
      </c>
      <c r="P125" s="194"/>
      <c r="Q125" s="194"/>
      <c r="S125" s="178"/>
    </row>
    <row r="126" spans="1:19" thickBot="1">
      <c r="A126" s="239">
        <v>100000</v>
      </c>
      <c r="B126" s="243">
        <v>999999</v>
      </c>
      <c r="C126" s="159">
        <v>0</v>
      </c>
      <c r="D126" s="164">
        <v>0</v>
      </c>
      <c r="E126" s="186">
        <f t="shared" si="2"/>
        <v>0</v>
      </c>
      <c r="F126" s="187">
        <v>0</v>
      </c>
      <c r="G126" s="188">
        <v>0</v>
      </c>
      <c r="H126" s="174">
        <v>66666.666666666672</v>
      </c>
      <c r="I126" s="123" t="str">
        <f t="shared" si="3"/>
        <v>(100000, 999999]</v>
      </c>
      <c r="J126" s="159">
        <v>0</v>
      </c>
      <c r="K126" s="246">
        <v>0</v>
      </c>
      <c r="L126" s="187">
        <v>0</v>
      </c>
      <c r="M126" s="240">
        <v>0</v>
      </c>
      <c r="N126" s="247">
        <v>0</v>
      </c>
      <c r="O126" s="231">
        <v>0</v>
      </c>
      <c r="P126" s="194"/>
      <c r="Q126" s="194"/>
      <c r="S126" s="178"/>
    </row>
    <row r="127" spans="1:19" ht="16.8" thickBot="1">
      <c r="O127" s="10">
        <f>SUM(O96:O120)</f>
        <v>0</v>
      </c>
    </row>
    <row r="128" spans="1:19" ht="16.8" thickBot="1">
      <c r="M128" s="112"/>
      <c r="N128" s="161" t="s">
        <v>168</v>
      </c>
      <c r="O128" s="215" t="s">
        <v>167</v>
      </c>
    </row>
    <row r="129" spans="1:65">
      <c r="M129" s="125" t="s">
        <v>165</v>
      </c>
      <c r="N129" s="214" t="e">
        <f>1/SUM(N103:N120)</f>
        <v>#DIV/0!</v>
      </c>
      <c r="O129" s="216" t="e" cm="1">
        <f t="array" ref="O129:O130">N131/N129:N130</f>
        <v>#DIV/0!</v>
      </c>
    </row>
    <row r="130" spans="1:65" ht="16.8" thickBot="1">
      <c r="M130" s="122" t="s">
        <v>166</v>
      </c>
      <c r="N130" s="214" t="e">
        <f>1/SUM(N115:N120)</f>
        <v>#DIV/0!</v>
      </c>
      <c r="O130" s="216" t="e">
        <v>#DIV/0!</v>
      </c>
    </row>
    <row r="131" spans="1:65" ht="16.8" thickBot="1">
      <c r="D131" s="1" t="s">
        <v>170</v>
      </c>
      <c r="E131" s="1">
        <v>800</v>
      </c>
      <c r="M131" s="112" t="s">
        <v>164</v>
      </c>
      <c r="N131" s="180">
        <f>N66</f>
        <v>3500000</v>
      </c>
      <c r="O131" s="162"/>
    </row>
    <row r="132" spans="1:65" ht="16.8" thickBot="1">
      <c r="A132" s="144" t="s">
        <v>105</v>
      </c>
      <c r="B132" s="144"/>
      <c r="C132" s="144" t="s">
        <v>172</v>
      </c>
      <c r="D132" s="144"/>
      <c r="E132" s="144"/>
      <c r="F132" s="219"/>
      <c r="G132" s="144"/>
      <c r="H132" s="144"/>
      <c r="I132" s="144"/>
      <c r="J132" s="144"/>
      <c r="K132" s="144"/>
      <c r="L132" s="144"/>
      <c r="M132" s="144"/>
      <c r="N132" s="144"/>
      <c r="O132" s="220">
        <f>SUM(_xlfn.ANCHORARRAY(O134))</f>
        <v>0.9199969015112508</v>
      </c>
    </row>
    <row r="133" spans="1:65" thickBot="1">
      <c r="A133" s="161" t="str" cm="1">
        <f t="array" ref="A133:G133">A68:G68</f>
        <v>Lower</v>
      </c>
      <c r="B133" s="162" t="str">
        <v>Upper</v>
      </c>
      <c r="C133" s="222" t="str">
        <v>Count</v>
      </c>
      <c r="D133" s="223" t="str">
        <v>Pay</v>
      </c>
      <c r="E133" s="223" t="str">
        <v>Multi.</v>
      </c>
      <c r="F133" s="223" t="str">
        <v>Prob.</v>
      </c>
      <c r="G133" s="224" t="str">
        <v>RTP</v>
      </c>
      <c r="I133" s="112" t="s">
        <v>147</v>
      </c>
      <c r="J133" s="161" t="s">
        <v>161</v>
      </c>
      <c r="K133" s="180" t="s">
        <v>149</v>
      </c>
      <c r="L133" s="180" t="s">
        <v>151</v>
      </c>
      <c r="M133" s="180" t="s">
        <v>150</v>
      </c>
      <c r="N133" s="180" t="s">
        <v>152</v>
      </c>
      <c r="O133" s="112" t="s">
        <v>153</v>
      </c>
    </row>
    <row r="134" spans="1:65" ht="15.6">
      <c r="A134" s="195" cm="1">
        <f t="array" ref="A134:B191">_xlfn.ANCHORARRAY(A69)</f>
        <v>-1</v>
      </c>
      <c r="B134" s="196">
        <v>0</v>
      </c>
      <c r="C134" s="155" cm="1">
        <f t="array" ref="C134:D191">'Multiplier Weight'!C134:D191</f>
        <v>79518011</v>
      </c>
      <c r="D134" s="163">
        <v>0</v>
      </c>
      <c r="E134" s="183">
        <f>IFERROR((D134/$E$131)/(C134),0)</f>
        <v>0</v>
      </c>
      <c r="F134" s="181" cm="1">
        <f t="array" ref="F134:F191">C134:C191/SUM(C134:C191)</f>
        <v>0.79518011</v>
      </c>
      <c r="G134" s="182" cm="1">
        <f t="array" ref="G134:G191">E134:E191*_xlfn.ANCHORARRAY(F134)</f>
        <v>0</v>
      </c>
      <c r="H134" s="93" cm="1">
        <f t="array" ref="H134:H168">A134:A168/8</f>
        <v>-0.125</v>
      </c>
      <c r="I134" s="125" t="str">
        <f>"("&amp;$A134&amp;", "&amp;$B134&amp;"]"</f>
        <v>(-1, 0]</v>
      </c>
      <c r="J134" s="155" cm="1">
        <f t="array" ref="J134:J191">IFERROR(IF(1/_xlfn.ANCHORARRAY(F134)&lt;$J$2,1,0),0)</f>
        <v>1</v>
      </c>
      <c r="K134" s="213">
        <v>0.36437999999999998</v>
      </c>
      <c r="L134" s="181" cm="1">
        <f t="array" ref="L134:L191">K134:K191*_xlfn.ANCHORARRAY(J134)*_xlfn.ANCHORARRAY(F134)</f>
        <v>0.28974772848179997</v>
      </c>
      <c r="M134" s="203" cm="1">
        <f t="array" ref="M134:M191">INT(_xlfn.ANCHORARRAY(L134)*$M$2)</f>
        <v>289747728</v>
      </c>
      <c r="N134" s="190" cm="1">
        <f t="array" ref="N134:N191">_xlfn.ANCHORARRAY(M134)/SUM(_xlfn.ANCHORARRAY(M134))</f>
        <v>0.87246152881209738</v>
      </c>
      <c r="O134" s="206" cm="1">
        <f t="array" ref="O134:O191">_xlfn.ANCHORARRAY(N134)*E134:E191</f>
        <v>0</v>
      </c>
      <c r="P134" s="174"/>
      <c r="AX134" s="178"/>
      <c r="BK134" s="194"/>
      <c r="BM134" s="20"/>
    </row>
    <row r="135" spans="1:65" ht="15.6">
      <c r="A135" s="197">
        <v>0</v>
      </c>
      <c r="B135" s="198">
        <v>1</v>
      </c>
      <c r="C135" s="157">
        <v>0</v>
      </c>
      <c r="D135" s="30">
        <v>0</v>
      </c>
      <c r="E135" s="183">
        <f t="shared" ref="E135:E191" si="4">IFERROR((D135/$E$131)/(C135),0)</f>
        <v>0</v>
      </c>
      <c r="F135" s="184">
        <v>0</v>
      </c>
      <c r="G135" s="185">
        <v>0</v>
      </c>
      <c r="H135" s="93">
        <v>0</v>
      </c>
      <c r="I135" s="122" t="str">
        <f t="shared" ref="I135:I191" si="5">"("&amp;$A135&amp;", "&amp;$B135&amp;"]"</f>
        <v>(0, 1]</v>
      </c>
      <c r="J135" s="157">
        <v>0</v>
      </c>
      <c r="K135" s="201">
        <v>0</v>
      </c>
      <c r="L135" s="184">
        <v>0</v>
      </c>
      <c r="M135" s="204">
        <v>0</v>
      </c>
      <c r="N135" s="191">
        <v>0</v>
      </c>
      <c r="O135" s="207">
        <v>0</v>
      </c>
      <c r="P135" s="174"/>
      <c r="AX135" s="178"/>
      <c r="BK135" s="194"/>
      <c r="BM135" s="20"/>
    </row>
    <row r="136" spans="1:65" ht="15.6">
      <c r="A136" s="197">
        <v>1</v>
      </c>
      <c r="B136" s="198">
        <v>2</v>
      </c>
      <c r="C136" s="157">
        <v>0</v>
      </c>
      <c r="D136" s="30">
        <v>0</v>
      </c>
      <c r="E136" s="183">
        <f t="shared" si="4"/>
        <v>0</v>
      </c>
      <c r="F136" s="184">
        <v>0</v>
      </c>
      <c r="G136" s="185">
        <v>0</v>
      </c>
      <c r="H136" s="93">
        <v>0.125</v>
      </c>
      <c r="I136" s="210" t="str">
        <f t="shared" si="5"/>
        <v>(1, 2]</v>
      </c>
      <c r="J136" s="157">
        <v>0</v>
      </c>
      <c r="K136" s="201">
        <v>0</v>
      </c>
      <c r="L136" s="184">
        <v>0</v>
      </c>
      <c r="M136" s="204">
        <v>0</v>
      </c>
      <c r="N136" s="191">
        <v>0</v>
      </c>
      <c r="O136" s="207">
        <v>0</v>
      </c>
      <c r="P136" s="174"/>
      <c r="AX136" s="178"/>
      <c r="BK136" s="194"/>
      <c r="BM136" s="20"/>
    </row>
    <row r="137" spans="1:65" ht="15.6">
      <c r="A137" s="197">
        <v>2</v>
      </c>
      <c r="B137" s="198">
        <v>3</v>
      </c>
      <c r="C137" s="157">
        <v>0</v>
      </c>
      <c r="D137" s="30">
        <v>0</v>
      </c>
      <c r="E137" s="183">
        <f t="shared" si="4"/>
        <v>0</v>
      </c>
      <c r="F137" s="184">
        <v>0</v>
      </c>
      <c r="G137" s="185">
        <v>0</v>
      </c>
      <c r="H137" s="93">
        <v>0.25</v>
      </c>
      <c r="I137" s="122" t="str">
        <f t="shared" si="5"/>
        <v>(2, 3]</v>
      </c>
      <c r="J137" s="157">
        <v>0</v>
      </c>
      <c r="K137" s="201">
        <v>0</v>
      </c>
      <c r="L137" s="184">
        <v>0</v>
      </c>
      <c r="M137" s="204">
        <v>0</v>
      </c>
      <c r="N137" s="191">
        <v>0</v>
      </c>
      <c r="O137" s="207">
        <v>0</v>
      </c>
      <c r="P137" s="174"/>
      <c r="AX137" s="178"/>
      <c r="BK137" s="194"/>
      <c r="BM137" s="20"/>
    </row>
    <row r="138" spans="1:65" ht="15.6">
      <c r="A138" s="197">
        <v>3</v>
      </c>
      <c r="B138" s="198">
        <v>4</v>
      </c>
      <c r="C138" s="157">
        <v>153893</v>
      </c>
      <c r="D138" s="30">
        <v>61557200</v>
      </c>
      <c r="E138" s="183">
        <f t="shared" si="4"/>
        <v>0.5</v>
      </c>
      <c r="F138" s="184">
        <v>1.53893E-3</v>
      </c>
      <c r="G138" s="185">
        <v>7.6946499999999999E-4</v>
      </c>
      <c r="H138" s="93">
        <v>0.375</v>
      </c>
      <c r="I138" s="122" t="str">
        <f t="shared" si="5"/>
        <v>(3, 4]</v>
      </c>
      <c r="J138" s="157">
        <v>1</v>
      </c>
      <c r="K138" s="201">
        <v>0</v>
      </c>
      <c r="L138" s="184">
        <v>0</v>
      </c>
      <c r="M138" s="204">
        <v>0</v>
      </c>
      <c r="N138" s="191">
        <v>0</v>
      </c>
      <c r="O138" s="207">
        <v>0</v>
      </c>
      <c r="P138" s="174"/>
      <c r="AX138" s="178"/>
      <c r="BK138" s="194"/>
      <c r="BM138" s="20"/>
    </row>
    <row r="139" spans="1:65" ht="15.6">
      <c r="A139" s="197">
        <v>4</v>
      </c>
      <c r="B139" s="198">
        <v>5</v>
      </c>
      <c r="C139" s="157">
        <v>0</v>
      </c>
      <c r="D139" s="30">
        <v>0</v>
      </c>
      <c r="E139" s="183">
        <f t="shared" si="4"/>
        <v>0</v>
      </c>
      <c r="F139" s="184">
        <v>0</v>
      </c>
      <c r="G139" s="185">
        <v>0</v>
      </c>
      <c r="H139" s="93">
        <v>0.5</v>
      </c>
      <c r="I139" s="122" t="str">
        <f t="shared" si="5"/>
        <v>(4, 5]</v>
      </c>
      <c r="J139" s="157">
        <v>0</v>
      </c>
      <c r="K139" s="201">
        <v>0</v>
      </c>
      <c r="L139" s="184">
        <v>0</v>
      </c>
      <c r="M139" s="204">
        <v>0</v>
      </c>
      <c r="N139" s="191">
        <v>0</v>
      </c>
      <c r="O139" s="207">
        <v>0</v>
      </c>
      <c r="P139" s="174"/>
      <c r="AX139" s="178"/>
      <c r="BK139" s="194"/>
      <c r="BM139" s="20"/>
    </row>
    <row r="140" spans="1:65" ht="15.6">
      <c r="A140" s="197">
        <v>5</v>
      </c>
      <c r="B140" s="198">
        <v>6</v>
      </c>
      <c r="C140" s="157">
        <v>153964</v>
      </c>
      <c r="D140" s="30">
        <v>92378400</v>
      </c>
      <c r="E140" s="183">
        <f t="shared" si="4"/>
        <v>0.75</v>
      </c>
      <c r="F140" s="184">
        <v>1.5396400000000001E-3</v>
      </c>
      <c r="G140" s="185">
        <v>1.1547300000000001E-3</v>
      </c>
      <c r="H140" s="93">
        <v>0.625</v>
      </c>
      <c r="I140" s="122" t="str">
        <f t="shared" si="5"/>
        <v>(5, 6]</v>
      </c>
      <c r="J140" s="157">
        <v>1</v>
      </c>
      <c r="K140" s="201">
        <v>0</v>
      </c>
      <c r="L140" s="184">
        <v>0</v>
      </c>
      <c r="M140" s="204">
        <v>0</v>
      </c>
      <c r="N140" s="191">
        <v>0</v>
      </c>
      <c r="O140" s="207">
        <v>0</v>
      </c>
      <c r="P140" s="174"/>
      <c r="AX140" s="178"/>
      <c r="BK140" s="194"/>
      <c r="BM140" s="20"/>
    </row>
    <row r="141" spans="1:65" ht="15.6">
      <c r="A141" s="197">
        <v>6</v>
      </c>
      <c r="B141" s="198">
        <v>7</v>
      </c>
      <c r="C141" s="157">
        <v>0</v>
      </c>
      <c r="D141" s="30">
        <v>0</v>
      </c>
      <c r="E141" s="183">
        <f t="shared" si="4"/>
        <v>0</v>
      </c>
      <c r="F141" s="184">
        <v>0</v>
      </c>
      <c r="G141" s="185">
        <v>0</v>
      </c>
      <c r="H141" s="93">
        <v>0.75</v>
      </c>
      <c r="I141" s="122" t="str">
        <f t="shared" si="5"/>
        <v>(6, 7]</v>
      </c>
      <c r="J141" s="157">
        <v>0</v>
      </c>
      <c r="K141" s="201">
        <v>0</v>
      </c>
      <c r="L141" s="184">
        <v>0</v>
      </c>
      <c r="M141" s="204">
        <v>0</v>
      </c>
      <c r="N141" s="191">
        <v>0</v>
      </c>
      <c r="O141" s="207">
        <v>0</v>
      </c>
      <c r="P141" s="174"/>
      <c r="AX141" s="178"/>
      <c r="BK141" s="194"/>
      <c r="BM141" s="20"/>
    </row>
    <row r="142" spans="1:65" ht="15.6">
      <c r="A142" s="197">
        <v>7</v>
      </c>
      <c r="B142" s="198">
        <v>8</v>
      </c>
      <c r="C142" s="157">
        <v>217346</v>
      </c>
      <c r="D142" s="30">
        <v>173876800</v>
      </c>
      <c r="E142" s="183">
        <f t="shared" si="4"/>
        <v>1</v>
      </c>
      <c r="F142" s="184">
        <v>2.1734599999999999E-3</v>
      </c>
      <c r="G142" s="185">
        <v>2.1734599999999999E-3</v>
      </c>
      <c r="H142" s="93">
        <v>0.875</v>
      </c>
      <c r="I142" s="210" t="str">
        <f t="shared" si="5"/>
        <v>(7, 8]</v>
      </c>
      <c r="J142" s="157">
        <v>1</v>
      </c>
      <c r="K142" s="201">
        <v>5</v>
      </c>
      <c r="L142" s="184">
        <v>1.08673E-2</v>
      </c>
      <c r="M142" s="204">
        <v>10867300</v>
      </c>
      <c r="N142" s="191">
        <v>3.2722607481704587E-2</v>
      </c>
      <c r="O142" s="207">
        <v>3.2722607481704587E-2</v>
      </c>
      <c r="P142" s="174"/>
      <c r="AX142" s="178"/>
      <c r="BK142" s="194"/>
      <c r="BM142" s="20"/>
    </row>
    <row r="143" spans="1:65" ht="15.6">
      <c r="A143" s="197">
        <v>8</v>
      </c>
      <c r="B143" s="198">
        <v>9</v>
      </c>
      <c r="C143" s="157">
        <v>0</v>
      </c>
      <c r="D143" s="30">
        <v>0</v>
      </c>
      <c r="E143" s="183">
        <f t="shared" si="4"/>
        <v>0</v>
      </c>
      <c r="F143" s="184">
        <v>0</v>
      </c>
      <c r="G143" s="185">
        <v>0</v>
      </c>
      <c r="H143" s="93">
        <v>1</v>
      </c>
      <c r="I143" s="122" t="str">
        <f t="shared" si="5"/>
        <v>(8, 9]</v>
      </c>
      <c r="J143" s="157">
        <v>0</v>
      </c>
      <c r="K143" s="201">
        <v>0</v>
      </c>
      <c r="L143" s="184">
        <v>0</v>
      </c>
      <c r="M143" s="204">
        <v>0</v>
      </c>
      <c r="N143" s="191">
        <v>0</v>
      </c>
      <c r="O143" s="207">
        <v>0</v>
      </c>
      <c r="P143" s="174"/>
      <c r="AX143" s="178"/>
      <c r="BK143" s="194"/>
      <c r="BM143" s="20"/>
    </row>
    <row r="144" spans="1:65" ht="15.6">
      <c r="A144" s="197">
        <v>9</v>
      </c>
      <c r="B144" s="198">
        <v>10</v>
      </c>
      <c r="C144" s="157">
        <v>327763</v>
      </c>
      <c r="D144" s="30">
        <v>327763000</v>
      </c>
      <c r="E144" s="183">
        <f t="shared" si="4"/>
        <v>1.25</v>
      </c>
      <c r="F144" s="184">
        <v>3.2776300000000001E-3</v>
      </c>
      <c r="G144" s="185">
        <v>4.0970375000000002E-3</v>
      </c>
      <c r="H144" s="93">
        <v>1.125</v>
      </c>
      <c r="I144" s="122" t="str">
        <f t="shared" si="5"/>
        <v>(9, 10]</v>
      </c>
      <c r="J144" s="157">
        <v>1</v>
      </c>
      <c r="K144" s="201">
        <v>0.5</v>
      </c>
      <c r="L144" s="184">
        <v>1.6388150000000001E-3</v>
      </c>
      <c r="M144" s="204">
        <v>1638815</v>
      </c>
      <c r="N144" s="191">
        <v>4.9346479788107168E-3</v>
      </c>
      <c r="O144" s="207">
        <v>6.1683099735133961E-3</v>
      </c>
      <c r="P144" s="174"/>
      <c r="AV144" s="193"/>
      <c r="AW144" s="176"/>
      <c r="AX144" s="178"/>
      <c r="BK144" s="194"/>
      <c r="BM144" s="20"/>
    </row>
    <row r="145" spans="1:65" ht="15.6">
      <c r="A145" s="197">
        <v>10</v>
      </c>
      <c r="B145" s="198">
        <v>15</v>
      </c>
      <c r="C145" s="157">
        <v>261822</v>
      </c>
      <c r="D145" s="30">
        <v>365993900</v>
      </c>
      <c r="E145" s="183">
        <f t="shared" si="4"/>
        <v>1.7473412280098692</v>
      </c>
      <c r="F145" s="184">
        <v>2.6182200000000001E-3</v>
      </c>
      <c r="G145" s="185">
        <v>4.5749237500000003E-3</v>
      </c>
      <c r="H145" s="93">
        <v>1.25</v>
      </c>
      <c r="I145" s="210" t="str">
        <f t="shared" si="5"/>
        <v>(10, 15]</v>
      </c>
      <c r="J145" s="157">
        <v>1</v>
      </c>
      <c r="K145" s="201">
        <v>0.5</v>
      </c>
      <c r="L145" s="184">
        <v>1.30911E-3</v>
      </c>
      <c r="M145" s="204">
        <v>1309110</v>
      </c>
      <c r="N145" s="191">
        <v>3.941870812471754E-3</v>
      </c>
      <c r="O145" s="207">
        <v>6.887793386120656E-3</v>
      </c>
      <c r="P145" s="174"/>
      <c r="AV145" s="193"/>
      <c r="AW145" s="176"/>
      <c r="AX145" s="178"/>
      <c r="BK145" s="194"/>
      <c r="BM145" s="20"/>
    </row>
    <row r="146" spans="1:65" ht="15.6">
      <c r="A146" s="197">
        <v>15</v>
      </c>
      <c r="B146" s="198">
        <v>20</v>
      </c>
      <c r="C146" s="157">
        <v>900127</v>
      </c>
      <c r="D146" s="30">
        <v>1689426800</v>
      </c>
      <c r="E146" s="183">
        <f t="shared" si="4"/>
        <v>2.3460950510316878</v>
      </c>
      <c r="F146" s="184">
        <v>9.0012700000000005E-3</v>
      </c>
      <c r="G146" s="185">
        <v>2.1117835000000001E-2</v>
      </c>
      <c r="H146" s="93">
        <v>1.875</v>
      </c>
      <c r="I146" s="122" t="str">
        <f t="shared" si="5"/>
        <v>(15, 20]</v>
      </c>
      <c r="J146" s="157">
        <v>1</v>
      </c>
      <c r="K146" s="201">
        <v>0.5</v>
      </c>
      <c r="L146" s="184">
        <v>4.5006350000000002E-3</v>
      </c>
      <c r="M146" s="204">
        <v>4500635</v>
      </c>
      <c r="N146" s="191">
        <v>1.3551895367149293E-2</v>
      </c>
      <c r="O146" s="207">
        <v>3.1794034652968213E-2</v>
      </c>
      <c r="P146" s="174"/>
      <c r="AV146" s="193"/>
      <c r="AW146" s="176"/>
      <c r="AX146" s="178"/>
      <c r="BK146" s="194"/>
      <c r="BM146" s="20"/>
    </row>
    <row r="147" spans="1:65" ht="15.6">
      <c r="A147" s="197">
        <v>20</v>
      </c>
      <c r="B147" s="198">
        <v>25</v>
      </c>
      <c r="C147" s="157">
        <v>567432</v>
      </c>
      <c r="D147" s="30">
        <v>1378828300</v>
      </c>
      <c r="E147" s="183">
        <f t="shared" si="4"/>
        <v>3.037430696541612</v>
      </c>
      <c r="F147" s="184">
        <v>5.6743200000000001E-3</v>
      </c>
      <c r="G147" s="185">
        <v>1.7235353750000001E-2</v>
      </c>
      <c r="H147" s="93">
        <v>2.5</v>
      </c>
      <c r="I147" s="122" t="str">
        <f t="shared" si="5"/>
        <v>(20, 25]</v>
      </c>
      <c r="J147" s="157">
        <v>1</v>
      </c>
      <c r="K147" s="201">
        <v>0.5</v>
      </c>
      <c r="L147" s="184">
        <v>2.83716E-3</v>
      </c>
      <c r="M147" s="204">
        <v>2837160</v>
      </c>
      <c r="N147" s="191">
        <v>8.5429934797781396E-3</v>
      </c>
      <c r="O147" s="207">
        <v>2.5948750635832966E-2</v>
      </c>
      <c r="P147" s="174"/>
      <c r="AV147" s="193"/>
      <c r="AW147" s="176"/>
      <c r="AX147" s="178"/>
      <c r="BK147" s="194"/>
      <c r="BM147" s="20"/>
    </row>
    <row r="148" spans="1:65" ht="15.6">
      <c r="A148" s="197">
        <v>25</v>
      </c>
      <c r="B148" s="198">
        <v>30</v>
      </c>
      <c r="C148" s="157">
        <v>450370</v>
      </c>
      <c r="D148" s="30">
        <v>1346011800</v>
      </c>
      <c r="E148" s="183">
        <f t="shared" si="4"/>
        <v>3.73584996780425</v>
      </c>
      <c r="F148" s="184">
        <v>4.5037000000000002E-3</v>
      </c>
      <c r="G148" s="185">
        <v>1.6825147500000002E-2</v>
      </c>
      <c r="H148" s="93">
        <v>3.125</v>
      </c>
      <c r="I148" s="122" t="str">
        <f t="shared" si="5"/>
        <v>(25, 30]</v>
      </c>
      <c r="J148" s="157">
        <v>1</v>
      </c>
      <c r="K148" s="201">
        <v>0.5</v>
      </c>
      <c r="L148" s="184">
        <v>2.2518500000000001E-3</v>
      </c>
      <c r="M148" s="204">
        <v>2251850</v>
      </c>
      <c r="N148" s="191">
        <v>6.7805622056698973E-3</v>
      </c>
      <c r="O148" s="207">
        <v>2.5331163097746599E-2</v>
      </c>
      <c r="P148" s="174"/>
      <c r="AV148" s="193"/>
      <c r="AW148" s="176"/>
      <c r="AX148" s="178"/>
      <c r="BK148" s="194"/>
      <c r="BM148" s="20"/>
    </row>
    <row r="149" spans="1:65" ht="15.6">
      <c r="A149" s="197">
        <v>30</v>
      </c>
      <c r="B149" s="198">
        <v>35</v>
      </c>
      <c r="C149" s="157">
        <v>301500</v>
      </c>
      <c r="D149" s="30">
        <v>969339200</v>
      </c>
      <c r="E149" s="183">
        <f t="shared" si="4"/>
        <v>4.0188192371475955</v>
      </c>
      <c r="F149" s="184">
        <v>3.0149999999999999E-3</v>
      </c>
      <c r="G149" s="185">
        <v>1.2116739999999999E-2</v>
      </c>
      <c r="H149" s="93">
        <v>3.75</v>
      </c>
      <c r="I149" s="122" t="str">
        <f t="shared" si="5"/>
        <v>(30, 35]</v>
      </c>
      <c r="J149" s="157">
        <v>1</v>
      </c>
      <c r="K149" s="201">
        <v>0.5</v>
      </c>
      <c r="L149" s="184">
        <v>1.5074999999999999E-3</v>
      </c>
      <c r="M149" s="204">
        <v>1507500</v>
      </c>
      <c r="N149" s="191">
        <v>4.5392444101726888E-3</v>
      </c>
      <c r="O149" s="207">
        <v>1.8242402757716693E-2</v>
      </c>
      <c r="P149" s="174"/>
      <c r="AV149" s="193"/>
      <c r="AW149" s="176"/>
      <c r="AX149" s="178"/>
      <c r="BK149" s="194"/>
      <c r="BM149" s="20"/>
    </row>
    <row r="150" spans="1:65" ht="15.6">
      <c r="A150" s="197">
        <v>35</v>
      </c>
      <c r="B150" s="198">
        <v>40</v>
      </c>
      <c r="C150" s="157">
        <v>1057290</v>
      </c>
      <c r="D150" s="30">
        <v>4155740700</v>
      </c>
      <c r="E150" s="183">
        <f t="shared" si="4"/>
        <v>4.9131987203132539</v>
      </c>
      <c r="F150" s="184">
        <v>1.05729E-2</v>
      </c>
      <c r="G150" s="185">
        <v>5.1946758750000002E-2</v>
      </c>
      <c r="H150" s="93">
        <v>4.375</v>
      </c>
      <c r="I150" s="210" t="str">
        <f t="shared" si="5"/>
        <v>(35, 40]</v>
      </c>
      <c r="J150" s="157">
        <v>1</v>
      </c>
      <c r="K150" s="201">
        <v>0.1</v>
      </c>
      <c r="L150" s="184">
        <v>1.05729E-3</v>
      </c>
      <c r="M150" s="204">
        <v>1057290</v>
      </c>
      <c r="N150" s="191">
        <v>3.1836137462232057E-3</v>
      </c>
      <c r="O150" s="207">
        <v>1.5641726983915537E-2</v>
      </c>
      <c r="P150" s="174"/>
      <c r="AV150" s="193"/>
      <c r="AW150" s="176"/>
      <c r="AX150" s="178"/>
      <c r="BK150" s="194"/>
      <c r="BM150" s="20"/>
    </row>
    <row r="151" spans="1:65" ht="15.6">
      <c r="A151" s="197">
        <v>40</v>
      </c>
      <c r="B151" s="198">
        <v>45</v>
      </c>
      <c r="C151" s="157">
        <v>224678</v>
      </c>
      <c r="D151" s="30">
        <v>1002843100</v>
      </c>
      <c r="E151" s="183">
        <f t="shared" si="4"/>
        <v>5.5793352041588404</v>
      </c>
      <c r="F151" s="184">
        <v>2.2467799999999999E-3</v>
      </c>
      <c r="G151" s="185">
        <v>1.2535538749999998E-2</v>
      </c>
      <c r="H151" s="93">
        <v>5</v>
      </c>
      <c r="I151" s="122" t="str">
        <f t="shared" si="5"/>
        <v>(40, 45]</v>
      </c>
      <c r="J151" s="157">
        <v>1</v>
      </c>
      <c r="K151" s="201">
        <v>0.5</v>
      </c>
      <c r="L151" s="184">
        <v>1.1233899999999999E-3</v>
      </c>
      <c r="M151" s="204">
        <v>1123390</v>
      </c>
      <c r="N151" s="191">
        <v>3.3826479455680912E-3</v>
      </c>
      <c r="O151" s="207">
        <v>1.8872926765983629E-2</v>
      </c>
      <c r="P151" s="174"/>
      <c r="AV151" s="193"/>
      <c r="AW151" s="176"/>
      <c r="AX151" s="178"/>
      <c r="BK151" s="194"/>
      <c r="BM151" s="20"/>
    </row>
    <row r="152" spans="1:65" ht="15.6">
      <c r="A152" s="197">
        <v>45</v>
      </c>
      <c r="B152" s="198">
        <v>50</v>
      </c>
      <c r="C152" s="157">
        <v>766222</v>
      </c>
      <c r="D152" s="30">
        <v>3760474600</v>
      </c>
      <c r="E152" s="183">
        <f t="shared" si="4"/>
        <v>6.1347667516724922</v>
      </c>
      <c r="F152" s="184">
        <v>7.66222E-3</v>
      </c>
      <c r="G152" s="185">
        <v>4.70059325E-2</v>
      </c>
      <c r="H152" s="93">
        <v>5.625</v>
      </c>
      <c r="I152" s="122" t="str">
        <f t="shared" si="5"/>
        <v>(45, 50]</v>
      </c>
      <c r="J152" s="157">
        <v>1</v>
      </c>
      <c r="K152" s="201">
        <v>0.1</v>
      </c>
      <c r="L152" s="184">
        <v>7.66222E-4</v>
      </c>
      <c r="M152" s="204">
        <v>766222</v>
      </c>
      <c r="N152" s="191">
        <v>2.307176736617803E-3</v>
      </c>
      <c r="O152" s="207">
        <v>1.415399113403514E-2</v>
      </c>
      <c r="P152" s="174"/>
      <c r="AV152" s="193"/>
      <c r="AW152" s="176"/>
      <c r="AX152" s="178"/>
      <c r="BK152" s="194"/>
      <c r="BM152" s="20"/>
    </row>
    <row r="153" spans="1:65" ht="15.6">
      <c r="A153" s="197">
        <v>50</v>
      </c>
      <c r="B153" s="198">
        <v>60</v>
      </c>
      <c r="C153" s="157">
        <v>795950</v>
      </c>
      <c r="D153" s="30">
        <v>4715567200</v>
      </c>
      <c r="E153" s="183">
        <f t="shared" si="4"/>
        <v>7.4055644198756205</v>
      </c>
      <c r="F153" s="184">
        <v>7.9594999999999996E-3</v>
      </c>
      <c r="G153" s="185">
        <v>5.8944589999999998E-2</v>
      </c>
      <c r="H153" s="93">
        <v>6.25</v>
      </c>
      <c r="I153" s="210" t="str">
        <f t="shared" si="5"/>
        <v>(50, 60]</v>
      </c>
      <c r="J153" s="157">
        <v>1</v>
      </c>
      <c r="K153" s="201">
        <v>0.1</v>
      </c>
      <c r="L153" s="184">
        <v>7.9595000000000002E-4</v>
      </c>
      <c r="M153" s="204">
        <v>795950</v>
      </c>
      <c r="N153" s="191">
        <v>2.3966909374971489E-3</v>
      </c>
      <c r="O153" s="207">
        <v>1.7748849132167229E-2</v>
      </c>
      <c r="P153" s="174"/>
      <c r="AV153" s="193"/>
      <c r="AW153" s="176"/>
      <c r="AX153" s="178"/>
      <c r="BK153" s="194"/>
      <c r="BM153" s="20"/>
    </row>
    <row r="154" spans="1:65" ht="15.6">
      <c r="A154" s="197">
        <v>60</v>
      </c>
      <c r="B154" s="198">
        <v>70</v>
      </c>
      <c r="C154" s="157">
        <v>217944</v>
      </c>
      <c r="D154" s="30">
        <v>1434094600</v>
      </c>
      <c r="E154" s="183">
        <f t="shared" si="4"/>
        <v>8.2251323734537305</v>
      </c>
      <c r="F154" s="184">
        <v>2.1794399999999999E-3</v>
      </c>
      <c r="G154" s="185">
        <v>1.7926182499999999E-2</v>
      </c>
      <c r="H154" s="93">
        <v>7.5</v>
      </c>
      <c r="I154" s="122" t="str">
        <f t="shared" si="5"/>
        <v>(60, 70]</v>
      </c>
      <c r="J154" s="157">
        <v>1</v>
      </c>
      <c r="K154" s="201">
        <v>0.1</v>
      </c>
      <c r="L154" s="184">
        <v>2.17944E-4</v>
      </c>
      <c r="M154" s="204">
        <v>217944</v>
      </c>
      <c r="N154" s="191">
        <v>6.562527918611453E-4</v>
      </c>
      <c r="O154" s="207">
        <v>5.3977660835064995E-3</v>
      </c>
      <c r="P154" s="174"/>
      <c r="AV154" s="193"/>
      <c r="AW154" s="176"/>
      <c r="AX154" s="178"/>
      <c r="BK154" s="194"/>
      <c r="BM154" s="20"/>
    </row>
    <row r="155" spans="1:65" ht="15.6">
      <c r="A155" s="197">
        <v>70</v>
      </c>
      <c r="B155" s="198">
        <v>80</v>
      </c>
      <c r="C155" s="157">
        <v>1018318</v>
      </c>
      <c r="D155" s="30">
        <v>7924819100</v>
      </c>
      <c r="E155" s="183">
        <f t="shared" si="4"/>
        <v>9.7278294943229913</v>
      </c>
      <c r="F155" s="184">
        <v>1.018318E-2</v>
      </c>
      <c r="G155" s="185">
        <v>9.9060238750000001E-2</v>
      </c>
      <c r="H155" s="93">
        <v>8.75</v>
      </c>
      <c r="I155" s="210" t="str">
        <f t="shared" si="5"/>
        <v>(70, 80]</v>
      </c>
      <c r="J155" s="157">
        <v>1</v>
      </c>
      <c r="K155" s="201">
        <v>0.1</v>
      </c>
      <c r="L155" s="184">
        <v>1.018318E-3</v>
      </c>
      <c r="M155" s="204">
        <v>1018318</v>
      </c>
      <c r="N155" s="191">
        <v>3.0662648685096071E-3</v>
      </c>
      <c r="O155" s="207">
        <v>2.9828101825294166E-2</v>
      </c>
      <c r="P155" s="174"/>
      <c r="AV155" s="193"/>
      <c r="AW155" s="176"/>
      <c r="AX155" s="178"/>
      <c r="BK155" s="194"/>
      <c r="BM155" s="20"/>
    </row>
    <row r="156" spans="1:65" ht="15.6">
      <c r="A156" s="197">
        <v>80</v>
      </c>
      <c r="B156" s="198">
        <v>90</v>
      </c>
      <c r="C156" s="157">
        <v>239281</v>
      </c>
      <c r="D156" s="30">
        <v>2102290900</v>
      </c>
      <c r="E156" s="183">
        <f t="shared" si="4"/>
        <v>10.982333010142886</v>
      </c>
      <c r="F156" s="184">
        <v>2.39281E-3</v>
      </c>
      <c r="G156" s="185">
        <v>2.6278636250000001E-2</v>
      </c>
      <c r="H156" s="93">
        <v>10</v>
      </c>
      <c r="I156" s="122" t="str">
        <f t="shared" si="5"/>
        <v>(80, 90]</v>
      </c>
      <c r="J156" s="157">
        <v>1</v>
      </c>
      <c r="K156" s="201">
        <v>2</v>
      </c>
      <c r="L156" s="184">
        <v>4.78562E-3</v>
      </c>
      <c r="M156" s="204">
        <v>4785620</v>
      </c>
      <c r="N156" s="191">
        <v>1.4410015810421641E-2</v>
      </c>
      <c r="O156" s="207">
        <v>0.15825559231147449</v>
      </c>
      <c r="P156" s="174"/>
      <c r="AV156" s="193"/>
      <c r="AW156" s="176"/>
      <c r="AX156" s="178"/>
      <c r="BK156" s="194"/>
      <c r="BM156" s="20"/>
    </row>
    <row r="157" spans="1:65" ht="15.6">
      <c r="A157" s="197">
        <v>90</v>
      </c>
      <c r="B157" s="198">
        <v>100</v>
      </c>
      <c r="C157" s="157">
        <v>826678</v>
      </c>
      <c r="D157" s="30">
        <v>8193252700</v>
      </c>
      <c r="E157" s="183">
        <f t="shared" si="4"/>
        <v>12.388821131081267</v>
      </c>
      <c r="F157" s="184">
        <v>8.2667799999999996E-3</v>
      </c>
      <c r="G157" s="185">
        <v>0.10241565874999999</v>
      </c>
      <c r="H157" s="93">
        <v>11.25</v>
      </c>
      <c r="I157" s="122" t="str">
        <f t="shared" si="5"/>
        <v>(90, 100]</v>
      </c>
      <c r="J157" s="157">
        <v>1</v>
      </c>
      <c r="K157" s="201">
        <v>0.1</v>
      </c>
      <c r="L157" s="184">
        <v>8.2667799999999996E-4</v>
      </c>
      <c r="M157" s="204">
        <v>826678</v>
      </c>
      <c r="N157" s="191">
        <v>2.4892162457795944E-3</v>
      </c>
      <c r="O157" s="207">
        <v>3.0838454825545019E-2</v>
      </c>
      <c r="P157" s="174"/>
      <c r="AV157" s="193"/>
      <c r="AW157" s="176"/>
      <c r="AX157" s="178"/>
      <c r="BK157" s="194"/>
      <c r="BM157" s="20"/>
    </row>
    <row r="158" spans="1:65" ht="15.6">
      <c r="A158" s="197">
        <v>100</v>
      </c>
      <c r="B158" s="198">
        <v>120</v>
      </c>
      <c r="C158" s="157">
        <v>662843</v>
      </c>
      <c r="D158" s="30">
        <v>7742508100</v>
      </c>
      <c r="E158" s="183">
        <f t="shared" si="4"/>
        <v>14.600946415667059</v>
      </c>
      <c r="F158" s="184">
        <v>6.6284300000000003E-3</v>
      </c>
      <c r="G158" s="185">
        <v>9.6781351250000008E-2</v>
      </c>
      <c r="H158" s="93">
        <v>12.5</v>
      </c>
      <c r="I158" s="122" t="str">
        <f t="shared" si="5"/>
        <v>(100, 120]</v>
      </c>
      <c r="J158" s="157">
        <v>1</v>
      </c>
      <c r="K158" s="201">
        <v>0.1</v>
      </c>
      <c r="L158" s="184">
        <v>6.6284300000000009E-4</v>
      </c>
      <c r="M158" s="204">
        <v>662843</v>
      </c>
      <c r="N158" s="191">
        <v>1.9958914643927665E-3</v>
      </c>
      <c r="O158" s="207">
        <v>2.914190432308604E-2</v>
      </c>
      <c r="P158" s="174"/>
      <c r="AV158" s="193"/>
      <c r="AW158" s="176"/>
      <c r="AX158" s="178"/>
      <c r="BK158" s="194"/>
      <c r="BM158" s="20"/>
    </row>
    <row r="159" spans="1:65" ht="15.6">
      <c r="A159" s="197">
        <v>120</v>
      </c>
      <c r="B159" s="198">
        <v>140</v>
      </c>
      <c r="C159" s="157">
        <v>239708</v>
      </c>
      <c r="D159" s="30">
        <v>3174490800</v>
      </c>
      <c r="E159" s="183">
        <f t="shared" si="4"/>
        <v>16.553946885377208</v>
      </c>
      <c r="F159" s="184">
        <v>2.3970799999999998E-3</v>
      </c>
      <c r="G159" s="185">
        <v>3.9681134999999992E-2</v>
      </c>
      <c r="H159" s="93">
        <v>15</v>
      </c>
      <c r="I159" s="122" t="str">
        <f t="shared" si="5"/>
        <v>(120, 140]</v>
      </c>
      <c r="J159" s="157">
        <v>1</v>
      </c>
      <c r="K159" s="201">
        <v>0.1</v>
      </c>
      <c r="L159" s="184">
        <v>2.3970799999999999E-4</v>
      </c>
      <c r="M159" s="204">
        <v>239708</v>
      </c>
      <c r="N159" s="191">
        <v>7.2178653338220557E-4</v>
      </c>
      <c r="O159" s="207">
        <v>1.1948415936189574E-2</v>
      </c>
      <c r="P159" s="174"/>
      <c r="AV159" s="193"/>
      <c r="AW159" s="176"/>
      <c r="AX159" s="178"/>
      <c r="BK159" s="194"/>
      <c r="BM159" s="20"/>
    </row>
    <row r="160" spans="1:65" ht="15.6">
      <c r="A160" s="197">
        <v>140</v>
      </c>
      <c r="B160" s="198">
        <v>160</v>
      </c>
      <c r="C160" s="157">
        <v>781682</v>
      </c>
      <c r="D160" s="30">
        <v>12093146800</v>
      </c>
      <c r="E160" s="183">
        <f t="shared" si="4"/>
        <v>19.33834155065615</v>
      </c>
      <c r="F160" s="184">
        <v>7.8168200000000004E-3</v>
      </c>
      <c r="G160" s="185">
        <v>0.15116433500000001</v>
      </c>
      <c r="H160" s="93">
        <v>17.5</v>
      </c>
      <c r="I160" s="122" t="str">
        <f t="shared" si="5"/>
        <v>(140, 160]</v>
      </c>
      <c r="J160" s="157">
        <v>1</v>
      </c>
      <c r="K160" s="201">
        <v>0.1</v>
      </c>
      <c r="L160" s="184">
        <v>7.8168200000000012E-4</v>
      </c>
      <c r="M160" s="204">
        <v>781682</v>
      </c>
      <c r="N160" s="191">
        <v>2.3537284570697235E-3</v>
      </c>
      <c r="O160" s="207">
        <v>4.5517204820313226E-2</v>
      </c>
      <c r="P160" s="174"/>
      <c r="AV160" s="193"/>
      <c r="AW160" s="176"/>
      <c r="AX160" s="178"/>
      <c r="BK160" s="194"/>
      <c r="BM160" s="20"/>
    </row>
    <row r="161" spans="1:65" ht="15.6">
      <c r="A161" s="197">
        <v>160</v>
      </c>
      <c r="B161" s="198">
        <v>180</v>
      </c>
      <c r="C161" s="157">
        <v>219420</v>
      </c>
      <c r="D161" s="30">
        <v>3833507300</v>
      </c>
      <c r="E161" s="183">
        <f t="shared" si="4"/>
        <v>21.838866671224135</v>
      </c>
      <c r="F161" s="184">
        <v>2.1941999999999999E-3</v>
      </c>
      <c r="G161" s="185">
        <v>4.7918841249999997E-2</v>
      </c>
      <c r="H161" s="93">
        <v>20</v>
      </c>
      <c r="I161" s="122" t="str">
        <f t="shared" si="5"/>
        <v>(160, 180]</v>
      </c>
      <c r="J161" s="157">
        <v>1</v>
      </c>
      <c r="K161" s="201">
        <v>1</v>
      </c>
      <c r="L161" s="184">
        <v>2.1941999999999999E-3</v>
      </c>
      <c r="M161" s="204">
        <v>2194200</v>
      </c>
      <c r="N161" s="191">
        <v>6.6069718638812032E-3</v>
      </c>
      <c r="O161" s="207">
        <v>0.14428877763583081</v>
      </c>
      <c r="P161" s="174"/>
      <c r="AV161" s="193"/>
      <c r="AW161" s="176"/>
      <c r="AX161" s="178"/>
      <c r="BK161" s="194"/>
      <c r="BM161" s="20"/>
    </row>
    <row r="162" spans="1:65" ht="15.6">
      <c r="A162" s="197">
        <v>180</v>
      </c>
      <c r="B162" s="198">
        <v>200</v>
      </c>
      <c r="C162" s="157">
        <v>786584</v>
      </c>
      <c r="D162" s="30">
        <v>15639660000</v>
      </c>
      <c r="E162" s="183">
        <f t="shared" si="4"/>
        <v>24.853766412741678</v>
      </c>
      <c r="F162" s="184">
        <v>7.8658400000000007E-3</v>
      </c>
      <c r="G162" s="185">
        <v>0.19549575000000002</v>
      </c>
      <c r="H162" s="93">
        <v>22.5</v>
      </c>
      <c r="I162" s="122" t="str">
        <f t="shared" si="5"/>
        <v>(180, 200]</v>
      </c>
      <c r="J162" s="157">
        <v>1</v>
      </c>
      <c r="K162" s="201">
        <v>0.1</v>
      </c>
      <c r="L162" s="184">
        <v>7.8658400000000011E-4</v>
      </c>
      <c r="M162" s="204">
        <v>786584</v>
      </c>
      <c r="N162" s="191">
        <v>2.3684889055597177E-3</v>
      </c>
      <c r="O162" s="207">
        <v>5.8865870009951408E-2</v>
      </c>
      <c r="P162" s="174"/>
      <c r="AV162" s="193"/>
      <c r="AW162" s="176"/>
      <c r="AX162" s="178"/>
      <c r="BK162" s="194"/>
      <c r="BM162" s="20"/>
    </row>
    <row r="163" spans="1:65" ht="15.6">
      <c r="A163" s="197">
        <v>200</v>
      </c>
      <c r="B163" s="198">
        <v>250</v>
      </c>
      <c r="C163" s="157">
        <v>638292</v>
      </c>
      <c r="D163" s="30">
        <v>14917780500</v>
      </c>
      <c r="E163" s="183">
        <f t="shared" si="4"/>
        <v>29.214255583651369</v>
      </c>
      <c r="F163" s="184">
        <v>6.3829200000000003E-3</v>
      </c>
      <c r="G163" s="185">
        <v>0.18647225625</v>
      </c>
      <c r="H163" s="93">
        <v>25</v>
      </c>
      <c r="I163" s="122" t="str">
        <f t="shared" si="5"/>
        <v>(200, 250]</v>
      </c>
      <c r="J163" s="157">
        <v>1</v>
      </c>
      <c r="K163" s="201">
        <v>0.342665</v>
      </c>
      <c r="L163" s="184">
        <v>2.1872032818E-3</v>
      </c>
      <c r="M163" s="204">
        <v>2187203</v>
      </c>
      <c r="N163" s="191">
        <v>6.5859031453817159E-3</v>
      </c>
      <c r="O163" s="207">
        <v>0.1924022577383549</v>
      </c>
      <c r="P163" s="174"/>
      <c r="AV163" s="193"/>
      <c r="AW163" s="176"/>
      <c r="AX163" s="178"/>
      <c r="BK163" s="194"/>
      <c r="BM163" s="20"/>
    </row>
    <row r="164" spans="1:65" ht="15.6">
      <c r="A164" s="197">
        <v>250</v>
      </c>
      <c r="B164" s="198">
        <v>300</v>
      </c>
      <c r="C164" s="157">
        <v>626501</v>
      </c>
      <c r="D164" s="30">
        <v>17991720700</v>
      </c>
      <c r="E164" s="183">
        <f t="shared" si="4"/>
        <v>35.897230610964705</v>
      </c>
      <c r="F164" s="184">
        <v>6.2650099999999997E-3</v>
      </c>
      <c r="G164" s="185">
        <v>0.22489650874999997</v>
      </c>
      <c r="H164" s="93">
        <v>31.25</v>
      </c>
      <c r="I164" s="122" t="str">
        <f t="shared" si="5"/>
        <v>(250, 300]</v>
      </c>
      <c r="J164" s="157">
        <v>1</v>
      </c>
      <c r="K164" s="201">
        <v>0</v>
      </c>
      <c r="L164" s="184">
        <v>0</v>
      </c>
      <c r="M164" s="204">
        <v>0</v>
      </c>
      <c r="N164" s="191">
        <v>0</v>
      </c>
      <c r="O164" s="207">
        <v>0</v>
      </c>
      <c r="P164" s="174"/>
      <c r="AV164" s="193"/>
      <c r="AW164" s="176"/>
      <c r="AX164" s="178"/>
      <c r="BK164" s="194"/>
      <c r="BM164" s="20"/>
    </row>
    <row r="165" spans="1:65" ht="15.6">
      <c r="A165" s="197">
        <v>300</v>
      </c>
      <c r="B165" s="198">
        <v>350</v>
      </c>
      <c r="C165" s="157">
        <v>364267</v>
      </c>
      <c r="D165" s="30">
        <v>11882655400</v>
      </c>
      <c r="E165" s="183">
        <f t="shared" si="4"/>
        <v>40.775912311573656</v>
      </c>
      <c r="F165" s="184">
        <v>3.6426700000000002E-3</v>
      </c>
      <c r="G165" s="185">
        <v>0.14853319250000002</v>
      </c>
      <c r="H165" s="93">
        <v>37.5</v>
      </c>
      <c r="I165" s="122" t="str">
        <f t="shared" si="5"/>
        <v>(300, 350]</v>
      </c>
      <c r="J165" s="157">
        <v>1</v>
      </c>
      <c r="K165" s="201">
        <v>0</v>
      </c>
      <c r="L165" s="184">
        <v>0</v>
      </c>
      <c r="M165" s="204">
        <v>0</v>
      </c>
      <c r="N165" s="191">
        <v>0</v>
      </c>
      <c r="O165" s="207">
        <v>0</v>
      </c>
      <c r="P165" s="174"/>
      <c r="AV165" s="193"/>
      <c r="AW165" s="176"/>
      <c r="AX165" s="178"/>
      <c r="BK165" s="194"/>
      <c r="BM165" s="20"/>
    </row>
    <row r="166" spans="1:65" ht="15.6">
      <c r="A166" s="197">
        <v>350</v>
      </c>
      <c r="B166" s="198">
        <v>400</v>
      </c>
      <c r="C166" s="157">
        <v>605285</v>
      </c>
      <c r="D166" s="30">
        <v>23590705200</v>
      </c>
      <c r="E166" s="183">
        <f t="shared" si="4"/>
        <v>48.71817656145452</v>
      </c>
      <c r="F166" s="184">
        <v>6.0528500000000002E-3</v>
      </c>
      <c r="G166" s="185">
        <v>0.29488381499999999</v>
      </c>
      <c r="H166" s="93">
        <v>43.75</v>
      </c>
      <c r="I166" s="122" t="str">
        <f t="shared" si="5"/>
        <v>(350, 400]</v>
      </c>
      <c r="J166" s="157">
        <v>1</v>
      </c>
      <c r="K166" s="201">
        <v>0</v>
      </c>
      <c r="L166" s="184">
        <v>0</v>
      </c>
      <c r="M166" s="204">
        <v>0</v>
      </c>
      <c r="N166" s="191">
        <v>0</v>
      </c>
      <c r="O166" s="207">
        <v>0</v>
      </c>
      <c r="P166" s="174"/>
      <c r="AV166" s="193"/>
      <c r="AW166" s="176"/>
      <c r="AX166" s="178"/>
      <c r="BK166" s="194"/>
      <c r="BM166" s="20"/>
    </row>
    <row r="167" spans="1:65" ht="15.6">
      <c r="A167" s="197">
        <v>400</v>
      </c>
      <c r="B167" s="198">
        <v>450</v>
      </c>
      <c r="C167" s="157">
        <v>244010</v>
      </c>
      <c r="D167" s="30">
        <v>10524570800</v>
      </c>
      <c r="E167" s="183">
        <f t="shared" si="4"/>
        <v>53.914648989795502</v>
      </c>
      <c r="F167" s="184">
        <v>2.4401000000000002E-3</v>
      </c>
      <c r="G167" s="185">
        <v>0.13155713500000002</v>
      </c>
      <c r="H167" s="93">
        <v>50</v>
      </c>
      <c r="I167" s="122" t="str">
        <f t="shared" si="5"/>
        <v>(400, 450]</v>
      </c>
      <c r="J167" s="157">
        <v>1</v>
      </c>
      <c r="K167" s="201">
        <v>0</v>
      </c>
      <c r="L167" s="184">
        <v>0</v>
      </c>
      <c r="M167" s="204">
        <v>0</v>
      </c>
      <c r="N167" s="191">
        <v>0</v>
      </c>
      <c r="O167" s="207">
        <v>0</v>
      </c>
      <c r="P167" s="174"/>
      <c r="AV167" s="193"/>
      <c r="AW167" s="176"/>
      <c r="AX167" s="178"/>
      <c r="BK167" s="194"/>
      <c r="BM167" s="20"/>
    </row>
    <row r="168" spans="1:65" ht="15.6">
      <c r="A168" s="197">
        <v>450</v>
      </c>
      <c r="B168" s="198">
        <v>500</v>
      </c>
      <c r="C168" s="157">
        <v>495115</v>
      </c>
      <c r="D168" s="30">
        <v>24113538400</v>
      </c>
      <c r="E168" s="183">
        <f t="shared" si="4"/>
        <v>60.878630217222259</v>
      </c>
      <c r="F168" s="184">
        <v>4.9511499999999996E-3</v>
      </c>
      <c r="G168" s="185">
        <v>0.30141922999999998</v>
      </c>
      <c r="H168" s="93">
        <v>56.25</v>
      </c>
      <c r="I168" s="122" t="str">
        <f t="shared" si="5"/>
        <v>(450, 500]</v>
      </c>
      <c r="J168" s="157">
        <v>1</v>
      </c>
      <c r="K168" s="201">
        <v>0</v>
      </c>
      <c r="L168" s="184">
        <v>0</v>
      </c>
      <c r="M168" s="204">
        <v>0</v>
      </c>
      <c r="N168" s="191">
        <v>0</v>
      </c>
      <c r="O168" s="207">
        <v>0</v>
      </c>
      <c r="P168" s="174"/>
      <c r="AV168" s="193"/>
      <c r="AW168" s="176"/>
      <c r="AX168" s="178"/>
      <c r="BM168" s="20"/>
    </row>
    <row r="169" spans="1:65" ht="15.6">
      <c r="A169" s="197">
        <v>500</v>
      </c>
      <c r="B169" s="198">
        <v>550</v>
      </c>
      <c r="C169" s="157">
        <v>180745</v>
      </c>
      <c r="D169" s="30">
        <v>9511211700</v>
      </c>
      <c r="E169" s="183">
        <f t="shared" si="4"/>
        <v>65.777834103294694</v>
      </c>
      <c r="F169" s="184">
        <v>1.8074499999999999E-3</v>
      </c>
      <c r="G169" s="185">
        <v>0.11889014625</v>
      </c>
      <c r="H169" s="93"/>
      <c r="I169" s="122" t="str">
        <f t="shared" si="5"/>
        <v>(500, 550]</v>
      </c>
      <c r="J169" s="157">
        <v>1</v>
      </c>
      <c r="K169" s="201">
        <v>0</v>
      </c>
      <c r="L169" s="184">
        <v>0</v>
      </c>
      <c r="M169" s="204">
        <v>0</v>
      </c>
      <c r="N169" s="191">
        <v>0</v>
      </c>
      <c r="O169" s="207">
        <v>0</v>
      </c>
      <c r="P169" s="174"/>
      <c r="AV169" s="193"/>
      <c r="AW169" s="176"/>
      <c r="AX169" s="178"/>
      <c r="BM169" s="20"/>
    </row>
    <row r="170" spans="1:65" ht="15.6">
      <c r="A170" s="197">
        <v>550</v>
      </c>
      <c r="B170" s="198">
        <v>600</v>
      </c>
      <c r="C170" s="157">
        <v>348900</v>
      </c>
      <c r="D170" s="30">
        <v>20413025400</v>
      </c>
      <c r="E170" s="183">
        <f t="shared" si="4"/>
        <v>73.13351031814274</v>
      </c>
      <c r="F170" s="184">
        <v>3.4889999999999999E-3</v>
      </c>
      <c r="G170" s="185">
        <v>0.25516281750000003</v>
      </c>
      <c r="H170" s="93"/>
      <c r="I170" s="122" t="str">
        <f t="shared" si="5"/>
        <v>(550, 600]</v>
      </c>
      <c r="J170" s="157">
        <v>1</v>
      </c>
      <c r="K170" s="201">
        <v>0</v>
      </c>
      <c r="L170" s="184">
        <v>0</v>
      </c>
      <c r="M170" s="204">
        <v>0</v>
      </c>
      <c r="N170" s="191">
        <v>0</v>
      </c>
      <c r="O170" s="207">
        <v>0</v>
      </c>
      <c r="P170" s="174"/>
      <c r="AV170" s="193"/>
      <c r="AW170" s="176"/>
      <c r="AX170" s="178"/>
      <c r="BM170" s="20"/>
    </row>
    <row r="171" spans="1:65" ht="15.6">
      <c r="A171" s="197">
        <v>600</v>
      </c>
      <c r="B171" s="198">
        <v>650</v>
      </c>
      <c r="C171" s="157">
        <v>180287</v>
      </c>
      <c r="D171" s="30">
        <v>11363876300</v>
      </c>
      <c r="E171" s="183">
        <f t="shared" si="4"/>
        <v>78.790181072401225</v>
      </c>
      <c r="F171" s="184">
        <v>1.80287E-3</v>
      </c>
      <c r="G171" s="185">
        <v>0.14204845375</v>
      </c>
      <c r="H171" s="93"/>
      <c r="I171" s="122" t="str">
        <f t="shared" si="5"/>
        <v>(600, 650]</v>
      </c>
      <c r="J171" s="157">
        <v>1</v>
      </c>
      <c r="K171" s="201">
        <v>0</v>
      </c>
      <c r="L171" s="184">
        <v>0</v>
      </c>
      <c r="M171" s="204">
        <v>0</v>
      </c>
      <c r="N171" s="191">
        <v>0</v>
      </c>
      <c r="O171" s="207">
        <v>0</v>
      </c>
      <c r="P171" s="174"/>
      <c r="AV171" s="193"/>
      <c r="AW171" s="176"/>
      <c r="AX171" s="178"/>
      <c r="BM171" s="20"/>
    </row>
    <row r="172" spans="1:65" ht="15.6">
      <c r="A172" s="197">
        <v>650</v>
      </c>
      <c r="B172" s="198">
        <v>700</v>
      </c>
      <c r="C172" s="157">
        <v>174129</v>
      </c>
      <c r="D172" s="30">
        <v>11828598700</v>
      </c>
      <c r="E172" s="183">
        <f t="shared" si="4"/>
        <v>84.912612919157638</v>
      </c>
      <c r="F172" s="184">
        <v>1.7412899999999999E-3</v>
      </c>
      <c r="G172" s="185">
        <v>0.14785748374999999</v>
      </c>
      <c r="H172" s="93"/>
      <c r="I172" s="122" t="str">
        <f t="shared" si="5"/>
        <v>(650, 700]</v>
      </c>
      <c r="J172" s="157">
        <v>1</v>
      </c>
      <c r="K172" s="201">
        <v>0</v>
      </c>
      <c r="L172" s="184">
        <v>0</v>
      </c>
      <c r="M172" s="204">
        <v>0</v>
      </c>
      <c r="N172" s="191">
        <v>0</v>
      </c>
      <c r="O172" s="207">
        <v>0</v>
      </c>
      <c r="P172" s="174"/>
      <c r="AV172" s="193"/>
      <c r="AW172" s="176"/>
      <c r="AX172" s="178"/>
      <c r="BM172" s="20"/>
    </row>
    <row r="173" spans="1:65" ht="15.6">
      <c r="A173" s="197">
        <v>700</v>
      </c>
      <c r="B173" s="198">
        <v>750</v>
      </c>
      <c r="C173" s="157">
        <v>161776</v>
      </c>
      <c r="D173" s="30">
        <v>11751211600</v>
      </c>
      <c r="E173" s="183">
        <f t="shared" si="4"/>
        <v>90.798477524478287</v>
      </c>
      <c r="F173" s="184">
        <v>1.61776E-3</v>
      </c>
      <c r="G173" s="185">
        <v>0.146890145</v>
      </c>
      <c r="H173" s="93"/>
      <c r="I173" s="122" t="str">
        <f t="shared" si="5"/>
        <v>(700, 750]</v>
      </c>
      <c r="J173" s="157">
        <v>1</v>
      </c>
      <c r="K173" s="201">
        <v>0</v>
      </c>
      <c r="L173" s="184">
        <v>0</v>
      </c>
      <c r="M173" s="204">
        <v>0</v>
      </c>
      <c r="N173" s="191">
        <v>0</v>
      </c>
      <c r="O173" s="207">
        <v>0</v>
      </c>
      <c r="P173" s="174"/>
      <c r="AV173" s="193"/>
      <c r="AW173" s="176"/>
      <c r="AX173" s="178"/>
      <c r="BM173" s="20"/>
    </row>
    <row r="174" spans="1:65" ht="15.6">
      <c r="A174" s="197">
        <v>750</v>
      </c>
      <c r="B174" s="198">
        <v>800</v>
      </c>
      <c r="C174" s="157">
        <v>404148</v>
      </c>
      <c r="D174" s="30">
        <v>32027744300</v>
      </c>
      <c r="E174" s="183">
        <f t="shared" si="4"/>
        <v>99.059454395419493</v>
      </c>
      <c r="F174" s="184">
        <v>4.0414800000000001E-3</v>
      </c>
      <c r="G174" s="185">
        <v>0.40034680374999998</v>
      </c>
      <c r="H174" s="93"/>
      <c r="I174" s="122" t="str">
        <f t="shared" si="5"/>
        <v>(750, 800]</v>
      </c>
      <c r="J174" s="157">
        <v>1</v>
      </c>
      <c r="K174" s="201">
        <v>0</v>
      </c>
      <c r="L174" s="184">
        <v>0</v>
      </c>
      <c r="M174" s="204">
        <v>0</v>
      </c>
      <c r="N174" s="191">
        <v>0</v>
      </c>
      <c r="O174" s="207">
        <v>0</v>
      </c>
      <c r="P174" s="174"/>
      <c r="AV174" s="193"/>
      <c r="AW174" s="176"/>
      <c r="AX174" s="178"/>
      <c r="BM174" s="20"/>
    </row>
    <row r="175" spans="1:65" ht="15.6">
      <c r="A175" s="197">
        <v>800</v>
      </c>
      <c r="B175" s="198">
        <v>850</v>
      </c>
      <c r="C175" s="157">
        <v>107727</v>
      </c>
      <c r="D175" s="30">
        <v>8918430600</v>
      </c>
      <c r="E175" s="183">
        <f t="shared" si="4"/>
        <v>103.48416135230723</v>
      </c>
      <c r="F175" s="184">
        <v>1.07727E-3</v>
      </c>
      <c r="G175" s="185">
        <v>0.1114803825</v>
      </c>
      <c r="H175" s="93"/>
      <c r="I175" s="122" t="str">
        <f t="shared" si="5"/>
        <v>(800, 850]</v>
      </c>
      <c r="J175" s="157">
        <v>1</v>
      </c>
      <c r="K175" s="201">
        <v>0</v>
      </c>
      <c r="L175" s="184">
        <v>0</v>
      </c>
      <c r="M175" s="204">
        <v>0</v>
      </c>
      <c r="N175" s="191">
        <v>0</v>
      </c>
      <c r="O175" s="207">
        <v>0</v>
      </c>
      <c r="P175" s="174"/>
      <c r="AV175" s="193"/>
      <c r="AW175" s="176"/>
      <c r="AX175" s="178"/>
      <c r="BM175" s="20"/>
    </row>
    <row r="176" spans="1:65" ht="15.6">
      <c r="A176" s="197">
        <v>850</v>
      </c>
      <c r="B176" s="198">
        <v>900</v>
      </c>
      <c r="C176" s="157">
        <v>140498</v>
      </c>
      <c r="D176" s="30">
        <v>12391053800</v>
      </c>
      <c r="E176" s="183">
        <f t="shared" si="4"/>
        <v>110.24226145567908</v>
      </c>
      <c r="F176" s="184">
        <v>1.4049799999999999E-3</v>
      </c>
      <c r="G176" s="185">
        <v>0.15488817249999998</v>
      </c>
      <c r="H176" s="93"/>
      <c r="I176" s="122" t="str">
        <f t="shared" si="5"/>
        <v>(850, 900]</v>
      </c>
      <c r="J176" s="157">
        <v>1</v>
      </c>
      <c r="K176" s="201">
        <v>0</v>
      </c>
      <c r="L176" s="184">
        <v>0</v>
      </c>
      <c r="M176" s="204">
        <v>0</v>
      </c>
      <c r="N176" s="191">
        <v>0</v>
      </c>
      <c r="O176" s="207">
        <v>0</v>
      </c>
      <c r="P176" s="174"/>
      <c r="AV176" s="193"/>
      <c r="AW176" s="176"/>
      <c r="AX176" s="178"/>
      <c r="BM176" s="20"/>
    </row>
    <row r="177" spans="1:65" ht="15.6">
      <c r="A177" s="197">
        <v>900</v>
      </c>
      <c r="B177" s="198">
        <v>950</v>
      </c>
      <c r="C177" s="157">
        <v>93189</v>
      </c>
      <c r="D177" s="30">
        <v>8645286800</v>
      </c>
      <c r="E177" s="183">
        <f t="shared" si="4"/>
        <v>115.9644217665175</v>
      </c>
      <c r="F177" s="184">
        <v>9.3189E-4</v>
      </c>
      <c r="G177" s="185">
        <v>0.10806608499999999</v>
      </c>
      <c r="H177" s="93"/>
      <c r="I177" s="122" t="str">
        <f t="shared" si="5"/>
        <v>(900, 950]</v>
      </c>
      <c r="J177" s="157">
        <v>1</v>
      </c>
      <c r="K177" s="201">
        <v>0</v>
      </c>
      <c r="L177" s="184">
        <v>0</v>
      </c>
      <c r="M177" s="204">
        <v>0</v>
      </c>
      <c r="N177" s="191">
        <v>0</v>
      </c>
      <c r="O177" s="207">
        <v>0</v>
      </c>
      <c r="P177" s="174"/>
      <c r="AV177" s="193"/>
      <c r="AW177" s="176"/>
      <c r="AX177" s="178"/>
      <c r="BM177" s="20"/>
    </row>
    <row r="178" spans="1:65" ht="15.6">
      <c r="A178" s="197">
        <v>950</v>
      </c>
      <c r="B178" s="198">
        <v>1000</v>
      </c>
      <c r="C178" s="157">
        <v>338356</v>
      </c>
      <c r="D178" s="30">
        <v>33572817700</v>
      </c>
      <c r="E178" s="183">
        <f t="shared" si="4"/>
        <v>124.02919447268557</v>
      </c>
      <c r="F178" s="184">
        <v>3.3835599999999999E-3</v>
      </c>
      <c r="G178" s="185">
        <v>0.41966022124999997</v>
      </c>
      <c r="H178" s="93"/>
      <c r="I178" s="122" t="str">
        <f t="shared" si="5"/>
        <v>(950, 1000]</v>
      </c>
      <c r="J178" s="157">
        <v>1</v>
      </c>
      <c r="K178" s="201">
        <v>0</v>
      </c>
      <c r="L178" s="184">
        <v>0</v>
      </c>
      <c r="M178" s="204">
        <v>0</v>
      </c>
      <c r="N178" s="191">
        <v>0</v>
      </c>
      <c r="O178" s="207">
        <v>0</v>
      </c>
      <c r="P178" s="174"/>
      <c r="AV178" s="193"/>
      <c r="AW178" s="176"/>
      <c r="AX178" s="178"/>
      <c r="BM178" s="20"/>
    </row>
    <row r="179" spans="1:65" ht="15.6">
      <c r="A179" s="197">
        <v>1000</v>
      </c>
      <c r="B179" s="198">
        <v>2000</v>
      </c>
      <c r="C179" s="157">
        <v>1971848</v>
      </c>
      <c r="D179" s="30">
        <v>292952998700</v>
      </c>
      <c r="E179" s="183">
        <f t="shared" si="4"/>
        <v>185.70967355242391</v>
      </c>
      <c r="F179" s="184">
        <v>1.971848E-2</v>
      </c>
      <c r="G179" s="185">
        <v>3.6619124837499997</v>
      </c>
      <c r="H179" s="93"/>
      <c r="I179" s="122" t="str">
        <f t="shared" si="5"/>
        <v>(1000, 2000]</v>
      </c>
      <c r="J179" s="157">
        <v>1</v>
      </c>
      <c r="K179" s="201">
        <v>0</v>
      </c>
      <c r="L179" s="184">
        <v>0</v>
      </c>
      <c r="M179" s="204">
        <v>0</v>
      </c>
      <c r="N179" s="191">
        <v>0</v>
      </c>
      <c r="O179" s="207">
        <v>0</v>
      </c>
      <c r="P179" s="174"/>
      <c r="AV179" s="193"/>
      <c r="AW179" s="176"/>
      <c r="AX179" s="178"/>
      <c r="BM179" s="20"/>
    </row>
    <row r="180" spans="1:65" ht="15.6">
      <c r="A180" s="197">
        <v>2000</v>
      </c>
      <c r="B180" s="198">
        <v>3000</v>
      </c>
      <c r="C180" s="157">
        <v>848263</v>
      </c>
      <c r="D180" s="30">
        <v>212974878600</v>
      </c>
      <c r="E180" s="183">
        <f t="shared" si="4"/>
        <v>313.83969152255844</v>
      </c>
      <c r="F180" s="184">
        <v>8.4826299999999997E-3</v>
      </c>
      <c r="G180" s="185">
        <v>2.6621859824999996</v>
      </c>
      <c r="H180" s="93"/>
      <c r="I180" s="122" t="str">
        <f t="shared" si="5"/>
        <v>(2000, 3000]</v>
      </c>
      <c r="J180" s="157">
        <v>1</v>
      </c>
      <c r="K180" s="201">
        <v>0</v>
      </c>
      <c r="L180" s="184">
        <v>0</v>
      </c>
      <c r="M180" s="204">
        <v>0</v>
      </c>
      <c r="N180" s="191">
        <v>0</v>
      </c>
      <c r="O180" s="207">
        <v>0</v>
      </c>
      <c r="P180" s="174"/>
      <c r="AV180" s="193"/>
      <c r="AW180" s="176"/>
      <c r="AX180" s="178"/>
      <c r="BM180" s="20"/>
    </row>
    <row r="181" spans="1:65" ht="15.6">
      <c r="A181" s="197">
        <v>3000</v>
      </c>
      <c r="B181" s="198">
        <v>4000</v>
      </c>
      <c r="C181" s="157">
        <v>456313</v>
      </c>
      <c r="D181" s="30">
        <v>161430754300</v>
      </c>
      <c r="E181" s="183">
        <f t="shared" si="4"/>
        <v>442.21497716479695</v>
      </c>
      <c r="F181" s="184">
        <v>4.5631300000000003E-3</v>
      </c>
      <c r="G181" s="185">
        <v>2.01788442875</v>
      </c>
      <c r="H181" s="93"/>
      <c r="I181" s="122" t="str">
        <f t="shared" si="5"/>
        <v>(3000, 4000]</v>
      </c>
      <c r="J181" s="157">
        <v>1</v>
      </c>
      <c r="K181" s="201">
        <v>0</v>
      </c>
      <c r="L181" s="184">
        <v>0</v>
      </c>
      <c r="M181" s="204">
        <v>0</v>
      </c>
      <c r="N181" s="191">
        <v>0</v>
      </c>
      <c r="O181" s="207">
        <v>0</v>
      </c>
      <c r="P181" s="174"/>
      <c r="AV181" s="193"/>
      <c r="AW181" s="176"/>
      <c r="AX181" s="178"/>
      <c r="BM181" s="20"/>
    </row>
    <row r="182" spans="1:65" ht="15.6">
      <c r="A182" s="197">
        <v>4000</v>
      </c>
      <c r="B182" s="198">
        <v>5000</v>
      </c>
      <c r="C182" s="157">
        <v>266366</v>
      </c>
      <c r="D182" s="30">
        <v>120086682800</v>
      </c>
      <c r="E182" s="183">
        <f t="shared" si="4"/>
        <v>563.54171891307453</v>
      </c>
      <c r="F182" s="184">
        <v>2.66366E-3</v>
      </c>
      <c r="G182" s="185">
        <v>1.501083535</v>
      </c>
      <c r="H182" s="93"/>
      <c r="I182" s="122" t="str">
        <f t="shared" si="5"/>
        <v>(4000, 5000]</v>
      </c>
      <c r="J182" s="157">
        <v>1</v>
      </c>
      <c r="K182" s="201">
        <v>0</v>
      </c>
      <c r="L182" s="184">
        <v>0</v>
      </c>
      <c r="M182" s="204">
        <v>0</v>
      </c>
      <c r="N182" s="191">
        <v>0</v>
      </c>
      <c r="O182" s="207">
        <v>0</v>
      </c>
      <c r="P182" s="174"/>
      <c r="AV182" s="193"/>
      <c r="AW182" s="176"/>
      <c r="AX182" s="178"/>
      <c r="BM182" s="20"/>
    </row>
    <row r="183" spans="1:65" ht="15.6">
      <c r="A183" s="197">
        <v>5000</v>
      </c>
      <c r="B183" s="198">
        <v>6000</v>
      </c>
      <c r="C183" s="157">
        <v>177049</v>
      </c>
      <c r="D183" s="30">
        <v>97990132500</v>
      </c>
      <c r="E183" s="183">
        <f t="shared" si="4"/>
        <v>691.82918641167134</v>
      </c>
      <c r="F183" s="184">
        <v>1.77049E-3</v>
      </c>
      <c r="G183" s="185">
        <v>1.22487665625</v>
      </c>
      <c r="H183" s="93"/>
      <c r="I183" s="122" t="str">
        <f t="shared" si="5"/>
        <v>(5000, 6000]</v>
      </c>
      <c r="J183" s="157">
        <v>1</v>
      </c>
      <c r="K183" s="201">
        <v>0</v>
      </c>
      <c r="L183" s="184">
        <v>0</v>
      </c>
      <c r="M183" s="204">
        <v>0</v>
      </c>
      <c r="N183" s="191">
        <v>0</v>
      </c>
      <c r="O183" s="207">
        <v>0</v>
      </c>
      <c r="P183" s="174"/>
      <c r="AV183" s="193"/>
      <c r="AW183" s="176"/>
      <c r="AX183" s="178"/>
      <c r="BM183" s="20"/>
    </row>
    <row r="184" spans="1:65" ht="15.6">
      <c r="A184" s="197">
        <v>6000</v>
      </c>
      <c r="B184" s="198">
        <v>7000</v>
      </c>
      <c r="C184" s="157">
        <v>111173</v>
      </c>
      <c r="D184" s="30">
        <v>72055815400</v>
      </c>
      <c r="E184" s="183">
        <f t="shared" si="4"/>
        <v>810.17665485324676</v>
      </c>
      <c r="F184" s="184">
        <v>1.11173E-3</v>
      </c>
      <c r="G184" s="185">
        <v>0.90069769249999998</v>
      </c>
      <c r="H184" s="93"/>
      <c r="I184" s="122" t="str">
        <f t="shared" si="5"/>
        <v>(6000, 7000]</v>
      </c>
      <c r="J184" s="157">
        <v>1</v>
      </c>
      <c r="K184" s="201">
        <v>0</v>
      </c>
      <c r="L184" s="184">
        <v>0</v>
      </c>
      <c r="M184" s="204">
        <v>0</v>
      </c>
      <c r="N184" s="191">
        <v>0</v>
      </c>
      <c r="O184" s="207">
        <v>0</v>
      </c>
      <c r="P184" s="174"/>
      <c r="AV184" s="193"/>
      <c r="AW184" s="176"/>
      <c r="AX184" s="178"/>
      <c r="BM184" s="20"/>
    </row>
    <row r="185" spans="1:65" thickBot="1">
      <c r="A185" s="199">
        <v>7000</v>
      </c>
      <c r="B185" s="200">
        <v>8000</v>
      </c>
      <c r="C185" s="159">
        <v>80422</v>
      </c>
      <c r="D185" s="164">
        <v>60431077900</v>
      </c>
      <c r="E185" s="186">
        <f t="shared" si="4"/>
        <v>939.28088551640099</v>
      </c>
      <c r="F185" s="187">
        <v>8.0422000000000002E-4</v>
      </c>
      <c r="G185" s="188">
        <v>0.75538847375000007</v>
      </c>
      <c r="H185" s="93"/>
      <c r="I185" s="123" t="str">
        <f t="shared" si="5"/>
        <v>(7000, 8000]</v>
      </c>
      <c r="J185" s="159">
        <v>1</v>
      </c>
      <c r="K185" s="202">
        <v>0</v>
      </c>
      <c r="L185" s="187">
        <v>0</v>
      </c>
      <c r="M185" s="205">
        <v>0</v>
      </c>
      <c r="N185" s="192">
        <v>0</v>
      </c>
      <c r="O185" s="208">
        <v>0</v>
      </c>
      <c r="P185" s="174"/>
      <c r="AV185" s="193"/>
      <c r="AW185" s="176"/>
      <c r="AX185" s="178"/>
      <c r="BM185" s="20"/>
    </row>
    <row r="186" spans="1:65" ht="15.6">
      <c r="A186" s="238">
        <v>8000</v>
      </c>
      <c r="B186" s="242">
        <v>9000</v>
      </c>
      <c r="C186" s="157">
        <v>57918</v>
      </c>
      <c r="D186" s="30">
        <v>49185145000</v>
      </c>
      <c r="E186" s="183">
        <f t="shared" si="4"/>
        <v>1061.5254540902656</v>
      </c>
      <c r="F186" s="184">
        <v>5.7917999999999999E-4</v>
      </c>
      <c r="G186" s="185">
        <v>0.61481431250000007</v>
      </c>
      <c r="H186" s="174"/>
      <c r="I186" s="122" t="str">
        <f t="shared" si="5"/>
        <v>(8000, 9000]</v>
      </c>
      <c r="J186" s="157">
        <v>1</v>
      </c>
      <c r="K186" s="230">
        <v>0</v>
      </c>
      <c r="L186" s="184">
        <v>0</v>
      </c>
      <c r="M186" s="229">
        <v>0</v>
      </c>
      <c r="N186" s="245">
        <v>0</v>
      </c>
      <c r="O186" s="231">
        <v>0</v>
      </c>
      <c r="P186" s="262"/>
      <c r="Q186" s="194"/>
      <c r="S186" s="178"/>
      <c r="AV186" s="193"/>
      <c r="AW186" s="176"/>
    </row>
    <row r="187" spans="1:65" ht="15.6">
      <c r="A187" s="238">
        <v>9000</v>
      </c>
      <c r="B187" s="242">
        <v>10000</v>
      </c>
      <c r="C187" s="157">
        <v>46112</v>
      </c>
      <c r="D187" s="30">
        <v>43824708200</v>
      </c>
      <c r="E187" s="183">
        <f t="shared" si="4"/>
        <v>1187.9962970593338</v>
      </c>
      <c r="F187" s="184">
        <v>4.6111999999999998E-4</v>
      </c>
      <c r="G187" s="185">
        <v>0.5478088525</v>
      </c>
      <c r="H187" s="174"/>
      <c r="I187" s="122" t="str">
        <f t="shared" si="5"/>
        <v>(9000, 10000]</v>
      </c>
      <c r="J187" s="157">
        <v>1</v>
      </c>
      <c r="K187" s="230">
        <v>0</v>
      </c>
      <c r="L187" s="184">
        <v>0</v>
      </c>
      <c r="M187" s="229">
        <v>0</v>
      </c>
      <c r="N187" s="245">
        <v>0</v>
      </c>
      <c r="O187" s="231">
        <v>0</v>
      </c>
      <c r="P187" s="262"/>
      <c r="Q187" s="194"/>
      <c r="S187" s="178"/>
      <c r="AV187" s="193"/>
      <c r="AW187" s="176"/>
    </row>
    <row r="188" spans="1:65" ht="15.6">
      <c r="A188" s="238">
        <v>10000</v>
      </c>
      <c r="B188" s="242">
        <v>20000</v>
      </c>
      <c r="C188" s="157">
        <v>154927</v>
      </c>
      <c r="D188" s="30">
        <v>208302096300</v>
      </c>
      <c r="E188" s="183">
        <f t="shared" si="4"/>
        <v>1680.647145913882</v>
      </c>
      <c r="F188" s="184">
        <v>1.5492699999999999E-3</v>
      </c>
      <c r="G188" s="185">
        <v>2.6037762037499999</v>
      </c>
      <c r="H188" s="174"/>
      <c r="I188" s="122" t="str">
        <f t="shared" si="5"/>
        <v>(10000, 20000]</v>
      </c>
      <c r="J188" s="157">
        <v>1</v>
      </c>
      <c r="K188" s="230">
        <v>0</v>
      </c>
      <c r="L188" s="184">
        <v>0</v>
      </c>
      <c r="M188" s="229">
        <v>0</v>
      </c>
      <c r="N188" s="245">
        <v>0</v>
      </c>
      <c r="O188" s="231">
        <v>0</v>
      </c>
      <c r="P188" s="262"/>
      <c r="Q188" s="194"/>
      <c r="S188" s="178"/>
      <c r="AV188" s="193"/>
      <c r="AW188" s="176"/>
    </row>
    <row r="189" spans="1:65" ht="15.6">
      <c r="A189" s="238">
        <v>20000</v>
      </c>
      <c r="B189" s="242">
        <v>30000</v>
      </c>
      <c r="C189" s="157">
        <v>36837</v>
      </c>
      <c r="D189" s="30">
        <v>98401966100</v>
      </c>
      <c r="E189" s="183">
        <f t="shared" si="4"/>
        <v>3339.100839509189</v>
      </c>
      <c r="F189" s="184">
        <v>3.6837000000000003E-4</v>
      </c>
      <c r="G189" s="185">
        <v>1.2300245762499999</v>
      </c>
      <c r="H189" s="174"/>
      <c r="I189" s="122" t="str">
        <f t="shared" si="5"/>
        <v>(20000, 30000]</v>
      </c>
      <c r="J189" s="157">
        <v>1</v>
      </c>
      <c r="K189" s="230">
        <v>0</v>
      </c>
      <c r="L189" s="184">
        <v>0</v>
      </c>
      <c r="M189" s="229">
        <v>0</v>
      </c>
      <c r="N189" s="245">
        <v>0</v>
      </c>
      <c r="O189" s="231">
        <v>0</v>
      </c>
      <c r="P189" s="262"/>
      <c r="Q189" s="194"/>
      <c r="S189" s="178"/>
      <c r="AV189" s="193"/>
      <c r="AW189" s="176"/>
    </row>
    <row r="190" spans="1:65" ht="15.6">
      <c r="A190" s="238">
        <v>30000</v>
      </c>
      <c r="B190" s="242">
        <v>100000</v>
      </c>
      <c r="C190" s="157">
        <v>720</v>
      </c>
      <c r="D190" s="30">
        <v>4214734900</v>
      </c>
      <c r="E190" s="183">
        <f t="shared" si="4"/>
        <v>7317.2480902777779</v>
      </c>
      <c r="F190" s="184">
        <v>7.1999999999999997E-6</v>
      </c>
      <c r="G190" s="185">
        <v>5.2684186250000001E-2</v>
      </c>
      <c r="H190" s="174"/>
      <c r="I190" s="122" t="str">
        <f t="shared" si="5"/>
        <v>(30000, 100000]</v>
      </c>
      <c r="J190" s="157">
        <v>0</v>
      </c>
      <c r="K190" s="230">
        <v>0</v>
      </c>
      <c r="L190" s="184">
        <v>0</v>
      </c>
      <c r="M190" s="229">
        <v>0</v>
      </c>
      <c r="N190" s="245">
        <v>0</v>
      </c>
      <c r="O190" s="231">
        <v>0</v>
      </c>
      <c r="P190" s="262"/>
      <c r="Q190" s="194"/>
      <c r="S190" s="178"/>
      <c r="AV190" s="193"/>
      <c r="AW190" s="176"/>
    </row>
    <row r="191" spans="1:65" thickBot="1">
      <c r="A191" s="239">
        <v>100000</v>
      </c>
      <c r="B191" s="243">
        <v>999999</v>
      </c>
      <c r="C191" s="159">
        <v>1</v>
      </c>
      <c r="D191" s="164">
        <v>10725000</v>
      </c>
      <c r="E191" s="186">
        <f t="shared" si="4"/>
        <v>13406.25</v>
      </c>
      <c r="F191" s="187">
        <v>1E-8</v>
      </c>
      <c r="G191" s="188">
        <v>1.3406250000000001E-4</v>
      </c>
      <c r="H191" s="174"/>
      <c r="I191" s="123" t="str">
        <f t="shared" si="5"/>
        <v>(100000, 999999]</v>
      </c>
      <c r="J191" s="159">
        <v>0</v>
      </c>
      <c r="K191" s="246">
        <v>0</v>
      </c>
      <c r="L191" s="187">
        <v>0</v>
      </c>
      <c r="M191" s="240">
        <v>0</v>
      </c>
      <c r="N191" s="247">
        <v>0</v>
      </c>
      <c r="O191" s="231">
        <v>0</v>
      </c>
      <c r="P191" s="262"/>
      <c r="Q191" s="194"/>
      <c r="S191" s="178"/>
      <c r="AV191" s="193"/>
      <c r="AW191" s="176"/>
    </row>
    <row r="192" spans="1:65" ht="16.8" thickBot="1">
      <c r="O192" s="10">
        <f>SUM(O175:O185)</f>
        <v>0</v>
      </c>
    </row>
    <row r="193" spans="13:15" ht="16.8" thickBot="1">
      <c r="M193" s="112"/>
      <c r="N193" s="161" t="s">
        <v>168</v>
      </c>
      <c r="O193" s="215" t="s">
        <v>167</v>
      </c>
    </row>
    <row r="194" spans="13:15">
      <c r="M194" s="125" t="s">
        <v>165</v>
      </c>
      <c r="N194" s="214" t="e">
        <f>1/SUM(N181:N185)</f>
        <v>#DIV/0!</v>
      </c>
      <c r="O194" s="216" t="e" cm="1">
        <f t="array" ref="O194:O195">N196/N194:N195</f>
        <v>#DIV/0!</v>
      </c>
    </row>
    <row r="195" spans="13:15" ht="16.8" thickBot="1">
      <c r="M195" s="122" t="s">
        <v>166</v>
      </c>
      <c r="N195" s="214" t="e">
        <f>1/SUM(N192)</f>
        <v>#DIV/0!</v>
      </c>
      <c r="O195" s="216" t="e">
        <v>#DIV/0!</v>
      </c>
    </row>
    <row r="196" spans="13:15" ht="16.8" thickBot="1">
      <c r="M196" s="112" t="s">
        <v>164</v>
      </c>
      <c r="N196" s="180">
        <f>N131</f>
        <v>3500000</v>
      </c>
      <c r="O196" s="162"/>
    </row>
  </sheetData>
  <phoneticPr fontId="2" type="noConversion"/>
  <conditionalFormatting sqref="J4:O61 C4:G61">
    <cfRule type="cellIs" dxfId="10" priority="21" operator="equal">
      <formula>0</formula>
    </cfRule>
  </conditionalFormatting>
  <conditionalFormatting sqref="J135:O185 J134:L134 N134:O134 C135:G185 D134:G134">
    <cfRule type="cellIs" dxfId="9" priority="19" operator="equal">
      <formula>0</formula>
    </cfRule>
  </conditionalFormatting>
  <conditionalFormatting sqref="C70:D120 J70:O120 K69:L69 N69:O69 F69:G120 D69">
    <cfRule type="cellIs" dxfId="8" priority="20" operator="equal">
      <formula>0</formula>
    </cfRule>
  </conditionalFormatting>
  <conditionalFormatting sqref="M134">
    <cfRule type="cellIs" dxfId="7" priority="17" operator="equal">
      <formula>0</formula>
    </cfRule>
  </conditionalFormatting>
  <conditionalFormatting sqref="E69:E120">
    <cfRule type="cellIs" dxfId="6" priority="15" operator="equal">
      <formula>0</formula>
    </cfRule>
  </conditionalFormatting>
  <conditionalFormatting sqref="M69">
    <cfRule type="cellIs" dxfId="5" priority="14" operator="equal">
      <formula>0</formula>
    </cfRule>
  </conditionalFormatting>
  <conditionalFormatting sqref="J69">
    <cfRule type="cellIs" dxfId="4" priority="13" operator="equal">
      <formula>0</formula>
    </cfRule>
  </conditionalFormatting>
  <conditionalFormatting sqref="O4:O6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3" priority="10" operator="equal">
      <formula>0</formula>
    </cfRule>
  </conditionalFormatting>
  <conditionalFormatting sqref="O121:O1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2" priority="7" operator="equal">
      <formula>0</formula>
    </cfRule>
  </conditionalFormatting>
  <conditionalFormatting sqref="O186:O1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1" priority="3" operator="equal">
      <formula>0</formula>
    </cfRule>
  </conditionalFormatting>
  <conditionalFormatting sqref="C134"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4</vt:i4>
      </vt:variant>
    </vt:vector>
  </HeadingPairs>
  <TitlesOfParts>
    <vt:vector size="15" baseType="lpstr">
      <vt:lpstr>Overview</vt:lpstr>
      <vt:lpstr>Parameter</vt:lpstr>
      <vt:lpstr>Parameter-卡片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Multiplier Weight</vt:lpstr>
      <vt:lpstr>Multiplier Weight (new_player)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魏昶泰</dc:creator>
  <cp:lastModifiedBy>沈宏羲</cp:lastModifiedBy>
  <cp:lastPrinted>2026-04-07T01:44:13Z</cp:lastPrinted>
  <dcterms:created xsi:type="dcterms:W3CDTF">2006-10-09T15:31:11Z</dcterms:created>
  <dcterms:modified xsi:type="dcterms:W3CDTF">2026-04-07T03:22:45Z</dcterms:modified>
</cp:coreProperties>
</file>