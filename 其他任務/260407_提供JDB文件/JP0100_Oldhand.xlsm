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Desktop\260407_JDB\"/>
    </mc:Choice>
  </mc:AlternateContent>
  <xr:revisionPtr revIDLastSave="0" documentId="13_ncr:1_{E482B9B7-95D0-469A-B246-A5F212AFB356}" xr6:coauthVersionLast="47" xr6:coauthVersionMax="47" xr10:uidLastSave="{00000000-0000-0000-0000-000000000000}"/>
  <bookViews>
    <workbookView xWindow="-108" yWindow="-108" windowWidth="23256" windowHeight="12456" xr2:uid="{267F8BC2-1961-483E-B3A7-5311FA9D60AE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6" i="8" l="1"/>
  <c r="U3" i="36" a="1"/>
  <c r="U3" i="36" s="1"/>
  <c r="T3" i="36" a="1"/>
  <c r="T3" i="36" s="1"/>
  <c r="S3" i="36" a="1"/>
  <c r="S3" i="36" s="1"/>
  <c r="R12" i="36" l="1"/>
  <c r="R11" i="36"/>
  <c r="R10" i="36"/>
  <c r="R9" i="36"/>
  <c r="R8" i="36"/>
  <c r="R7" i="36"/>
  <c r="R6" i="36"/>
  <c r="R5" i="36"/>
  <c r="R4" i="36"/>
  <c r="R3" i="36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3" i="93" a="1"/>
  <c r="C3" i="93" s="1"/>
  <c r="C9" i="8" s="1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H9" i="94" s="1"/>
  <c r="G23" i="94"/>
  <c r="J8" i="94" a="1"/>
  <c r="I8" i="94" a="1"/>
  <c r="I8" i="94" s="1"/>
  <c r="H8" i="94"/>
  <c r="G33" i="94" l="1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H12" i="94"/>
  <c r="K8" i="94"/>
  <c r="D24" i="8" s="1"/>
  <c r="F4" i="92" a="1"/>
  <c r="F4" i="92" s="1"/>
  <c r="D19" i="94" a="1"/>
  <c r="D19" i="94" s="1"/>
  <c r="J6" i="93"/>
  <c r="C30" i="94"/>
  <c r="G30" i="94" l="1"/>
  <c r="G34" i="94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E30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H31" i="94" l="1" a="1"/>
  <c r="H31" i="94" s="1"/>
  <c r="K10" i="93"/>
  <c r="C75" i="94"/>
  <c r="J9" i="93"/>
  <c r="C63" i="94"/>
  <c r="G45" i="94"/>
  <c r="R7" i="93" a="1"/>
  <c r="F41" i="94"/>
  <c r="D52" i="94" a="1"/>
  <c r="D52" i="94" s="1"/>
  <c r="H30" i="94"/>
  <c r="I30" i="94" a="1"/>
  <c r="I30" i="94" s="1"/>
  <c r="J30" i="94" a="1"/>
  <c r="J30" i="94" s="1"/>
  <c r="N7" i="93"/>
  <c r="G54" i="94"/>
  <c r="G55" i="94"/>
  <c r="G53" i="94"/>
  <c r="C74" i="94" l="1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G184" i="94"/>
  <c r="N20" i="93" a="1"/>
  <c r="I162" i="94" a="1"/>
  <c r="I162" i="94" s="1"/>
  <c r="H162" i="94"/>
  <c r="J162" i="94" a="1"/>
  <c r="J162" i="94" s="1"/>
  <c r="J173" i="94" a="1"/>
  <c r="J173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J195" i="94" a="1"/>
  <c r="J195" i="94" s="1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<sst xmlns="http://schemas.openxmlformats.org/spreadsheetml/2006/main" count="582" uniqueCount="62">
  <si>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</si>
  <si>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</si>
  <si>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</si>
  <si>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</si>
  <si>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</si>
  <si>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</si>
  <si>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</si>
  <si>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</si>
  <si>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</si>
  <si>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</si>
  <si>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</si>
  <si>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</si>
  <si>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</si>
  <si>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</si>
  <si>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</si>
  <si>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</si>
  <si>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</si>
  <si>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</si>
  <si>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</si>
  <si>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</si>
  <si>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</si>
  <si>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</si>
  <si>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</si>
  <si>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</si>
  <si>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</si>
  <si>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</si>
  <si>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</si>
  <si>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</si>
  <si>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</si>
  <si>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</si>
  <si>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</si>
  <si>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</si>
  <si>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</si>
  <si>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</si>
  <si>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</si>
  <si>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</si>
  <si>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</si>
  <si>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</si>
  <si>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</si>
  <si>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</si>
  <si>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</si>
  <si>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</si>
  <si>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JP0100B</t>
    <phoneticPr fontId="1" type="noConversion"/>
  </si>
  <si>
    <t>Option
(Water Level / Group)</t>
    <phoneticPr fontId="1" type="noConversion"/>
  </si>
  <si>
    <t/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</si>
  <si>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</si>
  <si>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</si>
  <si>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</si>
  <si>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</si>
  <si>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</si>
  <si>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</si>
  <si>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</si>
  <si>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</si>
  <si>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</si>
  <si>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</si>
  <si>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</si>
  <si>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</si>
  <si>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Jackpot Game Awards Pool (Weight/Threshold)</t>
    <phoneticPr fontId="1" type="noConversion"/>
  </si>
  <si>
    <t>Jackpot Game Hit Rate</t>
  </si>
  <si>
    <t>Jackpot Game Real Period</t>
  </si>
  <si>
    <t>4.0.0.0</t>
  </si>
  <si>
    <t>Else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</si>
</sst>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76" fontId="4" fillId="3" borderId="1" xfId="1" applyNumberFormat="1" applyFont="1" applyFill="1" applyBorder="1">
      <alignment vertical="center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10" fontId="12" fillId="0" borderId="0" xfId="0" applyNumberFormat="1" applyFont="1" applyFill="1">
      <alignment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9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G10" sqref="G10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0" t="s">
        <v>45</v>
      </c>
      <c r="C3" s="71" t="s">
        <v>42</v>
      </c>
    </row>
    <row r="4" spans="2:7">
      <c r="B4" s="45" t="s">
        <v>0</v>
      </c>
      <c r="C4" s="72" t="s">
        <v>60</v>
      </c>
    </row>
    <row r="6" spans="2:7">
      <c r="B6" s="45" t="s">
        <v>41</v>
      </c>
      <c r="C6" s="62">
        <v>22</v>
      </c>
      <c r="D6" s="76" t="str">
        <f>VLOOKUP(C6, Parameter_List!A:B, 2, 0)</f>
        <v>Else</v>
      </c>
    </row>
    <row r="7" spans="2:7">
      <c r="B7" s="45" t="s">
        <v>46</v>
      </c>
      <c r="C7" s="62">
        <v>1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1">
        <v>10000000000</v>
      </c>
    </row>
    <row r="12" spans="2:7">
      <c r="B12" s="38"/>
      <c r="C12" s="39"/>
    </row>
    <row r="14" spans="2:7">
      <c r="B14" s="2" t="s">
        <v>53</v>
      </c>
    </row>
    <row r="15" spans="2:7">
      <c r="B15" s="64" t="s">
        <v>44</v>
      </c>
      <c r="C15" s="65" t="s">
        <v>51</v>
      </c>
      <c r="D15" s="65" t="s">
        <v>48</v>
      </c>
      <c r="E15" s="55" t="s">
        <v>47</v>
      </c>
      <c r="F15" s="65" t="s">
        <v>49</v>
      </c>
      <c r="G15" s="65" t="s">
        <v>50</v>
      </c>
    </row>
    <row r="16" spans="2:7">
      <c r="B16" s="63" t="s">
        <v>32</v>
      </c>
      <c r="C16" s="69" cm="1">
        <f t="array" ref="C16:C19">Setting!D25:D28</f>
        <v>500000</v>
      </c>
      <c r="D16" s="67" cm="1">
        <f t="array" ref="D16:D19">_xlfn.ANCHORARRAY(F16)-_xlfn.ANCHORARRAY(E16)</f>
        <v>6.5000000000000006E-3</v>
      </c>
      <c r="E16" s="67" cm="1">
        <f t="array" ref="E16:E19">Setting!C17:C20</f>
        <v>3.5000000000000001E-3</v>
      </c>
      <c r="F16" s="67" cm="1">
        <f t="array" ref="F16:F19">Setting!C9:C12</f>
        <v>0.01</v>
      </c>
      <c r="G16" s="74" cm="1">
        <f t="array" ref="G16:G17">Calculate!J8:J9</f>
        <v>769230.76923076925</v>
      </c>
    </row>
    <row r="17" spans="2:7">
      <c r="B17" s="12" t="s">
        <v>25</v>
      </c>
      <c r="C17" s="68">
        <v>100000</v>
      </c>
      <c r="D17" s="57">
        <v>5.0000000000000001E-3</v>
      </c>
      <c r="E17" s="57">
        <v>5.0000000000000001E-3</v>
      </c>
      <c r="F17" s="57">
        <v>0.01</v>
      </c>
      <c r="G17" s="37">
        <v>200000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3">
        <f>SUM(_xlfn.ANCHORARRAY(D16))</f>
        <v>3.15E-2</v>
      </c>
      <c r="E20" s="73">
        <f>SUM(_xlfn.ANCHORARRAY(E16))</f>
        <v>8.5000000000000006E-3</v>
      </c>
      <c r="F20" s="73">
        <f>SUM(_xlfn.ANCHORARRAY(F16))</f>
        <v>0.04</v>
      </c>
    </row>
    <row r="22" spans="2:7">
      <c r="B22" s="2" t="s">
        <v>52</v>
      </c>
    </row>
    <row r="23" spans="2:7">
      <c r="B23" s="64" t="s">
        <v>55</v>
      </c>
      <c r="C23" s="64" t="s">
        <v>56</v>
      </c>
      <c r="D23" s="65" t="s">
        <v>52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0.2</v>
      </c>
      <c r="D24" s="58">
        <f ca="1">OFFSET(Calculate!$A$1, 7+11*(B24-1), 10)</f>
        <v>735.28730542643507</v>
      </c>
    </row>
    <row r="25" spans="2:7">
      <c r="B25" s="37">
        <v>2</v>
      </c>
      <c r="C25" s="68">
        <v>0.4</v>
      </c>
      <c r="D25" s="58">
        <f ca="1">OFFSET(Calculate!$A$1, 7+11*(B25-1), 10)</f>
        <v>735.28049333203535</v>
      </c>
    </row>
    <row r="26" spans="2:7">
      <c r="B26" s="37">
        <v>3</v>
      </c>
      <c r="C26" s="68">
        <v>1</v>
      </c>
      <c r="D26" s="58">
        <f ca="1">OFFSET(Calculate!$A$1, 7+11*(B26-1), 10)</f>
        <v>735.26005780614582</v>
      </c>
    </row>
    <row r="27" spans="2:7">
      <c r="B27" s="37">
        <v>4</v>
      </c>
      <c r="C27" s="68">
        <v>2</v>
      </c>
      <c r="D27" s="58">
        <f ca="1">OFFSET(Calculate!$A$1, 7+11*(B27-1), 10)</f>
        <v>735.22600112048451</v>
      </c>
    </row>
    <row r="28" spans="2:7">
      <c r="B28" s="37">
        <v>5</v>
      </c>
      <c r="C28" s="68">
        <v>2.4</v>
      </c>
      <c r="D28" s="58">
        <f ca="1">OFFSET(Calculate!$A$1, 7+11*(B28-1), 10)</f>
        <v>735.2123793295923</v>
      </c>
    </row>
    <row r="29" spans="2:7">
      <c r="B29" s="37">
        <v>6</v>
      </c>
      <c r="C29" s="68">
        <v>3</v>
      </c>
      <c r="D29" s="58">
        <f ca="1">OFFSET(Calculate!$A$1, 7+11*(B29-1), 10)</f>
        <v>735.19194758963647</v>
      </c>
    </row>
    <row r="30" spans="2:7">
      <c r="B30" s="37">
        <v>7</v>
      </c>
      <c r="C30" s="68">
        <v>4</v>
      </c>
      <c r="D30" s="58">
        <f ca="1">OFFSET(Calculate!$A$1, 7+11*(B30-1), 10)</f>
        <v>735.15789721316344</v>
      </c>
    </row>
    <row r="31" spans="2:7">
      <c r="B31" s="37">
        <v>8</v>
      </c>
      <c r="C31" s="68">
        <v>5</v>
      </c>
      <c r="D31" s="58">
        <f ca="1">OFFSET(Calculate!$A$1, 7+11*(B31-1), 10)</f>
        <v>735.12384999062715</v>
      </c>
    </row>
    <row r="32" spans="2:7">
      <c r="B32" s="37">
        <v>9</v>
      </c>
      <c r="C32" s="68">
        <v>6</v>
      </c>
      <c r="D32" s="58">
        <f ca="1">OFFSET(Calculate!$A$1, 7+11*(B32-1), 10)</f>
        <v>735.08980592158946</v>
      </c>
    </row>
    <row r="33" spans="2:4">
      <c r="B33" s="37">
        <v>10</v>
      </c>
      <c r="C33" s="68">
        <v>7</v>
      </c>
      <c r="D33" s="58">
        <f ca="1">OFFSET(Calculate!$A$1, 7+11*(B33-1), 10)</f>
        <v>735.0557650056121</v>
      </c>
    </row>
    <row r="34" spans="2:4">
      <c r="B34" s="37">
        <v>11</v>
      </c>
      <c r="C34" s="68">
        <v>8</v>
      </c>
      <c r="D34" s="58">
        <f ca="1">OFFSET(Calculate!$A$1, 7+11*(B34-1), 10)</f>
        <v>735.02172724225738</v>
      </c>
    </row>
    <row r="35" spans="2:4">
      <c r="B35" s="37">
        <v>12</v>
      </c>
      <c r="C35" s="68">
        <v>9</v>
      </c>
      <c r="D35" s="58">
        <f ca="1">OFFSET(Calculate!$A$1, 7+11*(B35-1), 10)</f>
        <v>734.98769263108693</v>
      </c>
    </row>
    <row r="36" spans="2:4">
      <c r="B36" s="37">
        <v>13</v>
      </c>
      <c r="C36" s="68">
        <v>10</v>
      </c>
      <c r="D36" s="58">
        <f ca="1">OFFSET(Calculate!$A$1, 7+11*(B36-1), 10)</f>
        <v>734.95366117166327</v>
      </c>
    </row>
    <row r="37" spans="2:4">
      <c r="B37" s="37">
        <v>14</v>
      </c>
      <c r="C37" s="68">
        <v>12</v>
      </c>
      <c r="D37" s="58">
        <f ca="1">OFFSET(Calculate!$A$1, 7+11*(B37-1), 10)</f>
        <v>734.88560770630454</v>
      </c>
    </row>
    <row r="38" spans="2:4">
      <c r="B38" s="37">
        <v>15</v>
      </c>
      <c r="C38" s="68">
        <v>14</v>
      </c>
      <c r="D38" s="58">
        <f ca="1">OFFSET(Calculate!$A$1, 7+11*(B38-1), 10)</f>
        <v>734.81756684267998</v>
      </c>
    </row>
    <row r="39" spans="2:4">
      <c r="B39" s="37">
        <v>16</v>
      </c>
      <c r="C39" s="68">
        <v>16</v>
      </c>
      <c r="D39" s="58">
        <f ca="1">OFFSET(Calculate!$A$1, 7+11*(B39-1), 10)</f>
        <v>734.74953857728985</v>
      </c>
    </row>
    <row r="40" spans="2:4">
      <c r="B40" s="37">
        <v>17</v>
      </c>
      <c r="C40" s="68">
        <v>18</v>
      </c>
      <c r="D40" s="58">
        <f ca="1">OFFSET(Calculate!$A$1, 7+11*(B40-1), 10)</f>
        <v>734.68152290663522</v>
      </c>
    </row>
    <row r="41" spans="2:4">
      <c r="B41" s="37">
        <v>18</v>
      </c>
      <c r="C41" s="68">
        <v>20</v>
      </c>
      <c r="D41" s="58">
        <f ca="1">OFFSET(Calculate!$A$1, 7+11*(B41-1), 10)</f>
        <v>734.61351982721885</v>
      </c>
    </row>
    <row r="42" spans="2:4">
      <c r="B42" s="37">
        <v>19</v>
      </c>
      <c r="C42" s="68">
        <v>30</v>
      </c>
      <c r="D42" s="58">
        <f ca="1">OFFSET(Calculate!$A$1, 7+11*(B42-1), 10)</f>
        <v>734.27369317639466</v>
      </c>
    </row>
    <row r="43" spans="2:4">
      <c r="B43" s="37">
        <v>20</v>
      </c>
      <c r="C43" s="68">
        <v>40</v>
      </c>
      <c r="D43" s="58">
        <f ca="1">OFFSET(Calculate!$A$1, 7+11*(B43-1), 10)</f>
        <v>733.93418078266745</v>
      </c>
    </row>
    <row r="44" spans="2:4">
      <c r="B44" s="37">
        <v>21</v>
      </c>
      <c r="C44" s="68">
        <v>60</v>
      </c>
      <c r="D44" s="58">
        <f ca="1">OFFSET(Calculate!$A$1, 7+11*(B44-1), 10)</f>
        <v>733.25609702444672</v>
      </c>
    </row>
    <row r="45" spans="2:4">
      <c r="B45" s="37">
        <v>22</v>
      </c>
      <c r="C45" s="68">
        <v>100</v>
      </c>
      <c r="D45" s="58">
        <f ca="1">OFFSET(Calculate!$A$1, 7+11*(B45-1), 10)</f>
        <v>731.90368147551783</v>
      </c>
    </row>
    <row r="46" spans="2:4">
      <c r="B46" s="37">
        <v>23</v>
      </c>
      <c r="C46" s="68">
        <v>200</v>
      </c>
      <c r="D46" s="58">
        <f ca="1">OFFSET(Calculate!$A$1, 7+11*(B46-1), 10)</f>
        <v>728.54436835203273</v>
      </c>
    </row>
    <row r="47" spans="2:4">
      <c r="B47" s="37">
        <v>24</v>
      </c>
      <c r="C47" s="68">
        <v>300</v>
      </c>
      <c r="D47" s="58">
        <f ca="1">OFFSET(Calculate!$A$1, 7+11*(B47-1), 10)</f>
        <v>725.21575168612662</v>
      </c>
    </row>
    <row r="48" spans="2:4">
      <c r="B48" s="37">
        <v>25</v>
      </c>
      <c r="C48" s="68">
        <v>600</v>
      </c>
      <c r="D48" s="58">
        <f ca="1">OFFSET(Calculate!$A$1, 7+11*(B48-1), 10)</f>
        <v>715.40992988982691</v>
      </c>
    </row>
    <row r="49" spans="2:4">
      <c r="B49" s="37">
        <v>26</v>
      </c>
      <c r="C49" s="68">
        <v>1000</v>
      </c>
      <c r="D49" s="58">
        <f ca="1">OFFSET(Calculate!$A$1, 7+11*(B49-1), 10)</f>
        <v>702.74068868587506</v>
      </c>
    </row>
    <row r="50" spans="2:4">
      <c r="B50" s="37">
        <v>27</v>
      </c>
      <c r="C50" s="68">
        <v>1500</v>
      </c>
      <c r="D50" s="58">
        <f ca="1">OFFSET(Calculate!$A$1, 7+11*(B50-1), 10)</f>
        <v>687.52148504640775</v>
      </c>
    </row>
    <row r="51" spans="2:4">
      <c r="B51" s="37">
        <v>28</v>
      </c>
      <c r="C51" s="68">
        <v>2000</v>
      </c>
      <c r="D51" s="58">
        <f ca="1">OFFSET(Calculate!$A$1, 7+11*(B51-1), 10)</f>
        <v>672.9475100942127</v>
      </c>
    </row>
    <row r="52" spans="2:4">
      <c r="B52" s="37">
        <v>29</v>
      </c>
      <c r="C52" s="68">
        <v>3000</v>
      </c>
      <c r="D52" s="58">
        <f ca="1">OFFSET(Calculate!$A$1, 7+11*(B52-1), 10)</f>
        <v>645.57779212395087</v>
      </c>
    </row>
    <row r="53" spans="2:4">
      <c r="B53" s="37">
        <v>30</v>
      </c>
      <c r="C53" s="68">
        <v>5000</v>
      </c>
      <c r="D53" s="58">
        <f ca="1">OFFSET(Calculate!$A$1, 7+11*(B53-1), 10)</f>
        <v>597.01492537313436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Parameter_List!$S$3:$S$12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Parameter_List!$U$3:$U$12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109"/>
  <sheetViews>
    <sheetView zoomScale="85" zoomScaleNormal="85" workbookViewId="0">
      <pane ySplit="2" topLeftCell="A3" activePane="bottomLeft" state="frozen"/>
      <selection pane="bottomLeft" activeCell="W13" sqref="W13"/>
    </sheetView>
  </sheetViews>
  <sheetFormatPr defaultColWidth="8.6640625" defaultRowHeight="15.6"/>
  <cols>
    <col min="1" max="1" width="24.5" style="70" bestFit="1" customWidth="1"/>
    <col min="2" max="2" width="16.58203125" style="70" customWidth="1"/>
    <col min="3" max="3" width="6.6640625" style="70" customWidth="1"/>
    <col min="4" max="4" width="13.08203125" style="59" customWidth="1"/>
    <col min="5" max="5" width="7.6640625" style="59" customWidth="1"/>
    <col min="6" max="6" width="6.6640625" style="59" bestFit="1" customWidth="1"/>
    <col min="7" max="7" width="8.75" style="59" bestFit="1" customWidth="1"/>
    <col min="8" max="11" width="6.6640625" style="59" bestFit="1" customWidth="1"/>
    <col min="12" max="13" width="6.6640625" style="59" customWidth="1"/>
    <col min="14" max="14" width="12.33203125" style="59" bestFit="1" customWidth="1"/>
    <col min="15" max="15" width="10.83203125" style="59" customWidth="1"/>
    <col min="16" max="17" width="7.6640625" style="59" customWidth="1"/>
    <col min="18" max="18" width="8.6640625" style="59"/>
    <col min="19" max="19" width="29.5" style="59" bestFit="1" customWidth="1"/>
    <col min="20" max="20" width="15.58203125" style="59" bestFit="1" customWidth="1"/>
    <col min="21" max="16384" width="8.6640625" style="59"/>
  </cols>
  <sheetData>
    <row r="1" spans="1:21" ht="15.6" customHeight="1">
      <c r="A1" s="84" t="s">
        <v>43</v>
      </c>
      <c r="B1" s="83" t="s">
        <v>36</v>
      </c>
      <c r="C1" s="83" t="s">
        <v>30</v>
      </c>
      <c r="D1" s="83" t="s">
        <v>15</v>
      </c>
      <c r="E1" s="83" t="s">
        <v>31</v>
      </c>
      <c r="F1" s="83" t="s">
        <v>33</v>
      </c>
      <c r="G1" s="83"/>
      <c r="H1" s="83"/>
      <c r="I1" s="83"/>
      <c r="J1" s="83" t="s">
        <v>34</v>
      </c>
      <c r="K1" s="83"/>
      <c r="L1" s="83"/>
      <c r="M1" s="83"/>
      <c r="N1" s="83" t="s">
        <v>35</v>
      </c>
      <c r="O1" s="83"/>
      <c r="P1" s="83"/>
      <c r="Q1" s="83"/>
      <c r="S1" s="70"/>
      <c r="T1" s="70"/>
      <c r="U1" s="70"/>
    </row>
    <row r="2" spans="1:21">
      <c r="A2" s="84"/>
      <c r="B2" s="83"/>
      <c r="C2" s="83"/>
      <c r="D2" s="83"/>
      <c r="E2" s="83"/>
      <c r="F2" s="77" t="s">
        <v>32</v>
      </c>
      <c r="G2" s="77" t="s">
        <v>25</v>
      </c>
      <c r="H2" s="77" t="s">
        <v>18</v>
      </c>
      <c r="I2" s="77" t="s">
        <v>19</v>
      </c>
      <c r="J2" s="77" t="s">
        <v>32</v>
      </c>
      <c r="K2" s="77" t="s">
        <v>25</v>
      </c>
      <c r="L2" s="77" t="s">
        <v>18</v>
      </c>
      <c r="M2" s="77" t="s">
        <v>19</v>
      </c>
      <c r="N2" s="77" t="s">
        <v>37</v>
      </c>
      <c r="O2" s="77" t="s">
        <v>38</v>
      </c>
      <c r="P2" s="77" t="s">
        <v>39</v>
      </c>
      <c r="Q2" s="77" t="s">
        <v>40</v>
      </c>
      <c r="S2" s="70"/>
      <c r="T2" s="70"/>
      <c r="U2" s="70"/>
    </row>
    <row r="3" spans="1:21">
      <c r="A3" s="82">
        <v>22</v>
      </c>
      <c r="B3" s="71" t="s">
        <v>61</v>
      </c>
      <c r="C3" s="71">
        <v>2E-3</v>
      </c>
      <c r="D3" s="79">
        <v>100</v>
      </c>
      <c r="E3" s="81">
        <v>1</v>
      </c>
      <c r="F3" s="80">
        <v>0.01</v>
      </c>
      <c r="G3" s="80">
        <v>0.01</v>
      </c>
      <c r="H3" s="80">
        <v>8.0000000000000002E-3</v>
      </c>
      <c r="I3" s="80">
        <v>1.1999999999999999E-2</v>
      </c>
      <c r="J3" s="80">
        <v>3.5000000000000001E-3</v>
      </c>
      <c r="K3" s="80">
        <v>5.0000000000000001E-3</v>
      </c>
      <c r="L3" s="80">
        <v>0</v>
      </c>
      <c r="M3" s="80">
        <v>0</v>
      </c>
      <c r="N3" s="66">
        <v>500000</v>
      </c>
      <c r="O3" s="66">
        <v>100000</v>
      </c>
      <c r="P3" s="66">
        <v>50</v>
      </c>
      <c r="Q3" s="66">
        <v>10</v>
      </c>
      <c r="R3" s="78">
        <f t="shared" ref="R3:R12" si="0">SUM(F3:I3)</f>
        <v>0.04</v>
      </c>
      <c r="S3" s="70" t="str" cm="1">
        <f t="array" ref="S3:S5">_xlfn.LET(_xlpm.x, _xlfn.UNIQUE(A:A), IF(_xlpm.x=0, "", _xlpm.x))</f>
        <v>Option
(Water Level / Group)</v>
      </c>
      <c r="T3" s="70" t="str" cm="1">
        <f t="array" ref="T3:T5">_xlfn.LET(_xlpm.x, _xlfn.UNIQUE(B:B), IF(_xlpm.x=0, "", _xlpm.x))</f>
        <v>Area</v>
      </c>
      <c r="U3" s="70" t="str" cm="1">
        <f t="array" ref="U3:U14">_xlfn.LET(_xlpm.x, _xlfn.UNIQUE(E:E), IF(_xlpm.x=0, "", _xlpm.x))</f>
        <v>Bet</v>
      </c>
    </row>
    <row r="4" spans="1:21">
      <c r="A4" s="82">
        <v>22</v>
      </c>
      <c r="B4" s="71" t="s">
        <v>61</v>
      </c>
      <c r="C4" s="71">
        <v>2E-3</v>
      </c>
      <c r="D4" s="79">
        <v>100</v>
      </c>
      <c r="E4" s="81">
        <v>1.25</v>
      </c>
      <c r="F4" s="80">
        <v>0.01</v>
      </c>
      <c r="G4" s="80">
        <v>0.01</v>
      </c>
      <c r="H4" s="80">
        <v>8.0000000000000002E-3</v>
      </c>
      <c r="I4" s="80">
        <v>1.1999999999999999E-2</v>
      </c>
      <c r="J4" s="80">
        <v>3.5000000000000001E-3</v>
      </c>
      <c r="K4" s="80">
        <v>5.0000000000000001E-3</v>
      </c>
      <c r="L4" s="80">
        <v>0</v>
      </c>
      <c r="M4" s="80">
        <v>0</v>
      </c>
      <c r="N4" s="66">
        <v>500000</v>
      </c>
      <c r="O4" s="66">
        <v>100000</v>
      </c>
      <c r="P4" s="66">
        <v>50</v>
      </c>
      <c r="Q4" s="66">
        <v>10</v>
      </c>
      <c r="R4" s="78">
        <f t="shared" si="0"/>
        <v>0.04</v>
      </c>
      <c r="S4" s="70" t="str">
        <v/>
      </c>
      <c r="T4" s="70" t="str">
        <v/>
      </c>
      <c r="U4" s="70" t="str">
        <v/>
      </c>
    </row>
    <row r="5" spans="1:21">
      <c r="A5" s="82">
        <v>22</v>
      </c>
      <c r="B5" s="71" t="s">
        <v>61</v>
      </c>
      <c r="C5" s="71">
        <v>2E-3</v>
      </c>
      <c r="D5" s="79">
        <v>100</v>
      </c>
      <c r="E5" s="81">
        <v>1.5</v>
      </c>
      <c r="F5" s="80">
        <v>0.01</v>
      </c>
      <c r="G5" s="80">
        <v>0.01</v>
      </c>
      <c r="H5" s="80">
        <v>8.0000000000000002E-3</v>
      </c>
      <c r="I5" s="80">
        <v>1.1999999999999999E-2</v>
      </c>
      <c r="J5" s="80">
        <v>3.5000000000000001E-3</v>
      </c>
      <c r="K5" s="80">
        <v>5.0000000000000001E-3</v>
      </c>
      <c r="L5" s="80">
        <v>0</v>
      </c>
      <c r="M5" s="80">
        <v>0</v>
      </c>
      <c r="N5" s="66">
        <v>500000</v>
      </c>
      <c r="O5" s="66">
        <v>100000</v>
      </c>
      <c r="P5" s="66">
        <v>50</v>
      </c>
      <c r="Q5" s="66">
        <v>10</v>
      </c>
      <c r="R5" s="78">
        <f t="shared" si="0"/>
        <v>0.04</v>
      </c>
      <c r="S5" s="70">
        <v>22</v>
      </c>
      <c r="T5" s="70" t="str">
        <v>Else</v>
      </c>
      <c r="U5" s="70">
        <v>1</v>
      </c>
    </row>
    <row r="6" spans="1:21">
      <c r="A6" s="82">
        <v>22</v>
      </c>
      <c r="B6" s="71" t="s">
        <v>61</v>
      </c>
      <c r="C6" s="71">
        <v>2E-3</v>
      </c>
      <c r="D6" s="79">
        <v>100</v>
      </c>
      <c r="E6" s="81">
        <v>8</v>
      </c>
      <c r="F6" s="80">
        <v>0.01</v>
      </c>
      <c r="G6" s="80">
        <v>0.01</v>
      </c>
      <c r="H6" s="80">
        <v>1.9E-2</v>
      </c>
      <c r="I6" s="80">
        <v>1E-3</v>
      </c>
      <c r="J6" s="80">
        <v>3.5000000000000001E-3</v>
      </c>
      <c r="K6" s="80">
        <v>5.0000000000000001E-3</v>
      </c>
      <c r="L6" s="80">
        <v>0</v>
      </c>
      <c r="M6" s="80">
        <v>0</v>
      </c>
      <c r="N6" s="66">
        <v>500000</v>
      </c>
      <c r="O6" s="66">
        <v>100000</v>
      </c>
      <c r="P6" s="66">
        <v>50</v>
      </c>
      <c r="Q6" s="66">
        <v>10</v>
      </c>
      <c r="R6" s="78">
        <f t="shared" si="0"/>
        <v>0.04</v>
      </c>
      <c r="S6" s="70"/>
      <c r="T6" s="70"/>
      <c r="U6" s="70">
        <v>1.25</v>
      </c>
    </row>
    <row r="7" spans="1:21">
      <c r="A7" s="82">
        <v>22</v>
      </c>
      <c r="B7" s="71" t="s">
        <v>61</v>
      </c>
      <c r="C7" s="71">
        <v>2E-3</v>
      </c>
      <c r="D7" s="79">
        <v>100</v>
      </c>
      <c r="E7" s="81">
        <v>40.5</v>
      </c>
      <c r="F7" s="80">
        <v>0.01</v>
      </c>
      <c r="G7" s="80">
        <v>0.01</v>
      </c>
      <c r="H7" s="80">
        <v>5.0000000000000001E-3</v>
      </c>
      <c r="I7" s="80">
        <v>1.4999999999999999E-2</v>
      </c>
      <c r="J7" s="80">
        <v>3.5000000000000001E-3</v>
      </c>
      <c r="K7" s="80">
        <v>5.0000000000000001E-3</v>
      </c>
      <c r="L7" s="80">
        <v>0</v>
      </c>
      <c r="M7" s="80">
        <v>0</v>
      </c>
      <c r="N7" s="66">
        <v>500000</v>
      </c>
      <c r="O7" s="66">
        <v>100000</v>
      </c>
      <c r="P7" s="66">
        <v>50</v>
      </c>
      <c r="Q7" s="66">
        <v>10</v>
      </c>
      <c r="R7" s="78">
        <f t="shared" si="0"/>
        <v>0.04</v>
      </c>
      <c r="S7" s="70"/>
      <c r="T7" s="70"/>
      <c r="U7" s="70">
        <v>1.5</v>
      </c>
    </row>
    <row r="8" spans="1:21">
      <c r="A8" s="82">
        <v>22</v>
      </c>
      <c r="B8" s="71" t="s">
        <v>61</v>
      </c>
      <c r="C8" s="71">
        <v>2E-3</v>
      </c>
      <c r="D8" s="79">
        <v>100</v>
      </c>
      <c r="E8" s="81">
        <v>50</v>
      </c>
      <c r="F8" s="80">
        <v>0.01</v>
      </c>
      <c r="G8" s="80">
        <v>0.01</v>
      </c>
      <c r="H8" s="80">
        <v>8.0000000000000002E-3</v>
      </c>
      <c r="I8" s="80">
        <v>1.2E-2</v>
      </c>
      <c r="J8" s="80">
        <v>3.5000000000000001E-3</v>
      </c>
      <c r="K8" s="80">
        <v>5.0000000000000001E-3</v>
      </c>
      <c r="L8" s="80">
        <v>0</v>
      </c>
      <c r="M8" s="80">
        <v>0</v>
      </c>
      <c r="N8" s="66">
        <v>500000</v>
      </c>
      <c r="O8" s="66">
        <v>100000</v>
      </c>
      <c r="P8" s="66">
        <v>50</v>
      </c>
      <c r="Q8" s="66">
        <v>10</v>
      </c>
      <c r="R8" s="78">
        <f t="shared" si="0"/>
        <v>0.04</v>
      </c>
      <c r="S8" s="70"/>
      <c r="T8" s="70"/>
      <c r="U8" s="70">
        <v>8</v>
      </c>
    </row>
    <row r="9" spans="1:21">
      <c r="A9" s="82">
        <v>22</v>
      </c>
      <c r="B9" s="71" t="s">
        <v>61</v>
      </c>
      <c r="C9" s="71">
        <v>2E-3</v>
      </c>
      <c r="D9" s="79">
        <v>100</v>
      </c>
      <c r="E9" s="81">
        <v>75</v>
      </c>
      <c r="F9" s="80">
        <v>0.01</v>
      </c>
      <c r="G9" s="80">
        <v>0.01</v>
      </c>
      <c r="H9" s="80">
        <v>8.0000000000000002E-3</v>
      </c>
      <c r="I9" s="80">
        <v>1.2E-2</v>
      </c>
      <c r="J9" s="80">
        <v>3.5000000000000001E-3</v>
      </c>
      <c r="K9" s="80">
        <v>5.0000000000000001E-3</v>
      </c>
      <c r="L9" s="80">
        <v>0</v>
      </c>
      <c r="M9" s="80">
        <v>0</v>
      </c>
      <c r="N9" s="66">
        <v>500000</v>
      </c>
      <c r="O9" s="66">
        <v>100000</v>
      </c>
      <c r="P9" s="66">
        <v>75</v>
      </c>
      <c r="Q9" s="66">
        <v>15</v>
      </c>
      <c r="R9" s="78">
        <f t="shared" si="0"/>
        <v>0.04</v>
      </c>
      <c r="S9" s="70"/>
      <c r="T9" s="70"/>
      <c r="U9" s="70">
        <v>40.5</v>
      </c>
    </row>
    <row r="10" spans="1:21">
      <c r="A10" s="82">
        <v>22</v>
      </c>
      <c r="B10" s="71" t="s">
        <v>61</v>
      </c>
      <c r="C10" s="71">
        <v>2E-3</v>
      </c>
      <c r="D10" s="79">
        <v>100</v>
      </c>
      <c r="E10" s="81">
        <v>100</v>
      </c>
      <c r="F10" s="80">
        <v>0.01</v>
      </c>
      <c r="G10" s="80">
        <v>0.01</v>
      </c>
      <c r="H10" s="80">
        <v>0.01</v>
      </c>
      <c r="I10" s="80">
        <v>0.01</v>
      </c>
      <c r="J10" s="80">
        <v>3.5000000000000001E-3</v>
      </c>
      <c r="K10" s="80">
        <v>5.0000000000000001E-3</v>
      </c>
      <c r="L10" s="80">
        <v>0</v>
      </c>
      <c r="M10" s="80">
        <v>0</v>
      </c>
      <c r="N10" s="66">
        <v>500000</v>
      </c>
      <c r="O10" s="66">
        <v>100000</v>
      </c>
      <c r="P10" s="66">
        <v>100</v>
      </c>
      <c r="Q10" s="66">
        <v>20</v>
      </c>
      <c r="R10" s="78">
        <f t="shared" si="0"/>
        <v>0.04</v>
      </c>
      <c r="S10" s="70"/>
      <c r="T10" s="70"/>
      <c r="U10" s="70">
        <v>50</v>
      </c>
    </row>
    <row r="11" spans="1:21">
      <c r="A11" s="82">
        <v>22</v>
      </c>
      <c r="B11" s="71" t="s">
        <v>61</v>
      </c>
      <c r="C11" s="71">
        <v>2E-3</v>
      </c>
      <c r="D11" s="79">
        <v>100</v>
      </c>
      <c r="E11" s="81">
        <v>250</v>
      </c>
      <c r="F11" s="80">
        <v>0.01</v>
      </c>
      <c r="G11" s="80">
        <v>0.01</v>
      </c>
      <c r="H11" s="80">
        <v>0.01</v>
      </c>
      <c r="I11" s="80">
        <v>0.01</v>
      </c>
      <c r="J11" s="80">
        <v>3.5000000000000001E-3</v>
      </c>
      <c r="K11" s="80">
        <v>5.0000000000000001E-3</v>
      </c>
      <c r="L11" s="80">
        <v>0</v>
      </c>
      <c r="M11" s="80">
        <v>0</v>
      </c>
      <c r="N11" s="66">
        <v>500000</v>
      </c>
      <c r="O11" s="66">
        <v>100000</v>
      </c>
      <c r="P11" s="66">
        <v>250</v>
      </c>
      <c r="Q11" s="66">
        <v>50</v>
      </c>
      <c r="R11" s="78">
        <f t="shared" si="0"/>
        <v>0.04</v>
      </c>
      <c r="S11" s="70"/>
      <c r="T11" s="70"/>
      <c r="U11" s="70">
        <v>75</v>
      </c>
    </row>
    <row r="12" spans="1:21">
      <c r="A12" s="82">
        <v>22</v>
      </c>
      <c r="B12" s="71" t="s">
        <v>61</v>
      </c>
      <c r="C12" s="71">
        <v>2E-3</v>
      </c>
      <c r="D12" s="79">
        <v>100</v>
      </c>
      <c r="E12" s="81">
        <v>500</v>
      </c>
      <c r="F12" s="80">
        <v>0.01</v>
      </c>
      <c r="G12" s="80">
        <v>0.01</v>
      </c>
      <c r="H12" s="80">
        <v>0.01</v>
      </c>
      <c r="I12" s="80">
        <v>0.01</v>
      </c>
      <c r="J12" s="80">
        <v>3.5000000000000001E-3</v>
      </c>
      <c r="K12" s="80">
        <v>5.0000000000000001E-3</v>
      </c>
      <c r="L12" s="80">
        <v>0</v>
      </c>
      <c r="M12" s="80">
        <v>0</v>
      </c>
      <c r="N12" s="66">
        <v>500000</v>
      </c>
      <c r="O12" s="66">
        <v>100000</v>
      </c>
      <c r="P12" s="66">
        <v>500</v>
      </c>
      <c r="Q12" s="66">
        <v>100</v>
      </c>
      <c r="R12" s="78">
        <f t="shared" si="0"/>
        <v>0.04</v>
      </c>
      <c r="S12" s="70"/>
      <c r="T12" s="70"/>
      <c r="U12" s="70">
        <v>100</v>
      </c>
    </row>
    <row r="13" spans="1:21" s="2" customFormat="1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U13" s="70">
        <v>250</v>
      </c>
    </row>
    <row r="14" spans="1:21" s="2" customFormat="1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U14" s="70">
        <v>500</v>
      </c>
    </row>
    <row r="15" spans="1:21" s="2" customFormat="1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U15" s="70"/>
    </row>
    <row r="16" spans="1:21" s="2" customFormat="1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U16" s="70"/>
    </row>
    <row r="17" spans="1:21" s="2" customFormat="1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U17" s="70"/>
    </row>
    <row r="18" spans="1:21" s="2" customFormat="1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U18" s="70"/>
    </row>
    <row r="19" spans="1:21" s="2" customFormat="1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U19" s="70"/>
    </row>
    <row r="20" spans="1:21" s="2" customFormat="1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U20" s="70"/>
    </row>
    <row r="21" spans="1:21" s="2" customFormat="1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U21" s="70"/>
    </row>
    <row r="22" spans="1:21" s="2" customFormat="1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U22" s="70"/>
    </row>
    <row r="23" spans="1:21" s="2" customFormat="1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</row>
    <row r="24" spans="1:21" s="2" customFormat="1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</row>
    <row r="25" spans="1:21" s="2" customFormat="1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</row>
    <row r="26" spans="1:21" s="2" customFormat="1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</row>
    <row r="27" spans="1:21" s="2" customFormat="1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</row>
    <row r="28" spans="1:21" s="2" customFormat="1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1:21" s="2" customFormat="1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</row>
    <row r="30" spans="1:21" s="2" customFormat="1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1" spans="1:21" s="2" customFormat="1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</row>
    <row r="32" spans="1:21" s="2" customFormat="1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</row>
    <row r="33" spans="1:18" s="2" customFormat="1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</row>
    <row r="34" spans="1:18" s="2" customFormat="1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</row>
    <row r="35" spans="1:18" s="2" customFormat="1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</row>
    <row r="36" spans="1:18" s="2" customFormat="1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</row>
    <row r="37" spans="1:18" s="2" customFormat="1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1:18" s="2" customFormat="1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1:18" s="2" customFormat="1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1:18" s="2" customFormat="1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1:18" s="2" customFormat="1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 s="2" customFormat="1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 s="2" customFormat="1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1:18" s="2" customFormat="1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</row>
    <row r="45" spans="1:18" s="2" customFormat="1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</row>
    <row r="46" spans="1:18" s="2" customFormat="1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</row>
    <row r="47" spans="1:18" s="2" customFormat="1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</row>
    <row r="48" spans="1:18" s="2" customFormat="1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</row>
    <row r="49" spans="1:18" s="2" customFormat="1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</row>
    <row r="50" spans="1:18" s="2" customFormat="1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</row>
    <row r="51" spans="1:18" s="2" customFormat="1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</row>
    <row r="52" spans="1:18" s="2" customFormat="1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</row>
    <row r="53" spans="1:18" s="2" customFormat="1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</row>
    <row r="54" spans="1:18" s="2" customFormat="1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</row>
    <row r="55" spans="1:18" s="2" customFormat="1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</row>
    <row r="56" spans="1:18" s="2" customFormat="1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</row>
    <row r="57" spans="1:18" s="2" customFormat="1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</row>
    <row r="58" spans="1:18" s="2" customFormat="1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</row>
    <row r="59" spans="1:18" s="2" customFormat="1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</row>
    <row r="60" spans="1:18" s="2" customFormat="1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</row>
    <row r="61" spans="1:18" s="2" customFormat="1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</row>
    <row r="62" spans="1:18" s="2" customFormat="1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</row>
    <row r="63" spans="1:18" s="2" customFormat="1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</row>
    <row r="64" spans="1:18" s="2" customFormat="1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</row>
    <row r="65" spans="1:18" s="2" customFormat="1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</row>
    <row r="66" spans="1:18" s="2" customFormat="1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</row>
    <row r="67" spans="1:18" s="2" customFormat="1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</row>
    <row r="68" spans="1:18" s="2" customFormat="1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</row>
    <row r="69" spans="1:18" s="2" customFormat="1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</row>
    <row r="70" spans="1:18" s="2" customFormat="1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</row>
    <row r="71" spans="1:18" s="2" customFormat="1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</row>
    <row r="72" spans="1:18" s="2" customFormat="1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</row>
    <row r="73" spans="1:18" s="2" customFormat="1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</row>
    <row r="74" spans="1:18" s="2" customFormat="1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</row>
    <row r="75" spans="1:18" s="2" customFormat="1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</row>
    <row r="76" spans="1:18" s="2" customFormat="1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</row>
    <row r="77" spans="1:18" s="2" customFormat="1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</row>
    <row r="78" spans="1:18" s="2" customFormat="1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</row>
    <row r="79" spans="1:18" s="2" customFormat="1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</row>
    <row r="80" spans="1:18" s="2" customFormat="1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</row>
    <row r="81" spans="1:18" s="2" customFormat="1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</row>
    <row r="82" spans="1:18" s="2" customFormat="1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</row>
    <row r="83" spans="1:18" s="2" customFormat="1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</row>
    <row r="84" spans="1:18" s="2" customFormat="1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</row>
    <row r="85" spans="1:18" s="2" customFormat="1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</row>
    <row r="86" spans="1:18" s="2" customFormat="1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</row>
    <row r="87" spans="1:18" s="2" customFormat="1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</row>
    <row r="88" spans="1:18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</row>
    <row r="89" spans="1:18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</row>
    <row r="90" spans="1:18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</row>
    <row r="91" spans="1:18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</row>
    <row r="92" spans="1:18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</row>
    <row r="93" spans="1:18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</row>
    <row r="94" spans="1:18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</row>
    <row r="95" spans="1:18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</row>
    <row r="96" spans="1:18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</row>
    <row r="97" spans="1:18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</row>
    <row r="98" spans="1:18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</row>
    <row r="99" spans="1:18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</row>
    <row r="100" spans="1:18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</row>
    <row r="101" spans="1:18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</row>
    <row r="102" spans="1:18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</row>
    <row r="103" spans="1:18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</row>
    <row r="104" spans="1:18">
      <c r="A104" s="75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</row>
    <row r="105" spans="1:18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</row>
    <row r="106" spans="1:18">
      <c r="A106" s="75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</row>
    <row r="107" spans="1:18">
      <c r="A107" s="75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</row>
    <row r="108" spans="1:18">
      <c r="A108" s="75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</row>
    <row r="109" spans="1:18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2 F88:M1048576 F13:M17">
    <cfRule type="cellIs" dxfId="8" priority="11" operator="equal">
      <formula>0</formula>
    </cfRule>
  </conditionalFormatting>
  <conditionalFormatting sqref="F18:M27">
    <cfRule type="cellIs" dxfId="7" priority="8" operator="equal">
      <formula>0</formula>
    </cfRule>
  </conditionalFormatting>
  <conditionalFormatting sqref="F28:M37">
    <cfRule type="cellIs" dxfId="6" priority="7" operator="equal">
      <formula>0</formula>
    </cfRule>
  </conditionalFormatting>
  <conditionalFormatting sqref="F38:M47">
    <cfRule type="cellIs" dxfId="5" priority="6" operator="equal">
      <formula>0</formula>
    </cfRule>
  </conditionalFormatting>
  <conditionalFormatting sqref="F48:M57">
    <cfRule type="cellIs" dxfId="4" priority="5" operator="equal">
      <formula>0</formula>
    </cfRule>
  </conditionalFormatting>
  <conditionalFormatting sqref="F58:M67">
    <cfRule type="cellIs" dxfId="3" priority="4" operator="equal">
      <formula>0</formula>
    </cfRule>
  </conditionalFormatting>
  <conditionalFormatting sqref="F68:M77">
    <cfRule type="cellIs" dxfId="2" priority="3" operator="equal">
      <formula>0</formula>
    </cfRule>
  </conditionalFormatting>
  <conditionalFormatting sqref="F78:M87">
    <cfRule type="cellIs" dxfId="1" priority="2" operator="equal">
      <formula>0</formula>
    </cfRule>
  </conditionalFormatting>
  <conditionalFormatting sqref="F3:M1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1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B1" workbookViewId="0">
      <selection activeCell="B27" sqref="B27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57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54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26</v>
      </c>
      <c r="G4" s="31">
        <f ca="1"/>
        <v>100</v>
      </c>
      <c r="H4" s="31">
        <f ca="1"/>
        <v>1600000</v>
      </c>
      <c r="I4" s="31">
        <f ca="1"/>
        <v>12000000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52</v>
      </c>
      <c r="G5" s="31">
        <f ca="1"/>
        <v>200</v>
      </c>
      <c r="H5" s="31">
        <f ca="1"/>
        <v>1600000</v>
      </c>
      <c r="I5" s="31">
        <f ca="1"/>
        <v>12000000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130</v>
      </c>
      <c r="G6" s="31">
        <f ca="1"/>
        <v>500</v>
      </c>
      <c r="H6" s="31">
        <f ca="1"/>
        <v>1600000</v>
      </c>
      <c r="I6" s="31">
        <f ca="1"/>
        <v>12000000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260</v>
      </c>
      <c r="G7" s="31">
        <f ca="1"/>
        <v>1000</v>
      </c>
      <c r="H7" s="31">
        <f ca="1"/>
        <v>1600000</v>
      </c>
      <c r="I7" s="31">
        <f ca="1"/>
        <v>12000000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312</v>
      </c>
      <c r="G8" s="31">
        <f ca="1"/>
        <v>1200</v>
      </c>
      <c r="H8" s="31">
        <f ca="1"/>
        <v>1600000</v>
      </c>
      <c r="I8" s="31">
        <f ca="1"/>
        <v>12000000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390</v>
      </c>
      <c r="G9" s="31">
        <f ca="1"/>
        <v>1500</v>
      </c>
      <c r="H9" s="31">
        <f ca="1"/>
        <v>1600000</v>
      </c>
      <c r="I9" s="31">
        <f ca="1"/>
        <v>12000000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520</v>
      </c>
      <c r="G10" s="31">
        <f ca="1"/>
        <v>2000</v>
      </c>
      <c r="H10" s="31">
        <f ca="1"/>
        <v>1600000</v>
      </c>
      <c r="I10" s="31">
        <f ca="1"/>
        <v>12000000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650</v>
      </c>
      <c r="G11" s="31">
        <f ca="1"/>
        <v>2500</v>
      </c>
      <c r="H11" s="31">
        <f ca="1"/>
        <v>1600000</v>
      </c>
      <c r="I11" s="31">
        <f ca="1"/>
        <v>12000000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780</v>
      </c>
      <c r="G12" s="31">
        <f ca="1"/>
        <v>3000</v>
      </c>
      <c r="H12" s="31">
        <f ca="1"/>
        <v>1600000</v>
      </c>
      <c r="I12" s="31">
        <f ca="1"/>
        <v>12000000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910</v>
      </c>
      <c r="G13" s="31">
        <f ca="1"/>
        <v>3500</v>
      </c>
      <c r="H13" s="31">
        <f ca="1"/>
        <v>1600000</v>
      </c>
      <c r="I13" s="31">
        <f ca="1"/>
        <v>12000000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1040</v>
      </c>
      <c r="G14" s="31">
        <f ca="1"/>
        <v>4000</v>
      </c>
      <c r="H14" s="31">
        <f ca="1"/>
        <v>1600000</v>
      </c>
      <c r="I14" s="31">
        <f ca="1"/>
        <v>12000000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1170</v>
      </c>
      <c r="G15" s="31">
        <f ca="1"/>
        <v>4500</v>
      </c>
      <c r="H15" s="31">
        <f ca="1"/>
        <v>1600000</v>
      </c>
      <c r="I15" s="31">
        <f ca="1"/>
        <v>12000000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1300</v>
      </c>
      <c r="G16" s="31">
        <f ca="1"/>
        <v>5000</v>
      </c>
      <c r="H16" s="31">
        <f ca="1"/>
        <v>1600000</v>
      </c>
      <c r="I16" s="31">
        <f ca="1"/>
        <v>12000000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1560</v>
      </c>
      <c r="G17" s="31">
        <f ca="1"/>
        <v>6000</v>
      </c>
      <c r="H17" s="31">
        <f ca="1"/>
        <v>1600000</v>
      </c>
      <c r="I17" s="31">
        <f ca="1"/>
        <v>12000000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1820</v>
      </c>
      <c r="G18" s="31">
        <f ca="1"/>
        <v>7000</v>
      </c>
      <c r="H18" s="31">
        <f ca="1"/>
        <v>1600000</v>
      </c>
      <c r="I18" s="31">
        <f ca="1"/>
        <v>12000000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2080</v>
      </c>
      <c r="G19" s="31">
        <f ca="1"/>
        <v>8000</v>
      </c>
      <c r="H19" s="31">
        <f ca="1"/>
        <v>1600000</v>
      </c>
      <c r="I19" s="31">
        <f ca="1"/>
        <v>12000000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2340</v>
      </c>
      <c r="G20" s="31">
        <f ca="1"/>
        <v>9000</v>
      </c>
      <c r="H20" s="31">
        <f ca="1"/>
        <v>1600000</v>
      </c>
      <c r="I20" s="31">
        <f ca="1"/>
        <v>12000000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2600</v>
      </c>
      <c r="G21" s="31">
        <f ca="1"/>
        <v>10000</v>
      </c>
      <c r="H21" s="31">
        <f ca="1"/>
        <v>1600000</v>
      </c>
      <c r="I21" s="31">
        <f ca="1"/>
        <v>12000000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3900</v>
      </c>
      <c r="G22" s="31">
        <f ca="1"/>
        <v>15000</v>
      </c>
      <c r="H22" s="31">
        <f ca="1"/>
        <v>1600000</v>
      </c>
      <c r="I22" s="31">
        <f ca="1"/>
        <v>12000000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5200</v>
      </c>
      <c r="G23" s="31">
        <f ca="1"/>
        <v>20000</v>
      </c>
      <c r="H23" s="31">
        <f ca="1"/>
        <v>1600000</v>
      </c>
      <c r="I23" s="31">
        <f ca="1"/>
        <v>12000000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7800</v>
      </c>
      <c r="G24" s="31">
        <f ca="1"/>
        <v>30000</v>
      </c>
      <c r="H24" s="31">
        <f ca="1"/>
        <v>1600000</v>
      </c>
      <c r="I24" s="31">
        <f ca="1"/>
        <v>12000000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13000</v>
      </c>
      <c r="G25" s="31">
        <f ca="1"/>
        <v>50000</v>
      </c>
      <c r="H25" s="31">
        <f ca="1"/>
        <v>1600000</v>
      </c>
      <c r="I25" s="31">
        <f ca="1"/>
        <v>12000000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26000</v>
      </c>
      <c r="G26" s="31">
        <f ca="1"/>
        <v>100000</v>
      </c>
      <c r="H26" s="31">
        <f ca="1"/>
        <v>1600000</v>
      </c>
      <c r="I26" s="31">
        <f ca="1"/>
        <v>12000000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39000</v>
      </c>
      <c r="G27" s="31">
        <f ca="1"/>
        <v>150000</v>
      </c>
      <c r="H27" s="31">
        <f ca="1"/>
        <v>1600000</v>
      </c>
      <c r="I27" s="31">
        <f ca="1"/>
        <v>12000000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78000</v>
      </c>
      <c r="G28" s="31">
        <f ca="1"/>
        <v>300000</v>
      </c>
      <c r="H28" s="31">
        <f ca="1"/>
        <v>1600000</v>
      </c>
      <c r="I28" s="31">
        <f ca="1"/>
        <v>12000000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130000</v>
      </c>
      <c r="G29" s="31">
        <f ca="1"/>
        <v>500000</v>
      </c>
      <c r="H29" s="31">
        <f ca="1"/>
        <v>1600000</v>
      </c>
      <c r="I29" s="31">
        <f ca="1"/>
        <v>12000000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195000</v>
      </c>
      <c r="G30" s="31">
        <f ca="1"/>
        <v>750000</v>
      </c>
      <c r="H30" s="31">
        <f ca="1"/>
        <v>1600000</v>
      </c>
      <c r="I30" s="31">
        <f ca="1"/>
        <v>12000000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260000</v>
      </c>
      <c r="G31" s="31">
        <f ca="1"/>
        <v>1000000</v>
      </c>
      <c r="H31" s="31">
        <f ca="1"/>
        <v>1600000</v>
      </c>
      <c r="I31" s="31">
        <f ca="1"/>
        <v>12000000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390000</v>
      </c>
      <c r="G32" s="31">
        <f ca="1"/>
        <v>1500000</v>
      </c>
      <c r="H32" s="31">
        <f ca="1"/>
        <v>1600000</v>
      </c>
      <c r="I32" s="31">
        <f ca="1"/>
        <v>12000000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650000</v>
      </c>
      <c r="G33" s="31">
        <f ca="1"/>
        <v>2500000</v>
      </c>
      <c r="H33" s="31">
        <f ca="1"/>
        <v>1600000</v>
      </c>
      <c r="I33" s="31">
        <f ca="1"/>
        <v>12000000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16" sqref="D16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85" t="s">
        <v>23</v>
      </c>
      <c r="K1" s="85"/>
      <c r="L1" s="85"/>
      <c r="M1" s="85"/>
      <c r="N1" s="86" t="s">
        <v>22</v>
      </c>
      <c r="O1" s="86"/>
      <c r="P1" s="86"/>
      <c r="Q1" s="86"/>
      <c r="R1" s="85" t="s">
        <v>1</v>
      </c>
      <c r="S1" s="85"/>
      <c r="T1" s="85"/>
      <c r="U1" s="85"/>
    </row>
    <row r="2" spans="1:21">
      <c r="B2" s="11"/>
      <c r="C2" s="11" t="s">
        <v>8</v>
      </c>
      <c r="E2" s="10" t="s">
        <v>54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0.01</v>
      </c>
      <c r="O3" s="43">
        <v>0.01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0.01</v>
      </c>
      <c r="O4" s="21">
        <v>0.01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0.01</v>
      </c>
      <c r="O5" s="21">
        <v>0.01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0.01</v>
      </c>
      <c r="O6" s="21">
        <v>0.01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0.01</v>
      </c>
      <c r="O7" s="21">
        <v>0.01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0.01</v>
      </c>
      <c r="O8" s="21">
        <v>0.01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0.01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0.01</v>
      </c>
      <c r="O9" s="21">
        <v>0.01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0.01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0.01</v>
      </c>
      <c r="O10" s="21">
        <v>0.01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0.01</v>
      </c>
      <c r="O11" s="21">
        <v>0.01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0.01</v>
      </c>
      <c r="O12" s="21">
        <v>0.01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0.04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0.01</v>
      </c>
      <c r="O13" s="21">
        <v>0.01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0.01</v>
      </c>
      <c r="O14" s="21">
        <v>0.01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0.01</v>
      </c>
      <c r="O15" s="21">
        <v>0.01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0.01</v>
      </c>
      <c r="O16" s="21">
        <v>0.01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0.01</v>
      </c>
      <c r="O17" s="21">
        <v>0.01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0.01</v>
      </c>
      <c r="O18" s="21">
        <v>0.01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0.01</v>
      </c>
      <c r="O19" s="21">
        <v>0.01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0.01</v>
      </c>
      <c r="O20" s="21">
        <v>0.01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0.01</v>
      </c>
      <c r="O21" s="21">
        <v>0.01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0.01</v>
      </c>
      <c r="O22" s="21">
        <v>0.01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0.01</v>
      </c>
      <c r="O23" s="21">
        <v>0.01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0.01</v>
      </c>
      <c r="O24" s="21">
        <v>0.01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0.01</v>
      </c>
      <c r="O25" s="21">
        <v>0.01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0.01</v>
      </c>
      <c r="O26" s="21">
        <v>0.01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0.01</v>
      </c>
      <c r="O27" s="21">
        <v>0.01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0.01</v>
      </c>
      <c r="O28" s="21">
        <v>0.01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0.01</v>
      </c>
      <c r="O29" s="21">
        <v>0.01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0.01</v>
      </c>
      <c r="O30" s="21">
        <v>0.01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0.01</v>
      </c>
      <c r="O31" s="21">
        <v>0.01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0.01</v>
      </c>
      <c r="O32" s="21">
        <v>0.01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G1" workbookViewId="0">
      <selection activeCell="K14" sqref="K14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58</v>
      </c>
      <c r="I7" s="1" t="s">
        <v>5</v>
      </c>
      <c r="J7" s="1" t="s">
        <v>6</v>
      </c>
      <c r="K7" s="1" t="s">
        <v>59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6.5000000000000006E-3</v>
      </c>
      <c r="F8" s="32">
        <f>VLOOKUP(A4, Setting!$E:$U, 14, FALSE)</f>
        <v>3.5000000000000001E-3</v>
      </c>
      <c r="G8" s="32">
        <f>VLOOKUP(A4, Setting!$E:$U, 10, FALSE)</f>
        <v>0.01</v>
      </c>
      <c r="H8" s="5">
        <f>E8/D8-Setting!$C$33</f>
        <v>2.6000000000000001E-9</v>
      </c>
      <c r="I8" s="5" cm="1">
        <f t="array" ref="I8:I11">_xlfn.ANCHORARRAY(E8)/_xlfn.ANCHORARRAY(D8)/D4</f>
        <v>1.3000000000000001E-8</v>
      </c>
      <c r="J8" s="6" cm="1">
        <f t="array" ref="J8:J11">C8:C11+F8:F11/_xlfn.ANCHORARRAY(E8)*C8:C11</f>
        <v>769230.76923076925</v>
      </c>
      <c r="K8" s="19">
        <f>1/SUM(H8:H11)</f>
        <v>735.28730542643507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5.0000000000000001E-3</v>
      </c>
      <c r="F9" s="32">
        <f>VLOOKUP(A4, Setting!$E:$U, 15, FALSE)</f>
        <v>5.0000000000000001E-3</v>
      </c>
      <c r="G9" s="32">
        <f>VLOOKUP(A4, Setting!$E:$U, 11, FALSE)</f>
        <v>0.01</v>
      </c>
      <c r="H9" s="5" cm="1">
        <f t="array" ref="H9:H11">E9:E11/D9:D11</f>
        <v>1E-8</v>
      </c>
      <c r="I9" s="5">
        <v>4.9999999999999998E-8</v>
      </c>
      <c r="J9" s="6">
        <v>200000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1.1999999999999999E-3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0.04</v>
      </c>
      <c r="H12" s="8">
        <f>SUM(H8:H11)</f>
        <v>1.3600125999999998E-3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58</v>
      </c>
      <c r="I18" s="1" t="s">
        <v>5</v>
      </c>
      <c r="J18" s="1" t="s">
        <v>6</v>
      </c>
      <c r="K18" s="1" t="s">
        <v>59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6.5000000000000006E-3</v>
      </c>
      <c r="F19" s="32">
        <f>VLOOKUP(A15, Setting!$E:$U, 14, FALSE)</f>
        <v>3.5000000000000001E-3</v>
      </c>
      <c r="G19" s="32">
        <f>VLOOKUP(A15, Setting!$E:$U, 10, FALSE)</f>
        <v>0.01</v>
      </c>
      <c r="H19" s="5">
        <f>E19/D19-Setting!$C$33</f>
        <v>5.2000000000000002E-9</v>
      </c>
      <c r="I19" s="5" cm="1">
        <f t="array" ref="I19:I22">_xlfn.ANCHORARRAY(E19)/_xlfn.ANCHORARRAY(D19)/D15</f>
        <v>1.3000000000000001E-8</v>
      </c>
      <c r="J19" s="6" cm="1">
        <f t="array" ref="J19:J22">C19:C22+F19:F22/_xlfn.ANCHORARRAY(E19)*C19:C22</f>
        <v>769230.76923076925</v>
      </c>
      <c r="K19" s="19">
        <f>1/SUM(H19:H22)</f>
        <v>735.28049333203535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5.0000000000000001E-3</v>
      </c>
      <c r="F20" s="32">
        <f>VLOOKUP(A15, Setting!$E:$U, 15, FALSE)</f>
        <v>5.0000000000000001E-3</v>
      </c>
      <c r="G20" s="32">
        <f>VLOOKUP(A15, Setting!$E:$U, 11, FALSE)</f>
        <v>0.01</v>
      </c>
      <c r="H20" s="5" cm="1">
        <f t="array" ref="H20:H22">E20:E22/D20:D22</f>
        <v>2E-8</v>
      </c>
      <c r="I20" s="5">
        <v>4.9999999999999998E-8</v>
      </c>
      <c r="J20" s="6">
        <v>200000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1.1999999999999999E-3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0.04</v>
      </c>
      <c r="H23" s="8">
        <f>SUM(H19:H22)</f>
        <v>1.3600252E-3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58</v>
      </c>
      <c r="I29" s="1" t="s">
        <v>5</v>
      </c>
      <c r="J29" s="1" t="s">
        <v>6</v>
      </c>
      <c r="K29" s="1" t="s">
        <v>59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6.5000000000000006E-3</v>
      </c>
      <c r="F30" s="32">
        <f>VLOOKUP(A26, Setting!$E:$U, 14, FALSE)</f>
        <v>3.5000000000000001E-3</v>
      </c>
      <c r="G30" s="32">
        <f>VLOOKUP(A26, Setting!$E:$U, 10, FALSE)</f>
        <v>0.01</v>
      </c>
      <c r="H30" s="5">
        <f>E30/D30-Setting!$C$33</f>
        <v>1.3000000000000001E-8</v>
      </c>
      <c r="I30" s="5" cm="1">
        <f t="array" ref="I30:I33">_xlfn.ANCHORARRAY(E30)/_xlfn.ANCHORARRAY(D30)/D26</f>
        <v>1.3000000000000001E-8</v>
      </c>
      <c r="J30" s="6" cm="1">
        <f t="array" ref="J30:J33">C30:C33+F30:F33/_xlfn.ANCHORARRAY(E30)*C30:C33</f>
        <v>769230.76923076925</v>
      </c>
      <c r="K30" s="19">
        <f>1/SUM(H30:H33)</f>
        <v>735.26005780614582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5.0000000000000001E-3</v>
      </c>
      <c r="F31" s="32">
        <f>VLOOKUP(A26, Setting!$E:$U, 15, FALSE)</f>
        <v>5.0000000000000001E-3</v>
      </c>
      <c r="G31" s="32">
        <f>VLOOKUP(A26, Setting!$E:$U, 11, FALSE)</f>
        <v>0.01</v>
      </c>
      <c r="H31" s="5" cm="1">
        <f t="array" ref="H31:H33">E31:E33/D31:D33</f>
        <v>4.9999999999999998E-8</v>
      </c>
      <c r="I31" s="5">
        <v>4.9999999999999998E-8</v>
      </c>
      <c r="J31" s="6">
        <v>200000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1.1999999999999999E-3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0.04</v>
      </c>
      <c r="H34" s="8">
        <f>SUM(H30:H33)</f>
        <v>1.3600629999999999E-3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58</v>
      </c>
      <c r="I40" s="1" t="s">
        <v>5</v>
      </c>
      <c r="J40" s="1" t="s">
        <v>6</v>
      </c>
      <c r="K40" s="1" t="s">
        <v>59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6.5000000000000006E-3</v>
      </c>
      <c r="F41" s="32">
        <f>VLOOKUP(A37, Setting!$E:$U, 14, FALSE)</f>
        <v>3.5000000000000001E-3</v>
      </c>
      <c r="G41" s="32">
        <f>VLOOKUP(A37, Setting!$E:$U, 10, FALSE)</f>
        <v>0.01</v>
      </c>
      <c r="H41" s="5">
        <f>E41/D41-Setting!$C$33</f>
        <v>2.6000000000000001E-8</v>
      </c>
      <c r="I41" s="5" cm="1">
        <f t="array" ref="I41:I44">_xlfn.ANCHORARRAY(E41)/_xlfn.ANCHORARRAY(D41)/D37</f>
        <v>1.3000000000000001E-8</v>
      </c>
      <c r="J41" s="6" cm="1">
        <f t="array" ref="J41:J44">C41:C44+F41:F44/_xlfn.ANCHORARRAY(E41)*C41:C44</f>
        <v>769230.76923076925</v>
      </c>
      <c r="K41" s="19">
        <f>1/SUM(H41:H44)</f>
        <v>735.22600112048451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5.0000000000000001E-3</v>
      </c>
      <c r="F42" s="32">
        <f>VLOOKUP(A37, Setting!$E:$U, 15, FALSE)</f>
        <v>5.0000000000000001E-3</v>
      </c>
      <c r="G42" s="32">
        <f>VLOOKUP(A37, Setting!$E:$U, 11, FALSE)</f>
        <v>0.01</v>
      </c>
      <c r="H42" s="5" cm="1">
        <f t="array" ref="H42:H44">E42:E44/D42:D44</f>
        <v>9.9999999999999995E-8</v>
      </c>
      <c r="I42" s="5">
        <v>4.9999999999999998E-8</v>
      </c>
      <c r="J42" s="6">
        <v>200000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1.1999999999999999E-3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0.04</v>
      </c>
      <c r="H45" s="8">
        <f>SUM(H41:H44)</f>
        <v>1.3601259999999999E-3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58</v>
      </c>
      <c r="I51" s="1" t="s">
        <v>5</v>
      </c>
      <c r="J51" s="1" t="s">
        <v>6</v>
      </c>
      <c r="K51" s="1" t="s">
        <v>59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6.5000000000000006E-3</v>
      </c>
      <c r="F52" s="32">
        <f>VLOOKUP(A48, Setting!$E:$U, 14, FALSE)</f>
        <v>3.5000000000000001E-3</v>
      </c>
      <c r="G52" s="32">
        <f>VLOOKUP(A48, Setting!$E:$U, 10, FALSE)</f>
        <v>0.01</v>
      </c>
      <c r="H52" s="5">
        <f>E52/D52-Setting!$C$33</f>
        <v>3.1200000000000001E-8</v>
      </c>
      <c r="I52" s="5" cm="1">
        <f t="array" ref="I52:I55">_xlfn.ANCHORARRAY(E52)/_xlfn.ANCHORARRAY(D52)/D48</f>
        <v>1.3000000000000001E-8</v>
      </c>
      <c r="J52" s="6" cm="1">
        <f t="array" ref="J52:J55">C52:C55+F52:F55/_xlfn.ANCHORARRAY(E52)*C52:C55</f>
        <v>769230.76923076925</v>
      </c>
      <c r="K52" s="19">
        <f>1/SUM(H52:H55)</f>
        <v>735.2123793295923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5.0000000000000001E-3</v>
      </c>
      <c r="F53" s="32">
        <f>VLOOKUP(A48, Setting!$E:$U, 15, FALSE)</f>
        <v>5.0000000000000001E-3</v>
      </c>
      <c r="G53" s="32">
        <f>VLOOKUP(A48, Setting!$E:$U, 11, FALSE)</f>
        <v>0.01</v>
      </c>
      <c r="H53" s="5" cm="1">
        <f t="array" ref="H53:H55">E53:E55/D53:D55</f>
        <v>1.1999999999999999E-7</v>
      </c>
      <c r="I53" s="5">
        <v>4.9999999999999998E-8</v>
      </c>
      <c r="J53" s="6">
        <v>200000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1.1999999999999999E-3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0.04</v>
      </c>
      <c r="H56" s="8">
        <f>SUM(H52:H55)</f>
        <v>1.3601511999999998E-3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58</v>
      </c>
      <c r="I62" s="1" t="s">
        <v>5</v>
      </c>
      <c r="J62" s="1" t="s">
        <v>6</v>
      </c>
      <c r="K62" s="1" t="s">
        <v>59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6.5000000000000006E-3</v>
      </c>
      <c r="F63" s="32">
        <f>VLOOKUP(A59, Setting!$E:$U, 14, FALSE)</f>
        <v>3.5000000000000001E-3</v>
      </c>
      <c r="G63" s="32">
        <f>VLOOKUP(A59, Setting!$E:$U, 10, FALSE)</f>
        <v>0.01</v>
      </c>
      <c r="H63" s="5">
        <f>E63/D63-Setting!$C$33</f>
        <v>3.9000000000000005E-8</v>
      </c>
      <c r="I63" s="5" cm="1">
        <f t="array" ref="I63:I66">_xlfn.ANCHORARRAY(E63)/_xlfn.ANCHORARRAY(D63)/D59</f>
        <v>1.3000000000000002E-8</v>
      </c>
      <c r="J63" s="6" cm="1">
        <f t="array" ref="J63:J66">C63:C66+F63:F66/_xlfn.ANCHORARRAY(E63)*C63:C66</f>
        <v>769230.76923076925</v>
      </c>
      <c r="K63" s="19">
        <f>1/SUM(H63:H66)</f>
        <v>735.19194758963647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5.0000000000000001E-3</v>
      </c>
      <c r="F64" s="32">
        <f>VLOOKUP(A59, Setting!$E:$U, 15, FALSE)</f>
        <v>5.0000000000000001E-3</v>
      </c>
      <c r="G64" s="32">
        <f>VLOOKUP(A59, Setting!$E:$U, 11, FALSE)</f>
        <v>0.01</v>
      </c>
      <c r="H64" s="5" cm="1">
        <f t="array" ref="H64:H66">E64:E66/D64:D66</f>
        <v>1.4999999999999999E-7</v>
      </c>
      <c r="I64" s="5">
        <v>4.9999999999999998E-8</v>
      </c>
      <c r="J64" s="6">
        <v>200000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1.1999999999999999E-3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0.04</v>
      </c>
      <c r="H67" s="8">
        <f>SUM(H63:H66)</f>
        <v>1.3601889999999999E-3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58</v>
      </c>
      <c r="I73" s="1" t="s">
        <v>5</v>
      </c>
      <c r="J73" s="1" t="s">
        <v>6</v>
      </c>
      <c r="K73" s="1" t="s">
        <v>59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6.5000000000000006E-3</v>
      </c>
      <c r="F74" s="32">
        <f>VLOOKUP(A70, Setting!$E:$U, 14, FALSE)</f>
        <v>3.5000000000000001E-3</v>
      </c>
      <c r="G74" s="32">
        <f>VLOOKUP(A70, Setting!$E:$U, 10, FALSE)</f>
        <v>0.01</v>
      </c>
      <c r="H74" s="5">
        <f>E74/D74-Setting!$C$33</f>
        <v>5.2000000000000002E-8</v>
      </c>
      <c r="I74" s="5" cm="1">
        <f t="array" ref="I74:I77">_xlfn.ANCHORARRAY(E74)/_xlfn.ANCHORARRAY(D74)/D70</f>
        <v>1.3000000000000001E-8</v>
      </c>
      <c r="J74" s="6" cm="1">
        <f t="array" ref="J74:J77">C74:C77+F74:F77/_xlfn.ANCHORARRAY(E74)*C74:C77</f>
        <v>769230.76923076925</v>
      </c>
      <c r="K74" s="19">
        <f>1/SUM(H74:H77)</f>
        <v>735.15789721316344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5.0000000000000001E-3</v>
      </c>
      <c r="F75" s="32">
        <f>VLOOKUP(A70, Setting!$E:$U, 15, FALSE)</f>
        <v>5.0000000000000001E-3</v>
      </c>
      <c r="G75" s="32">
        <f>VLOOKUP(A70, Setting!$E:$U, 11, FALSE)</f>
        <v>0.01</v>
      </c>
      <c r="H75" s="5" cm="1">
        <f t="array" ref="H75:H77">E75:E77/D75:D77</f>
        <v>1.9999999999999999E-7</v>
      </c>
      <c r="I75" s="5">
        <v>4.9999999999999998E-8</v>
      </c>
      <c r="J75" s="6">
        <v>200000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1.1999999999999999E-3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0.04</v>
      </c>
      <c r="H78" s="8">
        <f>SUM(H74:H77)</f>
        <v>1.3602519999999999E-3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58</v>
      </c>
      <c r="I84" s="1" t="s">
        <v>5</v>
      </c>
      <c r="J84" s="1" t="s">
        <v>6</v>
      </c>
      <c r="K84" s="1" t="s">
        <v>59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6.5000000000000006E-3</v>
      </c>
      <c r="F85" s="32">
        <f>VLOOKUP(A81, Setting!$E:$U, 14, FALSE)</f>
        <v>3.5000000000000001E-3</v>
      </c>
      <c r="G85" s="32">
        <f>VLOOKUP(A81, Setting!$E:$U, 10, FALSE)</f>
        <v>0.01</v>
      </c>
      <c r="H85" s="5">
        <f>E85/D85-Setting!$C$33</f>
        <v>6.5E-8</v>
      </c>
      <c r="I85" s="5" cm="1">
        <f t="array" ref="I85:I88">_xlfn.ANCHORARRAY(E85)/_xlfn.ANCHORARRAY(D85)/D81</f>
        <v>1.3000000000000001E-8</v>
      </c>
      <c r="J85" s="6" cm="1">
        <f t="array" ref="J85:J88">C85:C88+F85:F88/_xlfn.ANCHORARRAY(E85)*C85:C88</f>
        <v>769230.76923076925</v>
      </c>
      <c r="K85" s="19">
        <f>1/SUM(H85:H88)</f>
        <v>735.12384999062715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5.0000000000000001E-3</v>
      </c>
      <c r="F86" s="32">
        <f>VLOOKUP(A81, Setting!$E:$U, 15, FALSE)</f>
        <v>5.0000000000000001E-3</v>
      </c>
      <c r="G86" s="32">
        <f>VLOOKUP(A81, Setting!$E:$U, 11, FALSE)</f>
        <v>0.01</v>
      </c>
      <c r="H86" s="5" cm="1">
        <f t="array" ref="H86:H88">E86:E88/D86:D88</f>
        <v>2.4999999999999999E-7</v>
      </c>
      <c r="I86" s="5">
        <v>4.9999999999999998E-8</v>
      </c>
      <c r="J86" s="6">
        <v>200000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1.1999999999999999E-3</v>
      </c>
      <c r="I88" s="5">
        <v>2.3999999999999998E-4</v>
      </c>
      <c r="J88" s="6">
        <v>50</v>
      </c>
      <c r="K88" s="19"/>
      <c r="L88" s="7"/>
      <c r="M88" s="17"/>
    </row>
    <row r="89" spans="1:13">
      <c r="G89" s="34">
        <f>SUM(G85:G88)</f>
        <v>0.04</v>
      </c>
      <c r="H89" s="8">
        <f>SUM(H85:H88)</f>
        <v>1.360315E-3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58</v>
      </c>
      <c r="I95" s="1" t="s">
        <v>5</v>
      </c>
      <c r="J95" s="1" t="s">
        <v>6</v>
      </c>
      <c r="K95" s="1" t="s">
        <v>59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6.5000000000000006E-3</v>
      </c>
      <c r="F96" s="32">
        <f>VLOOKUP(A92, Setting!$E:$U, 14, FALSE)</f>
        <v>3.5000000000000001E-3</v>
      </c>
      <c r="G96" s="32">
        <f>VLOOKUP(A92, Setting!$E:$U, 10, FALSE)</f>
        <v>0.01</v>
      </c>
      <c r="H96" s="5">
        <f>E96/D96-Setting!$C$33</f>
        <v>7.800000000000001E-8</v>
      </c>
      <c r="I96" s="5" cm="1">
        <f t="array" ref="I96:I99">_xlfn.ANCHORARRAY(E96)/_xlfn.ANCHORARRAY(D96)/D92</f>
        <v>1.3000000000000002E-8</v>
      </c>
      <c r="J96" s="6" cm="1">
        <f t="array" ref="J96:J99">C96:C99+F96:F99/_xlfn.ANCHORARRAY(E96)*C96:C99</f>
        <v>769230.76923076925</v>
      </c>
      <c r="K96" s="19">
        <f>1/SUM(H96:H99)</f>
        <v>735.08980592158946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5.0000000000000001E-3</v>
      </c>
      <c r="F97" s="32">
        <f>VLOOKUP(A92, Setting!$E:$U, 15, FALSE)</f>
        <v>5.0000000000000001E-3</v>
      </c>
      <c r="G97" s="32">
        <f>VLOOKUP(A92, Setting!$E:$U, 11, FALSE)</f>
        <v>0.01</v>
      </c>
      <c r="H97" s="5" cm="1">
        <f t="array" ref="H97:H99">E97:E99/D97:D99</f>
        <v>2.9999999999999999E-7</v>
      </c>
      <c r="I97" s="5">
        <v>4.9999999999999998E-8</v>
      </c>
      <c r="J97" s="6">
        <v>200000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1.1999999999999999E-3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0.04</v>
      </c>
      <c r="H100" s="8">
        <f>SUM(H96:H99)</f>
        <v>1.360378E-3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58</v>
      </c>
      <c r="I106" s="1" t="s">
        <v>5</v>
      </c>
      <c r="J106" s="1" t="s">
        <v>6</v>
      </c>
      <c r="K106" s="1" t="s">
        <v>59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6.5000000000000006E-3</v>
      </c>
      <c r="F107" s="32">
        <f>VLOOKUP(A103, Setting!$E:$U, 14, FALSE)</f>
        <v>3.5000000000000001E-3</v>
      </c>
      <c r="G107" s="32">
        <f>VLOOKUP(A103, Setting!$E:$U, 10, FALSE)</f>
        <v>0.01</v>
      </c>
      <c r="H107" s="5">
        <f>E107/D107-Setting!$C$33</f>
        <v>9.0999999999999994E-8</v>
      </c>
      <c r="I107" s="5" cm="1">
        <f t="array" ref="I107:I110">_xlfn.ANCHORARRAY(E107)/_xlfn.ANCHORARRAY(D107)/D103</f>
        <v>1.2999999999999999E-8</v>
      </c>
      <c r="J107" s="6" cm="1">
        <f t="array" ref="J107:J110">C107:C110+F107:F110/_xlfn.ANCHORARRAY(E107)*C107:C110</f>
        <v>769230.76923076925</v>
      </c>
      <c r="K107" s="19">
        <f>1/SUM(H107:H110)</f>
        <v>735.0557650056121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5.0000000000000001E-3</v>
      </c>
      <c r="F108" s="32">
        <f>VLOOKUP(A103, Setting!$E:$U, 15, FALSE)</f>
        <v>5.0000000000000001E-3</v>
      </c>
      <c r="G108" s="32">
        <f>VLOOKUP(A103, Setting!$E:$U, 11, FALSE)</f>
        <v>0.01</v>
      </c>
      <c r="H108" s="5" cm="1">
        <f t="array" ref="H108:H110">E108:E110/D108:D110</f>
        <v>3.4999999999999998E-7</v>
      </c>
      <c r="I108" s="5">
        <v>4.9999999999999998E-8</v>
      </c>
      <c r="J108" s="6">
        <v>200000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1.1999999999999999E-3</v>
      </c>
      <c r="I110" s="5">
        <v>1.7142857142857143E-4</v>
      </c>
      <c r="J110" s="6">
        <v>70</v>
      </c>
      <c r="K110" s="19"/>
      <c r="L110" s="7"/>
      <c r="M110" s="17"/>
    </row>
    <row r="111" spans="1:13">
      <c r="G111" s="34">
        <f>SUM(G107:G110)</f>
        <v>0.04</v>
      </c>
      <c r="H111" s="8">
        <f>SUM(H107:H110)</f>
        <v>1.360441E-3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58</v>
      </c>
      <c r="I117" s="1" t="s">
        <v>5</v>
      </c>
      <c r="J117" s="1" t="s">
        <v>6</v>
      </c>
      <c r="K117" s="1" t="s">
        <v>59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6.5000000000000006E-3</v>
      </c>
      <c r="F118" s="32">
        <f>VLOOKUP(A114, Setting!$E:$U, 14, FALSE)</f>
        <v>3.5000000000000001E-3</v>
      </c>
      <c r="G118" s="32">
        <f>VLOOKUP(A114, Setting!$E:$U, 10, FALSE)</f>
        <v>0.01</v>
      </c>
      <c r="H118" s="5">
        <f>E118/D118-Setting!$C$33</f>
        <v>1.04E-7</v>
      </c>
      <c r="I118" s="5" cm="1">
        <f t="array" ref="I118:I121">_xlfn.ANCHORARRAY(E118)/_xlfn.ANCHORARRAY(D118)/D114</f>
        <v>1.3000000000000001E-8</v>
      </c>
      <c r="J118" s="6" cm="1">
        <f t="array" ref="J118:J121">C118:C121+F118:F121/_xlfn.ANCHORARRAY(E118)*C118:C121</f>
        <v>769230.76923076925</v>
      </c>
      <c r="K118" s="19">
        <f>1/SUM(H118:H121)</f>
        <v>735.02172724225738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5.0000000000000001E-3</v>
      </c>
      <c r="F119" s="32">
        <f>VLOOKUP(A114, Setting!$E:$U, 15, FALSE)</f>
        <v>5.0000000000000001E-3</v>
      </c>
      <c r="G119" s="32">
        <f>VLOOKUP(A114, Setting!$E:$U, 11, FALSE)</f>
        <v>0.01</v>
      </c>
      <c r="H119" s="5" cm="1">
        <f t="array" ref="H119:H121">E119:E121/D119:D121</f>
        <v>3.9999999999999998E-7</v>
      </c>
      <c r="I119" s="5">
        <v>4.9999999999999998E-8</v>
      </c>
      <c r="J119" s="6">
        <v>200000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1.1999999999999999E-3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0.04</v>
      </c>
      <c r="H122" s="8">
        <f>SUM(H118:H121)</f>
        <v>1.3605039999999998E-3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58</v>
      </c>
      <c r="I128" s="1" t="s">
        <v>5</v>
      </c>
      <c r="J128" s="1" t="s">
        <v>6</v>
      </c>
      <c r="K128" s="1" t="s">
        <v>59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6.5000000000000006E-3</v>
      </c>
      <c r="F129" s="32">
        <f>VLOOKUP(A125, Setting!$E:$U, 14, FALSE)</f>
        <v>3.5000000000000001E-3</v>
      </c>
      <c r="G129" s="32">
        <f>VLOOKUP(A125, Setting!$E:$U, 10, FALSE)</f>
        <v>0.01</v>
      </c>
      <c r="H129" s="5">
        <f>E129/D129-Setting!$C$33</f>
        <v>1.1700000000000002E-7</v>
      </c>
      <c r="I129" s="5" cm="1">
        <f t="array" ref="I129:I132">_xlfn.ANCHORARRAY(E129)/_xlfn.ANCHORARRAY(D129)/D125</f>
        <v>1.3000000000000002E-8</v>
      </c>
      <c r="J129" s="6" cm="1">
        <f t="array" ref="J129:J132">C129:C132+F129:F132/_xlfn.ANCHORARRAY(E129)*C129:C132</f>
        <v>769230.76923076925</v>
      </c>
      <c r="K129" s="19">
        <f>1/SUM(H129:H132)</f>
        <v>734.98769263108693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5.0000000000000001E-3</v>
      </c>
      <c r="F130" s="32">
        <f>VLOOKUP(A125, Setting!$E:$U, 15, FALSE)</f>
        <v>5.0000000000000001E-3</v>
      </c>
      <c r="G130" s="32">
        <f>VLOOKUP(A125, Setting!$E:$U, 11, FALSE)</f>
        <v>0.01</v>
      </c>
      <c r="H130" s="5" cm="1">
        <f t="array" ref="H130:H132">E130:E132/D130:D132</f>
        <v>4.4999999999999998E-7</v>
      </c>
      <c r="I130" s="5">
        <v>4.9999999999999998E-8</v>
      </c>
      <c r="J130" s="6">
        <v>200000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1.1999999999999999E-3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0.04</v>
      </c>
      <c r="H133" s="8">
        <f>SUM(H129:H132)</f>
        <v>1.360567E-3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58</v>
      </c>
      <c r="I139" s="1" t="s">
        <v>5</v>
      </c>
      <c r="J139" s="1" t="s">
        <v>6</v>
      </c>
      <c r="K139" s="1" t="s">
        <v>59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6.5000000000000006E-3</v>
      </c>
      <c r="F140" s="32">
        <f>VLOOKUP(A136, Setting!$E:$U, 14, FALSE)</f>
        <v>3.5000000000000001E-3</v>
      </c>
      <c r="G140" s="32">
        <f>VLOOKUP(A136, Setting!$E:$U, 10, FALSE)</f>
        <v>0.01</v>
      </c>
      <c r="H140" s="5">
        <f>E140/D140-Setting!$C$33</f>
        <v>1.3E-7</v>
      </c>
      <c r="I140" s="5" cm="1">
        <f t="array" ref="I140:I143">_xlfn.ANCHORARRAY(E140)/_xlfn.ANCHORARRAY(D140)/D136</f>
        <v>1.3000000000000001E-8</v>
      </c>
      <c r="J140" s="6" cm="1">
        <f t="array" ref="J140:J143">C140:C143+F140:F143/_xlfn.ANCHORARRAY(E140)*C140:C143</f>
        <v>769230.76923076925</v>
      </c>
      <c r="K140" s="19">
        <f>1/SUM(H140:H143)</f>
        <v>734.95366117166327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5.0000000000000001E-3</v>
      </c>
      <c r="F141" s="32">
        <f>VLOOKUP(A136, Setting!$E:$U, 15, FALSE)</f>
        <v>5.0000000000000001E-3</v>
      </c>
      <c r="G141" s="32">
        <f>VLOOKUP(A136, Setting!$E:$U, 11, FALSE)</f>
        <v>0.01</v>
      </c>
      <c r="H141" s="5" cm="1">
        <f t="array" ref="H141:H143">E141:E143/D141:D143</f>
        <v>4.9999999999999998E-7</v>
      </c>
      <c r="I141" s="5">
        <v>4.9999999999999998E-8</v>
      </c>
      <c r="J141" s="6">
        <v>200000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1.1999999999999999E-3</v>
      </c>
      <c r="I143" s="5">
        <v>1.1999999999999999E-4</v>
      </c>
      <c r="J143" s="6">
        <v>100</v>
      </c>
      <c r="K143" s="19"/>
      <c r="L143" s="7"/>
      <c r="M143" s="17"/>
    </row>
    <row r="144" spans="1:13">
      <c r="G144" s="34">
        <f>SUM(G140:G143)</f>
        <v>0.04</v>
      </c>
      <c r="H144" s="8">
        <f>SUM(H140:H143)</f>
        <v>1.3606299999999998E-3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58</v>
      </c>
      <c r="I150" s="1" t="s">
        <v>5</v>
      </c>
      <c r="J150" s="1" t="s">
        <v>6</v>
      </c>
      <c r="K150" s="1" t="s">
        <v>59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6.5000000000000006E-3</v>
      </c>
      <c r="F151" s="32">
        <f>VLOOKUP(A147, Setting!$E:$U, 14, FALSE)</f>
        <v>3.5000000000000001E-3</v>
      </c>
      <c r="G151" s="32">
        <f>VLOOKUP(A147, Setting!$E:$U, 10, FALSE)</f>
        <v>0.01</v>
      </c>
      <c r="H151" s="5">
        <f>E151/D151-Setting!$C$33</f>
        <v>1.5600000000000002E-7</v>
      </c>
      <c r="I151" s="5" cm="1">
        <f t="array" ref="I151:I154">_xlfn.ANCHORARRAY(E151)/_xlfn.ANCHORARRAY(D151)/D147</f>
        <v>1.3000000000000002E-8</v>
      </c>
      <c r="J151" s="6" cm="1">
        <f t="array" ref="J151:J154">C151:C154+F151:F154/_xlfn.ANCHORARRAY(E151)*C151:C154</f>
        <v>769230.76923076925</v>
      </c>
      <c r="K151" s="19">
        <f>1/SUM(H151:H154)</f>
        <v>734.88560770630454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5.0000000000000001E-3</v>
      </c>
      <c r="F152" s="32">
        <f>VLOOKUP(A147, Setting!$E:$U, 15, FALSE)</f>
        <v>5.0000000000000001E-3</v>
      </c>
      <c r="G152" s="32">
        <f>VLOOKUP(A147, Setting!$E:$U, 11, FALSE)</f>
        <v>0.01</v>
      </c>
      <c r="H152" s="5" cm="1">
        <f t="array" ref="H152:H154">E152:E154/D152:D154</f>
        <v>5.9999999999999997E-7</v>
      </c>
      <c r="I152" s="5">
        <v>4.9999999999999998E-8</v>
      </c>
      <c r="J152" s="6">
        <v>200000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1.1999999999999999E-3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0.04</v>
      </c>
      <c r="H155" s="8">
        <f>SUM(H151:H154)</f>
        <v>1.3607559999999999E-3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58</v>
      </c>
      <c r="I161" s="1" t="s">
        <v>5</v>
      </c>
      <c r="J161" s="1" t="s">
        <v>6</v>
      </c>
      <c r="K161" s="1" t="s">
        <v>59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6.5000000000000006E-3</v>
      </c>
      <c r="F162" s="32">
        <f>VLOOKUP(A158, Setting!$E:$U, 14, FALSE)</f>
        <v>3.5000000000000001E-3</v>
      </c>
      <c r="G162" s="32">
        <f>VLOOKUP(A158, Setting!$E:$U, 10, FALSE)</f>
        <v>0.01</v>
      </c>
      <c r="H162" s="5">
        <f>E162/D162-Setting!$C$33</f>
        <v>1.8199999999999999E-7</v>
      </c>
      <c r="I162" s="5" cm="1">
        <f t="array" ref="I162:I165">_xlfn.ANCHORARRAY(E162)/_xlfn.ANCHORARRAY(D162)/D158</f>
        <v>1.2999999999999999E-8</v>
      </c>
      <c r="J162" s="6" cm="1">
        <f t="array" ref="J162:J165">C162:C165+F162:F165/_xlfn.ANCHORARRAY(E162)*C162:C165</f>
        <v>769230.76923076925</v>
      </c>
      <c r="K162" s="19">
        <f>1/SUM(H162:H165)</f>
        <v>734.81756684267998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5.0000000000000001E-3</v>
      </c>
      <c r="F163" s="32">
        <f>VLOOKUP(A158, Setting!$E:$U, 15, FALSE)</f>
        <v>5.0000000000000001E-3</v>
      </c>
      <c r="G163" s="32">
        <f>VLOOKUP(A158, Setting!$E:$U, 11, FALSE)</f>
        <v>0.01</v>
      </c>
      <c r="H163" s="5" cm="1">
        <f t="array" ref="H163:H165">E163:E165/D163:D165</f>
        <v>6.9999999999999997E-7</v>
      </c>
      <c r="I163" s="5">
        <v>4.9999999999999998E-8</v>
      </c>
      <c r="J163" s="6">
        <v>200000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1.1999999999999999E-3</v>
      </c>
      <c r="I165" s="5">
        <v>8.5714285714285713E-5</v>
      </c>
      <c r="J165" s="6">
        <v>140</v>
      </c>
      <c r="K165" s="19"/>
      <c r="L165" s="7"/>
      <c r="M165" s="17"/>
    </row>
    <row r="166" spans="1:13">
      <c r="G166" s="34">
        <f>SUM(G162:G165)</f>
        <v>0.04</v>
      </c>
      <c r="H166" s="8">
        <f>SUM(H162:H165)</f>
        <v>1.3608819999999999E-3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58</v>
      </c>
      <c r="I172" s="1" t="s">
        <v>5</v>
      </c>
      <c r="J172" s="1" t="s">
        <v>6</v>
      </c>
      <c r="K172" s="1" t="s">
        <v>59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6.5000000000000006E-3</v>
      </c>
      <c r="F173" s="32">
        <f>VLOOKUP(A169, Setting!$E:$U, 14, FALSE)</f>
        <v>3.5000000000000001E-3</v>
      </c>
      <c r="G173" s="32">
        <f>VLOOKUP(A169, Setting!$E:$U, 10, FALSE)</f>
        <v>0.01</v>
      </c>
      <c r="H173" s="5">
        <f>E173/D173-Setting!$C$33</f>
        <v>2.0800000000000001E-7</v>
      </c>
      <c r="I173" s="5" cm="1">
        <f t="array" ref="I173:I176">_xlfn.ANCHORARRAY(E173)/_xlfn.ANCHORARRAY(D173)/D169</f>
        <v>1.3000000000000001E-8</v>
      </c>
      <c r="J173" s="6" cm="1">
        <f t="array" ref="J173:J176">C173:C176+F173:F176/_xlfn.ANCHORARRAY(E173)*C173:C176</f>
        <v>769230.76923076925</v>
      </c>
      <c r="K173" s="19">
        <f>1/SUM(H173:H176)</f>
        <v>734.74953857728985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5.0000000000000001E-3</v>
      </c>
      <c r="F174" s="32">
        <f>VLOOKUP(A169, Setting!$E:$U, 15, FALSE)</f>
        <v>5.0000000000000001E-3</v>
      </c>
      <c r="G174" s="32">
        <f>VLOOKUP(A169, Setting!$E:$U, 11, FALSE)</f>
        <v>0.01</v>
      </c>
      <c r="H174" s="5" cm="1">
        <f t="array" ref="H174:H176">E174:E176/D174:D176</f>
        <v>7.9999999999999996E-7</v>
      </c>
      <c r="I174" s="5">
        <v>4.9999999999999998E-8</v>
      </c>
      <c r="J174" s="6">
        <v>200000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1.1999999999999999E-3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0.04</v>
      </c>
      <c r="H177" s="8">
        <f>SUM(H173:H176)</f>
        <v>1.3610079999999999E-3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58</v>
      </c>
      <c r="I183" s="1" t="s">
        <v>5</v>
      </c>
      <c r="J183" s="1" t="s">
        <v>6</v>
      </c>
      <c r="K183" s="1" t="s">
        <v>59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6.5000000000000006E-3</v>
      </c>
      <c r="F184" s="32">
        <f>VLOOKUP(A180, Setting!$E:$U, 14, FALSE)</f>
        <v>3.5000000000000001E-3</v>
      </c>
      <c r="G184" s="32">
        <f>VLOOKUP(A180, Setting!$E:$U, 10, FALSE)</f>
        <v>0.01</v>
      </c>
      <c r="H184" s="5">
        <f>E184/D184-Setting!$C$33</f>
        <v>2.3400000000000003E-7</v>
      </c>
      <c r="I184" s="5" cm="1">
        <f t="array" ref="I184:I187">_xlfn.ANCHORARRAY(E184)/_xlfn.ANCHORARRAY(D184)/D180</f>
        <v>1.3000000000000002E-8</v>
      </c>
      <c r="J184" s="6" cm="1">
        <f t="array" ref="J184:J187">C184:C187+F184:F187/_xlfn.ANCHORARRAY(E184)*C184:C187</f>
        <v>769230.76923076925</v>
      </c>
      <c r="K184" s="19">
        <f>1/SUM(H184:H187)</f>
        <v>734.68152290663522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5.0000000000000001E-3</v>
      </c>
      <c r="F185" s="32">
        <f>VLOOKUP(A180, Setting!$E:$U, 15, FALSE)</f>
        <v>5.0000000000000001E-3</v>
      </c>
      <c r="G185" s="32">
        <f>VLOOKUP(A180, Setting!$E:$U, 11, FALSE)</f>
        <v>0.01</v>
      </c>
      <c r="H185" s="5" cm="1">
        <f t="array" ref="H185:H187">E185:E187/D185:D187</f>
        <v>8.9999999999999996E-7</v>
      </c>
      <c r="I185" s="5">
        <v>4.9999999999999998E-8</v>
      </c>
      <c r="J185" s="6">
        <v>200000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1.1999999999999999E-3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0.04</v>
      </c>
      <c r="H188" s="8">
        <f>SUM(H184:H187)</f>
        <v>1.361134E-3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58</v>
      </c>
      <c r="I194" s="1" t="s">
        <v>5</v>
      </c>
      <c r="J194" s="1" t="s">
        <v>6</v>
      </c>
      <c r="K194" s="1" t="s">
        <v>59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6.5000000000000006E-3</v>
      </c>
      <c r="F195" s="32">
        <f>VLOOKUP(A191, Setting!$E:$U, 14, FALSE)</f>
        <v>3.5000000000000001E-3</v>
      </c>
      <c r="G195" s="32">
        <f>VLOOKUP(A191, Setting!$E:$U, 10, FALSE)</f>
        <v>0.01</v>
      </c>
      <c r="H195" s="5">
        <f>E195/D195-Setting!$C$33</f>
        <v>2.6E-7</v>
      </c>
      <c r="I195" s="5" cm="1">
        <f t="array" ref="I195:I198">_xlfn.ANCHORARRAY(E195)/_xlfn.ANCHORARRAY(D195)/D191</f>
        <v>1.3000000000000001E-8</v>
      </c>
      <c r="J195" s="6" cm="1">
        <f t="array" ref="J195:J198">C195:C198+F195:F198/_xlfn.ANCHORARRAY(E195)*C195:C198</f>
        <v>769230.76923076925</v>
      </c>
      <c r="K195" s="19">
        <f>1/SUM(H195:H198)</f>
        <v>734.61351982721885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5.0000000000000001E-3</v>
      </c>
      <c r="F196" s="32">
        <f>VLOOKUP(A191, Setting!$E:$U, 15, FALSE)</f>
        <v>5.0000000000000001E-3</v>
      </c>
      <c r="G196" s="32">
        <f>VLOOKUP(A191, Setting!$E:$U, 11, FALSE)</f>
        <v>0.01</v>
      </c>
      <c r="H196" s="5" cm="1">
        <f t="array" ref="H196:H198">E196:E198/D196:D198</f>
        <v>9.9999999999999995E-7</v>
      </c>
      <c r="I196" s="5">
        <v>4.9999999999999998E-8</v>
      </c>
      <c r="J196" s="6">
        <v>200000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1.1999999999999999E-3</v>
      </c>
      <c r="I198" s="5">
        <v>5.9999999999999995E-5</v>
      </c>
      <c r="J198" s="6">
        <v>200</v>
      </c>
      <c r="K198" s="19"/>
      <c r="L198" s="7"/>
      <c r="M198" s="17"/>
    </row>
    <row r="199" spans="1:13">
      <c r="G199" s="34">
        <f>SUM(G195:G198)</f>
        <v>0.04</v>
      </c>
      <c r="H199" s="8">
        <f>SUM(H195:H198)</f>
        <v>1.36126E-3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58</v>
      </c>
      <c r="I205" s="1" t="s">
        <v>5</v>
      </c>
      <c r="J205" s="1" t="s">
        <v>6</v>
      </c>
      <c r="K205" s="1" t="s">
        <v>59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6.5000000000000006E-3</v>
      </c>
      <c r="F206" s="32">
        <f>VLOOKUP(A202, Setting!$E:$U, 14, FALSE)</f>
        <v>3.5000000000000001E-3</v>
      </c>
      <c r="G206" s="32">
        <f>VLOOKUP(A202, Setting!$E:$U, 10, FALSE)</f>
        <v>0.01</v>
      </c>
      <c r="H206" s="5">
        <f>E206/D206-Setting!$C$33</f>
        <v>3.9000000000000002E-7</v>
      </c>
      <c r="I206" s="5" cm="1">
        <f t="array" ref="I206:I209">_xlfn.ANCHORARRAY(E206)/_xlfn.ANCHORARRAY(D206)/D202</f>
        <v>1.3000000000000001E-8</v>
      </c>
      <c r="J206" s="6" cm="1">
        <f t="array" ref="J206:J209">C206:C209+F206:F209/_xlfn.ANCHORARRAY(E206)*C206:C209</f>
        <v>769230.76923076925</v>
      </c>
      <c r="K206" s="19">
        <f>1/SUM(H206:H209)</f>
        <v>734.27369317639466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5.0000000000000001E-3</v>
      </c>
      <c r="F207" s="32">
        <f>VLOOKUP(A202, Setting!$E:$U, 15, FALSE)</f>
        <v>5.0000000000000001E-3</v>
      </c>
      <c r="G207" s="32">
        <f>VLOOKUP(A202, Setting!$E:$U, 11, FALSE)</f>
        <v>0.01</v>
      </c>
      <c r="H207" s="5" cm="1">
        <f t="array" ref="H207:H209">E207:E209/D207:D209</f>
        <v>1.5E-6</v>
      </c>
      <c r="I207" s="5">
        <v>5.0000000000000004E-8</v>
      </c>
      <c r="J207" s="6">
        <v>200000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1.1999999999999999E-3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0.04</v>
      </c>
      <c r="H210" s="8">
        <f>SUM(H206:H209)</f>
        <v>1.3618899999999999E-3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58</v>
      </c>
      <c r="I216" s="1" t="s">
        <v>5</v>
      </c>
      <c r="J216" s="1" t="s">
        <v>6</v>
      </c>
      <c r="K216" s="1" t="s">
        <v>59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6.5000000000000006E-3</v>
      </c>
      <c r="F217" s="32">
        <f>VLOOKUP(A213, Setting!$E:$U, 14, FALSE)</f>
        <v>3.5000000000000001E-3</v>
      </c>
      <c r="G217" s="32">
        <f>VLOOKUP(A213, Setting!$E:$U, 10, FALSE)</f>
        <v>0.01</v>
      </c>
      <c r="H217" s="5">
        <f>E217/D217-Setting!$C$33</f>
        <v>5.2E-7</v>
      </c>
      <c r="I217" s="5" cm="1">
        <f t="array" ref="I217:I220">_xlfn.ANCHORARRAY(E217)/_xlfn.ANCHORARRAY(D217)/D213</f>
        <v>1.3000000000000001E-8</v>
      </c>
      <c r="J217" s="6" cm="1">
        <f t="array" ref="J217:J220">C217:C220+F217:F220/_xlfn.ANCHORARRAY(E217)*C217:C220</f>
        <v>769230.76923076925</v>
      </c>
      <c r="K217" s="19">
        <f>1/SUM(H217:H220)</f>
        <v>733.93418078266745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5.0000000000000001E-3</v>
      </c>
      <c r="F218" s="32">
        <f>VLOOKUP(A213, Setting!$E:$U, 15, FALSE)</f>
        <v>5.0000000000000001E-3</v>
      </c>
      <c r="G218" s="32">
        <f>VLOOKUP(A213, Setting!$E:$U, 11, FALSE)</f>
        <v>0.01</v>
      </c>
      <c r="H218" s="5" cm="1">
        <f t="array" ref="H218:H220">E218:E220/D218:D220</f>
        <v>1.9999999999999999E-6</v>
      </c>
      <c r="I218" s="5">
        <v>4.9999999999999998E-8</v>
      </c>
      <c r="J218" s="6">
        <v>200000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1.1999999999999999E-3</v>
      </c>
      <c r="I220" s="5">
        <v>2.9999999999999997E-5</v>
      </c>
      <c r="J220" s="6">
        <v>400</v>
      </c>
      <c r="K220" s="19"/>
      <c r="L220" s="7"/>
      <c r="M220" s="17"/>
    </row>
    <row r="221" spans="1:13">
      <c r="G221" s="34">
        <f>SUM(G217:G220)</f>
        <v>0.04</v>
      </c>
      <c r="H221" s="8">
        <f>SUM(H217:H220)</f>
        <v>1.3625199999999999E-3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58</v>
      </c>
      <c r="I227" s="1" t="s">
        <v>5</v>
      </c>
      <c r="J227" s="1" t="s">
        <v>6</v>
      </c>
      <c r="K227" s="1" t="s">
        <v>59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6.5000000000000006E-3</v>
      </c>
      <c r="F228" s="32">
        <f>VLOOKUP(A224, Setting!$E:$U, 14, FALSE)</f>
        <v>3.5000000000000001E-3</v>
      </c>
      <c r="G228" s="32">
        <f>VLOOKUP(A224, Setting!$E:$U, 10, FALSE)</f>
        <v>0.01</v>
      </c>
      <c r="H228" s="5">
        <f>E228/D228-Setting!$C$33</f>
        <v>7.8000000000000005E-7</v>
      </c>
      <c r="I228" s="5" cm="1">
        <f t="array" ref="I228:I231">_xlfn.ANCHORARRAY(E228)/_xlfn.ANCHORARRAY(D228)/D224</f>
        <v>1.3000000000000001E-8</v>
      </c>
      <c r="J228" s="6" cm="1">
        <f t="array" ref="J228:J231">C228:C231+F228:F231/_xlfn.ANCHORARRAY(E228)*C228:C231</f>
        <v>769230.76923076925</v>
      </c>
      <c r="K228" s="19">
        <f>1/SUM(H228:H231)</f>
        <v>733.25609702444672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5.0000000000000001E-3</v>
      </c>
      <c r="F229" s="32">
        <f>VLOOKUP(A224, Setting!$E:$U, 15, FALSE)</f>
        <v>5.0000000000000001E-3</v>
      </c>
      <c r="G229" s="32">
        <f>VLOOKUP(A224, Setting!$E:$U, 11, FALSE)</f>
        <v>0.01</v>
      </c>
      <c r="H229" s="5" cm="1">
        <f t="array" ref="H229:H231">E229:E231/D229:D231</f>
        <v>3.0000000000000001E-6</v>
      </c>
      <c r="I229" s="5">
        <v>5.0000000000000004E-8</v>
      </c>
      <c r="J229" s="6">
        <v>200000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1.1999999999999999E-3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0.04</v>
      </c>
      <c r="H232" s="8">
        <f>SUM(H228:H231)</f>
        <v>1.36378E-3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58</v>
      </c>
      <c r="I238" s="1" t="s">
        <v>5</v>
      </c>
      <c r="J238" s="1" t="s">
        <v>6</v>
      </c>
      <c r="K238" s="1" t="s">
        <v>59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6.5000000000000006E-3</v>
      </c>
      <c r="F239" s="32">
        <f>VLOOKUP(A235, Setting!$E:$U, 14, FALSE)</f>
        <v>3.5000000000000001E-3</v>
      </c>
      <c r="G239" s="32">
        <f>VLOOKUP(A235, Setting!$E:$U, 10, FALSE)</f>
        <v>0.01</v>
      </c>
      <c r="H239" s="5">
        <f>E239/D239-Setting!$C$33</f>
        <v>1.3E-6</v>
      </c>
      <c r="I239" s="5" cm="1">
        <f t="array" ref="I239:I242">_xlfn.ANCHORARRAY(E239)/_xlfn.ANCHORARRAY(D239)/D235</f>
        <v>1.3000000000000001E-8</v>
      </c>
      <c r="J239" s="6" cm="1">
        <f t="array" ref="J239:J242">C239:C242+F239:F242/_xlfn.ANCHORARRAY(E239)*C239:C242</f>
        <v>769230.76923076925</v>
      </c>
      <c r="K239" s="19">
        <f>1/SUM(H239:H242)</f>
        <v>731.90368147551783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5.0000000000000001E-3</v>
      </c>
      <c r="F240" s="32">
        <f>VLOOKUP(A235, Setting!$E:$U, 15, FALSE)</f>
        <v>5.0000000000000001E-3</v>
      </c>
      <c r="G240" s="32">
        <f>VLOOKUP(A235, Setting!$E:$U, 11, FALSE)</f>
        <v>0.01</v>
      </c>
      <c r="H240" s="5" cm="1">
        <f t="array" ref="H240:H242">E240:E242/D240:D242</f>
        <v>5.0000000000000004E-6</v>
      </c>
      <c r="I240" s="5">
        <v>5.0000000000000004E-8</v>
      </c>
      <c r="J240" s="6">
        <v>200000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1.1999999999999999E-3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0.04</v>
      </c>
      <c r="H243" s="8">
        <f>SUM(H239:H242)</f>
        <v>1.3663E-3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58</v>
      </c>
      <c r="I249" s="1" t="s">
        <v>5</v>
      </c>
      <c r="J249" s="1" t="s">
        <v>6</v>
      </c>
      <c r="K249" s="1" t="s">
        <v>59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6.5000000000000006E-3</v>
      </c>
      <c r="F250" s="32">
        <f>VLOOKUP(A246, Setting!$E:$U, 14, FALSE)</f>
        <v>3.5000000000000001E-3</v>
      </c>
      <c r="G250" s="32">
        <f>VLOOKUP(A246, Setting!$E:$U, 10, FALSE)</f>
        <v>0.01</v>
      </c>
      <c r="H250" s="5">
        <f>E250/D250-Setting!$C$33</f>
        <v>2.6000000000000001E-6</v>
      </c>
      <c r="I250" s="5" cm="1">
        <f t="array" ref="I250:I253">_xlfn.ANCHORARRAY(E250)/_xlfn.ANCHORARRAY(D250)/D246</f>
        <v>1.3000000000000001E-8</v>
      </c>
      <c r="J250" s="6" cm="1">
        <f t="array" ref="J250:J253">C250:C253+F250:F253/_xlfn.ANCHORARRAY(E250)*C250:C253</f>
        <v>769230.76923076925</v>
      </c>
      <c r="K250" s="19">
        <f>1/SUM(H250:H253)</f>
        <v>728.54436835203273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5.0000000000000001E-3</v>
      </c>
      <c r="F251" s="32">
        <f>VLOOKUP(A246, Setting!$E:$U, 15, FALSE)</f>
        <v>5.0000000000000001E-3</v>
      </c>
      <c r="G251" s="32">
        <f>VLOOKUP(A246, Setting!$E:$U, 11, FALSE)</f>
        <v>0.01</v>
      </c>
      <c r="H251" s="5" cm="1">
        <f t="array" ref="H251:H253">E251:E253/D251:D253</f>
        <v>1.0000000000000001E-5</v>
      </c>
      <c r="I251" s="5">
        <v>5.0000000000000004E-8</v>
      </c>
      <c r="J251" s="6">
        <v>200000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1.1999999999999999E-3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0.04</v>
      </c>
      <c r="H254" s="8">
        <f>SUM(H250:H253)</f>
        <v>1.3725999999999999E-3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58</v>
      </c>
      <c r="I260" s="1" t="s">
        <v>5</v>
      </c>
      <c r="J260" s="1" t="s">
        <v>6</v>
      </c>
      <c r="K260" s="1" t="s">
        <v>59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6.5000000000000006E-3</v>
      </c>
      <c r="F261" s="32">
        <f>VLOOKUP(A257, Setting!$E:$U, 14, FALSE)</f>
        <v>3.5000000000000001E-3</v>
      </c>
      <c r="G261" s="32">
        <f>VLOOKUP(A257, Setting!$E:$U, 10, FALSE)</f>
        <v>0.01</v>
      </c>
      <c r="H261" s="5">
        <f>E261/D261-Setting!$C$33</f>
        <v>3.8999999999999999E-6</v>
      </c>
      <c r="I261" s="5" cm="1">
        <f t="array" ref="I261:I264">_xlfn.ANCHORARRAY(E261)/_xlfn.ANCHORARRAY(D261)/D257</f>
        <v>1.2999999999999999E-8</v>
      </c>
      <c r="J261" s="6" cm="1">
        <f t="array" ref="J261:J264">C261:C264+F261:F264/_xlfn.ANCHORARRAY(E261)*C261:C264</f>
        <v>769230.76923076925</v>
      </c>
      <c r="K261" s="19">
        <f>1/SUM(H261:H264)</f>
        <v>725.21575168612662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5.0000000000000001E-3</v>
      </c>
      <c r="F262" s="32">
        <f>VLOOKUP(A257, Setting!$E:$U, 15, FALSE)</f>
        <v>5.0000000000000001E-3</v>
      </c>
      <c r="G262" s="32">
        <f>VLOOKUP(A257, Setting!$E:$U, 11, FALSE)</f>
        <v>0.01</v>
      </c>
      <c r="H262" s="5" cm="1">
        <f t="array" ref="H262:H264">E262:E264/D262:D264</f>
        <v>1.5E-5</v>
      </c>
      <c r="I262" s="5">
        <v>5.0000000000000004E-8</v>
      </c>
      <c r="J262" s="6">
        <v>200000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1.1999999999999999E-3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0.04</v>
      </c>
      <c r="H265" s="8">
        <f>SUM(H261:H264)</f>
        <v>1.3789E-3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58</v>
      </c>
      <c r="I271" s="1" t="s">
        <v>5</v>
      </c>
      <c r="J271" s="1" t="s">
        <v>6</v>
      </c>
      <c r="K271" s="1" t="s">
        <v>59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6.5000000000000006E-3</v>
      </c>
      <c r="F272" s="32">
        <f>VLOOKUP(A268, Setting!$E:$U, 14, FALSE)</f>
        <v>3.5000000000000001E-3</v>
      </c>
      <c r="G272" s="32">
        <f>VLOOKUP(A268, Setting!$E:$U, 10, FALSE)</f>
        <v>0.01</v>
      </c>
      <c r="H272" s="5">
        <f>E272/D272-Setting!$C$33</f>
        <v>7.7999999999999999E-6</v>
      </c>
      <c r="I272" s="5" cm="1">
        <f t="array" ref="I272:I275">_xlfn.ANCHORARRAY(E272)/_xlfn.ANCHORARRAY(D272)/D268</f>
        <v>1.2999999999999999E-8</v>
      </c>
      <c r="J272" s="6" cm="1">
        <f t="array" ref="J272:J275">C272:C275+F272:F275/_xlfn.ANCHORARRAY(E272)*C272:C275</f>
        <v>769230.76923076925</v>
      </c>
      <c r="K272" s="19">
        <f>1/SUM(H272:H275)</f>
        <v>715.40992988982691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5.0000000000000001E-3</v>
      </c>
      <c r="F273" s="32">
        <f>VLOOKUP(A268, Setting!$E:$U, 15, FALSE)</f>
        <v>5.0000000000000001E-3</v>
      </c>
      <c r="G273" s="32">
        <f>VLOOKUP(A268, Setting!$E:$U, 11, FALSE)</f>
        <v>0.01</v>
      </c>
      <c r="H273" s="5" cm="1">
        <f t="array" ref="H273:H275">E273:E275/D273:D275</f>
        <v>3.0000000000000001E-5</v>
      </c>
      <c r="I273" s="5">
        <v>5.0000000000000004E-8</v>
      </c>
      <c r="J273" s="6">
        <v>200000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1.1999999999999999E-3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0.04</v>
      </c>
      <c r="H276" s="8">
        <f>SUM(H272:H275)</f>
        <v>1.3977999999999998E-3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58</v>
      </c>
      <c r="I282" s="1" t="s">
        <v>5</v>
      </c>
      <c r="J282" s="1" t="s">
        <v>6</v>
      </c>
      <c r="K282" s="1" t="s">
        <v>59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6.5000000000000006E-3</v>
      </c>
      <c r="F283" s="32">
        <f>VLOOKUP(A279, Setting!$E:$U, 14, FALSE)</f>
        <v>3.5000000000000001E-3</v>
      </c>
      <c r="G283" s="32">
        <f>VLOOKUP(A279, Setting!$E:$U, 10, FALSE)</f>
        <v>0.01</v>
      </c>
      <c r="H283" s="5">
        <f>E283/D283-Setting!$C$33</f>
        <v>1.3000000000000001E-5</v>
      </c>
      <c r="I283" s="5" cm="1">
        <f t="array" ref="I283:I286">_xlfn.ANCHORARRAY(E283)/_xlfn.ANCHORARRAY(D283)/D279</f>
        <v>1.3000000000000001E-8</v>
      </c>
      <c r="J283" s="6" cm="1">
        <f t="array" ref="J283:J286">C283:C286+F283:F286/_xlfn.ANCHORARRAY(E283)*C283:C286</f>
        <v>769230.76923076925</v>
      </c>
      <c r="K283" s="19">
        <f>1/SUM(H283:H286)</f>
        <v>702.74068868587506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5.0000000000000001E-3</v>
      </c>
      <c r="F284" s="32">
        <f>VLOOKUP(A279, Setting!$E:$U, 15, FALSE)</f>
        <v>5.0000000000000001E-3</v>
      </c>
      <c r="G284" s="32">
        <f>VLOOKUP(A279, Setting!$E:$U, 11, FALSE)</f>
        <v>0.01</v>
      </c>
      <c r="H284" s="5" cm="1">
        <f t="array" ref="H284:H286">E284:E286/D284:D286</f>
        <v>5.0000000000000002E-5</v>
      </c>
      <c r="I284" s="5">
        <v>5.0000000000000004E-8</v>
      </c>
      <c r="J284" s="6">
        <v>200000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1.1999999999999999E-3</v>
      </c>
      <c r="I286" s="5">
        <v>1.1999999999999999E-6</v>
      </c>
      <c r="J286" s="6">
        <v>10000</v>
      </c>
      <c r="K286" s="19"/>
      <c r="L286" s="7"/>
      <c r="M286" s="17"/>
    </row>
    <row r="287" spans="1:13">
      <c r="G287" s="34">
        <f>SUM(G283:G286)</f>
        <v>0.04</v>
      </c>
      <c r="H287" s="8">
        <f>SUM(H283:H286)</f>
        <v>1.4229999999999998E-3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58</v>
      </c>
      <c r="I293" s="1" t="s">
        <v>5</v>
      </c>
      <c r="J293" s="1" t="s">
        <v>6</v>
      </c>
      <c r="K293" s="1" t="s">
        <v>59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6.5000000000000006E-3</v>
      </c>
      <c r="F294" s="32">
        <f>VLOOKUP(A290, Setting!$E:$U, 14, FALSE)</f>
        <v>3.5000000000000001E-3</v>
      </c>
      <c r="G294" s="32">
        <f>VLOOKUP(A290, Setting!$E:$U, 10, FALSE)</f>
        <v>0.01</v>
      </c>
      <c r="H294" s="5">
        <f>E294/D294-Setting!$C$33</f>
        <v>1.9500000000000003E-5</v>
      </c>
      <c r="I294" s="5" cm="1">
        <f t="array" ref="I294:I297">_xlfn.ANCHORARRAY(E294)/_xlfn.ANCHORARRAY(D294)/D290</f>
        <v>1.3000000000000002E-8</v>
      </c>
      <c r="J294" s="6" cm="1">
        <f t="array" ref="J294:J297">C294:C297+F294:F297/_xlfn.ANCHORARRAY(E294)*C294:C297</f>
        <v>769230.76923076925</v>
      </c>
      <c r="K294" s="19">
        <f>1/SUM(H294:H297)</f>
        <v>687.52148504640775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5.0000000000000001E-3</v>
      </c>
      <c r="F295" s="32">
        <f>VLOOKUP(A290, Setting!$E:$U, 15, FALSE)</f>
        <v>5.0000000000000001E-3</v>
      </c>
      <c r="G295" s="32">
        <f>VLOOKUP(A290, Setting!$E:$U, 11, FALSE)</f>
        <v>0.01</v>
      </c>
      <c r="H295" s="5" cm="1">
        <f t="array" ref="H295:H297">E295:E297/D295:D297</f>
        <v>7.4999999999999993E-5</v>
      </c>
      <c r="I295" s="5">
        <v>4.9999999999999998E-8</v>
      </c>
      <c r="J295" s="6">
        <v>200000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1.1999999999999999E-3</v>
      </c>
      <c r="I297" s="5">
        <v>7.9999999999999996E-7</v>
      </c>
      <c r="J297" s="6">
        <v>15000</v>
      </c>
      <c r="K297" s="19"/>
      <c r="L297" s="7"/>
      <c r="M297" s="17"/>
    </row>
    <row r="298" spans="1:13">
      <c r="G298" s="34">
        <f>SUM(G294:G297)</f>
        <v>0.04</v>
      </c>
      <c r="H298" s="8">
        <f>SUM(H294:H297)</f>
        <v>1.4544999999999998E-3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58</v>
      </c>
      <c r="I304" s="1" t="s">
        <v>5</v>
      </c>
      <c r="J304" s="1" t="s">
        <v>6</v>
      </c>
      <c r="K304" s="1" t="s">
        <v>59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6.5000000000000006E-3</v>
      </c>
      <c r="F305" s="32">
        <f>VLOOKUP(A301, Setting!$E:$U, 14, FALSE)</f>
        <v>3.5000000000000001E-3</v>
      </c>
      <c r="G305" s="32">
        <f>VLOOKUP(A301, Setting!$E:$U, 10, FALSE)</f>
        <v>0.01</v>
      </c>
      <c r="H305" s="5">
        <f>E305/D305-Setting!$C$33</f>
        <v>2.6000000000000002E-5</v>
      </c>
      <c r="I305" s="5" cm="1">
        <f t="array" ref="I305:I308">_xlfn.ANCHORARRAY(E305)/_xlfn.ANCHORARRAY(D305)/D301</f>
        <v>1.3000000000000001E-8</v>
      </c>
      <c r="J305" s="6" cm="1">
        <f t="array" ref="J305:J308">C305:C308+F305:F308/_xlfn.ANCHORARRAY(E305)*C305:C308</f>
        <v>769230.76923076925</v>
      </c>
      <c r="K305" s="19">
        <f>1/SUM(H305:H308)</f>
        <v>672.9475100942127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5.0000000000000001E-3</v>
      </c>
      <c r="F306" s="32">
        <f>VLOOKUP(A301, Setting!$E:$U, 15, FALSE)</f>
        <v>5.0000000000000001E-3</v>
      </c>
      <c r="G306" s="32">
        <f>VLOOKUP(A301, Setting!$E:$U, 11, FALSE)</f>
        <v>0.01</v>
      </c>
      <c r="H306" s="5" cm="1">
        <f t="array" ref="H306:H308">E306:E308/D306:D308</f>
        <v>1E-4</v>
      </c>
      <c r="I306" s="5">
        <v>5.0000000000000004E-8</v>
      </c>
      <c r="J306" s="6">
        <v>200000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1.1999999999999999E-3</v>
      </c>
      <c r="I308" s="5">
        <v>5.9999999999999997E-7</v>
      </c>
      <c r="J308" s="6">
        <v>20000</v>
      </c>
      <c r="K308" s="19"/>
      <c r="L308" s="7"/>
      <c r="M308" s="17"/>
    </row>
    <row r="309" spans="1:13">
      <c r="G309" s="34">
        <f>SUM(G305:G308)</f>
        <v>0.04</v>
      </c>
      <c r="H309" s="8">
        <f>SUM(H305:H308)</f>
        <v>1.4859999999999999E-3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58</v>
      </c>
      <c r="I315" s="1" t="s">
        <v>5</v>
      </c>
      <c r="J315" s="1" t="s">
        <v>6</v>
      </c>
      <c r="K315" s="1" t="s">
        <v>59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6.5000000000000006E-3</v>
      </c>
      <c r="F316" s="32">
        <f>VLOOKUP(A312, Setting!$E:$U, 14, FALSE)</f>
        <v>3.5000000000000001E-3</v>
      </c>
      <c r="G316" s="32">
        <f>VLOOKUP(A312, Setting!$E:$U, 10, FALSE)</f>
        <v>0.01</v>
      </c>
      <c r="H316" s="5">
        <f>E316/D316-Setting!$C$33</f>
        <v>3.9000000000000006E-5</v>
      </c>
      <c r="I316" s="5" cm="1">
        <f t="array" ref="I316:I319">_xlfn.ANCHORARRAY(E316)/_xlfn.ANCHORARRAY(D316)/D312</f>
        <v>1.3000000000000002E-8</v>
      </c>
      <c r="J316" s="6" cm="1">
        <f t="array" ref="J316:J319">C316:C319+F316:F319/_xlfn.ANCHORARRAY(E316)*C316:C319</f>
        <v>769230.76923076925</v>
      </c>
      <c r="K316" s="19">
        <f>1/SUM(H316:H319)</f>
        <v>645.57779212395087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5.0000000000000001E-3</v>
      </c>
      <c r="F317" s="32">
        <f>VLOOKUP(A312, Setting!$E:$U, 15, FALSE)</f>
        <v>5.0000000000000001E-3</v>
      </c>
      <c r="G317" s="32">
        <f>VLOOKUP(A312, Setting!$E:$U, 11, FALSE)</f>
        <v>0.01</v>
      </c>
      <c r="H317" s="5" cm="1">
        <f t="array" ref="H317:H319">E317:E319/D317:D319</f>
        <v>1.4999999999999999E-4</v>
      </c>
      <c r="I317" s="5">
        <v>4.9999999999999998E-8</v>
      </c>
      <c r="J317" s="6">
        <v>200000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1.1999999999999999E-3</v>
      </c>
      <c r="I319" s="5">
        <v>3.9999999999999998E-7</v>
      </c>
      <c r="J319" s="6">
        <v>30000</v>
      </c>
      <c r="K319" s="19"/>
      <c r="L319" s="7"/>
      <c r="M319" s="17"/>
    </row>
    <row r="320" spans="1:13">
      <c r="G320" s="34">
        <f>SUM(G316:G319)</f>
        <v>0.04</v>
      </c>
      <c r="H320" s="8">
        <f>SUM(H316:H319)</f>
        <v>1.549E-3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58</v>
      </c>
      <c r="I326" s="1" t="s">
        <v>5</v>
      </c>
      <c r="J326" s="1" t="s">
        <v>6</v>
      </c>
      <c r="K326" s="1" t="s">
        <v>59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6.5000000000000006E-3</v>
      </c>
      <c r="F327" s="32">
        <f>VLOOKUP(A323, Setting!$E:$U, 14, FALSE)</f>
        <v>3.5000000000000001E-3</v>
      </c>
      <c r="G327" s="32">
        <f>VLOOKUP(A323, Setting!$E:$U, 10, FALSE)</f>
        <v>0.01</v>
      </c>
      <c r="H327" s="5">
        <f>E327/D327-Setting!$C$33</f>
        <v>6.5000000000000008E-5</v>
      </c>
      <c r="I327" s="5" cm="1">
        <f t="array" ref="I327:I330">_xlfn.ANCHORARRAY(E327)/_xlfn.ANCHORARRAY(D327)/D323</f>
        <v>1.3000000000000002E-8</v>
      </c>
      <c r="J327" s="6" cm="1">
        <f t="array" ref="J327:J330">C327:C330+F327:F330/_xlfn.ANCHORARRAY(E327)*C327:C330</f>
        <v>769230.76923076925</v>
      </c>
      <c r="K327" s="19">
        <f>1/SUM(H327:H330)</f>
        <v>597.01492537313436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5.0000000000000001E-3</v>
      </c>
      <c r="F328" s="32">
        <f>VLOOKUP(A323, Setting!$E:$U, 15, FALSE)</f>
        <v>5.0000000000000001E-3</v>
      </c>
      <c r="G328" s="32">
        <f>VLOOKUP(A323, Setting!$E:$U, 11, FALSE)</f>
        <v>0.01</v>
      </c>
      <c r="H328" s="5" cm="1">
        <f t="array" ref="H328:H330">E328:E330/D328:D330</f>
        <v>2.5000000000000001E-4</v>
      </c>
      <c r="I328" s="5">
        <v>4.9999999999999998E-8</v>
      </c>
      <c r="J328" s="6">
        <v>200000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1.1999999999999999E-3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0.04</v>
      </c>
      <c r="H331" s="8">
        <f>SUM(H327:H330)</f>
        <v>1.6749999999999998E-3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沈宏羲</cp:lastModifiedBy>
  <dcterms:created xsi:type="dcterms:W3CDTF">2024-07-31T05:20:51Z</dcterms:created>
  <dcterms:modified xsi:type="dcterms:W3CDTF">2026-04-07T03:37:32Z</dcterms:modified>
</cp:coreProperties>
</file>