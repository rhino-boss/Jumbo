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hinshen\Desktop\260428_後端驗證 92 94版\賞金+列車\"/>
    </mc:Choice>
  </mc:AlternateContent>
  <xr:revisionPtr revIDLastSave="0" documentId="13_ncr:1_{FAAB72A2-4BC3-44DB-90C5-5A21D9FDE1D8}" xr6:coauthVersionLast="47" xr6:coauthVersionMax="47" xr10:uidLastSave="{00000000-0000-0000-0000-000000000000}"/>
  <bookViews>
    <workbookView xWindow="3084" yWindow="648" windowWidth="16452" windowHeight="11808" tabRatio="500" xr2:uid="{00000000-000D-0000-FFFF-FFFF00000000}"/>
  </bookViews>
  <sheets>
    <sheet name="RTP Summary" sheetId="1" r:id="rId1"/>
  </sheets>
  <definedNames>
    <definedName name="_xlnm._FilterDatabase" localSheetId="0" hidden="1">'RTP Summary'!$A$1:$AA$1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2" i="1" l="1"/>
  <c r="AB3" i="1" l="1"/>
  <c r="AB4" i="1"/>
  <c r="AB5" i="1"/>
  <c r="AB6" i="1"/>
  <c r="AB7" i="1"/>
  <c r="AB9" i="1"/>
  <c r="AB10" i="1"/>
  <c r="AB11" i="1"/>
  <c r="AB12" i="1"/>
  <c r="AB13" i="1"/>
  <c r="AB14" i="1"/>
  <c r="AB15" i="1"/>
  <c r="AB16" i="1"/>
</calcChain>
</file>

<file path=xl/sharedStrings.xml><?xml version="1.0" encoding="utf-8"?>
<sst xmlns="http://schemas.openxmlformats.org/spreadsheetml/2006/main" count="70" uniqueCount="54">
  <si>
    <r>
      <rPr>
        <b/>
        <sz val="11"/>
        <color rgb="FFFFFFFF"/>
        <rFont val="Arial"/>
        <family val="2"/>
      </rPr>
      <t xml:space="preserve">txt </t>
    </r>
    <r>
      <rPr>
        <b/>
        <sz val="11"/>
        <color rgb="FFFFFFFF"/>
        <rFont val="DejaVu Sans"/>
        <family val="2"/>
      </rPr>
      <t>名稱</t>
    </r>
  </si>
  <si>
    <t>資料夾</t>
  </si>
  <si>
    <t>version</t>
  </si>
  <si>
    <t>TotalSpin</t>
  </si>
  <si>
    <t>BaseGameRtp</t>
  </si>
  <si>
    <t>ScatterRtp</t>
  </si>
  <si>
    <t>FreeGameRtp</t>
  </si>
  <si>
    <t>TotalRtp (excl. JP/bonus)</t>
  </si>
  <si>
    <t>BonusJP Rtp</t>
  </si>
  <si>
    <t>LinkJP Rtp</t>
  </si>
  <si>
    <t>TotalRtp (incl. JP/bonus)</t>
  </si>
  <si>
    <t>bgC1Count=0</t>
  </si>
  <si>
    <t>bgC1Count=1</t>
  </si>
  <si>
    <t>bgC1Count=2</t>
  </si>
  <si>
    <t>bgC1Count=3</t>
  </si>
  <si>
    <t>bgC1Count=4</t>
  </si>
  <si>
    <t>bgC1Count=5</t>
  </si>
  <si>
    <t>bgC1Count=6</t>
  </si>
  <si>
    <t>bgC1Count=7</t>
  </si>
  <si>
    <t>fgC1Count=0</t>
  </si>
  <si>
    <t>fgC1Count=1</t>
  </si>
  <si>
    <t>fgC1Count=2</t>
  </si>
  <si>
    <t>fgC1Count=3</t>
  </si>
  <si>
    <t>fgC1Count=4</t>
  </si>
  <si>
    <t>fgC1Count=5</t>
  </si>
  <si>
    <t>fgC1Count=6</t>
  </si>
  <si>
    <t>fgC1Count=7</t>
  </si>
  <si>
    <r>
      <rPr>
        <sz val="10"/>
        <rFont val="Arial"/>
        <family val="2"/>
      </rPr>
      <t xml:space="preserve">101010 FB </t>
    </r>
    <r>
      <rPr>
        <sz val="10"/>
        <rFont val="DejaVu Sans"/>
        <family val="2"/>
      </rPr>
      <t>新手大於兩塊錢 新ＳＣ</t>
    </r>
    <r>
      <rPr>
        <sz val="10"/>
        <rFont val="Arial"/>
        <family val="2"/>
      </rPr>
      <t>.txt</t>
    </r>
  </si>
  <si>
    <t>(root)</t>
  </si>
  <si>
    <t>H015192-2.0.0.1/H015194-2.0.0.1</t>
  </si>
  <si>
    <r>
      <rPr>
        <sz val="10"/>
        <rFont val="Arial"/>
        <family val="2"/>
      </rPr>
      <t xml:space="preserve">101010 FB </t>
    </r>
    <r>
      <rPr>
        <sz val="10"/>
        <rFont val="DejaVu Sans"/>
        <family val="2"/>
      </rPr>
      <t>老手大於兩塊 新ＳＣ</t>
    </r>
    <r>
      <rPr>
        <sz val="10"/>
        <rFont val="Arial"/>
        <family val="2"/>
      </rPr>
      <t>.txt</t>
    </r>
  </si>
  <si>
    <r>
      <rPr>
        <sz val="10"/>
        <rFont val="Arial"/>
        <family val="2"/>
      </rPr>
      <t xml:space="preserve">101010 </t>
    </r>
    <r>
      <rPr>
        <sz val="10"/>
        <rFont val="DejaVu Sans"/>
        <family val="2"/>
      </rPr>
      <t>新手大於兩塊錢 新ＳＣ版</t>
    </r>
    <r>
      <rPr>
        <sz val="10"/>
        <rFont val="Arial"/>
        <family val="2"/>
      </rPr>
      <t>.txt</t>
    </r>
  </si>
  <si>
    <r>
      <rPr>
        <sz val="10"/>
        <rFont val="Arial"/>
        <family val="2"/>
      </rPr>
      <t>101010</t>
    </r>
    <r>
      <rPr>
        <sz val="10"/>
        <rFont val="DejaVu Sans"/>
        <family val="2"/>
      </rPr>
      <t>新手小於兩塊 新ＳＣ版</t>
    </r>
    <r>
      <rPr>
        <sz val="10"/>
        <rFont val="Arial"/>
        <family val="2"/>
      </rPr>
      <t>.txt</t>
    </r>
  </si>
  <si>
    <r>
      <rPr>
        <sz val="10"/>
        <rFont val="Arial"/>
        <family val="2"/>
      </rPr>
      <t>101010</t>
    </r>
    <r>
      <rPr>
        <sz val="10"/>
        <rFont val="DejaVu Sans"/>
        <family val="2"/>
      </rPr>
      <t>老手大於兩塊錢 新ＳＣ版</t>
    </r>
    <r>
      <rPr>
        <sz val="10"/>
        <rFont val="Arial"/>
        <family val="2"/>
      </rPr>
      <t>.txt</t>
    </r>
  </si>
  <si>
    <r>
      <rPr>
        <sz val="10"/>
        <rFont val="Arial"/>
        <family val="2"/>
      </rPr>
      <t>101010</t>
    </r>
    <r>
      <rPr>
        <sz val="10"/>
        <rFont val="DejaVu Sans"/>
        <family val="2"/>
      </rPr>
      <t>老手小於兩塊錢 新ＳＣ版</t>
    </r>
    <r>
      <rPr>
        <sz val="10"/>
        <rFont val="Arial"/>
        <family val="2"/>
      </rPr>
      <t>.txt</t>
    </r>
  </si>
  <si>
    <t>v1/JHS101006_NoExtraBet_noSpecialHit_100_WTIdx_0</t>
  </si>
  <si>
    <t>H019192-2.0.0.8</t>
  </si>
  <si>
    <t>v1/JHS101006_NoExtraBet_noSpecialHit_100_WTIdx_2</t>
  </si>
  <si>
    <t>v1/JHS101006_NoExtraBet_noSpecialHit_4000_WTIdx_0</t>
  </si>
  <si>
    <t>H019192-3.0.0.1/H019194-3.0.0.1</t>
  </si>
  <si>
    <t>v1/JHS101006_NoExtraBet_noSpecialHit_4000_WTIdx_2</t>
  </si>
  <si>
    <t>v1/JHS101010_NoExtraBet_noSpecialHit_100_WTIdx_0</t>
  </si>
  <si>
    <t>H015192-2.0.0.0/H015194-2.0.0.0</t>
  </si>
  <si>
    <t>v1/JHS101010_NoExtraBet_noSpecialHit_100_WTIdx_2</t>
  </si>
  <si>
    <t>v1/JHS101010_NoExtraBet_noSpecialHit_4000_WTIdx_0</t>
  </si>
  <si>
    <t>v1/JHS101010_NoExtraBet_noSpecialHit_4000_WTIdx_2</t>
  </si>
  <si>
    <r>
      <t>92 NB</t>
    </r>
    <r>
      <rPr>
        <sz val="10"/>
        <rFont val="DejaVu Sans"/>
        <family val="2"/>
      </rPr>
      <t>新手小於</t>
    </r>
    <r>
      <rPr>
        <sz val="10"/>
        <rFont val="Arial"/>
        <family val="2"/>
      </rPr>
      <t>2</t>
    </r>
    <r>
      <rPr>
        <sz val="10"/>
        <rFont val="DejaVu Sans"/>
        <family val="2"/>
      </rPr>
      <t xml:space="preserve">塊 </t>
    </r>
    <r>
      <rPr>
        <sz val="10"/>
        <rFont val="Arial"/>
        <family val="2"/>
      </rPr>
      <t>jp28.txt</t>
    </r>
  </si>
  <si>
    <r>
      <t>94 NB</t>
    </r>
    <r>
      <rPr>
        <sz val="10"/>
        <rFont val="DejaVu Sans"/>
        <family val="2"/>
      </rPr>
      <t>老手小於</t>
    </r>
    <r>
      <rPr>
        <sz val="10"/>
        <rFont val="Arial"/>
        <family val="2"/>
      </rPr>
      <t>2</t>
    </r>
    <r>
      <rPr>
        <sz val="10"/>
        <rFont val="DejaVu Sans"/>
        <family val="2"/>
      </rPr>
      <t xml:space="preserve">塊 </t>
    </r>
    <r>
      <rPr>
        <sz val="10"/>
        <rFont val="Arial"/>
        <family val="2"/>
      </rPr>
      <t>jp28.txt</t>
    </r>
  </si>
  <si>
    <r>
      <t>新手大於</t>
    </r>
    <r>
      <rPr>
        <sz val="10"/>
        <rFont val="Arial"/>
        <family val="2"/>
      </rPr>
      <t>2</t>
    </r>
    <r>
      <rPr>
        <sz val="10"/>
        <rFont val="DejaVu Sans"/>
        <family val="2"/>
      </rPr>
      <t>塊</t>
    </r>
    <r>
      <rPr>
        <sz val="10"/>
        <rFont val="Arial"/>
        <family val="2"/>
      </rPr>
      <t>.txt</t>
    </r>
  </si>
  <si>
    <r>
      <t>老手大於</t>
    </r>
    <r>
      <rPr>
        <sz val="10"/>
        <rFont val="Arial"/>
        <family val="2"/>
      </rPr>
      <t>2</t>
    </r>
    <r>
      <rPr>
        <sz val="10"/>
        <rFont val="DejaVu Sans"/>
        <family val="2"/>
      </rPr>
      <t>塊錢</t>
    </r>
    <r>
      <rPr>
        <sz val="10"/>
        <rFont val="Arial"/>
        <family val="2"/>
      </rPr>
      <t>.txt</t>
    </r>
  </si>
  <si>
    <r>
      <t>新手小於</t>
    </r>
    <r>
      <rPr>
        <sz val="10"/>
        <rFont val="Arial"/>
        <family val="2"/>
      </rPr>
      <t>2</t>
    </r>
    <r>
      <rPr>
        <sz val="10"/>
        <rFont val="DejaVu Sans"/>
        <family val="2"/>
      </rPr>
      <t>塊錢</t>
    </r>
    <r>
      <rPr>
        <sz val="10"/>
        <rFont val="Arial"/>
        <family val="2"/>
      </rPr>
      <t>.txt</t>
    </r>
  </si>
  <si>
    <r>
      <t>老手小於</t>
    </r>
    <r>
      <rPr>
        <sz val="10"/>
        <rFont val="Arial"/>
        <family val="2"/>
      </rPr>
      <t>2</t>
    </r>
    <r>
      <rPr>
        <sz val="10"/>
        <rFont val="DejaVu Sans"/>
        <family val="2"/>
      </rPr>
      <t>塊錢</t>
    </r>
    <r>
      <rPr>
        <sz val="10"/>
        <rFont val="Arial"/>
        <family val="2"/>
      </rPr>
      <t>.txt</t>
    </r>
  </si>
  <si>
    <r>
      <t>老手大於</t>
    </r>
    <r>
      <rPr>
        <sz val="10"/>
        <rFont val="Arial"/>
        <family val="2"/>
      </rPr>
      <t>2</t>
    </r>
    <r>
      <rPr>
        <sz val="10"/>
        <rFont val="DejaVu Sans"/>
        <family val="2"/>
      </rPr>
      <t>塊</t>
    </r>
    <r>
      <rPr>
        <sz val="10"/>
        <rFont val="Arial"/>
        <family val="2"/>
      </rPr>
      <t>.txt</t>
    </r>
  </si>
  <si>
    <t>SCR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</si>
</sst>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DejaVu Sans"/>
      <family val="2"/>
    </font>
    <font>
      <sz val="10"/>
      <name val="Arial"/>
      <family val="2"/>
    </font>
    <font>
      <sz val="10"/>
      <name val="DejaVu Sans"/>
      <family val="2"/>
    </font>
    <font>
      <sz val="9"/>
      <name val="細明體"/>
      <family val="3"/>
      <charset val="136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76" fontId="4" fillId="3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right" vertical="center"/>
    </xf>
    <xf numFmtId="176" fontId="1" fillId="0" borderId="1" xfId="0" applyNumberFormat="1" applyFont="1" applyBorder="1" applyAlignment="1">
      <alignment horizontal="right" vertical="center"/>
    </xf>
    <xf numFmtId="0" fontId="7" fillId="0" borderId="0" xfId="0" applyFont="1"/>
    <xf numFmtId="0" fontId="0" fillId="3" borderId="0" xfId="0" applyFill="1"/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AB16"/>
  <sheetViews>
    <sheetView tabSelected="1" topLeftCell="L1" zoomScaleNormal="100" workbookViewId="0">
      <pane ySplit="1" topLeftCell="A2" activePane="bottomLeft" state="frozen"/>
      <selection pane="bottomLeft" activeCell="AB2" sqref="AB2:AB3"/>
    </sheetView>
  </sheetViews>
  <sheetFormatPr defaultColWidth="8.6640625" defaultRowHeight="14.4"/>
  <cols>
    <col min="1" max="1" width="36" customWidth="1"/>
    <col min="2" max="2" width="13.33203125" customWidth="1"/>
    <col min="3" max="3" width="32" customWidth="1"/>
    <col min="4" max="4" width="14" customWidth="1"/>
    <col min="5" max="7" width="13" customWidth="1"/>
    <col min="8" max="8" width="22" customWidth="1"/>
    <col min="9" max="10" width="13" customWidth="1"/>
    <col min="11" max="11" width="22" customWidth="1"/>
    <col min="12" max="27" width="10" customWidth="1"/>
  </cols>
  <sheetData>
    <row r="1" spans="1:28" ht="31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53</v>
      </c>
    </row>
    <row r="2" spans="1:28">
      <c r="A2" s="3" t="s">
        <v>27</v>
      </c>
      <c r="B2" s="3" t="s">
        <v>28</v>
      </c>
      <c r="C2" s="3" t="s">
        <v>29</v>
      </c>
      <c r="D2" s="4">
        <v>1000000</v>
      </c>
      <c r="E2" s="5">
        <v>9.8200000000000002E-4</v>
      </c>
      <c r="F2" s="5">
        <v>0</v>
      </c>
      <c r="G2" s="5">
        <v>0.92449199999999998</v>
      </c>
      <c r="H2" s="5">
        <v>0.92547500000000005</v>
      </c>
      <c r="I2" s="7">
        <v>2.4183E-2</v>
      </c>
      <c r="J2" s="5">
        <v>0</v>
      </c>
      <c r="K2" s="5">
        <v>0.949658</v>
      </c>
      <c r="L2" s="4"/>
      <c r="M2" s="4"/>
      <c r="N2" s="4"/>
      <c r="O2" s="4">
        <v>913001</v>
      </c>
      <c r="P2" s="4">
        <v>84572</v>
      </c>
      <c r="Q2" s="4">
        <v>2390</v>
      </c>
      <c r="R2" s="4">
        <v>37</v>
      </c>
      <c r="S2" s="4"/>
      <c r="T2" s="4">
        <v>8476928</v>
      </c>
      <c r="U2" s="4">
        <v>1626116</v>
      </c>
      <c r="V2" s="4">
        <v>160826</v>
      </c>
      <c r="W2" s="4">
        <v>8882</v>
      </c>
      <c r="X2" s="4">
        <v>435</v>
      </c>
      <c r="Y2" s="4">
        <v>17</v>
      </c>
      <c r="Z2" s="4"/>
      <c r="AA2" s="4"/>
      <c r="AB2" s="12">
        <f t="shared" ref="AB2:AB7" si="0">SUM(M2:S2,U2:AA2)/D2</f>
        <v>2.7962760000000002</v>
      </c>
    </row>
    <row r="3" spans="1:28">
      <c r="A3" s="3" t="s">
        <v>30</v>
      </c>
      <c r="B3" s="3" t="s">
        <v>28</v>
      </c>
      <c r="C3" s="3" t="s">
        <v>29</v>
      </c>
      <c r="D3" s="4">
        <v>1000000</v>
      </c>
      <c r="E3" s="5">
        <v>1.0839999999999999E-3</v>
      </c>
      <c r="F3" s="5">
        <v>0</v>
      </c>
      <c r="G3" s="5">
        <v>0.92696900000000004</v>
      </c>
      <c r="H3" s="5">
        <v>0.92805300000000002</v>
      </c>
      <c r="I3" s="5">
        <v>1.5339999999999999E-2</v>
      </c>
      <c r="J3" s="5">
        <v>1.8332000000000001E-2</v>
      </c>
      <c r="K3" s="5">
        <v>0.96172599999999997</v>
      </c>
      <c r="L3" s="4"/>
      <c r="M3" s="4"/>
      <c r="N3" s="4"/>
      <c r="O3" s="4">
        <v>913049</v>
      </c>
      <c r="P3" s="4">
        <v>84526</v>
      </c>
      <c r="Q3" s="4">
        <v>2387</v>
      </c>
      <c r="R3" s="4">
        <v>38</v>
      </c>
      <c r="S3" s="4"/>
      <c r="T3" s="4">
        <v>8475535</v>
      </c>
      <c r="U3" s="4">
        <v>1626413</v>
      </c>
      <c r="V3" s="4">
        <v>160505</v>
      </c>
      <c r="W3" s="4">
        <v>8775</v>
      </c>
      <c r="X3" s="4">
        <v>405</v>
      </c>
      <c r="Y3" s="4">
        <v>15</v>
      </c>
      <c r="Z3" s="4"/>
      <c r="AA3" s="4"/>
      <c r="AB3" s="12">
        <f t="shared" si="0"/>
        <v>2.7961130000000001</v>
      </c>
    </row>
    <row r="4" spans="1:28">
      <c r="A4" s="3" t="s">
        <v>31</v>
      </c>
      <c r="B4" s="3" t="s">
        <v>28</v>
      </c>
      <c r="C4" s="3" t="s">
        <v>29</v>
      </c>
      <c r="D4" s="4">
        <v>10000000</v>
      </c>
      <c r="E4" s="5">
        <v>0.70735099999999995</v>
      </c>
      <c r="F4" s="5">
        <v>0</v>
      </c>
      <c r="G4" s="5">
        <v>0.223444</v>
      </c>
      <c r="H4" s="5">
        <v>0.93079500000000004</v>
      </c>
      <c r="I4" s="7">
        <v>3.1236E-2</v>
      </c>
      <c r="J4" s="5">
        <v>0</v>
      </c>
      <c r="K4" s="5">
        <v>0.96203099999999997</v>
      </c>
      <c r="L4" s="4">
        <v>8183562</v>
      </c>
      <c r="M4" s="4">
        <v>1521609</v>
      </c>
      <c r="N4" s="4">
        <v>251323</v>
      </c>
      <c r="O4" s="4">
        <v>40066</v>
      </c>
      <c r="P4" s="4">
        <v>3280</v>
      </c>
      <c r="Q4" s="4">
        <v>156</v>
      </c>
      <c r="R4" s="4">
        <v>4</v>
      </c>
      <c r="S4" s="4"/>
      <c r="T4" s="4">
        <v>368229</v>
      </c>
      <c r="U4" s="4">
        <v>70454</v>
      </c>
      <c r="V4" s="4">
        <v>6869</v>
      </c>
      <c r="W4" s="4">
        <v>339</v>
      </c>
      <c r="X4" s="4">
        <v>20</v>
      </c>
      <c r="Y4" s="4">
        <v>1</v>
      </c>
      <c r="Z4" s="4"/>
      <c r="AA4" s="4"/>
      <c r="AB4">
        <f t="shared" si="0"/>
        <v>0.1894121</v>
      </c>
    </row>
    <row r="5" spans="1:28">
      <c r="A5" s="3" t="s">
        <v>32</v>
      </c>
      <c r="B5" s="3" t="s">
        <v>28</v>
      </c>
      <c r="C5" s="3" t="s">
        <v>29</v>
      </c>
      <c r="D5" s="4">
        <v>10000000</v>
      </c>
      <c r="E5" s="5">
        <v>0.70601599999999998</v>
      </c>
      <c r="F5" s="5">
        <v>0</v>
      </c>
      <c r="G5" s="5">
        <v>0.22398599999999999</v>
      </c>
      <c r="H5" s="5">
        <v>0.930002</v>
      </c>
      <c r="I5" s="7">
        <v>3.1458E-2</v>
      </c>
      <c r="J5" s="5">
        <v>0</v>
      </c>
      <c r="K5" s="5">
        <v>0.96145999999999998</v>
      </c>
      <c r="L5" s="4">
        <v>8181186</v>
      </c>
      <c r="M5" s="4">
        <v>1522559</v>
      </c>
      <c r="N5" s="4">
        <v>252769</v>
      </c>
      <c r="O5" s="4">
        <v>39990</v>
      </c>
      <c r="P5" s="4">
        <v>3319</v>
      </c>
      <c r="Q5" s="4">
        <v>172</v>
      </c>
      <c r="R5" s="4">
        <v>5</v>
      </c>
      <c r="S5" s="4"/>
      <c r="T5" s="4">
        <v>368123</v>
      </c>
      <c r="U5" s="4">
        <v>70582</v>
      </c>
      <c r="V5" s="4">
        <v>6884</v>
      </c>
      <c r="W5" s="4">
        <v>354</v>
      </c>
      <c r="X5" s="4">
        <v>17</v>
      </c>
      <c r="Y5" s="4"/>
      <c r="Z5" s="4"/>
      <c r="AA5" s="4"/>
      <c r="AB5">
        <f t="shared" si="0"/>
        <v>0.1896651</v>
      </c>
    </row>
    <row r="6" spans="1:28">
      <c r="A6" s="3" t="s">
        <v>33</v>
      </c>
      <c r="B6" s="3" t="s">
        <v>28</v>
      </c>
      <c r="C6" s="3" t="s">
        <v>29</v>
      </c>
      <c r="D6" s="4">
        <v>10000000</v>
      </c>
      <c r="E6" s="5">
        <v>0.66647500000000004</v>
      </c>
      <c r="F6" s="5">
        <v>0</v>
      </c>
      <c r="G6" s="5">
        <v>0.24900900000000001</v>
      </c>
      <c r="H6" s="5">
        <v>0.91548399999999996</v>
      </c>
      <c r="I6" s="5">
        <v>1.9791E-2</v>
      </c>
      <c r="J6" s="5">
        <v>2.0768999999999999E-2</v>
      </c>
      <c r="K6" s="5">
        <v>0.956044</v>
      </c>
      <c r="L6" s="4">
        <v>8185161</v>
      </c>
      <c r="M6" s="4">
        <v>1520121</v>
      </c>
      <c r="N6" s="4">
        <v>251213</v>
      </c>
      <c r="O6" s="4">
        <v>39885</v>
      </c>
      <c r="P6" s="4">
        <v>3415</v>
      </c>
      <c r="Q6" s="4">
        <v>188</v>
      </c>
      <c r="R6" s="4">
        <v>17</v>
      </c>
      <c r="S6" s="4"/>
      <c r="T6" s="4">
        <v>369278</v>
      </c>
      <c r="U6" s="4">
        <v>70155</v>
      </c>
      <c r="V6" s="4">
        <v>6572</v>
      </c>
      <c r="W6" s="4">
        <v>342</v>
      </c>
      <c r="X6" s="4">
        <v>15</v>
      </c>
      <c r="Y6" s="4">
        <v>1</v>
      </c>
      <c r="Z6" s="4">
        <v>1</v>
      </c>
      <c r="AA6" s="4"/>
      <c r="AB6">
        <f t="shared" si="0"/>
        <v>0.18919250000000001</v>
      </c>
    </row>
    <row r="7" spans="1:28">
      <c r="A7" s="3" t="s">
        <v>34</v>
      </c>
      <c r="B7" s="3" t="s">
        <v>28</v>
      </c>
      <c r="C7" s="3" t="s">
        <v>29</v>
      </c>
      <c r="D7" s="4">
        <v>10000000</v>
      </c>
      <c r="E7" s="5">
        <v>0.66608999999999996</v>
      </c>
      <c r="F7" s="5">
        <v>0</v>
      </c>
      <c r="G7" s="5">
        <v>0.26705000000000001</v>
      </c>
      <c r="H7" s="5">
        <v>0.93313999999999997</v>
      </c>
      <c r="I7" s="7">
        <v>3.1224999999999999E-2</v>
      </c>
      <c r="J7" s="5">
        <v>0</v>
      </c>
      <c r="K7" s="5">
        <v>0.96436500000000003</v>
      </c>
      <c r="L7" s="4">
        <v>8183862</v>
      </c>
      <c r="M7" s="4">
        <v>1521181</v>
      </c>
      <c r="N7" s="4">
        <v>251682</v>
      </c>
      <c r="O7" s="4">
        <v>39670</v>
      </c>
      <c r="P7" s="4">
        <v>3390</v>
      </c>
      <c r="Q7" s="4">
        <v>200</v>
      </c>
      <c r="R7" s="4">
        <v>13</v>
      </c>
      <c r="S7" s="4">
        <v>2</v>
      </c>
      <c r="T7" s="4">
        <v>366907</v>
      </c>
      <c r="U7" s="4">
        <v>69888</v>
      </c>
      <c r="V7" s="4">
        <v>6831</v>
      </c>
      <c r="W7" s="4">
        <v>337</v>
      </c>
      <c r="X7" s="4">
        <v>12</v>
      </c>
      <c r="Y7" s="4">
        <v>3</v>
      </c>
      <c r="Z7" s="4"/>
      <c r="AA7" s="4"/>
      <c r="AB7">
        <f t="shared" si="0"/>
        <v>0.18932089999999999</v>
      </c>
    </row>
    <row r="8" spans="1:28">
      <c r="A8" s="3"/>
      <c r="B8" s="3"/>
      <c r="C8" s="3"/>
      <c r="D8" s="4"/>
      <c r="E8" s="5"/>
      <c r="F8" s="5"/>
      <c r="G8" s="5"/>
      <c r="H8" s="5"/>
      <c r="I8" s="5"/>
      <c r="J8" s="5"/>
      <c r="K8" s="5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8" s="11" customFormat="1">
      <c r="A9" s="8" t="s">
        <v>46</v>
      </c>
      <c r="B9" s="8" t="s">
        <v>35</v>
      </c>
      <c r="C9" s="8" t="s">
        <v>36</v>
      </c>
      <c r="D9" s="9">
        <v>10000000</v>
      </c>
      <c r="E9" s="10">
        <v>0.66701500000000002</v>
      </c>
      <c r="F9" s="10">
        <v>1.7302999999999999E-2</v>
      </c>
      <c r="G9" s="10">
        <v>0.24581</v>
      </c>
      <c r="H9" s="10">
        <v>0.93012799999999995</v>
      </c>
      <c r="I9" s="10">
        <v>2.6544999999999999E-2</v>
      </c>
      <c r="J9" s="10">
        <v>0</v>
      </c>
      <c r="K9" s="10">
        <v>0.956673</v>
      </c>
      <c r="L9" s="9">
        <v>6025794</v>
      </c>
      <c r="M9" s="9">
        <v>3125559</v>
      </c>
      <c r="N9" s="9">
        <v>679721</v>
      </c>
      <c r="O9" s="9">
        <v>132963</v>
      </c>
      <c r="P9" s="9">
        <v>29611</v>
      </c>
      <c r="Q9" s="9">
        <v>5800</v>
      </c>
      <c r="R9" s="9">
        <v>552</v>
      </c>
      <c r="S9" s="9"/>
      <c r="T9" s="9">
        <v>266747</v>
      </c>
      <c r="U9" s="9">
        <v>218146</v>
      </c>
      <c r="V9" s="9">
        <v>72708</v>
      </c>
      <c r="W9" s="9">
        <v>4384</v>
      </c>
      <c r="X9" s="9">
        <v>143</v>
      </c>
      <c r="Y9" s="9">
        <v>12</v>
      </c>
      <c r="Z9" s="9"/>
      <c r="AA9" s="9"/>
      <c r="AB9">
        <f t="shared" ref="AB9:AB16" si="1">SUM(M9:S9,U9:AA9)/D9</f>
        <v>0.4269599</v>
      </c>
    </row>
    <row r="10" spans="1:28" s="11" customFormat="1">
      <c r="A10" s="8" t="s">
        <v>47</v>
      </c>
      <c r="B10" s="8" t="s">
        <v>37</v>
      </c>
      <c r="C10" s="8" t="s">
        <v>36</v>
      </c>
      <c r="D10" s="9">
        <v>10000000</v>
      </c>
      <c r="E10" s="10">
        <v>0.69856600000000002</v>
      </c>
      <c r="F10" s="10">
        <v>1.0522999999999999E-2</v>
      </c>
      <c r="G10" s="10">
        <v>0.229738</v>
      </c>
      <c r="H10" s="10">
        <v>0.93882600000000005</v>
      </c>
      <c r="I10" s="10">
        <v>2.6634999999999999E-2</v>
      </c>
      <c r="J10" s="10">
        <v>0</v>
      </c>
      <c r="K10" s="10">
        <v>0.96546100000000001</v>
      </c>
      <c r="L10" s="9">
        <v>6037533</v>
      </c>
      <c r="M10" s="9">
        <v>3127027</v>
      </c>
      <c r="N10" s="9">
        <v>679549</v>
      </c>
      <c r="O10" s="9">
        <v>133803</v>
      </c>
      <c r="P10" s="9">
        <v>18139</v>
      </c>
      <c r="Q10" s="9">
        <v>3622</v>
      </c>
      <c r="R10" s="9">
        <v>327</v>
      </c>
      <c r="S10" s="9"/>
      <c r="T10" s="9">
        <v>164765</v>
      </c>
      <c r="U10" s="9">
        <v>133975</v>
      </c>
      <c r="V10" s="9">
        <v>44704</v>
      </c>
      <c r="W10" s="9">
        <v>2909</v>
      </c>
      <c r="X10" s="9">
        <v>110</v>
      </c>
      <c r="Y10" s="9">
        <v>12</v>
      </c>
      <c r="Z10" s="9"/>
      <c r="AA10" s="9"/>
      <c r="AB10">
        <f t="shared" si="1"/>
        <v>0.4144177</v>
      </c>
    </row>
    <row r="11" spans="1:28" s="11" customFormat="1">
      <c r="A11" s="6" t="s">
        <v>48</v>
      </c>
      <c r="B11" s="8" t="s">
        <v>38</v>
      </c>
      <c r="C11" s="8" t="s">
        <v>39</v>
      </c>
      <c r="D11" s="9">
        <v>10000000</v>
      </c>
      <c r="E11" s="10">
        <v>0.66758300000000004</v>
      </c>
      <c r="F11" s="10">
        <v>1.7121999999999998E-2</v>
      </c>
      <c r="G11" s="10">
        <v>0.245731</v>
      </c>
      <c r="H11" s="10">
        <v>0.93043600000000004</v>
      </c>
      <c r="I11" s="10">
        <v>2.6563E-2</v>
      </c>
      <c r="J11" s="10">
        <v>0</v>
      </c>
      <c r="K11" s="10">
        <v>0.95699900000000004</v>
      </c>
      <c r="L11" s="9">
        <v>6028568</v>
      </c>
      <c r="M11" s="9">
        <v>3123830</v>
      </c>
      <c r="N11" s="9">
        <v>679186</v>
      </c>
      <c r="O11" s="9">
        <v>132637</v>
      </c>
      <c r="P11" s="9">
        <v>29395</v>
      </c>
      <c r="Q11" s="9">
        <v>5846</v>
      </c>
      <c r="R11" s="9">
        <v>538</v>
      </c>
      <c r="S11" s="9"/>
      <c r="T11" s="9">
        <v>265588</v>
      </c>
      <c r="U11" s="9">
        <v>216406</v>
      </c>
      <c r="V11" s="9">
        <v>72471</v>
      </c>
      <c r="W11" s="9">
        <v>4252</v>
      </c>
      <c r="X11" s="9">
        <v>174</v>
      </c>
      <c r="Y11" s="9">
        <v>19</v>
      </c>
      <c r="Z11" s="9"/>
      <c r="AA11" s="9"/>
      <c r="AB11">
        <f t="shared" si="1"/>
        <v>0.4264754</v>
      </c>
    </row>
    <row r="12" spans="1:28" s="11" customFormat="1">
      <c r="A12" s="6" t="s">
        <v>49</v>
      </c>
      <c r="B12" s="8" t="s">
        <v>40</v>
      </c>
      <c r="C12" s="8" t="s">
        <v>39</v>
      </c>
      <c r="D12" s="9">
        <v>10000000</v>
      </c>
      <c r="E12" s="10">
        <v>0.69928500000000005</v>
      </c>
      <c r="F12" s="10">
        <v>1.0466E-2</v>
      </c>
      <c r="G12" s="10">
        <v>0.21335999999999999</v>
      </c>
      <c r="H12" s="10">
        <v>0.92311100000000001</v>
      </c>
      <c r="I12" s="10">
        <v>1.4963000000000001E-2</v>
      </c>
      <c r="J12" s="10">
        <v>2.384E-2</v>
      </c>
      <c r="K12" s="10">
        <v>0.96191400000000005</v>
      </c>
      <c r="L12" s="9">
        <v>6036810</v>
      </c>
      <c r="M12" s="9">
        <v>3126964</v>
      </c>
      <c r="N12" s="9">
        <v>681005</v>
      </c>
      <c r="O12" s="9">
        <v>132915</v>
      </c>
      <c r="P12" s="9">
        <v>18350</v>
      </c>
      <c r="Q12" s="9">
        <v>3642</v>
      </c>
      <c r="R12" s="9">
        <v>314</v>
      </c>
      <c r="S12" s="9"/>
      <c r="T12" s="9">
        <v>166156</v>
      </c>
      <c r="U12" s="9">
        <v>134969</v>
      </c>
      <c r="V12" s="9">
        <v>45153</v>
      </c>
      <c r="W12" s="9">
        <v>2796</v>
      </c>
      <c r="X12" s="9">
        <v>111</v>
      </c>
      <c r="Y12" s="9">
        <v>15</v>
      </c>
      <c r="Z12" s="9"/>
      <c r="AA12" s="9"/>
      <c r="AB12">
        <f t="shared" si="1"/>
        <v>0.41462339999999998</v>
      </c>
    </row>
    <row r="13" spans="1:28" s="11" customFormat="1">
      <c r="A13" s="6" t="s">
        <v>50</v>
      </c>
      <c r="B13" s="8" t="s">
        <v>41</v>
      </c>
      <c r="C13" s="8" t="s">
        <v>42</v>
      </c>
      <c r="D13" s="9">
        <v>10000000</v>
      </c>
      <c r="E13" s="10">
        <v>0.70494400000000002</v>
      </c>
      <c r="F13" s="10">
        <v>0</v>
      </c>
      <c r="G13" s="10">
        <v>0.225582</v>
      </c>
      <c r="H13" s="10">
        <v>0.93052500000000005</v>
      </c>
      <c r="I13" s="10">
        <v>3.0932000000000001E-2</v>
      </c>
      <c r="J13" s="10">
        <v>0</v>
      </c>
      <c r="K13" s="10">
        <v>0.96145700000000001</v>
      </c>
      <c r="L13" s="9">
        <v>8183881</v>
      </c>
      <c r="M13" s="9">
        <v>1520664</v>
      </c>
      <c r="N13" s="9">
        <v>251793</v>
      </c>
      <c r="O13" s="9">
        <v>40085</v>
      </c>
      <c r="P13" s="9">
        <v>3416</v>
      </c>
      <c r="Q13" s="9">
        <v>154</v>
      </c>
      <c r="R13" s="9">
        <v>7</v>
      </c>
      <c r="S13" s="9"/>
      <c r="T13" s="9">
        <v>369913</v>
      </c>
      <c r="U13" s="9">
        <v>70536</v>
      </c>
      <c r="V13" s="9">
        <v>6910</v>
      </c>
      <c r="W13" s="9">
        <v>339</v>
      </c>
      <c r="X13" s="9">
        <v>18</v>
      </c>
      <c r="Y13" s="9"/>
      <c r="Z13" s="9"/>
      <c r="AA13" s="9"/>
      <c r="AB13">
        <f t="shared" si="1"/>
        <v>0.18939220000000001</v>
      </c>
    </row>
    <row r="14" spans="1:28" s="11" customFormat="1">
      <c r="A14" s="6" t="s">
        <v>51</v>
      </c>
      <c r="B14" s="8" t="s">
        <v>43</v>
      </c>
      <c r="C14" s="8" t="s">
        <v>42</v>
      </c>
      <c r="D14" s="9">
        <v>10000000</v>
      </c>
      <c r="E14" s="10">
        <v>0.66572600000000004</v>
      </c>
      <c r="F14" s="10">
        <v>0</v>
      </c>
      <c r="G14" s="10">
        <v>0.269812</v>
      </c>
      <c r="H14" s="10">
        <v>0.93553799999999998</v>
      </c>
      <c r="I14" s="10">
        <v>3.0818999999999999E-2</v>
      </c>
      <c r="J14" s="10">
        <v>0</v>
      </c>
      <c r="K14" s="10">
        <v>0.96635700000000002</v>
      </c>
      <c r="L14" s="9">
        <v>8184186</v>
      </c>
      <c r="M14" s="9">
        <v>1520053</v>
      </c>
      <c r="N14" s="9">
        <v>252359</v>
      </c>
      <c r="O14" s="9">
        <v>39949</v>
      </c>
      <c r="P14" s="9">
        <v>3250</v>
      </c>
      <c r="Q14" s="9">
        <v>197</v>
      </c>
      <c r="R14" s="9">
        <v>6</v>
      </c>
      <c r="S14" s="9"/>
      <c r="T14" s="9">
        <v>367873</v>
      </c>
      <c r="U14" s="9">
        <v>69537</v>
      </c>
      <c r="V14" s="9">
        <v>6904</v>
      </c>
      <c r="W14" s="9">
        <v>298</v>
      </c>
      <c r="X14" s="9">
        <v>25</v>
      </c>
      <c r="Y14" s="9">
        <v>1</v>
      </c>
      <c r="Z14" s="9"/>
      <c r="AA14" s="9"/>
      <c r="AB14">
        <f t="shared" si="1"/>
        <v>0.18925790000000001</v>
      </c>
    </row>
    <row r="15" spans="1:28" s="11" customFormat="1">
      <c r="A15" s="6" t="s">
        <v>48</v>
      </c>
      <c r="B15" s="8" t="s">
        <v>44</v>
      </c>
      <c r="C15" s="8" t="s">
        <v>42</v>
      </c>
      <c r="D15" s="9">
        <v>10000000</v>
      </c>
      <c r="E15" s="10">
        <v>0.705951</v>
      </c>
      <c r="F15" s="10">
        <v>0</v>
      </c>
      <c r="G15" s="10">
        <v>0.22481599999999999</v>
      </c>
      <c r="H15" s="10">
        <v>0.93076599999999998</v>
      </c>
      <c r="I15" s="10">
        <v>3.1012000000000001E-2</v>
      </c>
      <c r="J15" s="10">
        <v>0</v>
      </c>
      <c r="K15" s="10">
        <v>0.96177800000000002</v>
      </c>
      <c r="L15" s="9">
        <v>8181248</v>
      </c>
      <c r="M15" s="9">
        <v>1522559</v>
      </c>
      <c r="N15" s="9">
        <v>252540</v>
      </c>
      <c r="O15" s="9">
        <v>40109</v>
      </c>
      <c r="P15" s="9">
        <v>3373</v>
      </c>
      <c r="Q15" s="9">
        <v>164</v>
      </c>
      <c r="R15" s="9">
        <v>6</v>
      </c>
      <c r="S15" s="9">
        <v>1</v>
      </c>
      <c r="T15" s="9">
        <v>369931</v>
      </c>
      <c r="U15" s="9">
        <v>70417</v>
      </c>
      <c r="V15" s="9">
        <v>7071</v>
      </c>
      <c r="W15" s="9">
        <v>352</v>
      </c>
      <c r="X15" s="9">
        <v>25</v>
      </c>
      <c r="Y15" s="9"/>
      <c r="Z15" s="9"/>
      <c r="AA15" s="9"/>
      <c r="AB15">
        <f t="shared" si="1"/>
        <v>0.18966169999999999</v>
      </c>
    </row>
    <row r="16" spans="1:28" s="11" customFormat="1">
      <c r="A16" s="6" t="s">
        <v>52</v>
      </c>
      <c r="B16" s="8" t="s">
        <v>45</v>
      </c>
      <c r="C16" s="8" t="s">
        <v>42</v>
      </c>
      <c r="D16" s="9">
        <v>10000000</v>
      </c>
      <c r="E16" s="10">
        <v>0.66927800000000004</v>
      </c>
      <c r="F16" s="10">
        <v>0</v>
      </c>
      <c r="G16" s="10">
        <v>0.24967</v>
      </c>
      <c r="H16" s="10">
        <v>0.91894799999999999</v>
      </c>
      <c r="I16" s="10">
        <v>1.9359000000000001E-2</v>
      </c>
      <c r="J16" s="10">
        <v>4.0362000000000002E-2</v>
      </c>
      <c r="K16" s="10">
        <v>0.97866900000000001</v>
      </c>
      <c r="L16" s="9">
        <v>8184810</v>
      </c>
      <c r="M16" s="9">
        <v>1520493</v>
      </c>
      <c r="N16" s="9">
        <v>251151</v>
      </c>
      <c r="O16" s="9">
        <v>39941</v>
      </c>
      <c r="P16" s="9">
        <v>3412</v>
      </c>
      <c r="Q16" s="9">
        <v>187</v>
      </c>
      <c r="R16" s="9">
        <v>6</v>
      </c>
      <c r="S16" s="9"/>
      <c r="T16" s="9">
        <v>369003</v>
      </c>
      <c r="U16" s="9">
        <v>70156</v>
      </c>
      <c r="V16" s="9">
        <v>6738</v>
      </c>
      <c r="W16" s="9">
        <v>297</v>
      </c>
      <c r="X16" s="9">
        <v>13</v>
      </c>
      <c r="Y16" s="9">
        <v>1</v>
      </c>
      <c r="Z16" s="9"/>
      <c r="AA16" s="9"/>
      <c r="AB16">
        <f t="shared" si="1"/>
        <v>0.1892395</v>
      </c>
    </row>
  </sheetData>
  <autoFilter ref="A1:AA1" xr:uid="{00000000-0009-0000-0000-000000000000}"/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RTP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沈宏羲</cp:lastModifiedBy>
  <cp:revision>0</cp:revision>
  <dcterms:created xsi:type="dcterms:W3CDTF">2026-04-29T01:52:05Z</dcterms:created>
  <dcterms:modified xsi:type="dcterms:W3CDTF">2026-04-29T02:58:03Z</dcterms:modified>
  <dc:language>en-US</dc:language>
</cp:coreProperties>
</file>