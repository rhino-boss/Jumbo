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AppData\Roaming\Claude\local-agent-mode-sessions\22570f4f-5b7a-4da6-8718-20437417cab6\b56e5ab1-77c9-4a40-bc6d-885bceed752d\local_db75a69f-62e0-45fd-84bc-3b653aa6607f\outputs\"/>
    </mc:Choice>
  </mc:AlternateContent>
  <xr:revisionPtr revIDLastSave="0" documentId="13_ncr:1_{DFFEE240-118D-4480-BB42-38C7B0D885B5}" xr6:coauthVersionLast="47" xr6:coauthVersionMax="47" xr10:uidLastSave="{00000000-0000-0000-0000-000000000000}"/>
  <bookViews>
    <workbookView xWindow="4764" yWindow="1068" windowWidth="16452" windowHeight="11808" tabRatio="500" xr2:uid="{00000000-000D-0000-FFFF-FFFF00000000}"/>
  </bookViews>
  <sheets>
    <sheet name="RTP Summary" sheetId="1" r:id="rId1"/>
  </sheets>
  <definedNames>
    <definedName name="_xlnm._FilterDatabase" localSheetId="0" hidden="1">'RTP Summary'!$A$1:$AA$1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1" l="1"/>
  <c r="B14" i="1"/>
  <c r="B15" i="1"/>
  <c r="B16" i="1"/>
  <c r="B17" i="1"/>
  <c r="B18" i="1"/>
  <c r="B19" i="1"/>
  <c r="B12" i="1"/>
</calcChain>
</file>

<file path=xl/sharedStrings.xml><?xml version="1.0" encoding="utf-8"?>
<sst xmlns="http://schemas.openxmlformats.org/spreadsheetml/2006/main" count="59" uniqueCount="45">
  <si>
    <r>
      <rPr>
        <b/>
        <sz val="11"/>
        <color rgb="FFFFFFFF"/>
        <rFont val="Arial"/>
        <family val="2"/>
      </rPr>
      <t xml:space="preserve">txt </t>
    </r>
    <r>
      <rPr>
        <b/>
        <sz val="11"/>
        <color rgb="FFFFFFFF"/>
        <rFont val="DejaVu Sans"/>
        <family val="2"/>
      </rPr>
      <t>名稱</t>
    </r>
  </si>
  <si>
    <t>資料夾</t>
  </si>
  <si>
    <t>version</t>
  </si>
  <si>
    <t>TotalSpin</t>
  </si>
  <si>
    <t>BaseGameRtp</t>
  </si>
  <si>
    <t>ScatterRtp</t>
  </si>
  <si>
    <t>FreeGameRtp</t>
  </si>
  <si>
    <t>TotalRtp (excl. JP/bonus)</t>
  </si>
  <si>
    <t>BonusJP Rtp</t>
  </si>
  <si>
    <t>LinkJP Rtp</t>
  </si>
  <si>
    <t>TotalRtp (incl. JP/bonus)</t>
  </si>
  <si>
    <t>bgC1Count=0</t>
  </si>
  <si>
    <t>bgC1Count=1</t>
  </si>
  <si>
    <t>bgC1Count=2</t>
  </si>
  <si>
    <t>bgC1Count=3</t>
  </si>
  <si>
    <t>bgC1Count=4</t>
  </si>
  <si>
    <t>bgC1Count=5</t>
  </si>
  <si>
    <t>bgC1Count=6</t>
  </si>
  <si>
    <t>bgC1Count=7</t>
  </si>
  <si>
    <t>fgC1Count=0</t>
  </si>
  <si>
    <t>fgC1Count=1</t>
  </si>
  <si>
    <t>fgC1Count=2</t>
  </si>
  <si>
    <t>fgC1Count=3</t>
  </si>
  <si>
    <t>fgC1Count=4</t>
  </si>
  <si>
    <t>fgC1Count=5</t>
  </si>
  <si>
    <t>fgC1Count=6</t>
  </si>
  <si>
    <t>fgC1Count=7</t>
  </si>
  <si>
    <t>JHS101006_NoExtraBet_noSpecialHit_100_WTIdx_0</t>
  </si>
  <si>
    <t>H019192-2.0.0.8</t>
  </si>
  <si>
    <r>
      <rPr>
        <sz val="10"/>
        <rFont val="Arial"/>
        <family val="2"/>
      </rPr>
      <t>94 NB</t>
    </r>
    <r>
      <rPr>
        <sz val="10"/>
        <rFont val="DejaVu Sans"/>
        <family val="2"/>
      </rPr>
      <t>老手小於</t>
    </r>
    <r>
      <rPr>
        <sz val="10"/>
        <rFont val="Arial"/>
        <family val="2"/>
      </rPr>
      <t>2</t>
    </r>
    <r>
      <rPr>
        <sz val="10"/>
        <rFont val="DejaVu Sans"/>
        <family val="2"/>
      </rPr>
      <t xml:space="preserve">塊 </t>
    </r>
    <r>
      <rPr>
        <sz val="10"/>
        <rFont val="Arial"/>
        <family val="2"/>
      </rPr>
      <t>jp28.txt</t>
    </r>
  </si>
  <si>
    <t>JHS101006_NoExtraBet_noSpecialHit_100_WTIdx_2</t>
  </si>
  <si>
    <r>
      <rPr>
        <sz val="10"/>
        <rFont val="DejaVu Sans"/>
        <family val="2"/>
      </rPr>
      <t>新手大於</t>
    </r>
    <r>
      <rPr>
        <sz val="10"/>
        <rFont val="Arial"/>
        <family val="2"/>
      </rPr>
      <t>2</t>
    </r>
    <r>
      <rPr>
        <sz val="10"/>
        <rFont val="DejaVu Sans"/>
        <family val="2"/>
      </rPr>
      <t>塊</t>
    </r>
    <r>
      <rPr>
        <sz val="10"/>
        <rFont val="Arial"/>
        <family val="2"/>
      </rPr>
      <t>.txt</t>
    </r>
  </si>
  <si>
    <t>JHS101006_NoExtraBet_noSpecialHit_4000_WTIdx_0</t>
  </si>
  <si>
    <t>H019192-3.0.0.1/H019194-3.0.0.1</t>
  </si>
  <si>
    <r>
      <rPr>
        <sz val="10"/>
        <rFont val="DejaVu Sans"/>
        <family val="2"/>
      </rPr>
      <t>老手大於</t>
    </r>
    <r>
      <rPr>
        <sz val="10"/>
        <rFont val="Arial"/>
        <family val="2"/>
      </rPr>
      <t>2</t>
    </r>
    <r>
      <rPr>
        <sz val="10"/>
        <rFont val="DejaVu Sans"/>
        <family val="2"/>
      </rPr>
      <t>塊錢</t>
    </r>
    <r>
      <rPr>
        <sz val="10"/>
        <rFont val="Arial"/>
        <family val="2"/>
      </rPr>
      <t>.txt</t>
    </r>
  </si>
  <si>
    <t>JHS101006_NoExtraBet_noSpecialHit_4000_WTIdx_2</t>
  </si>
  <si>
    <r>
      <rPr>
        <sz val="10"/>
        <rFont val="DejaVu Sans"/>
        <family val="2"/>
      </rPr>
      <t>新手小於</t>
    </r>
    <r>
      <rPr>
        <sz val="10"/>
        <rFont val="Arial"/>
        <family val="2"/>
      </rPr>
      <t>2</t>
    </r>
    <r>
      <rPr>
        <sz val="10"/>
        <rFont val="DejaVu Sans"/>
        <family val="2"/>
      </rPr>
      <t>塊錢</t>
    </r>
    <r>
      <rPr>
        <sz val="10"/>
        <rFont val="Arial"/>
        <family val="2"/>
      </rPr>
      <t>.txt</t>
    </r>
  </si>
  <si>
    <t>JHS101010_NoExtraBet_noSpecialHit_100_WTIdx_0</t>
  </si>
  <si>
    <t>H015192-2.0.0.0/H015194-2.0.0.0</t>
  </si>
  <si>
    <r>
      <rPr>
        <sz val="10"/>
        <rFont val="DejaVu Sans"/>
        <family val="2"/>
      </rPr>
      <t>老手小於</t>
    </r>
    <r>
      <rPr>
        <sz val="10"/>
        <rFont val="Arial"/>
        <family val="2"/>
      </rPr>
      <t>2</t>
    </r>
    <r>
      <rPr>
        <sz val="10"/>
        <rFont val="DejaVu Sans"/>
        <family val="2"/>
      </rPr>
      <t>塊錢</t>
    </r>
    <r>
      <rPr>
        <sz val="10"/>
        <rFont val="Arial"/>
        <family val="2"/>
      </rPr>
      <t>.txt</t>
    </r>
  </si>
  <si>
    <t>JHS101010_NoExtraBet_noSpecialHit_100_WTIdx_2</t>
  </si>
  <si>
    <r>
      <rPr>
        <sz val="10"/>
        <rFont val="DejaVu Sans"/>
        <family val="2"/>
      </rPr>
      <t>老手大於</t>
    </r>
    <r>
      <rPr>
        <sz val="10"/>
        <rFont val="Arial"/>
        <family val="2"/>
      </rPr>
      <t>2</t>
    </r>
    <r>
      <rPr>
        <sz val="10"/>
        <rFont val="DejaVu Sans"/>
        <family val="2"/>
      </rPr>
      <t>塊</t>
    </r>
    <r>
      <rPr>
        <sz val="10"/>
        <rFont val="Arial"/>
        <family val="2"/>
      </rPr>
      <t>.txt</t>
    </r>
  </si>
  <si>
    <t>JHS101010_NoExtraBet_noSpecialHit_4000_WTIdx_2</t>
  </si>
  <si>
    <r>
      <rPr>
        <sz val="10"/>
        <rFont val="Arial"/>
        <family val="2"/>
      </rPr>
      <t>92 NB</t>
    </r>
    <r>
      <rPr>
        <sz val="10"/>
        <rFont val="微軟正黑體"/>
        <family val="2"/>
        <charset val="136"/>
      </rPr>
      <t>新手小於</t>
    </r>
    <r>
      <rPr>
        <sz val="10"/>
        <rFont val="Arial"/>
        <family val="2"/>
      </rPr>
      <t>2</t>
    </r>
    <r>
      <rPr>
        <sz val="10"/>
        <rFont val="微軟正黑體"/>
        <family val="2"/>
        <charset val="136"/>
      </rPr>
      <t>塊</t>
    </r>
    <r>
      <rPr>
        <sz val="10"/>
        <rFont val="Arial"/>
        <family val="2"/>
      </rPr>
      <t xml:space="preserve"> jp28.txt</t>
    </r>
    <phoneticPr fontId="6" type="noConversion"/>
  </si>
  <si>
    <t>JHS101010_NoExtraBet_noSpecialHit_4000_WTIdx_0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</si>
</sst>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#,##0.00000000"/>
  </numFmts>
  <fonts count="8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DejaVu Sans"/>
      <family val="2"/>
    </font>
    <font>
      <sz val="10"/>
      <name val="Arial"/>
      <family val="2"/>
    </font>
    <font>
      <sz val="10"/>
      <name val="DejaVu Sans"/>
      <family val="2"/>
    </font>
    <font>
      <sz val="9"/>
      <name val="細明體"/>
      <family val="3"/>
      <charset val="136"/>
    </font>
    <font>
      <sz val="1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3" fontId="0" fillId="0" borderId="0" xfId="0" applyNumberFormat="1"/>
    <xf numFmtId="0" fontId="5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83" fontId="0" fillId="0" borderId="2" xfId="0" applyNumberFormat="1" applyBorder="1"/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3" fontId="4" fillId="0" borderId="4" xfId="0" applyNumberFormat="1" applyFont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10" fontId="1" fillId="0" borderId="2" xfId="1" applyNumberFormat="1" applyBorder="1" applyAlignment="1">
      <alignment horizontal="right" vertical="center"/>
    </xf>
    <xf numFmtId="10" fontId="1" fillId="0" borderId="3" xfId="1" applyNumberFormat="1" applyBorder="1" applyAlignment="1">
      <alignment horizontal="right" vertical="center"/>
    </xf>
    <xf numFmtId="10" fontId="1" fillId="0" borderId="1" xfId="1" applyNumberFormat="1" applyBorder="1" applyAlignment="1">
      <alignment horizontal="right" vertical="center"/>
    </xf>
    <xf numFmtId="10" fontId="1" fillId="3" borderId="2" xfId="1" applyNumberFormat="1" applyFill="1" applyBorder="1" applyAlignment="1">
      <alignment horizontal="right" vertical="center"/>
    </xf>
    <xf numFmtId="10" fontId="1" fillId="3" borderId="3" xfId="1" applyNumberFormat="1" applyFill="1" applyBorder="1" applyAlignment="1">
      <alignment horizontal="right" vertical="center"/>
    </xf>
    <xf numFmtId="10" fontId="1" fillId="3" borderId="1" xfId="1" applyNumberFormat="1" applyFill="1" applyBorder="1" applyAlignment="1">
      <alignment horizontal="right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"/>
  <sheetViews>
    <sheetView tabSelected="1" zoomScaleNormal="100" workbookViewId="0">
      <pane ySplit="1" topLeftCell="A2" activePane="bottomLeft" state="frozen"/>
      <selection pane="bottomLeft" activeCell="B9" sqref="B6:B9"/>
    </sheetView>
  </sheetViews>
  <sheetFormatPr defaultColWidth="8.6640625" defaultRowHeight="14.4"/>
  <cols>
    <col min="1" max="1" width="24.33203125" bestFit="1" customWidth="1"/>
    <col min="2" max="2" width="30.44140625" customWidth="1"/>
    <col min="3" max="3" width="30.5546875" customWidth="1"/>
    <col min="4" max="11" width="12" customWidth="1"/>
    <col min="12" max="27" width="13" customWidth="1"/>
  </cols>
  <sheetData>
    <row r="1" spans="1:27" ht="31.5" customHeight="1">
      <c r="A1" s="13" t="s">
        <v>0</v>
      </c>
      <c r="B1" s="14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8" t="s">
        <v>43</v>
      </c>
      <c r="B2" s="10" t="s">
        <v>27</v>
      </c>
      <c r="C2" s="10" t="s">
        <v>28</v>
      </c>
      <c r="D2" s="17">
        <v>10000000</v>
      </c>
      <c r="E2" s="18">
        <v>0.66701500000000002</v>
      </c>
      <c r="F2" s="18">
        <v>1.7302999999999999E-2</v>
      </c>
      <c r="G2" s="18">
        <v>0.24581</v>
      </c>
      <c r="H2" s="18">
        <v>0.93012799999999995</v>
      </c>
      <c r="I2" s="21">
        <v>2.6544999999999999E-2</v>
      </c>
      <c r="J2" s="21">
        <v>0</v>
      </c>
      <c r="K2" s="18">
        <v>0.956673</v>
      </c>
      <c r="L2" s="17">
        <v>6025794</v>
      </c>
      <c r="M2" s="17">
        <v>3125559</v>
      </c>
      <c r="N2" s="17">
        <v>679721</v>
      </c>
      <c r="O2" s="17">
        <v>132963</v>
      </c>
      <c r="P2" s="17">
        <v>29611</v>
      </c>
      <c r="Q2" s="17">
        <v>5800</v>
      </c>
      <c r="R2" s="17">
        <v>552</v>
      </c>
      <c r="S2" s="12"/>
      <c r="T2" s="3">
        <v>266747</v>
      </c>
      <c r="U2" s="3">
        <v>218146</v>
      </c>
      <c r="V2" s="3">
        <v>72708</v>
      </c>
      <c r="W2" s="3">
        <v>4384</v>
      </c>
      <c r="X2" s="3">
        <v>143</v>
      </c>
      <c r="Y2" s="3">
        <v>12</v>
      </c>
      <c r="Z2" s="3"/>
      <c r="AA2" s="3"/>
    </row>
    <row r="3" spans="1:27">
      <c r="A3" s="10" t="s">
        <v>29</v>
      </c>
      <c r="B3" s="10" t="s">
        <v>30</v>
      </c>
      <c r="C3" s="10" t="s">
        <v>28</v>
      </c>
      <c r="D3" s="17">
        <v>10000000</v>
      </c>
      <c r="E3" s="18">
        <v>0.69856600000000002</v>
      </c>
      <c r="F3" s="18">
        <v>1.0522999999999999E-2</v>
      </c>
      <c r="G3" s="18">
        <v>0.229738</v>
      </c>
      <c r="H3" s="18">
        <v>0.93882600000000005</v>
      </c>
      <c r="I3" s="21">
        <v>2.6634999999999999E-2</v>
      </c>
      <c r="J3" s="21">
        <v>0</v>
      </c>
      <c r="K3" s="18">
        <v>0.96546100000000001</v>
      </c>
      <c r="L3" s="17">
        <v>6037533</v>
      </c>
      <c r="M3" s="17">
        <v>3127027</v>
      </c>
      <c r="N3" s="17">
        <v>679549</v>
      </c>
      <c r="O3" s="17">
        <v>133803</v>
      </c>
      <c r="P3" s="17">
        <v>18139</v>
      </c>
      <c r="Q3" s="17">
        <v>3622</v>
      </c>
      <c r="R3" s="17">
        <v>327</v>
      </c>
      <c r="S3" s="12"/>
      <c r="T3" s="3">
        <v>164765</v>
      </c>
      <c r="U3" s="3">
        <v>133975</v>
      </c>
      <c r="V3" s="3">
        <v>44704</v>
      </c>
      <c r="W3" s="3">
        <v>2909</v>
      </c>
      <c r="X3" s="3">
        <v>110</v>
      </c>
      <c r="Y3" s="3">
        <v>12</v>
      </c>
      <c r="Z3" s="3"/>
      <c r="AA3" s="3"/>
    </row>
    <row r="4" spans="1:27">
      <c r="A4" s="11" t="s">
        <v>31</v>
      </c>
      <c r="B4" s="10" t="s">
        <v>32</v>
      </c>
      <c r="C4" s="10" t="s">
        <v>33</v>
      </c>
      <c r="D4" s="17">
        <v>10000000</v>
      </c>
      <c r="E4" s="18">
        <v>0.66758300000000004</v>
      </c>
      <c r="F4" s="18">
        <v>1.7121999999999998E-2</v>
      </c>
      <c r="G4" s="18">
        <v>0.245731</v>
      </c>
      <c r="H4" s="18">
        <v>0.93043600000000004</v>
      </c>
      <c r="I4" s="21">
        <v>2.6563E-2</v>
      </c>
      <c r="J4" s="21">
        <v>0</v>
      </c>
      <c r="K4" s="18">
        <v>0.95699900000000004</v>
      </c>
      <c r="L4" s="17">
        <v>6028568</v>
      </c>
      <c r="M4" s="17">
        <v>3123830</v>
      </c>
      <c r="N4" s="17">
        <v>679186</v>
      </c>
      <c r="O4" s="17">
        <v>132637</v>
      </c>
      <c r="P4" s="17">
        <v>29395</v>
      </c>
      <c r="Q4" s="17">
        <v>5846</v>
      </c>
      <c r="R4" s="17">
        <v>538</v>
      </c>
      <c r="S4" s="12"/>
      <c r="T4" s="3">
        <v>265588</v>
      </c>
      <c r="U4" s="3">
        <v>216406</v>
      </c>
      <c r="V4" s="3">
        <v>72471</v>
      </c>
      <c r="W4" s="3">
        <v>4252</v>
      </c>
      <c r="X4" s="3">
        <v>174</v>
      </c>
      <c r="Y4" s="3">
        <v>19</v>
      </c>
      <c r="Z4" s="3"/>
      <c r="AA4" s="3"/>
    </row>
    <row r="5" spans="1:27">
      <c r="A5" s="11" t="s">
        <v>34</v>
      </c>
      <c r="B5" s="10" t="s">
        <v>35</v>
      </c>
      <c r="C5" s="10" t="s">
        <v>33</v>
      </c>
      <c r="D5" s="17">
        <v>10000000</v>
      </c>
      <c r="E5" s="18">
        <v>0.69928500000000005</v>
      </c>
      <c r="F5" s="18">
        <v>1.0466E-2</v>
      </c>
      <c r="G5" s="18">
        <v>0.21335999999999999</v>
      </c>
      <c r="H5" s="18">
        <v>0.92311100000000001</v>
      </c>
      <c r="I5" s="21">
        <v>1.4963000000000001E-2</v>
      </c>
      <c r="J5" s="21">
        <v>2.384E-2</v>
      </c>
      <c r="K5" s="18">
        <v>0.96191400000000005</v>
      </c>
      <c r="L5" s="17">
        <v>6036810</v>
      </c>
      <c r="M5" s="17">
        <v>3126964</v>
      </c>
      <c r="N5" s="17">
        <v>681005</v>
      </c>
      <c r="O5" s="17">
        <v>132915</v>
      </c>
      <c r="P5" s="17">
        <v>18350</v>
      </c>
      <c r="Q5" s="17">
        <v>3642</v>
      </c>
      <c r="R5" s="17">
        <v>314</v>
      </c>
      <c r="S5" s="12"/>
      <c r="T5" s="3">
        <v>166156</v>
      </c>
      <c r="U5" s="3">
        <v>134969</v>
      </c>
      <c r="V5" s="3">
        <v>45153</v>
      </c>
      <c r="W5" s="3">
        <v>2796</v>
      </c>
      <c r="X5" s="3">
        <v>111</v>
      </c>
      <c r="Y5" s="3">
        <v>15</v>
      </c>
      <c r="Z5" s="3"/>
      <c r="AA5" s="3"/>
    </row>
    <row r="6" spans="1:27">
      <c r="A6" s="7" t="s">
        <v>36</v>
      </c>
      <c r="B6" s="15" t="s">
        <v>37</v>
      </c>
      <c r="C6" s="15" t="s">
        <v>38</v>
      </c>
      <c r="D6" s="16">
        <v>10000000</v>
      </c>
      <c r="E6" s="19">
        <v>0.70494400000000002</v>
      </c>
      <c r="F6" s="19">
        <v>0</v>
      </c>
      <c r="G6" s="19">
        <v>0.225582</v>
      </c>
      <c r="H6" s="19">
        <v>0.93052500000000005</v>
      </c>
      <c r="I6" s="22">
        <v>3.0932000000000001E-2</v>
      </c>
      <c r="J6" s="22">
        <v>0</v>
      </c>
      <c r="K6" s="19">
        <v>0.96145700000000001</v>
      </c>
      <c r="L6" s="16">
        <v>8183881</v>
      </c>
      <c r="M6" s="16">
        <v>1520664</v>
      </c>
      <c r="N6" s="16">
        <v>251793</v>
      </c>
      <c r="O6" s="16">
        <v>40085</v>
      </c>
      <c r="P6" s="16">
        <v>3416</v>
      </c>
      <c r="Q6" s="16">
        <v>154</v>
      </c>
      <c r="R6" s="16">
        <v>7</v>
      </c>
      <c r="S6" s="3"/>
      <c r="T6" s="3">
        <v>369913</v>
      </c>
      <c r="U6" s="3">
        <v>70536</v>
      </c>
      <c r="V6" s="3">
        <v>6910</v>
      </c>
      <c r="W6" s="3">
        <v>339</v>
      </c>
      <c r="X6" s="3">
        <v>18</v>
      </c>
      <c r="Y6" s="3"/>
      <c r="Z6" s="3"/>
      <c r="AA6" s="3"/>
    </row>
    <row r="7" spans="1:27">
      <c r="A7" s="4" t="s">
        <v>39</v>
      </c>
      <c r="B7" s="2" t="s">
        <v>40</v>
      </c>
      <c r="C7" s="2" t="s">
        <v>38</v>
      </c>
      <c r="D7" s="3">
        <v>10000000</v>
      </c>
      <c r="E7" s="20">
        <v>0.66572600000000004</v>
      </c>
      <c r="F7" s="20">
        <v>0</v>
      </c>
      <c r="G7" s="20">
        <v>0.269812</v>
      </c>
      <c r="H7" s="20">
        <v>0.93553799999999998</v>
      </c>
      <c r="I7" s="23">
        <v>3.0818999999999999E-2</v>
      </c>
      <c r="J7" s="23">
        <v>0</v>
      </c>
      <c r="K7" s="20">
        <v>0.96635700000000002</v>
      </c>
      <c r="L7" s="3">
        <v>8184186</v>
      </c>
      <c r="M7" s="3">
        <v>1520053</v>
      </c>
      <c r="N7" s="3">
        <v>252359</v>
      </c>
      <c r="O7" s="3">
        <v>39949</v>
      </c>
      <c r="P7" s="3">
        <v>3250</v>
      </c>
      <c r="Q7" s="3">
        <v>197</v>
      </c>
      <c r="R7" s="3">
        <v>6</v>
      </c>
      <c r="S7" s="3"/>
      <c r="T7" s="3">
        <v>367873</v>
      </c>
      <c r="U7" s="3">
        <v>69537</v>
      </c>
      <c r="V7" s="3">
        <v>6904</v>
      </c>
      <c r="W7" s="3">
        <v>298</v>
      </c>
      <c r="X7" s="3">
        <v>25</v>
      </c>
      <c r="Y7" s="3">
        <v>1</v>
      </c>
      <c r="Z7" s="3"/>
      <c r="AA7" s="3"/>
    </row>
    <row r="8" spans="1:27">
      <c r="A8" s="4" t="s">
        <v>31</v>
      </c>
      <c r="B8" s="5" t="s">
        <v>44</v>
      </c>
      <c r="C8" s="2" t="s">
        <v>38</v>
      </c>
      <c r="D8" s="3">
        <v>10000000</v>
      </c>
      <c r="E8" s="20">
        <v>0.705951</v>
      </c>
      <c r="F8" s="20">
        <v>0</v>
      </c>
      <c r="G8" s="20">
        <v>0.22481599999999999</v>
      </c>
      <c r="H8" s="20">
        <v>0.93076599999999998</v>
      </c>
      <c r="I8" s="23">
        <v>3.1012000000000001E-2</v>
      </c>
      <c r="J8" s="23">
        <v>0</v>
      </c>
      <c r="K8" s="20">
        <v>0.96177800000000002</v>
      </c>
      <c r="L8" s="3">
        <v>8181248</v>
      </c>
      <c r="M8" s="3">
        <v>1522559</v>
      </c>
      <c r="N8" s="3">
        <v>252540</v>
      </c>
      <c r="O8" s="3">
        <v>40109</v>
      </c>
      <c r="P8" s="3">
        <v>3373</v>
      </c>
      <c r="Q8" s="3">
        <v>164</v>
      </c>
      <c r="R8" s="3">
        <v>6</v>
      </c>
      <c r="S8" s="3">
        <v>1</v>
      </c>
      <c r="T8" s="3">
        <v>369931</v>
      </c>
      <c r="U8" s="3">
        <v>70417</v>
      </c>
      <c r="V8" s="3">
        <v>7071</v>
      </c>
      <c r="W8" s="3">
        <v>352</v>
      </c>
      <c r="X8" s="3">
        <v>25</v>
      </c>
      <c r="Y8" s="3"/>
      <c r="Z8" s="3"/>
      <c r="AA8" s="3"/>
    </row>
    <row r="9" spans="1:27">
      <c r="A9" s="4" t="s">
        <v>41</v>
      </c>
      <c r="B9" s="2" t="s">
        <v>42</v>
      </c>
      <c r="C9" s="2" t="s">
        <v>38</v>
      </c>
      <c r="D9" s="3">
        <v>10000000</v>
      </c>
      <c r="E9" s="20">
        <v>0.66927800000000004</v>
      </c>
      <c r="F9" s="20">
        <v>0</v>
      </c>
      <c r="G9" s="20">
        <v>0.24967</v>
      </c>
      <c r="H9" s="20">
        <v>0.91894799999999999</v>
      </c>
      <c r="I9" s="23">
        <v>1.9359000000000001E-2</v>
      </c>
      <c r="J9" s="23">
        <v>4.0362000000000002E-2</v>
      </c>
      <c r="K9" s="20">
        <v>0.97866900000000001</v>
      </c>
      <c r="L9" s="3">
        <v>8184810</v>
      </c>
      <c r="M9" s="3">
        <v>1520493</v>
      </c>
      <c r="N9" s="3">
        <v>251151</v>
      </c>
      <c r="O9" s="3">
        <v>39941</v>
      </c>
      <c r="P9" s="3">
        <v>3412</v>
      </c>
      <c r="Q9" s="3">
        <v>187</v>
      </c>
      <c r="R9" s="3">
        <v>6</v>
      </c>
      <c r="S9" s="3"/>
      <c r="T9" s="3">
        <v>369003</v>
      </c>
      <c r="U9" s="3">
        <v>70156</v>
      </c>
      <c r="V9" s="3">
        <v>6738</v>
      </c>
      <c r="W9" s="3">
        <v>297</v>
      </c>
      <c r="X9" s="3">
        <v>13</v>
      </c>
      <c r="Y9" s="3">
        <v>1</v>
      </c>
      <c r="Z9" s="3"/>
      <c r="AA9" s="3"/>
    </row>
    <row r="12" spans="1:27">
      <c r="A12" s="8" t="s">
        <v>43</v>
      </c>
      <c r="B12" s="9">
        <f>SUM(M2:S2, U2:AA2)/10000000</f>
        <v>0.4269599</v>
      </c>
    </row>
    <row r="13" spans="1:27">
      <c r="A13" s="10" t="s">
        <v>29</v>
      </c>
      <c r="B13" s="9">
        <f>SUM(M3:S3, U3:AA3)/10000000</f>
        <v>0.4144177</v>
      </c>
    </row>
    <row r="14" spans="1:27">
      <c r="A14" s="11" t="s">
        <v>31</v>
      </c>
      <c r="B14" s="9">
        <f>SUM(M4:S4, U4:AA4)/10000000</f>
        <v>0.4264754</v>
      </c>
    </row>
    <row r="15" spans="1:27">
      <c r="A15" s="11" t="s">
        <v>34</v>
      </c>
      <c r="B15" s="9">
        <f>SUM(M5:S5, U5:AA5)/10000000</f>
        <v>0.41462339999999998</v>
      </c>
    </row>
    <row r="16" spans="1:27">
      <c r="A16" s="7" t="s">
        <v>36</v>
      </c>
      <c r="B16" s="6">
        <f>SUM(M6:S6, U6:AA6)/10000000</f>
        <v>0.18939220000000001</v>
      </c>
    </row>
    <row r="17" spans="1:13">
      <c r="A17" s="4" t="s">
        <v>39</v>
      </c>
      <c r="B17" s="6">
        <f>SUM(M7:S7, U7:AA7)/10000000</f>
        <v>0.18925790000000001</v>
      </c>
    </row>
    <row r="18" spans="1:13">
      <c r="A18" s="4" t="s">
        <v>31</v>
      </c>
      <c r="B18" s="6">
        <f>SUM(M8:S8, U8:AA8)/10000000</f>
        <v>0.18966169999999999</v>
      </c>
    </row>
    <row r="19" spans="1:13">
      <c r="A19" s="4" t="s">
        <v>41</v>
      </c>
      <c r="B19" s="6">
        <f>SUM(M9:S9, U9:AA9)/10000000</f>
        <v>0.1892395</v>
      </c>
    </row>
    <row r="20" spans="1:13">
      <c r="M20" s="6"/>
    </row>
  </sheetData>
  <autoFilter ref="A1:AA1" xr:uid="{00000000-0009-0000-0000-000000000000}"/>
  <phoneticPr fontId="6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沈宏羲</cp:lastModifiedBy>
  <cp:revision>0</cp:revision>
  <dcterms:created xsi:type="dcterms:W3CDTF">2026-04-28T07:10:47Z</dcterms:created>
  <dcterms:modified xsi:type="dcterms:W3CDTF">2026-04-28T07:33:20Z</dcterms:modified>
  <dc:language>en-US</dc:language>
</cp:coreProperties>
</file>