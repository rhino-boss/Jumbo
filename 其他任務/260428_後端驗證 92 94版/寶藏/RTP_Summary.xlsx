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hinshen\Desktop\260428_後端驗證 92 94版\寶藏\"/>
    </mc:Choice>
  </mc:AlternateContent>
  <xr:revisionPtr revIDLastSave="0" documentId="13_ncr:1_{59D48DD9-CD4B-44C9-8D09-DE689874AA4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TP Summary" sheetId="1" r:id="rId1"/>
  </sheets>
  <definedNames>
    <definedName name="_xlnm._FilterDatabase" localSheetId="0" hidden="1">'RTP Summary'!$A$1:$AC$1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A16" i="1" l="1"/>
  <c r="X16" i="1"/>
  <c r="AA12" i="1"/>
  <c r="X12" i="1"/>
  <c r="X15" i="1"/>
  <c r="AA15" i="1"/>
  <c r="AA11" i="1"/>
  <c r="X11" i="1"/>
  <c r="AD2" i="1"/>
  <c r="AD3" i="1"/>
  <c r="AD4" i="1"/>
  <c r="AD5" i="1"/>
  <c r="AD6" i="1"/>
  <c r="AE2" i="1" l="1" a="1"/>
  <c r="AE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<sst xmlns="http://schemas.openxmlformats.org/spreadsheetml/2006/main" count="54" uniqueCount="40">
  <si>
    <r>
      <rPr>
        <b/>
        <sz val="11"/>
        <color rgb="FFFFFFFF"/>
        <rFont val="Arial"/>
        <family val="2"/>
      </rPr>
      <t xml:space="preserve">txt </t>
    </r>
    <r>
      <rPr>
        <b/>
        <sz val="11"/>
        <color rgb="FFFFFFFF"/>
        <rFont val="DejaVu Sans"/>
        <family val="2"/>
      </rPr>
      <t>名稱</t>
    </r>
  </si>
  <si>
    <t>version</t>
  </si>
  <si>
    <t>GameID</t>
  </si>
  <si>
    <t>CoinIn</t>
  </si>
  <si>
    <t>betMultiplier</t>
  </si>
  <si>
    <t>TotalSpin</t>
  </si>
  <si>
    <t>BaseGameRtp</t>
  </si>
  <si>
    <t>ScatterRtp</t>
  </si>
  <si>
    <t>FreeGameRtp</t>
  </si>
  <si>
    <t>TotalRtp (excl. JP/bonus)</t>
  </si>
  <si>
    <t>BonusJP Rtp</t>
  </si>
  <si>
    <t>LinkJP Rtp</t>
  </si>
  <si>
    <t>TotalRtp (incl. JP/bonus)</t>
  </si>
  <si>
    <t>BG_HitFG_C1Count[0]</t>
  </si>
  <si>
    <t>BG_HitFG_C1Count[1]</t>
  </si>
  <si>
    <t>BG_HitFG_C1Count[2]</t>
  </si>
  <si>
    <t>BG_HitFG_C1Count[3]</t>
  </si>
  <si>
    <t>BG_HitFG_C1Count[4]</t>
  </si>
  <si>
    <t>BG_HitFG_C1Count[5]</t>
  </si>
  <si>
    <t>BG_HitFG_C1Count[6]</t>
  </si>
  <si>
    <t>BG_HitFG_C1Count[7]</t>
  </si>
  <si>
    <t>FG_Retrigger_C1Count[0]</t>
  </si>
  <si>
    <t>FG_Retrigger_C1Count[1]</t>
  </si>
  <si>
    <t>FG_Retrigger_C1Count[2]</t>
  </si>
  <si>
    <t>FG_Retrigger_C1Count[3]</t>
  </si>
  <si>
    <t>FG_Retrigger_C1Count[4]</t>
  </si>
  <si>
    <t>FG_Retrigger_C1Count[5]</t>
  </si>
  <si>
    <t>FG_Retrigger_C1Count[6]</t>
  </si>
  <si>
    <t>FG_Retrigger_C1Count[7]</t>
  </si>
  <si>
    <t>92 Normal NB.txt</t>
  </si>
  <si>
    <t>H017192-2.0.0.0/H017194-2.0.0.0</t>
  </si>
  <si>
    <t>101004</t>
  </si>
  <si>
    <t>100</t>
  </si>
  <si>
    <t>1</t>
  </si>
  <si>
    <t>94 FB.txt</t>
  </si>
  <si>
    <t>5000</t>
  </si>
  <si>
    <t>94 Normal A.txt</t>
  </si>
  <si>
    <t>94 Normal B.txt</t>
  </si>
  <si>
    <t>94 SB.txt</t>
  </si>
  <si>
    <t>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</si>
</sst>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7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1"/>
      <color rgb="FFFFFFFF"/>
      <name val="DejaVu Sans"/>
      <family val="2"/>
    </font>
    <font>
      <sz val="10"/>
      <name val="Arial"/>
      <family val="2"/>
    </font>
    <font>
      <sz val="9"/>
      <name val="細明體"/>
      <family val="3"/>
      <charset val="136"/>
    </font>
    <font>
      <sz val="12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76" fontId="4" fillId="0" borderId="1" xfId="0" applyNumberFormat="1" applyFont="1" applyBorder="1" applyAlignment="1">
      <alignment horizontal="right" vertical="center"/>
    </xf>
    <xf numFmtId="176" fontId="4" fillId="4" borderId="1" xfId="0" applyNumberFormat="1" applyFont="1" applyFill="1" applyBorder="1" applyAlignment="1">
      <alignment horizontal="right" vertical="center"/>
    </xf>
    <xf numFmtId="10" fontId="1" fillId="0" borderId="1" xfId="1" applyNumberFormat="1" applyBorder="1" applyAlignment="1">
      <alignment horizontal="right" vertical="center"/>
    </xf>
    <xf numFmtId="0" fontId="0" fillId="4" borderId="0" xfId="0" applyFill="1"/>
    <xf numFmtId="0" fontId="6" fillId="3" borderId="0" xfId="0" applyFont="1" applyFill="1"/>
    <xf numFmtId="0" fontId="6" fillId="0" borderId="0" xfId="0" applyFont="1" applyFill="1"/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6"/>
  <sheetViews>
    <sheetView tabSelected="1" zoomScaleNormal="100" workbookViewId="0">
      <pane xSplit="2" ySplit="1" topLeftCell="U2" activePane="bottomRight" state="frozen"/>
      <selection pane="topRight" activeCell="C1" sqref="C1"/>
      <selection pane="bottomLeft" activeCell="A2" sqref="A2"/>
      <selection pane="bottomRight" activeCell="X10" sqref="X10"/>
    </sheetView>
  </sheetViews>
  <sheetFormatPr defaultColWidth="8.6640625" defaultRowHeight="14.4"/>
  <cols>
    <col min="1" max="1" width="22" customWidth="1"/>
    <col min="2" max="2" width="15.6640625" customWidth="1"/>
    <col min="3" max="4" width="10" customWidth="1"/>
    <col min="5" max="6" width="14" customWidth="1"/>
    <col min="7" max="9" width="13" customWidth="1"/>
    <col min="10" max="10" width="22" customWidth="1"/>
    <col min="11" max="12" width="13" customWidth="1"/>
    <col min="13" max="13" width="22" customWidth="1"/>
    <col min="14" max="29" width="16" customWidth="1"/>
    <col min="31" max="31" width="12.77734375" bestFit="1" customWidth="1"/>
  </cols>
  <sheetData>
    <row r="1" spans="1:3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31">
      <c r="A2" s="2" t="s">
        <v>29</v>
      </c>
      <c r="B2" s="2" t="s">
        <v>30</v>
      </c>
      <c r="C2" s="3" t="s">
        <v>31</v>
      </c>
      <c r="D2" s="3" t="s">
        <v>32</v>
      </c>
      <c r="E2" s="3" t="s">
        <v>33</v>
      </c>
      <c r="F2" s="4">
        <v>15200000</v>
      </c>
      <c r="G2" s="6">
        <v>0.71149600000000002</v>
      </c>
      <c r="H2" s="5">
        <v>0</v>
      </c>
      <c r="I2" s="6">
        <v>0.21714900000000001</v>
      </c>
      <c r="J2" s="7">
        <v>0.92864400000000002</v>
      </c>
      <c r="K2" s="6">
        <v>3.1719999999999998E-2</v>
      </c>
      <c r="L2" s="5">
        <v>0</v>
      </c>
      <c r="M2" s="5">
        <v>0.960364</v>
      </c>
      <c r="N2" s="4">
        <v>14223</v>
      </c>
      <c r="O2" s="4">
        <v>30907</v>
      </c>
      <c r="P2" s="4">
        <v>22094</v>
      </c>
      <c r="Q2" s="4">
        <v>10240</v>
      </c>
      <c r="R2" s="4">
        <v>20839</v>
      </c>
      <c r="S2" s="4">
        <v>630</v>
      </c>
      <c r="T2" s="4">
        <v>7</v>
      </c>
      <c r="U2" s="4"/>
      <c r="V2" s="4">
        <v>63</v>
      </c>
      <c r="W2" s="4">
        <v>287</v>
      </c>
      <c r="X2" s="4">
        <v>277</v>
      </c>
      <c r="Y2" s="4">
        <v>95</v>
      </c>
      <c r="Z2" s="4">
        <v>8</v>
      </c>
      <c r="AA2" s="4"/>
      <c r="AB2" s="4"/>
      <c r="AC2" s="4"/>
      <c r="AD2">
        <f t="shared" ref="AD2:AD6" si="0">SUM(O2:U2,W2:AC2)/F2</f>
        <v>5.6173684210526313E-3</v>
      </c>
      <c r="AE2" cm="1">
        <f t="array" ref="AE2:AE6">INT(AD2:AD6*10000000000)</f>
        <v>56173684</v>
      </c>
    </row>
    <row r="3" spans="1:31">
      <c r="A3" s="2" t="s">
        <v>34</v>
      </c>
      <c r="B3" s="2" t="s">
        <v>30</v>
      </c>
      <c r="C3" s="3" t="s">
        <v>31</v>
      </c>
      <c r="D3" s="3" t="s">
        <v>35</v>
      </c>
      <c r="E3" s="3" t="s">
        <v>33</v>
      </c>
      <c r="F3" s="4">
        <v>700000</v>
      </c>
      <c r="G3" s="6">
        <v>5.0010000000000002E-3</v>
      </c>
      <c r="H3" s="5">
        <v>0</v>
      </c>
      <c r="I3" s="6">
        <v>0.92065399999999997</v>
      </c>
      <c r="J3" s="7">
        <v>0.92565500000000001</v>
      </c>
      <c r="K3" s="6">
        <v>3.1273000000000002E-2</v>
      </c>
      <c r="L3" s="5">
        <v>0</v>
      </c>
      <c r="M3" s="5">
        <v>0.95692900000000003</v>
      </c>
      <c r="N3" s="4"/>
      <c r="O3" s="4"/>
      <c r="P3" s="4"/>
      <c r="Q3" s="4"/>
      <c r="R3" s="4">
        <v>700000</v>
      </c>
      <c r="S3" s="4"/>
      <c r="T3" s="4"/>
      <c r="U3" s="4"/>
      <c r="V3" s="4">
        <v>976</v>
      </c>
      <c r="W3" s="4">
        <v>5164</v>
      </c>
      <c r="X3" s="4">
        <v>6420</v>
      </c>
      <c r="Y3" s="4">
        <v>2141</v>
      </c>
      <c r="Z3" s="4">
        <v>109</v>
      </c>
      <c r="AA3" s="4">
        <v>2</v>
      </c>
      <c r="AB3" s="4"/>
      <c r="AC3" s="4"/>
      <c r="AD3">
        <f t="shared" si="0"/>
        <v>1.0197657142857144</v>
      </c>
      <c r="AE3">
        <v>10197657142</v>
      </c>
    </row>
    <row r="4" spans="1:31">
      <c r="A4" s="2" t="s">
        <v>36</v>
      </c>
      <c r="B4" s="2" t="s">
        <v>30</v>
      </c>
      <c r="C4" s="3" t="s">
        <v>31</v>
      </c>
      <c r="D4" s="3" t="s">
        <v>32</v>
      </c>
      <c r="E4" s="3" t="s">
        <v>33</v>
      </c>
      <c r="F4" s="4">
        <v>10100000</v>
      </c>
      <c r="G4" s="6">
        <v>0.69907300000000006</v>
      </c>
      <c r="H4" s="5">
        <v>0</v>
      </c>
      <c r="I4" s="6">
        <v>0.24085999999999999</v>
      </c>
      <c r="J4" s="7">
        <v>0.93993199999999999</v>
      </c>
      <c r="K4" s="6">
        <v>3.1248999999999999E-2</v>
      </c>
      <c r="L4" s="5">
        <v>0</v>
      </c>
      <c r="M4" s="5">
        <v>0.97118099999999996</v>
      </c>
      <c r="N4" s="4">
        <v>8037</v>
      </c>
      <c r="O4" s="4">
        <v>17611</v>
      </c>
      <c r="P4" s="4">
        <v>12851</v>
      </c>
      <c r="Q4" s="4">
        <v>5723</v>
      </c>
      <c r="R4" s="4">
        <v>11624</v>
      </c>
      <c r="S4" s="4">
        <v>343</v>
      </c>
      <c r="T4" s="4">
        <v>5</v>
      </c>
      <c r="U4" s="4"/>
      <c r="V4" s="4">
        <v>143</v>
      </c>
      <c r="W4" s="4">
        <v>632</v>
      </c>
      <c r="X4" s="4">
        <v>576</v>
      </c>
      <c r="Y4" s="4">
        <v>187</v>
      </c>
      <c r="Z4" s="4">
        <v>5</v>
      </c>
      <c r="AA4" s="4"/>
      <c r="AB4" s="4"/>
      <c r="AC4" s="4"/>
      <c r="AD4">
        <f t="shared" si="0"/>
        <v>4.9066336633663363E-3</v>
      </c>
      <c r="AE4">
        <v>49066336</v>
      </c>
    </row>
    <row r="5" spans="1:31">
      <c r="A5" s="2" t="s">
        <v>37</v>
      </c>
      <c r="B5" s="2" t="s">
        <v>30</v>
      </c>
      <c r="C5" s="3" t="s">
        <v>31</v>
      </c>
      <c r="D5" s="3" t="s">
        <v>32</v>
      </c>
      <c r="E5" s="3" t="s">
        <v>33</v>
      </c>
      <c r="F5" s="4">
        <v>10000000</v>
      </c>
      <c r="G5" s="6">
        <v>0.69871000000000005</v>
      </c>
      <c r="H5" s="5">
        <v>0</v>
      </c>
      <c r="I5" s="6">
        <v>0.239729</v>
      </c>
      <c r="J5" s="7">
        <v>0.93843900000000002</v>
      </c>
      <c r="K5" s="6">
        <v>3.1301000000000002E-2</v>
      </c>
      <c r="L5" s="5">
        <v>0</v>
      </c>
      <c r="M5" s="5">
        <v>0.96974000000000005</v>
      </c>
      <c r="N5" s="4">
        <v>7918</v>
      </c>
      <c r="O5" s="4">
        <v>17308</v>
      </c>
      <c r="P5" s="4">
        <v>12582</v>
      </c>
      <c r="Q5" s="4">
        <v>5825</v>
      </c>
      <c r="R5" s="4">
        <v>11616</v>
      </c>
      <c r="S5" s="4">
        <v>365</v>
      </c>
      <c r="T5" s="4">
        <v>6</v>
      </c>
      <c r="U5" s="4"/>
      <c r="V5" s="4">
        <v>141</v>
      </c>
      <c r="W5" s="4">
        <v>606</v>
      </c>
      <c r="X5" s="4">
        <v>584</v>
      </c>
      <c r="Y5" s="4">
        <v>184</v>
      </c>
      <c r="Z5" s="4">
        <v>3</v>
      </c>
      <c r="AA5" s="4"/>
      <c r="AB5" s="4"/>
      <c r="AC5" s="4"/>
      <c r="AD5">
        <f t="shared" si="0"/>
        <v>4.9078999999999998E-3</v>
      </c>
      <c r="AE5">
        <v>49079000</v>
      </c>
    </row>
    <row r="6" spans="1:31">
      <c r="A6" s="2" t="s">
        <v>38</v>
      </c>
      <c r="B6" s="2" t="s">
        <v>30</v>
      </c>
      <c r="C6" s="3" t="s">
        <v>31</v>
      </c>
      <c r="D6" s="3" t="s">
        <v>39</v>
      </c>
      <c r="E6" s="3" t="s">
        <v>33</v>
      </c>
      <c r="F6" s="4">
        <v>500000</v>
      </c>
      <c r="G6" s="6">
        <v>4.9200000000000003E-4</v>
      </c>
      <c r="H6" s="5">
        <v>0</v>
      </c>
      <c r="I6" s="6">
        <v>0.92516100000000001</v>
      </c>
      <c r="J6" s="7">
        <v>0.92565200000000003</v>
      </c>
      <c r="K6" s="6">
        <v>3.1532999999999999E-2</v>
      </c>
      <c r="L6" s="5">
        <v>0</v>
      </c>
      <c r="M6" s="5">
        <v>0.95718499999999995</v>
      </c>
      <c r="N6" s="4"/>
      <c r="O6" s="4"/>
      <c r="P6" s="4"/>
      <c r="Q6" s="4"/>
      <c r="R6" s="4">
        <v>500000</v>
      </c>
      <c r="S6" s="4"/>
      <c r="T6" s="4"/>
      <c r="U6" s="4"/>
      <c r="V6" s="4">
        <v>318</v>
      </c>
      <c r="W6" s="4">
        <v>1911</v>
      </c>
      <c r="X6" s="4">
        <v>2354</v>
      </c>
      <c r="Y6" s="4">
        <v>959</v>
      </c>
      <c r="Z6" s="4">
        <v>38</v>
      </c>
      <c r="AA6" s="4">
        <v>2</v>
      </c>
      <c r="AB6" s="4"/>
      <c r="AC6" s="4"/>
      <c r="AD6">
        <f t="shared" si="0"/>
        <v>1.0105280000000001</v>
      </c>
      <c r="AE6">
        <v>10105280000</v>
      </c>
    </row>
    <row r="10" spans="1:31" ht="15.6">
      <c r="X10" s="9">
        <v>5132817857</v>
      </c>
      <c r="AA10" s="9">
        <v>53076190900</v>
      </c>
    </row>
    <row r="11" spans="1:31">
      <c r="V11">
        <v>15200000</v>
      </c>
      <c r="W11">
        <v>7352788</v>
      </c>
      <c r="X11" s="8">
        <f>SUM(W11:W12)/V11</f>
        <v>0.51294763157894741</v>
      </c>
      <c r="Y11">
        <v>700000</v>
      </c>
      <c r="Z11">
        <v>700000</v>
      </c>
      <c r="AA11" s="8">
        <f>SUM(Z11:Z12)/Y11</f>
        <v>5.31257</v>
      </c>
    </row>
    <row r="12" spans="1:31" ht="15.6">
      <c r="W12">
        <v>444016</v>
      </c>
      <c r="X12" s="10">
        <f>X11*10000000000</f>
        <v>5129476315.7894745</v>
      </c>
      <c r="Z12">
        <v>3018799</v>
      </c>
      <c r="AA12" s="10">
        <f>AA11*10000000000</f>
        <v>53125700000</v>
      </c>
    </row>
    <row r="14" spans="1:31" ht="15.6">
      <c r="X14" s="9">
        <v>5083220472</v>
      </c>
      <c r="AA14" s="9">
        <v>53268520000</v>
      </c>
    </row>
    <row r="15" spans="1:31">
      <c r="V15">
        <v>10100000</v>
      </c>
      <c r="W15">
        <v>4877846</v>
      </c>
      <c r="X15" s="8">
        <f>SUM(W15:W16)/V15</f>
        <v>0.50853801980198021</v>
      </c>
      <c r="Y15">
        <v>500000</v>
      </c>
      <c r="Z15">
        <v>500000</v>
      </c>
      <c r="AA15" s="8">
        <f>SUM(Z15:Z16)/Y15</f>
        <v>5.3269739999999999</v>
      </c>
    </row>
    <row r="16" spans="1:31" ht="15.6">
      <c r="W16">
        <v>258388</v>
      </c>
      <c r="X16" s="10">
        <f>X15*10000000000</f>
        <v>5085380198.0198021</v>
      </c>
      <c r="Z16">
        <v>2163487</v>
      </c>
      <c r="AA16" s="10">
        <f>AA15*10000000000</f>
        <v>53269740000</v>
      </c>
    </row>
  </sheetData>
  <autoFilter ref="A1:AC1" xr:uid="{00000000-0009-0000-0000-000000000000}"/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RTP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沈宏羲</cp:lastModifiedBy>
  <cp:revision>0</cp:revision>
  <dcterms:created xsi:type="dcterms:W3CDTF">2026-04-30T02:45:08Z</dcterms:created>
  <dcterms:modified xsi:type="dcterms:W3CDTF">2026-04-30T03:25:49Z</dcterms:modified>
  <dc:language>en-US</dc:language>
</cp:coreProperties>
</file>